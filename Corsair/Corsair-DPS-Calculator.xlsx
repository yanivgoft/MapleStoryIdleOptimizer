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10" customWidth="1" min="1" max="1"/>
  </cols>
  <sheetData>
    <row r="1">
      <c r="A1" s="1" t="inlineStr">
        <is>
          <t>Corsair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CRITICAL: Corsair has ZERO individual wiki pages AND no Mastery page at all — worse than any other class built in this project. Every scaling skill's (baseDamage, factorIndex) is a FLAGGED ASSUMPTION from its own level-1 value; every mastery bonus below is a FLAGGED ASSUMPTION mapped from Buccaneer's own real mastery table by skill-slot role, per direct user decision. This entire workbook's accuracy ceiling is lower than every sibling class — treat every number as a documented estimate, not verified data.</t>
        </is>
      </c>
    </row>
    <row r="11">
      <c r="A11" s="2" t="inlineStr">
        <is>
          <t>Shadow Heart, Quick Motion (AS component only), Agile Guns, Gun Mastery, Physical Training, Infinity Blast, Fullmetal Jacket, Cross Cut Blast, and Quickdraw's own flat +25% Basic Attack Damage component are always-on passives assumed to already be reflected in your own Inputs stat entries — only their Sensitivity marginal delta is modeled live, matching this project's established convention.</t>
        </is>
      </c>
    </row>
    <row r="12">
      <c r="A12" s="2" t="inlineStr">
        <is>
          <t>Eight-Legs Easton (basic attack) reuses the universal 4th-job-basic-attack constant (baseDamage 2900, factorIndex 21) confirmed identical across every class in this project. Its own Mastery chain is mapped from Buccaneer's own Hook Bomber chain (same universal pattern).</t>
        </is>
      </c>
    </row>
    <row r="13">
      <c r="A13" s="2" t="inlineStr">
        <is>
          <t>Nautilus Strike and Roll of the Dice are both CONFIRMED SHARED verbatim with Buccaneer (byte-identical wiki descriptions) — reuse Buccaneer's exact resolved tuples directly, not re-derived.</t>
        </is>
      </c>
    </row>
    <row r="14">
      <c r="A14" s="2" t="inlineStr">
        <is>
          <t>Scurvy Summons / All Aboard (crew summons) and Broadside's burst+sustained split use the standard generic ActiveWindow/ICD tick machinery already used for every summon/turret skill in this project (Bowmaster's Phoenix, FP-Mage's Ifrit) — no bespoke mechanics needed.</t>
        </is>
      </c>
    </row>
    <row r="15">
      <c r="A15" s="2" t="inlineStr">
        <is>
          <t>Majestic Presence procs off three independent sources (Basic Attack, Brain Scrambler, Rapid Fire) — modeled as its own combined-trigger-rate row summing the three sources' own hit rates directly, extending Marksman's own Bolt Surplus dual-trigger pattern to three sources.</t>
        </is>
      </c>
    </row>
    <row r="16">
      <c r="A16" s="2" t="inlineStr">
        <is>
          <t>Ahoy Mateys (+250%/+100% FD to Scurvy Summons/All Aboard) is its own helper row, same mechanism as Maple Hero — both feed the same two skills' K-column terms independently.</t>
        </is>
      </c>
    </row>
    <row r="17">
      <c r="A17" s="2" t="inlineStr">
        <is>
          <t>Recoil Shot is explicitly 'not used automatically' per its own wiki text — excluded entirely, no row. Outlaw's Code (Defense/Debuff Tolerance) is purely defensive, not modeled.</t>
        </is>
      </c>
    </row>
    <row r="18">
      <c r="A18" s="2" t="inlineStr">
        <is>
          <t>Jolly Roger (PATCHED FD 18%-&gt;15%, a nerf) has no stated cooldown — modeled always-active steady-state once unlocked, same tier as Buccaneer's own Crossbones/Time Leap.</t>
        </is>
      </c>
    </row>
    <row r="19">
      <c r="A19"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20">
      <c r="A20" s="2" t="inlineStr">
        <is>
          <t>Not modeled (out of scope): all forms of crowd control (Blackboot Bill's stun), Accuracy, Evasion, Defense, movement speed, and Companion Summoning Time.</t>
        </is>
      </c>
    </row>
    <row r="21">
      <c r="A21"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Corsair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Weapon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DEX</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DEX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STR</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7"/>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EIGHT_LEGS_EASTON</t>
        </is>
      </c>
      <c r="B2" t="inlineStr">
        <is>
          <t>Eight-Legs Easton</t>
        </is>
      </c>
      <c r="C2" t="n">
        <v>4</v>
      </c>
      <c r="D2" t="inlineStr"/>
      <c r="E2" t="b">
        <v>0</v>
      </c>
      <c r="F2" t="n">
        <v>1</v>
      </c>
      <c r="G2">
        <f>IF(Inputs!$B$3&gt;=136,6,5)</f>
        <v/>
      </c>
      <c r="H2" t="n">
        <v>0</v>
      </c>
      <c r="I2" t="n">
        <v>0</v>
      </c>
      <c r="J2" t="n">
        <v>100</v>
      </c>
      <c r="K2" t="n">
        <v>1</v>
      </c>
      <c r="L2" t="n">
        <v>2900</v>
      </c>
      <c r="M2" t="n">
        <v>21</v>
      </c>
      <c r="N2" t="b">
        <v>1</v>
      </c>
      <c r="O2">
        <f>SUMPRODUCT((Inputs!$B$3&gt;={102,106,116,120,128,132})*{10,1,1,1,1,1})</f>
        <v/>
      </c>
      <c r="P2">
        <f>SUMPRODUCT((Inputs!$B$3&gt;={111,124})*{10,10})</f>
        <v/>
      </c>
      <c r="Q2" t="n">
        <v>0</v>
      </c>
      <c r="R2">
        <f>6+Inputs!$B$33</f>
        <v/>
      </c>
      <c r="S2" t="inlineStr"/>
      <c r="T2" t="n">
        <v>0</v>
      </c>
      <c r="U2" t="inlineStr"/>
      <c r="V2" t="inlineStr"/>
      <c r="W2" t="inlineStr">
        <is>
          <t>4th-job basic-attack effect (supersedes Double Shot/Rapid Blast/Blunderbuster, confirmed identical wiki wording — 290% damage to 6 target(s) in front 5 time(s) — to every other class's own 4th-job basic attack). factorIndex 21, baseDamage 2900 tenths%. HitsPerCast=5, bumping to 6 once the ASSUMED Mastery Lv.136 tier unlocks (mapped from Buccaneer's own Hook Bomber - Strike slot — Corsair has no Mastery page at all to confirm this independently). Real Damage mastery chain (102/106/116/120/128/132, DELTAS) and Boss Monster Damage chain (111/124, +10% each) mapped directly from Buccaneer's own Hook Bomber chain — this is the same universal 4th-job-basic-attack mastery pattern confirmed across every class in this project, so this specific mapping is high-confidence despite the overall lack of Corsair mastery data.</t>
        </is>
      </c>
    </row>
    <row r="3">
      <c r="A3" t="inlineStr">
        <is>
          <t>SWIFT_FIRE</t>
        </is>
      </c>
      <c r="B3" t="inlineStr">
        <is>
          <t>Swift Fire</t>
        </is>
      </c>
      <c r="C3" t="n">
        <v>2</v>
      </c>
      <c r="D3" t="n">
        <v>18</v>
      </c>
      <c r="E3" t="b">
        <v>1</v>
      </c>
      <c r="F3" t="n">
        <v>1</v>
      </c>
      <c r="G3" t="n">
        <v>3</v>
      </c>
      <c r="H3" t="n">
        <v>0</v>
      </c>
      <c r="I3" t="n">
        <v>0</v>
      </c>
      <c r="J3" t="n">
        <v>100</v>
      </c>
      <c r="K3" t="n">
        <v>1</v>
      </c>
      <c r="L3" t="n">
        <v>1800</v>
      </c>
      <c r="M3" t="n">
        <v>12</v>
      </c>
      <c r="N3" t="b">
        <v>1</v>
      </c>
      <c r="O3">
        <f>SUMPRODUCT((Inputs!$B$3&gt;={39})*{50})</f>
        <v/>
      </c>
      <c r="P3" t="n">
        <v>0</v>
      </c>
      <c r="Q3" t="n">
        <v>0</v>
      </c>
      <c r="R3" t="n">
        <v>8</v>
      </c>
      <c r="S3" t="inlineStr"/>
      <c r="T3" t="n">
        <v>0</v>
      </c>
      <c r="U3" t="n">
        <v>200</v>
      </c>
      <c r="V3" t="n">
        <v>23</v>
      </c>
      <c r="W3" t="inlineStr">
        <is>
          <t>FLAGGED ASSUMPTION (no individual wiki page exists, no cooldown stated — 18s assumed by convention matching similarly-shaped 2nd-job burst skills elsewhere): 'Fires three bullets consecutively at the target to deal 180% damage each.' factorIndex 12, baseDamage 1800 tenths%. PATCHED: single-target -&gt; up to 8 enemies ahead (targets field reflects this). Mastery mapped from Buccaneer's own Sea Serpent Burst - Damage @39 (+50%) slot — no exact 1:1 analog exists since Corsair has no mastery data at all, but both are the class's own 2nd-job attack-proc-shaped skill, so this role-mapping is a reasonable assumption. Maple Hero target — see MAPLE_HERO_RATIOS (biggest share, 4x Siege Bomber's own).</t>
        </is>
      </c>
    </row>
    <row r="4">
      <c r="A4" t="inlineStr">
        <is>
          <t>SCURVY_SUMMONS</t>
        </is>
      </c>
      <c r="B4" t="inlineStr">
        <is>
          <t>Scurvy Summons</t>
        </is>
      </c>
      <c r="C4" t="n">
        <v>2</v>
      </c>
      <c r="D4" t="n">
        <v>20</v>
      </c>
      <c r="E4" t="b">
        <v>1</v>
      </c>
      <c r="F4" t="n">
        <v>1</v>
      </c>
      <c r="G4" t="n">
        <v>2</v>
      </c>
      <c r="H4" t="n">
        <v>1.5</v>
      </c>
      <c r="I4" t="n">
        <v>20</v>
      </c>
      <c r="J4" t="n">
        <v>100</v>
      </c>
      <c r="K4" t="n">
        <v>1</v>
      </c>
      <c r="L4" t="n">
        <v>950</v>
      </c>
      <c r="M4" t="n">
        <v>12</v>
      </c>
      <c r="N4" t="b">
        <v>1</v>
      </c>
      <c r="O4" t="n">
        <v>0</v>
      </c>
      <c r="P4" t="n">
        <v>0</v>
      </c>
      <c r="Q4" t="n">
        <v>0</v>
      </c>
      <c r="R4" t="n">
        <v>3</v>
      </c>
      <c r="S4" t="inlineStr"/>
      <c r="T4" t="n">
        <v>0</v>
      </c>
      <c r="U4" t="inlineStr"/>
      <c r="V4" t="inlineStr"/>
      <c r="W4" t="inlineStr">
        <is>
          <t>FLAGGED ASSUMPTION (no individual wiki page exists, cooldown assumed = its own 20s duration, recast-on-expiry, same convention as every other summon/turret skill in this project): 'Summons the Dual Pistol Crew of the Nautilus for 20 sec. The Dual Pistol Crew deals 95% damage to the target 2 time(s) every 3 sec.' factorIndex 12, baseDamage 950 tenths%. PATCHED: tick interval 3s-&gt;1.5s (baked into ICD(s)), crew now hits up to 3 nearby targets instead of single-target (targets field reflects this). Standard ActiveWindow/ICD tick machinery (EffectiveHits = 2*(20/1.5) per cast) — no bespoke mechanics needed, unlike Buccaneer's own resource-economy skills. No clean Buccaneer mastery-slot analog exists for this specific crew-summon mechanic — left unmodeled (SkillMasteryBonus%=0) rather than forcing a poor mapping. Ahoy Mateys target — see AHOY_MATEYS_RATIOS (biggest share, ratio 1.0).</t>
        </is>
      </c>
    </row>
    <row r="5">
      <c r="A5" t="inlineStr">
        <is>
          <t>ALL_ABOARD</t>
        </is>
      </c>
      <c r="B5" t="inlineStr">
        <is>
          <t>All Aboard</t>
        </is>
      </c>
      <c r="C5" t="n">
        <v>2</v>
      </c>
      <c r="D5" t="n">
        <v>20</v>
      </c>
      <c r="E5" t="b">
        <v>0</v>
      </c>
      <c r="F5" t="n">
        <v>1</v>
      </c>
      <c r="G5" t="n">
        <v>3</v>
      </c>
      <c r="H5" t="n">
        <v>2</v>
      </c>
      <c r="I5" t="n">
        <v>20</v>
      </c>
      <c r="J5" t="n">
        <v>100</v>
      </c>
      <c r="K5" t="n">
        <v>1</v>
      </c>
      <c r="L5" t="n">
        <v>1100</v>
      </c>
      <c r="M5" t="n">
        <v>12</v>
      </c>
      <c r="N5" t="b">
        <v>1</v>
      </c>
      <c r="O5" t="n">
        <v>0</v>
      </c>
      <c r="P5" t="n">
        <v>0</v>
      </c>
      <c r="Q5" t="n">
        <v>0</v>
      </c>
      <c r="R5" t="n">
        <v>8</v>
      </c>
      <c r="S5" t="inlineStr"/>
      <c r="T5" t="n">
        <v>0</v>
      </c>
      <c r="U5" t="inlineStr"/>
      <c r="V5" t="inlineStr"/>
      <c r="W5" t="inlineStr">
        <is>
          <t>FLAGGED ASSUMPTION (no individual wiki page exists): 'Summons the Sharpshooter Crew upon using Scurvy Summons. The Sharpshooter Crew fires bullets every 4 sec to deal 190% damage to 3 target(s) near the main target 3 time(s).' Triggered BY Scurvy Summons — shares its own Cooldown(s)/duration values directly (CostsActionSlot=False so it doesn't double-count the action economy), same 'rides the parent skill's cast timing' pattern as Buccaneer's own Sea Serpent's Rage riding Octopunch. factorIndex 12, baseDamage 1100 tenths%. PATCHED: tick interval 4s-&gt;2s (baked into ICD(s)), damage 190%-&gt;110%, targets 3-&gt;8. No clean Buccaneer mastery-slot analog — left unmodeled. Ahoy Mateys target — see AHOY_MATEYS_RATIOS (0.4x Scurvy Summons' own share).</t>
        </is>
      </c>
    </row>
    <row r="6">
      <c r="A6" t="inlineStr">
        <is>
          <t>BLACKBOOT_BILL</t>
        </is>
      </c>
      <c r="B6" t="inlineStr">
        <is>
          <t>Blackboot Bill</t>
        </is>
      </c>
      <c r="C6" t="n">
        <v>3</v>
      </c>
      <c r="D6" t="n">
        <v>20</v>
      </c>
      <c r="E6" t="b">
        <v>1</v>
      </c>
      <c r="F6" t="n">
        <v>1</v>
      </c>
      <c r="G6" t="n">
        <v>4</v>
      </c>
      <c r="H6" t="n">
        <v>0</v>
      </c>
      <c r="I6" t="n">
        <v>0</v>
      </c>
      <c r="J6" t="n">
        <v>100</v>
      </c>
      <c r="K6" t="n">
        <v>1</v>
      </c>
      <c r="L6" t="n">
        <v>1700</v>
      </c>
      <c r="M6" t="n">
        <v>12</v>
      </c>
      <c r="N6" t="b">
        <v>1</v>
      </c>
      <c r="O6">
        <f>SUMPRODUCT((Inputs!$B$3&gt;={73})*{80})</f>
        <v/>
      </c>
      <c r="P6" t="n">
        <v>0</v>
      </c>
      <c r="Q6" t="n">
        <v>0</v>
      </c>
      <c r="R6" t="n">
        <v>9</v>
      </c>
      <c r="S6" t="inlineStr"/>
      <c r="T6" t="n">
        <v>0</v>
      </c>
      <c r="U6" t="n">
        <v>400</v>
      </c>
      <c r="V6" t="n">
        <v>23</v>
      </c>
      <c r="W6" t="inlineStr">
        <is>
          <t>FLAGGED ASSUMPTION (no individual wiki page exists, no cooldown stated — 20s assumed by convention matching Buccaneer's own similarly-shaped Corkscrew Blow): 'Fires a giant bullet to deal 170% damage to 6 target(s) in front 4 time(s) and stun them for 2 sec' (stun not modeled). factorIndex 12, baseDamage 1700 tenths%. PATCHED: targets 6-&gt;9. Mastery mapped from Buccaneer's own Corkscrew Blow - Damage @73 (+80%) slot — both are the class's own 3rd-job unique burst skill. Maple Hero target — see MAPLE_HERO_RATIOS (2x Siege Bomber's own share).</t>
        </is>
      </c>
    </row>
    <row r="7">
      <c r="A7" t="inlineStr">
        <is>
          <t>SIEGE_BOMBER</t>
        </is>
      </c>
      <c r="B7" t="inlineStr">
        <is>
          <t>Siege Bomber</t>
        </is>
      </c>
      <c r="C7" t="n">
        <v>3</v>
      </c>
      <c r="D7" t="n">
        <v>30</v>
      </c>
      <c r="E7" t="b">
        <v>1</v>
      </c>
      <c r="F7" t="n">
        <v>1</v>
      </c>
      <c r="G7" t="n">
        <v>1</v>
      </c>
      <c r="H7" t="n">
        <v>1.5</v>
      </c>
      <c r="I7" t="n">
        <v>30</v>
      </c>
      <c r="J7" t="n">
        <v>100</v>
      </c>
      <c r="K7" t="n">
        <v>1</v>
      </c>
      <c r="L7" t="n">
        <v>1900</v>
      </c>
      <c r="M7" t="n">
        <v>12</v>
      </c>
      <c r="N7" t="b">
        <v>1</v>
      </c>
      <c r="O7" t="n">
        <v>0</v>
      </c>
      <c r="P7" t="n">
        <v>0</v>
      </c>
      <c r="Q7" t="n">
        <v>0</v>
      </c>
      <c r="R7" t="n">
        <v>6</v>
      </c>
      <c r="S7" t="inlineStr"/>
      <c r="T7" t="n">
        <v>0</v>
      </c>
      <c r="U7" t="n">
        <v>100</v>
      </c>
      <c r="V7" t="n">
        <v>23</v>
      </c>
      <c r="W7" t="inlineStr">
        <is>
          <t>FLAGGED ASSUMPTION (no individual wiki page exists, cooldown assumed = its own 30s duration, recast-on-expiry): 'Installs a fixed cannon for 30 sec to deal 290% damage to 4 target(s) near the main target every 2.5 sec.' factorIndex 12, baseDamage 1900 tenths%. PATCHED: tick interval 2.5s-&gt;1.5s (baked into ICD(s)), damage 290%-&gt;190%, targets 4-&gt;6. Standard ActiveWindow/ICD turret machinery, same as Bowmaster's own Arrow Platter. No clean Buccaneer mastery-slot analog — left unmodeled. Maple Hero target — see MAPLE_HERO_RATIOS (smallest share, ratio 1.0).</t>
        </is>
      </c>
    </row>
    <row r="8">
      <c r="A8" t="inlineStr">
        <is>
          <t>BRAIN_SCRAMBLER</t>
        </is>
      </c>
      <c r="B8" t="inlineStr">
        <is>
          <t>Brain Scrambler</t>
        </is>
      </c>
      <c r="C8" t="n">
        <v>4</v>
      </c>
      <c r="D8" t="n">
        <v>15</v>
      </c>
      <c r="E8" t="b">
        <v>1</v>
      </c>
      <c r="F8" t="n">
        <v>1</v>
      </c>
      <c r="G8" t="n">
        <v>2</v>
      </c>
      <c r="H8" t="n">
        <v>0</v>
      </c>
      <c r="I8" t="n">
        <v>0</v>
      </c>
      <c r="J8" t="n">
        <v>100</v>
      </c>
      <c r="K8" t="n">
        <v>1</v>
      </c>
      <c r="L8" t="n">
        <v>29000</v>
      </c>
      <c r="M8" t="n">
        <v>12</v>
      </c>
      <c r="N8" t="b">
        <v>1</v>
      </c>
      <c r="O8">
        <f>SUMPRODUCT((Inputs!$B$3&gt;={108})*{50})</f>
        <v/>
      </c>
      <c r="P8" t="n">
        <v>0</v>
      </c>
      <c r="Q8" t="n">
        <v>0</v>
      </c>
      <c r="R8" t="n">
        <v>1</v>
      </c>
      <c r="S8" t="inlineStr"/>
      <c r="T8" t="n">
        <v>0</v>
      </c>
      <c r="U8" t="inlineStr"/>
      <c r="V8" t="inlineStr"/>
      <c r="W8" t="inlineStr">
        <is>
          <t>FLAGGED ASSUMPTION (no individual wiki page exists, no cooldown stated — 15s assumed by convention matching Buccaneer's own similarly-shaped 4th-job burst skill Octopunch): 'Hits the target's head to deal 2900% damage 2 time(s).' factorIndex 12, baseDamage 29000 tenths%, single target. Mastery mapped from Buccaneer's own Octopunch - Damage @108 (+50%) slot — both are the class's own 4th-job single-target burst skill. Also feeds Majestic Presence's own combined trigger rate — see MAJESTIC_PRESENCE's own Note.</t>
        </is>
      </c>
    </row>
    <row r="9">
      <c r="A9" t="inlineStr">
        <is>
          <t>NAUTILUS_STRIKE</t>
        </is>
      </c>
      <c r="B9" t="inlineStr">
        <is>
          <t>Nautilus Strike</t>
        </is>
      </c>
      <c r="C9" t="n">
        <v>4</v>
      </c>
      <c r="D9" t="n">
        <v>45</v>
      </c>
      <c r="E9" t="b">
        <v>1</v>
      </c>
      <c r="F9" t="n">
        <v>1</v>
      </c>
      <c r="G9" t="n">
        <v>5</v>
      </c>
      <c r="H9" t="n">
        <v>0</v>
      </c>
      <c r="I9" t="n">
        <v>0</v>
      </c>
      <c r="J9" t="n">
        <v>100</v>
      </c>
      <c r="K9" t="n">
        <v>1</v>
      </c>
      <c r="L9" t="n">
        <v>19500</v>
      </c>
      <c r="M9" t="n">
        <v>12</v>
      </c>
      <c r="N9" t="b">
        <v>1</v>
      </c>
      <c r="O9">
        <f>SUMPRODUCT((Inputs!$B$3&gt;={126})*{50})</f>
        <v/>
      </c>
      <c r="P9" t="n">
        <v>0</v>
      </c>
      <c r="Q9" t="n">
        <v>0</v>
      </c>
      <c r="R9" t="n">
        <v>15</v>
      </c>
      <c r="S9" t="inlineStr"/>
      <c r="T9" t="n">
        <v>0</v>
      </c>
      <c r="U9" t="inlineStr"/>
      <c r="V9" t="inlineStr"/>
      <c r="W9" t="inlineStr">
        <is>
          <t>CONFIRMED SHARED VERBATIM WITH BUCCANEER (byte-identical wiki description on both classes' overview pages: 'Orders the Nautilus to attack to deal 1950% damage to 15 nearby target(s) 5 time(s).') — reuses Buccaneer's exact FLAGGED-ASSUMPTION (19500, 12) tuple directly, not re-derived. Cooldown (45s) also reused from Buccaneer's own assumption. Mastery mapped from Buccaneer's own Nautilus Strike - Damage @126 (+50%) slot — since this is the SAME shared skill, this mapping is higher-confidence than most other role-mapped masteries in this workbook.</t>
        </is>
      </c>
    </row>
    <row r="10">
      <c r="A10" t="inlineStr">
        <is>
          <t>NAUTILUS_FINAL_ATTACK</t>
        </is>
      </c>
      <c r="B10" t="inlineStr">
        <is>
          <t>Nautilus Strike - Final Attack</t>
        </is>
      </c>
      <c r="C10" t="n">
        <v>4</v>
      </c>
      <c r="D10" t="n">
        <v>1</v>
      </c>
      <c r="E10" t="b">
        <v>0</v>
      </c>
      <c r="F10" t="n">
        <v>1</v>
      </c>
      <c r="G10" t="n">
        <v>1</v>
      </c>
      <c r="H10" t="n">
        <v>0</v>
      </c>
      <c r="I10" t="n">
        <v>0</v>
      </c>
      <c r="J10" t="n">
        <v>30</v>
      </c>
      <c r="K10" t="n">
        <v>1</v>
      </c>
      <c r="L10" t="n">
        <v>8500</v>
      </c>
      <c r="M10" t="n">
        <v>21</v>
      </c>
      <c r="N10" t="b">
        <v>1</v>
      </c>
      <c r="O10" t="n">
        <v>0</v>
      </c>
      <c r="P10" t="n">
        <v>0</v>
      </c>
      <c r="Q10" t="n">
        <v>0</v>
      </c>
      <c r="R10" t="n">
        <v>1</v>
      </c>
      <c r="S10" t="inlineStr"/>
      <c r="T10" t="n">
        <v>0</v>
      </c>
      <c r="U10" t="inlineStr"/>
      <c r="V10" t="inlineStr"/>
      <c r="W10" t="inlineStr">
        <is>
          <t>CONFIRMED SHARED VERBATIM WITH BUCCANEER — same Mastery Lv.113 proc mechanic, same patch note applies identically to both classes: '[Nautilus Strike in Slot] When attacking, deals 850% additional damage' — PATCHED: trigger chance 15%-&gt;30%, 'cooldown set to 1s' (both baked in directly: ProcChance%=30, Cooldown(s)=1). Reuses Buccaneer's exact row shape/tuple directly. Triggers off basic attacks generically (CostsActionSlot=False), factorIndex 21, baseDamage 8500 tenths%.</t>
        </is>
      </c>
    </row>
    <row r="11">
      <c r="A11" t="inlineStr">
        <is>
          <t>RAPID_FIRE</t>
        </is>
      </c>
      <c r="B11" t="inlineStr">
        <is>
          <t>Rapid Fire</t>
        </is>
      </c>
      <c r="C11" t="n">
        <v>4</v>
      </c>
      <c r="D11" t="n">
        <v>17</v>
      </c>
      <c r="E11" t="b">
        <v>1</v>
      </c>
      <c r="F11" t="n">
        <v>1</v>
      </c>
      <c r="G11" t="n">
        <v>7</v>
      </c>
      <c r="H11" t="n">
        <v>0</v>
      </c>
      <c r="I11" t="n">
        <v>0</v>
      </c>
      <c r="J11" t="n">
        <v>100</v>
      </c>
      <c r="K11" t="n">
        <v>1</v>
      </c>
      <c r="L11" t="n">
        <v>18000</v>
      </c>
      <c r="M11" t="n">
        <v>12</v>
      </c>
      <c r="N11" t="b">
        <v>1</v>
      </c>
      <c r="O11" t="n">
        <v>0</v>
      </c>
      <c r="P11" t="n">
        <v>0</v>
      </c>
      <c r="Q11" t="n">
        <v>0</v>
      </c>
      <c r="R11" t="n">
        <v>9</v>
      </c>
      <c r="S11" t="inlineStr"/>
      <c r="T11" t="n">
        <v>0</v>
      </c>
      <c r="U11" t="inlineStr"/>
      <c r="V11" t="inlineStr"/>
      <c r="W11" t="inlineStr">
        <is>
          <t>FLAGGED ASSUMPTION (no individual wiki page exists, but cooldown IS explicitly stated in the patch notes — see below): 'Fires bullets at a very high speed 7 time(s) to deal 1350% damage each.' factorIndex 12, baseDamage 18000 tenths% (already reflects the patch). PATCHED: single-target -&gt; up to 9 enemies (targets field), damage 1350%-&gt;1800% (curve rescaled 1800/1350=1.333x before applying), cooldown 21s-&gt;17s (Cooldown(s) already reflects the patched value directly, unlike every other assumed cooldown in this workbook — this one has an actual documented number). No clean Buccaneer mastery-slot analog — left unmodeled. Also feeds Majestic Presence's own combined trigger rate.</t>
        </is>
      </c>
    </row>
    <row r="12">
      <c r="A12" t="inlineStr">
        <is>
          <t>BROADSIDE_BURST</t>
        </is>
      </c>
      <c r="B12" t="inlineStr">
        <is>
          <t>Broadside (initial burst)</t>
        </is>
      </c>
      <c r="C12" t="n">
        <v>4</v>
      </c>
      <c r="D12" t="n">
        <v>30</v>
      </c>
      <c r="E12" t="b">
        <v>1</v>
      </c>
      <c r="F12" t="n">
        <v>1</v>
      </c>
      <c r="G12" t="n">
        <v>2</v>
      </c>
      <c r="H12" t="n">
        <v>0</v>
      </c>
      <c r="I12" t="n">
        <v>0</v>
      </c>
      <c r="J12" t="n">
        <v>100</v>
      </c>
      <c r="K12" t="n">
        <v>1</v>
      </c>
      <c r="L12" t="n">
        <v>50000</v>
      </c>
      <c r="M12" t="n">
        <v>12</v>
      </c>
      <c r="N12" t="b">
        <v>1</v>
      </c>
      <c r="O12">
        <f>SUMPRODUCT((Inputs!$B$3&gt;={122})*{100})</f>
        <v/>
      </c>
      <c r="P12" t="n">
        <v>0</v>
      </c>
      <c r="Q12" t="n">
        <v>0</v>
      </c>
      <c r="R12" t="n">
        <v>10</v>
      </c>
      <c r="S12" t="inlineStr"/>
      <c r="T12" t="n">
        <v>0</v>
      </c>
      <c r="U12" t="inlineStr"/>
      <c r="V12" t="inlineStr"/>
      <c r="W12" t="inlineStr">
        <is>
          <t>FLAGGED ASSUMPTION (no individual wiki page exists, cooldown assumed = its own 30s sustained-phase duration, recast-on-expiry): 'Summons the Nautilus's Battleship. The Battleship arrives behind 3 sec later and deals 3800% damage to 5 nearby target(s) 2 time(s).' (the 3s arrival delay is not modeled — folded into a same-cast instant hit, same simplification tier as every other 'delayed burst' skill in this project). factorIndex 12, baseDamage 50000 tenths% (already reflects the patch). PATCHED: damage 3800%-&gt;5000%, targets 5-&gt;10. This row pays the real Cooldown(s)/action-slot cost; see BROADSIDE_SUSTAINED for the follow-up turret phase, which rides this row's own cast timing. Mastery mapped from Buccaneer's own Sea Serpent's Rage - Damage @122 (+100%) slot — both are the class's own 4th-job summon-triggered burst effect.</t>
        </is>
      </c>
    </row>
    <row r="13">
      <c r="A13" t="inlineStr">
        <is>
          <t>BROADSIDE_SUSTAINED</t>
        </is>
      </c>
      <c r="B13" t="inlineStr">
        <is>
          <t>Broadside (sustained turret)</t>
        </is>
      </c>
      <c r="C13" t="n">
        <v>4</v>
      </c>
      <c r="D13" t="n">
        <v>30</v>
      </c>
      <c r="E13" t="b">
        <v>0</v>
      </c>
      <c r="F13" t="n">
        <v>1</v>
      </c>
      <c r="G13" t="n">
        <v>1</v>
      </c>
      <c r="H13" t="n">
        <v>2</v>
      </c>
      <c r="I13" t="n">
        <v>30</v>
      </c>
      <c r="J13" t="n">
        <v>100</v>
      </c>
      <c r="K13" t="n">
        <v>1</v>
      </c>
      <c r="L13" t="n">
        <v>33000</v>
      </c>
      <c r="M13" t="n">
        <v>12</v>
      </c>
      <c r="N13" t="b">
        <v>1</v>
      </c>
      <c r="O13" t="n">
        <v>0</v>
      </c>
      <c r="P13" t="n">
        <v>0</v>
      </c>
      <c r="Q13" t="n">
        <v>0</v>
      </c>
      <c r="R13" t="n">
        <v>5</v>
      </c>
      <c r="S13" t="inlineStr"/>
      <c r="T13" t="n">
        <v>0</v>
      </c>
      <c r="U13" t="inlineStr"/>
      <c r="V13" t="inlineStr"/>
      <c r="W13" t="inlineStr">
        <is>
          <t>FLAGGED ASSUMPTION (no individual wiki page exists, target count assumed = the burst phase's own PRE-patch value of 5, since the Aug 13 patch notes only cover the initial burst numbers, not this sustained phase — its patch status is genuinely unstated, not necessarily unchanged): 'Afterward it stays for 30 sec and deals 3300% damage to target(s) in front of the Battleship every 2 sec.' factorIndex 12, baseDamage 33000 tenths%. Shares BROADSIDE_BURST's own Cooldown(s) value (same cast timing, CostsActionSlot=False so it doesn't double-count the action economy) — same 'rides the parent's cast timing' pattern as ALL_ABOARD riding SCURVY_SUMMONS.</t>
        </is>
      </c>
    </row>
    <row r="14">
      <c r="A14" t="inlineStr">
        <is>
          <t>MAJESTIC_PRESENCE</t>
        </is>
      </c>
      <c r="B14" t="inlineStr">
        <is>
          <t>Majestic Presence</t>
        </is>
      </c>
      <c r="C14" t="n">
        <v>4</v>
      </c>
      <c r="D14" t="inlineStr"/>
      <c r="E14" t="b">
        <v>0</v>
      </c>
      <c r="F14" t="n">
        <v>1</v>
      </c>
      <c r="G14" t="n">
        <v>1</v>
      </c>
      <c r="H14" t="n">
        <v>0</v>
      </c>
      <c r="I14" t="n">
        <v>0</v>
      </c>
      <c r="J14" t="n">
        <v>25</v>
      </c>
      <c r="K14" t="n">
        <v>1</v>
      </c>
      <c r="L14" t="n">
        <v>18000</v>
      </c>
      <c r="M14" t="n">
        <v>12</v>
      </c>
      <c r="N14" t="b">
        <v>1</v>
      </c>
      <c r="O14" t="n">
        <v>0</v>
      </c>
      <c r="P14" t="n">
        <v>0</v>
      </c>
      <c r="Q14" t="n">
        <v>0</v>
      </c>
      <c r="R14" t="n">
        <v>6</v>
      </c>
      <c r="S14" t="inlineStr"/>
      <c r="T14" t="n">
        <v>0</v>
      </c>
      <c r="U14" t="inlineStr"/>
      <c r="V14" t="inlineStr"/>
      <c r="W14" t="inlineStr">
        <is>
          <t>FLAGGED ASSUMPTION (no individual wiki page exists): 'When attacking with Basic Attacks Brain Scrambler or Rapid Fire deals 1800% additional damage with a 25% chance.' PATCHED: single-target -&gt; up to 6 enemies near target (targets field). factorIndex 12, baseDamage 18000 tenths%. Procs off THREE independent sources (Basic Attack + Brain Scrambler + Rapid Fire) — has no Cooldown(s) of its own at all (CostsActionSlot=False); its own combined trigger rate is built directly in build_calc_sheet/build_stat_block as Summary!$B$R_BAPS (basic attack rate) + Brain Scrambler's own HitRate(perSec) + Rapid Fire's own HitRate(perSec), extending Marksman's own Bolt Surplus dual-trigger pattern to three sources instead of two. No clean Buccaneer mastery-slot analog — left unmodeled.</t>
        </is>
      </c>
    </row>
    <row r="15">
      <c r="A15" t="inlineStr">
        <is>
          <t>MAPLE_HERO_HELPER</t>
        </is>
      </c>
      <c r="B15" t="inlineStr">
        <is>
          <t>Maple Hero (helper)</t>
        </is>
      </c>
      <c r="C15" t="n">
        <v>4</v>
      </c>
      <c r="D15" t="inlineStr"/>
      <c r="E15" t="b">
        <v>0</v>
      </c>
      <c r="F15" t="n">
        <v>1</v>
      </c>
      <c r="G15" t="n">
        <v>1</v>
      </c>
      <c r="H15" t="n">
        <v>0</v>
      </c>
      <c r="I15" t="n">
        <v>0</v>
      </c>
      <c r="J15" t="n">
        <v>100</v>
      </c>
      <c r="K15" t="n">
        <v>1</v>
      </c>
      <c r="L15" t="n">
        <v>200</v>
      </c>
      <c r="M15" t="n">
        <v>23</v>
      </c>
      <c r="N15" t="b">
        <v>1</v>
      </c>
      <c r="O15" t="n">
        <v>0</v>
      </c>
      <c r="P15" t="n">
        <v>0</v>
      </c>
      <c r="Q15" t="n">
        <v>0</v>
      </c>
      <c r="R15" t="n">
        <v>0</v>
      </c>
      <c r="S15" t="inlineStr"/>
      <c r="T15" t="n">
        <v>0</v>
      </c>
      <c r="U15" t="inlineStr"/>
      <c r="V15" t="inlineStr"/>
      <c r="W15" t="inlineStr">
        <is>
          <t>Shared ratio-feeder row (see MAPLE_HERO_RATIOS) for Siege Bomber/Blackboot Bill/Swift Fire's own Final Damage chains — mirrors every other class's own Maple Hero mechanism. UNLIKE Buccaneer's own truncated entry, Corsair's level-1 anchor values ARE real/confirmed: 'Siege Bomber 20%, Blackboot Bill 40%, Swift Fire 80%.' FLAGGED ASSUMPTION: factorIndex 23 (the universal Maple Hero growth-curve convention confirmed on every other class), baseDamage 200 tenths% anchored to the confirmed level-1 value (20%). No individual Maple_Hero_(Corsair) page exists to verify the real growth curve. No independent DPS row of its own (Calc columns J-N blank/0, only D/E/F computed, read directly by each target row's own K-column formula).</t>
        </is>
      </c>
    </row>
    <row r="16">
      <c r="A16" t="inlineStr">
        <is>
          <t>AHOY_MATEYS_HELPER</t>
        </is>
      </c>
      <c r="B16" t="inlineStr">
        <is>
          <t>Ahoy Mateys (helper)</t>
        </is>
      </c>
      <c r="C16" t="n">
        <v>4</v>
      </c>
      <c r="D16" t="inlineStr"/>
      <c r="E16" t="b">
        <v>0</v>
      </c>
      <c r="F16" t="n">
        <v>1</v>
      </c>
      <c r="G16" t="n">
        <v>1</v>
      </c>
      <c r="H16" t="n">
        <v>0</v>
      </c>
      <c r="I16" t="n">
        <v>0</v>
      </c>
      <c r="J16" t="n">
        <v>100</v>
      </c>
      <c r="K16" t="n">
        <v>1</v>
      </c>
      <c r="L16" t="n">
        <v>2500</v>
      </c>
      <c r="M16" t="n">
        <v>22</v>
      </c>
      <c r="N16" t="b">
        <v>1</v>
      </c>
      <c r="O16" t="n">
        <v>0</v>
      </c>
      <c r="P16" t="n">
        <v>0</v>
      </c>
      <c r="Q16" t="n">
        <v>0</v>
      </c>
      <c r="R16" t="n">
        <v>0</v>
      </c>
      <c r="S16" t="inlineStr"/>
      <c r="T16" t="n">
        <v>0</v>
      </c>
      <c r="U16" t="inlineStr"/>
      <c r="V16" t="inlineStr"/>
      <c r="W16" t="inlineStr">
        <is>
          <t>Shared ratio-feeder row (see AHOY_MATEYS_RATIOS) for Scurvy Summons/All Aboard's own Final Damage chains — a SEPARATE, independent helper from Maple Hero (Ahoy Mateys is its own skill, not literally 'Maple Hero'), same 'no independent DPS row' mechanism. FLAGGED ASSUMPTION: factorIndex 22 (generic buff-growth convention, not tied to Maple Hero's own special factorIndex 23 since this is a genuinely different skill), baseDamage 2500 tenths% anchored to the confirmed level-1 value (250%, Scurvy Summons' own share). No individual wiki page exists for this skill at all — even its unlock level is a bare position-in-list assumption.</t>
        </is>
      </c>
    </row>
    <row r="17">
      <c r="A17" t="inlineStr">
        <is>
          <t>ROLL_OF_THE_DICE_DICE</t>
        </is>
      </c>
      <c r="B17" t="inlineStr">
        <is>
          <t>Roll of the Dice (dice component)</t>
        </is>
      </c>
      <c r="C17" t="n">
        <v>3</v>
      </c>
      <c r="D17" t="inlineStr"/>
      <c r="E17" t="b">
        <v>0</v>
      </c>
      <c r="F17" t="n">
        <v>1</v>
      </c>
      <c r="G17" t="n">
        <v>1</v>
      </c>
      <c r="H17" t="n">
        <v>0</v>
      </c>
      <c r="I17" t="n">
        <v>0</v>
      </c>
      <c r="J17" t="n">
        <v>100</v>
      </c>
      <c r="K17" t="n">
        <v>1</v>
      </c>
      <c r="L17" t="n">
        <v>25</v>
      </c>
      <c r="M17" t="n">
        <v>0</v>
      </c>
      <c r="N17" t="b">
        <v>0</v>
      </c>
      <c r="O17" t="n">
        <v>0</v>
      </c>
      <c r="P17" t="n">
        <v>0</v>
      </c>
      <c r="Q17" t="n">
        <v>0</v>
      </c>
      <c r="R17" t="n">
        <v>0</v>
      </c>
      <c r="S17" t="inlineStr">
        <is>
          <t>ATTACK</t>
        </is>
      </c>
      <c r="T17" t="n">
        <v>0</v>
      </c>
      <c r="U17" t="inlineStr"/>
      <c r="V17" t="inlineStr"/>
      <c r="W17" t="inlineStr">
        <is>
          <t>CONFIRMED SHARED VERBATIM WITH BUCCANEER (byte-identical wiki description, discovered during this build — not called out by the original research report): 'Increases Attack by 20%. Rolls a six-sided die every 7 sec to increase Attack by 0-5% in proportion to the number on the die for 5 sec. A number that has appeared once does not appear again for 30 sec.' Reuses Buccaneer's exact treatment: this row models ONLY the random dice component, approximated at its average roll (2.5%, the midpoint of 0-5%) treated as an always-active flat bonus once unlocked. The flat, unconditional '+20% Attack' base effect is Magic-Critical-pattern (assumed already reflected in your own Inputs!ATTACK_PCT, see PASSIVE_DELTA_SLOT). factorIndex 0 (non-scaling placeholder), baseDamage 25 tenths%.</t>
        </is>
      </c>
    </row>
    <row r="18">
      <c r="A18" t="inlineStr">
        <is>
          <t>JOLLY_ROGER_FD</t>
        </is>
      </c>
      <c r="B18" t="inlineStr">
        <is>
          <t>Jolly Roger</t>
        </is>
      </c>
      <c r="C18" t="n">
        <v>4</v>
      </c>
      <c r="D18" t="inlineStr"/>
      <c r="E18" t="b">
        <v>0</v>
      </c>
      <c r="F18" t="n">
        <v>1</v>
      </c>
      <c r="G18" t="n">
        <v>1</v>
      </c>
      <c r="H18" t="n">
        <v>0</v>
      </c>
      <c r="I18" t="n">
        <v>0</v>
      </c>
      <c r="J18" t="n">
        <v>100</v>
      </c>
      <c r="K18" t="n">
        <v>1</v>
      </c>
      <c r="L18" t="n">
        <v>150</v>
      </c>
      <c r="M18" t="n">
        <v>22</v>
      </c>
      <c r="N18" t="b">
        <v>1</v>
      </c>
      <c r="O18" t="n">
        <v>0</v>
      </c>
      <c r="P18" t="n">
        <v>0</v>
      </c>
      <c r="Q18" t="n">
        <v>0</v>
      </c>
      <c r="R18" t="n">
        <v>0</v>
      </c>
      <c r="S18" t="inlineStr">
        <is>
          <t>FINAL_DAMAGE</t>
        </is>
      </c>
      <c r="T18" t="n">
        <v>0</v>
      </c>
      <c r="U18" t="inlineStr"/>
      <c r="V18" t="inlineStr"/>
      <c r="W18" t="inlineStr">
        <is>
          <t>FLAGGED ASSUMPTION (no individual wiki page exists, no cooldown stated — modeled as always-active steady-state once unlocked, same tier as Buccaneer's own Crossbones/Time Leap): 'Increases Final Damage by 18% for 18 sec but decreases Evasion by 5' (Evasion not modeled). PATCHED: Final Damage 18%-&gt;15% (a nerf — baseDamage already reflects this). factorIndex 22, baseDamage 150 tenths%. Corsair's ONLY live (non-Magic-Critical) Final Damage source — feeds R_FD_BONUS directly.</t>
        </is>
      </c>
    </row>
    <row r="19">
      <c r="A19" t="inlineStr">
        <is>
          <t>SHADOW_HEART</t>
        </is>
      </c>
      <c r="B19" t="inlineStr">
        <is>
          <t>Shadow Heart</t>
        </is>
      </c>
      <c r="C19" t="n">
        <v>1</v>
      </c>
      <c r="D19" t="inlineStr"/>
      <c r="E19" t="b">
        <v>0</v>
      </c>
      <c r="F19" t="n">
        <v>1</v>
      </c>
      <c r="G19" t="n">
        <v>1</v>
      </c>
      <c r="H19" t="n">
        <v>0</v>
      </c>
      <c r="I19" t="n">
        <v>0</v>
      </c>
      <c r="J19" t="n">
        <v>100</v>
      </c>
      <c r="K19" t="n">
        <v>1</v>
      </c>
      <c r="L19" t="n">
        <v>50</v>
      </c>
      <c r="M19" t="n">
        <v>22</v>
      </c>
      <c r="N19" t="b">
        <v>1</v>
      </c>
      <c r="O19" t="n">
        <v>0</v>
      </c>
      <c r="P19" t="n">
        <v>0</v>
      </c>
      <c r="Q19" t="n">
        <v>0</v>
      </c>
      <c r="R19" t="n">
        <v>0</v>
      </c>
      <c r="S19" t="inlineStr">
        <is>
          <t>CRIT_RATE</t>
        </is>
      </c>
      <c r="T19" t="n">
        <v>0</v>
      </c>
      <c r="U19" t="inlineStr"/>
      <c r="V19" t="inlineStr"/>
      <c r="W19" t="inlineStr">
        <is>
          <t>Magic Critical pattern — already baked into Inputs!CRIT_RATE%; feeds the 1st-Job Skill Level Bonus delta. FLAGGED ASSUMPTION (no individual wiki page exists, though byte-identical wording to Buccaneer's own Shadow Heart): 'Increases Critical Rate by 5%.' factorIndex 22, baseDamage 50 tenths%.</t>
        </is>
      </c>
    </row>
    <row r="20">
      <c r="A20" t="inlineStr">
        <is>
          <t>QUICK_MOTION</t>
        </is>
      </c>
      <c r="B20" t="inlineStr">
        <is>
          <t>Quick Motion</t>
        </is>
      </c>
      <c r="C20" t="n">
        <v>1</v>
      </c>
      <c r="D20" t="inlineStr"/>
      <c r="E20" t="b">
        <v>0</v>
      </c>
      <c r="F20" t="n">
        <v>1</v>
      </c>
      <c r="G20" t="n">
        <v>1</v>
      </c>
      <c r="H20" t="n">
        <v>0</v>
      </c>
      <c r="I20" t="n">
        <v>0</v>
      </c>
      <c r="J20" t="n">
        <v>100</v>
      </c>
      <c r="K20" t="n">
        <v>1</v>
      </c>
      <c r="L20" t="n">
        <v>60</v>
      </c>
      <c r="M20" t="n">
        <v>22</v>
      </c>
      <c r="N20" t="b">
        <v>1</v>
      </c>
      <c r="O20" t="n">
        <v>0</v>
      </c>
      <c r="P20" t="n">
        <v>0</v>
      </c>
      <c r="Q20" t="n">
        <v>0</v>
      </c>
      <c r="R20" t="n">
        <v>0</v>
      </c>
      <c r="S20" t="inlineStr">
        <is>
          <t>ATTACK_SPEED</t>
        </is>
      </c>
      <c r="T20" t="n">
        <v>0</v>
      </c>
      <c r="U20" t="inlineStr"/>
      <c r="V20" t="inlineStr"/>
      <c r="W20" t="inlineStr">
        <is>
          <t>Magic Critical pattern — already baked into Inputs!ATTACK_SPEED%; feeds the 1st-Job Skill Level Bonus delta. FLAGGED ASSUMPTION (no individual wiki page exists, though byte-identical wording to Buccaneer's own Quick Motion): 'Increases Attack Speed by 6% and Speed by 8%' (Speed not modeled). Like Buccaneer, Corsair has NO Nimble-Feet-style live AS buff — Quick Motion is a flat passive. factorIndex 22, baseDamage 60 tenths%.</t>
        </is>
      </c>
    </row>
    <row r="21">
      <c r="A21" t="inlineStr">
        <is>
          <t>AGILE_GUNS</t>
        </is>
      </c>
      <c r="B21" t="inlineStr">
        <is>
          <t>Agile Guns</t>
        </is>
      </c>
      <c r="C21" t="n">
        <v>2</v>
      </c>
      <c r="D21" t="inlineStr"/>
      <c r="E21" t="b">
        <v>0</v>
      </c>
      <c r="F21" t="n">
        <v>1</v>
      </c>
      <c r="G21" t="n">
        <v>1</v>
      </c>
      <c r="H21" t="n">
        <v>0</v>
      </c>
      <c r="I21" t="n">
        <v>0</v>
      </c>
      <c r="J21" t="n">
        <v>100</v>
      </c>
      <c r="K21" t="n">
        <v>1</v>
      </c>
      <c r="L21" t="n">
        <v>50</v>
      </c>
      <c r="M21" t="n">
        <v>22</v>
      </c>
      <c r="N21" t="b">
        <v>1</v>
      </c>
      <c r="O21">
        <f>SUMPRODUCT((Inputs!$B$3&gt;={44})*{7})</f>
        <v/>
      </c>
      <c r="P21" t="n">
        <v>0</v>
      </c>
      <c r="Q21" t="n">
        <v>0</v>
      </c>
      <c r="R21" t="n">
        <v>0</v>
      </c>
      <c r="S21" t="inlineStr">
        <is>
          <t>ATTACK_SPEED</t>
        </is>
      </c>
      <c r="T21" t="n">
        <v>0</v>
      </c>
      <c r="U21" t="inlineStr"/>
      <c r="V21" t="inlineStr"/>
      <c r="W21" t="inlineStr">
        <is>
          <t>Magic Critical pattern — already baked into Inputs!ATTACK_SPEED%; feeds the 2nd-Job Skill Level Bonus delta. FLAGGED ASSUMPTION (no individual wiki page exists): 'Increases Attack Speed by 5%.' factorIndex 22, baseDamage 50 tenths%. Mastery mapped from Buccaneer's own Agile Knuckles - Speed @44 (+7) slot — both are the class's own AS passive in the same kit-slot role.</t>
        </is>
      </c>
    </row>
    <row r="22">
      <c r="A22" t="inlineStr">
        <is>
          <t>GUN_MASTERY</t>
        </is>
      </c>
      <c r="B22" t="inlineStr">
        <is>
          <t>Gun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FLAGGED ASSUMPTION (no individual wiki page exists): 'Increases Min Damage Multiplier by 15%.' factorIndex 22, baseDamage 150 tenths% — matches Buccaneer's own Knuckle Mastery exactly (same kit-slot role, no mastery bonus in either class).</t>
        </is>
      </c>
    </row>
    <row r="23">
      <c r="A23" t="inlineStr">
        <is>
          <t>PHYSICAL_TRAINING</t>
        </is>
      </c>
      <c r="B23" t="inlineStr">
        <is>
          <t>Physical Training</t>
        </is>
      </c>
      <c r="C23" t="n">
        <v>2</v>
      </c>
      <c r="D23" t="inlineStr"/>
      <c r="E23" t="b">
        <v>0</v>
      </c>
      <c r="F23" t="n">
        <v>1</v>
      </c>
      <c r="G23" t="n">
        <v>1</v>
      </c>
      <c r="H23" t="n">
        <v>0</v>
      </c>
      <c r="I23" t="n">
        <v>0</v>
      </c>
      <c r="J23" t="n">
        <v>100</v>
      </c>
      <c r="K23" t="n">
        <v>1</v>
      </c>
      <c r="L23" t="n">
        <v>100</v>
      </c>
      <c r="M23" t="n">
        <v>22</v>
      </c>
      <c r="N23" t="b">
        <v>1</v>
      </c>
      <c r="O23" t="n">
        <v>0</v>
      </c>
      <c r="P23" t="n">
        <v>0</v>
      </c>
      <c r="Q23" t="n">
        <v>0</v>
      </c>
      <c r="R23" t="n">
        <v>0</v>
      </c>
      <c r="S23" t="inlineStr">
        <is>
          <t>BASIC_ATTACK_DAMAGE</t>
        </is>
      </c>
      <c r="T23" t="n">
        <v>0</v>
      </c>
      <c r="U23" t="inlineStr"/>
      <c r="V23" t="inlineStr"/>
      <c r="W23" t="inlineStr">
        <is>
          <t>Magic Critical pattern — already baked into Inputs!BASIC_ATTACK_DAMAGE%; feeds the 2nd-Job Skill Level Bonus delta. FLAGGED ASSUMPTION (no individual wiki page exists, though byte-identical wording to every other class's own Physical Training): 'Increases Basic Attack Damage by 10%.' factorIndex 22, baseDamage 100 tenths%.</t>
        </is>
      </c>
    </row>
    <row r="24">
      <c r="A24" t="inlineStr">
        <is>
          <t>INFINITY_BLAST_ATK</t>
        </is>
      </c>
      <c r="B24" t="inlineStr">
        <is>
          <t>Infinity Blast</t>
        </is>
      </c>
      <c r="C24" t="n">
        <v>2</v>
      </c>
      <c r="D24" t="inlineStr"/>
      <c r="E24" t="b">
        <v>0</v>
      </c>
      <c r="F24" t="n">
        <v>1</v>
      </c>
      <c r="G24" t="n">
        <v>1</v>
      </c>
      <c r="H24" t="n">
        <v>0</v>
      </c>
      <c r="I24" t="n">
        <v>0</v>
      </c>
      <c r="J24" t="n">
        <v>100</v>
      </c>
      <c r="K24" t="n">
        <v>1</v>
      </c>
      <c r="L24" t="n">
        <v>120</v>
      </c>
      <c r="M24" t="n">
        <v>22</v>
      </c>
      <c r="N24" t="b">
        <v>1</v>
      </c>
      <c r="O24" t="n">
        <v>0</v>
      </c>
      <c r="P24" t="n">
        <v>0</v>
      </c>
      <c r="Q24" t="n">
        <v>0</v>
      </c>
      <c r="R24" t="n">
        <v>0</v>
      </c>
      <c r="S24" t="inlineStr">
        <is>
          <t>ATTACK</t>
        </is>
      </c>
      <c r="T24" t="n">
        <v>0</v>
      </c>
      <c r="U24" t="inlineStr"/>
      <c r="V24" t="inlineStr"/>
      <c r="W24" t="inlineStr">
        <is>
          <t>Magic Critical pattern — already baked into Inputs!ATTACK_PCT (folds into the attack_mult delta bucket, same slot as Buccaneer's own Dark Clarity). FLAGGED ASSUMPTION (no individual wiki page exists): 'Increases Attack by 10%.' PATCHED: 10%-&gt;12% (baseDamage already reflects this). factorIndex 22, baseDamage 120 tenths%.</t>
        </is>
      </c>
    </row>
    <row r="25">
      <c r="A25" t="inlineStr">
        <is>
          <t>FULLMETAL_JACKET_CD</t>
        </is>
      </c>
      <c r="B25" t="inlineStr">
        <is>
          <t>Fullmetal Jacket</t>
        </is>
      </c>
      <c r="C25" t="n">
        <v>3</v>
      </c>
      <c r="D25" t="inlineStr"/>
      <c r="E25" t="b">
        <v>0</v>
      </c>
      <c r="F25" t="n">
        <v>1</v>
      </c>
      <c r="G25" t="n">
        <v>1</v>
      </c>
      <c r="H25" t="n">
        <v>0</v>
      </c>
      <c r="I25" t="n">
        <v>0</v>
      </c>
      <c r="J25" t="n">
        <v>100</v>
      </c>
      <c r="K25" t="n">
        <v>1</v>
      </c>
      <c r="L25" t="n">
        <v>100</v>
      </c>
      <c r="M25" t="n">
        <v>22</v>
      </c>
      <c r="N25" t="b">
        <v>1</v>
      </c>
      <c r="O25" t="n">
        <v>0</v>
      </c>
      <c r="P25" t="n">
        <v>0</v>
      </c>
      <c r="Q25" t="n">
        <v>0</v>
      </c>
      <c r="R25" t="n">
        <v>0</v>
      </c>
      <c r="S25" t="inlineStr">
        <is>
          <t>CRIT_DAMAGE</t>
        </is>
      </c>
      <c r="T25" t="n">
        <v>0</v>
      </c>
      <c r="U25" t="inlineStr"/>
      <c r="V25" t="inlineStr"/>
      <c r="W25" t="inlineStr">
        <is>
          <t>Magic Critical pattern — already baked into Inputs!CRIT_DAMAGE%; feeds the 3rd-Job Skill Level Bonus delta. FLAGGED ASSUMPTION (no individual wiki page exists): 'Increases Critical Damage by 10%.' factorIndex 22, baseDamage 100 tenths%.</t>
        </is>
      </c>
    </row>
    <row r="26">
      <c r="A26" t="inlineStr">
        <is>
          <t>CROSS_CUT_BLAST_FD</t>
        </is>
      </c>
      <c r="B26" t="inlineStr">
        <is>
          <t>Cross Cut Blast</t>
        </is>
      </c>
      <c r="C26" t="n">
        <v>3</v>
      </c>
      <c r="D26" t="inlineStr"/>
      <c r="E26" t="b">
        <v>0</v>
      </c>
      <c r="F26" t="n">
        <v>1</v>
      </c>
      <c r="G26" t="n">
        <v>1</v>
      </c>
      <c r="H26" t="n">
        <v>0</v>
      </c>
      <c r="I26" t="n">
        <v>0</v>
      </c>
      <c r="J26" t="n">
        <v>100</v>
      </c>
      <c r="K26" t="n">
        <v>1</v>
      </c>
      <c r="L26" t="n">
        <v>120</v>
      </c>
      <c r="M26" t="n">
        <v>22</v>
      </c>
      <c r="N26" t="b">
        <v>1</v>
      </c>
      <c r="O26" t="n">
        <v>0</v>
      </c>
      <c r="P26" t="n">
        <v>0</v>
      </c>
      <c r="Q26" t="n">
        <v>0</v>
      </c>
      <c r="R26" t="n">
        <v>0</v>
      </c>
      <c r="S26" t="inlineStr">
        <is>
          <t>FINAL_DAMAGE</t>
        </is>
      </c>
      <c r="T26" t="n">
        <v>0</v>
      </c>
      <c r="U26" t="inlineStr"/>
      <c r="V26" t="inlineStr"/>
      <c r="W26" t="inlineStr">
        <is>
          <t>Magic Critical pattern — already baked into Inputs!FINAL_DAMAGE%; feeds the 3rd-Job Skill Level Bonus delta. FLAGGED ASSUMPTION (no individual wiki page exists): 'Increases Final Damage by 10%.' PATCHED: 10%-&gt;12% (baseDamage already reflects this). factorIndex 22, baseDamage 120 tenths%.</t>
        </is>
      </c>
    </row>
    <row r="27">
      <c r="A27" t="inlineStr">
        <is>
          <t>QUICKDRAW_BAD</t>
        </is>
      </c>
      <c r="B27" t="inlineStr">
        <is>
          <t>Quickdraw</t>
        </is>
      </c>
      <c r="C27" t="n">
        <v>4</v>
      </c>
      <c r="D27" t="inlineStr"/>
      <c r="E27" t="b">
        <v>0</v>
      </c>
      <c r="F27" t="n">
        <v>1</v>
      </c>
      <c r="G27" t="n">
        <v>1</v>
      </c>
      <c r="H27" t="n">
        <v>0</v>
      </c>
      <c r="I27" t="n">
        <v>0</v>
      </c>
      <c r="J27" t="n">
        <v>100</v>
      </c>
      <c r="K27" t="n">
        <v>1</v>
      </c>
      <c r="L27" t="n">
        <v>250</v>
      </c>
      <c r="M27" t="n">
        <v>22</v>
      </c>
      <c r="N27" t="b">
        <v>1</v>
      </c>
      <c r="O27" t="n">
        <v>0</v>
      </c>
      <c r="P27" t="n">
        <v>0</v>
      </c>
      <c r="Q27" t="n">
        <v>0</v>
      </c>
      <c r="R27" t="n">
        <v>0</v>
      </c>
      <c r="S27" t="inlineStr">
        <is>
          <t>BASIC_ATTACK_DAMAGE</t>
        </is>
      </c>
      <c r="T27" t="n">
        <v>0</v>
      </c>
      <c r="U27" t="inlineStr"/>
      <c r="V27" t="inlineStr"/>
      <c r="W27" t="inlineStr">
        <is>
          <t>Magic Critical pattern — already baked into Inputs!BASIC_ATTACK_DAMAGE%; feeds the 4th-Job Skill Level Bonus delta. FLAGGED ASSUMPTION (no individual wiki page exists): only the flat, unconditional 'Increases Basic Attack Damage by 25%' component is modeled here. factorIndex 22, baseDamage 250 tenths%. NOT modeled (out of scope): its own 'every 3rd Eight-Legs Easton cast doubles the damage and reduces Brain Scrambler/Rapid Fire cooldown by 1.5s' proc — no mechanic exists in this project for one skill's cast count to modify another's cooldown, and stacking that on top of an already-assumed kit was judged out of scope for this session.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Fire/Poison Arch Mage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Inputs!$B$19/100)))*(1+(Inputs!$B$24+Summary!$B$21)/100)*(1+Artifacts!$B$34/100)*(1+(IF(Skills!A2="EIGHT_LEGS_EASTON",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t="inlineStr">
        <is>
          <t>1</t>
        </is>
      </c>
      <c r="J3">
        <f>Summary!$B$6*(F3/100)</f>
        <v/>
      </c>
      <c r="K3">
        <f>J3*(1+Summary!$B$7/100)*(1+Inputs!$B$15/100)*(1+Inputs!$B$16/100)*(5000/(6000+Inputs!$B$42*(1-Inputs!$B$19/100)))*(1+(Inputs!$B$24+Summary!$B$21)/100)*(1+Artifacts!$B$34/100)*(1+4.0*IF(C15=TRUE,F15,0)/100)*(1+(IF(Skills!A3="EIGHT_LEGS_EASTON",Inputs!$B$17+Artifacts!$B$40,Inputs!$B$18+Artifacts!$B$39))/100)*(Summary!$B$13*(1+Artifacts!$B$38/100)*I3)</f>
        <v/>
      </c>
      <c r="L3">
        <f>K3*(MIN(Inputs!$B$22,Inputs!$B$23)/100+Inputs!$B$23/100)/2</f>
        <v/>
      </c>
      <c r="M3">
        <f>L3*(1+(Inputs!$B$10+Summary!$B$20+Artifacts!$B$33)/100)</f>
        <v/>
      </c>
      <c r="N3">
        <f>L3*(1-MIN((Inputs!$B$9+Summary!$B$14+Artifacts!$B$32),100)/100)+M3*(MIN((Inputs!$B$9+Summary!$B$14+Artifacts!$B$32),100)/100)</f>
        <v/>
      </c>
      <c r="O3">
        <f>(1-Summary!$B$11)*T3+Summary!$B$11*V3</f>
        <v/>
      </c>
      <c r="P3">
        <f>IF(Summary!$B$3=0,0,O3/Summary!$B$3)</f>
        <v/>
      </c>
      <c r="Q3">
        <f>IFERROR(1/(IF(Inputs!$B$38="pvp",15,MAX(0.1,Skills!D3-IF(Skills!E3=TRUE,Inputs!$B$32,0)))*(1-IF(AND(ArtifactsInput!$M$27,Inputs!$B$4="Chapter Hunt"),CHOOSE(ArtifactsInput!$N$27+1,20,24,28,32,36,40),0)/100)),0)</f>
        <v/>
      </c>
      <c r="R3">
        <f>IF(AND(Inputs!$B$38&lt;&gt;"pvp",Inputs!$B$43&gt;0),IF(MAX(0,Inputs!$B$43-Summary!$B$23)&lt;=0,0,(INT(MAX(0,Inputs!$B$43-Summary!$B$23)/(IF(Inputs!$B$38="pvp",15,MAX(0.1,Skills!D3-IF(Skills!E3=TRUE,Inputs!$B$32,0)))*(1-IF(AND(ArtifactsInput!$M$27,Inputs!$B$4="Chapter Hunt"),CHOOSE(ArtifactsInput!$N$27+1,20,24,28,32,36,40),0)/100)))+1)),0)</f>
        <v/>
      </c>
      <c r="S3">
        <f>IFERROR(O3/N3,0)</f>
        <v/>
      </c>
      <c r="T3">
        <f>IF(C3,(H3*N3*IF(AND(Inputs!$B$38&lt;&gt;"pvp",Inputs!$B$43&gt;0),((Skills!G3*((R3-1)*IF(Skills!H3&gt;0,Skills!I3/Skills!H3,1)+IF(Skills!H3&gt;0,MIN(Skills!I3,MAX(0,MAX(0,Inputs!$B$43-Summary!$B$23)-((R3-1)*(IF(Inputs!$B$38="pvp",15,MAX(0.1,Skills!D3-IF(Skills!E3=TRUE,Inputs!$B$32,0)))*(1-IF(AND(ArtifactsInput!$M$27,Inputs!$B$4="Chapter Hunt"),CHOOSE(ArtifactsInput!$N$27+1,20,24,28,32,36,40),0)/100)))))/Skills!H3,1)))/Inputs!$B$43),G3*Q3))*IF(Inputs!$B$38="pvp",1,1+(Inputs!$B$20+Skills!P3+Summary!$B$15+Artifacts!$B$35)/100)*((((5000/(6000+Inputs!$B$42*(1-(100*(1-(1-Inputs!$B$19/100)*(1-Artifacts!$B$51/100)^IF(Inputs!$B$38="pvp",1,2)))/100)))/(5000/(6000+Inputs!$B$42*(1-Inputs!$B$19/100))))*((L3*(1-MIN(100,(Inputs!$B$9+Summary!$B$14+Artifacts!$B$32)+Artifacts!$B$69)/100)+M3*(MIN(100,(Inputs!$B$9+Summary!$B$14+Artifacts!$B$32)+Artifacts!$B$69)/100))/(L3*(1-MIN(100,(Inputs!$B$9+Summary!$B$14+Artifacts!$B$32))/100)+M3*(MIN(100,(Inputs!$B$9+Summary!$B$14+Artifacts!$B$32))/100)))*(1+Artifacts!$B$81/100))),0)</f>
        <v/>
      </c>
      <c r="V3">
        <f>IF(C3,(H3*N3*IF(AND(Inputs!$B$38&lt;&gt;"pvp",Inputs!$B$43&gt;0),((Skills!G3*((R3-1)*IF(Skills!H3&gt;0,Skills!I3/Skills!H3,1)+IF(Skills!H3&gt;0,MIN(Skills!I3,MAX(0,MAX(0,Inputs!$B$43-Summary!$B$23)-((R3-1)*(IF(Inputs!$B$38="pvp",15,MAX(0.1,Skills!D3-IF(Skills!E3=TRUE,Inputs!$B$32,0)))*(1-IF(AND(ArtifactsInput!$M$27,Inputs!$B$4="Chapter Hunt"),CHOOSE(ArtifactsInput!$N$27+1,20,24,28,32,36,40),0)/100)))))/Skills!H3,1)))/Inputs!$B$43),G3*Q3))*IF(Inputs!$B$38="pvp",1,(1+(Inputs!$B$21+Skills!Q3+Summary!$B$15+Artifacts!$B$80)/100)*(MIN(Skills!R3,Inputs!$B$37)))*((1+Artifacts!$B$53/100)),0)</f>
        <v/>
      </c>
    </row>
    <row r="4">
      <c r="A4">
        <f>Skills!A4</f>
        <v/>
      </c>
      <c r="B4">
        <f>Skills!B4</f>
        <v/>
      </c>
      <c r="C4">
        <f>Inputs!$B$3&gt;=40</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Summary!$B$6*(F4/100)</f>
        <v/>
      </c>
      <c r="K4">
        <f>J4*(1+Summary!$B$7/100)*(1+Inputs!$B$15/100)*(1+Inputs!$B$16/100)*(5000/(6000+Inputs!$B$42*(1-Inputs!$B$19/100)))*(1+(Inputs!$B$24+Summary!$B$21)/100)*(1+Artifacts!$B$34/100)*(1+1.0*IF(C16=TRUE,F16,0)/100)*(1+(IF(Skills!A4="EIGHT_LEGS_EASTON",Inputs!$B$17+Artifacts!$B$40,Inputs!$B$18+Artifacts!$B$39))/100)*(Summary!$B$13*(1+Artifacts!$B$38/100)*I4)</f>
        <v/>
      </c>
      <c r="L4">
        <f>K4*(MIN(Inputs!$B$22,Inputs!$B$23)/100+Inputs!$B$23/100)/2</f>
        <v/>
      </c>
      <c r="M4">
        <f>L4*(1+(Inputs!$B$10+Summary!$B$20+Artifacts!$B$33)/100)</f>
        <v/>
      </c>
      <c r="N4">
        <f>L4*(1-MIN((Inputs!$B$9+Summary!$B$14+Artifacts!$B$32),100)/100)+M4*(MIN((Inputs!$B$9+Summary!$B$14+Artifacts!$B$32),100)/100)</f>
        <v/>
      </c>
      <c r="O4">
        <f>(1-Summary!$B$11)*T4+Summary!$B$11*V4</f>
        <v/>
      </c>
      <c r="P4">
        <f>IF(Summary!$B$3=0,0,O4/Summary!$B$3)</f>
        <v/>
      </c>
      <c r="Q4">
        <f>IFERROR(1/(IF(Inputs!$B$38="pvp",15,MAX(0.1,Skills!D4-IF(Skills!E4=TRUE,Inputs!$B$32,0)))*(1-IF(AND(ArtifactsInput!$M$27,Inputs!$B$4="Chapter Hunt"),CHOOSE(ArtifactsInput!$N$27+1,20,24,28,32,36,40),0)/100)),0)</f>
        <v/>
      </c>
      <c r="R4">
        <f>IF(AND(Inputs!$B$38&lt;&gt;"pvp",Inputs!$B$43&gt;0),IF(MAX(0,Inputs!$B$43-Summary!$B$23)&lt;=0,0,(INT(MAX(0,Inputs!$B$43-Summary!$B$23)/(IF(Inputs!$B$38="pvp",15,MAX(0.1,Skills!D4-IF(Skills!E4=TRUE,Inputs!$B$32,0)))*(1-IF(AND(ArtifactsInput!$M$27,Inputs!$B$4="Chapter Hunt"),CHOOSE(ArtifactsInput!$N$27+1,20,24,28,32,36,40),0)/100)))+1)),0)</f>
        <v/>
      </c>
      <c r="S4">
        <f>IFERROR(O4/N4,0)</f>
        <v/>
      </c>
      <c r="T4">
        <f>IF(C4,(H4*N4*IF(AND(Inputs!$B$38&lt;&gt;"pvp",Inputs!$B$43&gt;0),((Skills!G4*((R4-1)*IF(Skills!H4&gt;0,Skills!I4/Skills!H4,1)+IF(Skills!H4&gt;0,MIN(Skills!I4,MAX(0,MAX(0,Inputs!$B$43-Summary!$B$23)-((R4-1)*(IF(Inputs!$B$38="pvp",15,MAX(0.1,Skills!D4-IF(Skills!E4=TRUE,Inputs!$B$32,0)))*(1-IF(AND(ArtifactsInput!$M$27,Inputs!$B$4="Chapter Hunt"),CHOOSE(ArtifactsInput!$N$27+1,20,24,28,32,36,40),0)/100)))))/Skills!H4,1)))/Inputs!$B$43),G4*Q4))*IF(Inputs!$B$38="pvp",1,1+(Inputs!$B$20+Skills!P4+Summary!$B$15+Artifacts!$B$35)/100)*((((5000/(6000+Inputs!$B$42*(1-(100*(1-(1-Inputs!$B$19/100)*(1-Artifacts!$B$51/100)^IF(Inputs!$B$38="pvp",1,2)))/100)))/(5000/(6000+Inputs!$B$42*(1-Inputs!$B$19/100))))*((L4*(1-MIN(100,(Inputs!$B$9+Summary!$B$14+Artifacts!$B$32)+Artifacts!$B$69)/100)+M4*(MIN(100,(Inputs!$B$9+Summary!$B$14+Artifacts!$B$32)+Artifacts!$B$69)/100))/(L4*(1-MIN(100,(Inputs!$B$9+Summary!$B$14+Artifacts!$B$32))/100)+M4*(MIN(100,(Inputs!$B$9+Summary!$B$14+Artifacts!$B$32))/100)))*(1+Artifacts!$B$81/100))),0)</f>
        <v/>
      </c>
      <c r="V4">
        <f>IF(C4,(H4*N4*IF(AND(Inputs!$B$38&lt;&gt;"pvp",Inputs!$B$43&gt;0),((Skills!G4*((R4-1)*IF(Skills!H4&gt;0,Skills!I4/Skills!H4,1)+IF(Skills!H4&gt;0,MIN(Skills!I4,MAX(0,MAX(0,Inputs!$B$43-Summary!$B$23)-((R4-1)*(IF(Inputs!$B$38="pvp",15,MAX(0.1,Skills!D4-IF(Skills!E4=TRUE,Inputs!$B$32,0)))*(1-IF(AND(ArtifactsInput!$M$27,Inputs!$B$4="Chapter Hunt"),CHOOSE(ArtifactsInput!$N$27+1,20,24,28,32,36,40),0)/100)))))/Skills!H4,1)))/Inputs!$B$43),G4*Q4))*IF(Inputs!$B$38="pvp",1,(1+(Inputs!$B$21+Skills!Q4+Summary!$B$15+Artifacts!$B$80)/100)*(MIN(Skills!R4,Inputs!$B$37)))*((1+Artifacts!$B$53/100)),0)</f>
        <v/>
      </c>
    </row>
    <row r="5">
      <c r="A5">
        <f>Skills!A5</f>
        <v/>
      </c>
      <c r="B5">
        <f>Skills!B5</f>
        <v/>
      </c>
      <c r="C5">
        <f>Inputs!$B$3&gt;=45</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$15/100)*(1+Inputs!$B$16/100)*(5000/(6000+Inputs!$B$42*(1-Inputs!$B$19/100)))*(1+(Inputs!$B$24+Summary!$B$21)/100)*(1+Artifacts!$B$34/100)*(1+0.4*IF(C16=TRUE,F16,0)/100)*(1+(IF(Skills!A5="EIGHT_LEGS_EASTON",Inputs!$B$17+Artifacts!$B$40,Inputs!$B$18+Artifacts!$B$39))/100)*(Summary!$B$13*(1+Artifacts!$B$38/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IFERROR(1/(IF(Inputs!$B$38="pvp",15,MAX(0.1,Skills!D5-IF(Skills!E5=TRUE,Inputs!$B$32,0)))*(1-IF(AND(ArtifactsInput!$M$27,Inputs!$B$4="Chapter Hunt"),CHOOSE(ArtifactsInput!$N$27+1,20,24,28,32,36,40),0)/100)),0)</f>
        <v/>
      </c>
      <c r="R5">
        <f>IF(AND(Inputs!$B$38&lt;&gt;"pvp",Inputs!$B$43&gt;0),IF(MAX(0,Inputs!$B$43-Summary!$B$23)&lt;=0,0,(INT(MAX(0,Inputs!$B$43-Summary!$B$23)/(IF(Inputs!$B$38="pvp",15,MAX(0.1,Skills!D5-IF(Skills!E5=TRUE,Inputs!$B$32,0)))*(1-IF(AND(ArtifactsInput!$M$27,Inputs!$B$4="Chapter Hunt"),CHOOSE(ArtifactsInput!$N$27+1,20,24,28,32,36,40),0)/100)))+1)),0)</f>
        <v/>
      </c>
      <c r="S5">
        <f>IFERROR(O5/N5,0)</f>
        <v/>
      </c>
      <c r="T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$20+Skills!P5+Summary!$B$15+Artifacts!$B$35)/100)*((((5000/(6000+Inputs!$B$42*(1-(100*(1-(1-Inputs!$B$19/100)*(1-Artifacts!$B$51/100)^IF(Inputs!$B$38="pvp",1,2)))/100)))/(5000/(6000+Inputs!$B$42*(1-Inputs!$B$19/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Hunt"),CHOOSE(ArtifactsInput!$N$27+1,20,24,28,32,36,40),0)/100)))))/Skills!H5,1)))/Inputs!$B$43),G5*Q5))*IF(Inputs!$B$38="pvp",1,(1+(Inputs!$B$21+Skills!Q5+Summary!$B$15+Artifacts!$B$80)/100)*(MIN(Skills!R5,Inputs!$B$37)))*((1+Artifacts!$B$53/100)),0)</f>
        <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Inputs!$B$19/100)))*(1+(Inputs!$B$24+Summary!$B$21)/100)*(1+Artifacts!$B$34/100)*(1+2.0*IF(C15=TRUE,F15,0)/100)*(1+(IF(Skills!A6="EIGHT_LEGS_EASTON",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IFERROR(1/(IF(Inputs!$B$38="pvp",15,MAX(0.1,Skills!D6-IF(Skills!E6=TRUE,Inputs!$B$32,0)))*(1-IF(AND(ArtifactsInput!$M$27,Inputs!$B$4="Chapter Hunt"),CHOOSE(ArtifactsInput!$N$27+1,20,24,28,32,36,40),0)/100)),0)</f>
        <v/>
      </c>
      <c r="R6">
        <f>IF(AND(Inputs!$B$38&lt;&gt;"pvp",Inputs!$B$43&gt;0),IF(MAX(0,Inputs!$B$43-Summary!$B$23)&lt;=0,0,(INT(MAX(0,Inputs!$B$43-Summary!$B$23)/(IF(Inputs!$B$38="pvp",15,MAX(0.1,Skills!D6-IF(Skills!E6=TRUE,Inputs!$B$32,0)))*(1-IF(AND(ArtifactsInput!$M$27,Inputs!$B$4="Chapter Hunt"),CHOOSE(ArtifactsInput!$N$27+1,20,24,28,32,36,40),0)/100)))+1)),0)</f>
        <v/>
      </c>
      <c r="S6">
        <f>IFERROR(O6/N6,0)</f>
        <v/>
      </c>
      <c r="T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Hunt"),CHOOSE(ArtifactsInput!$N$27+1,20,24,28,32,36,40),0)/100)))))/Skills!H6,1)))/Inputs!$B$43),G6*Q6))*IF(Inputs!$B$38="pvp",1,(1+(Inputs!$B$21+Skills!Q6+Summary!$B$15+Artifacts!$B$80)/100)*(MIN(Skills!R6,Inputs!$B$37)))*((1+Artifacts!$B$53/100)),0)</f>
        <v/>
      </c>
    </row>
    <row r="7">
      <c r="A7">
        <f>Skills!A7</f>
        <v/>
      </c>
      <c r="B7">
        <f>Skills!B7</f>
        <v/>
      </c>
      <c r="C7">
        <f>Inputs!$B$3&gt;=66</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Summary!$B$6*(F7/100)</f>
        <v/>
      </c>
      <c r="K7">
        <f>J7*(1+Summary!$B$7/100)*(1+Inputs!$B$15/100)*(1+Inputs!$B$16/100)*(5000/(6000+Inputs!$B$42*(1-Inputs!$B$19/100)))*(1+(Inputs!$B$24+Summary!$B$21)/100)*(1+Artifacts!$B$34/100)*(1+1.0*IF(C15=TRUE,F15,0)/100)*(1+(IF(Skills!A7="EIGHT_LEGS_EASTON",Inputs!$B$17+Artifacts!$B$40,Inputs!$B$18+Artifacts!$B$39))/100)*(Summary!$B$13*(1+Artifacts!$B$38/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IFERROR(1/(IF(Inputs!$B$38="pvp",15,MAX(0.1,Skills!D7-IF(Skills!E7=TRUE,Inputs!$B$32,0)))*(1-IF(AND(ArtifactsInput!$M$27,Inputs!$B$4="Chapter Hunt"),CHOOSE(ArtifactsInput!$N$27+1,20,24,28,32,36,40),0)/100)),0)</f>
        <v/>
      </c>
      <c r="R7">
        <f>IF(AND(Inputs!$B$38&lt;&gt;"pvp",Inputs!$B$43&gt;0),IF(MAX(0,Inputs!$B$43-Summary!$B$23)&lt;=0,0,(INT(MAX(0,Inputs!$B$43-Summary!$B$23)/(IF(Inputs!$B$38="pvp",15,MAX(0.1,Skills!D7-IF(Skills!E7=TRUE,Inputs!$B$32,0)))*(1-IF(AND(ArtifactsInput!$M$27,Inputs!$B$4="Chapter Hunt"),CHOOSE(ArtifactsInput!$N$27+1,20,24,28,32,36,40),0)/100)))+1)),0)</f>
        <v/>
      </c>
      <c r="S7">
        <f>IFERROR(O7/N7,0)</f>
        <v/>
      </c>
      <c r="T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$20+Skills!P7+Summary!$B$15+Artifacts!$B$35)/100)*((((5000/(6000+Inputs!$B$42*(1-(100*(1-(1-Inputs!$B$19/100)*(1-Artifacts!$B$51/100)^IF(Inputs!$B$38="pvp",1,2)))/100)))/(5000/(6000+Inputs!$B$42*(1-Inputs!$B$19/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Hunt"),CHOOSE(ArtifactsInput!$N$27+1,20,24,28,32,36,40),0)/100)))))/Skills!H7,1)))/Inputs!$B$43),G7*Q7))*IF(Inputs!$B$38="pvp",1,(1+(Inputs!$B$21+Skills!Q7+Summary!$B$15+Artifacts!$B$80)/100)*(MIN(Skills!R7,Inputs!$B$37)))*((1+Artifacts!$B$53/100)),0)</f>
        <v/>
      </c>
    </row>
    <row r="8">
      <c r="A8">
        <f>Skills!A8</f>
        <v/>
      </c>
      <c r="B8">
        <f>Skills!B8</f>
        <v/>
      </c>
      <c r="C8">
        <f>Inputs!$B$3&gt;=100</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Summary!$B$6*(F8/100)</f>
        <v/>
      </c>
      <c r="K8">
        <f>J8*(1+Summary!$B$7/100)*(1+Inputs!$B$15/100)*(1+Inputs!$B$16/100)*(5000/(6000+Inputs!$B$42*(1-Inputs!$B$19/100)))*(1+(Inputs!$B$24+Summary!$B$21)/100)*(1+Artifacts!$B$34/100)*(1+(IF(Skills!A8="EIGHT_LEGS_EASTON",Inputs!$B$17+Artifacts!$B$40,Inputs!$B$18+Artifacts!$B$39))/100)*(Summary!$B$13*(1+Artifacts!$B$38/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IFERROR(1/(IF(Inputs!$B$38="pvp",15,MAX(0.1,Skills!D8-IF(Skills!E8=TRUE,Inputs!$B$32,0)))*(1-IF(AND(ArtifactsInput!$M$27,Inputs!$B$4="Chapter Hunt"),CHOOSE(ArtifactsInput!$N$27+1,20,24,28,32,36,40),0)/100)),0)</f>
        <v/>
      </c>
      <c r="R8">
        <f>IF(AND(Inputs!$B$38&lt;&gt;"pvp",Inputs!$B$43&gt;0),IF(MAX(0,Inputs!$B$43-Summary!$B$23)&lt;=0,0,(INT(MAX(0,Inputs!$B$43-Summary!$B$23)/(IF(Inputs!$B$38="pvp",15,MAX(0.1,Skills!D8-IF(Skills!E8=TRUE,Inputs!$B$32,0)))*(1-IF(AND(ArtifactsInput!$M$27,Inputs!$B$4="Chapter Hunt"),CHOOSE(ArtifactsInput!$N$27+1,20,24,28,32,36,40),0)/100)))+1)),0)</f>
        <v/>
      </c>
      <c r="S8">
        <f>IFERROR(O8/N8,0)</f>
        <v/>
      </c>
      <c r="T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$20+Skills!P8+Summary!$B$15+Artifacts!$B$35)/100)*((((5000/(6000+Inputs!$B$42*(1-(100*(1-(1-Inputs!$B$19/100)*(1-Artifacts!$B$51/100)^IF(Inputs!$B$38="pvp",1,2)))/100)))/(5000/(6000+Inputs!$B$42*(1-Inputs!$B$19/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Hunt"),CHOOSE(ArtifactsInput!$N$27+1,20,24,28,32,36,40),0)/100)))))/Skills!H8,1)))/Inputs!$B$43),G8*Q8))*IF(Inputs!$B$38="pvp",1,(1+(Inputs!$B$21+Skills!Q8+Summary!$B$15+Artifacts!$B$80)/100)*(MIN(Skills!R8,Inputs!$B$37)))*((1+Artifacts!$B$53/100)),0)</f>
        <v/>
      </c>
    </row>
    <row r="9">
      <c r="A9">
        <f>Skills!A9</f>
        <v/>
      </c>
      <c r="B9">
        <f>Skills!B9</f>
        <v/>
      </c>
      <c r="C9">
        <f>Inputs!$B$3&gt;=103</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Inputs!$B$19/100)))*(1+(Inputs!$B$24+Summary!$B$21)/100)*(1+Artifacts!$B$34/100)*(1+(IF(Skills!A9="EIGHT_LEGS_EASTON",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IFERROR(1/(IF(Inputs!$B$38="pvp",15,MAX(0.1,Skills!D9-IF(Skills!E9=TRUE,Inputs!$B$32,0)))*(1-IF(AND(ArtifactsInput!$M$27,Inputs!$B$4="Chapter Hunt"),CHOOSE(ArtifactsInput!$N$27+1,20,24,28,32,36,40),0)/100)),0)</f>
        <v/>
      </c>
      <c r="R9">
        <f>IF(AND(Inputs!$B$38&lt;&gt;"pvp",Inputs!$B$43&gt;0),IF(MAX(0,Inputs!$B$43-Summary!$B$23)&lt;=0,0,(INT(MAX(0,Inputs!$B$43-Summary!$B$23)/(IF(Inputs!$B$38="pvp",15,MAX(0.1,Skills!D9-IF(Skills!E9=TRUE,Inputs!$B$32,0)))*(1-IF(AND(ArtifactsInput!$M$27,Inputs!$B$4="Chapter Hunt"),CHOOSE(ArtifactsInput!$N$27+1,20,24,28,32,36,40),0)/100)))+1)),0)</f>
        <v/>
      </c>
      <c r="S9">
        <f>IFERROR(O9/N9,0)</f>
        <v/>
      </c>
      <c r="T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Hunt"),CHOOSE(ArtifactsInput!$N$27+1,20,24,28,32,36,40),0)/100)))))/Skills!H9,1)))/Inputs!$B$43),G9*Q9))*IF(Inputs!$B$38="pvp",1,(1+(Inputs!$B$21+Skills!Q9+Summary!$B$15+Artifacts!$B$80)/100)*(MIN(Skills!R9,Inputs!$B$37)))*((1+Artifacts!$B$53/100)),0)</f>
        <v/>
      </c>
    </row>
    <row r="10">
      <c r="A10">
        <f>Skills!A10</f>
        <v/>
      </c>
      <c r="B10">
        <f>Skills!B10</f>
        <v/>
      </c>
      <c r="C10">
        <f>Inputs!$B$3&gt;=113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$15/100)*(1+Inputs!$B$16/100)*(5000/(6000+Inputs!$B$42*(1-Inputs!$B$19/100)))*(1+(Inputs!$B$24+Summary!$B$21)/100)*(1+Artifacts!$B$34/100)*(1+(IF(Skills!A10="EIGHT_LEGS_EASTON",Inputs!$B$17+Artifacts!$B$40,Inputs!$B$18+Artifacts!$B$39))/100)*(Summary!$B$13*(1+Artifacts!$B$38/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f>IFERROR(1/(IF(Inputs!$B$38="pvp",15,MAX(0.1,Skills!D10-IF(Skills!E10=TRUE,Inputs!$B$32,0)))*(1-IF(AND(ArtifactsInput!$M$27,Inputs!$B$4="Chapter Hunt"),CHOOSE(ArtifactsInput!$N$27+1,20,24,28,32,36,40),0)/100)),0)</f>
        <v/>
      </c>
      <c r="R10">
        <f>IF(AND(Inputs!$B$38&lt;&gt;"pvp",Inputs!$B$43&gt;0),IF(MAX(0,Inputs!$B$43-Summary!$B$23)&lt;=0,0,(INT(MAX(0,Inputs!$B$43-Summary!$B$23)/(IF(Inputs!$B$38="pvp",15,MAX(0.1,Skills!D10-IF(Skills!E10=TRUE,Inputs!$B$32,0)))*(1-IF(AND(ArtifactsInput!$M$27,Inputs!$B$4="Chapter Hunt"),CHOOSE(ArtifactsInput!$N$27+1,20,24,28,32,36,40),0)/100)))+1)),0)</f>
        <v/>
      </c>
      <c r="S10">
        <f>IFERROR(O10/N10,0)</f>
        <v/>
      </c>
      <c r="T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Hunt"),CHOOSE(ArtifactsInput!$N$27+1,20,24,28,32,36,40),0)/100)))))/Skills!H10,1)))/Inputs!$B$43),G10*Q10))*IF(Inputs!$B$38="pvp",1,(1+(Inputs!$B$21+Skills!Q10+Summary!$B$15+Artifacts!$B$80)/100)*(MIN(Skills!R10,Inputs!$B$37)))*((1+Artifacts!$B$53/100)),0)</f>
        <v/>
      </c>
    </row>
    <row r="11">
      <c r="A11">
        <f>Skills!A11</f>
        <v/>
      </c>
      <c r="B11">
        <f>Skills!B11</f>
        <v/>
      </c>
      <c r="C11">
        <f>Inputs!$B$3&gt;=107</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Summary!$B$6*(F11/100)</f>
        <v/>
      </c>
      <c r="K11">
        <f>J11*(1+Summary!$B$7/100)*(1+Inputs!$B$15/100)*(1+Inputs!$B$16/100)*(5000/(6000+Inputs!$B$42*(1-Inputs!$B$19/100)))*(1+(Inputs!$B$24+Summary!$B$21)/100)*(1+Artifacts!$B$34/100)*(1+(IF(Skills!A11="EIGHT_LEGS_EASTON",Inputs!$B$17+Artifacts!$B$40,Inputs!$B$18+Artifacts!$B$39))/100)*(Summary!$B$13*(1+Artifacts!$B$38/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IFERROR(1/(IF(Inputs!$B$38="pvp",15,MAX(0.1,Skills!D11-IF(Skills!E11=TRUE,Inputs!$B$32,0)))*(1-IF(AND(ArtifactsInput!$M$27,Inputs!$B$4="Chapter Hunt"),CHOOSE(ArtifactsInput!$N$27+1,20,24,28,32,36,40),0)/100)),0)</f>
        <v/>
      </c>
      <c r="R11">
        <f>IF(AND(Inputs!$B$38&lt;&gt;"pvp",Inputs!$B$43&gt;0),IF(MAX(0,Inputs!$B$43-Summary!$B$23)&lt;=0,0,(INT(MAX(0,Inputs!$B$43-Summary!$B$23)/(IF(Inputs!$B$38="pvp",15,MAX(0.1,Skills!D11-IF(Skills!E11=TRUE,Inputs!$B$32,0)))*(1-IF(AND(ArtifactsInput!$M$27,Inputs!$B$4="Chapter Hunt"),CHOOSE(ArtifactsInput!$N$27+1,20,24,28,32,36,40),0)/100)))+1)),0)</f>
        <v/>
      </c>
      <c r="S11">
        <f>IFERROR(O11/N11,0)</f>
        <v/>
      </c>
      <c r="T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Hunt"),CHOOSE(ArtifactsInput!$N$27+1,20,24,28,32,36,40),0)/100)))))/Skills!H11,1)))/Inputs!$B$43),G11*Q11))*IF(Inputs!$B$38="pvp",1,(1+(Inputs!$B$21+Skills!Q11+Summary!$B$15+Artifacts!$B$80)/100)*(MIN(Skills!R11,Inputs!$B$37)))*((1+Artifacts!$B$53/100)),0)</f>
        <v/>
      </c>
    </row>
    <row r="12">
      <c r="A12">
        <f>Skills!A12</f>
        <v/>
      </c>
      <c r="B12">
        <f>Skills!B12</f>
        <v/>
      </c>
      <c r="C12">
        <f>Inputs!$B$3&gt;=110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f>Summary!$B$6*(F12/100)</f>
        <v/>
      </c>
      <c r="K12">
        <f>J12*(1+Summary!$B$7/100)*(1+Inputs!$B$15/100)*(1+Inputs!$B$16/100)*(5000/(6000+Inputs!$B$42*(1-Inputs!$B$19/100)))*(1+(Inputs!$B$24+Summary!$B$21)/100)*(1+Artifacts!$B$34/100)*(1+(IF(Skills!A12="EIGHT_LEGS_EASTON",Inputs!$B$17+Artifacts!$B$40,Inputs!$B$18+Artifacts!$B$39))/100)*(Summary!$B$13*(1+Artifacts!$B$38/100)*I12)</f>
        <v/>
      </c>
      <c r="L12">
        <f>K12*(MIN(Inputs!$B$22,Inputs!$B$23)/100+Inputs!$B$23/100)/2</f>
        <v/>
      </c>
      <c r="M12">
        <f>L12*(1+(Inputs!$B$10+Summary!$B$20+Artifacts!$B$33)/100)</f>
        <v/>
      </c>
      <c r="N12">
        <f>L12*(1-MIN((Inputs!$B$9+Summary!$B$14+Artifacts!$B$32),100)/100)+M12*(MIN((Inputs!$B$9+Summary!$B$14+Artifacts!$B$32),100)/100)</f>
        <v/>
      </c>
      <c r="O12">
        <f>(1-Summary!$B$11)*T12+Summary!$B$11*V12</f>
        <v/>
      </c>
      <c r="P12">
        <f>IF(Summary!$B$3=0,0,O12/Summary!$B$3)</f>
        <v/>
      </c>
      <c r="Q12">
        <f>IFERROR(1/(IF(Inputs!$B$38="pvp",15,MAX(0.1,Skills!D12-IF(Skills!E12=TRUE,Inputs!$B$32,0)))*(1-IF(AND(ArtifactsInput!$M$27,Inputs!$B$4="Chapter Hunt"),CHOOSE(ArtifactsInput!$N$27+1,20,24,28,32,36,40),0)/100)),0)</f>
        <v/>
      </c>
      <c r="R12">
        <f>IF(AND(Inputs!$B$38&lt;&gt;"pvp",Inputs!$B$43&gt;0),IF(MAX(0,Inputs!$B$43-Summary!$B$23)&lt;=0,0,(INT(MAX(0,Inputs!$B$43-Summary!$B$23)/(IF(Inputs!$B$38="pvp",15,MAX(0.1,Skills!D12-IF(Skills!E12=TRUE,Inputs!$B$32,0)))*(1-IF(AND(ArtifactsInput!$M$27,Inputs!$B$4="Chapter Hunt"),CHOOSE(ArtifactsInput!$N$27+1,20,24,28,32,36,40),0)/100)))+1)),0)</f>
        <v/>
      </c>
      <c r="S12">
        <f>IFERROR(O12/N12,0)</f>
        <v/>
      </c>
      <c r="T12">
        <f>IF(C12,(H12*N12*IF(AND(Inputs!$B$38&lt;&gt;"pvp",Inputs!$B$43&gt;0),((Skills!G12*((R12-1)*IF(Skills!H12&gt;0,Skills!I12/Skills!H12,1)+IF(Skills!H12&gt;0,MIN(Skills!I12,MAX(0,MAX(0,Inputs!$B$43-Summary!$B$23)-((R12-1)*(IF(Inputs!$B$38="pvp",15,MAX(0.1,Skills!D12-IF(Skills!E12=TRUE,Inputs!$B$32,0)))*(1-IF(AND(ArtifactsInput!$M$27,Inputs!$B$4="Chapter Hunt"),CHOOSE(ArtifactsInput!$N$27+1,20,24,28,32,36,40),0)/100)))))/Skills!H12,1)))/Inputs!$B$43),G12*Q12))*IF(Inputs!$B$38="pvp",1,1+(Inputs!$B$20+Skills!P12+Summary!$B$15+Artifacts!$B$35)/100)*((((5000/(6000+Inputs!$B$42*(1-(100*(1-(1-Inputs!$B$19/100)*(1-Artifacts!$B$51/100)^IF(Inputs!$B$38="pvp",1,2)))/100)))/(5000/(6000+Inputs!$B$42*(1-Inputs!$B$19/100))))*((L12*(1-MIN(100,(Inputs!$B$9+Summary!$B$14+Artifacts!$B$32)+Artifacts!$B$69)/100)+M12*(MIN(100,(Inputs!$B$9+Summary!$B$14+Artifacts!$B$32)+Artifacts!$B$69)/100))/(L12*(1-MIN(100,(Inputs!$B$9+Summary!$B$14+Artifacts!$B$32))/100)+M12*(MIN(100,(Inputs!$B$9+Summary!$B$14+Artifacts!$B$32))/100)))*(1+Artifacts!$B$81/100))),0)</f>
        <v/>
      </c>
      <c r="V12">
        <f>IF(C12,(H12*N12*IF(AND(Inputs!$B$38&lt;&gt;"pvp",Inputs!$B$43&gt;0),((Skills!G12*((R12-1)*IF(Skills!H12&gt;0,Skills!I12/Skills!H12,1)+IF(Skills!H12&gt;0,MIN(Skills!I12,MAX(0,MAX(0,Inputs!$B$43-Summary!$B$23)-((R12-1)*(IF(Inputs!$B$38="pvp",15,MAX(0.1,Skills!D12-IF(Skills!E12=TRUE,Inputs!$B$32,0)))*(1-IF(AND(ArtifactsInput!$M$27,Inputs!$B$4="Chapter Hunt"),CHOOSE(ArtifactsInput!$N$27+1,20,24,28,32,36,40),0)/100)))))/Skills!H12,1)))/Inputs!$B$43),G12*Q12))*IF(Inputs!$B$38="pvp",1,(1+(Inputs!$B$21+Skills!Q12+Summary!$B$15+Artifacts!$B$80)/100)*(MIN(Skills!R12,Inputs!$B$37)))*((1+Artifacts!$B$53/100)),0)</f>
        <v/>
      </c>
    </row>
    <row r="13">
      <c r="A13">
        <f>Skills!A13</f>
        <v/>
      </c>
      <c r="B13">
        <f>Skills!B13</f>
        <v/>
      </c>
      <c r="C13">
        <f>Inputs!$B$3&gt;=110</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f>Summary!$B$6*(F13/100)</f>
        <v/>
      </c>
      <c r="K13">
        <f>J13*(1+Summary!$B$7/100)*(1+Inputs!$B$15/100)*(1+Inputs!$B$16/100)*(5000/(6000+Inputs!$B$42*(1-Inputs!$B$19/100)))*(1+(Inputs!$B$24+Summary!$B$21)/100)*(1+Artifacts!$B$34/100)*(1+(IF(Skills!A13="EIGHT_LEGS_EASTON",Inputs!$B$17+Artifacts!$B$40,Inputs!$B$18+Artifacts!$B$39))/100)*(Summary!$B$13*(1+Artifacts!$B$38/100)*I13)</f>
        <v/>
      </c>
      <c r="L13">
        <f>K13*(MIN(Inputs!$B$22,Inputs!$B$23)/100+Inputs!$B$23/100)/2</f>
        <v/>
      </c>
      <c r="M13">
        <f>L13*(1+(Inputs!$B$10+Summary!$B$20+Artifacts!$B$33)/100)</f>
        <v/>
      </c>
      <c r="N13">
        <f>L13*(1-MIN((Inputs!$B$9+Summary!$B$14+Artifacts!$B$32),100)/100)+M13*(MIN((Inputs!$B$9+Summary!$B$14+Artifacts!$B$32),100)/100)</f>
        <v/>
      </c>
      <c r="O13">
        <f>(1-Summary!$B$11)*T13+Summary!$B$11*V13</f>
        <v/>
      </c>
      <c r="P13">
        <f>IF(Summary!$B$3=0,0,O13/Summary!$B$3)</f>
        <v/>
      </c>
      <c r="Q13">
        <f>IFERROR(1/(IF(Inputs!$B$38="pvp",15,MAX(0.1,Skills!D13-IF(Skills!E13=TRUE,Inputs!$B$32,0)))*(1-IF(AND(ArtifactsInput!$M$27,Inputs!$B$4="Chapter Hunt"),CHOOSE(ArtifactsInput!$N$27+1,20,24,28,32,36,40),0)/100)),0)</f>
        <v/>
      </c>
      <c r="R13">
        <f>IF(AND(Inputs!$B$38&lt;&gt;"pvp",Inputs!$B$43&gt;0),IF(MAX(0,Inputs!$B$43-Summary!$B$23)&lt;=0,0,(INT(MAX(0,Inputs!$B$43-Summary!$B$23)/(IF(Inputs!$B$38="pvp",15,MAX(0.1,Skills!D13-IF(Skills!E13=TRUE,Inputs!$B$32,0)))*(1-IF(AND(ArtifactsInput!$M$27,Inputs!$B$4="Chapter Hunt"),CHOOSE(ArtifactsInput!$N$27+1,20,24,28,32,36,40),0)/100)))+1)),0)</f>
        <v/>
      </c>
      <c r="S13">
        <f>IFERROR(O13/N13,0)</f>
        <v/>
      </c>
      <c r="T13">
        <f>IF(C13,(H13*N13*IF(AND(Inputs!$B$38&lt;&gt;"pvp",Inputs!$B$43&gt;0),((Skills!G13*((R13-1)*IF(Skills!H13&gt;0,Skills!I13/Skills!H13,1)+IF(Skills!H13&gt;0,MIN(Skills!I13,MAX(0,MAX(0,Inputs!$B$43-Summary!$B$23)-((R13-1)*(IF(Inputs!$B$38="pvp",15,MAX(0.1,Skills!D13-IF(Skills!E13=TRUE,Inputs!$B$32,0)))*(1-IF(AND(ArtifactsInput!$M$27,Inputs!$B$4="Chapter Hunt"),CHOOSE(ArtifactsInput!$N$27+1,20,24,28,32,36,40),0)/100)))))/Skills!H13,1)))/Inputs!$B$43),G13*Q13))*IF(Inputs!$B$38="pvp",1,1+(Inputs!$B$20+Skills!P13+Summary!$B$15+Artifacts!$B$35)/100)*((((5000/(6000+Inputs!$B$42*(1-(100*(1-(1-Inputs!$B$19/100)*(1-Artifacts!$B$51/100)^IF(Inputs!$B$38="pvp",1,2)))/100)))/(5000/(6000+Inputs!$B$42*(1-Inputs!$B$19/100))))*((L13*(1-MIN(100,(Inputs!$B$9+Summary!$B$14+Artifacts!$B$32)+Artifacts!$B$69)/100)+M13*(MIN(100,(Inputs!$B$9+Summary!$B$14+Artifacts!$B$32)+Artifacts!$B$69)/100))/(L13*(1-MIN(100,(Inputs!$B$9+Summary!$B$14+Artifacts!$B$32))/100)+M13*(MIN(100,(Inputs!$B$9+Summary!$B$14+Artifacts!$B$32))/100)))*(1+Artifacts!$B$81/100))),0)</f>
        <v/>
      </c>
      <c r="V13">
        <f>IF(C13,(H13*N13*IF(AND(Inputs!$B$38&lt;&gt;"pvp",Inputs!$B$43&gt;0),((Skills!G13*((R13-1)*IF(Skills!H13&gt;0,Skills!I13/Skills!H13,1)+IF(Skills!H13&gt;0,MIN(Skills!I13,MAX(0,MAX(0,Inputs!$B$43-Summary!$B$23)-((R13-1)*(IF(Inputs!$B$38="pvp",15,MAX(0.1,Skills!D13-IF(Skills!E13=TRUE,Inputs!$B$32,0)))*(1-IF(AND(ArtifactsInput!$M$27,Inputs!$B$4="Chapter Hunt"),CHOOSE(ArtifactsInput!$N$27+1,20,24,28,32,36,40),0)/100)))))/Skills!H13,1)))/Inputs!$B$43),G13*Q13))*IF(Inputs!$B$38="pvp",1,(1+(Inputs!$B$21+Skills!Q13+Summary!$B$15+Artifacts!$B$80)/100)*(MIN(Skills!R13,Inputs!$B$37)))*((1+Artifacts!$B$53/100)),0)</f>
        <v/>
      </c>
    </row>
    <row r="14">
      <c r="A14">
        <f>Skills!A14</f>
        <v/>
      </c>
      <c r="B14">
        <f>Skills!B14</f>
        <v/>
      </c>
      <c r="C14">
        <f>Inputs!$B$3&gt;=125</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f>Summary!$B$6*(F14/100)</f>
        <v/>
      </c>
      <c r="K14">
        <f>J14*(1+Summary!$B$7/100)*(1+Inputs!$B$15/100)*(1+Inputs!$B$16/100)*(5000/(6000+Inputs!$B$42*(1-Inputs!$B$19/100)))*(1+(Inputs!$B$24+Summary!$B$21)/100)*(1+Artifacts!$B$34/100)*(1+(IF(Skills!A14="EIGHT_LEGS_EASTON",Inputs!$B$17+Artifacts!$B$40,Inputs!$B$18+Artifacts!$B$39))/100)*(Summary!$B$13*(1+Artifacts!$B$38/100)*I14)</f>
        <v/>
      </c>
      <c r="L14">
        <f>K14*(MIN(Inputs!$B$22,Inputs!$B$23)/100+Inputs!$B$23/100)/2</f>
        <v/>
      </c>
      <c r="M14">
        <f>L14*(1+(Inputs!$B$10+Summary!$B$20+Artifacts!$B$33)/100)</f>
        <v/>
      </c>
      <c r="N14">
        <f>L14*(1-MIN((Inputs!$B$9+Summary!$B$14+Artifacts!$B$32),100)/100)+M14*(MIN((Inputs!$B$9+Summary!$B$14+Artifacts!$B$32),100)/100)</f>
        <v/>
      </c>
      <c r="O14">
        <f>(1-Summary!$B$11)*T14+Summary!$B$11*V14</f>
        <v/>
      </c>
      <c r="P14">
        <f>IF(Summary!$B$3=0,0,O14/Summary!$B$3)</f>
        <v/>
      </c>
      <c r="Q14" t="n">
        <v>0</v>
      </c>
      <c r="R14" t="n">
        <v>0</v>
      </c>
      <c r="S14">
        <f>IFERROR(O14/N14,0)</f>
        <v/>
      </c>
      <c r="T14">
        <f>IF(C14,(H14*N14*(Summary!$B$19+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$20+Skills!P14+Summary!$B$15+Artifacts!$B$35)/100)*((((5000/(6000+Inputs!$B$42*(1-(100*(1-(1-Inputs!$B$19/100)*(1-Artifacts!$B$51/100)^IF(Inputs!$B$38="pvp",1,2)))/100)))/(5000/(6000+Inputs!$B$42*(1-Inputs!$B$19/100))))*((L14*(1-MIN(100,(Inputs!$B$9+Summary!$B$14+Artifacts!$B$32)+Artifacts!$B$69)/100)+M14*(MIN(100,(Inputs!$B$9+Summary!$B$14+Artifacts!$B$32)+Artifacts!$B$69)/100))/(L14*(1-MIN(100,(Inputs!$B$9+Summary!$B$14+Artifacts!$B$32))/100)+M14*(MIN(100,(Inputs!$B$9+Summary!$B$14+Artifacts!$B$32))/100)))*(1+Artifacts!$B$81/100))),0)</f>
        <v/>
      </c>
      <c r="V14">
        <f>IF(C14,(H14*N14*(Summary!$B$19+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Hunt"),CHOOSE(ArtifactsInput!$N$27+1,20,24,28,32,36,40),0)/100)))))/Skills!H11,1)))/Inputs!$B$43),G11*Q11)))*IF(Inputs!$B$38="pvp",1,(1+(Inputs!$B$21+Skills!Q14+Summary!$B$15+Artifacts!$B$80)/100)*(MIN(Skills!R14,Inputs!$B$37)))*((1+Artifacts!$B$53/100)),0)</f>
        <v/>
      </c>
    </row>
    <row r="15">
      <c r="A15">
        <f>Skills!A15</f>
        <v/>
      </c>
      <c r="B15">
        <f>Skills!B15</f>
        <v/>
      </c>
      <c r="C15">
        <f>Inputs!$B$3&gt;=100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t="inlineStr"/>
      <c r="H15" t="inlineStr"/>
      <c r="I15" t="inlineStr">
        <is>
          <t>1</t>
        </is>
      </c>
      <c r="J15" t="inlineStr"/>
      <c r="K15" t="inlineStr"/>
      <c r="L15" t="inlineStr"/>
      <c r="M15" t="inlineStr"/>
      <c r="N15" t="inlineStr"/>
      <c r="O15" t="inlineStr"/>
      <c r="P15" t="inlineStr"/>
      <c r="Q15" t="inlineStr"/>
      <c r="R15" t="inlineStr"/>
      <c r="S15" t="inlineStr"/>
    </row>
    <row r="16">
      <c r="A16">
        <f>Skills!A16</f>
        <v/>
      </c>
      <c r="B16">
        <f>Skills!B16</f>
        <v/>
      </c>
      <c r="C16">
        <f>Inputs!$B$3&gt;=120</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t="inlineStr"/>
      <c r="H16" t="inlineStr"/>
      <c r="I16" t="inlineStr">
        <is>
          <t>1</t>
        </is>
      </c>
      <c r="J16" t="inlineStr"/>
      <c r="K16" t="inlineStr"/>
      <c r="L16" t="inlineStr"/>
      <c r="M16" t="inlineStr"/>
      <c r="N16" t="inlineStr"/>
      <c r="O16" t="inlineStr"/>
      <c r="P16" t="inlineStr"/>
      <c r="Q16" t="inlineStr"/>
      <c r="R16" t="inlineStr"/>
      <c r="S16" t="inlineStr"/>
    </row>
    <row r="17">
      <c r="A17">
        <f>Skills!A17</f>
        <v/>
      </c>
      <c r="B17">
        <f>Skills!B17</f>
        <v/>
      </c>
      <c r="C17">
        <f>Inputs!$B$3&gt;=66</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t="n">
        <v>0</v>
      </c>
      <c r="R17" t="n">
        <v>0</v>
      </c>
      <c r="S17">
        <f>IFERROR(O17/N17,0)</f>
        <v/>
      </c>
      <c r="T17" t="n">
        <v>0</v>
      </c>
      <c r="V17" t="n">
        <v>0</v>
      </c>
    </row>
    <row r="18">
      <c r="A18">
        <f>Skills!A18</f>
        <v/>
      </c>
      <c r="B18">
        <f>Skills!B18</f>
        <v/>
      </c>
      <c r="C18">
        <f>Inputs!$B$3&gt;=115</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t="n">
        <v>0</v>
      </c>
      <c r="R18" t="n">
        <v>0</v>
      </c>
      <c r="S18">
        <f>IFERROR(O18/N18,0)</f>
        <v/>
      </c>
      <c r="T18" t="n">
        <v>0</v>
      </c>
      <c r="V18" t="n">
        <v>0</v>
      </c>
    </row>
    <row r="19">
      <c r="A19">
        <f>Skills!A19</f>
        <v/>
      </c>
      <c r="B19">
        <f>Skills!B19</f>
        <v/>
      </c>
      <c r="C19">
        <f>Inputs!$B$3&gt;=15</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t="n">
        <v>0</v>
      </c>
      <c r="R19" t="n">
        <v>0</v>
      </c>
      <c r="S19">
        <f>IFERROR(O19/N19,0)</f>
        <v/>
      </c>
      <c r="T19" t="n">
        <v>0</v>
      </c>
      <c r="V19" t="n">
        <v>0</v>
      </c>
    </row>
    <row r="20">
      <c r="A20">
        <f>Skills!A20</f>
        <v/>
      </c>
      <c r="B20">
        <f>Skills!B20</f>
        <v/>
      </c>
      <c r="C20">
        <f>Inputs!$B$3&gt;=10</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f>IFERROR(O20/N20,0)</f>
        <v/>
      </c>
      <c r="T20" t="n">
        <v>0</v>
      </c>
      <c r="V20" t="n">
        <v>0</v>
      </c>
    </row>
    <row r="21">
      <c r="A21">
        <f>Skills!A21</f>
        <v/>
      </c>
      <c r="B21">
        <f>Skills!B21</f>
        <v/>
      </c>
      <c r="C21">
        <f>Inputs!$B$3&gt;=33</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Inputs!$B$3&gt;=43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Inputs!$B$3&gt;=38</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Inputs!$B$3&gt;=40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Inputs!$B$3&gt;=72</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Inputs!$B$3&gt;=75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row r="27">
      <c r="A27">
        <f>Skills!A27</f>
        <v/>
      </c>
      <c r="B27">
        <f>Skills!B27</f>
        <v/>
      </c>
      <c r="C27">
        <f>Inputs!$B$3&gt;=117</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f>(1-Summary!$B$11)*T27+Summary!$B$11*V27</f>
        <v/>
      </c>
      <c r="P27">
        <f>IF(Summary!$B$3=0,0,O27/Summary!$B$3)</f>
        <v/>
      </c>
      <c r="Q27" t="n">
        <v>0</v>
      </c>
      <c r="R27" t="n">
        <v>0</v>
      </c>
      <c r="S27">
        <f>IFERROR(O27/N27,0)</f>
        <v/>
      </c>
      <c r="T27" t="n">
        <v>0</v>
      </c>
      <c r="V27"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9"/>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Corsair — DPS Summary</t>
        </is>
      </c>
    </row>
    <row r="3">
      <c r="A3" s="10" t="inlineStr">
        <is>
          <t>TOTAL DPS</t>
        </is>
      </c>
      <c r="B3" s="10">
        <f>SUM(Calc!O2:O27)</f>
        <v/>
      </c>
    </row>
    <row r="5">
      <c r="A5" s="9" t="inlineStr">
        <is>
          <t>Derived Values (read-only, computed from Inputs)</t>
        </is>
      </c>
    </row>
    <row r="6">
      <c r="A6" t="inlineStr">
        <is>
          <t>ATTACK (= Flat ATTACK x (1+ATTACK%/100))</t>
        </is>
      </c>
      <c r="B6">
        <f>Inputs!$B$6*(1+Inputs!$B$7/100)</f>
        <v/>
      </c>
    </row>
    <row r="7">
      <c r="A7" t="inlineStr">
        <is>
          <t>STAT_DAMAGE % (= 1% of total STR + 0.25% of DEX)</t>
        </is>
      </c>
      <c r="B7">
        <f>(Inputs!$B$12*(1+Inputs!$B$13/100))*0.01+Inputs!$B$14*0.0025</f>
        <v/>
      </c>
    </row>
    <row r="8">
      <c r="A8" t="inlineStr">
        <is>
          <t>Basic Attack (Eight-Legs Easton)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Eight-Legs Easton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(Roll of the Dice's dice component only)</t>
        </is>
      </c>
      <c r="B13">
        <f>1+(((Calc!C17=TRUE)*Calc!F17)+Artifacts!$B$52)/100</f>
        <v/>
      </c>
    </row>
    <row r="14">
      <c r="A14" t="inlineStr">
        <is>
          <t>Global Crit Rate Bonus % (unused — no live Crit-Rate-buff source exists)</t>
        </is>
      </c>
      <c r="B14" t="n">
        <v>0</v>
      </c>
    </row>
    <row r="15">
      <c r="A15" t="inlineStr">
        <is>
          <t>Global Monster Damage-Taken Bonus % (Peach/Silver artifact bonuses only — no other live source in this kit)</t>
        </is>
      </c>
      <c r="B15">
        <f>Artifacts!$B$36</f>
        <v/>
      </c>
    </row>
    <row r="16">
      <c r="A16" t="inlineStr">
        <is>
          <t>Attack Speed Buff Bonus % (unused — Corsair has no Nimble-Feet-style live AS buff, same as Buccaneer)</t>
        </is>
      </c>
      <c r="B16" t="n">
        <v>0</v>
      </c>
    </row>
    <row r="17">
      <c r="A17" t="inlineStr">
        <is>
          <t>Actions Per Second</t>
        </is>
      </c>
      <c r="B17">
        <f>1+MIN(150,150*(1-(1-Inputs!$B$11/150)*(1-B16/150)))/100</f>
        <v/>
      </c>
    </row>
    <row r="18">
      <c r="A18" t="inlineStr">
        <is>
          <t>Skill + Buff Cast Rate (subtracted from Eight-Legs Easton, 1/s)</t>
        </is>
      </c>
      <c r="B18">
        <f>IF(AND(Inputs!$B$38&lt;&gt;"pvp",Inputs!$B$43&gt;0),SUMPRODUCT((Skills!E2:E27=TRUE)*(Calc!C2:C27=TRUE)*Calc!R2:R27*Skills!F2:F27)/Inputs!$B$43,SUMPRODUCT((Skills!E2:E27=TRUE)*(Calc!C2:C27=TRUE)*Calc!Q2:Q27*Skills!F2:F27))</f>
        <v/>
      </c>
    </row>
    <row r="19">
      <c r="A19" t="inlineStr">
        <is>
          <t>Eight-Legs Easton (Basic Attack) Casts Per Second</t>
        </is>
      </c>
      <c r="B19">
        <f>MAX(0,B17-B18)</f>
        <v/>
      </c>
    </row>
    <row r="20">
      <c r="A20" t="inlineStr">
        <is>
          <t>Global Critical Damage Bonus % (unused — no live Crit-Damage-buff source exists)</t>
        </is>
      </c>
      <c r="B20" t="n">
        <v>0</v>
      </c>
    </row>
    <row r="21">
      <c r="A21" t="inlineStr">
        <is>
          <t>Global Final Damage Bonus % (Jolly Roger only)</t>
        </is>
      </c>
      <c r="B21">
        <f>((Calc!C18=TRUE)*Calc!F18)</f>
        <v/>
      </c>
    </row>
    <row r="22">
      <c r="A22" t="inlineStr">
        <is>
          <t>Eight-Legs Easton (Basic Attack) DPS</t>
        </is>
      </c>
      <c r="B22">
        <f>Calc!O2</f>
        <v/>
      </c>
    </row>
    <row r="23">
      <c r="A23" t="inlineStr">
        <is>
          <t>Buff-Casting Startup Delay (s, before first damage-skill cast; fixed-duration only)</t>
        </is>
      </c>
      <c r="B23">
        <f>IF(AND(Inputs!$B$38&lt;&gt;"pvp",Inputs!$B$43&gt;0),SUMPRODUCT((Skills!T2:T27&gt;0)*(Skills!E2:E27=TRUE)*(Calc!C2:C27=TRUE))/B17,0)</f>
        <v/>
      </c>
    </row>
    <row r="24">
      <c r="A24" t="inlineStr">
        <is>
          <t>Boss-Only Total DPS (Sensitivity baseline)</t>
        </is>
      </c>
      <c r="B24">
        <f>SUM(Calc!T2:T27)</f>
        <v/>
      </c>
    </row>
    <row r="25">
      <c r="A25" t="inlineStr">
        <is>
          <t>Normal-Only Total DPS (Sensitivity baseline)</t>
        </is>
      </c>
      <c r="B25">
        <f>SUM(Calc!V2:V27)</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Calc!B3</f>
        <v/>
      </c>
      <c r="B30">
        <f>Calc!O3</f>
        <v/>
      </c>
      <c r="C30">
        <f>Calc!P3*100</f>
        <v/>
      </c>
    </row>
    <row r="31">
      <c r="A31">
        <f>Calc!B4</f>
        <v/>
      </c>
      <c r="B31">
        <f>Calc!O4</f>
        <v/>
      </c>
      <c r="C31">
        <f>Calc!P4*100</f>
        <v/>
      </c>
    </row>
    <row r="32">
      <c r="A32">
        <f>Calc!B5</f>
        <v/>
      </c>
      <c r="B32">
        <f>Calc!O5</f>
        <v/>
      </c>
      <c r="C32">
        <f>Calc!P5*100</f>
        <v/>
      </c>
    </row>
    <row r="33">
      <c r="A33">
        <f>Calc!B6</f>
        <v/>
      </c>
      <c r="B33">
        <f>Calc!O6</f>
        <v/>
      </c>
      <c r="C33">
        <f>Calc!P6*100</f>
        <v/>
      </c>
    </row>
    <row r="34">
      <c r="A34">
        <f>Calc!B7</f>
        <v/>
      </c>
      <c r="B34">
        <f>Calc!O7</f>
        <v/>
      </c>
      <c r="C34">
        <f>Calc!P7*100</f>
        <v/>
      </c>
    </row>
    <row r="35">
      <c r="A35">
        <f>Calc!B8</f>
        <v/>
      </c>
      <c r="B35">
        <f>Calc!O8</f>
        <v/>
      </c>
      <c r="C35">
        <f>Calc!P8*100</f>
        <v/>
      </c>
    </row>
    <row r="36">
      <c r="A36">
        <f>Calc!B9</f>
        <v/>
      </c>
      <c r="B36">
        <f>Calc!O9</f>
        <v/>
      </c>
      <c r="C36">
        <f>Calc!P9*100</f>
        <v/>
      </c>
    </row>
    <row r="37">
      <c r="A37">
        <f>Calc!B10</f>
        <v/>
      </c>
      <c r="B37">
        <f>Calc!O10</f>
        <v/>
      </c>
      <c r="C37">
        <f>Calc!P10*100</f>
        <v/>
      </c>
    </row>
    <row r="38">
      <c r="A38">
        <f>Calc!B11</f>
        <v/>
      </c>
      <c r="B38">
        <f>Calc!O11</f>
        <v/>
      </c>
      <c r="C38">
        <f>Calc!P11*100</f>
        <v/>
      </c>
    </row>
    <row r="39">
      <c r="A39">
        <f>Calc!B12</f>
        <v/>
      </c>
      <c r="B39">
        <f>Calc!O12</f>
        <v/>
      </c>
      <c r="C39">
        <f>Calc!P12*100</f>
        <v/>
      </c>
    </row>
    <row r="40">
      <c r="A40">
        <f>Calc!B13</f>
        <v/>
      </c>
      <c r="B40">
        <f>Calc!O13</f>
        <v/>
      </c>
      <c r="C40">
        <f>Calc!P13*100</f>
        <v/>
      </c>
    </row>
    <row r="41">
      <c r="A41">
        <f>Calc!B14</f>
        <v/>
      </c>
      <c r="B41">
        <f>Calc!O14</f>
        <v/>
      </c>
      <c r="C41">
        <f>Calc!P14*100</f>
        <v/>
      </c>
    </row>
    <row r="42">
      <c r="A42" s="9" t="inlineStr">
        <is>
          <t>Marginal DPS &amp; Stat Value (see Sensitivity for full detail)</t>
        </is>
      </c>
    </row>
    <row r="44">
      <c r="A44" s="5" t="inlineStr">
        <is>
          <t>Stat</t>
        </is>
      </c>
      <c r="B44" s="5" t="inlineStr">
        <is>
          <t>DPS per +1</t>
        </is>
      </c>
      <c r="C44" s="5" t="inlineStr">
        <is>
          <t>Units per +1% DPS</t>
        </is>
      </c>
    </row>
    <row r="45">
      <c r="A45">
        <f>Sensitivity!A5</f>
        <v/>
      </c>
      <c r="B45">
        <f>Sensitivity!H5</f>
        <v/>
      </c>
      <c r="C45">
        <f>Sensitivity!B5</f>
        <v/>
      </c>
    </row>
    <row r="46">
      <c r="A46">
        <f>Sensitivity!A6</f>
        <v/>
      </c>
      <c r="B46">
        <f>Sensitivity!H6</f>
        <v/>
      </c>
      <c r="C46">
        <f>Sensitivity!B6</f>
        <v/>
      </c>
    </row>
    <row r="47">
      <c r="A47">
        <f>Sensitivity!A7</f>
        <v/>
      </c>
      <c r="B47">
        <f>Sensitivity!H7</f>
        <v/>
      </c>
      <c r="C47">
        <f>Sensitivity!B7</f>
        <v/>
      </c>
    </row>
    <row r="48">
      <c r="A48">
        <f>Sensitivity!A8</f>
        <v/>
      </c>
      <c r="B48">
        <f>Sensitivity!H8</f>
        <v/>
      </c>
      <c r="C48">
        <f>Sensitivity!B8</f>
        <v/>
      </c>
    </row>
    <row r="49">
      <c r="A49">
        <f>Sensitivity!A9</f>
        <v/>
      </c>
      <c r="B49">
        <f>Sensitivity!H9</f>
        <v/>
      </c>
      <c r="C49">
        <f>Sensitivity!B9</f>
        <v/>
      </c>
    </row>
    <row r="50">
      <c r="A50">
        <f>Sensitivity!A10</f>
        <v/>
      </c>
      <c r="B50">
        <f>Sensitivity!H10</f>
        <v/>
      </c>
      <c r="C50">
        <f>Sensitivity!B10</f>
        <v/>
      </c>
    </row>
    <row r="51">
      <c r="A51">
        <f>Sensitivity!A11</f>
        <v/>
      </c>
      <c r="B51">
        <f>Sensitivity!H11</f>
        <v/>
      </c>
      <c r="C51">
        <f>Sensitivity!B11</f>
        <v/>
      </c>
    </row>
    <row r="52">
      <c r="A52">
        <f>Sensitivity!A12</f>
        <v/>
      </c>
      <c r="B52">
        <f>Sensitivity!H12</f>
        <v/>
      </c>
      <c r="C52">
        <f>Sensitivity!B12</f>
        <v/>
      </c>
    </row>
    <row r="53">
      <c r="A53">
        <f>Sensitivity!A13</f>
        <v/>
      </c>
      <c r="B53">
        <f>Sensitivity!H13</f>
        <v/>
      </c>
      <c r="C53">
        <f>Sensitivity!B13</f>
        <v/>
      </c>
    </row>
    <row r="54">
      <c r="A54">
        <f>Sensitivity!A14</f>
        <v/>
      </c>
      <c r="B54">
        <f>Sensitivity!H14</f>
        <v/>
      </c>
      <c r="C54">
        <f>Sensitivity!B14</f>
        <v/>
      </c>
    </row>
    <row r="55">
      <c r="A55">
        <f>Sensitivity!A15</f>
        <v/>
      </c>
      <c r="B55">
        <f>Sensitivity!H15</f>
        <v/>
      </c>
      <c r="C55">
        <f>Sensitivity!B15</f>
        <v/>
      </c>
    </row>
    <row r="56">
      <c r="A56">
        <f>Sensitivity!A16</f>
        <v/>
      </c>
      <c r="B56">
        <f>Sensitivity!H16</f>
        <v/>
      </c>
      <c r="C56">
        <f>Sensitivity!B16</f>
        <v/>
      </c>
    </row>
    <row r="57">
      <c r="A57">
        <f>Sensitivity!A17</f>
        <v/>
      </c>
      <c r="B57">
        <f>Sensitivity!H17</f>
        <v/>
      </c>
      <c r="C57">
        <f>Sensitivity!B17</f>
        <v/>
      </c>
    </row>
    <row r="58">
      <c r="A58">
        <f>Sensitivity!A18</f>
        <v/>
      </c>
      <c r="B58">
        <f>Sensitivity!H18</f>
        <v/>
      </c>
      <c r="C58">
        <f>Sensitivity!B18</f>
        <v/>
      </c>
    </row>
    <row r="59">
      <c r="A59">
        <f>Sensitivity!A19</f>
        <v/>
      </c>
      <c r="B59">
        <f>Sensitivity!H19</f>
        <v/>
      </c>
      <c r="C59">
        <f>Sensitivity!B19</f>
        <v/>
      </c>
    </row>
    <row r="60">
      <c r="A60">
        <f>Sensitivity!A20</f>
        <v/>
      </c>
      <c r="B60">
        <f>Sensitivity!H20</f>
        <v/>
      </c>
      <c r="C60">
        <f>Sensitivity!B20</f>
        <v/>
      </c>
    </row>
    <row r="61">
      <c r="A61">
        <f>Sensitivity!A21</f>
        <v/>
      </c>
      <c r="B61">
        <f>Sensitivity!H21</f>
        <v/>
      </c>
      <c r="C61">
        <f>Sensitivity!B21</f>
        <v/>
      </c>
    </row>
    <row r="62">
      <c r="A62">
        <f>Sensitivity!A22</f>
        <v/>
      </c>
      <c r="B62">
        <f>Sensitivity!H22</f>
        <v/>
      </c>
      <c r="C62">
        <f>Sensitivity!B22</f>
        <v/>
      </c>
    </row>
    <row r="63">
      <c r="A63">
        <f>Sensitivity!A23</f>
        <v/>
      </c>
      <c r="B63">
        <f>Sensitivity!H23</f>
        <v/>
      </c>
      <c r="C63">
        <f>Sensitivity!B23</f>
        <v/>
      </c>
    </row>
    <row r="64">
      <c r="A64">
        <f>Sensitivity!A24</f>
        <v/>
      </c>
      <c r="B64">
        <f>Sensitivity!H24</f>
        <v/>
      </c>
      <c r="C64">
        <f>Sensitivity!B24</f>
        <v/>
      </c>
    </row>
    <row r="65">
      <c r="A65">
        <f>Sensitivity!A25</f>
        <v/>
      </c>
      <c r="B65">
        <f>Sensitivity!H25</f>
        <v/>
      </c>
      <c r="C65">
        <f>Sensitivity!B25</f>
        <v/>
      </c>
    </row>
    <row r="66">
      <c r="A66">
        <f>Sensitivity!A26</f>
        <v/>
      </c>
      <c r="B66">
        <f>Sensitivity!H26</f>
        <v/>
      </c>
      <c r="C66">
        <f>Sensitivity!B26</f>
        <v/>
      </c>
    </row>
    <row r="67">
      <c r="A67">
        <f>Sensitivity!A27</f>
        <v/>
      </c>
      <c r="B67">
        <f>Sensitivity!H27</f>
        <v/>
      </c>
      <c r="C67">
        <f>Sensitivity!B27</f>
        <v/>
      </c>
    </row>
    <row r="68">
      <c r="A68">
        <f>Sensitivity!A28</f>
        <v/>
      </c>
      <c r="B68">
        <f>Sensitivity!H28</f>
        <v/>
      </c>
      <c r="C68">
        <f>Sensitivity!B28</f>
        <v/>
      </c>
    </row>
    <row r="69">
      <c r="A69">
        <f>Sensitivity!A29</f>
        <v/>
      </c>
      <c r="B69">
        <f>Sensitivity!H29</f>
        <v/>
      </c>
      <c r="C69">
        <f>Sensitivity!B29</f>
        <v/>
      </c>
    </row>
    <row r="70">
      <c r="A70">
        <f>Sensitivity!A30</f>
        <v/>
      </c>
      <c r="B70">
        <f>Sensitivity!H30</f>
        <v/>
      </c>
      <c r="C70">
        <f>Sensitivity!B30</f>
        <v/>
      </c>
    </row>
    <row r="71">
      <c r="A71" s="9" t="inlineStr">
        <is>
          <t>Artifact Equip-Toggle DPS Gain, best to worst (see Sensitivity for full detail)</t>
        </is>
      </c>
    </row>
    <row r="73">
      <c r="A73" s="5" t="inlineStr">
        <is>
          <t>Artifact</t>
        </is>
      </c>
      <c r="B73" s="5" t="inlineStr">
        <is>
          <t>DPS Gain</t>
        </is>
      </c>
      <c r="C73" s="5" t="inlineStr">
        <is>
          <t>% Gain</t>
        </is>
      </c>
    </row>
    <row r="74">
      <c r="A74">
        <f>Sensitivity!A33</f>
        <v/>
      </c>
      <c r="B74">
        <f>Sensitivity!B33</f>
        <v/>
      </c>
      <c r="C74">
        <f>Sensitivity!C33</f>
        <v/>
      </c>
    </row>
    <row r="75">
      <c r="A75">
        <f>Sensitivity!A34</f>
        <v/>
      </c>
      <c r="B75">
        <f>Sensitivity!B34</f>
        <v/>
      </c>
      <c r="C75">
        <f>Sensitivity!C34</f>
        <v/>
      </c>
    </row>
    <row r="76">
      <c r="A76">
        <f>Sensitivity!A35</f>
        <v/>
      </c>
      <c r="B76">
        <f>Sensitivity!B35</f>
        <v/>
      </c>
      <c r="C76">
        <f>Sensitivity!C35</f>
        <v/>
      </c>
    </row>
    <row r="77">
      <c r="A77">
        <f>Sensitivity!A36</f>
        <v/>
      </c>
      <c r="B77">
        <f>Sensitivity!B36</f>
        <v/>
      </c>
      <c r="C77">
        <f>Sensitivity!C36</f>
        <v/>
      </c>
    </row>
    <row r="78">
      <c r="A78">
        <f>Sensitivity!A37</f>
        <v/>
      </c>
      <c r="B78">
        <f>Sensitivity!B37</f>
        <v/>
      </c>
      <c r="C78">
        <f>Sensitivity!C37</f>
        <v/>
      </c>
    </row>
    <row r="79">
      <c r="A79">
        <f>Sensitivity!A38</f>
        <v/>
      </c>
      <c r="B79">
        <f>Sensitivity!B38</f>
        <v/>
      </c>
      <c r="C79">
        <f>Sensitivity!C38</f>
        <v/>
      </c>
    </row>
    <row r="80">
      <c r="A80">
        <f>Sensitivity!A39</f>
        <v/>
      </c>
      <c r="B80">
        <f>Sensitivity!B39</f>
        <v/>
      </c>
      <c r="C80">
        <f>Sensitivity!C39</f>
        <v/>
      </c>
    </row>
    <row r="81">
      <c r="A81">
        <f>Sensitivity!A40</f>
        <v/>
      </c>
      <c r="B81">
        <f>Sensitivity!B40</f>
        <v/>
      </c>
      <c r="C81">
        <f>Sensitivity!C40</f>
        <v/>
      </c>
    </row>
    <row r="82">
      <c r="A82">
        <f>Sensitivity!A41</f>
        <v/>
      </c>
      <c r="B82">
        <f>Sensitivity!B41</f>
        <v/>
      </c>
      <c r="C82">
        <f>Sensitivity!C41</f>
        <v/>
      </c>
    </row>
    <row r="83">
      <c r="A83">
        <f>Sensitivity!A42</f>
        <v/>
      </c>
      <c r="B83">
        <f>Sensitivity!B42</f>
        <v/>
      </c>
      <c r="C83">
        <f>Sensitivity!C42</f>
        <v/>
      </c>
    </row>
    <row r="84">
      <c r="A84">
        <f>Sensitivity!A43</f>
        <v/>
      </c>
      <c r="B84">
        <f>Sensitivity!B43</f>
        <v/>
      </c>
      <c r="C84">
        <f>Sensitivity!C43</f>
        <v/>
      </c>
    </row>
    <row r="85">
      <c r="A85">
        <f>Sensitivity!A44</f>
        <v/>
      </c>
      <c r="B85">
        <f>Sensitivity!B44</f>
        <v/>
      </c>
      <c r="C85">
        <f>Sensitivity!C44</f>
        <v/>
      </c>
    </row>
    <row r="86">
      <c r="A86">
        <f>Sensitivity!A45</f>
        <v/>
      </c>
      <c r="B86">
        <f>Sensitivity!B45</f>
        <v/>
      </c>
      <c r="C86">
        <f>Sensitivity!C45</f>
        <v/>
      </c>
    </row>
    <row r="87">
      <c r="A87">
        <f>Sensitivity!A46</f>
        <v/>
      </c>
      <c r="B87">
        <f>Sensitivity!B46</f>
        <v/>
      </c>
      <c r="C87">
        <f>Sensitivity!C46</f>
        <v/>
      </c>
    </row>
    <row r="88">
      <c r="A88">
        <f>Sensitivity!A47</f>
        <v/>
      </c>
      <c r="B88">
        <f>Sensitivity!B47</f>
        <v/>
      </c>
      <c r="C88">
        <f>Sensitivity!C47</f>
        <v/>
      </c>
    </row>
    <row r="89">
      <c r="A89">
        <f>Sensitivity!A48</f>
        <v/>
      </c>
      <c r="B89">
        <f>Sensitivity!B48</f>
        <v/>
      </c>
      <c r="C89">
        <f>Sensitivity!C48</f>
        <v/>
      </c>
    </row>
    <row r="90">
      <c r="A90">
        <f>Sensitivity!A49</f>
        <v/>
      </c>
      <c r="B90">
        <f>Sensitivity!B49</f>
        <v/>
      </c>
      <c r="C90">
        <f>Sensitivity!C49</f>
        <v/>
      </c>
    </row>
    <row r="91">
      <c r="A91">
        <f>Sensitivity!A50</f>
        <v/>
      </c>
      <c r="B91">
        <f>Sensitivity!B50</f>
        <v/>
      </c>
      <c r="C91">
        <f>Sensitivity!C50</f>
        <v/>
      </c>
    </row>
    <row r="92">
      <c r="A92">
        <f>Sensitivity!A51</f>
        <v/>
      </c>
      <c r="B92">
        <f>Sensitivity!B51</f>
        <v/>
      </c>
      <c r="C92">
        <f>Sensitivity!C51</f>
        <v/>
      </c>
    </row>
    <row r="93">
      <c r="A93">
        <f>Sensitivity!A52</f>
        <v/>
      </c>
      <c r="B93">
        <f>Sensitivity!B52</f>
        <v/>
      </c>
      <c r="C93">
        <f>Sensitivity!C52</f>
        <v/>
      </c>
    </row>
    <row r="94">
      <c r="A94">
        <f>Sensitivity!A53</f>
        <v/>
      </c>
      <c r="B94">
        <f>Sensitivity!B53</f>
        <v/>
      </c>
      <c r="C94">
        <f>Sensitivity!C53</f>
        <v/>
      </c>
    </row>
    <row r="95">
      <c r="A95">
        <f>Sensitivity!A54</f>
        <v/>
      </c>
      <c r="B95">
        <f>Sensitivity!B54</f>
        <v/>
      </c>
      <c r="C95">
        <f>Sensitivity!C54</f>
        <v/>
      </c>
    </row>
    <row r="96">
      <c r="A96">
        <f>Sensitivity!A55</f>
        <v/>
      </c>
      <c r="B96">
        <f>Sensitivity!B55</f>
        <v/>
      </c>
      <c r="C96">
        <f>Sensitivity!C55</f>
        <v/>
      </c>
    </row>
    <row r="97">
      <c r="A97">
        <f>Sensitivity!A56</f>
        <v/>
      </c>
      <c r="B97">
        <f>Sensitivity!B56</f>
        <v/>
      </c>
      <c r="C97">
        <f>Sensitivity!C56</f>
        <v/>
      </c>
    </row>
    <row r="98">
      <c r="A98">
        <f>Sensitivity!A57</f>
        <v/>
      </c>
      <c r="B98">
        <f>Sensitivity!B57</f>
        <v/>
      </c>
      <c r="C98">
        <f>Sensitivity!C57</f>
        <v/>
      </c>
    </row>
    <row r="99">
      <c r="A99">
        <f>Sensitivity!A58</f>
        <v/>
      </c>
      <c r="B99">
        <f>Sensitivity!B58</f>
        <v/>
      </c>
      <c r="C99">
        <f>Sensitivity!C58</f>
        <v/>
      </c>
    </row>
    <row r="100">
      <c r="A100">
        <f>Sensitivity!A59</f>
        <v/>
      </c>
      <c r="B100">
        <f>Sensitivity!B59</f>
        <v/>
      </c>
      <c r="C100">
        <f>Sensitivity!C59</f>
        <v/>
      </c>
    </row>
    <row r="101">
      <c r="A101">
        <f>Sensitivity!A60</f>
        <v/>
      </c>
      <c r="B101">
        <f>Sensitivity!B60</f>
        <v/>
      </c>
      <c r="C101">
        <f>Sensitivity!C60</f>
        <v/>
      </c>
    </row>
    <row r="102">
      <c r="A102">
        <f>Sensitivity!A61</f>
        <v/>
      </c>
      <c r="B102">
        <f>Sensitivity!B61</f>
        <v/>
      </c>
      <c r="C102">
        <f>Sensitivity!C61</f>
        <v/>
      </c>
    </row>
    <row r="103">
      <c r="A103">
        <f>Sensitivity!A62</f>
        <v/>
      </c>
      <c r="B103">
        <f>Sensitivity!B62</f>
        <v/>
      </c>
      <c r="C103">
        <f>Sensitivity!C62</f>
        <v/>
      </c>
    </row>
    <row r="104">
      <c r="A104">
        <f>Sensitivity!A63</f>
        <v/>
      </c>
      <c r="B104">
        <f>Sensitivity!B63</f>
        <v/>
      </c>
      <c r="C104">
        <f>Sensitivity!C63</f>
        <v/>
      </c>
    </row>
    <row r="105">
      <c r="A105">
        <f>Sensitivity!A64</f>
        <v/>
      </c>
      <c r="B105">
        <f>Sensitivity!B64</f>
        <v/>
      </c>
      <c r="C105">
        <f>Sensitivity!C64</f>
        <v/>
      </c>
    </row>
    <row r="106">
      <c r="A106">
        <f>Sensitivity!A65</f>
        <v/>
      </c>
      <c r="B106">
        <f>Sensitivity!B65</f>
        <v/>
      </c>
      <c r="C106">
        <f>Sensitivity!C65</f>
        <v/>
      </c>
    </row>
    <row r="107">
      <c r="A107">
        <f>Sensitivity!A66</f>
        <v/>
      </c>
      <c r="B107">
        <f>Sensitivity!B66</f>
        <v/>
      </c>
      <c r="C107">
        <f>Sensitivity!C66</f>
        <v/>
      </c>
    </row>
    <row r="108">
      <c r="A108">
        <f>Sensitivity!A67</f>
        <v/>
      </c>
      <c r="B108">
        <f>Sensitivity!B67</f>
        <v/>
      </c>
      <c r="C108">
        <f>Sensitivity!C67</f>
        <v/>
      </c>
    </row>
    <row r="109">
      <c r="A109">
        <f>Sensitivity!A68</f>
        <v/>
      </c>
      <c r="B109">
        <f>Sensitivity!B68</f>
        <v/>
      </c>
      <c r="C109">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178"/>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DEX</t>
        </is>
      </c>
      <c r="B5">
        <f>IFERROR(1/(I5-100),"n/a")</f>
        <v/>
      </c>
      <c r="C5" t="inlineStr">
        <is>
          <t>flat</t>
        </is>
      </c>
      <c r="D5">
        <f>Inputs!$B$12</f>
        <v/>
      </c>
      <c r="E5">
        <f>(Inputs!$B$12+1)</f>
        <v/>
      </c>
      <c r="F5">
        <f>Summary!$B$3</f>
        <v/>
      </c>
      <c r="G5">
        <f>B111</f>
        <v/>
      </c>
      <c r="H5">
        <f>Summary!$B$3*(((1-Summary!$B$11)*IFERROR(B109/Summary!$B$24,1)+Summary!$B$11*IFERROR(B110/Summary!$B$25,1))-1)</f>
        <v/>
      </c>
      <c r="I5">
        <f>((1-Summary!$B$11)*IFERROR(B109/Summary!$B$24,1)+Summary!$B$11*IFERROR(B110/Summary!$B$25,1))*100</f>
        <v/>
      </c>
    </row>
    <row r="6">
      <c r="A6" t="inlineStr">
        <is>
          <t>DEX %</t>
        </is>
      </c>
      <c r="B6">
        <f>IFERROR(1/(I6-100),"n/a")</f>
        <v/>
      </c>
      <c r="C6" t="inlineStr">
        <is>
          <t>pct</t>
        </is>
      </c>
      <c r="D6">
        <f>Inputs!$B$13</f>
        <v/>
      </c>
      <c r="E6">
        <f>(Inputs!$B$13+1)</f>
        <v/>
      </c>
      <c r="F6">
        <f>Summary!$B$3</f>
        <v/>
      </c>
      <c r="G6">
        <f>B154</f>
        <v/>
      </c>
      <c r="H6">
        <f>Summary!$B$3*(((1-Summary!$B$11)*IFERROR(B152/Summary!$B$24,1)+Summary!$B$11*IFERROR(B153/Summary!$B$25,1))-1)</f>
        <v/>
      </c>
      <c r="I6">
        <f>((1-Summary!$B$11)*IFERROR(B152/Summary!$B$24,1)+Summary!$B$11*IFERROR(B153/Summary!$B$25,1))*100</f>
        <v/>
      </c>
    </row>
    <row r="7">
      <c r="A7" t="inlineStr">
        <is>
          <t>STR</t>
        </is>
      </c>
      <c r="B7">
        <f>IFERROR(1/(I7-100),"n/a")</f>
        <v/>
      </c>
      <c r="C7" t="inlineStr">
        <is>
          <t>flat</t>
        </is>
      </c>
      <c r="D7">
        <f>Inputs!$B$14</f>
        <v/>
      </c>
      <c r="E7">
        <f>(Inputs!$B$14+1)</f>
        <v/>
      </c>
      <c r="F7">
        <f>Summary!$B$3</f>
        <v/>
      </c>
      <c r="G7">
        <f>B197</f>
        <v/>
      </c>
      <c r="H7">
        <f>Summary!$B$3*(((1-Summary!$B$11)*IFERROR(B195/Summary!$B$24,1)+Summary!$B$11*IFERROR(B196/Summary!$B$25,1))-1)</f>
        <v/>
      </c>
      <c r="I7">
        <f>((1-Summary!$B$11)*IFERROR(B195/Summary!$B$24,1)+Summary!$B$11*IFERROR(B196/Summary!$B$25,1))*100</f>
        <v/>
      </c>
    </row>
    <row r="8">
      <c r="A8" t="inlineStr">
        <is>
          <t>DAMAGE %</t>
        </is>
      </c>
      <c r="B8">
        <f>IFERROR(1/(I8-100),"n/a")</f>
        <v/>
      </c>
      <c r="C8" t="inlineStr">
        <is>
          <t>pct</t>
        </is>
      </c>
      <c r="D8">
        <f>Inputs!$B$15</f>
        <v/>
      </c>
      <c r="E8">
        <f>(Inputs!$B$15+1)</f>
        <v/>
      </c>
      <c r="F8">
        <f>Summary!$B$3</f>
        <v/>
      </c>
      <c r="G8">
        <f>B240</f>
        <v/>
      </c>
      <c r="H8">
        <f>Summary!$B$3*(((1-Summary!$B$11)*IFERROR(B238/Summary!$B$24,1)+Summary!$B$11*IFERROR(B239/Summary!$B$25,1))-1)</f>
        <v/>
      </c>
      <c r="I8">
        <f>((1-Summary!$B$11)*IFERROR(B238/Summary!$B$24,1)+Summary!$B$11*IFERROR(B239/Summary!$B$25,1))*100</f>
        <v/>
      </c>
    </row>
    <row r="9">
      <c r="A9" t="inlineStr">
        <is>
          <t>DAMAGE_AMP %</t>
        </is>
      </c>
      <c r="B9">
        <f>IFERROR(1/(I9-100),"n/a")</f>
        <v/>
      </c>
      <c r="C9" t="inlineStr">
        <is>
          <t>pct</t>
        </is>
      </c>
      <c r="D9">
        <f>Inputs!$B$16</f>
        <v/>
      </c>
      <c r="E9">
        <f>(Inputs!$B$16+1)</f>
        <v/>
      </c>
      <c r="F9">
        <f>Summary!$B$3</f>
        <v/>
      </c>
      <c r="G9">
        <f>B283</f>
        <v/>
      </c>
      <c r="H9">
        <f>Summary!$B$3*(((1-Summary!$B$11)*IFERROR(B281/Summary!$B$24,1)+Summary!$B$11*IFERROR(B282/Summary!$B$25,1))-1)</f>
        <v/>
      </c>
      <c r="I9">
        <f>((1-Summary!$B$11)*IFERROR(B281/Summary!$B$24,1)+Summary!$B$11*IFERROR(B282/Summary!$B$25,1))*100</f>
        <v/>
      </c>
    </row>
    <row r="10">
      <c r="A10" t="inlineStr">
        <is>
          <t>BOSS_DAMAGE %</t>
        </is>
      </c>
      <c r="B10">
        <f>IFERROR(1/(I10-100),"n/a")</f>
        <v/>
      </c>
      <c r="C10" t="inlineStr">
        <is>
          <t>pct</t>
        </is>
      </c>
      <c r="D10">
        <f>Inputs!$B$20</f>
        <v/>
      </c>
      <c r="E10">
        <f>(Inputs!$B$20+1)</f>
        <v/>
      </c>
      <c r="F10">
        <f>Summary!$B$3</f>
        <v/>
      </c>
      <c r="G10">
        <f>B326</f>
        <v/>
      </c>
      <c r="H10">
        <f>Summary!$B$3*(((1-Summary!$B$11)*IFERROR(B324/Summary!$B$24,1)+Summary!$B$11*IFERROR(B325/Summary!$B$25,1))-1)</f>
        <v/>
      </c>
      <c r="I10">
        <f>((1-Summary!$B$11)*IFERROR(B324/Summary!$B$24,1)+Summary!$B$11*IFERROR(B325/Summary!$B$25,1))*100</f>
        <v/>
      </c>
    </row>
    <row r="11">
      <c r="A11" t="inlineStr">
        <is>
          <t>NORMAL_DAMAGE %</t>
        </is>
      </c>
      <c r="B11">
        <f>IFERROR(1/(I11-100),"n/a")</f>
        <v/>
      </c>
      <c r="C11" t="inlineStr">
        <is>
          <t>pct</t>
        </is>
      </c>
      <c r="D11">
        <f>Inputs!$B$21</f>
        <v/>
      </c>
      <c r="E11">
        <f>(Inputs!$B$21+1)</f>
        <v/>
      </c>
      <c r="F11">
        <f>Summary!$B$3</f>
        <v/>
      </c>
      <c r="G11">
        <f>B369</f>
        <v/>
      </c>
      <c r="H11">
        <f>Summary!$B$3*(((1-Summary!$B$11)*IFERROR(B367/Summary!$B$24,1)+Summary!$B$11*IFERROR(B368/Summary!$B$25,1))-1)</f>
        <v/>
      </c>
      <c r="I11">
        <f>((1-Summary!$B$11)*IFERROR(B367/Summary!$B$24,1)+Summary!$B$11*IFERROR(B368/Summary!$B$25,1))*100</f>
        <v/>
      </c>
    </row>
    <row r="12">
      <c r="A12" t="inlineStr">
        <is>
          <t>FINAL_DAMAGE % (multiplicative source)</t>
        </is>
      </c>
      <c r="B12">
        <f>IFERROR(1/(I12-100),"n/a")</f>
        <v/>
      </c>
      <c r="C12" t="inlineStr">
        <is>
          <t>mult</t>
        </is>
      </c>
      <c r="D12">
        <f>Inputs!$B$24</f>
        <v/>
      </c>
      <c r="E12">
        <f>((((1+Inputs!$B$24/100)*(1.01))-1)*100)</f>
        <v/>
      </c>
      <c r="F12">
        <f>Summary!$B$3</f>
        <v/>
      </c>
      <c r="G12">
        <f>B412</f>
        <v/>
      </c>
      <c r="H12">
        <f>Summary!$B$3*(((1-Summary!$B$11)*IFERROR(B410/Summary!$B$24,1)+Summary!$B$11*IFERROR(B411/Summary!$B$25,1))-1)</f>
        <v/>
      </c>
      <c r="I12">
        <f>((1-Summary!$B$11)*IFERROR(B410/Summary!$B$24,1)+Summary!$B$11*IFERROR(B411/Summary!$B$25,1))*100</f>
        <v/>
      </c>
    </row>
    <row r="13">
      <c r="A13" t="inlineStr">
        <is>
          <t>MIN_DAMAGE %</t>
        </is>
      </c>
      <c r="B13">
        <f>IFERROR(1/(I13-100),"n/a")</f>
        <v/>
      </c>
      <c r="C13" t="inlineStr">
        <is>
          <t>pct</t>
        </is>
      </c>
      <c r="D13">
        <f>Inputs!$B$22</f>
        <v/>
      </c>
      <c r="E13">
        <f>(Inputs!$B$22+1)</f>
        <v/>
      </c>
      <c r="F13">
        <f>Summary!$B$3</f>
        <v/>
      </c>
      <c r="G13">
        <f>B455</f>
        <v/>
      </c>
      <c r="H13">
        <f>Summary!$B$3*(((1-Summary!$B$11)*IFERROR(B453/Summary!$B$24,1)+Summary!$B$11*IFERROR(B454/Summary!$B$25,1))-1)</f>
        <v/>
      </c>
      <c r="I13">
        <f>((1-Summary!$B$11)*IFERROR(B453/Summary!$B$24,1)+Summary!$B$11*IFERROR(B454/Summary!$B$25,1))*100</f>
        <v/>
      </c>
    </row>
    <row r="14">
      <c r="A14" t="inlineStr">
        <is>
          <t>MAX_DAMAGE %</t>
        </is>
      </c>
      <c r="B14">
        <f>IFERROR(1/(I14-100),"n/a")</f>
        <v/>
      </c>
      <c r="C14" t="inlineStr">
        <is>
          <t>pct</t>
        </is>
      </c>
      <c r="D14">
        <f>Inputs!$B$23</f>
        <v/>
      </c>
      <c r="E14">
        <f>(Inputs!$B$23+1)</f>
        <v/>
      </c>
      <c r="F14">
        <f>Summary!$B$3</f>
        <v/>
      </c>
      <c r="G14">
        <f>B498</f>
        <v/>
      </c>
      <c r="H14">
        <f>Summary!$B$3*(((1-Summary!$B$11)*IFERROR(B496/Summary!$B$24,1)+Summary!$B$11*IFERROR(B497/Summary!$B$25,1))-1)</f>
        <v/>
      </c>
      <c r="I14">
        <f>((1-Summary!$B$11)*IFERROR(B496/Summary!$B$24,1)+Summary!$B$11*IFERROR(B497/Summary!$B$25,1))*100</f>
        <v/>
      </c>
    </row>
    <row r="15">
      <c r="A15" t="inlineStr">
        <is>
          <t>CRIT_RATE %</t>
        </is>
      </c>
      <c r="B15">
        <f>IFERROR(1/(I15-100),"n/a")</f>
        <v/>
      </c>
      <c r="C15" t="inlineStr">
        <is>
          <t>pct</t>
        </is>
      </c>
      <c r="D15">
        <f>Inputs!$B$9</f>
        <v/>
      </c>
      <c r="E15">
        <f>(Inputs!$B$9+1)</f>
        <v/>
      </c>
      <c r="F15">
        <f>Summary!$B$3</f>
        <v/>
      </c>
      <c r="G15">
        <f>B541</f>
        <v/>
      </c>
      <c r="H15">
        <f>Summary!$B$3*(((1-Summary!$B$11)*IFERROR(B539/Summary!$B$24,1)+Summary!$B$11*IFERROR(B540/Summary!$B$25,1))-1)</f>
        <v/>
      </c>
      <c r="I15">
        <f>((1-Summary!$B$11)*IFERROR(B539/Summary!$B$24,1)+Summary!$B$11*IFERROR(B540/Summary!$B$25,1))*100</f>
        <v/>
      </c>
    </row>
    <row r="16">
      <c r="A16" t="inlineStr">
        <is>
          <t>CRIT_DAMAGE %</t>
        </is>
      </c>
      <c r="B16">
        <f>IFERROR(1/(I16-100),"n/a")</f>
        <v/>
      </c>
      <c r="C16" t="inlineStr">
        <is>
          <t>pct</t>
        </is>
      </c>
      <c r="D16">
        <f>Inputs!$B$10</f>
        <v/>
      </c>
      <c r="E16">
        <f>(Inputs!$B$10+1)</f>
        <v/>
      </c>
      <c r="F16">
        <f>Summary!$B$3</f>
        <v/>
      </c>
      <c r="G16">
        <f>B584</f>
        <v/>
      </c>
      <c r="H16">
        <f>Summary!$B$3*(((1-Summary!$B$11)*IFERROR(B582/Summary!$B$24,1)+Summary!$B$11*IFERROR(B583/Summary!$B$25,1))-1)</f>
        <v/>
      </c>
      <c r="I16">
        <f>((1-Summary!$B$11)*IFERROR(B582/Summary!$B$24,1)+Summary!$B$11*IFERROR(B583/Summary!$B$25,1))*100</f>
        <v/>
      </c>
    </row>
    <row r="17">
      <c r="A17" t="inlineStr">
        <is>
          <t>ATTACK_SPEED % (diminishing returns, factor 150)</t>
        </is>
      </c>
      <c r="B17">
        <f>IFERROR(1/(I17-100),"n/a")</f>
        <v/>
      </c>
      <c r="C17" t="inlineStr">
        <is>
          <t>dr150</t>
        </is>
      </c>
      <c r="D17">
        <f>Inputs!$B$11</f>
        <v/>
      </c>
      <c r="E17">
        <f>((1-(1-Inputs!$B$11/150)*(1-1/150))*150)</f>
        <v/>
      </c>
      <c r="F17">
        <f>Summary!$B$3</f>
        <v/>
      </c>
      <c r="G17">
        <f>B627</f>
        <v/>
      </c>
      <c r="H17">
        <f>Summary!$B$3*(((1-Summary!$B$11)*IFERROR(B625/Summary!$B$24,1)+Summary!$B$11*IFERROR(B626/Summary!$B$25,1))-1)</f>
        <v/>
      </c>
      <c r="I17">
        <f>((1-Summary!$B$11)*IFERROR(B625/Summary!$B$24,1)+Summary!$B$11*IFERROR(B626/Summary!$B$25,1))*100</f>
        <v/>
      </c>
    </row>
    <row r="18">
      <c r="A18" t="inlineStr">
        <is>
          <t>DEF_PEN % (diminishing returns, factor 100)</t>
        </is>
      </c>
      <c r="B18">
        <f>IFERROR(1/(I18-100),"n/a")</f>
        <v/>
      </c>
      <c r="C18" t="inlineStr">
        <is>
          <t>dr100</t>
        </is>
      </c>
      <c r="D18">
        <f>Inputs!$B$19</f>
        <v/>
      </c>
      <c r="E18">
        <f>((1-(1-Inputs!$B$19/100)*(1-1/100))*100)</f>
        <v/>
      </c>
      <c r="F18">
        <f>Summary!$B$3</f>
        <v/>
      </c>
      <c r="G18">
        <f>B670</f>
        <v/>
      </c>
      <c r="H18">
        <f>Summary!$B$3*(((1-Summary!$B$11)*IFERROR(B668/Summary!$B$24,1)+Summary!$B$11*IFERROR(B669/Summary!$B$25,1))-1)</f>
        <v/>
      </c>
      <c r="I18">
        <f>((1-Summary!$B$11)*IFERROR(B668/Summary!$B$24,1)+Summary!$B$11*IFERROR(B669/Summary!$B$25,1))*100</f>
        <v/>
      </c>
    </row>
    <row r="19">
      <c r="A19" t="inlineStr">
        <is>
          <t>BASIC_ATTACK_DAMAGE %</t>
        </is>
      </c>
      <c r="B19">
        <f>IFERROR(1/(I19-100),"n/a")</f>
        <v/>
      </c>
      <c r="C19" t="inlineStr">
        <is>
          <t>pct</t>
        </is>
      </c>
      <c r="D19">
        <f>Inputs!$B$17</f>
        <v/>
      </c>
      <c r="E19">
        <f>(Inputs!$B$17+1)</f>
        <v/>
      </c>
      <c r="F19">
        <f>Summary!$B$3</f>
        <v/>
      </c>
      <c r="G19">
        <f>B713</f>
        <v/>
      </c>
      <c r="H19">
        <f>Summary!$B$3*(((1-Summary!$B$11)*IFERROR(B711/Summary!$B$24,1)+Summary!$B$11*IFERROR(B712/Summary!$B$25,1))-1)</f>
        <v/>
      </c>
      <c r="I19">
        <f>((1-Summary!$B$11)*IFERROR(B711/Summary!$B$24,1)+Summary!$B$11*IFERROR(B712/Summary!$B$25,1))*100</f>
        <v/>
      </c>
    </row>
    <row r="20">
      <c r="A20" t="inlineStr">
        <is>
          <t>SKILL_DAMAGE %</t>
        </is>
      </c>
      <c r="B20">
        <f>IFERROR(1/(I20-100),"n/a")</f>
        <v/>
      </c>
      <c r="C20" t="inlineStr">
        <is>
          <t>pct</t>
        </is>
      </c>
      <c r="D20">
        <f>Inputs!$B$18</f>
        <v/>
      </c>
      <c r="E20">
        <f>(Inputs!$B$18+1)</f>
        <v/>
      </c>
      <c r="F20">
        <f>Summary!$B$3</f>
        <v/>
      </c>
      <c r="G20">
        <f>B756</f>
        <v/>
      </c>
      <c r="H20">
        <f>Summary!$B$3*(((1-Summary!$B$11)*IFERROR(B754/Summary!$B$24,1)+Summary!$B$11*IFERROR(B755/Summary!$B$25,1))-1)</f>
        <v/>
      </c>
      <c r="I20">
        <f>((1-Summary!$B$11)*IFERROR(B754/Summary!$B$24,1)+Summary!$B$11*IFERROR(B755/Summary!$B$25,1))*100</f>
        <v/>
      </c>
    </row>
    <row r="21">
      <c r="A21" t="inlineStr">
        <is>
          <t>Skill Level Bonus — 1st Job</t>
        </is>
      </c>
      <c r="B21">
        <f>IFERROR(1/(I21-100),"n/a")</f>
        <v/>
      </c>
      <c r="C21" t="inlineStr">
        <is>
          <t>level</t>
        </is>
      </c>
      <c r="D21">
        <f>Inputs!$B$25</f>
        <v/>
      </c>
      <c r="E21">
        <f>(Inputs!$B$25+1)</f>
        <v/>
      </c>
      <c r="F21">
        <f>Summary!$B$3</f>
        <v/>
      </c>
      <c r="G21">
        <f>B799</f>
        <v/>
      </c>
      <c r="H21">
        <f>Summary!$B$3*(((1-Summary!$B$11)*IFERROR(B797/Summary!$B$24,1)+Summary!$B$11*IFERROR(B798/Summary!$B$25,1))-1)</f>
        <v/>
      </c>
      <c r="I21">
        <f>((1-Summary!$B$11)*IFERROR(B797/Summary!$B$24,1)+Summary!$B$11*IFERROR(B798/Summary!$B$25,1))*100</f>
        <v/>
      </c>
    </row>
    <row r="22">
      <c r="A22" t="inlineStr">
        <is>
          <t>Skill Level Bonus — 2nd Job</t>
        </is>
      </c>
      <c r="B22">
        <f>IFERROR(1/(I22-100),"n/a")</f>
        <v/>
      </c>
      <c r="C22" t="inlineStr">
        <is>
          <t>level</t>
        </is>
      </c>
      <c r="D22">
        <f>Inputs!$B$26</f>
        <v/>
      </c>
      <c r="E22">
        <f>(Inputs!$B$26+1)</f>
        <v/>
      </c>
      <c r="F22">
        <f>Summary!$B$3</f>
        <v/>
      </c>
      <c r="G22">
        <f>B842</f>
        <v/>
      </c>
      <c r="H22">
        <f>Summary!$B$3*(((1-Summary!$B$11)*IFERROR(B840/Summary!$B$24,1)+Summary!$B$11*IFERROR(B841/Summary!$B$25,1))-1)</f>
        <v/>
      </c>
      <c r="I22">
        <f>((1-Summary!$B$11)*IFERROR(B840/Summary!$B$24,1)+Summary!$B$11*IFERROR(B841/Summary!$B$25,1))*100</f>
        <v/>
      </c>
    </row>
    <row r="23">
      <c r="A23" t="inlineStr">
        <is>
          <t>Skill Level Bonus — 3rd Job</t>
        </is>
      </c>
      <c r="B23">
        <f>IFERROR(1/(I23-100),"n/a")</f>
        <v/>
      </c>
      <c r="C23" t="inlineStr">
        <is>
          <t>level</t>
        </is>
      </c>
      <c r="D23">
        <f>Inputs!$B$27</f>
        <v/>
      </c>
      <c r="E23">
        <f>(Inputs!$B$27+1)</f>
        <v/>
      </c>
      <c r="F23">
        <f>Summary!$B$3</f>
        <v/>
      </c>
      <c r="G23">
        <f>B885</f>
        <v/>
      </c>
      <c r="H23">
        <f>Summary!$B$3*(((1-Summary!$B$11)*IFERROR(B883/Summary!$B$24,1)+Summary!$B$11*IFERROR(B884/Summary!$B$25,1))-1)</f>
        <v/>
      </c>
      <c r="I23">
        <f>((1-Summary!$B$11)*IFERROR(B883/Summary!$B$24,1)+Summary!$B$11*IFERROR(B884/Summary!$B$25,1))*100</f>
        <v/>
      </c>
    </row>
    <row r="24">
      <c r="A24" t="inlineStr">
        <is>
          <t>Skill Level Bonus — 4th Job</t>
        </is>
      </c>
      <c r="B24">
        <f>IFERROR(1/(I24-100),"n/a")</f>
        <v/>
      </c>
      <c r="C24" t="inlineStr">
        <is>
          <t>level</t>
        </is>
      </c>
      <c r="D24">
        <f>Inputs!$B$28</f>
        <v/>
      </c>
      <c r="E24">
        <f>(Inputs!$B$28+1)</f>
        <v/>
      </c>
      <c r="F24">
        <f>Summary!$B$3</f>
        <v/>
      </c>
      <c r="G24">
        <f>B928</f>
        <v/>
      </c>
      <c r="H24">
        <f>Summary!$B$3*(((1-Summary!$B$11)*IFERROR(B926/Summary!$B$24,1)+Summary!$B$11*IFERROR(B927/Summary!$B$25,1))-1)</f>
        <v/>
      </c>
      <c r="I24">
        <f>((1-Summary!$B$11)*IFERROR(B926/Summary!$B$24,1)+Summary!$B$11*IFERROR(B927/Summary!$B$25,1))*100</f>
        <v/>
      </c>
    </row>
    <row r="25">
      <c r="A25" t="inlineStr">
        <is>
          <t>Skill Level Bonus — All Skills</t>
        </is>
      </c>
      <c r="B25">
        <f>IFERROR(1/(I25-100),"n/a")</f>
        <v/>
      </c>
      <c r="C25" t="inlineStr">
        <is>
          <t>level</t>
        </is>
      </c>
      <c r="D25">
        <f>Inputs!$B$29</f>
        <v/>
      </c>
      <c r="E25">
        <f>(Inputs!$B$29+1)</f>
        <v/>
      </c>
      <c r="F25">
        <f>Summary!$B$3</f>
        <v/>
      </c>
      <c r="G25">
        <f>B971</f>
        <v/>
      </c>
      <c r="H25">
        <f>Summary!$B$3*(((1-Summary!$B$11)*IFERROR(B969/Summary!$B$24,1)+Summary!$B$11*IFERROR(B970/Summary!$B$25,1))-1)</f>
        <v/>
      </c>
      <c r="I25">
        <f>((1-Summary!$B$11)*IFERROR(B969/Summary!$B$24,1)+Summary!$B$11*IFERROR(B970/Summary!$B$25,1))*100</f>
        <v/>
      </c>
    </row>
    <row r="26">
      <c r="A26" t="inlineStr">
        <is>
          <t>Flat ATTACK</t>
        </is>
      </c>
      <c r="B26">
        <f>IFERROR(1/(I26-100),"n/a")</f>
        <v/>
      </c>
      <c r="C26" t="inlineStr">
        <is>
          <t>flat</t>
        </is>
      </c>
      <c r="D26">
        <f>Inputs!$B$6</f>
        <v/>
      </c>
      <c r="E26">
        <f>(Inputs!$B$6+1)</f>
        <v/>
      </c>
      <c r="F26">
        <f>Summary!$B$3</f>
        <v/>
      </c>
      <c r="G26">
        <f>B1014</f>
        <v/>
      </c>
      <c r="H26">
        <f>Summary!$B$3*(((1-Summary!$B$11)*IFERROR(B1012/Summary!$B$24,1)+Summary!$B$11*IFERROR(B1013/Summary!$B$25,1))-1)</f>
        <v/>
      </c>
      <c r="I26">
        <f>((1-Summary!$B$11)*IFERROR(B1012/Summary!$B$24,1)+Summary!$B$11*IFERROR(B1013/Summary!$B$25,1))*100</f>
        <v/>
      </c>
    </row>
    <row r="27">
      <c r="A27" t="inlineStr">
        <is>
          <t>ATTACK %</t>
        </is>
      </c>
      <c r="B27">
        <f>IFERROR(1/(I27-100),"n/a")</f>
        <v/>
      </c>
      <c r="C27" t="inlineStr">
        <is>
          <t>pct</t>
        </is>
      </c>
      <c r="D27">
        <f>Inputs!$B$7</f>
        <v/>
      </c>
      <c r="E27">
        <f>(Inputs!$B$7+1)</f>
        <v/>
      </c>
      <c r="F27">
        <f>Summary!$B$3</f>
        <v/>
      </c>
      <c r="G27">
        <f>B1057</f>
        <v/>
      </c>
      <c r="H27">
        <f>Summary!$B$3*(((1-Summary!$B$11)*IFERROR(B1055/Summary!$B$24,1)+Summary!$B$11*IFERROR(B1056/Summary!$B$25,1))-1)</f>
        <v/>
      </c>
      <c r="I27">
        <f>((1-Summary!$B$11)*IFERROR(B1055/Summary!$B$24,1)+Summary!$B$11*IFERROR(B1056/Summary!$B$25,1))*100</f>
        <v/>
      </c>
    </row>
    <row r="28">
      <c r="A28" t="inlineStr">
        <is>
          <t>Skill Cooldown Decrease (seconds)</t>
        </is>
      </c>
      <c r="B28">
        <f>IFERROR(1/(I28-100),"n/a")</f>
        <v/>
      </c>
      <c r="C28" t="inlineStr">
        <is>
          <t>flat</t>
        </is>
      </c>
      <c r="D28">
        <f>Inputs!$B$32</f>
        <v/>
      </c>
      <c r="E28">
        <f>(Inputs!$B$32+1)</f>
        <v/>
      </c>
      <c r="F28">
        <f>Summary!$B$3</f>
        <v/>
      </c>
      <c r="G28">
        <f>B1100</f>
        <v/>
      </c>
      <c r="H28">
        <f>Summary!$B$3*(((1-Summary!$B$11)*IFERROR(B1098/Summary!$B$24,1)+Summary!$B$11*IFERROR(B1099/Summary!$B$25,1))-1)</f>
        <v/>
      </c>
      <c r="I28">
        <f>((1-Summary!$B$11)*IFERROR(B1098/Summary!$B$24,1)+Summary!$B$11*IFERROR(B1099/Summary!$B$25,1))*100</f>
        <v/>
      </c>
    </row>
    <row r="29">
      <c r="A29" t="inlineStr">
        <is>
          <t>Basic Attack Target Increase (flat)</t>
        </is>
      </c>
      <c r="B29">
        <f>IFERROR(1/(I29-100),"n/a")</f>
        <v/>
      </c>
      <c r="C29" t="inlineStr">
        <is>
          <t>flat</t>
        </is>
      </c>
      <c r="D29">
        <f>Inputs!$B$33</f>
        <v/>
      </c>
      <c r="E29">
        <f>(Inputs!$B$33+1)</f>
        <v/>
      </c>
      <c r="F29">
        <f>Summary!$B$3</f>
        <v/>
      </c>
      <c r="G29">
        <f>B1143</f>
        <v/>
      </c>
      <c r="H29">
        <f>Summary!$B$3*(((1-Summary!$B$11)*IFERROR(B1141/Summary!$B$24,1)+Summary!$B$11*IFERROR(B1142/Summary!$B$25,1))-1)</f>
        <v/>
      </c>
      <c r="I29">
        <f>((1-Summary!$B$11)*IFERROR(B1141/Summary!$B$24,1)+Summary!$B$11*IFERROR(B1142/Summary!$B$25,1))*100</f>
        <v/>
      </c>
    </row>
    <row r="30">
      <c r="A30" t="inlineStr">
        <is>
          <t>Buff Duration Increase %</t>
        </is>
      </c>
      <c r="B30">
        <f>IFERROR(1/(I30-100),"n/a")</f>
        <v/>
      </c>
      <c r="C30" t="inlineStr">
        <is>
          <t>pct</t>
        </is>
      </c>
      <c r="D30">
        <f>Inputs!$B$34</f>
        <v/>
      </c>
      <c r="E30">
        <f>(Inputs!$B$34+1)</f>
        <v/>
      </c>
      <c r="F30">
        <f>Summary!$B$3</f>
        <v/>
      </c>
      <c r="G30">
        <f>B1186</f>
        <v/>
      </c>
      <c r="H30">
        <f>Summary!$B$3*(((1-Summary!$B$11)*IFERROR(B1184/Summary!$B$24,1)+Summary!$B$11*IFERROR(B1185/Summary!$B$25,1))-1)</f>
        <v/>
      </c>
      <c r="I30">
        <f>((1-Summary!$B$11)*IFERROR(B1184/Summary!$B$24,1)+Summary!$B$11*IFERROR(B1185/Summary!$B$25,1))*100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(IF(ArtifactsInput!$M$5,-1,1)*Summary!$B$3*(((1-Summary!$B$11)*IFERROR(B1227/Summary!$B$24,1)+Summary!$B$11*IFERROR(B1228/Summary!$B$25,1))-1)+ArtifactsInput!$L$5)</f>
        <v/>
      </c>
      <c r="AC33">
        <f>(Summary!$B$3+(IF(ArtifactsInput!$M$5,-1,1)*Summary!$B$3*(((1-Summary!$B$11)*IFERROR(B1227/Summary!$B$24,1)+Summary!$B$11*IFERROR(B1228/Summary!$B$25,1))-1)+ArtifactsInput!$L$5))/Summary!$B$3*100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(IF(ArtifactsInput!$M$6,-1,1)*Summary!$B$3*(((1-Summary!$B$11)*IFERROR(B1270/Summary!$B$24,1)+Summary!$B$11*IFERROR(B1271/Summary!$B$25,1))-1)+ArtifactsInput!$L$6)</f>
        <v/>
      </c>
      <c r="AC34">
        <f>(Summary!$B$3+(IF(ArtifactsInput!$M$6,-1,1)*Summary!$B$3*(((1-Summary!$B$11)*IFERROR(B1270/Summary!$B$24,1)+Summary!$B$11*IFERROR(B1271/Summary!$B$25,1))-1)+ArtifactsInput!$L$6))/Summary!$B$3*100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(IF(ArtifactsInput!$M$7,-1,1)*Summary!$B$3*(((1-Summary!$B$11)*IFERROR(B1313/Summary!$B$24,1)+Summary!$B$11*IFERROR(B1314/Summary!$B$25,1))-1)+ArtifactsInput!$L$7)</f>
        <v/>
      </c>
      <c r="AC35">
        <f>(Summary!$B$3+(IF(ArtifactsInput!$M$7,-1,1)*Summary!$B$3*(((1-Summary!$B$11)*IFERROR(B1313/Summary!$B$24,1)+Summary!$B$11*IFERROR(B1314/Summary!$B$25,1))-1)+ArtifactsInput!$L$7))/Summary!$B$3*100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(IF(ArtifactsInput!$M$8,-1,1)*Summary!$B$3*(((1-Summary!$B$11)*IFERROR(B1356/Summary!$B$24,1)+Summary!$B$11*IFERROR(B1357/Summary!$B$25,1))-1)+ArtifactsInput!$L$8)</f>
        <v/>
      </c>
      <c r="AC36">
        <f>(Summary!$B$3+(IF(ArtifactsInput!$M$8,-1,1)*Summary!$B$3*(((1-Summary!$B$11)*IFERROR(B1356/Summary!$B$24,1)+Summary!$B$11*IFERROR(B1357/Summary!$B$25,1))-1)+ArtifactsInput!$L$8))/Summary!$B$3*100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(IF(ArtifactsInput!$M$10,-1,1)*Summary!$B$3*(((1-Summary!$B$11)*IFERROR(B1399/Summary!$B$24,1)+Summary!$B$11*IFERROR(B1400/Summary!$B$25,1))-1)+ArtifactsInput!$L$10)</f>
        <v/>
      </c>
      <c r="AC37">
        <f>(Summary!$B$3+(IF(ArtifactsInput!$M$10,-1,1)*Summary!$B$3*(((1-Summary!$B$11)*IFERROR(B1399/Summary!$B$24,1)+Summary!$B$11*IFERROR(B1400/Summary!$B$25,1))-1)+ArtifactsInput!$L$10))/Summary!$B$3*100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(IF(ArtifactsInput!$M$11,-1,1)*Summary!$B$3*(((1-Summary!$B$11)*IFERROR(B1442/Summary!$B$24,1)+Summary!$B$11*IFERROR(B1443/Summary!$B$25,1))-1)+ArtifactsInput!$L$11)</f>
        <v/>
      </c>
      <c r="AC38">
        <f>(Summary!$B$3+(IF(ArtifactsInput!$M$11,-1,1)*Summary!$B$3*(((1-Summary!$B$11)*IFERROR(B1442/Summary!$B$24,1)+Summary!$B$11*IFERROR(B1443/Summary!$B$25,1))-1)+ArtifactsInput!$L$11))/Summary!$B$3*100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(IF(ArtifactsInput!$M$12,-1,1)*Summary!$B$3*(((1-Summary!$B$11)*IFERROR(B1485/Summary!$B$24,1)+Summary!$B$11*IFERROR(B1486/Summary!$B$25,1))-1)+ArtifactsInput!$L$12)</f>
        <v/>
      </c>
      <c r="AC39">
        <f>(Summary!$B$3+(IF(ArtifactsInput!$M$12,-1,1)*Summary!$B$3*(((1-Summary!$B$11)*IFERROR(B1485/Summary!$B$24,1)+Summary!$B$11*IFERROR(B1486/Summary!$B$25,1))-1)+ArtifactsInput!$L$12))/Summary!$B$3*100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(IF(ArtifactsInput!$M$13,-1,1)*Summary!$B$3*(((1-Summary!$B$11)*IFERROR(B1528/Summary!$B$24,1)+Summary!$B$11*IFERROR(B1529/Summary!$B$25,1))-1)+ArtifactsInput!$L$13)</f>
        <v/>
      </c>
      <c r="AC40">
        <f>(Summary!$B$3+(IF(ArtifactsInput!$M$13,-1,1)*Summary!$B$3*(((1-Summary!$B$11)*IFERROR(B1528/Summary!$B$24,1)+Summary!$B$11*IFERROR(B1529/Summary!$B$25,1))-1)+ArtifactsInput!$L$13))/Summary!$B$3*100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(IF(ArtifactsInput!$M$14,-1,1)*Summary!$B$3*(((1-Summary!$B$11)*IFERROR(B1571/Summary!$B$24,1)+Summary!$B$11*IFERROR(B1572/Summary!$B$25,1))-1)+ArtifactsInput!$L$14)</f>
        <v/>
      </c>
      <c r="AC41">
        <f>(Summary!$B$3+(IF(ArtifactsInput!$M$14,-1,1)*Summary!$B$3*(((1-Summary!$B$11)*IFERROR(B1571/Summary!$B$24,1)+Summary!$B$11*IFERROR(B1572/Summary!$B$25,1))-1)+ArtifactsInput!$L$14))/Summary!$B$3*100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(IF(ArtifactsInput!$M$15,-1,1)*Summary!$B$3*(((1-Summary!$B$11)*IFERROR(B1614/Summary!$B$24,1)+Summary!$B$11*IFERROR(B1615/Summary!$B$25,1))-1)+ArtifactsInput!$L$15)</f>
        <v/>
      </c>
      <c r="AC42">
        <f>(Summary!$B$3+(IF(ArtifactsInput!$M$15,-1,1)*Summary!$B$3*(((1-Summary!$B$11)*IFERROR(B1614/Summary!$B$24,1)+Summary!$B$11*IFERROR(B1615/Summary!$B$25,1))-1)+ArtifactsInput!$L$15))/Summary!$B$3*100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(IF(ArtifactsInput!$M$16,-1,1)*Summary!$B$3*(((1-Summary!$B$11)*IFERROR(B1657/Summary!$B$24,1)+Summary!$B$11*IFERROR(B1658/Summary!$B$25,1))-1)+ArtifactsInput!$L$16)</f>
        <v/>
      </c>
      <c r="AC43">
        <f>(Summary!$B$3+(IF(ArtifactsInput!$M$16,-1,1)*Summary!$B$3*(((1-Summary!$B$11)*IFERROR(B1657/Summary!$B$24,1)+Summary!$B$11*IFERROR(B1658/Summary!$B$25,1))-1)+ArtifactsInput!$L$16))/Summary!$B$3*100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(IF(ArtifactsInput!$M$17,-1,1)*Summary!$B$3*(((1-Summary!$B$11)*IFERROR(B1700/Summary!$B$24,1)+Summary!$B$11*IFERROR(B1701/Summary!$B$25,1))-1)+ArtifactsInput!$L$17)</f>
        <v/>
      </c>
      <c r="AC44">
        <f>(Summary!$B$3+(IF(ArtifactsInput!$M$17,-1,1)*Summary!$B$3*(((1-Summary!$B$11)*IFERROR(B1700/Summary!$B$24,1)+Summary!$B$11*IFERROR(B1701/Summary!$B$25,1))-1)+ArtifactsInput!$L$17))/Summary!$B$3*100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(IF(ArtifactsInput!$M$18,-1,1)*Summary!$B$3*(((1-Summary!$B$11)*IFERROR(B1743/Summary!$B$24,1)+Summary!$B$11*IFERROR(B1744/Summary!$B$25,1))-1)+ArtifactsInput!$L$18)</f>
        <v/>
      </c>
      <c r="AC45">
        <f>(Summary!$B$3+(IF(ArtifactsInput!$M$18,-1,1)*Summary!$B$3*(((1-Summary!$B$11)*IFERROR(B1743/Summary!$B$24,1)+Summary!$B$11*IFERROR(B1744/Summary!$B$25,1))-1)+ArtifactsInput!$L$18))/Summary!$B$3*100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(IF(ArtifactsInput!$M$20,-1,1)*Summary!$B$3*(((1-Summary!$B$11)*IFERROR(B1786/Summary!$B$24,1)+Summary!$B$11*IFERROR(B1787/Summary!$B$25,1))-1)+ArtifactsInput!$L$20)</f>
        <v/>
      </c>
      <c r="AC46">
        <f>(Summary!$B$3+(IF(ArtifactsInput!$M$20,-1,1)*Summary!$B$3*(((1-Summary!$B$11)*IFERROR(B1786/Summary!$B$24,1)+Summary!$B$11*IFERROR(B1787/Summary!$B$25,1))-1)+ArtifactsInput!$L$20))/Summary!$B$3*100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(IF(ArtifactsInput!$M$21,-1,1)*Summary!$B$3*(((1-Summary!$B$11)*IFERROR(B1829/Summary!$B$24,1)+Summary!$B$11*IFERROR(B1830/Summary!$B$25,1))-1)+ArtifactsInput!$L$21)</f>
        <v/>
      </c>
      <c r="AC47">
        <f>(Summary!$B$3+(IF(ArtifactsInput!$M$21,-1,1)*Summary!$B$3*(((1-Summary!$B$11)*IFERROR(B1829/Summary!$B$24,1)+Summary!$B$11*IFERROR(B1830/Summary!$B$25,1))-1)+ArtifactsInput!$L$21))/Summary!$B$3*100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(IF(ArtifactsInput!$M$22,-1,1)*Summary!$B$3*(((1-Summary!$B$11)*IFERROR(B1872/Summary!$B$24,1)+Summary!$B$11*IFERROR(B1873/Summary!$B$25,1))-1)+ArtifactsInput!$L$22)</f>
        <v/>
      </c>
      <c r="AC48">
        <f>(Summary!$B$3+(IF(ArtifactsInput!$M$22,-1,1)*Summary!$B$3*(((1-Summary!$B$11)*IFERROR(B1872/Summary!$B$24,1)+Summary!$B$11*IFERROR(B1873/Summary!$B$25,1))-1)+ArtifactsInput!$L$22))/Summary!$B$3*100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(IF(ArtifactsInput!$M$23,-1,1)*Summary!$B$3*(((1-Summary!$B$11)*IFERROR(B1915/Summary!$B$24,1)+Summary!$B$11*IFERROR(B1916/Summary!$B$25,1))-1)+ArtifactsInput!$L$23)</f>
        <v/>
      </c>
      <c r="AC49">
        <f>(Summary!$B$3+(IF(ArtifactsInput!$M$23,-1,1)*Summary!$B$3*(((1-Summary!$B$11)*IFERROR(B1915/Summary!$B$24,1)+Summary!$B$11*IFERROR(B1916/Summary!$B$25,1))-1)+ArtifactsInput!$L$23))/Summary!$B$3*100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(IF(ArtifactsInput!$M$24,-1,1)*Summary!$B$3*(((1-Summary!$B$11)*IFERROR(B1958/Summary!$B$24,1)+Summary!$B$11*IFERROR(B1959/Summary!$B$25,1))-1)+ArtifactsInput!$L$24)</f>
        <v/>
      </c>
      <c r="AC50">
        <f>(Summary!$B$3+(IF(ArtifactsInput!$M$24,-1,1)*Summary!$B$3*(((1-Summary!$B$11)*IFERROR(B1958/Summary!$B$24,1)+Summary!$B$11*IFERROR(B1959/Summary!$B$25,1))-1)+ArtifactsInput!$L$24))/Summary!$B$3*100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(IF(ArtifactsInput!$M$25,-1,1)*Summary!$B$3*(((1-Summary!$B$11)*IFERROR(B2001/Summary!$B$24,1)+Summary!$B$11*IFERROR(B2002/Summary!$B$25,1))-1)+ArtifactsInput!$L$25)</f>
        <v/>
      </c>
      <c r="AC51">
        <f>(Summary!$B$3+(IF(ArtifactsInput!$M$25,-1,1)*Summary!$B$3*(((1-Summary!$B$11)*IFERROR(B2001/Summary!$B$24,1)+Summary!$B$11*IFERROR(B2002/Summary!$B$25,1))-1)+ArtifactsInput!$L$25))/Summary!$B$3*100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(IF(ArtifactsInput!$M$26,-1,1)*Summary!$B$3*(((1-Summary!$B$11)*IFERROR(B2044/Summary!$B$24,1)+Summary!$B$11*IFERROR(B2045/Summary!$B$25,1))-1)+ArtifactsInput!$L$26)</f>
        <v/>
      </c>
      <c r="AC52">
        <f>(Summary!$B$3+(IF(ArtifactsInput!$M$26,-1,1)*Summary!$B$3*(((1-Summary!$B$11)*IFERROR(B2044/Summary!$B$24,1)+Summary!$B$11*IFERROR(B2045/Summary!$B$25,1))-1)+ArtifactsInput!$L$26))/Summary!$B$3*100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(IF(ArtifactsInput!$M$27,-1,1)*Summary!$B$3*(((1-Summary!$B$11)*IFERROR(B2087/Summary!$B$24,1)+Summary!$B$11*IFERROR(B2088/Summary!$B$25,1))-1)+ArtifactsInput!$L$27)</f>
        <v/>
      </c>
      <c r="AC53">
        <f>(Summary!$B$3+(IF(ArtifactsInput!$M$27,-1,1)*Summary!$B$3*(((1-Summary!$B$11)*IFERROR(B2087/Summary!$B$24,1)+Summary!$B$11*IFERROR(B2088/Summary!$B$25,1))-1)+ArtifactsInput!$L$27))/Summary!$B$3*100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(IF(ArtifactsInput!$M$28,-1,1)*Summary!$B$3*(((1-Summary!$B$11)*IFERROR(B2130/Summary!$B$24,1)+Summary!$B$11*IFERROR(B2131/Summary!$B$25,1))-1)+ArtifactsInput!$L$28)</f>
        <v/>
      </c>
      <c r="AC54">
        <f>(Summary!$B$3+(IF(ArtifactsInput!$M$28,-1,1)*Summary!$B$3*(((1-Summary!$B$11)*IFERROR(B2130/Summary!$B$24,1)+Summary!$B$11*IFERROR(B2131/Summary!$B$25,1))-1)+ArtifactsInput!$L$28))/Summary!$B$3*100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(IF(ArtifactsInput!$M$29,-1,1)*Summary!$B$3*(((1-Summary!$B$11)*IFERROR(B2173/Summary!$B$24,1)+Summary!$B$11*IFERROR(B2174/Summary!$B$25,1))-1)+ArtifactsInput!$L$29)</f>
        <v/>
      </c>
      <c r="AC55">
        <f>(Summary!$B$3+(IF(ArtifactsInput!$M$29,-1,1)*Summary!$B$3*(((1-Summary!$B$11)*IFERROR(B2173/Summary!$B$24,1)+Summary!$B$11*IFERROR(B2174/Summary!$B$25,1))-1)+ArtifactsInput!$L$29))/Summary!$B$3*100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(IF(ArtifactsInput!$M$30,-1,1)*Summary!$B$3*(((1-Summary!$B$11)*IFERROR(B2216/Summary!$B$24,1)+Summary!$B$11*IFERROR(B2217/Summary!$B$25,1))-1)+ArtifactsInput!$L$30)</f>
        <v/>
      </c>
      <c r="AC56">
        <f>(Summary!$B$3+(IF(ArtifactsInput!$M$30,-1,1)*Summary!$B$3*(((1-Summary!$B$11)*IFERROR(B2216/Summary!$B$24,1)+Summary!$B$11*IFERROR(B2217/Summary!$B$25,1))-1)+ArtifactsInput!$L$30))/Summary!$B$3*100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(IF(ArtifactsInput!$M$31,-1,1)*Summary!$B$3*(((1-Summary!$B$11)*IFERROR(B2259/Summary!$B$24,1)+Summary!$B$11*IFERROR(B2260/Summary!$B$25,1))-1)+ArtifactsInput!$L$31)</f>
        <v/>
      </c>
      <c r="AC57">
        <f>(Summary!$B$3+(IF(ArtifactsInput!$M$31,-1,1)*Summary!$B$3*(((1-Summary!$B$11)*IFERROR(B2259/Summary!$B$24,1)+Summary!$B$11*IFERROR(B2260/Summary!$B$25,1))-1)+ArtifactsInput!$L$31))/Summary!$B$3*100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(IF(ArtifactsInput!$M$32,-1,1)*Summary!$B$3*(((1-Summary!$B$11)*IFERROR(B2302/Summary!$B$24,1)+Summary!$B$11*IFERROR(B2303/Summary!$B$25,1))-1)+ArtifactsInput!$L$32)</f>
        <v/>
      </c>
      <c r="AC58">
        <f>(Summary!$B$3+(IF(ArtifactsInput!$M$32,-1,1)*Summary!$B$3*(((1-Summary!$B$11)*IFERROR(B2302/Summary!$B$24,1)+Summary!$B$11*IFERROR(B2303/Summary!$B$25,1))-1)+ArtifactsInput!$L$32))/Summary!$B$3*100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(IF(ArtifactsInput!$M$33,-1,1)*Summary!$B$3*(((1-Summary!$B$11)*IFERROR(B2345/Summary!$B$24,1)+Summary!$B$11*IFERROR(B2346/Summary!$B$25,1))-1)+ArtifactsInput!$L$33)</f>
        <v/>
      </c>
      <c r="AC59">
        <f>(Summary!$B$3+(IF(ArtifactsInput!$M$33,-1,1)*Summary!$B$3*(((1-Summary!$B$11)*IFERROR(B2345/Summary!$B$24,1)+Summary!$B$11*IFERROR(B2346/Summary!$B$25,1))-1)+ArtifactsInput!$L$33))/Summary!$B$3*100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(IF(ArtifactsInput!$M$34,-1,1)*Summary!$B$3*(((1-Summary!$B$11)*IFERROR(B2388/Summary!$B$24,1)+Summary!$B$11*IFERROR(B2389/Summary!$B$25,1))-1)+ArtifactsInput!$L$34)</f>
        <v/>
      </c>
      <c r="AC60">
        <f>(Summary!$B$3+(IF(ArtifactsInput!$M$34,-1,1)*Summary!$B$3*(((1-Summary!$B$11)*IFERROR(B2388/Summary!$B$24,1)+Summary!$B$11*IFERROR(B2389/Summary!$B$25,1))-1)+ArtifactsInput!$L$34))/Summary!$B$3*100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(IF(ArtifactsInput!$M$35,-1,1)*Summary!$B$3*(((1-Summary!$B$11)*IFERROR(B2431/Summary!$B$24,1)+Summary!$B$11*IFERROR(B2432/Summary!$B$25,1))-1)+ArtifactsInput!$L$35)</f>
        <v/>
      </c>
      <c r="AC61">
        <f>(Summary!$B$3+(IF(ArtifactsInput!$M$35,-1,1)*Summary!$B$3*(((1-Summary!$B$11)*IFERROR(B2431/Summary!$B$24,1)+Summary!$B$11*IFERROR(B2432/Summary!$B$25,1))-1)+ArtifactsInput!$L$35))/Summary!$B$3*100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(IF(ArtifactsInput!$M$36,-1,1)*Summary!$B$3*(((1-Summary!$B$11)*IFERROR(B2474/Summary!$B$24,1)+Summary!$B$11*IFERROR(B2475/Summary!$B$25,1))-1)+ArtifactsInput!$L$36)</f>
        <v/>
      </c>
      <c r="AC62">
        <f>(Summary!$B$3+(IF(ArtifactsInput!$M$36,-1,1)*Summary!$B$3*(((1-Summary!$B$11)*IFERROR(B2474/Summary!$B$24,1)+Summary!$B$11*IFERROR(B2475/Summary!$B$25,1))-1)+ArtifactsInput!$L$36))/Summary!$B$3*100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(IF(ArtifactsInput!$M$37,-1,1)*Summary!$B$3*(((1-Summary!$B$11)*IFERROR(B2517/Summary!$B$24,1)+Summary!$B$11*IFERROR(B2518/Summary!$B$25,1))-1)+ArtifactsInput!$L$37)</f>
        <v/>
      </c>
      <c r="AC63">
        <f>(Summary!$B$3+(IF(ArtifactsInput!$M$37,-1,1)*Summary!$B$3*(((1-Summary!$B$11)*IFERROR(B2517/Summary!$B$24,1)+Summary!$B$11*IFERROR(B2518/Summary!$B$25,1))-1)+ArtifactsInput!$L$37))/Summary!$B$3*100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(IF(ArtifactsInput!$M$38,-1,1)*Summary!$B$3*(((1-Summary!$B$11)*IFERROR(B2560/Summary!$B$24,1)+Summary!$B$11*IFERROR(B2561/Summary!$B$25,1))-1)+ArtifactsInput!$L$38)</f>
        <v/>
      </c>
      <c r="AC64">
        <f>(Summary!$B$3+(IF(ArtifactsInput!$M$38,-1,1)*Summary!$B$3*(((1-Summary!$B$11)*IFERROR(B2560/Summary!$B$24,1)+Summary!$B$11*IFERROR(B2561/Summary!$B$25,1))-1)+ArtifactsInput!$L$38))/Summary!$B$3*100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(IF(ArtifactsInput!$M$39,-1,1)*Summary!$B$3*(((1-Summary!$B$11)*IFERROR(B2603/Summary!$B$24,1)+Summary!$B$11*IFERROR(B2604/Summary!$B$25,1))-1)+ArtifactsInput!$L$39)</f>
        <v/>
      </c>
      <c r="AC65">
        <f>(Summary!$B$3+(IF(ArtifactsInput!$M$39,-1,1)*Summary!$B$3*(((1-Summary!$B$11)*IFERROR(B2603/Summary!$B$24,1)+Summary!$B$11*IFERROR(B2604/Summary!$B$25,1))-1)+ArtifactsInput!$L$39))/Summary!$B$3*100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(IF(ArtifactsInput!$M$40,-1,1)*Summary!$B$3*(((1-Summary!$B$11)*IFERROR(B2646/Summary!$B$24,1)+Summary!$B$11*IFERROR(B2647/Summary!$B$25,1))-1)+ArtifactsInput!$L$40)</f>
        <v/>
      </c>
      <c r="AC66">
        <f>(Summary!$B$3+(IF(ArtifactsInput!$M$40,-1,1)*Summary!$B$3*(((1-Summary!$B$11)*IFERROR(B2646/Summary!$B$24,1)+Summary!$B$11*IFERROR(B2647/Summary!$B$25,1))-1)+ArtifactsInput!$L$40))/Summary!$B$3*100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(IF(ArtifactsInput!$M$41,-1,1)*Summary!$B$3*(((1-Summary!$B$11)*IFERROR(B2689/Summary!$B$24,1)+Summary!$B$11*IFERROR(B2690/Summary!$B$25,1))-1)+ArtifactsInput!$L$41)</f>
        <v/>
      </c>
      <c r="AC67">
        <f>(Summary!$B$3+(IF(ArtifactsInput!$M$41,-1,1)*Summary!$B$3*(((1-Summary!$B$11)*IFERROR(B2689/Summary!$B$24,1)+Summary!$B$11*IFERROR(B2690/Summary!$B$25,1))-1)+ArtifactsInput!$L$41))/Summary!$B$3*100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(IF(ArtifactsInput!$M$42,-1,1)*Summary!$B$3*(((1-Summary!$B$11)*IFERROR(B2732/Summary!$B$24,1)+Summary!$B$11*IFERROR(B2733/Summary!$B$25,1))-1)+ArtifactsInput!$L$42)</f>
        <v/>
      </c>
      <c r="AC68">
        <f>(Summary!$B$3+(IF(ArtifactsInput!$M$42,-1,1)*Summary!$B$3*(((1-Summary!$B$11)*IFERROR(B2732/Summary!$B$24,1)+Summary!$B$11*IFERROR(B2733/Summary!$B$25,1))-1)+ArtifactsInput!$L$42))/Summary!$B$3*100</f>
        <v/>
      </c>
      <c r="AD68">
        <f>ArtifactsInput!$B$42&lt;&gt;"Not Unlocked"</f>
        <v/>
      </c>
      <c r="AE68">
        <f>IF(AD68,SUMPRODUCT(($AD$33:$AD$68)*($AC$33:$AC$68&gt;AC68))+COUNTIFS($AD$33:AD68,TRUE,$AC$33:AC68,AC68),"")</f>
        <v/>
      </c>
    </row>
    <row r="71">
      <c r="A71" s="6" t="inlineStr">
        <is>
          <t>Stat: Flat DEX</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Inputs!$B$19+0)/100)*(1-CHOOSE(ArtifactsInput!$N$40+1,5,6,7,8,9,10)/100)^(ArtifactsInput!$M$40-ArtifactsInput!$M$40)))/100)))*(1+(Inputs!$B$24+((C97=TRUE)*(F97-Calc!F26))+B107)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94=TRUE)*(F94-Calc!F23))+((C98=TRUE)*(F98-Calc!F27))+(((IF(AND(ArtifactsInput!$M$42,((Inputs!$B$9+((C90=TRUE)*(F90-Calc!F19))+B101+(ArtifactsInput!$M$24-ArtifactsInput!$M$24)*CHOOSE(ArtifactsInput!$N$24+1,10,12,14,16,18,20)+IF(ArtifactsInput!$M$10,CHOOSE(ArtifactsInput!$N$10+1,15,18,21,24,27,30)*(IF(Inputs!$B$38="pvp",MIN(15,15)/15,IF(AND(Inputs!$B$38&lt;&gt;"pvp",Inputs!$B$43&gt;0),MIN(15,Inputs!$B$43)/(Inputs!$B$43),0))),0)))&gt;=100),MIN(100,((Inputs!$B$9+((C90=TRUE)*(F90-Calc!F19))+B101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101+(ArtifactsInput!$M$24-ArtifactsInput!$M$24)*CHOOSE(ArtifactsInput!$N$24+1,10,12,14,16,18,20)+IF(ArtifactsInput!$M$10,CHOOSE(ArtifactsInput!$N$10+1,15,18,21,24,27,30)*(IF(Inputs!$B$38="pvp",MIN(15,15)/15,IF(AND(Inputs!$B$38&lt;&gt;"pvp",Inputs!$B$43&gt;0),MIN(15,Inputs!$B$43)/(Inputs!$B$43),0))),0)))&gt;=100),CHOOSE(ArtifactsInput!$N$42+1,40,48,56,64,72,80),0))))/100)*((1+(((C88=TRUE)*F88)+((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93=TRUE)*(F93-Calc!F22)),(Inputs!$B$23+0+(IF(ArtifactsInput!$M$15,CHOOSE(ArtifactsInput!$N$15+1,25,30,35,40,45,50)/100*(Inputs!$B$11-Inputs!$B$11),0))))/100+(Inputs!$B$23+0+(IF(ArtifactsInput!$M$15,CHOOSE(ArtifactsInput!$N$15+1,25,30,35,40,45,50)/100*(Inputs!$B$11-Inputs!$B$11),0)))/100)/2</f>
        <v/>
      </c>
      <c r="M73">
        <f>L73*(1+(Inputs!$B$10+((C96=TRUE)*(F96-Calc!F25))+B106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IF(B111=0,0,O73/B111)</f>
        <v/>
      </c>
      <c r="Q73" t="n">
        <v>0</v>
      </c>
      <c r="R73" t="n">
        <v>0</v>
      </c>
      <c r="S73">
        <f>IFERROR(O73/N73,0)</f>
        <v/>
      </c>
      <c r="T73">
        <f>IF(C73,(Skills!G2*N73*B105)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IF(C73,(Skills!G2*N73*B105)*IF(Inputs!$B$38="pvp",1,(1+(Inputs!$B$21+Skills!Q2+(IF(ArtifactsInput!$M$33,CHOOSE(ArtifactsInput!$N$33+1,30,36,42,48,54,60),0))+(IF(AND(ArtifactsInput!$M$35,Inputs!$B$4&lt;&gt;"Chapter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Inputs!$B$3&gt;=35</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f>Skills!G3*IF(Skills!H3&gt;0,Skills!I3/Skills!H3,1)</f>
        <v/>
      </c>
      <c r="H74">
        <f>1-(1-Skills!J3/100)^Skills!K3</f>
        <v/>
      </c>
      <c r="I74" t="inlineStr">
        <is>
          <t>1</t>
        </is>
      </c>
      <c r="J74">
        <f>((Inputs!$B$6*(1+Inputs!$B$7/100))+((((Inputs!$B$12+1)*(1+Inputs!$B$13/100))-(Inputs!$B$12*(1+Inputs!$B$13/100)))+0.25*(Inputs!$B$14-Inputs!$B$14))*(1+Inputs!$B$7/100))*(F74/100)</f>
        <v/>
      </c>
      <c r="K74">
        <f>J74*(1+(((Inputs!$B$12+1)*(1+Inputs!$B$13/100))*0.01+Inputs!$B$14*0.0025)/100)*(1+Inputs!$B$15/100)*(1+Inputs!$B$16/100)*(5000/(6000+Inputs!$B$42*(1-(100*(1-(1-(Inputs!$B$19+0)/100)*(1-CHOOSE(ArtifactsInput!$N$40+1,5,6,7,8,9,10)/100)^(ArtifactsInput!$M$40-ArtifactsInput!$M$40)))/100)))*(1+(Inputs!$B$24+((C97=TRUE)*(F97-Calc!F26))+B107)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86=TRUE,F86,0)/100)*(1+(IF(Skills!A3="EIGHT_LEGS_EASTON",Inputs!$B$17+((C94=TRUE)*(F94-Calc!F23))+((C98=TRUE)*(F98-Calc!F27))+(((IF(AND(ArtifactsInput!$M$42,((Inputs!$B$9+((C90=TRUE)*(F90-Calc!F19))+B101+(ArtifactsInput!$M$24-ArtifactsInput!$M$24)*CHOOSE(ArtifactsInput!$N$24+1,10,12,14,16,18,20)+IF(ArtifactsInput!$M$10,CHOOSE(ArtifactsInput!$N$10+1,15,18,21,24,27,30)*(IF(Inputs!$B$38="pvp",MIN(15,15)/15,IF(AND(Inputs!$B$38&lt;&gt;"pvp",Inputs!$B$43&gt;0),MIN(15,Inputs!$B$43)/(Inputs!$B$43),0))),0)))&gt;=100),MIN(100,((Inputs!$B$9+((C90=TRUE)*(F90-Calc!F19))+B101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101+(ArtifactsInput!$M$24-ArtifactsInput!$M$24)*CHOOSE(ArtifactsInput!$N$24+1,10,12,14,16,18,20)+IF(ArtifactsInput!$M$10,CHOOSE(ArtifactsInput!$N$10+1,15,18,21,24,27,30)*(IF(Inputs!$B$38="pvp",MIN(15,15)/15,IF(AND(Inputs!$B$38&lt;&gt;"pvp",Inputs!$B$43&gt;0),MIN(15,Inputs!$B$43)/(Inputs!$B$43),0))),0)))&gt;=100),CHOOSE(ArtifactsInput!$N$42+1,40,48,56,64,72,80),0))))/100)*((1+(((C88=TRUE)*F88)+((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f>
        <v/>
      </c>
      <c r="L74">
        <f>K74*(MIN(Inputs!$B$22+((C93=TRUE)*(F93-Calc!F22)),(Inputs!$B$23+0+(IF(ArtifactsInput!$M$15,CHOOSE(ArtifactsInput!$N$15+1,25,30,35,40,45,50)/100*(Inputs!$B$11-Inputs!$B$11),0))))/100+(Inputs!$B$23+0+(IF(ArtifactsInput!$M$15,CHOOSE(ArtifactsInput!$N$15+1,25,30,35,40,45,50)/100*(Inputs!$B$11-Inputs!$B$11),0)))/100)/2</f>
        <v/>
      </c>
      <c r="M74">
        <f>L74*(1+(Inputs!$B$10+((C96=TRUE)*(F96-Calc!F25))+B106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
        <f>L74*(1-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
        <f>(1-Summary!$B$11)*T74+Summary!$B$11*V74</f>
        <v/>
      </c>
      <c r="P74">
        <f>IF(B111=0,0,O74/B111)</f>
        <v/>
      </c>
      <c r="Q74">
        <f>IFERROR(1/(IF(Inputs!$B$38="pvp",15,MAX(0.1,Skills!D3-IF(Skills!E3=TRUE,Inputs!$B$32,0)))*(1-IF(AND(ArtifactsInput!$M$27,Inputs!$B$4="Chapter Hunt"),CHOOSE(ArtifactsInput!$N$27+1,20,24,28,32,36,40),0)/100)),0)</f>
        <v/>
      </c>
      <c r="R74">
        <f>IF(AND(Inputs!$B$38&lt;&gt;"pvp",Inputs!$B$43&gt;0),IF(MAX(0,Inputs!$B$43-B108)&lt;=0,0,(INT(MAX(0,Inputs!$B$43-B108)/(IF(Inputs!$B$38="pvp",15,MAX(0.1,Skills!D3-IF(Skills!E3=TRUE,Inputs!$B$32,0)))*(1-IF(AND(ArtifactsInput!$M$27,Inputs!$B$4="Chapter Hunt"),CHOOSE(ArtifactsInput!$N$27+1,20,24,28,32,36,40),0)/100)))+1)),0)</f>
        <v/>
      </c>
      <c r="S74">
        <f>IFERROR(O74/N74,0)</f>
        <v/>
      </c>
      <c r="T74">
        <f>IF(C74,(H74*N74*IF(AND(Inputs!$B$38&lt;&gt;"pvp",Inputs!$B$43&gt;0),((Skills!G3*((R74-1)*IF(Skills!H3&gt;0,Skills!I3/Skills!H3,1)+IF(Skills!H3&gt;0,MIN(Skills!I3,MAX(0,MAX(0,Inputs!$B$43-B108)-((R74-1)*(IF(Inputs!$B$38="pvp",15,MAX(0.1,Skills!D3-IF(Skills!E3=TRUE,Inputs!$B$32,0)))*(1-IF(AND(ArtifactsInput!$M$27,Inputs!$B$4="Chapter Hunt"),CHOOSE(ArtifactsInput!$N$27+1,20,24,28,32,36,40),0)/100)))))/Skills!H3,1)))/Inputs!$B$43),G74*Q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
        <f>INDEX(FactorTable!$B$2:$Y$301, MATCH(ROUND(MIN(300,MAX(1,U73)),0), FactorTable!$A$2:$A$301,0), 22)</f>
        <v/>
      </c>
      <c r="V74">
        <f>IF(C74,(H74*N74*IF(AND(Inputs!$B$38&lt;&gt;"pvp",Inputs!$B$43&gt;0),((Skills!G3*((R74-1)*IF(Skills!H3&gt;0,Skills!I3/Skills!H3,1)+IF(Skills!H3&gt;0,MIN(Skills!I3,MAX(0,MAX(0,Inputs!$B$43-B108)-((R74-1)*(IF(Inputs!$B$38="pvp",15,MAX(0.1,Skills!D3-IF(Skills!E3=TRUE,Inputs!$B$32,0)))*(1-IF(AND(ArtifactsInput!$M$27,Inputs!$B$4="Chapter Hunt"),CHOOSE(ArtifactsInput!$N$27+1,20,24,28,32,36,40),0)/100)))))/Skills!H3,1)))/Inputs!$B$43),G74*Q74))*IF(Inputs!$B$38="pvp",1,(1+(Inputs!$B$21+Skills!Q3+(IF(ArtifactsInput!$M$33,CHOOSE(ArtifactsInput!$N$33+1,30,36,42,48,54,60)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
      <c r="A75">
        <f>Skills!A4</f>
        <v/>
      </c>
      <c r="B75">
        <f>Skills!B4</f>
        <v/>
      </c>
      <c r="C75">
        <f>Inputs!$B$3&gt;=40</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f>Skills!G4*IF(Skills!H4&gt;0,Skills!I4/Skills!H4,1)</f>
        <v/>
      </c>
      <c r="H75">
        <f>1-(1-Skills!J4/100)^Skills!K4</f>
        <v/>
      </c>
      <c r="I75" t="inlineStr">
        <is>
          <t>1</t>
        </is>
      </c>
      <c r="J75">
        <f>((Inputs!$B$6*(1+Inputs!$B$7/100))+((((Inputs!$B$12+1)*(1+Inputs!$B$13/100))-(Inputs!$B$12*(1+Inputs!$B$13/100)))+0.25*(Inputs!$B$14-Inputs!$B$14))*(1+Inputs!$B$7/100))*(F75/100)</f>
        <v/>
      </c>
      <c r="K75">
        <f>J75*(1+(((Inputs!$B$12+1)*(1+Inputs!$B$13/100))*0.01+Inputs!$B$14*0.0025)/100)*(1+Inputs!$B$15/100)*(1+Inputs!$B$16/100)*(5000/(6000+Inputs!$B$42*(1-(100*(1-(1-(Inputs!$B$19+0)/100)*(1-CHOOSE(ArtifactsInput!$N$40+1,5,6,7,8,9,10)/100)^(ArtifactsInput!$M$40-ArtifactsInput!$M$40)))/100)))*(1+(Inputs!$B$24+((C97=TRUE)*(F97-Calc!F26))+B107)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87=TRUE,F87,0)/100)*(1+(IF(Skills!A4="EIGHT_LEGS_EASTON",Inputs!$B$17+((C94=TRUE)*(F94-Calc!F23))+((C98=TRUE)*(F98-Calc!F27))+(((IF(AND(ArtifactsInput!$M$42,((Inputs!$B$9+((C90=TRUE)*(F90-Calc!F19))+B101+(ArtifactsInput!$M$24-ArtifactsInput!$M$24)*CHOOSE(ArtifactsInput!$N$24+1,10,12,14,16,18,20)+IF(ArtifactsInput!$M$10,CHOOSE(ArtifactsInput!$N$10+1,15,18,21,24,27,30)*(IF(Inputs!$B$38="pvp",MIN(15,15)/15,IF(AND(Inputs!$B$38&lt;&gt;"pvp",Inputs!$B$43&gt;0),MIN(15,Inputs!$B$43)/(Inputs!$B$43),0))),0)))&gt;=100),MIN(100,((Inputs!$B$9+((C90=TRUE)*(F90-Calc!F19))+B101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101+(ArtifactsInput!$M$24-ArtifactsInput!$M$24)*CHOOSE(ArtifactsInput!$N$24+1,10,12,14,16,18,20)+IF(ArtifactsInput!$M$10,CHOOSE(ArtifactsInput!$N$10+1,15,18,21,24,27,30)*(IF(Inputs!$B$38="pvp",MIN(15,15)/15,IF(AND(Inputs!$B$38&lt;&gt;"pvp",Inputs!$B$43&gt;0),MIN(15,Inputs!$B$43)/(Inputs!$B$43),0))),0)))&gt;=100),CHOOSE(ArtifactsInput!$N$42+1,40,48,56,64,72,80),0))))/100)*((1+(((C88=TRUE)*F88)+((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
      </c>
      <c r="L75">
        <f>K75*(MIN(Inputs!$B$22+((C93=TRUE)*(F93-Calc!F22)),(Inputs!$B$23+0+(IF(ArtifactsInput!$M$15,CHOOSE(ArtifactsInput!$N$15+1,25,30,35,40,45,50)/100*(Inputs!$B$11-Inputs!$B$11),0))))/100+(Inputs!$B$23+0+(IF(ArtifactsInput!$M$15,CHOOSE(ArtifactsInput!$N$15+1,25,30,35,40,45,50)/100*(Inputs!$B$11-Inputs!$B$11),0)))/100)/2</f>
        <v/>
      </c>
      <c r="M75">
        <f>L75*(1+(Inputs!$B$10+((C96=TRUE)*(F96-Calc!F25))+B106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
        <f>L75*(1-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
        <f>(1-Summary!$B$11)*T75+Summary!$B$11*V75</f>
        <v/>
      </c>
      <c r="P75">
        <f>IF(B111=0,0,O75/B111)</f>
        <v/>
      </c>
      <c r="Q75">
        <f>IFERROR(1/(IF(Inputs!$B$38="pvp",15,MAX(0.1,Skills!D4-IF(Skills!E4=TRUE,Inputs!$B$32,0)))*(1-IF(AND(ArtifactsInput!$M$27,Inputs!$B$4="Chapter Hunt"),CHOOSE(ArtifactsInput!$N$27+1,20,24,28,32,36,40),0)/100)),0)</f>
        <v/>
      </c>
      <c r="R75">
        <f>IF(AND(Inputs!$B$38&lt;&gt;"pvp",Inputs!$B$43&gt;0),IF(MAX(0,Inputs!$B$43-B108)&lt;=0,0,(INT(MAX(0,Inputs!$B$43-B108)/(IF(Inputs!$B$38="pvp",15,MAX(0.1,Skills!D4-IF(Skills!E4=TRUE,Inputs!$B$32,0)))*(1-IF(AND(ArtifactsInput!$M$27,Inputs!$B$4="Chapter Hunt"),CHOOSE(ArtifactsInput!$N$27+1,20,24,28,32,36,40),0)/100)))+1)),0)</f>
        <v/>
      </c>
      <c r="S75">
        <f>IFERROR(O75/N75,0)</f>
        <v/>
      </c>
      <c r="T75">
        <f>IF(C75,(H75*N75*IF(AND(Inputs!$B$38&lt;&gt;"pvp",Inputs!$B$43&gt;0),((Skills!G4*((R75-1)*IF(Skills!H4&gt;0,Skills!I4/Skills!H4,1)+IF(Skills!H4&gt;0,MIN(Skills!I4,MAX(0,MAX(0,Inputs!$B$43-B108)-((R75-1)*(IF(Inputs!$B$38="pvp",15,MAX(0.1,Skills!D4-IF(Skills!E4=TRUE,Inputs!$B$32,0)))*(1-IF(AND(ArtifactsInput!$M$27,Inputs!$B$4="Chapter Hunt"),CHOOSE(ArtifactsInput!$N$27+1,20,24,28,32,36,40),0)/100)))))/Skills!H4,1)))/Inputs!$B$43),G75*Q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
        <f>290*U74/1000</f>
        <v/>
      </c>
      <c r="V75">
        <f>IF(C75,(H75*N75*IF(AND(Inputs!$B$38&lt;&gt;"pvp",Inputs!$B$43&gt;0),((Skills!G4*((R75-1)*IF(Skills!H4&gt;0,Skills!I4/Skills!H4,1)+IF(Skills!H4&gt;0,MIN(Skills!I4,MAX(0,MAX(0,Inputs!$B$43-B108)-((R75-1)*(IF(Inputs!$B$38="pvp",15,MAX(0.1,Skills!D4-IF(Skills!E4=TRUE,Inputs!$B$32,0)))*(1-IF(AND(ArtifactsInput!$M$27,Inputs!$B$4="Chapter Hunt"),CHOOSE(ArtifactsInput!$N$27+1,20,24,28,32,36,40),0)/100)))))/Skills!H4,1)))/Inputs!$B$43),G75*Q75))*IF(Inputs!$B$38="pvp",1,(1+(Inputs!$B$21+Skills!Q4+(IF(ArtifactsInput!$M$33,CHOOSE(ArtifactsInput!$N$33+1,30,36,42,48,54,60)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
      <c r="A76">
        <f>Skills!A5</f>
        <v/>
      </c>
      <c r="B76">
        <f>Skills!B5</f>
        <v/>
      </c>
      <c r="C76">
        <f>Inputs!$B$3&gt;=45</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(100*(1-(1-(Inputs!$B$19+0)/100)*(1-CHOOSE(ArtifactsInput!$N$40+1,5,6,7,8,9,10)/100)^(ArtifactsInput!$M$40-ArtifactsInput!$M$40)))/100)))*(1+(Inputs!$B$24+((C97=TRUE)*(F97-Calc!F26))+B107)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87=TRUE,F87,0)/100)*(1+(IF(Skills!A5="EIGHT_LEGS_EASTON",Inputs!$B$17+((C94=TRUE)*(F94-Calc!F23))+((C98=TRUE)*(F98-Calc!F27))+(((IF(AND(ArtifactsInput!$M$42,((Inputs!$B$9+((C90=TRUE)*(F90-Calc!F19))+B101+(ArtifactsInput!$M$24-ArtifactsInput!$M$24)*CHOOSE(ArtifactsInput!$N$24+1,10,12,14,16,18,20)+IF(ArtifactsInput!$M$10,CHOOSE(ArtifactsInput!$N$10+1,15,18,21,24,27,30)*(IF(Inputs!$B$38="pvp",MIN(15,15)/15,IF(AND(Inputs!$B$38&lt;&gt;"pvp",Inputs!$B$43&gt;0),MIN(15,Inputs!$B$43)/(Inputs!$B$43),0))),0)))&gt;=100),MIN(100,((Inputs!$B$9+((C90=TRUE)*(F90-Calc!F19))+B101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101+(ArtifactsInput!$M$24-ArtifactsInput!$M$24)*CHOOSE(ArtifactsInput!$N$24+1,10,12,14,16,18,20)+IF(ArtifactsInput!$M$10,CHOOSE(ArtifactsInput!$N$10+1,15,18,21,24,27,30)*(IF(Inputs!$B$38="pvp",MIN(15,15)/15,IF(AND(Inputs!$B$38&lt;&gt;"pvp",Inputs!$B$43&gt;0),MIN(15,Inputs!$B$43)/(Inputs!$B$43),0))),0)))&gt;=100),CHOOSE(ArtifactsInput!$N$42+1,40,48,56,64,72,80),0))))/100)*((1+(((C88=TRUE)*F88)+((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C93=TRUE)*(F93-Calc!F22)),(Inputs!$B$23+0+(IF(ArtifactsInput!$M$15,CHOOSE(ArtifactsInput!$N$15+1,25,30,35,40,45,50)/100*(Inputs!$B$11-Inputs!$B$11),0))))/100+(Inputs!$B$23+0+(IF(ArtifactsInput!$M$15,CHOOSE(ArtifactsInput!$N$15+1,25,30,35,40,45,50)/100*(Inputs!$B$11-Inputs!$B$11),0)))/100)/2</f>
        <v/>
      </c>
      <c r="M76">
        <f>L76*(1+(Inputs!$B$10+((C96=TRUE)*(F96-Calc!F25))+B106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IF(B111=0,0,O76/B111)</f>
        <v/>
      </c>
      <c r="Q76">
        <f>IFERROR(1/(IF(Inputs!$B$38="pvp",15,MAX(0.1,Skills!D5-IF(Skills!E5=TRUE,Inputs!$B$32,0)))*(1-IF(AND(ArtifactsInput!$M$27,Inputs!$B$4="Chapter Hunt"),CHOOSE(ArtifactsInput!$N$27+1,20,24,28,32,36,40),0)/100)),0)</f>
        <v/>
      </c>
      <c r="R76">
        <f>IF(AND(Inputs!$B$38&lt;&gt;"pvp",Inputs!$B$43&gt;0),IF(MAX(0,Inputs!$B$43-B108)&lt;=0,0,(INT(MAX(0,Inputs!$B$43-B108)/(IF(Inputs!$B$38="pvp",15,MAX(0.1,Skills!D5-IF(Skills!E5=TRUE,Inputs!$B$32,0)))*(1-IF(AND(ArtifactsInput!$M$27,Inputs!$B$4="Chapter Hunt"),CHOOSE(ArtifactsInput!$N$27+1,20,24,28,32,36,40),0)/100)))+1)),0)</f>
        <v/>
      </c>
      <c r="S76">
        <f>IFERROR(O76/N76,0)</f>
        <v/>
      </c>
      <c r="T76">
        <f>IF(C76,(H76*N76*IF(AND(Inputs!$B$38&lt;&gt;"pvp",Inputs!$B$43&gt;0),((Skills!G5*((R76-1)*IF(Skills!H5&gt;0,Skills!I5/Skills!H5,1)+IF(Skills!H5&gt;0,MIN(Skills!I5,MAX(0,MAX(0,Inputs!$B$43-B108)-((R76-1)*(IF(Inputs!$B$38="pvp",15,MAX(0.1,Skills!D5-IF(Skills!E5=TRUE,Inputs!$B$32,0)))*(1-IF(AND(ArtifactsInput!$M$27,Inputs!$B$4="Chapter Hunt"),CHOOSE(ArtifactsInput!$N$27+1,20,24,28,32,36,40),0)/100)))))/Skills!H5,1)))/Inputs!$B$43),G76*Q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Skills!I5/Skills!H5,1)+IF(Skills!H5&gt;0,MIN(Skills!I5,MAX(0,MAX(0,Inputs!$B$43-B108)-((R76-1)*(IF(Inputs!$B$38="pvp",15,MAX(0.1,Skills!D5-IF(Skills!E5=TRUE,Inputs!$B$32,0)))*(1-IF(AND(ArtifactsInput!$M$27,Inputs!$B$4="Chapter Hunt"),CHOOSE(ArtifactsInput!$N$27+1,20,24,28,32,36,40),0)/100)))))/Skills!H5,1)))/Inputs!$B$43),G76*Q76))*IF(Inputs!$B$38="pvp",1,(1+(Inputs!$B$21+Skills!Q5+(IF(ArtifactsInput!$M$33,CHOOSE(ArtifactsInput!$N$33+1,30,36,42,48,54,60)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Inputs!$B$3&gt;=63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Inputs!$B$19+0)/100)*(1-CHOOSE(ArtifactsInput!$N$40+1,5,6,7,8,9,10)/100)^(ArtifactsInput!$M$40-ArtifactsInput!$M$40)))/100)))*(1+(Inputs!$B$24+((C97=TRUE)*(F97-Calc!F26))+B107)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86=TRUE,F86,0)/100)*(1+(IF(Skills!A6="EIGHT_LEGS_EASTON",Inputs!$B$17+((C94=TRUE)*(F94-Calc!F23))+((C98=TRUE)*(F98-Calc!F27))+(((IF(AND(ArtifactsInput!$M$42,((Inputs!$B$9+((C90=TRUE)*(F90-Calc!F19))+B101+(ArtifactsInput!$M$24-ArtifactsInput!$M$24)*CHOOSE(ArtifactsInput!$N$24+1,10,12,14,16,18,20)+IF(ArtifactsInput!$M$10,CHOOSE(ArtifactsInput!$N$10+1,15,18,21,24,27,30)*(IF(Inputs!$B$38="pvp",MIN(15,15)/15,IF(AND(Inputs!$B$38&lt;&gt;"pvp",Inputs!$B$43&gt;0),MIN(15,Inputs!$B$43)/(Inputs!$B$43),0))),0)))&gt;=100),MIN(100,((Inputs!$B$9+((C90=TRUE)*(F90-Calc!F19))+B101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101+(ArtifactsInput!$M$24-ArtifactsInput!$M$24)*CHOOSE(ArtifactsInput!$N$24+1,10,12,14,16,18,20)+IF(ArtifactsInput!$M$10,CHOOSE(ArtifactsInput!$N$10+1,15,18,21,24,27,30)*(IF(Inputs!$B$38="pvp",MIN(15,15)/15,IF(AND(Inputs!$B$38&lt;&gt;"pvp",Inputs!$B$43&gt;0),MIN(15,Inputs!$B$43)/(Inputs!$B$43),0))),0)))&gt;=100),CHOOSE(ArtifactsInput!$N$42+1,40,48,56,64,72,80),0))))/100)*((1+(((C88=TRUE)*F88)+((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93=TRUE)*(F93-Calc!F22)),(Inputs!$B$23+0+(IF(ArtifactsInput!$M$15,CHOOSE(ArtifactsInput!$N$15+1,25,30,35,40,45,50)/100*(Inputs!$B$11-Inputs!$B$11),0))))/100+(Inputs!$B$23+0+(IF(ArtifactsInput!$M$15,CHOOSE(ArtifactsInput!$N$15+1,25,30,35,40,45,50)/100*(Inputs!$B$11-Inputs!$B$11),0)))/100)/2</f>
        <v/>
      </c>
      <c r="M77">
        <f>L77*(1+(Inputs!$B$10+((C96=TRUE)*(F96-Calc!F25))+B106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IF(B111=0,0,O77/B111)</f>
        <v/>
      </c>
      <c r="Q77">
        <f>IFERROR(1/(IF(Inputs!$B$38="pvp",15,MAX(0.1,Skills!D6-IF(Skills!E6=TRUE,Inputs!$B$32,0)))*(1-IF(AND(ArtifactsInput!$M$27,Inputs!$B$4="Chapter Hunt"),CHOOSE(ArtifactsInput!$N$27+1,20,24,28,32,36,40),0)/100)),0)</f>
        <v/>
      </c>
      <c r="R77">
        <f>IF(AND(Inputs!$B$38&lt;&gt;"pvp",Inputs!$B$43&gt;0),IF(MAX(0,Inputs!$B$43-B108)&lt;=0,0,(INT(MAX(0,Inputs!$B$43-B108)/(IF(Inputs!$B$38="pvp",15,MAX(0.1,Skills!D6-IF(Skills!E6=TRUE,Inputs!$B$32,0)))*(1-IF(AND(ArtifactsInput!$M$27,Inputs!$B$4="Chapter Hunt"),CHOOSE(ArtifactsInput!$N$27+1,20,24,28,32,36,40),0)/100)))+1)),0)</f>
        <v/>
      </c>
      <c r="S77">
        <f>IFERROR(O77/N77,0)</f>
        <v/>
      </c>
      <c r="T77">
        <f>IF(C77,(H77*N77*IF(AND(Inputs!$B$38&lt;&gt;"pvp",Inputs!$B$43&gt;0),((Skills!G6*((R77-1)*IF(Skills!H6&gt;0,Skills!I6/Skills!H6,1)+IF(Skills!H6&gt;0,MIN(Skills!I6,MAX(0,MAX(0,Inputs!$B$43-B108)-((R77-1)*(IF(Inputs!$B$38="pvp",15,MAX(0.1,Skills!D6-IF(Skills!E6=TRUE,Inputs!$B$32,0)))*(1-IF(AND(ArtifactsInput!$M$27,Inputs!$B$4="Chapter Hunt"),CHOOSE(ArtifactsInput!$N$27+1,20,24,28,32,36,40),0)/100)))))/Skills!H6,1)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108)-((R77-1)*(IF(Inputs!$B$38="pvp",15,MAX(0.1,Skills!D6-IF(Skills!E6=TRUE,Inputs!$B$32,0)))*(1-IF(AND(ArtifactsInput!$M$27,Inputs!$B$4="Chapter Hunt"),CHOOSE(ArtifactsInput!$N$27+1,20,24,28,32,36,40),0)/100)))))/Skills!H6,1)))/Inputs!$B$43),G77*Q77))*IF(Inputs!$B$38="pvp",1,(1+(Inputs!$B$21+Skills!Q6+(IF(ArtifactsInput!$M$33,CHOOSE(ArtifactsInput!$N$33+1,30,36,42,48,54,60)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Inputs!$B$3&gt;=66</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Skills!G7*IF(Skills!H7&gt;0,Skills!I7/Skills!H7,1)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(100*(1-(1-(Inputs!$B$19+0)/100)*(1-CHOOSE(ArtifactsInput!$N$40+1,5,6,7,8,9,10)/100)^(ArtifactsInput!$M$40-ArtifactsInput!$M$40)))/100)))*(1+(Inputs!$B$24+((C97=TRUE)*(F97-Calc!F26))+B107)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86=TRUE,F86,0)/100)*(1+(IF(Skills!A7="EIGHT_LEGS_EASTON",Inputs!$B$17+((C94=TRUE)*(F94-Calc!F23))+((C98=TRUE)*(F98-Calc!F27))+(((IF(AND(ArtifactsInput!$M$42,((Inputs!$B$9+((C90=TRUE)*(F90-Calc!F19))+B101+(ArtifactsInput!$M$24-ArtifactsInput!$M$24)*CHOOSE(ArtifactsInput!$N$24+1,10,12,14,16,18,20)+IF(ArtifactsInput!$M$10,CHOOSE(ArtifactsInput!$N$10+1,15,18,21,24,27,30)*(IF(Inputs!$B$38="pvp",MIN(15,15)/15,IF(AND(Inputs!$B$38&lt;&gt;"pvp",Inputs!$B$43&gt;0),MIN(15,Inputs!$B$43)/(Inputs!$B$43),0))),0)))&gt;=100),MIN(100,((Inputs!$B$9+((C90=TRUE)*(F90-Calc!F19))+B101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101+(ArtifactsInput!$M$24-ArtifactsInput!$M$24)*CHOOSE(ArtifactsInput!$N$24+1,10,12,14,16,18,20)+IF(ArtifactsInput!$M$10,CHOOSE(ArtifactsInput!$N$10+1,15,18,21,24,27,30)*(IF(Inputs!$B$38="pvp",MIN(15,15)/15,IF(AND(Inputs!$B$38&lt;&gt;"pvp",Inputs!$B$43&gt;0),MIN(15,Inputs!$B$43)/(Inputs!$B$43),0))),0)))&gt;=100),CHOOSE(ArtifactsInput!$N$42+1,40,48,56,64,72,80),0))))/100)*((1+(((C88=TRUE)*F88)+((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C93=TRUE)*(F93-Calc!F22)),(Inputs!$B$23+0+(IF(ArtifactsInput!$M$15,CHOOSE(ArtifactsInput!$N$15+1,25,30,35,40,45,50)/100*(Inputs!$B$11-Inputs!$B$11),0))))/100+(Inputs!$B$23+0+(IF(ArtifactsInput!$M$15,CHOOSE(ArtifactsInput!$N$15+1,25,30,35,40,45,50)/100*(Inputs!$B$11-Inputs!$B$11),0)))/100)/2</f>
        <v/>
      </c>
      <c r="M78">
        <f>L78*(1+(Inputs!$B$10+((C96=TRUE)*(F96-Calc!F25))+B106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IF(B111=0,0,O78/B111)</f>
        <v/>
      </c>
      <c r="Q78">
        <f>IFERROR(1/(IF(Inputs!$B$38="pvp",15,MAX(0.1,Skills!D7-IF(Skills!E7=TRUE,Inputs!$B$32,0)))*(1-IF(AND(ArtifactsInput!$M$27,Inputs!$B$4="Chapter Hunt"),CHOOSE(ArtifactsInput!$N$27+1,20,24,28,32,36,40),0)/100)),0)</f>
        <v/>
      </c>
      <c r="R78">
        <f>IF(AND(Inputs!$B$38&lt;&gt;"pvp",Inputs!$B$43&gt;0),IF(MAX(0,Inputs!$B$43-B108)&lt;=0,0,(INT(MAX(0,Inputs!$B$43-B108)/(IF(Inputs!$B$38="pvp",15,MAX(0.1,Skills!D7-IF(Skills!E7=TRUE,Inputs!$B$32,0)))*(1-IF(AND(ArtifactsInput!$M$27,Inputs!$B$4="Chapter Hunt"),CHOOSE(ArtifactsInput!$N$27+1,20,24,28,32,36,40),0)/100)))+1)),0)</f>
        <v/>
      </c>
      <c r="S78">
        <f>IFERROR(O78/N78,0)</f>
        <v/>
      </c>
      <c r="T78">
        <f>IF(C78,(H78*N78*IF(AND(Inputs!$B$38&lt;&gt;"pvp",Inputs!$B$43&gt;0),((Skills!G7*((R78-1)*IF(Skills!H7&gt;0,Skills!I7/Skills!H7,1)+IF(Skills!H7&gt;0,MIN(Skills!I7,MAX(0,MAX(0,Inputs!$B$43-B108)-((R78-1)*(IF(Inputs!$B$38="pvp",15,MAX(0.1,Skills!D7-IF(Skills!E7=TRUE,Inputs!$B$32,0)))*(1-IF(AND(ArtifactsInput!$M$27,Inputs!$B$4="Chapter Hunt"),CHOOSE(ArtifactsInput!$N$27+1,20,24,28,32,36,40),0)/100)))))/Skills!H7,1)))/Inputs!$B$43),G78*Q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Skills!I7/Skills!H7,1)+IF(Skills!H7&gt;0,MIN(Skills!I7,MAX(0,MAX(0,Inputs!$B$43-B108)-((R78-1)*(IF(Inputs!$B$38="pvp",15,MAX(0.1,Skills!D7-IF(Skills!E7=TRUE,Inputs!$B$32,0)))*(1-IF(AND(ArtifactsInput!$M$27,Inputs!$B$4="Chapter Hunt"),CHOOSE(ArtifactsInput!$N$27+1,20,24,28,32,36,40),0)/100)))))/Skills!H7,1)))/Inputs!$B$43),G78*Q78))*IF(Inputs!$B$38="pvp",1,(1+(Inputs!$B$21+Skills!Q7+(IF(ArtifactsInput!$M$33,CHOOSE(ArtifactsInput!$N$33+1,30,36,42,48,54,60)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Inputs!$B$3&gt;=100</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Skills!G8*IF(Skills!H8&gt;0,Skills!I8/Skills!H8,1)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(100*(1-(1-(Inputs!$B$19+0)/100)*(1-CHOOSE(ArtifactsInput!$N$40+1,5,6,7,8,9,10)/100)^(ArtifactsInput!$M$40-ArtifactsInput!$M$40)))/100)))*(1+(Inputs!$B$24+((C97=TRUE)*(F97-Calc!F26))+B107)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94=TRUE)*(F94-Calc!F23))+((C98=TRUE)*(F98-Calc!F27))+(((IF(AND(ArtifactsInput!$M$42,((Inputs!$B$9+((C90=TRUE)*(F90-Calc!F19))+B101+(ArtifactsInput!$M$24-ArtifactsInput!$M$24)*CHOOSE(ArtifactsInput!$N$24+1,10,12,14,16,18,20)+IF(ArtifactsInput!$M$10,CHOOSE(ArtifactsInput!$N$10+1,15,18,21,24,27,30)*(IF(Inputs!$B$38="pvp",MIN(15,15)/15,IF(AND(Inputs!$B$38&lt;&gt;"pvp",Inputs!$B$43&gt;0),MIN(15,Inputs!$B$43)/(Inputs!$B$43),0))),0)))&gt;=100),MIN(100,((Inputs!$B$9+((C90=TRUE)*(F90-Calc!F19))+B101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101+(ArtifactsInput!$M$24-ArtifactsInput!$M$24)*CHOOSE(ArtifactsInput!$N$24+1,10,12,14,16,18,20)+IF(ArtifactsInput!$M$10,CHOOSE(ArtifactsInput!$N$10+1,15,18,21,24,27,30)*(IF(Inputs!$B$38="pvp",MIN(15,15)/15,IF(AND(Inputs!$B$38&lt;&gt;"pvp",Inputs!$B$43&gt;0),MIN(15,Inputs!$B$43)/(Inputs!$B$43),0))),0)))&gt;=100),CHOOSE(ArtifactsInput!$N$42+1,40,48,56,64,72,80),0))))/100)*((1+(((C88=TRUE)*F88)+((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C93=TRUE)*(F93-Calc!F22)),(Inputs!$B$23+0+(IF(ArtifactsInput!$M$15,CHOOSE(ArtifactsInput!$N$15+1,25,30,35,40,45,50)/100*(Inputs!$B$11-Inputs!$B$11),0))))/100+(Inputs!$B$23+0+(IF(ArtifactsInput!$M$15,CHOOSE(ArtifactsInput!$N$15+1,25,30,35,40,45,50)/100*(Inputs!$B$11-Inputs!$B$11),0)))/100)/2</f>
        <v/>
      </c>
      <c r="M79">
        <f>L79*(1+(Inputs!$B$10+((C96=TRUE)*(F96-Calc!F25))+B106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IF(B111=0,0,O79/B111)</f>
        <v/>
      </c>
      <c r="Q79">
        <f>IFERROR(1/(IF(Inputs!$B$38="pvp",15,MAX(0.1,Skills!D8-IF(Skills!E8=TRUE,Inputs!$B$32,0)))*(1-IF(AND(ArtifactsInput!$M$27,Inputs!$B$4="Chapter Hunt"),CHOOSE(ArtifactsInput!$N$27+1,20,24,28,32,36,40),0)/100)),0)</f>
        <v/>
      </c>
      <c r="R79">
        <f>IF(AND(Inputs!$B$38&lt;&gt;"pvp",Inputs!$B$43&gt;0),IF(MAX(0,Inputs!$B$43-B108)&lt;=0,0,(INT(MAX(0,Inputs!$B$43-B108)/(IF(Inputs!$B$38="pvp",15,MAX(0.1,Skills!D8-IF(Skills!E8=TRUE,Inputs!$B$32,0)))*(1-IF(AND(ArtifactsInput!$M$27,Inputs!$B$4="Chapter Hunt"),CHOOSE(ArtifactsInput!$N$27+1,20,24,28,32,36,40),0)/100)))+1)),0)</f>
        <v/>
      </c>
      <c r="S79">
        <f>IFERROR(O79/N79,0)</f>
        <v/>
      </c>
      <c r="T79">
        <f>IF(C79,(H79*N79*IF(AND(Inputs!$B$38&lt;&gt;"pvp",Inputs!$B$43&gt;0),((Skills!G8*((R79-1)*IF(Skills!H8&gt;0,Skills!I8/Skills!H8,1)+IF(Skills!H8&gt;0,MIN(Skills!I8,MAX(0,MAX(0,Inputs!$B$43-B108)-((R79-1)*(IF(Inputs!$B$38="pvp",15,MAX(0.1,Skills!D8-IF(Skills!E8=TRUE,Inputs!$B$32,0)))*(1-IF(AND(ArtifactsInput!$M$27,Inputs!$B$4="Chapter Hunt"),CHOOSE(ArtifactsInput!$N$27+1,20,24,28,32,36,40),0)/100)))))/Skills!H8,1)))/Inputs!$B$43),G79*Q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Skills!I8/Skills!H8,1)+IF(Skills!H8&gt;0,MIN(Skills!I8,MAX(0,MAX(0,Inputs!$B$43-B108)-((R79-1)*(IF(Inputs!$B$38="pvp",15,MAX(0.1,Skills!D8-IF(Skills!E8=TRUE,Inputs!$B$32,0)))*(1-IF(AND(ArtifactsInput!$M$27,Inputs!$B$4="Chapter Hunt"),CHOOSE(ArtifactsInput!$N$27+1,20,24,28,32,36,40),0)/100)))))/Skills!H8,1)))/Inputs!$B$43),G79*Q79))*IF(Inputs!$B$38="pvp",1,(1+(Inputs!$B$21+Skills!Q8+(IF(ArtifactsInput!$M$33,CHOOSE(ArtifactsInput!$N$33+1,30,36,42,48,54,60)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Inputs!$B$3&gt;=103</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(100*(1-(1-(Inputs!$B$19+0)/100)*(1-CHOOSE(ArtifactsInput!$N$40+1,5,6,7,8,9,10)/100)^(ArtifactsInput!$M$40-ArtifactsInput!$M$40)))/100)))*(1+(Inputs!$B$24+((C97=TRUE)*(F97-Calc!F26))+B107)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94=TRUE)*(F94-Calc!F23))+((C98=TRUE)*(F98-Calc!F27))+(((IF(AND(ArtifactsInput!$M$42,((Inputs!$B$9+((C90=TRUE)*(F90-Calc!F19))+B101+(ArtifactsInput!$M$24-ArtifactsInput!$M$24)*CHOOSE(ArtifactsInput!$N$24+1,10,12,14,16,18,20)+IF(ArtifactsInput!$M$10,CHOOSE(ArtifactsInput!$N$10+1,15,18,21,24,27,30)*(IF(Inputs!$B$38="pvp",MIN(15,15)/15,IF(AND(Inputs!$B$38&lt;&gt;"pvp",Inputs!$B$43&gt;0),MIN(15,Inputs!$B$43)/(Inputs!$B$43),0))),0)))&gt;=100),MIN(100,((Inputs!$B$9+((C90=TRUE)*(F90-Calc!F19))+B101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101+(ArtifactsInput!$M$24-ArtifactsInput!$M$24)*CHOOSE(ArtifactsInput!$N$24+1,10,12,14,16,18,20)+IF(ArtifactsInput!$M$10,CHOOSE(ArtifactsInput!$N$10+1,15,18,21,24,27,30)*(IF(Inputs!$B$38="pvp",MIN(15,15)/15,IF(AND(Inputs!$B$38&lt;&gt;"pvp",Inputs!$B$43&gt;0),MIN(15,Inputs!$B$43)/(Inputs!$B$43),0))),0)))&gt;=100),CHOOSE(ArtifactsInput!$N$42+1,40,48,56,64,72,80),0))))/100)*((1+(((C88=TRUE)*F88)+((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93=TRUE)*(F93-Calc!F22)),(Inputs!$B$23+0+(IF(ArtifactsInput!$M$15,CHOOSE(ArtifactsInput!$N$15+1,25,30,35,40,45,50)/100*(Inputs!$B$11-Inputs!$B$11),0))))/100+(Inputs!$B$23+0+(IF(ArtifactsInput!$M$15,CHOOSE(ArtifactsInput!$N$15+1,25,30,35,40,45,50)/100*(Inputs!$B$11-Inputs!$B$11),0)))/100)/2</f>
        <v/>
      </c>
      <c r="M80">
        <f>L80*(1+(Inputs!$B$10+((C96=TRUE)*(F96-Calc!F25))+B106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IF(B111=0,0,O80/B111)</f>
        <v/>
      </c>
      <c r="Q80">
        <f>IFERROR(1/(IF(Inputs!$B$38="pvp",15,MAX(0.1,Skills!D9-IF(Skills!E9=TRUE,Inputs!$B$32,0)))*(1-IF(AND(ArtifactsInput!$M$27,Inputs!$B$4="Chapter Hunt"),CHOOSE(ArtifactsInput!$N$27+1,20,24,28,32,36,40),0)/100)),0)</f>
        <v/>
      </c>
      <c r="R80">
        <f>IF(AND(Inputs!$B$38&lt;&gt;"pvp",Inputs!$B$43&gt;0),IF(MAX(0,Inputs!$B$43-B108)&lt;=0,0,(INT(MAX(0,Inputs!$B$43-B108)/(IF(Inputs!$B$38="pvp",15,MAX(0.1,Skills!D9-IF(Skills!E9=TRUE,Inputs!$B$32,0)))*(1-IF(AND(ArtifactsInput!$M$27,Inputs!$B$4="Chapter Hunt"),CHOOSE(ArtifactsInput!$N$27+1,20,24,28,32,36,40),0)/100)))+1)),0)</f>
        <v/>
      </c>
      <c r="S80">
        <f>IFERROR(O80/N80,0)</f>
        <v/>
      </c>
      <c r="T80">
        <f>IF(C80,(H80*N80*IF(AND(Inputs!$B$38&lt;&gt;"pvp",Inputs!$B$43&gt;0),((Skills!G9*((R80-1)*IF(Skills!H9&gt;0,Skills!I9/Skills!H9,1)+IF(Skills!H9&gt;0,MIN(Skills!I9,MAX(0,MAX(0,Inputs!$B$43-B108)-((R80-1)*(IF(Inputs!$B$38="pvp",15,MAX(0.1,Skills!D9-IF(Skills!E9=TRUE,Inputs!$B$32,0)))*(1-IF(AND(ArtifactsInput!$M$27,Inputs!$B$4="Chapter Hunt"),CHOOSE(ArtifactsInput!$N$27+1,20,24,28,32,36,40),0)/100)))))/Skills!H9,1)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108)-((R80-1)*(IF(Inputs!$B$38="pvp",15,MAX(0.1,Skills!D9-IF(Skills!E9=TRUE,Inputs!$B$32,0)))*(1-IF(AND(ArtifactsInput!$M$27,Inputs!$B$4="Chapter Hunt"),CHOOSE(ArtifactsInput!$N$27+1,20,24,28,32,36,40),0)/100)))))/Skills!H9,1)))/Inputs!$B$43),G80*Q80))*IF(Inputs!$B$38="pvp",1,(1+(Inputs!$B$21+Skills!Q9+(IF(ArtifactsInput!$M$33,CHOOSE(ArtifactsInput!$N$33+1,30,36,42,48,54,60)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Inputs!$B$3&gt;=113</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(100*(1-(1-(Inputs!$B$19+0)/100)*(1-CHOOSE(ArtifactsInput!$N$40+1,5,6,7,8,9,10)/100)^(ArtifactsInput!$M$40-ArtifactsInput!$M$40)))/100)))*(1+(Inputs!$B$24+((C97=TRUE)*(F97-Calc!F26))+B107)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94=TRUE)*(F94-Calc!F23))+((C98=TRUE)*(F98-Calc!F27))+(((IF(AND(ArtifactsInput!$M$42,((Inputs!$B$9+((C90=TRUE)*(F90-Calc!F19))+B101+(ArtifactsInput!$M$24-ArtifactsInput!$M$24)*CHOOSE(ArtifactsInput!$N$24+1,10,12,14,16,18,20)+IF(ArtifactsInput!$M$10,CHOOSE(ArtifactsInput!$N$10+1,15,18,21,24,27,30)*(IF(Inputs!$B$38="pvp",MIN(15,15)/15,IF(AND(Inputs!$B$38&lt;&gt;"pvp",Inputs!$B$43&gt;0),MIN(15,Inputs!$B$43)/(Inputs!$B$43),0))),0)))&gt;=100),MIN(100,((Inputs!$B$9+((C90=TRUE)*(F90-Calc!F19))+B101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101+(ArtifactsInput!$M$24-ArtifactsInput!$M$24)*CHOOSE(ArtifactsInput!$N$24+1,10,12,14,16,18,20)+IF(ArtifactsInput!$M$10,CHOOSE(ArtifactsInput!$N$10+1,15,18,21,24,27,30)*(IF(Inputs!$B$38="pvp",MIN(15,15)/15,IF(AND(Inputs!$B$38&lt;&gt;"pvp",Inputs!$B$43&gt;0),MIN(15,Inputs!$B$43)/(Inputs!$B$43),0))),0)))&gt;=100),CHOOSE(ArtifactsInput!$N$42+1,40,48,56,64,72,80),0))))/100)*((1+(((C88=TRUE)*F88)+((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C93=TRUE)*(F93-Calc!F22)),(Inputs!$B$23+0+(IF(ArtifactsInput!$M$15,CHOOSE(ArtifactsInput!$N$15+1,25,30,35,40,45,50)/100*(Inputs!$B$11-Inputs!$B$11),0))))/100+(Inputs!$B$23+0+(IF(ArtifactsInput!$M$15,CHOOSE(ArtifactsInput!$N$15+1,25,30,35,40,45,50)/100*(Inputs!$B$11-Inputs!$B$11),0)))/100)/2</f>
        <v/>
      </c>
      <c r="M81">
        <f>L81*(1+(Inputs!$B$10+((C96=TRUE)*(F96-Calc!F25))+B106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IF(B111=0,0,O81/B111)</f>
        <v/>
      </c>
      <c r="Q81">
        <f>IFERROR(1/(IF(Inputs!$B$38="pvp",15,MAX(0.1,Skills!D10-IF(Skills!E10=TRUE,Inputs!$B$32,0)))*(1-IF(AND(ArtifactsInput!$M$27,Inputs!$B$4="Chapter Hunt"),CHOOSE(ArtifactsInput!$N$27+1,20,24,28,32,36,40),0)/100)),0)</f>
        <v/>
      </c>
      <c r="R81">
        <f>IF(AND(Inputs!$B$38&lt;&gt;"pvp",Inputs!$B$43&gt;0),IF(MAX(0,Inputs!$B$43-B108)&lt;=0,0,(INT(MAX(0,Inputs!$B$43-B108)/(IF(Inputs!$B$38="pvp",15,MAX(0.1,Skills!D10-IF(Skills!E10=TRUE,Inputs!$B$32,0)))*(1-IF(AND(ArtifactsInput!$M$27,Inputs!$B$4="Chapter Hunt"),CHOOSE(ArtifactsInput!$N$27+1,20,24,28,32,36,40),0)/100)))+1)),0)</f>
        <v/>
      </c>
      <c r="S81">
        <f>IFERROR(O81/N81,0)</f>
        <v/>
      </c>
      <c r="T81">
        <f>IF(C81,(H81*N81*IF(AND(Inputs!$B$38&lt;&gt;"pvp",Inputs!$B$43&gt;0),((Skills!G10*((R81-1)*IF(Skills!H10&gt;0,Skills!I10/Skills!H10,1)+IF(Skills!H10&gt;0,MIN(Skills!I10,MAX(0,MAX(0,Inputs!$B$43-B108)-((R81-1)*(IF(Inputs!$B$38="pvp",15,MAX(0.1,Skills!D10-IF(Skills!E10=TRUE,Inputs!$B$32,0)))*(1-IF(AND(ArtifactsInput!$M$27,Inputs!$B$4="Chapter Hunt"),CHOOSE(ArtifactsInput!$N$27+1,20,24,28,32,36,40),0)/100)))))/Skills!H10,1)))/Inputs!$B$43),G81*Q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N81*IF(AND(Inputs!$B$38&lt;&gt;"pvp",Inputs!$B$43&gt;0),((Skills!G10*((R81-1)*IF(Skills!H10&gt;0,Skills!I10/Skills!H10,1)+IF(Skills!H10&gt;0,MIN(Skills!I10,MAX(0,MAX(0,Inputs!$B$43-B108)-((R81-1)*(IF(Inputs!$B$38="pvp",15,MAX(0.1,Skills!D10-IF(Skills!E10=TRUE,Inputs!$B$32,0)))*(1-IF(AND(ArtifactsInput!$M$27,Inputs!$B$4="Chapter Hunt"),CHOOSE(ArtifactsInput!$N$27+1,20,24,28,32,36,40),0)/100)))))/Skills!H10,1)))/Inputs!$B$43),G81*Q81))*IF(Inputs!$B$38="pvp",1,(1+(Inputs!$B$21+Skills!Q10+(IF(ArtifactsInput!$M$33,CHOOSE(ArtifactsInput!$N$33+1,30,36,42,48,54,60)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Inputs!$B$3&gt;=107</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(100*(1-(1-(Inputs!$B$19+0)/100)*(1-CHOOSE(ArtifactsInput!$N$40+1,5,6,7,8,9,10)/100)^(ArtifactsInput!$M$40-ArtifactsInput!$M$40)))/100)))*(1+(Inputs!$B$24+((C97=TRUE)*(F97-Calc!F26))+B107)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94=TRUE)*(F94-Calc!F23))+((C98=TRUE)*(F98-Calc!F27))+(((IF(AND(ArtifactsInput!$M$42,((Inputs!$B$9+((C90=TRUE)*(F90-Calc!F19))+B101+(ArtifactsInput!$M$24-ArtifactsInput!$M$24)*CHOOSE(ArtifactsInput!$N$24+1,10,12,14,16,18,20)+IF(ArtifactsInput!$M$10,CHOOSE(ArtifactsInput!$N$10+1,15,18,21,24,27,30)*(IF(Inputs!$B$38="pvp",MIN(15,15)/15,IF(AND(Inputs!$B$38&lt;&gt;"pvp",Inputs!$B$43&gt;0),MIN(15,Inputs!$B$43)/(Inputs!$B$43),0))),0)))&gt;=100),MIN(100,((Inputs!$B$9+((C90=TRUE)*(F90-Calc!F19))+B101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101+(ArtifactsInput!$M$24-ArtifactsInput!$M$24)*CHOOSE(ArtifactsInput!$N$24+1,10,12,14,16,18,20)+IF(ArtifactsInput!$M$10,CHOOSE(ArtifactsInput!$N$10+1,15,18,21,24,27,30)*(IF(Inputs!$B$38="pvp",MIN(15,15)/15,IF(AND(Inputs!$B$38&lt;&gt;"pvp",Inputs!$B$43&gt;0),MIN(15,Inputs!$B$43)/(Inputs!$B$43),0))),0)))&gt;=100),CHOOSE(ArtifactsInput!$N$42+1,40,48,56,64,72,80),0))))/100)*((1+(((C88=TRUE)*F88)+((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C93=TRUE)*(F93-Calc!F22)),(Inputs!$B$23+0+(IF(ArtifactsInput!$M$15,CHOOSE(ArtifactsInput!$N$15+1,25,30,35,40,45,50)/100*(Inputs!$B$11-Inputs!$B$11),0))))/100+(Inputs!$B$23+0+(IF(ArtifactsInput!$M$15,CHOOSE(ArtifactsInput!$N$15+1,25,30,35,40,45,50)/100*(Inputs!$B$11-Inputs!$B$11),0)))/100)/2</f>
        <v/>
      </c>
      <c r="M82">
        <f>L82*(1+(Inputs!$B$10+((C96=TRUE)*(F96-Calc!F25))+B106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IF(B111=0,0,O82/B111)</f>
        <v/>
      </c>
      <c r="Q82">
        <f>IFERROR(1/(IF(Inputs!$B$38="pvp",15,MAX(0.1,Skills!D11-IF(Skills!E11=TRUE,Inputs!$B$32,0)))*(1-IF(AND(ArtifactsInput!$M$27,Inputs!$B$4="Chapter Hunt"),CHOOSE(ArtifactsInput!$N$27+1,20,24,28,32,36,40),0)/100)),0)</f>
        <v/>
      </c>
      <c r="R82">
        <f>IF(AND(Inputs!$B$38&lt;&gt;"pvp",Inputs!$B$43&gt;0),IF(MAX(0,Inputs!$B$43-B108)&lt;=0,0,(INT(MAX(0,Inputs!$B$43-B108)/(IF(Inputs!$B$38="pvp",15,MAX(0.1,Skills!D11-IF(Skills!E11=TRUE,Inputs!$B$32,0)))*(1-IF(AND(ArtifactsInput!$M$27,Inputs!$B$4="Chapter Hunt"),CHOOSE(ArtifactsInput!$N$27+1,20,24,28,32,36,40),0)/100)))+1)),0)</f>
        <v/>
      </c>
      <c r="S82">
        <f>IFERROR(O82/N82,0)</f>
        <v/>
      </c>
      <c r="T82">
        <f>IF(C82,(H82*N82*IF(AND(Inputs!$B$38&lt;&gt;"pvp",Inputs!$B$43&gt;0),((Skills!G11*((R82-1)*IF(Skills!H11&gt;0,Skills!I11/Skills!H11,1)+IF(Skills!H11&gt;0,MIN(Skills!I11,MAX(0,MAX(0,Inputs!$B$43-B108)-((R82-1)*(IF(Inputs!$B$38="pvp",15,MAX(0.1,Skills!D11-IF(Skills!E11=TRUE,Inputs!$B$32,0)))*(1-IF(AND(ArtifactsInput!$M$27,Inputs!$B$4="Chapter Hunt"),CHOOSE(ArtifactsInput!$N$27+1,20,24,28,32,36,40),0)/100)))))/Skills!H11,1)))/Inputs!$B$43),G82*Q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108)-((R82-1)*(IF(Inputs!$B$38="pvp",15,MAX(0.1,Skills!D11-IF(Skills!E11=TRUE,Inputs!$B$32,0)))*(1-IF(AND(ArtifactsInput!$M$27,Inputs!$B$4="Chapter Hunt"),CHOOSE(ArtifactsInput!$N$27+1,20,24,28,32,36,40),0)/100)))))/Skills!H11,1)))/Inputs!$B$43),G82*Q82))*IF(Inputs!$B$38="pvp",1,(1+(Inputs!$B$21+Skills!Q11+(IF(ArtifactsInput!$M$33,CHOOSE(ArtifactsInput!$N$33+1,30,36,42,48,54,60)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Inputs!$B$3&gt;=110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f>Skills!G12*IF(Skills!H12&gt;0,Skills!I12/Skills!H12,1)</f>
        <v/>
      </c>
      <c r="H83">
        <f>1-(1-Skills!J12/100)^Skills!K12</f>
        <v/>
      </c>
      <c r="I83" t="inlineStr">
        <is>
          <t>1</t>
        </is>
      </c>
      <c r="J83">
        <f>((Inputs!$B$6*(1+Inputs!$B$7/100))+((((Inputs!$B$12+1)*(1+Inputs!$B$13/100))-(Inputs!$B$12*(1+Inputs!$B$13/100)))+0.25*(Inputs!$B$14-Inputs!$B$14))*(1+Inputs!$B$7/100))*(F83/100)</f>
        <v/>
      </c>
      <c r="K83">
        <f>J83*(1+(((Inputs!$B$12+1)*(1+Inputs!$B$13/100))*0.01+Inputs!$B$14*0.0025)/100)*(1+Inputs!$B$15/100)*(1+Inputs!$B$16/100)*(5000/(6000+Inputs!$B$42*(1-(100*(1-(1-(Inputs!$B$19+0)/100)*(1-CHOOSE(ArtifactsInput!$N$40+1,5,6,7,8,9,10)/100)^(ArtifactsInput!$M$40-ArtifactsInput!$M$40)))/100)))*(1+(Inputs!$B$24+((C97=TRUE)*(F97-Calc!F26))+B107)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94=TRUE)*(F94-Calc!F23))+((C98=TRUE)*(F98-Calc!F27))+(((IF(AND(ArtifactsInput!$M$42,((Inputs!$B$9+((C90=TRUE)*(F90-Calc!F19))+B101+(ArtifactsInput!$M$24-ArtifactsInput!$M$24)*CHOOSE(ArtifactsInput!$N$24+1,10,12,14,16,18,20)+IF(ArtifactsInput!$M$10,CHOOSE(ArtifactsInput!$N$10+1,15,18,21,24,27,30)*(IF(Inputs!$B$38="pvp",MIN(15,15)/15,IF(AND(Inputs!$B$38&lt;&gt;"pvp",Inputs!$B$43&gt;0),MIN(15,Inputs!$B$43)/(Inputs!$B$43),0))),0)))&gt;=100),MIN(100,((Inputs!$B$9+((C90=TRUE)*(F90-Calc!F19))+B101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101+(ArtifactsInput!$M$24-ArtifactsInput!$M$24)*CHOOSE(ArtifactsInput!$N$24+1,10,12,14,16,18,20)+IF(ArtifactsInput!$M$10,CHOOSE(ArtifactsInput!$N$10+1,15,18,21,24,27,30)*(IF(Inputs!$B$38="pvp",MIN(15,15)/15,IF(AND(Inputs!$B$38&lt;&gt;"pvp",Inputs!$B$43&gt;0),MIN(15,Inputs!$B$43)/(Inputs!$B$43),0))),0)))&gt;=100),CHOOSE(ArtifactsInput!$N$42+1,40,48,56,64,72,80),0))))/100)*((1+(((C88=TRUE)*F88)+((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f>
        <v/>
      </c>
      <c r="L83">
        <f>K83*(MIN(Inputs!$B$22+((C93=TRUE)*(F93-Calc!F22)),(Inputs!$B$23+0+(IF(ArtifactsInput!$M$15,CHOOSE(ArtifactsInput!$N$15+1,25,30,35,40,45,50)/100*(Inputs!$B$11-Inputs!$B$11),0))))/100+(Inputs!$B$23+0+(IF(ArtifactsInput!$M$15,CHOOSE(ArtifactsInput!$N$15+1,25,30,35,40,45,50)/100*(Inputs!$B$11-Inputs!$B$11),0)))/100)/2</f>
        <v/>
      </c>
      <c r="M83">
        <f>L83*(1+(Inputs!$B$10+((C96=TRUE)*(F96-Calc!F25))+B106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
        <f>L83*(1-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
        <f>(1-Summary!$B$11)*T83+Summary!$B$11*V83</f>
        <v/>
      </c>
      <c r="P83">
        <f>IF(B111=0,0,O83/B111)</f>
        <v/>
      </c>
      <c r="Q83">
        <f>IFERROR(1/(IF(Inputs!$B$38="pvp",15,MAX(0.1,Skills!D12-IF(Skills!E12=TRUE,Inputs!$B$32,0)))*(1-IF(AND(ArtifactsInput!$M$27,Inputs!$B$4="Chapter Hunt"),CHOOSE(ArtifactsInput!$N$27+1,20,24,28,32,36,40),0)/100)),0)</f>
        <v/>
      </c>
      <c r="R83">
        <f>IF(AND(Inputs!$B$38&lt;&gt;"pvp",Inputs!$B$43&gt;0),IF(MAX(0,Inputs!$B$43-B108)&lt;=0,0,(INT(MAX(0,Inputs!$B$43-B108)/(IF(Inputs!$B$38="pvp",15,MAX(0.1,Skills!D12-IF(Skills!E12=TRUE,Inputs!$B$32,0)))*(1-IF(AND(ArtifactsInput!$M$27,Inputs!$B$4="Chapter Hunt"),CHOOSE(ArtifactsInput!$N$27+1,20,24,28,32,36,40),0)/100)))+1)),0)</f>
        <v/>
      </c>
      <c r="S83">
        <f>IFERROR(O83/N83,0)</f>
        <v/>
      </c>
      <c r="T83">
        <f>IF(C83,(H83*N83*IF(AND(Inputs!$B$38&lt;&gt;"pvp",Inputs!$B$43&gt;0),((Skills!G12*((R83-1)*IF(Skills!H12&gt;0,Skills!I12/Skills!H12,1)+IF(Skills!H12&gt;0,MIN(Skills!I12,MAX(0,MAX(0,Inputs!$B$43-B108)-((R83-1)*(IF(Inputs!$B$38="pvp",15,MAX(0.1,Skills!D12-IF(Skills!E12=TRUE,Inputs!$B$32,0)))*(1-IF(AND(ArtifactsInput!$M$27,Inputs!$B$4="Chapter Hunt"),CHOOSE(ArtifactsInput!$N$27+1,20,24,28,32,36,40),0)/100)))))/Skills!H12,1)))/Inputs!$B$43),G83*Q83)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
        <f>IF(C83,(H83*N83*IF(AND(Inputs!$B$38&lt;&gt;"pvp",Inputs!$B$43&gt;0),((Skills!G12*((R83-1)*IF(Skills!H12&gt;0,Skills!I12/Skills!H12,1)+IF(Skills!H12&gt;0,MIN(Skills!I12,MAX(0,MAX(0,Inputs!$B$43-B108)-((R83-1)*(IF(Inputs!$B$38="pvp",15,MAX(0.1,Skills!D12-IF(Skills!E12=TRUE,Inputs!$B$32,0)))*(1-IF(AND(ArtifactsInput!$M$27,Inputs!$B$4="Chapter Hunt"),CHOOSE(ArtifactsInput!$N$27+1,20,24,28,32,36,40),0)/100)))))/Skills!H12,1)))/Inputs!$B$43),G83*Q83))*IF(Inputs!$B$38="pvp",1,(1+(Inputs!$B$21+Skills!Q12+(IF(ArtifactsInput!$M$33,CHOOSE(ArtifactsInput!$N$33+1,30,36,42,48,54,60)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
      <c r="A84">
        <f>Skills!A13</f>
        <v/>
      </c>
      <c r="B84">
        <f>Skills!B13</f>
        <v/>
      </c>
      <c r="C84">
        <f>Inputs!$B$3&gt;=110</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f>((Inputs!$B$6*(1+Inputs!$B$7/100))+((((Inputs!$B$12+1)*(1+Inputs!$B$13/100))-(Inputs!$B$12*(1+Inputs!$B$13/100)))+0.25*(Inputs!$B$14-Inputs!$B$14))*(1+Inputs!$B$7/100))*(F84/100)</f>
        <v/>
      </c>
      <c r="K84">
        <f>J84*(1+(((Inputs!$B$12+1)*(1+Inputs!$B$13/100))*0.01+Inputs!$B$14*0.0025)/100)*(1+Inputs!$B$15/100)*(1+Inputs!$B$16/100)*(5000/(6000+Inputs!$B$42*(1-(100*(1-(1-(Inputs!$B$19+0)/100)*(1-CHOOSE(ArtifactsInput!$N$40+1,5,6,7,8,9,10)/100)^(ArtifactsInput!$M$40-ArtifactsInput!$M$40)))/100)))*(1+(Inputs!$B$24+((C97=TRUE)*(F97-Calc!F26))+B107)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94=TRUE)*(F94-Calc!F23))+((C98=TRUE)*(F98-Calc!F27))+(((IF(AND(ArtifactsInput!$M$42,((Inputs!$B$9+((C90=TRUE)*(F90-Calc!F19))+B101+(ArtifactsInput!$M$24-ArtifactsInput!$M$24)*CHOOSE(ArtifactsInput!$N$24+1,10,12,14,16,18,20)+IF(ArtifactsInput!$M$10,CHOOSE(ArtifactsInput!$N$10+1,15,18,21,24,27,30)*(IF(Inputs!$B$38="pvp",MIN(15,15)/15,IF(AND(Inputs!$B$38&lt;&gt;"pvp",Inputs!$B$43&gt;0),MIN(15,Inputs!$B$43)/(Inputs!$B$43),0))),0)))&gt;=100),MIN(100,((Inputs!$B$9+((C90=TRUE)*(F90-Calc!F19))+B101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101+(ArtifactsInput!$M$24-ArtifactsInput!$M$24)*CHOOSE(ArtifactsInput!$N$24+1,10,12,14,16,18,20)+IF(ArtifactsInput!$M$10,CHOOSE(ArtifactsInput!$N$10+1,15,18,21,24,27,30)*(IF(Inputs!$B$38="pvp",MIN(15,15)/15,IF(AND(Inputs!$B$38&lt;&gt;"pvp",Inputs!$B$43&gt;0),MIN(15,Inputs!$B$43)/(Inputs!$B$43),0))),0)))&gt;=100),CHOOSE(ArtifactsInput!$N$42+1,40,48,56,64,72,80),0))))/100)*((1+(((C88=TRUE)*F88)+((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f>
        <v/>
      </c>
      <c r="L84">
        <f>K84*(MIN(Inputs!$B$22+((C93=TRUE)*(F93-Calc!F22)),(Inputs!$B$23+0+(IF(ArtifactsInput!$M$15,CHOOSE(ArtifactsInput!$N$15+1,25,30,35,40,45,50)/100*(Inputs!$B$11-Inputs!$B$11),0))))/100+(Inputs!$B$23+0+(IF(ArtifactsInput!$M$15,CHOOSE(ArtifactsInput!$N$15+1,25,30,35,40,45,50)/100*(Inputs!$B$11-Inputs!$B$11),0)))/100)/2</f>
        <v/>
      </c>
      <c r="M84">
        <f>L84*(1+(Inputs!$B$10+((C96=TRUE)*(F96-Calc!F25))+B106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
        <f>L84*(1-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
        <f>(1-Summary!$B$11)*T84+Summary!$B$11*V84</f>
        <v/>
      </c>
      <c r="P84">
        <f>IF(B111=0,0,O84/B111)</f>
        <v/>
      </c>
      <c r="Q84">
        <f>IFERROR(1/(IF(Inputs!$B$38="pvp",15,MAX(0.1,Skills!D13-IF(Skills!E13=TRUE,Inputs!$B$32,0)))*(1-IF(AND(ArtifactsInput!$M$27,Inputs!$B$4="Chapter Hunt"),CHOOSE(ArtifactsInput!$N$27+1,20,24,28,32,36,40),0)/100)),0)</f>
        <v/>
      </c>
      <c r="R84">
        <f>IF(AND(Inputs!$B$38&lt;&gt;"pvp",Inputs!$B$43&gt;0),IF(MAX(0,Inputs!$B$43-B108)&lt;=0,0,(INT(MAX(0,Inputs!$B$43-B108)/(IF(Inputs!$B$38="pvp",15,MAX(0.1,Skills!D13-IF(Skills!E13=TRUE,Inputs!$B$32,0)))*(1-IF(AND(ArtifactsInput!$M$27,Inputs!$B$4="Chapter Hunt"),CHOOSE(ArtifactsInput!$N$27+1,20,24,28,32,36,40),0)/100)))+1)),0)</f>
        <v/>
      </c>
      <c r="S84">
        <f>IFERROR(O84/N84,0)</f>
        <v/>
      </c>
      <c r="T84">
        <f>IF(C84,(H84*N84*IF(AND(Inputs!$B$38&lt;&gt;"pvp",Inputs!$B$43&gt;0),((Skills!G13*((R84-1)*IF(Skills!H13&gt;0,Skills!I13/Skills!H13,1)+IF(Skills!H13&gt;0,MIN(Skills!I13,MAX(0,MAX(0,Inputs!$B$43-B108)-((R84-1)*(IF(Inputs!$B$38="pvp",15,MAX(0.1,Skills!D13-IF(Skills!E13=TRUE,Inputs!$B$32,0)))*(1-IF(AND(ArtifactsInput!$M$27,Inputs!$B$4="Chapter Hunt"),CHOOSE(ArtifactsInput!$N$27+1,20,24,28,32,36,40),0)/100)))))/Skills!H13,1)))/Inputs!$B$43),G84*Q84)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
        <f>IF(C84,(H84*N84*IF(AND(Inputs!$B$38&lt;&gt;"pvp",Inputs!$B$43&gt;0),((Skills!G13*((R84-1)*IF(Skills!H13&gt;0,Skills!I13/Skills!H13,1)+IF(Skills!H13&gt;0,MIN(Skills!I13,MAX(0,MAX(0,Inputs!$B$43-B108)-((R84-1)*(IF(Inputs!$B$38="pvp",15,MAX(0.1,Skills!D13-IF(Skills!E13=TRUE,Inputs!$B$32,0)))*(1-IF(AND(ArtifactsInput!$M$27,Inputs!$B$4="Chapter Hunt"),CHOOSE(ArtifactsInput!$N$27+1,20,24,28,32,36,40),0)/100)))))/Skills!H13,1)))/Inputs!$B$43),G84*Q84))*IF(Inputs!$B$38="pvp",1,(1+(Inputs!$B$21+Skills!Q13+(IF(ArtifactsInput!$M$33,CHOOSE(ArtifactsInput!$N$33+1,30,36,42,48,54,60)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
      <c r="A85">
        <f>Skills!A14</f>
        <v/>
      </c>
      <c r="B85">
        <f>Skills!B14</f>
        <v/>
      </c>
      <c r="C85">
        <f>Inputs!$B$3&gt;=125</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f>((Inputs!$B$6*(1+Inputs!$B$7/100))+((((Inputs!$B$12+1)*(1+Inputs!$B$13/100))-(Inputs!$B$12*(1+Inputs!$B$13/100)))+0.25*(Inputs!$B$14-Inputs!$B$14))*(1+Inputs!$B$7/100))*(F85/100)</f>
        <v/>
      </c>
      <c r="K85">
        <f>J85*(1+(((Inputs!$B$12+1)*(1+Inputs!$B$13/100))*0.01+Inputs!$B$14*0.0025)/100)*(1+Inputs!$B$15/100)*(1+Inputs!$B$16/100)*(5000/(6000+Inputs!$B$42*(1-(100*(1-(1-(Inputs!$B$19+0)/100)*(1-CHOOSE(ArtifactsInput!$N$40+1,5,6,7,8,9,10)/100)^(ArtifactsInput!$M$40-ArtifactsInput!$M$40)))/100)))*(1+(Inputs!$B$24+((C97=TRUE)*(F97-Calc!F26))+B107)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94=TRUE)*(F94-Calc!F23))+((C98=TRUE)*(F98-Calc!F27))+(((IF(AND(ArtifactsInput!$M$42,((Inputs!$B$9+((C90=TRUE)*(F90-Calc!F19))+B101+(ArtifactsInput!$M$24-ArtifactsInput!$M$24)*CHOOSE(ArtifactsInput!$N$24+1,10,12,14,16,18,20)+IF(ArtifactsInput!$M$10,CHOOSE(ArtifactsInput!$N$10+1,15,18,21,24,27,30)*(IF(Inputs!$B$38="pvp",MIN(15,15)/15,IF(AND(Inputs!$B$38&lt;&gt;"pvp",Inputs!$B$43&gt;0),MIN(15,Inputs!$B$43)/(Inputs!$B$43),0))),0)))&gt;=100),MIN(100,((Inputs!$B$9+((C90=TRUE)*(F90-Calc!F19))+B101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101+(ArtifactsInput!$M$24-ArtifactsInput!$M$24)*CHOOSE(ArtifactsInput!$N$24+1,10,12,14,16,18,20)+IF(ArtifactsInput!$M$10,CHOOSE(ArtifactsInput!$N$10+1,15,18,21,24,27,30)*(IF(Inputs!$B$38="pvp",MIN(15,15)/15,IF(AND(Inputs!$B$38&lt;&gt;"pvp",Inputs!$B$43&gt;0),MIN(15,Inputs!$B$43)/(Inputs!$B$43),0))),0)))&gt;=100),CHOOSE(ArtifactsInput!$N$42+1,40,48,56,64,72,80),0))))/100)*((1+(((C88=TRUE)*F88)+((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f>
        <v/>
      </c>
      <c r="L85">
        <f>K85*(MIN(Inputs!$B$22+((C93=TRUE)*(F93-Calc!F22)),(Inputs!$B$23+0+(IF(ArtifactsInput!$M$15,CHOOSE(ArtifactsInput!$N$15+1,25,30,35,40,45,50)/100*(Inputs!$B$11-Inputs!$B$11),0))))/100+(Inputs!$B$23+0+(IF(ArtifactsInput!$M$15,CHOOSE(ArtifactsInput!$N$15+1,25,30,35,40,45,50)/100*(Inputs!$B$11-Inputs!$B$11),0)))/100)/2</f>
        <v/>
      </c>
      <c r="M85">
        <f>L85*(1+(Inputs!$B$10+((C96=TRUE)*(F96-Calc!F25))+B106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
        <f>L85*(1-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
        <f>(1-Summary!$B$11)*T85+Summary!$B$11*V85</f>
        <v/>
      </c>
      <c r="P85">
        <f>IF(B111=0,0,O85/B111)</f>
        <v/>
      </c>
      <c r="Q85" t="n">
        <v>0</v>
      </c>
      <c r="R85" t="n">
        <v>0</v>
      </c>
      <c r="S85">
        <f>IFERROR(O85/N85,0)</f>
        <v/>
      </c>
      <c r="T85">
        <f>IF(C85,(H85*N85*(B105+IF(AND(Inputs!$B$38&lt;&gt;"pvp",Inputs!$B$43&gt;0),((Skills!G8*((R79-1)*IF(Skills!H8&gt;0,Skills!I8/Skills!H8,1)+IF(Skills!H8&gt;0,MIN(Skills!I8,MAX(0,MAX(0,Inputs!$B$43-B108)-((R79-1)*(IF(Inputs!$B$38="pvp",15,MAX(0.1,Skills!D8-IF(Skills!E8=TRUE,Inputs!$B$32,0)))*(1-IF(AND(ArtifactsInput!$M$27,Inputs!$B$4="Chapter Hunt"),CHOOSE(ArtifactsInput!$N$27+1,20,24,28,32,36,40),0)/100)))))/Skills!H8,1)))/Inputs!$B$43),G79*Q79)+IF(AND(Inputs!$B$38&lt;&gt;"pvp",Inputs!$B$43&gt;0),((Skills!G11*((R82-1)*IF(Skills!H11&gt;0,Skills!I11/Skills!H11,1)+IF(Skills!H11&gt;0,MIN(Skills!I11,MAX(0,MAX(0,Inputs!$B$43-B108)-((R82-1)*(IF(Inputs!$B$38="pvp",15,MAX(0.1,Skills!D11-IF(Skills!E11=TRUE,Inputs!$B$32,0)))*(1-IF(AND(ArtifactsInput!$M$27,Inputs!$B$4="Chapter Hunt"),CHOOSE(ArtifactsInput!$N$27+1,20,24,28,32,36,40),0)/100)))))/Skills!H11,1)))/Inputs!$B$43),G82*Q82)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
        <f>IF(C85,(H85*N85*(B105+IF(AND(Inputs!$B$38&lt;&gt;"pvp",Inputs!$B$43&gt;0),((Skills!G8*((R79-1)*IF(Skills!H8&gt;0,Skills!I8/Skills!H8,1)+IF(Skills!H8&gt;0,MIN(Skills!I8,MAX(0,MAX(0,Inputs!$B$43-B108)-((R79-1)*(IF(Inputs!$B$38="pvp",15,MAX(0.1,Skills!D8-IF(Skills!E8=TRUE,Inputs!$B$32,0)))*(1-IF(AND(ArtifactsInput!$M$27,Inputs!$B$4="Chapter Hunt"),CHOOSE(ArtifactsInput!$N$27+1,20,24,28,32,36,40),0)/100)))))/Skills!H8,1)))/Inputs!$B$43),G79*Q79)+IF(AND(Inputs!$B$38&lt;&gt;"pvp",Inputs!$B$43&gt;0),((Skills!G11*((R82-1)*IF(Skills!H11&gt;0,Skills!I11/Skills!H11,1)+IF(Skills!H11&gt;0,MIN(Skills!I11,MAX(0,MAX(0,Inputs!$B$43-B108)-((R82-1)*(IF(Inputs!$B$38="pvp",15,MAX(0.1,Skills!D11-IF(Skills!E11=TRUE,Inputs!$B$32,0)))*(1-IF(AND(ArtifactsInput!$M$27,Inputs!$B$4="Chapter Hunt"),CHOOSE(ArtifactsInput!$N$27+1,20,24,28,32,36,40),0)/100)))))/Skills!H11,1)))/Inputs!$B$43),G82*Q82)))*IF(Inputs!$B$38="pvp",1,(1+(Inputs!$B$21+Skills!Q14+(IF(ArtifactsInput!$M$33,CHOOSE(ArtifactsInput!$N$33+1,30,36,42,48,54,60)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
      <c r="A86">
        <f>Skills!A15</f>
        <v/>
      </c>
      <c r="B86">
        <f>Skills!B15</f>
        <v/>
      </c>
      <c r="C86">
        <f>Inputs!$B$3&gt;=100</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t="inlineStr"/>
      <c r="H86" t="inlineStr"/>
      <c r="I86" t="inlineStr">
        <is>
          <t>1</t>
        </is>
      </c>
      <c r="J86" t="inlineStr"/>
      <c r="K86" t="inlineStr"/>
      <c r="L86" t="inlineStr"/>
      <c r="M86" t="inlineStr"/>
      <c r="N86" t="inlineStr"/>
      <c r="O86" t="inlineStr"/>
      <c r="P86" t="inlineStr"/>
      <c r="Q86" t="inlineStr"/>
      <c r="R86" t="inlineStr"/>
      <c r="S86" t="inlineStr"/>
    </row>
    <row r="87">
      <c r="A87">
        <f>Skills!A16</f>
        <v/>
      </c>
      <c r="B87">
        <f>Skills!B16</f>
        <v/>
      </c>
      <c r="C87">
        <f>Inputs!$B$3&gt;=120</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t="inlineStr"/>
      <c r="H87" t="inlineStr"/>
      <c r="I87" t="inlineStr">
        <is>
          <t>1</t>
        </is>
      </c>
      <c r="J87" t="inlineStr"/>
      <c r="K87" t="inlineStr"/>
      <c r="L87" t="inlineStr"/>
      <c r="M87" t="inlineStr"/>
      <c r="N87" t="inlineStr"/>
      <c r="O87" t="inlineStr"/>
      <c r="P87" t="inlineStr"/>
      <c r="Q87" t="inlineStr"/>
      <c r="R87" t="inlineStr"/>
      <c r="S87" t="inlineStr"/>
    </row>
    <row r="88">
      <c r="A88">
        <f>Skills!A17</f>
        <v/>
      </c>
      <c r="B88">
        <f>Skills!B17</f>
        <v/>
      </c>
      <c r="C88">
        <f>Inputs!$B$3&gt;=66</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IF(B111=0,0,O88/B111)</f>
        <v/>
      </c>
      <c r="Q88" t="n">
        <v>0</v>
      </c>
      <c r="R88" t="n">
        <v>0</v>
      </c>
      <c r="S88">
        <f>IFERROR(O88/N88,0)</f>
        <v/>
      </c>
      <c r="T88" t="n">
        <v>0</v>
      </c>
      <c r="V88" t="n">
        <v>0</v>
      </c>
    </row>
    <row r="89">
      <c r="A89">
        <f>Skills!A18</f>
        <v/>
      </c>
      <c r="B89">
        <f>Skills!B18</f>
        <v/>
      </c>
      <c r="C89">
        <f>Inputs!$B$3&gt;=115</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IF(B111=0,0,O89/B111)</f>
        <v/>
      </c>
      <c r="Q89" t="n">
        <v>0</v>
      </c>
      <c r="R89" t="n">
        <v>0</v>
      </c>
      <c r="S89">
        <f>IFERROR(O89/N89,0)</f>
        <v/>
      </c>
      <c r="T89" t="n">
        <v>0</v>
      </c>
      <c r="V89" t="n">
        <v>0</v>
      </c>
    </row>
    <row r="90">
      <c r="A90">
        <f>Skills!A19</f>
        <v/>
      </c>
      <c r="B90">
        <f>Skills!B19</f>
        <v/>
      </c>
      <c r="C90">
        <f>Inputs!$B$3&gt;=15</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IF(B111=0,0,O90/B111)</f>
        <v/>
      </c>
      <c r="Q90" t="n">
        <v>0</v>
      </c>
      <c r="R90" t="n">
        <v>0</v>
      </c>
      <c r="S90">
        <f>IFERROR(O90/N90,0)</f>
        <v/>
      </c>
      <c r="T90" t="n">
        <v>0</v>
      </c>
      <c r="V90" t="n">
        <v>0</v>
      </c>
    </row>
    <row r="91">
      <c r="A91">
        <f>Skills!A20</f>
        <v/>
      </c>
      <c r="B91">
        <f>Skills!B20</f>
        <v/>
      </c>
      <c r="C91">
        <f>Inputs!$B$3&gt;=10</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IF(B111=0,0,O91/B111)</f>
        <v/>
      </c>
      <c r="Q91" t="n">
        <v>0</v>
      </c>
      <c r="R91" t="n">
        <v>0</v>
      </c>
      <c r="S91">
        <f>IFERROR(O91/N91,0)</f>
        <v/>
      </c>
      <c r="T91" t="n">
        <v>0</v>
      </c>
      <c r="V91" t="n">
        <v>0</v>
      </c>
    </row>
    <row r="92">
      <c r="A92">
        <f>Skills!A21</f>
        <v/>
      </c>
      <c r="B92">
        <f>Skills!B21</f>
        <v/>
      </c>
      <c r="C92">
        <f>Inputs!$B$3&gt;=33</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IF(B111=0,0,O92/B111)</f>
        <v/>
      </c>
      <c r="Q92" t="n">
        <v>0</v>
      </c>
      <c r="R92" t="n">
        <v>0</v>
      </c>
      <c r="S92">
        <f>IFERROR(O92/N92,0)</f>
        <v/>
      </c>
      <c r="T92" t="n">
        <v>0</v>
      </c>
      <c r="V92" t="n">
        <v>0</v>
      </c>
    </row>
    <row r="93">
      <c r="A93">
        <f>Skills!A22</f>
        <v/>
      </c>
      <c r="B93">
        <f>Skills!B22</f>
        <v/>
      </c>
      <c r="C93">
        <f>Inputs!$B$3&gt;=43</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IF(B111=0,0,O93/B111)</f>
        <v/>
      </c>
      <c r="Q93" t="n">
        <v>0</v>
      </c>
      <c r="R93" t="n">
        <v>0</v>
      </c>
      <c r="S93">
        <f>IFERROR(O93/N93,0)</f>
        <v/>
      </c>
      <c r="T93" t="n">
        <v>0</v>
      </c>
      <c r="V93" t="n">
        <v>0</v>
      </c>
    </row>
    <row r="94">
      <c r="A94">
        <f>Skills!A23</f>
        <v/>
      </c>
      <c r="B94">
        <f>Skills!B23</f>
        <v/>
      </c>
      <c r="C94">
        <f>Inputs!$B$3&gt;=38</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f>(1-Summary!$B$11)*T94+Summary!$B$11*V94</f>
        <v/>
      </c>
      <c r="P94">
        <f>IF(B111=0,0,O94/B111)</f>
        <v/>
      </c>
      <c r="Q94" t="n">
        <v>0</v>
      </c>
      <c r="R94" t="n">
        <v>0</v>
      </c>
      <c r="S94">
        <f>IFERROR(O94/N94,0)</f>
        <v/>
      </c>
      <c r="T94" t="n">
        <v>0</v>
      </c>
      <c r="V94" t="n">
        <v>0</v>
      </c>
    </row>
    <row r="95">
      <c r="A95">
        <f>Skills!A24</f>
        <v/>
      </c>
      <c r="B95">
        <f>Skills!B24</f>
        <v/>
      </c>
      <c r="C95">
        <f>Inputs!$B$3&gt;=40</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Skills!G24*IF(Skills!H24&gt;0,Skills!I24/Skills!H24,1)</f>
        <v/>
      </c>
      <c r="H95">
        <f>1-(1-Skills!J24/100)^Skills!K24</f>
        <v/>
      </c>
      <c r="I95" t="inlineStr">
        <is>
          <t>1</t>
        </is>
      </c>
      <c r="J95" t="inlineStr"/>
      <c r="K95" t="inlineStr"/>
      <c r="L95" t="inlineStr"/>
      <c r="M95" t="inlineStr"/>
      <c r="N95" t="inlineStr"/>
      <c r="O95">
        <f>(1-Summary!$B$11)*T95+Summary!$B$11*V95</f>
        <v/>
      </c>
      <c r="P95">
        <f>IF(B111=0,0,O95/B111)</f>
        <v/>
      </c>
      <c r="Q95" t="n">
        <v>0</v>
      </c>
      <c r="R95" t="n">
        <v>0</v>
      </c>
      <c r="S95">
        <f>IFERROR(O95/N95,0)</f>
        <v/>
      </c>
      <c r="T95" t="n">
        <v>0</v>
      </c>
      <c r="V95" t="n">
        <v>0</v>
      </c>
    </row>
    <row r="96">
      <c r="A96">
        <f>Skills!A25</f>
        <v/>
      </c>
      <c r="B96">
        <f>Skills!B25</f>
        <v/>
      </c>
      <c r="C96">
        <f>Inputs!$B$3&gt;=72</f>
        <v/>
      </c>
      <c r="D96">
        <f>IF(Skills!C25=1,60+Inputs!$B$25+Inputs!$B$29,IF(Skills!C25=2,90+Inputs!$B$26+Inputs!$B$29,IF(Skills!C25=3,120+Inputs!$B$27+Inputs!$B$29,MAX(0,(Inputs!$B$3-100)*3)+Inputs!$B$28+Inputs!$B$29)))</f>
        <v/>
      </c>
      <c r="E96">
        <f>INDEX(FactorTable!$B$2:$Y$301, MATCH(ROUND(MIN(300,MAX(1,D96)),0), FactorTable!$A$2:$A$301,0), Skills!M25+1)</f>
        <v/>
      </c>
      <c r="F96">
        <f>IF(Skills!N25=TRUE,(Skills!L25/10)*(E96/1000),Skills!L25/10)+Skills!O25</f>
        <v/>
      </c>
      <c r="G96">
        <f>Skills!G25*IF(Skills!H25&gt;0,Skills!I25/Skills!H25,1)</f>
        <v/>
      </c>
      <c r="H96">
        <f>1-(1-Skills!J25/100)^Skills!K25</f>
        <v/>
      </c>
      <c r="I96" t="inlineStr">
        <is>
          <t>1</t>
        </is>
      </c>
      <c r="J96" t="inlineStr"/>
      <c r="K96" t="inlineStr"/>
      <c r="L96" t="inlineStr"/>
      <c r="M96" t="inlineStr"/>
      <c r="N96" t="inlineStr"/>
      <c r="O96">
        <f>(1-Summary!$B$11)*T96+Summary!$B$11*V96</f>
        <v/>
      </c>
      <c r="P96">
        <f>IF(B111=0,0,O96/B111)</f>
        <v/>
      </c>
      <c r="Q96" t="n">
        <v>0</v>
      </c>
      <c r="R96" t="n">
        <v>0</v>
      </c>
      <c r="S96">
        <f>IFERROR(O96/N96,0)</f>
        <v/>
      </c>
      <c r="T96" t="n">
        <v>0</v>
      </c>
      <c r="V96" t="n">
        <v>0</v>
      </c>
    </row>
    <row r="97">
      <c r="A97">
        <f>Skills!A26</f>
        <v/>
      </c>
      <c r="B97">
        <f>Skills!B26</f>
        <v/>
      </c>
      <c r="C97">
        <f>Inputs!$B$3&gt;=75</f>
        <v/>
      </c>
      <c r="D97">
        <f>IF(Skills!C26=1,60+Inputs!$B$25+Inputs!$B$29,IF(Skills!C26=2,90+Inputs!$B$26+Inputs!$B$29,IF(Skills!C26=3,120+Inputs!$B$27+Inputs!$B$29,MAX(0,(Inputs!$B$3-100)*3)+Inputs!$B$28+Inputs!$B$29)))</f>
        <v/>
      </c>
      <c r="E97">
        <f>INDEX(FactorTable!$B$2:$Y$301, MATCH(ROUND(MIN(300,MAX(1,D97)),0), FactorTable!$A$2:$A$301,0), Skills!M26+1)</f>
        <v/>
      </c>
      <c r="F97">
        <f>IF(Skills!N26=TRUE,(Skills!L26/10)*(E97/1000),Skills!L26/10)+Skills!O26</f>
        <v/>
      </c>
      <c r="G97">
        <f>Skills!G26*IF(Skills!H26&gt;0,Skills!I26/Skills!H26,1)</f>
        <v/>
      </c>
      <c r="H97">
        <f>1-(1-Skills!J26/100)^Skills!K26</f>
        <v/>
      </c>
      <c r="I97" t="inlineStr">
        <is>
          <t>1</t>
        </is>
      </c>
      <c r="J97" t="inlineStr"/>
      <c r="K97" t="inlineStr"/>
      <c r="L97" t="inlineStr"/>
      <c r="M97" t="inlineStr"/>
      <c r="N97" t="inlineStr"/>
      <c r="O97">
        <f>(1-Summary!$B$11)*T97+Summary!$B$11*V97</f>
        <v/>
      </c>
      <c r="P97">
        <f>IF(B111=0,0,O97/B111)</f>
        <v/>
      </c>
      <c r="Q97" t="n">
        <v>0</v>
      </c>
      <c r="R97" t="n">
        <v>0</v>
      </c>
      <c r="S97">
        <f>IFERROR(O97/N97,0)</f>
        <v/>
      </c>
      <c r="T97" t="n">
        <v>0</v>
      </c>
      <c r="V97" t="n">
        <v>0</v>
      </c>
    </row>
    <row r="98">
      <c r="A98">
        <f>Skills!A27</f>
        <v/>
      </c>
      <c r="B98">
        <f>Skills!B27</f>
        <v/>
      </c>
      <c r="C98">
        <f>Inputs!$B$3&gt;=117</f>
        <v/>
      </c>
      <c r="D98">
        <f>IF(Skills!C27=1,60+Inputs!$B$25+Inputs!$B$29,IF(Skills!C27=2,90+Inputs!$B$26+Inputs!$B$29,IF(Skills!C27=3,120+Inputs!$B$27+Inputs!$B$29,MAX(0,(Inputs!$B$3-100)*3)+Inputs!$B$28+Inputs!$B$29)))</f>
        <v/>
      </c>
      <c r="E98">
        <f>INDEX(FactorTable!$B$2:$Y$301, MATCH(ROUND(MIN(300,MAX(1,D98)),0), FactorTable!$A$2:$A$301,0), Skills!M27+1)</f>
        <v/>
      </c>
      <c r="F98">
        <f>IF(Skills!N27=TRUE,(Skills!L27/10)*(E98/1000),Skills!L27/10)+Skills!O27</f>
        <v/>
      </c>
      <c r="G98">
        <f>Skills!G27*IF(Skills!H27&gt;0,Skills!I27/Skills!H27,1)</f>
        <v/>
      </c>
      <c r="H98">
        <f>1-(1-Skills!J27/100)^Skills!K27</f>
        <v/>
      </c>
      <c r="I98" t="inlineStr">
        <is>
          <t>1</t>
        </is>
      </c>
      <c r="J98" t="inlineStr"/>
      <c r="K98" t="inlineStr"/>
      <c r="L98" t="inlineStr"/>
      <c r="M98" t="inlineStr"/>
      <c r="N98" t="inlineStr"/>
      <c r="O98">
        <f>(1-Summary!$B$11)*T98+Summary!$B$11*V98</f>
        <v/>
      </c>
      <c r="P98">
        <f>IF(B111=0,0,O98/B111)</f>
        <v/>
      </c>
      <c r="Q98" t="n">
        <v>0</v>
      </c>
      <c r="R98" t="n">
        <v>0</v>
      </c>
      <c r="S98">
        <f>IFERROR(O98/N98,0)</f>
        <v/>
      </c>
      <c r="T98" t="n">
        <v>0</v>
      </c>
      <c r="V98" t="n">
        <v>0</v>
      </c>
    </row>
    <row r="100">
      <c r="A100" t="inlineStr">
        <is>
          <t>Attack% Bucket Multiplier</t>
        </is>
      </c>
      <c r="B100">
        <f>(1+(((C88=TRUE)*F88)+((C95=TRUE)*(F95-Calc!F24))+(IF(ArtifactsInput!$M$21,CHOOSE(ArtifactsInput!$N$21+1,25,30,35,40,45,50)*(IF(OR(Inputs!$B$4="Chapter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1">
      <c r="A101" t="inlineStr">
        <is>
          <t>Global Crit Rate Bonus %</t>
        </is>
      </c>
      <c r="B101" t="n">
        <v>0</v>
      </c>
    </row>
    <row r="102">
      <c r="A102" t="inlineStr">
        <is>
          <t>Attack Speed Buff Bonus % (unused)</t>
        </is>
      </c>
      <c r="B102" t="n">
        <v>0</v>
      </c>
    </row>
    <row r="103">
      <c r="A103" t="inlineStr">
        <is>
          <t>Actions Per Second</t>
        </is>
      </c>
      <c r="B103">
        <f>1+MIN(150,150*(1-(1-(Inputs!$B$11+((C91=TRUE)*(F91-Calc!F20))+((C92=TRUE)*(F92-Calc!F21)))/150)*(1-B102/150)))/100</f>
        <v/>
      </c>
    </row>
    <row r="104">
      <c r="A104" t="inlineStr">
        <is>
          <t>Skill + Buff Cast Rate</t>
        </is>
      </c>
      <c r="B104">
        <f>IF(AND(Inputs!$B$38&lt;&gt;"pvp",Inputs!$B$43&gt;0),SUMPRODUCT((Skills!E2:E27=TRUE)*(C73:C98=TRUE)*R73:R98*Skills!F2:F27)/Inputs!$B$43,SUMPRODUCT((Skills!E2:E27=TRUE)*(C73:C98=TRUE)*Q73:Q98*Skills!F2:F27))</f>
        <v/>
      </c>
    </row>
    <row r="105">
      <c r="A105" t="inlineStr">
        <is>
          <t>Eight-Legs Easton Casts Per Second</t>
        </is>
      </c>
      <c r="B105">
        <f>MAX(0,B103-B104)</f>
        <v/>
      </c>
    </row>
    <row r="106">
      <c r="A106" t="inlineStr">
        <is>
          <t>Global Critical Damage Bonus % (unused)</t>
        </is>
      </c>
      <c r="B106" t="n">
        <v>0</v>
      </c>
    </row>
    <row r="107">
      <c r="A107" t="inlineStr">
        <is>
          <t>Global Final Damage Bonus % (Jolly Roger only)</t>
        </is>
      </c>
      <c r="B107">
        <f>((C89=TRUE)*F89)</f>
        <v/>
      </c>
    </row>
    <row r="108">
      <c r="A108" t="inlineStr">
        <is>
          <t>Buff-Casting Startup Delay (s, fixed-duration only)</t>
        </is>
      </c>
      <c r="B108">
        <f>IF(AND(Inputs!$B$38&lt;&gt;"pvp",Inputs!$B$43&gt;0),SUMPRODUCT((Skills!T2:T27&gt;0)*(Skills!E2:E27=TRUE)*(C73:C98=TRUE))/B103,0)</f>
        <v/>
      </c>
    </row>
    <row r="109">
      <c r="A109" t="inlineStr">
        <is>
          <t>Boss-Only Total DPS (this block's swept value)</t>
        </is>
      </c>
      <c r="B109">
        <f>SUM(T73:T98)</f>
        <v/>
      </c>
    </row>
    <row r="110">
      <c r="A110" t="inlineStr">
        <is>
          <t>Normal-Only Total DPS (this block's swept value)</t>
        </is>
      </c>
      <c r="B110">
        <f>SUM(V73:V98)</f>
        <v/>
      </c>
    </row>
    <row r="111">
      <c r="A111" s="6" t="inlineStr">
        <is>
          <t>TOTAL DPS</t>
        </is>
      </c>
      <c r="B111" s="6">
        <f>SUM(O73:O98)</f>
        <v/>
      </c>
    </row>
    <row r="114">
      <c r="A114" s="6" t="inlineStr">
        <is>
          <t>Stat: DEX %</t>
        </is>
      </c>
    </row>
    <row r="115">
      <c r="A115" s="5" t="inlineStr">
        <is>
          <t>Key</t>
        </is>
      </c>
      <c r="B115" s="5" t="inlineStr">
        <is>
          <t>Name</t>
        </is>
      </c>
      <c r="C115" s="5" t="inlineStr">
        <is>
          <t>Unlocked</t>
        </is>
      </c>
      <c r="D115" s="5" t="inlineStr">
        <is>
          <t>InputLevel</t>
        </is>
      </c>
      <c r="E115" s="5" t="inlineStr">
        <is>
          <t>Factor</t>
        </is>
      </c>
      <c r="F115" s="5" t="inlineStr">
        <is>
          <t>CoefficientPercent</t>
        </is>
      </c>
      <c r="G115" s="5" t="inlineStr">
        <is>
          <t>EffectiveHits</t>
        </is>
      </c>
      <c r="H115" s="5" t="inlineStr">
        <is>
          <t>ProcProbability</t>
        </is>
      </c>
      <c r="I115" s="5" t="inlineStr">
        <is>
          <t>MapleHeroMultiplier</t>
        </is>
      </c>
      <c r="J115" s="5" t="inlineStr">
        <is>
          <t>BaseDamage</t>
        </is>
      </c>
      <c r="K115" s="5" t="inlineStr">
        <is>
          <t>BaseHitDamage</t>
        </is>
      </c>
      <c r="L115" s="5" t="inlineStr">
        <is>
          <t>NonCritAvg</t>
        </is>
      </c>
      <c r="M115" s="5" t="inlineStr">
        <is>
          <t>CritAvg</t>
        </is>
      </c>
      <c r="N115" s="5" t="inlineStr">
        <is>
          <t>ExpectedDamage(perHit)</t>
        </is>
      </c>
      <c r="O115" s="5" t="inlineStr">
        <is>
          <t>DPS</t>
        </is>
      </c>
      <c r="P115" s="5" t="inlineStr">
        <is>
          <t>% of Total</t>
        </is>
      </c>
      <c r="Q115" s="5" t="inlineStr">
        <is>
          <t>InvCooldown</t>
        </is>
      </c>
      <c r="R115" s="5" t="inlineStr">
        <is>
          <t>CastsInFight</t>
        </is>
      </c>
      <c r="S115" s="5" t="inlineStr">
        <is>
          <t>HitRate(perSec)</t>
        </is>
      </c>
      <c r="U115" t="inlineStr">
        <is>
          <t>helpers</t>
        </is>
      </c>
    </row>
    <row r="116">
      <c r="A116">
        <f>Skills!A2</f>
        <v/>
      </c>
      <c r="B116">
        <f>Skills!B2</f>
        <v/>
      </c>
      <c r="C116">
        <f>Inputs!$B$3&gt;=100</f>
        <v/>
      </c>
      <c r="D116" t="inlineStr"/>
      <c r="E116" t="inlineStr"/>
      <c r="F116">
        <f>U118+Skills!O2</f>
        <v/>
      </c>
      <c r="G116">
        <f>Skills!G2*IF(Skills!H2&gt;0,Skills!I2/Skills!H2,1)</f>
        <v/>
      </c>
      <c r="H116">
        <f>1-(1-Skills!J2/100)^Skills!K2</f>
        <v/>
      </c>
      <c r="I116" t="inlineStr">
        <is>
          <t>1</t>
        </is>
      </c>
      <c r="J116">
        <f>((Inputs!$B$6*(1+Inputs!$B$7/100))+(((Inputs!$B$12*(1+(Inputs!$B$13+1)/100))-(Inputs!$B$12*(1+Inputs!$B$13/100)))+0.25*(Inputs!$B$14-Inputs!$B$14))*(1+Inputs!$B$7/100))*(F116/100)</f>
        <v/>
      </c>
      <c r="K116">
        <f>J116*(1+((Inputs!$B$12*(1+(Inputs!$B$13+1)/100))*0.01+Inputs!$B$14*0.0025)/100)*(1+Inputs!$B$15/100)*(1+Inputs!$B$16/100)*(5000/(6000+Inputs!$B$42*(1-(100*(1-(1-(Inputs!$B$19+0)/100)*(1-CHOOSE(ArtifactsInput!$N$40+1,5,6,7,8,9,10)/100)^(ArtifactsInput!$M$40-ArtifactsInput!$M$40)))/100)))*(1+(Inputs!$B$24+((C140=TRUE)*(F140-Calc!F26))+B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137=TRUE)*(F137-Calc!F23))+((C141=TRUE)*(F141-Calc!F27))+(((IF(AND(ArtifactsInput!$M$42,((Inputs!$B$9+((C133=TRUE)*(F133-Calc!F19))+B144+(ArtifactsInput!$M$24-ArtifactsInput!$M$24)*CHOOSE(ArtifactsInput!$N$24+1,10,12,14,16,18,20)+IF(ArtifactsInput!$M$10,CHOOSE(ArtifactsInput!$N$10+1,15,18,21,24,27,30)*(IF(Inputs!$B$38="pvp",MIN(15,15)/15,IF(AND(Inputs!$B$38&lt;&gt;"pvp",Inputs!$B$43&gt;0),MIN(15,Inputs!$B$43)/(Inputs!$B$43),0))),0)))&gt;=100),MIN(100,((Inputs!$B$9+((C133=TRUE)*(F133-Calc!F19))+B144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TRUE)*(F133-Calc!F19))+B144+(ArtifactsInput!$M$24-ArtifactsInput!$M$24)*CHOOSE(ArtifactsInput!$N$24+1,10,12,14,16,18,20)+IF(ArtifactsInput!$M$10,CHOOSE(ArtifactsInput!$N$10+1,15,18,21,24,27,30)*(IF(Inputs!$B$38="pvp",MIN(15,15)/15,IF(AND(Inputs!$B$38&lt;&gt;"pvp",Inputs!$B$43&gt;0),MIN(15,Inputs!$B$43)/(Inputs!$B$43),0))),0)))&gt;=100),CHOOSE(ArtifactsInput!$N$42+1,40,48,56,64,72,80),0))))/100)*((1+(((C131=TRUE)*F131)+((C138=TRUE)*(F138-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f>
        <v/>
      </c>
      <c r="L116">
        <f>K116*(MIN(Inputs!$B$22+((C136=TRUE)*(F136-Calc!F22)),(Inputs!$B$23+0+(IF(ArtifactsInput!$M$15,CHOOSE(ArtifactsInput!$N$15+1,25,30,35,40,45,50)/100*(Inputs!$B$11-Inputs!$B$11),0))))/100+(Inputs!$B$23+0+(IF(ArtifactsInput!$M$15,CHOOSE(ArtifactsInput!$N$15+1,25,30,35,40,45,50)/100*(Inputs!$B$11-Inputs!$B$11),0)))/100)/2</f>
        <v/>
      </c>
      <c r="M116">
        <f>L116*(1+(Inputs!$B$10+((C139=TRUE)*(F139-Calc!F25))+B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
        <f>L116*(1-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
        <f>(1-Summary!$B$11)*T116+Summary!$B$11*V116</f>
        <v/>
      </c>
      <c r="P116">
        <f>IF(B154=0,0,O116/B154)</f>
        <v/>
      </c>
      <c r="Q116" t="n">
        <v>0</v>
      </c>
      <c r="R116" t="n">
        <v>0</v>
      </c>
      <c r="S116">
        <f>IFERROR(O116/N116,0)</f>
        <v/>
      </c>
      <c r="T116">
        <f>IF(C116,(Skills!G2*N116*B148)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
        <f>MAX(0,(Inputs!$B$3-100)*3)+Inputs!$B$28+Inputs!$B$29</f>
        <v/>
      </c>
      <c r="V116">
        <f>IF(C116,(Skills!G2*N116*B148)*IF(Inputs!$B$38="pvp",1,(1+(Inputs!$B$21+Skills!Q2+(IF(ArtifactsInput!$M$33,CHOOSE(ArtifactsInput!$N$33+1,30,36,42,48,54,60),0))+(IF(AND(ArtifactsInput!$M$35,Inputs!$B$4&lt;&gt;"Chapter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
      <c r="A117">
        <f>Skills!A3</f>
        <v/>
      </c>
      <c r="B117">
        <f>Skills!B3</f>
        <v/>
      </c>
      <c r="C117">
        <f>Inputs!$B$3&gt;=35</f>
        <v/>
      </c>
      <c r="D117">
        <f>IF(Skills!C3=1,60+Inputs!$B$25+Inputs!$B$29,IF(Skills!C3=2,90+Inputs!$B$26+Inputs!$B$29,IF(Skills!C3=3,120+Inputs!$B$27+Inputs!$B$29,MAX(0,(Inputs!$B$3-100)*3)+Inputs!$B$28+Inputs!$B$29)))</f>
        <v/>
      </c>
      <c r="E117">
        <f>INDEX(FactorTable!$B$2:$Y$301, MATCH(ROUND(MIN(300,MAX(1,D117)),0), FactorTable!$A$2:$A$301,0), Skills!M3+1)</f>
        <v/>
      </c>
      <c r="F117">
        <f>IF(Skills!N3=TRUE,(Skills!L3/10)*(E117/1000),Skills!L3/10)+Skills!O3</f>
        <v/>
      </c>
      <c r="G117">
        <f>Skills!G3*IF(Skills!H3&gt;0,Skills!I3/Skills!H3,1)</f>
        <v/>
      </c>
      <c r="H117">
        <f>1-(1-Skills!J3/100)^Skills!K3</f>
        <v/>
      </c>
      <c r="I117" t="inlineStr">
        <is>
          <t>1</t>
        </is>
      </c>
      <c r="J117">
        <f>((Inputs!$B$6*(1+Inputs!$B$7/100))+(((Inputs!$B$12*(1+(Inputs!$B$13+1)/100))-(Inputs!$B$12*(1+Inputs!$B$13/100)))+0.25*(Inputs!$B$14-Inputs!$B$14))*(1+Inputs!$B$7/100))*(F117/100)</f>
        <v/>
      </c>
      <c r="K117">
        <f>J117*(1+((Inputs!$B$12*(1+(Inputs!$B$13+1)/100))*0.01+Inputs!$B$14*0.0025)/100)*(1+Inputs!$B$15/100)*(1+Inputs!$B$16/100)*(5000/(6000+Inputs!$B$42*(1-(100*(1-(1-(Inputs!$B$19+0)/100)*(1-CHOOSE(ArtifactsInput!$N$40+1,5,6,7,8,9,10)/100)^(ArtifactsInput!$M$40-ArtifactsInput!$M$40)))/100)))*(1+(Inputs!$B$24+((C140=TRUE)*(F140-Calc!F26))+B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129=TRUE,F129,0)/100)*(1+(IF(Skills!A3="EIGHT_LEGS_EASTON",Inputs!$B$17+((C137=TRUE)*(F137-Calc!F23))+((C141=TRUE)*(F141-Calc!F27))+(((IF(AND(ArtifactsInput!$M$42,((Inputs!$B$9+((C133=TRUE)*(F133-Calc!F19))+B144+(ArtifactsInput!$M$24-ArtifactsInput!$M$24)*CHOOSE(ArtifactsInput!$N$24+1,10,12,14,16,18,20)+IF(ArtifactsInput!$M$10,CHOOSE(ArtifactsInput!$N$10+1,15,18,21,24,27,30)*(IF(Inputs!$B$38="pvp",MIN(15,15)/15,IF(AND(Inputs!$B$38&lt;&gt;"pvp",Inputs!$B$43&gt;0),MIN(15,Inputs!$B$43)/(Inputs!$B$43),0))),0)))&gt;=100),MIN(100,((Inputs!$B$9+((C133=TRUE)*(F133-Calc!F19))+B144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TRUE)*(F133-Calc!F19))+B144+(ArtifactsInput!$M$24-ArtifactsInput!$M$24)*CHOOSE(ArtifactsInput!$N$24+1,10,12,14,16,18,20)+IF(ArtifactsInput!$M$10,CHOOSE(ArtifactsInput!$N$10+1,15,18,21,24,27,30)*(IF(Inputs!$B$38="pvp",MIN(15,15)/15,IF(AND(Inputs!$B$38&lt;&gt;"pvp",Inputs!$B$43&gt;0),MIN(15,Inputs!$B$43)/(Inputs!$B$43),0))),0)))&gt;=100),CHOOSE(ArtifactsInput!$N$42+1,40,48,56,64,72,80),0))))/100)*((1+(((C131=TRUE)*F131)+((C138=TRUE)*(F138-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f>
        <v/>
      </c>
      <c r="L117">
        <f>K117*(MIN(Inputs!$B$22+((C136=TRUE)*(F136-Calc!F22)),(Inputs!$B$23+0+(IF(ArtifactsInput!$M$15,CHOOSE(ArtifactsInput!$N$15+1,25,30,35,40,45,50)/100*(Inputs!$B$11-Inputs!$B$11),0))))/100+(Inputs!$B$23+0+(IF(ArtifactsInput!$M$15,CHOOSE(ArtifactsInput!$N$15+1,25,30,35,40,45,50)/100*(Inputs!$B$11-Inputs!$B$11),0)))/100)/2</f>
        <v/>
      </c>
      <c r="M117">
        <f>L117*(1+(Inputs!$B$10+((C139=TRUE)*(F139-Calc!F25))+B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
        <f>L117*(1-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
        <f>(1-Summary!$B$11)*T117+Summary!$B$11*V117</f>
        <v/>
      </c>
      <c r="P117">
        <f>IF(B154=0,0,O117/B154)</f>
        <v/>
      </c>
      <c r="Q117">
        <f>IFERROR(1/(IF(Inputs!$B$38="pvp",15,MAX(0.1,Skills!D3-IF(Skills!E3=TRUE,Inputs!$B$32,0)))*(1-IF(AND(ArtifactsInput!$M$27,Inputs!$B$4="Chapter Hunt"),CHOOSE(ArtifactsInput!$N$27+1,20,24,28,32,36,40),0)/100)),0)</f>
        <v/>
      </c>
      <c r="R117">
        <f>IF(AND(Inputs!$B$38&lt;&gt;"pvp",Inputs!$B$43&gt;0),IF(MAX(0,Inputs!$B$43-B151)&lt;=0,0,(INT(MAX(0,Inputs!$B$43-B151)/(IF(Inputs!$B$38="pvp",15,MAX(0.1,Skills!D3-IF(Skills!E3=TRUE,Inputs!$B$32,0)))*(1-IF(AND(ArtifactsInput!$M$27,Inputs!$B$4="Chapter Hunt"),CHOOSE(ArtifactsInput!$N$27+1,20,24,28,32,36,40),0)/100)))+1)),0)</f>
        <v/>
      </c>
      <c r="S117">
        <f>IFERROR(O117/N117,0)</f>
        <v/>
      </c>
      <c r="T117">
        <f>IF(C117,(H117*N117*IF(AND(Inputs!$B$38&lt;&gt;"pvp",Inputs!$B$43&gt;0),((Skills!G3*((R117-1)*IF(Skills!H3&gt;0,Skills!I3/Skills!H3,1)+IF(Skills!H3&gt;0,MIN(Skills!I3,MAX(0,MAX(0,Inputs!$B$43-B151)-((R117-1)*(IF(Inputs!$B$38="pvp",15,MAX(0.1,Skills!D3-IF(Skills!E3=TRUE,Inputs!$B$32,0)))*(1-IF(AND(ArtifactsInput!$M$27,Inputs!$B$4="Chapter Hunt"),CHOOSE(ArtifactsInput!$N$27+1,20,24,28,32,36,40),0)/100)))))/Skills!H3,1)))/Inputs!$B$43),G117*Q117)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
        <f>INDEX(FactorTable!$B$2:$Y$301, MATCH(ROUND(MIN(300,MAX(1,U116)),0), FactorTable!$A$2:$A$301,0), 22)</f>
        <v/>
      </c>
      <c r="V117">
        <f>IF(C117,(H117*N117*IF(AND(Inputs!$B$38&lt;&gt;"pvp",Inputs!$B$43&gt;0),((Skills!G3*((R117-1)*IF(Skills!H3&gt;0,Skills!I3/Skills!H3,1)+IF(Skills!H3&gt;0,MIN(Skills!I3,MAX(0,MAX(0,Inputs!$B$43-B151)-((R117-1)*(IF(Inputs!$B$38="pvp",15,MAX(0.1,Skills!D3-IF(Skills!E3=TRUE,Inputs!$B$32,0)))*(1-IF(AND(ArtifactsInput!$M$27,Inputs!$B$4="Chapter Hunt"),CHOOSE(ArtifactsInput!$N$27+1,20,24,28,32,36,40),0)/100)))))/Skills!H3,1)))/Inputs!$B$43),G117*Q117))*IF(Inputs!$B$38="pvp",1,(1+(Inputs!$B$21+Skills!Q3+(IF(ArtifactsInput!$M$33,CHOOSE(ArtifactsInput!$N$33+1,30,36,42,48,54,60)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
      <c r="A118">
        <f>Skills!A4</f>
        <v/>
      </c>
      <c r="B118">
        <f>Skills!B4</f>
        <v/>
      </c>
      <c r="C118">
        <f>Inputs!$B$3&gt;=40</f>
        <v/>
      </c>
      <c r="D118">
        <f>IF(Skills!C4=1,60+Inputs!$B$25+Inputs!$B$29,IF(Skills!C4=2,90+Inputs!$B$26+Inputs!$B$29,IF(Skills!C4=3,120+Inputs!$B$27+Inputs!$B$29,MAX(0,(Inputs!$B$3-100)*3)+Inputs!$B$28+Inputs!$B$29)))</f>
        <v/>
      </c>
      <c r="E118">
        <f>INDEX(FactorTable!$B$2:$Y$301, MATCH(ROUND(MIN(300,MAX(1,D118)),0), FactorTable!$A$2:$A$301,0), Skills!M4+1)</f>
        <v/>
      </c>
      <c r="F118">
        <f>IF(Skills!N4=TRUE,(Skills!L4/10)*(E118/1000),Skills!L4/10)+Skills!O4</f>
        <v/>
      </c>
      <c r="G118">
        <f>Skills!G4*IF(Skills!H4&gt;0,Skills!I4/Skills!H4,1)</f>
        <v/>
      </c>
      <c r="H118">
        <f>1-(1-Skills!J4/100)^Skills!K4</f>
        <v/>
      </c>
      <c r="I118" t="inlineStr">
        <is>
          <t>1</t>
        </is>
      </c>
      <c r="J118">
        <f>((Inputs!$B$6*(1+Inputs!$B$7/100))+(((Inputs!$B$12*(1+(Inputs!$B$13+1)/100))-(Inputs!$B$12*(1+Inputs!$B$13/100)))+0.25*(Inputs!$B$14-Inputs!$B$14))*(1+Inputs!$B$7/100))*(F118/100)</f>
        <v/>
      </c>
      <c r="K118">
        <f>J118*(1+((Inputs!$B$12*(1+(Inputs!$B$13+1)/100))*0.01+Inputs!$B$14*0.0025)/100)*(1+Inputs!$B$15/100)*(1+Inputs!$B$16/100)*(5000/(6000+Inputs!$B$42*(1-(100*(1-(1-(Inputs!$B$19+0)/100)*(1-CHOOSE(ArtifactsInput!$N$40+1,5,6,7,8,9,10)/100)^(ArtifactsInput!$M$40-ArtifactsInput!$M$40)))/100)))*(1+(Inputs!$B$24+((C140=TRUE)*(F140-Calc!F26))+B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130=TRUE,F130,0)/100)*(1+(IF(Skills!A4="EIGHT_LEGS_EASTON",Inputs!$B$17+((C137=TRUE)*(F137-Calc!F23))+((C141=TRUE)*(F141-Calc!F27))+(((IF(AND(ArtifactsInput!$M$42,((Inputs!$B$9+((C133=TRUE)*(F133-Calc!F19))+B144+(ArtifactsInput!$M$24-ArtifactsInput!$M$24)*CHOOSE(ArtifactsInput!$N$24+1,10,12,14,16,18,20)+IF(ArtifactsInput!$M$10,CHOOSE(ArtifactsInput!$N$10+1,15,18,21,24,27,30)*(IF(Inputs!$B$38="pvp",MIN(15,15)/15,IF(AND(Inputs!$B$38&lt;&gt;"pvp",Inputs!$B$43&gt;0),MIN(15,Inputs!$B$43)/(Inputs!$B$43),0))),0)))&gt;=100),MIN(100,((Inputs!$B$9+((C133=TRUE)*(F133-Calc!F19))+B144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TRUE)*(F133-Calc!F19))+B144+(ArtifactsInput!$M$24-ArtifactsInput!$M$24)*CHOOSE(ArtifactsInput!$N$24+1,10,12,14,16,18,20)+IF(ArtifactsInput!$M$10,CHOOSE(ArtifactsInput!$N$10+1,15,18,21,24,27,30)*(IF(Inputs!$B$38="pvp",MIN(15,15)/15,IF(AND(Inputs!$B$38&lt;&gt;"pvp",Inputs!$B$43&gt;0),MIN(15,Inputs!$B$43)/(Inputs!$B$43),0))),0)))&gt;=100),CHOOSE(ArtifactsInput!$N$42+1,40,48,56,64,72,80),0))))/100)*((1+(((C131=TRUE)*F131)+((C138=TRUE)*(F138-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C136=TRUE)*(F136-Calc!F22)),(Inputs!$B$23+0+(IF(ArtifactsInput!$M$15,CHOOSE(ArtifactsInput!$N$15+1,25,30,35,40,45,50)/100*(Inputs!$B$11-Inputs!$B$11),0))))/100+(Inputs!$B$23+0+(IF(ArtifactsInput!$M$15,CHOOSE(ArtifactsInput!$N$15+1,25,30,35,40,45,50)/100*(Inputs!$B$11-Inputs!$B$11),0)))/100)/2</f>
        <v/>
      </c>
      <c r="M118">
        <f>L118*(1+(Inputs!$B$10+((C139=TRUE)*(F139-Calc!F25))+B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(1-Summary!$B$11)*T118+Summary!$B$11*V118</f>
        <v/>
      </c>
      <c r="P118">
        <f>IF(B154=0,0,O118/B154)</f>
        <v/>
      </c>
      <c r="Q118">
        <f>IFERROR(1/(IF(Inputs!$B$38="pvp",15,MAX(0.1,Skills!D4-IF(Skills!E4=TRUE,Inputs!$B$32,0)))*(1-IF(AND(ArtifactsInput!$M$27,Inputs!$B$4="Chapter Hunt"),CHOOSE(ArtifactsInput!$N$27+1,20,24,28,32,36,40),0)/100)),0)</f>
        <v/>
      </c>
      <c r="R118">
        <f>IF(AND(Inputs!$B$38&lt;&gt;"pvp",Inputs!$B$43&gt;0),IF(MAX(0,Inputs!$B$43-B151)&lt;=0,0,(INT(MAX(0,Inputs!$B$43-B151)/(IF(Inputs!$B$38="pvp",15,MAX(0.1,Skills!D4-IF(Skills!E4=TRUE,Inputs!$B$32,0)))*(1-IF(AND(ArtifactsInput!$M$27,Inputs!$B$4="Chapter Hunt"),CHOOSE(ArtifactsInput!$N$27+1,20,24,28,32,36,40),0)/100)))+1)),0)</f>
        <v/>
      </c>
      <c r="S118">
        <f>IFERROR(O118/N118,0)</f>
        <v/>
      </c>
      <c r="T118">
        <f>IF(C118,(H118*N118*IF(AND(Inputs!$B$38&lt;&gt;"pvp",Inputs!$B$43&gt;0),((Skills!G4*((R118-1)*IF(Skills!H4&gt;0,Skills!I4/Skills!H4,1)+IF(Skills!H4&gt;0,MIN(Skills!I4,MAX(0,MAX(0,Inputs!$B$43-B151)-((R118-1)*(IF(Inputs!$B$38="pvp",15,MAX(0.1,Skills!D4-IF(Skills!E4=TRUE,Inputs!$B$32,0)))*(1-IF(AND(ArtifactsInput!$M$27,Inputs!$B$4="Chapter Hunt"),CHOOSE(ArtifactsInput!$N$27+1,20,24,28,32,36,40),0)/100)))))/Skills!H4,1)))/Inputs!$B$43),G118*Q118)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
        <f>290*U117/1000</f>
        <v/>
      </c>
      <c r="V118">
        <f>IF(C118,(H118*N118*IF(AND(Inputs!$B$38&lt;&gt;"pvp",Inputs!$B$43&gt;0),((Skills!G4*((R118-1)*IF(Skills!H4&gt;0,Skills!I4/Skills!H4,1)+IF(Skills!H4&gt;0,MIN(Skills!I4,MAX(0,MAX(0,Inputs!$B$43-B151)-((R118-1)*(IF(Inputs!$B$38="pvp",15,MAX(0.1,Skills!D4-IF(Skills!E4=TRUE,Inputs!$B$32,0)))*(1-IF(AND(ArtifactsInput!$M$27,Inputs!$B$4="Chapter Hunt"),CHOOSE(ArtifactsInput!$N$27+1,20,24,28,32,36,40),0)/100)))))/Skills!H4,1)))/Inputs!$B$43),G118*Q118))*IF(Inputs!$B$38="pvp",1,(1+(Inputs!$B$21+Skills!Q4+(IF(ArtifactsInput!$M$33,CHOOSE(ArtifactsInput!$N$33+1,30,36,42,48,54,60)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Skills!A5</f>
        <v/>
      </c>
      <c r="B119">
        <f>Skills!B5</f>
        <v/>
      </c>
      <c r="C119">
        <f>Inputs!$B$3&gt;=45</f>
        <v/>
      </c>
      <c r="D119">
        <f>IF(Skills!C5=1,60+Inputs!$B$25+Inputs!$B$29,IF(Skills!C5=2,90+Inputs!$B$26+Inputs!$B$29,IF(Skills!C5=3,120+Inputs!$B$27+Inputs!$B$29,MAX(0,(Inputs!$B$3-100)*3)+Inputs!$B$28+Inputs!$B$29)))</f>
        <v/>
      </c>
      <c r="E119">
        <f>INDEX(FactorTable!$B$2:$Y$301, MATCH(ROUND(MIN(300,MAX(1,D119)),0), FactorTable!$A$2:$A$301,0), Skills!M5+1)</f>
        <v/>
      </c>
      <c r="F119">
        <f>IF(Skills!N5=TRUE,(Skills!L5/10)*(E119/1000),Skills!L5/10)+Skills!O5</f>
        <v/>
      </c>
      <c r="G119">
        <f>Skills!G5*IF(Skills!H5&gt;0,Skills!I5/Skills!H5,1)</f>
        <v/>
      </c>
      <c r="H119">
        <f>1-(1-Skills!J5/100)^Skills!K5</f>
        <v/>
      </c>
      <c r="I119" t="inlineStr">
        <is>
          <t>1</t>
        </is>
      </c>
      <c r="J119">
        <f>((Inputs!$B$6*(1+Inputs!$B$7/100))+(((Inputs!$B$12*(1+(Inputs!$B$13+1)/100))-(Inputs!$B$12*(1+Inputs!$B$13/100)))+0.25*(Inputs!$B$14-Inputs!$B$14))*(1+Inputs!$B$7/100))*(F119/100)</f>
        <v/>
      </c>
      <c r="K119">
        <f>J119*(1+((Inputs!$B$12*(1+(Inputs!$B$13+1)/100))*0.01+Inputs!$B$14*0.0025)/100)*(1+Inputs!$B$15/100)*(1+Inputs!$B$16/100)*(5000/(6000+Inputs!$B$42*(1-(100*(1-(1-(Inputs!$B$19+0)/100)*(1-CHOOSE(ArtifactsInput!$N$40+1,5,6,7,8,9,10)/100)^(ArtifactsInput!$M$40-ArtifactsInput!$M$40)))/100)))*(1+(Inputs!$B$24+((C140=TRUE)*(F140-Calc!F26))+B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130=TRUE,F130,0)/100)*(1+(IF(Skills!A5="EIGHT_LEGS_EASTON",Inputs!$B$17+((C137=TRUE)*(F137-Calc!F23))+((C141=TRUE)*(F141-Calc!F27))+(((IF(AND(ArtifactsInput!$M$42,((Inputs!$B$9+((C133=TRUE)*(F133-Calc!F19))+B144+(ArtifactsInput!$M$24-ArtifactsInput!$M$24)*CHOOSE(ArtifactsInput!$N$24+1,10,12,14,16,18,20)+IF(ArtifactsInput!$M$10,CHOOSE(ArtifactsInput!$N$10+1,15,18,21,24,27,30)*(IF(Inputs!$B$38="pvp",MIN(15,15)/15,IF(AND(Inputs!$B$38&lt;&gt;"pvp",Inputs!$B$43&gt;0),MIN(15,Inputs!$B$43)/(Inputs!$B$43),0))),0)))&gt;=100),MIN(100,((Inputs!$B$9+((C133=TRUE)*(F133-Calc!F19))+B144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TRUE)*(F133-Calc!F19))+B144+(ArtifactsInput!$M$24-ArtifactsInput!$M$24)*CHOOSE(ArtifactsInput!$N$24+1,10,12,14,16,18,20)+IF(ArtifactsInput!$M$10,CHOOSE(ArtifactsInput!$N$10+1,15,18,21,24,27,30)*(IF(Inputs!$B$38="pvp",MIN(15,15)/15,IF(AND(Inputs!$B$38&lt;&gt;"pvp",Inputs!$B$43&gt;0),MIN(15,Inputs!$B$43)/(Inputs!$B$43),0))),0)))&gt;=100),CHOOSE(ArtifactsInput!$N$42+1,40,48,56,64,72,80),0))))/100)*((1+(((C131=TRUE)*F131)+((C138=TRUE)*(F138-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C136=TRUE)*(F136-Calc!F22)),(Inputs!$B$23+0+(IF(ArtifactsInput!$M$15,CHOOSE(ArtifactsInput!$N$15+1,25,30,35,40,45,50)/100*(Inputs!$B$11-Inputs!$B$11),0))))/100+(Inputs!$B$23+0+(IF(ArtifactsInput!$M$15,CHOOSE(ArtifactsInput!$N$15+1,25,30,35,40,45,50)/100*(Inputs!$B$11-Inputs!$B$11),0)))/100)/2</f>
        <v/>
      </c>
      <c r="M119">
        <f>L119*(1+(Inputs!$B$10+((C139=TRUE)*(F139-Calc!F25))+B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(1-Summary!$B$11)*T119+Summary!$B$11*V119</f>
        <v/>
      </c>
      <c r="P119">
        <f>IF(B154=0,0,O119/B154)</f>
        <v/>
      </c>
      <c r="Q119">
        <f>IFERROR(1/(IF(Inputs!$B$38="pvp",15,MAX(0.1,Skills!D5-IF(Skills!E5=TRUE,Inputs!$B$32,0)))*(1-IF(AND(ArtifactsInput!$M$27,Inputs!$B$4="Chapter Hunt"),CHOOSE(ArtifactsInput!$N$27+1,20,24,28,32,36,40),0)/100)),0)</f>
        <v/>
      </c>
      <c r="R119">
        <f>IF(AND(Inputs!$B$38&lt;&gt;"pvp",Inputs!$B$43&gt;0),IF(MAX(0,Inputs!$B$43-B151)&lt;=0,0,(INT(MAX(0,Inputs!$B$43-B151)/(IF(Inputs!$B$38="pvp",15,MAX(0.1,Skills!D5-IF(Skills!E5=TRUE,Inputs!$B$32,0)))*(1-IF(AND(ArtifactsInput!$M$27,Inputs!$B$4="Chapter Hunt"),CHOOSE(ArtifactsInput!$N$27+1,20,24,28,32,36,40),0)/100)))+1)),0)</f>
        <v/>
      </c>
      <c r="S119">
        <f>IFERROR(O119/N119,0)</f>
        <v/>
      </c>
      <c r="T119">
        <f>IF(C119,(H119*N119*IF(AND(Inputs!$B$38&lt;&gt;"pvp",Inputs!$B$43&gt;0),((Skills!G5*((R119-1)*IF(Skills!H5&gt;0,Skills!I5/Skills!H5,1)+IF(Skills!H5&gt;0,MIN(Skills!I5,MAX(0,MAX(0,Inputs!$B$43-B151)-((R119-1)*(IF(Inputs!$B$38="pvp",15,MAX(0.1,Skills!D5-IF(Skills!E5=TRUE,Inputs!$B$32,0)))*(1-IF(AND(ArtifactsInput!$M$27,Inputs!$B$4="Chapter Hunt"),CHOOSE(ArtifactsInput!$N$27+1,20,24,28,32,36,40),0)/100)))))/Skills!H5,1)))/Inputs!$B$43),G119*Q119)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
        <f>IF(C119,(H119*N119*IF(AND(Inputs!$B$38&lt;&gt;"pvp",Inputs!$B$43&gt;0),((Skills!G5*((R119-1)*IF(Skills!H5&gt;0,Skills!I5/Skills!H5,1)+IF(Skills!H5&gt;0,MIN(Skills!I5,MAX(0,MAX(0,Inputs!$B$43-B151)-((R119-1)*(IF(Inputs!$B$38="pvp",15,MAX(0.1,Skills!D5-IF(Skills!E5=TRUE,Inputs!$B$32,0)))*(1-IF(AND(ArtifactsInput!$M$27,Inputs!$B$4="Chapter Hunt"),CHOOSE(ArtifactsInput!$N$27+1,20,24,28,32,36,40),0)/100)))))/Skills!H5,1)))/Inputs!$B$43),G119*Q119))*IF(Inputs!$B$38="pvp",1,(1+(Inputs!$B$21+Skills!Q5+(IF(ArtifactsInput!$M$33,CHOOSE(ArtifactsInput!$N$33+1,30,36,42,48,54,60)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Skills!A6</f>
        <v/>
      </c>
      <c r="B120">
        <f>Skills!B6</f>
        <v/>
      </c>
      <c r="C120">
        <f>Inputs!$B$3&gt;=63</f>
        <v/>
      </c>
      <c r="D120">
        <f>IF(Skills!C6=1,60+Inputs!$B$25+Inputs!$B$29,IF(Skills!C6=2,90+Inputs!$B$26+Inputs!$B$29,IF(Skills!C6=3,120+Inputs!$B$27+Inputs!$B$29,MAX(0,(Inputs!$B$3-100)*3)+Inputs!$B$28+Inputs!$B$29)))</f>
        <v/>
      </c>
      <c r="E120">
        <f>INDEX(FactorTable!$B$2:$Y$301, MATCH(ROUND(MIN(300,MAX(1,D120)),0), FactorTable!$A$2:$A$301,0), Skills!M6+1)</f>
        <v/>
      </c>
      <c r="F120">
        <f>IF(Skills!N6=TRUE,(Skills!L6/10)*(E120/1000),Skills!L6/10)+Skills!O6</f>
        <v/>
      </c>
      <c r="G120">
        <f>Skills!G6*IF(Skills!H6&gt;0,Skills!I6/Skills!H6,1)</f>
        <v/>
      </c>
      <c r="H120">
        <f>1-(1-Skills!J6/100)^Skills!K6</f>
        <v/>
      </c>
      <c r="I120" t="inlineStr">
        <is>
          <t>1</t>
        </is>
      </c>
      <c r="J120">
        <f>((Inputs!$B$6*(1+Inputs!$B$7/100))+(((Inputs!$B$12*(1+(Inputs!$B$13+1)/100))-(Inputs!$B$12*(1+Inputs!$B$13/100)))+0.25*(Inputs!$B$14-Inputs!$B$14))*(1+Inputs!$B$7/100))*(F120/100)</f>
        <v/>
      </c>
      <c r="K120">
        <f>J120*(1+((Inputs!$B$12*(1+(Inputs!$B$13+1)/100))*0.01+Inputs!$B$14*0.0025)/100)*(1+Inputs!$B$15/100)*(1+Inputs!$B$16/100)*(5000/(6000+Inputs!$B$42*(1-(100*(1-(1-(Inputs!$B$19+0)/100)*(1-CHOOSE(ArtifactsInput!$N$40+1,5,6,7,8,9,10)/100)^(ArtifactsInput!$M$40-ArtifactsInput!$M$40)))/100)))*(1+(Inputs!$B$24+((C140=TRUE)*(F140-Calc!F26))+B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129=TRUE,F129,0)/100)*(1+(IF(Skills!A6="EIGHT_LEGS_EASTON",Inputs!$B$17+((C137=TRUE)*(F137-Calc!F23))+((C141=TRUE)*(F141-Calc!F27))+(((IF(AND(ArtifactsInput!$M$42,((Inputs!$B$9+((C133=TRUE)*(F133-Calc!F19))+B144+(ArtifactsInput!$M$24-ArtifactsInput!$M$24)*CHOOSE(ArtifactsInput!$N$24+1,10,12,14,16,18,20)+IF(ArtifactsInput!$M$10,CHOOSE(ArtifactsInput!$N$10+1,15,18,21,24,27,30)*(IF(Inputs!$B$38="pvp",MIN(15,15)/15,IF(AND(Inputs!$B$38&lt;&gt;"pvp",Inputs!$B$43&gt;0),MIN(15,Inputs!$B$43)/(Inputs!$B$43),0))),0)))&gt;=100),MIN(100,((Inputs!$B$9+((C133=TRUE)*(F133-Calc!F19))+B144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TRUE)*(F133-Calc!F19))+B144+(ArtifactsInput!$M$24-ArtifactsInput!$M$24)*CHOOSE(ArtifactsInput!$N$24+1,10,12,14,16,18,20)+IF(ArtifactsInput!$M$10,CHOOSE(ArtifactsInput!$N$10+1,15,18,21,24,27,30)*(IF(Inputs!$B$38="pvp",MIN(15,15)/15,IF(AND(Inputs!$B$38&lt;&gt;"pvp",Inputs!$B$43&gt;0),MIN(15,Inputs!$B$43)/(Inputs!$B$43),0))),0)))&gt;=100),CHOOSE(ArtifactsInput!$N$42+1,40,48,56,64,72,80),0))))/100)*((1+(((C131=TRUE)*F131)+((C138=TRUE)*(F138-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f>
        <v/>
      </c>
      <c r="L120">
        <f>K120*(MIN(Inputs!$B$22+((C136=TRUE)*(F136-Calc!F22)),(Inputs!$B$23+0+(IF(ArtifactsInput!$M$15,CHOOSE(ArtifactsInput!$N$15+1,25,30,35,40,45,50)/100*(Inputs!$B$11-Inputs!$B$11),0))))/100+(Inputs!$B$23+0+(IF(ArtifactsInput!$M$15,CHOOSE(ArtifactsInput!$N$15+1,25,30,35,40,45,50)/100*(Inputs!$B$11-Inputs!$B$11),0)))/100)/2</f>
        <v/>
      </c>
      <c r="M120">
        <f>L120*(1+(Inputs!$B$10+((C139=TRUE)*(F139-Calc!F25))+B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(1-Summary!$B$11)*T120+Summary!$B$11*V120</f>
        <v/>
      </c>
      <c r="P120">
        <f>IF(B154=0,0,O120/B154)</f>
        <v/>
      </c>
      <c r="Q120">
        <f>IFERROR(1/(IF(Inputs!$B$38="pvp",15,MAX(0.1,Skills!D6-IF(Skills!E6=TRUE,Inputs!$B$32,0)))*(1-IF(AND(ArtifactsInput!$M$27,Inputs!$B$4="Chapter Hunt"),CHOOSE(ArtifactsInput!$N$27+1,20,24,28,32,36,40),0)/100)),0)</f>
        <v/>
      </c>
      <c r="R120">
        <f>IF(AND(Inputs!$B$38&lt;&gt;"pvp",Inputs!$B$43&gt;0),IF(MAX(0,Inputs!$B$43-B151)&lt;=0,0,(INT(MAX(0,Inputs!$B$43-B151)/(IF(Inputs!$B$38="pvp",15,MAX(0.1,Skills!D6-IF(Skills!E6=TRUE,Inputs!$B$32,0)))*(1-IF(AND(ArtifactsInput!$M$27,Inputs!$B$4="Chapter Hunt"),CHOOSE(ArtifactsInput!$N$27+1,20,24,28,32,36,40),0)/100)))+1)),0)</f>
        <v/>
      </c>
      <c r="S120">
        <f>IFERROR(O120/N120,0)</f>
        <v/>
      </c>
      <c r="T120">
        <f>IF(C120,(H120*N120*IF(AND(Inputs!$B$38&lt;&gt;"pvp",Inputs!$B$43&gt;0),((Skills!G6*((R120-1)*IF(Skills!H6&gt;0,Skills!I6/Skills!H6,1)+IF(Skills!H6&gt;0,MIN(Skills!I6,MAX(0,MAX(0,Inputs!$B$43-B151)-((R120-1)*(IF(Inputs!$B$38="pvp",15,MAX(0.1,Skills!D6-IF(Skills!E6=TRUE,Inputs!$B$32,0)))*(1-IF(AND(ArtifactsInput!$M$27,Inputs!$B$4="Chapter Hunt"),CHOOSE(ArtifactsInput!$N$27+1,20,24,28,32,36,40),0)/100)))))/Skills!H6,1)))/Inputs!$B$43),G120*Q120)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
        <f>IF(C120,(H120*N120*IF(AND(Inputs!$B$38&lt;&gt;"pvp",Inputs!$B$43&gt;0),((Skills!G6*((R120-1)*IF(Skills!H6&gt;0,Skills!I6/Skills!H6,1)+IF(Skills!H6&gt;0,MIN(Skills!I6,MAX(0,MAX(0,Inputs!$B$43-B151)-((R120-1)*(IF(Inputs!$B$38="pvp",15,MAX(0.1,Skills!D6-IF(Skills!E6=TRUE,Inputs!$B$32,0)))*(1-IF(AND(ArtifactsInput!$M$27,Inputs!$B$4="Chapter Hunt"),CHOOSE(ArtifactsInput!$N$27+1,20,24,28,32,36,40),0)/100)))))/Skills!H6,1)))/Inputs!$B$43),G120*Q120))*IF(Inputs!$B$38="pvp",1,(1+(Inputs!$B$21+Skills!Q6+(IF(ArtifactsInput!$M$33,CHOOSE(ArtifactsInput!$N$33+1,30,36,42,48,54,60)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Skills!A7</f>
        <v/>
      </c>
      <c r="B121">
        <f>Skills!B7</f>
        <v/>
      </c>
      <c r="C121">
        <f>Inputs!$B$3&gt;=66</f>
        <v/>
      </c>
      <c r="D121">
        <f>IF(Skills!C7=1,60+Inputs!$B$25+Inputs!$B$29,IF(Skills!C7=2,90+Inputs!$B$26+Inputs!$B$29,IF(Skills!C7=3,120+Inputs!$B$27+Inputs!$B$29,MAX(0,(Inputs!$B$3-100)*3)+Inputs!$B$28+Inputs!$B$29)))</f>
        <v/>
      </c>
      <c r="E121">
        <f>INDEX(FactorTable!$B$2:$Y$301, MATCH(ROUND(MIN(300,MAX(1,D121)),0), FactorTable!$A$2:$A$301,0), Skills!M7+1)</f>
        <v/>
      </c>
      <c r="F121">
        <f>IF(Skills!N7=TRUE,(Skills!L7/10)*(E121/1000),Skills!L7/10)+Skills!O7</f>
        <v/>
      </c>
      <c r="G121">
        <f>Skills!G7*IF(Skills!H7&gt;0,Skills!I7/Skills!H7,1)</f>
        <v/>
      </c>
      <c r="H121">
        <f>1-(1-Skills!J7/100)^Skills!K7</f>
        <v/>
      </c>
      <c r="I121" t="inlineStr">
        <is>
          <t>1</t>
        </is>
      </c>
      <c r="J121">
        <f>((Inputs!$B$6*(1+Inputs!$B$7/100))+(((Inputs!$B$12*(1+(Inputs!$B$13+1)/100))-(Inputs!$B$12*(1+Inputs!$B$13/100)))+0.25*(Inputs!$B$14-Inputs!$B$14))*(1+Inputs!$B$7/100))*(F121/100)</f>
        <v/>
      </c>
      <c r="K121">
        <f>J121*(1+((Inputs!$B$12*(1+(Inputs!$B$13+1)/100))*0.01+Inputs!$B$14*0.0025)/100)*(1+Inputs!$B$15/100)*(1+Inputs!$B$16/100)*(5000/(6000+Inputs!$B$42*(1-(100*(1-(1-(Inputs!$B$19+0)/100)*(1-CHOOSE(ArtifactsInput!$N$40+1,5,6,7,8,9,10)/100)^(ArtifactsInput!$M$40-ArtifactsInput!$M$40)))/100)))*(1+(Inputs!$B$24+((C140=TRUE)*(F140-Calc!F26))+B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129=TRUE,F129,0)/100)*(1+(IF(Skills!A7="EIGHT_LEGS_EASTON",Inputs!$B$17+((C137=TRUE)*(F137-Calc!F23))+((C141=TRUE)*(F141-Calc!F27))+(((IF(AND(ArtifactsInput!$M$42,((Inputs!$B$9+((C133=TRUE)*(F133-Calc!F19))+B144+(ArtifactsInput!$M$24-ArtifactsInput!$M$24)*CHOOSE(ArtifactsInput!$N$24+1,10,12,14,16,18,20)+IF(ArtifactsInput!$M$10,CHOOSE(ArtifactsInput!$N$10+1,15,18,21,24,27,30)*(IF(Inputs!$B$38="pvp",MIN(15,15)/15,IF(AND(Inputs!$B$38&lt;&gt;"pvp",Inputs!$B$43&gt;0),MIN(15,Inputs!$B$43)/(Inputs!$B$43),0))),0)))&gt;=100),MIN(100,((Inputs!$B$9+((C133=TRUE)*(F133-Calc!F19))+B144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TRUE)*(F133-Calc!F19))+B144+(ArtifactsInput!$M$24-ArtifactsInput!$M$24)*CHOOSE(ArtifactsInput!$N$24+1,10,12,14,16,18,20)+IF(ArtifactsInput!$M$10,CHOOSE(ArtifactsInput!$N$10+1,15,18,21,24,27,30)*(IF(Inputs!$B$38="pvp",MIN(15,15)/15,IF(AND(Inputs!$B$38&lt;&gt;"pvp",Inputs!$B$43&gt;0),MIN(15,Inputs!$B$43)/(Inputs!$B$43),0))),0)))&gt;=100),CHOOSE(ArtifactsInput!$N$42+1,40,48,56,64,72,80),0))))/100)*((1+(((C131=TRUE)*F131)+((C138=TRUE)*(F138-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C136=TRUE)*(F136-Calc!F22)),(Inputs!$B$23+0+(IF(ArtifactsInput!$M$15,CHOOSE(ArtifactsInput!$N$15+1,25,30,35,40,45,50)/100*(Inputs!$B$11-Inputs!$B$11),0))))/100+(Inputs!$B$23+0+(IF(ArtifactsInput!$M$15,CHOOSE(ArtifactsInput!$N$15+1,25,30,35,40,45,50)/100*(Inputs!$B$11-Inputs!$B$11),0)))/100)/2</f>
        <v/>
      </c>
      <c r="M121">
        <f>L121*(1+(Inputs!$B$10+((C139=TRUE)*(F139-Calc!F25))+B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IF(B154=0,0,O121/B154)</f>
        <v/>
      </c>
      <c r="Q121">
        <f>IFERROR(1/(IF(Inputs!$B$38="pvp",15,MAX(0.1,Skills!D7-IF(Skills!E7=TRUE,Inputs!$B$32,0)))*(1-IF(AND(ArtifactsInput!$M$27,Inputs!$B$4="Chapter Hunt"),CHOOSE(ArtifactsInput!$N$27+1,20,24,28,32,36,40),0)/100)),0)</f>
        <v/>
      </c>
      <c r="R121">
        <f>IF(AND(Inputs!$B$38&lt;&gt;"pvp",Inputs!$B$43&gt;0),IF(MAX(0,Inputs!$B$43-B151)&lt;=0,0,(INT(MAX(0,Inputs!$B$43-B151)/(IF(Inputs!$B$38="pvp",15,MAX(0.1,Skills!D7-IF(Skills!E7=TRUE,Inputs!$B$32,0)))*(1-IF(AND(ArtifactsInput!$M$27,Inputs!$B$4="Chapter Hunt"),CHOOSE(ArtifactsInput!$N$27+1,20,24,28,32,36,40),0)/100)))+1)),0)</f>
        <v/>
      </c>
      <c r="S121">
        <f>IFERROR(O121/N121,0)</f>
        <v/>
      </c>
      <c r="T121">
        <f>IF(C121,(H121*N121*IF(AND(Inputs!$B$38&lt;&gt;"pvp",Inputs!$B$43&gt;0),((Skills!G7*((R121-1)*IF(Skills!H7&gt;0,Skills!I7/Skills!H7,1)+IF(Skills!H7&gt;0,MIN(Skills!I7,MAX(0,MAX(0,Inputs!$B$43-B151)-((R121-1)*(IF(Inputs!$B$38="pvp",15,MAX(0.1,Skills!D7-IF(Skills!E7=TRUE,Inputs!$B$32,0)))*(1-IF(AND(ArtifactsInput!$M$27,Inputs!$B$4="Chapter Hunt"),CHOOSE(ArtifactsInput!$N$27+1,20,24,28,32,36,40),0)/100)))))/Skills!H7,1)))/Inputs!$B$43),G121*Q121)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
        <f>IF(C121,(H121*N121*IF(AND(Inputs!$B$38&lt;&gt;"pvp",Inputs!$B$43&gt;0),((Skills!G7*((R121-1)*IF(Skills!H7&gt;0,Skills!I7/Skills!H7,1)+IF(Skills!H7&gt;0,MIN(Skills!I7,MAX(0,MAX(0,Inputs!$B$43-B151)-((R121-1)*(IF(Inputs!$B$38="pvp",15,MAX(0.1,Skills!D7-IF(Skills!E7=TRUE,Inputs!$B$32,0)))*(1-IF(AND(ArtifactsInput!$M$27,Inputs!$B$4="Chapter Hunt"),CHOOSE(ArtifactsInput!$N$27+1,20,24,28,32,36,40),0)/100)))))/Skills!H7,1)))/Inputs!$B$43),G121*Q121))*IF(Inputs!$B$38="pvp",1,(1+(Inputs!$B$21+Skills!Q7+(IF(ArtifactsInput!$M$33,CHOOSE(ArtifactsInput!$N$33+1,30,36,42,48,54,60)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Skills!A8</f>
        <v/>
      </c>
      <c r="B122">
        <f>Skills!B8</f>
        <v/>
      </c>
      <c r="C122">
        <f>Inputs!$B$3&gt;=100</f>
        <v/>
      </c>
      <c r="D122">
        <f>IF(Skills!C8=1,60+Inputs!$B$25+Inputs!$B$29,IF(Skills!C8=2,90+Inputs!$B$26+Inputs!$B$29,IF(Skills!C8=3,120+Inputs!$B$27+Inputs!$B$29,MAX(0,(Inputs!$B$3-100)*3)+Inputs!$B$28+Inputs!$B$29)))</f>
        <v/>
      </c>
      <c r="E122">
        <f>INDEX(FactorTable!$B$2:$Y$301, MATCH(ROUND(MIN(300,MAX(1,D122)),0), FactorTable!$A$2:$A$301,0), Skills!M8+1)</f>
        <v/>
      </c>
      <c r="F122">
        <f>IF(Skills!N8=TRUE,(Skills!L8/10)*(E122/1000),Skills!L8/10)+Skills!O8</f>
        <v/>
      </c>
      <c r="G122">
        <f>Skills!G8*IF(Skills!H8&gt;0,Skills!I8/Skills!H8,1)</f>
        <v/>
      </c>
      <c r="H122">
        <f>1-(1-Skills!J8/100)^Skills!K8</f>
        <v/>
      </c>
      <c r="I122" t="inlineStr">
        <is>
          <t>1</t>
        </is>
      </c>
      <c r="J122">
        <f>((Inputs!$B$6*(1+Inputs!$B$7/100))+(((Inputs!$B$12*(1+(Inputs!$B$13+1)/100))-(Inputs!$B$12*(1+Inputs!$B$13/100)))+0.25*(Inputs!$B$14-Inputs!$B$14))*(1+Inputs!$B$7/100))*(F122/100)</f>
        <v/>
      </c>
      <c r="K122">
        <f>J122*(1+((Inputs!$B$12*(1+(Inputs!$B$13+1)/100))*0.01+Inputs!$B$14*0.0025)/100)*(1+Inputs!$B$15/100)*(1+Inputs!$B$16/100)*(5000/(6000+Inputs!$B$42*(1-(100*(1-(1-(Inputs!$B$19+0)/100)*(1-CHOOSE(ArtifactsInput!$N$40+1,5,6,7,8,9,10)/100)^(ArtifactsInput!$M$40-ArtifactsInput!$M$40)))/100)))*(1+(Inputs!$B$24+((C140=TRUE)*(F140-Calc!F26))+B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137=TRUE)*(F137-Calc!F23))+((C141=TRUE)*(F141-Calc!F27))+(((IF(AND(ArtifactsInput!$M$42,((Inputs!$B$9+((C133=TRUE)*(F133-Calc!F19))+B144+(ArtifactsInput!$M$24-ArtifactsInput!$M$24)*CHOOSE(ArtifactsInput!$N$24+1,10,12,14,16,18,20)+IF(ArtifactsInput!$M$10,CHOOSE(ArtifactsInput!$N$10+1,15,18,21,24,27,30)*(IF(Inputs!$B$38="pvp",MIN(15,15)/15,IF(AND(Inputs!$B$38&lt;&gt;"pvp",Inputs!$B$43&gt;0),MIN(15,Inputs!$B$43)/(Inputs!$B$43),0))),0)))&gt;=100),MIN(100,((Inputs!$B$9+((C133=TRUE)*(F133-Calc!F19))+B144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TRUE)*(F133-Calc!F19))+B144+(ArtifactsInput!$M$24-ArtifactsInput!$M$24)*CHOOSE(ArtifactsInput!$N$24+1,10,12,14,16,18,20)+IF(ArtifactsInput!$M$10,CHOOSE(ArtifactsInput!$N$10+1,15,18,21,24,27,30)*(IF(Inputs!$B$38="pvp",MIN(15,15)/15,IF(AND(Inputs!$B$38&lt;&gt;"pvp",Inputs!$B$43&gt;0),MIN(15,Inputs!$B$43)/(Inputs!$B$43),0))),0)))&gt;=100),CHOOSE(ArtifactsInput!$N$42+1,40,48,56,64,72,80),0))))/100)*((1+(((C131=TRUE)*F131)+((C138=TRUE)*(F138-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C136=TRUE)*(F136-Calc!F22)),(Inputs!$B$23+0+(IF(ArtifactsInput!$M$15,CHOOSE(ArtifactsInput!$N$15+1,25,30,35,40,45,50)/100*(Inputs!$B$11-Inputs!$B$11),0))))/100+(Inputs!$B$23+0+(IF(ArtifactsInput!$M$15,CHOOSE(ArtifactsInput!$N$15+1,25,30,35,40,45,50)/100*(Inputs!$B$11-Inputs!$B$11),0)))/100)/2</f>
        <v/>
      </c>
      <c r="M122">
        <f>L122*(1+(Inputs!$B$10+((C139=TRUE)*(F139-Calc!F25))+B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(1-Summary!$B$11)*T122+Summary!$B$11*V122</f>
        <v/>
      </c>
      <c r="P122">
        <f>IF(B154=0,0,O122/B154)</f>
        <v/>
      </c>
      <c r="Q122">
        <f>IFERROR(1/(IF(Inputs!$B$38="pvp",15,MAX(0.1,Skills!D8-IF(Skills!E8=TRUE,Inputs!$B$32,0)))*(1-IF(AND(ArtifactsInput!$M$27,Inputs!$B$4="Chapter Hunt"),CHOOSE(ArtifactsInput!$N$27+1,20,24,28,32,36,40),0)/100)),0)</f>
        <v/>
      </c>
      <c r="R122">
        <f>IF(AND(Inputs!$B$38&lt;&gt;"pvp",Inputs!$B$43&gt;0),IF(MAX(0,Inputs!$B$43-B151)&lt;=0,0,(INT(MAX(0,Inputs!$B$43-B151)/(IF(Inputs!$B$38="pvp",15,MAX(0.1,Skills!D8-IF(Skills!E8=TRUE,Inputs!$B$32,0)))*(1-IF(AND(ArtifactsInput!$M$27,Inputs!$B$4="Chapter Hunt"),CHOOSE(ArtifactsInput!$N$27+1,20,24,28,32,36,40),0)/100)))+1)),0)</f>
        <v/>
      </c>
      <c r="S122">
        <f>IFERROR(O122/N122,0)</f>
        <v/>
      </c>
      <c r="T122">
        <f>IF(C122,(H122*N122*IF(AND(Inputs!$B$38&lt;&gt;"pvp",Inputs!$B$43&gt;0),((Skills!G8*((R122-1)*IF(Skills!H8&gt;0,Skills!I8/Skills!H8,1)+IF(Skills!H8&gt;0,MIN(Skills!I8,MAX(0,MAX(0,Inputs!$B$43-B151)-((R122-1)*(IF(Inputs!$B$38="pvp",15,MAX(0.1,Skills!D8-IF(Skills!E8=TRUE,Inputs!$B$32,0)))*(1-IF(AND(ArtifactsInput!$M$27,Inputs!$B$4="Chapter Hunt"),CHOOSE(ArtifactsInput!$N$27+1,20,24,28,32,36,40),0)/100)))))/Skills!H8,1)))/Inputs!$B$43),G122*Q122)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
        <f>IF(C122,(H122*N122*IF(AND(Inputs!$B$38&lt;&gt;"pvp",Inputs!$B$43&gt;0),((Skills!G8*((R122-1)*IF(Skills!H8&gt;0,Skills!I8/Skills!H8,1)+IF(Skills!H8&gt;0,MIN(Skills!I8,MAX(0,MAX(0,Inputs!$B$43-B151)-((R122-1)*(IF(Inputs!$B$38="pvp",15,MAX(0.1,Skills!D8-IF(Skills!E8=TRUE,Inputs!$B$32,0)))*(1-IF(AND(ArtifactsInput!$M$27,Inputs!$B$4="Chapter Hunt"),CHOOSE(ArtifactsInput!$N$27+1,20,24,28,32,36,40),0)/100)))))/Skills!H8,1)))/Inputs!$B$43),G122*Q122))*IF(Inputs!$B$38="pvp",1,(1+(Inputs!$B$21+Skills!Q8+(IF(ArtifactsInput!$M$33,CHOOSE(ArtifactsInput!$N$33+1,30,36,42,48,54,60)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Skills!A9</f>
        <v/>
      </c>
      <c r="B123">
        <f>Skills!B9</f>
        <v/>
      </c>
      <c r="C123">
        <f>Inputs!$B$3&gt;=103</f>
        <v/>
      </c>
      <c r="D123">
        <f>IF(Skills!C9=1,60+Inputs!$B$25+Inputs!$B$29,IF(Skills!C9=2,90+Inputs!$B$26+Inputs!$B$29,IF(Skills!C9=3,120+Inputs!$B$27+Inputs!$B$29,MAX(0,(Inputs!$B$3-100)*3)+Inputs!$B$28+Inputs!$B$29)))</f>
        <v/>
      </c>
      <c r="E123">
        <f>INDEX(FactorTable!$B$2:$Y$301, MATCH(ROUND(MIN(300,MAX(1,D123)),0), FactorTable!$A$2:$A$301,0), Skills!M9+1)</f>
        <v/>
      </c>
      <c r="F123">
        <f>IF(Skills!N9=TRUE,(Skills!L9/10)*(E123/1000),Skills!L9/10)+Skills!O9</f>
        <v/>
      </c>
      <c r="G123">
        <f>Skills!G9*IF(Skills!H9&gt;0,Skills!I9/Skills!H9,1)</f>
        <v/>
      </c>
      <c r="H123">
        <f>1-(1-Skills!J9/100)^Skills!K9</f>
        <v/>
      </c>
      <c r="I123" t="inlineStr">
        <is>
          <t>1</t>
        </is>
      </c>
      <c r="J123">
        <f>((Inputs!$B$6*(1+Inputs!$B$7/100))+(((Inputs!$B$12*(1+(Inputs!$B$13+1)/100))-(Inputs!$B$12*(1+Inputs!$B$13/100)))+0.25*(Inputs!$B$14-Inputs!$B$14))*(1+Inputs!$B$7/100))*(F123/100)</f>
        <v/>
      </c>
      <c r="K123">
        <f>J123*(1+((Inputs!$B$12*(1+(Inputs!$B$13+1)/100))*0.01+Inputs!$B$14*0.0025)/100)*(1+Inputs!$B$15/100)*(1+Inputs!$B$16/100)*(5000/(6000+Inputs!$B$42*(1-(100*(1-(1-(Inputs!$B$19+0)/100)*(1-CHOOSE(ArtifactsInput!$N$40+1,5,6,7,8,9,10)/100)^(ArtifactsInput!$M$40-ArtifactsInput!$M$40)))/100)))*(1+(Inputs!$B$24+((C140=TRUE)*(F140-Calc!F26))+B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137=TRUE)*(F137-Calc!F23))+((C141=TRUE)*(F141-Calc!F27))+(((IF(AND(ArtifactsInput!$M$42,((Inputs!$B$9+((C133=TRUE)*(F133-Calc!F19))+B144+(ArtifactsInput!$M$24-ArtifactsInput!$M$24)*CHOOSE(ArtifactsInput!$N$24+1,10,12,14,16,18,20)+IF(ArtifactsInput!$M$10,CHOOSE(ArtifactsInput!$N$10+1,15,18,21,24,27,30)*(IF(Inputs!$B$38="pvp",MIN(15,15)/15,IF(AND(Inputs!$B$38&lt;&gt;"pvp",Inputs!$B$43&gt;0),MIN(15,Inputs!$B$43)/(Inputs!$B$43),0))),0)))&gt;=100),MIN(100,((Inputs!$B$9+((C133=TRUE)*(F133-Calc!F19))+B144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TRUE)*(F133-Calc!F19))+B144+(ArtifactsInput!$M$24-ArtifactsInput!$M$24)*CHOOSE(ArtifactsInput!$N$24+1,10,12,14,16,18,20)+IF(ArtifactsInput!$M$10,CHOOSE(ArtifactsInput!$N$10+1,15,18,21,24,27,30)*(IF(Inputs!$B$38="pvp",MIN(15,15)/15,IF(AND(Inputs!$B$38&lt;&gt;"pvp",Inputs!$B$43&gt;0),MIN(15,Inputs!$B$43)/(Inputs!$B$43),0))),0)))&gt;=100),CHOOSE(ArtifactsInput!$N$42+1,40,48,56,64,72,80),0))))/100)*((1+(((C131=TRUE)*F131)+((C138=TRUE)*(F138-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f>
        <v/>
      </c>
      <c r="L123">
        <f>K123*(MIN(Inputs!$B$22+((C136=TRUE)*(F136-Calc!F22)),(Inputs!$B$23+0+(IF(ArtifactsInput!$M$15,CHOOSE(ArtifactsInput!$N$15+1,25,30,35,40,45,50)/100*(Inputs!$B$11-Inputs!$B$11),0))))/100+(Inputs!$B$23+0+(IF(ArtifactsInput!$M$15,CHOOSE(ArtifactsInput!$N$15+1,25,30,35,40,45,50)/100*(Inputs!$B$11-Inputs!$B$11),0)))/100)/2</f>
        <v/>
      </c>
      <c r="M123">
        <f>L123*(1+(Inputs!$B$10+((C139=TRUE)*(F139-Calc!F25))+B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(1-Summary!$B$11)*T123+Summary!$B$11*V123</f>
        <v/>
      </c>
      <c r="P123">
        <f>IF(B154=0,0,O123/B154)</f>
        <v/>
      </c>
      <c r="Q123">
        <f>IFERROR(1/(IF(Inputs!$B$38="pvp",15,MAX(0.1,Skills!D9-IF(Skills!E9=TRUE,Inputs!$B$32,0)))*(1-IF(AND(ArtifactsInput!$M$27,Inputs!$B$4="Chapter Hunt"),CHOOSE(ArtifactsInput!$N$27+1,20,24,28,32,36,40),0)/100)),0)</f>
        <v/>
      </c>
      <c r="R123">
        <f>IF(AND(Inputs!$B$38&lt;&gt;"pvp",Inputs!$B$43&gt;0),IF(MAX(0,Inputs!$B$43-B151)&lt;=0,0,(INT(MAX(0,Inputs!$B$43-B151)/(IF(Inputs!$B$38="pvp",15,MAX(0.1,Skills!D9-IF(Skills!E9=TRUE,Inputs!$B$32,0)))*(1-IF(AND(ArtifactsInput!$M$27,Inputs!$B$4="Chapter Hunt"),CHOOSE(ArtifactsInput!$N$27+1,20,24,28,32,36,40),0)/100)))+1)),0)</f>
        <v/>
      </c>
      <c r="S123">
        <f>IFERROR(O123/N123,0)</f>
        <v/>
      </c>
      <c r="T123">
        <f>IF(C123,(H123*N123*IF(AND(Inputs!$B$38&lt;&gt;"pvp",Inputs!$B$43&gt;0),((Skills!G9*((R123-1)*IF(Skills!H9&gt;0,Skills!I9/Skills!H9,1)+IF(Skills!H9&gt;0,MIN(Skills!I9,MAX(0,MAX(0,Inputs!$B$43-B151)-((R123-1)*(IF(Inputs!$B$38="pvp",15,MAX(0.1,Skills!D9-IF(Skills!E9=TRUE,Inputs!$B$32,0)))*(1-IF(AND(ArtifactsInput!$M$27,Inputs!$B$4="Chapter Hunt"),CHOOSE(ArtifactsInput!$N$27+1,20,24,28,32,36,40),0)/100)))))/Skills!H9,1)))/Inputs!$B$43),G123*Q123)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
        <f>IF(C123,(H123*N123*IF(AND(Inputs!$B$38&lt;&gt;"pvp",Inputs!$B$43&gt;0),((Skills!G9*((R123-1)*IF(Skills!H9&gt;0,Skills!I9/Skills!H9,1)+IF(Skills!H9&gt;0,MIN(Skills!I9,MAX(0,MAX(0,Inputs!$B$43-B151)-((R123-1)*(IF(Inputs!$B$38="pvp",15,MAX(0.1,Skills!D9-IF(Skills!E9=TRUE,Inputs!$B$32,0)))*(1-IF(AND(ArtifactsInput!$M$27,Inputs!$B$4="Chapter Hunt"),CHOOSE(ArtifactsInput!$N$27+1,20,24,28,32,36,40),0)/100)))))/Skills!H9,1)))/Inputs!$B$43),G123*Q123))*IF(Inputs!$B$38="pvp",1,(1+(Inputs!$B$21+Skills!Q9+(IF(ArtifactsInput!$M$33,CHOOSE(ArtifactsInput!$N$33+1,30,36,42,48,54,60)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Skills!A10</f>
        <v/>
      </c>
      <c r="B124">
        <f>Skills!B10</f>
        <v/>
      </c>
      <c r="C124">
        <f>Inputs!$B$3&gt;=113</f>
        <v/>
      </c>
      <c r="D124">
        <f>IF(Skills!C10=1,60+Inputs!$B$25+Inputs!$B$29,IF(Skills!C10=2,90+Inputs!$B$26+Inputs!$B$29,IF(Skills!C10=3,120+Inputs!$B$27+Inputs!$B$29,MAX(0,(Inputs!$B$3-100)*3)+Inputs!$B$28+Inputs!$B$29)))</f>
        <v/>
      </c>
      <c r="E124">
        <f>INDEX(FactorTable!$B$2:$Y$301, MATCH(ROUND(MIN(300,MAX(1,D124)),0), FactorTable!$A$2:$A$301,0), Skills!M10+1)</f>
        <v/>
      </c>
      <c r="F124">
        <f>IF(Skills!N10=TRUE,(Skills!L10/10)*(E124/1000),Skills!L10/10)+Skills!O10</f>
        <v/>
      </c>
      <c r="G124">
        <f>Skills!G10*IF(Skills!H10&gt;0,Skills!I10/Skills!H10,1)</f>
        <v/>
      </c>
      <c r="H124">
        <f>1-(1-Skills!J10/100)^Skills!K10</f>
        <v/>
      </c>
      <c r="I124" t="inlineStr">
        <is>
          <t>1</t>
        </is>
      </c>
      <c r="J124">
        <f>((Inputs!$B$6*(1+Inputs!$B$7/100))+(((Inputs!$B$12*(1+(Inputs!$B$13+1)/100))-(Inputs!$B$12*(1+Inputs!$B$13/100)))+0.25*(Inputs!$B$14-Inputs!$B$14))*(1+Inputs!$B$7/100))*(F124/100)</f>
        <v/>
      </c>
      <c r="K124">
        <f>J124*(1+((Inputs!$B$12*(1+(Inputs!$B$13+1)/100))*0.01+Inputs!$B$14*0.0025)/100)*(1+Inputs!$B$15/100)*(1+Inputs!$B$16/100)*(5000/(6000+Inputs!$B$42*(1-(100*(1-(1-(Inputs!$B$19+0)/100)*(1-CHOOSE(ArtifactsInput!$N$40+1,5,6,7,8,9,10)/100)^(ArtifactsInput!$M$40-ArtifactsInput!$M$40)))/100)))*(1+(Inputs!$B$24+((C140=TRUE)*(F140-Calc!F26))+B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137=TRUE)*(F137-Calc!F23))+((C141=TRUE)*(F141-Calc!F27))+(((IF(AND(ArtifactsInput!$M$42,((Inputs!$B$9+((C133=TRUE)*(F133-Calc!F19))+B144+(ArtifactsInput!$M$24-ArtifactsInput!$M$24)*CHOOSE(ArtifactsInput!$N$24+1,10,12,14,16,18,20)+IF(ArtifactsInput!$M$10,CHOOSE(ArtifactsInput!$N$10+1,15,18,21,24,27,30)*(IF(Inputs!$B$38="pvp",MIN(15,15)/15,IF(AND(Inputs!$B$38&lt;&gt;"pvp",Inputs!$B$43&gt;0),MIN(15,Inputs!$B$43)/(Inputs!$B$43),0))),0)))&gt;=100),MIN(100,((Inputs!$B$9+((C133=TRUE)*(F133-Calc!F19))+B144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TRUE)*(F133-Calc!F19))+B144+(ArtifactsInput!$M$24-ArtifactsInput!$M$24)*CHOOSE(ArtifactsInput!$N$24+1,10,12,14,16,18,20)+IF(ArtifactsInput!$M$10,CHOOSE(ArtifactsInput!$N$10+1,15,18,21,24,27,30)*(IF(Inputs!$B$38="pvp",MIN(15,15)/15,IF(AND(Inputs!$B$38&lt;&gt;"pvp",Inputs!$B$43&gt;0),MIN(15,Inputs!$B$43)/(Inputs!$B$43),0))),0)))&gt;=100),CHOOSE(ArtifactsInput!$N$42+1,40,48,56,64,72,80),0))))/100)*((1+(((C131=TRUE)*F131)+((C138=TRUE)*(F138-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f>
        <v/>
      </c>
      <c r="L124">
        <f>K124*(MIN(Inputs!$B$22+((C136=TRUE)*(F136-Calc!F22)),(Inputs!$B$23+0+(IF(ArtifactsInput!$M$15,CHOOSE(ArtifactsInput!$N$15+1,25,30,35,40,45,50)/100*(Inputs!$B$11-Inputs!$B$11),0))))/100+(Inputs!$B$23+0+(IF(ArtifactsInput!$M$15,CHOOSE(ArtifactsInput!$N$15+1,25,30,35,40,45,50)/100*(Inputs!$B$11-Inputs!$B$11),0)))/100)/2</f>
        <v/>
      </c>
      <c r="M124">
        <f>L124*(1+(Inputs!$B$10+((C139=TRUE)*(F139-Calc!F25))+B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
        <f>L124*(1-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
        <f>(1-Summary!$B$11)*T124+Summary!$B$11*V124</f>
        <v/>
      </c>
      <c r="P124">
        <f>IF(B154=0,0,O124/B154)</f>
        <v/>
      </c>
      <c r="Q124">
        <f>IFERROR(1/(IF(Inputs!$B$38="pvp",15,MAX(0.1,Skills!D10-IF(Skills!E10=TRUE,Inputs!$B$32,0)))*(1-IF(AND(ArtifactsInput!$M$27,Inputs!$B$4="Chapter Hunt"),CHOOSE(ArtifactsInput!$N$27+1,20,24,28,32,36,40),0)/100)),0)</f>
        <v/>
      </c>
      <c r="R124">
        <f>IF(AND(Inputs!$B$38&lt;&gt;"pvp",Inputs!$B$43&gt;0),IF(MAX(0,Inputs!$B$43-B151)&lt;=0,0,(INT(MAX(0,Inputs!$B$43-B151)/(IF(Inputs!$B$38="pvp",15,MAX(0.1,Skills!D10-IF(Skills!E10=TRUE,Inputs!$B$32,0)))*(1-IF(AND(ArtifactsInput!$M$27,Inputs!$B$4="Chapter Hunt"),CHOOSE(ArtifactsInput!$N$27+1,20,24,28,32,36,40),0)/100)))+1)),0)</f>
        <v/>
      </c>
      <c r="S124">
        <f>IFERROR(O124/N124,0)</f>
        <v/>
      </c>
      <c r="T124">
        <f>IF(C124,(H124*N124*IF(AND(Inputs!$B$38&lt;&gt;"pvp",Inputs!$B$43&gt;0),((Skills!G10*((R124-1)*IF(Skills!H10&gt;0,Skills!I10/Skills!H10,1)+IF(Skills!H10&gt;0,MIN(Skills!I10,MAX(0,MAX(0,Inputs!$B$43-B151)-((R124-1)*(IF(Inputs!$B$38="pvp",15,MAX(0.1,Skills!D10-IF(Skills!E10=TRUE,Inputs!$B$32,0)))*(1-IF(AND(ArtifactsInput!$M$27,Inputs!$B$4="Chapter Hunt"),CHOOSE(ArtifactsInput!$N$27+1,20,24,28,32,36,40),0)/100)))))/Skills!H10,1)))/Inputs!$B$43),G124*Q124)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
        <f>IF(C124,(H124*N124*IF(AND(Inputs!$B$38&lt;&gt;"pvp",Inputs!$B$43&gt;0),((Skills!G10*((R124-1)*IF(Skills!H10&gt;0,Skills!I10/Skills!H10,1)+IF(Skills!H10&gt;0,MIN(Skills!I10,MAX(0,MAX(0,Inputs!$B$43-B151)-((R124-1)*(IF(Inputs!$B$38="pvp",15,MAX(0.1,Skills!D10-IF(Skills!E10=TRUE,Inputs!$B$32,0)))*(1-IF(AND(ArtifactsInput!$M$27,Inputs!$B$4="Chapter Hunt"),CHOOSE(ArtifactsInput!$N$27+1,20,24,28,32,36,40),0)/100)))))/Skills!H10,1)))/Inputs!$B$43),G124*Q124))*IF(Inputs!$B$38="pvp",1,(1+(Inputs!$B$21+Skills!Q10+(IF(ArtifactsInput!$M$33,CHOOSE(ArtifactsInput!$N$33+1,30,36,42,48,54,60)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
      <c r="A125">
        <f>Skills!A11</f>
        <v/>
      </c>
      <c r="B125">
        <f>Skills!B11</f>
        <v/>
      </c>
      <c r="C125">
        <f>Inputs!$B$3&gt;=107</f>
        <v/>
      </c>
      <c r="D125">
        <f>IF(Skills!C11=1,60+Inputs!$B$25+Inputs!$B$29,IF(Skills!C11=2,90+Inputs!$B$26+Inputs!$B$29,IF(Skills!C11=3,120+Inputs!$B$27+Inputs!$B$29,MAX(0,(Inputs!$B$3-100)*3)+Inputs!$B$28+Inputs!$B$29)))</f>
        <v/>
      </c>
      <c r="E125">
        <f>INDEX(FactorTable!$B$2:$Y$301, MATCH(ROUND(MIN(300,MAX(1,D125)),0), FactorTable!$A$2:$A$301,0), Skills!M11+1)</f>
        <v/>
      </c>
      <c r="F125">
        <f>IF(Skills!N11=TRUE,(Skills!L11/10)*(E125/1000),Skills!L11/10)+Skills!O11</f>
        <v/>
      </c>
      <c r="G125">
        <f>Skills!G11*IF(Skills!H11&gt;0,Skills!I11/Skills!H11,1)</f>
        <v/>
      </c>
      <c r="H125">
        <f>1-(1-Skills!J11/100)^Skills!K11</f>
        <v/>
      </c>
      <c r="I125" t="inlineStr">
        <is>
          <t>1</t>
        </is>
      </c>
      <c r="J125">
        <f>((Inputs!$B$6*(1+Inputs!$B$7/100))+(((Inputs!$B$12*(1+(Inputs!$B$13+1)/100))-(Inputs!$B$12*(1+Inputs!$B$13/100)))+0.25*(Inputs!$B$14-Inputs!$B$14))*(1+Inputs!$B$7/100))*(F125/100)</f>
        <v/>
      </c>
      <c r="K125">
        <f>J125*(1+((Inputs!$B$12*(1+(Inputs!$B$13+1)/100))*0.01+Inputs!$B$14*0.0025)/100)*(1+Inputs!$B$15/100)*(1+Inputs!$B$16/100)*(5000/(6000+Inputs!$B$42*(1-(100*(1-(1-(Inputs!$B$19+0)/100)*(1-CHOOSE(ArtifactsInput!$N$40+1,5,6,7,8,9,10)/100)^(ArtifactsInput!$M$40-ArtifactsInput!$M$40)))/100)))*(1+(Inputs!$B$24+((C140=TRUE)*(F140-Calc!F26))+B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137=TRUE)*(F137-Calc!F23))+((C141=TRUE)*(F141-Calc!F27))+(((IF(AND(ArtifactsInput!$M$42,((Inputs!$B$9+((C133=TRUE)*(F133-Calc!F19))+B144+(ArtifactsInput!$M$24-ArtifactsInput!$M$24)*CHOOSE(ArtifactsInput!$N$24+1,10,12,14,16,18,20)+IF(ArtifactsInput!$M$10,CHOOSE(ArtifactsInput!$N$10+1,15,18,21,24,27,30)*(IF(Inputs!$B$38="pvp",MIN(15,15)/15,IF(AND(Inputs!$B$38&lt;&gt;"pvp",Inputs!$B$43&gt;0),MIN(15,Inputs!$B$43)/(Inputs!$B$43),0))),0)))&gt;=100),MIN(100,((Inputs!$B$9+((C133=TRUE)*(F133-Calc!F19))+B144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TRUE)*(F133-Calc!F19))+B144+(ArtifactsInput!$M$24-ArtifactsInput!$M$24)*CHOOSE(ArtifactsInput!$N$24+1,10,12,14,16,18,20)+IF(ArtifactsInput!$M$10,CHOOSE(ArtifactsInput!$N$10+1,15,18,21,24,27,30)*(IF(Inputs!$B$38="pvp",MIN(15,15)/15,IF(AND(Inputs!$B$38&lt;&gt;"pvp",Inputs!$B$43&gt;0),MIN(15,Inputs!$B$43)/(Inputs!$B$43),0))),0)))&gt;=100),CHOOSE(ArtifactsInput!$N$42+1,40,48,56,64,72,80),0))))/100)*((1+(((C131=TRUE)*F131)+((C138=TRUE)*(F138-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f>
        <v/>
      </c>
      <c r="L125">
        <f>K125*(MIN(Inputs!$B$22+((C136=TRUE)*(F136-Calc!F22)),(Inputs!$B$23+0+(IF(ArtifactsInput!$M$15,CHOOSE(ArtifactsInput!$N$15+1,25,30,35,40,45,50)/100*(Inputs!$B$11-Inputs!$B$11),0))))/100+(Inputs!$B$23+0+(IF(ArtifactsInput!$M$15,CHOOSE(ArtifactsInput!$N$15+1,25,30,35,40,45,50)/100*(Inputs!$B$11-Inputs!$B$11),0)))/100)/2</f>
        <v/>
      </c>
      <c r="M125">
        <f>L125*(1+(Inputs!$B$10+((C139=TRUE)*(F139-Calc!F25))+B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
        <f>L125*(1-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
        <f>(1-Summary!$B$11)*T125+Summary!$B$11*V125</f>
        <v/>
      </c>
      <c r="P125">
        <f>IF(B154=0,0,O125/B154)</f>
        <v/>
      </c>
      <c r="Q125">
        <f>IFERROR(1/(IF(Inputs!$B$38="pvp",15,MAX(0.1,Skills!D11-IF(Skills!E11=TRUE,Inputs!$B$32,0)))*(1-IF(AND(ArtifactsInput!$M$27,Inputs!$B$4="Chapter Hunt"),CHOOSE(ArtifactsInput!$N$27+1,20,24,28,32,36,40),0)/100)),0)</f>
        <v/>
      </c>
      <c r="R125">
        <f>IF(AND(Inputs!$B$38&lt;&gt;"pvp",Inputs!$B$43&gt;0),IF(MAX(0,Inputs!$B$43-B151)&lt;=0,0,(INT(MAX(0,Inputs!$B$43-B151)/(IF(Inputs!$B$38="pvp",15,MAX(0.1,Skills!D11-IF(Skills!E11=TRUE,Inputs!$B$32,0)))*(1-IF(AND(ArtifactsInput!$M$27,Inputs!$B$4="Chapter Hunt"),CHOOSE(ArtifactsInput!$N$27+1,20,24,28,32,36,40),0)/100)))+1)),0)</f>
        <v/>
      </c>
      <c r="S125">
        <f>IFERROR(O125/N125,0)</f>
        <v/>
      </c>
      <c r="T125">
        <f>IF(C125,(H125*N125*IF(AND(Inputs!$B$38&lt;&gt;"pvp",Inputs!$B$43&gt;0),((Skills!G11*((R125-1)*IF(Skills!H11&gt;0,Skills!I11/Skills!H11,1)+IF(Skills!H11&gt;0,MIN(Skills!I11,MAX(0,MAX(0,Inputs!$B$43-B151)-((R125-1)*(IF(Inputs!$B$38="pvp",15,MAX(0.1,Skills!D11-IF(Skills!E11=TRUE,Inputs!$B$32,0)))*(1-IF(AND(ArtifactsInput!$M$27,Inputs!$B$4="Chapter Hunt"),CHOOSE(ArtifactsInput!$N$27+1,20,24,28,32,36,40),0)/100)))))/Skills!H11,1)))/Inputs!$B$43),G125*Q125)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
        <f>IF(C125,(H125*N125*IF(AND(Inputs!$B$38&lt;&gt;"pvp",Inputs!$B$43&gt;0),((Skills!G11*((R125-1)*IF(Skills!H11&gt;0,Skills!I11/Skills!H11,1)+IF(Skills!H11&gt;0,MIN(Skills!I11,MAX(0,MAX(0,Inputs!$B$43-B151)-((R125-1)*(IF(Inputs!$B$38="pvp",15,MAX(0.1,Skills!D11-IF(Skills!E11=TRUE,Inputs!$B$32,0)))*(1-IF(AND(ArtifactsInput!$M$27,Inputs!$B$4="Chapter Hunt"),CHOOSE(ArtifactsInput!$N$27+1,20,24,28,32,36,40),0)/100)))))/Skills!H11,1)))/Inputs!$B$43),G125*Q125))*IF(Inputs!$B$38="pvp",1,(1+(Inputs!$B$21+Skills!Q11+(IF(ArtifactsInput!$M$33,CHOOSE(ArtifactsInput!$N$33+1,30,36,42,48,54,60)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
      <c r="A126">
        <f>Skills!A12</f>
        <v/>
      </c>
      <c r="B126">
        <f>Skills!B12</f>
        <v/>
      </c>
      <c r="C126">
        <f>Inputs!$B$3&gt;=110</f>
        <v/>
      </c>
      <c r="D126">
        <f>IF(Skills!C12=1,60+Inputs!$B$25+Inputs!$B$29,IF(Skills!C12=2,90+Inputs!$B$26+Inputs!$B$29,IF(Skills!C12=3,120+Inputs!$B$27+Inputs!$B$29,MAX(0,(Inputs!$B$3-100)*3)+Inputs!$B$28+Inputs!$B$29)))</f>
        <v/>
      </c>
      <c r="E126">
        <f>INDEX(FactorTable!$B$2:$Y$301, MATCH(ROUND(MIN(300,MAX(1,D126)),0), FactorTable!$A$2:$A$301,0), Skills!M12+1)</f>
        <v/>
      </c>
      <c r="F126">
        <f>IF(Skills!N12=TRUE,(Skills!L12/10)*(E126/1000),Skills!L12/10)+Skills!O12</f>
        <v/>
      </c>
      <c r="G126">
        <f>Skills!G12*IF(Skills!H12&gt;0,Skills!I12/Skills!H12,1)</f>
        <v/>
      </c>
      <c r="H126">
        <f>1-(1-Skills!J12/100)^Skills!K12</f>
        <v/>
      </c>
      <c r="I126" t="inlineStr">
        <is>
          <t>1</t>
        </is>
      </c>
      <c r="J126">
        <f>((Inputs!$B$6*(1+Inputs!$B$7/100))+(((Inputs!$B$12*(1+(Inputs!$B$13+1)/100))-(Inputs!$B$12*(1+Inputs!$B$13/100)))+0.25*(Inputs!$B$14-Inputs!$B$14))*(1+Inputs!$B$7/100))*(F126/100)</f>
        <v/>
      </c>
      <c r="K126">
        <f>J126*(1+((Inputs!$B$12*(1+(Inputs!$B$13+1)/100))*0.01+Inputs!$B$14*0.0025)/100)*(1+Inputs!$B$15/100)*(1+Inputs!$B$16/100)*(5000/(6000+Inputs!$B$42*(1-(100*(1-(1-(Inputs!$B$19+0)/100)*(1-CHOOSE(ArtifactsInput!$N$40+1,5,6,7,8,9,10)/100)^(ArtifactsInput!$M$40-ArtifactsInput!$M$40)))/100)))*(1+(Inputs!$B$24+((C140=TRUE)*(F140-Calc!F26))+B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137=TRUE)*(F137-Calc!F23))+((C141=TRUE)*(F141-Calc!F27))+(((IF(AND(ArtifactsInput!$M$42,((Inputs!$B$9+((C133=TRUE)*(F133-Calc!F19))+B144+(ArtifactsInput!$M$24-ArtifactsInput!$M$24)*CHOOSE(ArtifactsInput!$N$24+1,10,12,14,16,18,20)+IF(ArtifactsInput!$M$10,CHOOSE(ArtifactsInput!$N$10+1,15,18,21,24,27,30)*(IF(Inputs!$B$38="pvp",MIN(15,15)/15,IF(AND(Inputs!$B$38&lt;&gt;"pvp",Inputs!$B$43&gt;0),MIN(15,Inputs!$B$43)/(Inputs!$B$43),0))),0)))&gt;=100),MIN(100,((Inputs!$B$9+((C133=TRUE)*(F133-Calc!F19))+B144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TRUE)*(F133-Calc!F19))+B144+(ArtifactsInput!$M$24-ArtifactsInput!$M$24)*CHOOSE(ArtifactsInput!$N$24+1,10,12,14,16,18,20)+IF(ArtifactsInput!$M$10,CHOOSE(ArtifactsInput!$N$10+1,15,18,21,24,27,30)*(IF(Inputs!$B$38="pvp",MIN(15,15)/15,IF(AND(Inputs!$B$38&lt;&gt;"pvp",Inputs!$B$43&gt;0),MIN(15,Inputs!$B$43)/(Inputs!$B$43),0))),0)))&gt;=100),CHOOSE(ArtifactsInput!$N$42+1,40,48,56,64,72,80),0))))/100)*((1+(((C131=TRUE)*F131)+((C138=TRUE)*(F138-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f>
        <v/>
      </c>
      <c r="L126">
        <f>K126*(MIN(Inputs!$B$22+((C136=TRUE)*(F136-Calc!F22)),(Inputs!$B$23+0+(IF(ArtifactsInput!$M$15,CHOOSE(ArtifactsInput!$N$15+1,25,30,35,40,45,50)/100*(Inputs!$B$11-Inputs!$B$11),0))))/100+(Inputs!$B$23+0+(IF(ArtifactsInput!$M$15,CHOOSE(ArtifactsInput!$N$15+1,25,30,35,40,45,50)/100*(Inputs!$B$11-Inputs!$B$11),0)))/100)/2</f>
        <v/>
      </c>
      <c r="M126">
        <f>L126*(1+(Inputs!$B$10+((C139=TRUE)*(F139-Calc!F25))+B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
        <f>L126*(1-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
        <f>(1-Summary!$B$11)*T126+Summary!$B$11*V126</f>
        <v/>
      </c>
      <c r="P126">
        <f>IF(B154=0,0,O126/B154)</f>
        <v/>
      </c>
      <c r="Q126">
        <f>IFERROR(1/(IF(Inputs!$B$38="pvp",15,MAX(0.1,Skills!D12-IF(Skills!E12=TRUE,Inputs!$B$32,0)))*(1-IF(AND(ArtifactsInput!$M$27,Inputs!$B$4="Chapter Hunt"),CHOOSE(ArtifactsInput!$N$27+1,20,24,28,32,36,40),0)/100)),0)</f>
        <v/>
      </c>
      <c r="R126">
        <f>IF(AND(Inputs!$B$38&lt;&gt;"pvp",Inputs!$B$43&gt;0),IF(MAX(0,Inputs!$B$43-B151)&lt;=0,0,(INT(MAX(0,Inputs!$B$43-B151)/(IF(Inputs!$B$38="pvp",15,MAX(0.1,Skills!D12-IF(Skills!E12=TRUE,Inputs!$B$32,0)))*(1-IF(AND(ArtifactsInput!$M$27,Inputs!$B$4="Chapter Hunt"),CHOOSE(ArtifactsInput!$N$27+1,20,24,28,32,36,40),0)/100)))+1)),0)</f>
        <v/>
      </c>
      <c r="S126">
        <f>IFERROR(O126/N126,0)</f>
        <v/>
      </c>
      <c r="T126">
        <f>IF(C126,(H126*N126*IF(AND(Inputs!$B$38&lt;&gt;"pvp",Inputs!$B$43&gt;0),((Skills!G12*((R126-1)*IF(Skills!H12&gt;0,Skills!I12/Skills!H12,1)+IF(Skills!H12&gt;0,MIN(Skills!I12,MAX(0,MAX(0,Inputs!$B$43-B151)-((R126-1)*(IF(Inputs!$B$38="pvp",15,MAX(0.1,Skills!D12-IF(Skills!E12=TRUE,Inputs!$B$32,0)))*(1-IF(AND(ArtifactsInput!$M$27,Inputs!$B$4="Chapter Hunt"),CHOOSE(ArtifactsInput!$N$27+1,20,24,28,32,36,40),0)/100)))))/Skills!H12,1)))/Inputs!$B$43),G126*Q126)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
        <f>IF(C126,(H126*N126*IF(AND(Inputs!$B$38&lt;&gt;"pvp",Inputs!$B$43&gt;0),((Skills!G12*((R126-1)*IF(Skills!H12&gt;0,Skills!I12/Skills!H12,1)+IF(Skills!H12&gt;0,MIN(Skills!I12,MAX(0,MAX(0,Inputs!$B$43-B151)-((R126-1)*(IF(Inputs!$B$38="pvp",15,MAX(0.1,Skills!D12-IF(Skills!E12=TRUE,Inputs!$B$32,0)))*(1-IF(AND(ArtifactsInput!$M$27,Inputs!$B$4="Chapter Hunt"),CHOOSE(ArtifactsInput!$N$27+1,20,24,28,32,36,40),0)/100)))))/Skills!H12,1)))/Inputs!$B$43),G126*Q126))*IF(Inputs!$B$38="pvp",1,(1+(Inputs!$B$21+Skills!Q12+(IF(ArtifactsInput!$M$33,CHOOSE(ArtifactsInput!$N$33+1,30,36,42,48,54,60)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
      <c r="A127">
        <f>Skills!A13</f>
        <v/>
      </c>
      <c r="B127">
        <f>Skills!B13</f>
        <v/>
      </c>
      <c r="C127">
        <f>Inputs!$B$3&gt;=110</f>
        <v/>
      </c>
      <c r="D127">
        <f>IF(Skills!C13=1,60+Inputs!$B$25+Inputs!$B$29,IF(Skills!C13=2,90+Inputs!$B$26+Inputs!$B$29,IF(Skills!C13=3,120+Inputs!$B$27+Inputs!$B$29,MAX(0,(Inputs!$B$3-100)*3)+Inputs!$B$28+Inputs!$B$29)))</f>
        <v/>
      </c>
      <c r="E127">
        <f>INDEX(FactorTable!$B$2:$Y$301, MATCH(ROUND(MIN(300,MAX(1,D127)),0), FactorTable!$A$2:$A$301,0), Skills!M13+1)</f>
        <v/>
      </c>
      <c r="F127">
        <f>IF(Skills!N13=TRUE,(Skills!L13/10)*(E127/1000),Skills!L13/10)+Skills!O13</f>
        <v/>
      </c>
      <c r="G127">
        <f>Skills!G13*IF(Skills!H13&gt;0,Skills!I13/Skills!H13,1)</f>
        <v/>
      </c>
      <c r="H127">
        <f>1-(1-Skills!J13/100)^Skills!K13</f>
        <v/>
      </c>
      <c r="I127" t="inlineStr">
        <is>
          <t>1</t>
        </is>
      </c>
      <c r="J127">
        <f>((Inputs!$B$6*(1+Inputs!$B$7/100))+(((Inputs!$B$12*(1+(Inputs!$B$13+1)/100))-(Inputs!$B$12*(1+Inputs!$B$13/100)))+0.25*(Inputs!$B$14-Inputs!$B$14))*(1+Inputs!$B$7/100))*(F127/100)</f>
        <v/>
      </c>
      <c r="K127">
        <f>J127*(1+((Inputs!$B$12*(1+(Inputs!$B$13+1)/100))*0.01+Inputs!$B$14*0.0025)/100)*(1+Inputs!$B$15/100)*(1+Inputs!$B$16/100)*(5000/(6000+Inputs!$B$42*(1-(100*(1-(1-(Inputs!$B$19+0)/100)*(1-CHOOSE(ArtifactsInput!$N$40+1,5,6,7,8,9,10)/100)^(ArtifactsInput!$M$40-ArtifactsInput!$M$40)))/100)))*(1+(Inputs!$B$24+((C140=TRUE)*(F140-Calc!F26))+B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137=TRUE)*(F137-Calc!F23))+((C141=TRUE)*(F141-Calc!F27))+(((IF(AND(ArtifactsInput!$M$42,((Inputs!$B$9+((C133=TRUE)*(F133-Calc!F19))+B144+(ArtifactsInput!$M$24-ArtifactsInput!$M$24)*CHOOSE(ArtifactsInput!$N$24+1,10,12,14,16,18,20)+IF(ArtifactsInput!$M$10,CHOOSE(ArtifactsInput!$N$10+1,15,18,21,24,27,30)*(IF(Inputs!$B$38="pvp",MIN(15,15)/15,IF(AND(Inputs!$B$38&lt;&gt;"pvp",Inputs!$B$43&gt;0),MIN(15,Inputs!$B$43)/(Inputs!$B$43),0))),0)))&gt;=100),MIN(100,((Inputs!$B$9+((C133=TRUE)*(F133-Calc!F19))+B144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TRUE)*(F133-Calc!F19))+B144+(ArtifactsInput!$M$24-ArtifactsInput!$M$24)*CHOOSE(ArtifactsInput!$N$24+1,10,12,14,16,18,20)+IF(ArtifactsInput!$M$10,CHOOSE(ArtifactsInput!$N$10+1,15,18,21,24,27,30)*(IF(Inputs!$B$38="pvp",MIN(15,15)/15,IF(AND(Inputs!$B$38&lt;&gt;"pvp",Inputs!$B$43&gt;0),MIN(15,Inputs!$B$43)/(Inputs!$B$43),0))),0)))&gt;=100),CHOOSE(ArtifactsInput!$N$42+1,40,48,56,64,72,80),0))))/100)*((1+(((C131=TRUE)*F131)+((C138=TRUE)*(F138-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f>
        <v/>
      </c>
      <c r="L127">
        <f>K127*(MIN(Inputs!$B$22+((C136=TRUE)*(F136-Calc!F22)),(Inputs!$B$23+0+(IF(ArtifactsInput!$M$15,CHOOSE(ArtifactsInput!$N$15+1,25,30,35,40,45,50)/100*(Inputs!$B$11-Inputs!$B$11),0))))/100+(Inputs!$B$23+0+(IF(ArtifactsInput!$M$15,CHOOSE(ArtifactsInput!$N$15+1,25,30,35,40,45,50)/100*(Inputs!$B$11-Inputs!$B$11),0)))/100)/2</f>
        <v/>
      </c>
      <c r="M127">
        <f>L127*(1+(Inputs!$B$10+((C139=TRUE)*(F139-Calc!F25))+B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
        <f>L127*(1-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
        <f>(1-Summary!$B$11)*T127+Summary!$B$11*V127</f>
        <v/>
      </c>
      <c r="P127">
        <f>IF(B154=0,0,O127/B154)</f>
        <v/>
      </c>
      <c r="Q127">
        <f>IFERROR(1/(IF(Inputs!$B$38="pvp",15,MAX(0.1,Skills!D13-IF(Skills!E13=TRUE,Inputs!$B$32,0)))*(1-IF(AND(ArtifactsInput!$M$27,Inputs!$B$4="Chapter Hunt"),CHOOSE(ArtifactsInput!$N$27+1,20,24,28,32,36,40),0)/100)),0)</f>
        <v/>
      </c>
      <c r="R127">
        <f>IF(AND(Inputs!$B$38&lt;&gt;"pvp",Inputs!$B$43&gt;0),IF(MAX(0,Inputs!$B$43-B151)&lt;=0,0,(INT(MAX(0,Inputs!$B$43-B151)/(IF(Inputs!$B$38="pvp",15,MAX(0.1,Skills!D13-IF(Skills!E13=TRUE,Inputs!$B$32,0)))*(1-IF(AND(ArtifactsInput!$M$27,Inputs!$B$4="Chapter Hunt"),CHOOSE(ArtifactsInput!$N$27+1,20,24,28,32,36,40),0)/100)))+1)),0)</f>
        <v/>
      </c>
      <c r="S127">
        <f>IFERROR(O127/N127,0)</f>
        <v/>
      </c>
      <c r="T127">
        <f>IF(C127,(H127*N127*IF(AND(Inputs!$B$38&lt;&gt;"pvp",Inputs!$B$43&gt;0),((Skills!G13*((R127-1)*IF(Skills!H13&gt;0,Skills!I13/Skills!H13,1)+IF(Skills!H13&gt;0,MIN(Skills!I13,MAX(0,MAX(0,Inputs!$B$43-B151)-((R127-1)*(IF(Inputs!$B$38="pvp",15,MAX(0.1,Skills!D13-IF(Skills!E13=TRUE,Inputs!$B$32,0)))*(1-IF(AND(ArtifactsInput!$M$27,Inputs!$B$4="Chapter Hunt"),CHOOSE(ArtifactsInput!$N$27+1,20,24,28,32,36,40),0)/100)))))/Skills!H13,1)))/Inputs!$B$43),G127*Q127))*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
        <f>IF(C127,(H127*N127*IF(AND(Inputs!$B$38&lt;&gt;"pvp",Inputs!$B$43&gt;0),((Skills!G13*((R127-1)*IF(Skills!H13&gt;0,Skills!I13/Skills!H13,1)+IF(Skills!H13&gt;0,MIN(Skills!I13,MAX(0,MAX(0,Inputs!$B$43-B151)-((R127-1)*(IF(Inputs!$B$38="pvp",15,MAX(0.1,Skills!D13-IF(Skills!E13=TRUE,Inputs!$B$32,0)))*(1-IF(AND(ArtifactsInput!$M$27,Inputs!$B$4="Chapter Hunt"),CHOOSE(ArtifactsInput!$N$27+1,20,24,28,32,36,40),0)/100)))))/Skills!H13,1)))/Inputs!$B$43),G127*Q127))*IF(Inputs!$B$38="pvp",1,(1+(Inputs!$B$21+Skills!Q13+(IF(ArtifactsInput!$M$33,CHOOSE(ArtifactsInput!$N$33+1,30,36,42,48,54,60)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
      <c r="A128">
        <f>Skills!A14</f>
        <v/>
      </c>
      <c r="B128">
        <f>Skills!B14</f>
        <v/>
      </c>
      <c r="C128">
        <f>Inputs!$B$3&gt;=125</f>
        <v/>
      </c>
      <c r="D128">
        <f>IF(Skills!C14=1,60+Inputs!$B$25+Inputs!$B$29,IF(Skills!C14=2,90+Inputs!$B$26+Inputs!$B$29,IF(Skills!C14=3,120+Inputs!$B$27+Inputs!$B$29,MAX(0,(Inputs!$B$3-100)*3)+Inputs!$B$28+Inputs!$B$29)))</f>
        <v/>
      </c>
      <c r="E128">
        <f>INDEX(FactorTable!$B$2:$Y$301, MATCH(ROUND(MIN(300,MAX(1,D128)),0), FactorTable!$A$2:$A$301,0), Skills!M14+1)</f>
        <v/>
      </c>
      <c r="F128">
        <f>IF(Skills!N14=TRUE,(Skills!L14/10)*(E128/1000),Skills!L14/10)+Skills!O14</f>
        <v/>
      </c>
      <c r="G128">
        <f>Skills!G14*IF(Skills!H14&gt;0,Skills!I14/Skills!H14,1)</f>
        <v/>
      </c>
      <c r="H128">
        <f>1-(1-Skills!J14/100)^Skills!K14</f>
        <v/>
      </c>
      <c r="I128" t="inlineStr">
        <is>
          <t>1</t>
        </is>
      </c>
      <c r="J128">
        <f>((Inputs!$B$6*(1+Inputs!$B$7/100))+(((Inputs!$B$12*(1+(Inputs!$B$13+1)/100))-(Inputs!$B$12*(1+Inputs!$B$13/100)))+0.25*(Inputs!$B$14-Inputs!$B$14))*(1+Inputs!$B$7/100))*(F128/100)</f>
        <v/>
      </c>
      <c r="K128">
        <f>J128*(1+((Inputs!$B$12*(1+(Inputs!$B$13+1)/100))*0.01+Inputs!$B$14*0.0025)/100)*(1+Inputs!$B$15/100)*(1+Inputs!$B$16/100)*(5000/(6000+Inputs!$B$42*(1-(100*(1-(1-(Inputs!$B$19+0)/100)*(1-CHOOSE(ArtifactsInput!$N$40+1,5,6,7,8,9,10)/100)^(ArtifactsInput!$M$40-ArtifactsInput!$M$40)))/100)))*(1+(Inputs!$B$24+((C140=TRUE)*(F140-Calc!F26))+B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137=TRUE)*(F137-Calc!F23))+((C141=TRUE)*(F141-Calc!F27))+(((IF(AND(ArtifactsInput!$M$42,((Inputs!$B$9+((C133=TRUE)*(F133-Calc!F19))+B144+(ArtifactsInput!$M$24-ArtifactsInput!$M$24)*CHOOSE(ArtifactsInput!$N$24+1,10,12,14,16,18,20)+IF(ArtifactsInput!$M$10,CHOOSE(ArtifactsInput!$N$10+1,15,18,21,24,27,30)*(IF(Inputs!$B$38="pvp",MIN(15,15)/15,IF(AND(Inputs!$B$38&lt;&gt;"pvp",Inputs!$B$43&gt;0),MIN(15,Inputs!$B$43)/(Inputs!$B$43),0))),0)))&gt;=100),MIN(100,((Inputs!$B$9+((C133=TRUE)*(F133-Calc!F19))+B144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TRUE)*(F133-Calc!F19))+B144+(ArtifactsInput!$M$24-ArtifactsInput!$M$24)*CHOOSE(ArtifactsInput!$N$24+1,10,12,14,16,18,20)+IF(ArtifactsInput!$M$10,CHOOSE(ArtifactsInput!$N$10+1,15,18,21,24,27,30)*(IF(Inputs!$B$38="pvp",MIN(15,15)/15,IF(AND(Inputs!$B$38&lt;&gt;"pvp",Inputs!$B$43&gt;0),MIN(15,Inputs!$B$43)/(Inputs!$B$43),0))),0)))&gt;=100),CHOOSE(ArtifactsInput!$N$42+1,40,48,56,64,72,80),0))))/100)*((1+(((C131=TRUE)*F131)+((C138=TRUE)*(F138-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f>
        <v/>
      </c>
      <c r="L128">
        <f>K128*(MIN(Inputs!$B$22+((C136=TRUE)*(F136-Calc!F22)),(Inputs!$B$23+0+(IF(ArtifactsInput!$M$15,CHOOSE(ArtifactsInput!$N$15+1,25,30,35,40,45,50)/100*(Inputs!$B$11-Inputs!$B$11),0))))/100+(Inputs!$B$23+0+(IF(ArtifactsInput!$M$15,CHOOSE(ArtifactsInput!$N$15+1,25,30,35,40,45,50)/100*(Inputs!$B$11-Inputs!$B$11),0)))/100)/2</f>
        <v/>
      </c>
      <c r="M128">
        <f>L128*(1+(Inputs!$B$10+((C139=TRUE)*(F139-Calc!F25))+B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
        <f>L128*(1-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
        <f>(1-Summary!$B$11)*T128+Summary!$B$11*V128</f>
        <v/>
      </c>
      <c r="P128">
        <f>IF(B154=0,0,O128/B154)</f>
        <v/>
      </c>
      <c r="Q128" t="n">
        <v>0</v>
      </c>
      <c r="R128" t="n">
        <v>0</v>
      </c>
      <c r="S128">
        <f>IFERROR(O128/N128,0)</f>
        <v/>
      </c>
      <c r="T128">
        <f>IF(C128,(H128*N128*(B148+IF(AND(Inputs!$B$38&lt;&gt;"pvp",Inputs!$B$43&gt;0),((Skills!G8*((R122-1)*IF(Skills!H8&gt;0,Skills!I8/Skills!H8,1)+IF(Skills!H8&gt;0,MIN(Skills!I8,MAX(0,MAX(0,Inputs!$B$43-B151)-((R122-1)*(IF(Inputs!$B$38="pvp",15,MAX(0.1,Skills!D8-IF(Skills!E8=TRUE,Inputs!$B$32,0)))*(1-IF(AND(ArtifactsInput!$M$27,Inputs!$B$4="Chapter Hunt"),CHOOSE(ArtifactsInput!$N$27+1,20,24,28,32,36,40),0)/100)))))/Skills!H8,1)))/Inputs!$B$43),G122*Q122)+IF(AND(Inputs!$B$38&lt;&gt;"pvp",Inputs!$B$43&gt;0),((Skills!G11*((R125-1)*IF(Skills!H11&gt;0,Skills!I11/Skills!H11,1)+IF(Skills!H11&gt;0,MIN(Skills!I11,MAX(0,MAX(0,Inputs!$B$43-B151)-((R125-1)*(IF(Inputs!$B$38="pvp",15,MAX(0.1,Skills!D11-IF(Skills!E11=TRUE,Inputs!$B$32,0)))*(1-IF(AND(ArtifactsInput!$M$27,Inputs!$B$4="Chapter Hunt"),CHOOSE(ArtifactsInput!$N$27+1,20,24,28,32,36,40),0)/100)))))/Skills!H11,1)))/Inputs!$B$43),G125*Q125)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
        <f>IF(C128,(H128*N128*(B148+IF(AND(Inputs!$B$38&lt;&gt;"pvp",Inputs!$B$43&gt;0),((Skills!G8*((R122-1)*IF(Skills!H8&gt;0,Skills!I8/Skills!H8,1)+IF(Skills!H8&gt;0,MIN(Skills!I8,MAX(0,MAX(0,Inputs!$B$43-B151)-((R122-1)*(IF(Inputs!$B$38="pvp",15,MAX(0.1,Skills!D8-IF(Skills!E8=TRUE,Inputs!$B$32,0)))*(1-IF(AND(ArtifactsInput!$M$27,Inputs!$B$4="Chapter Hunt"),CHOOSE(ArtifactsInput!$N$27+1,20,24,28,32,36,40),0)/100)))))/Skills!H8,1)))/Inputs!$B$43),G122*Q122)+IF(AND(Inputs!$B$38&lt;&gt;"pvp",Inputs!$B$43&gt;0),((Skills!G11*((R125-1)*IF(Skills!H11&gt;0,Skills!I11/Skills!H11,1)+IF(Skills!H11&gt;0,MIN(Skills!I11,MAX(0,MAX(0,Inputs!$B$43-B151)-((R125-1)*(IF(Inputs!$B$38="pvp",15,MAX(0.1,Skills!D11-IF(Skills!E11=TRUE,Inputs!$B$32,0)))*(1-IF(AND(ArtifactsInput!$M$27,Inputs!$B$4="Chapter Hunt"),CHOOSE(ArtifactsInput!$N$27+1,20,24,28,32,36,40),0)/100)))))/Skills!H11,1)))/Inputs!$B$43),G125*Q125)))*IF(Inputs!$B$38="pvp",1,(1+(Inputs!$B$21+Skills!Q14+(IF(ArtifactsInput!$M$33,CHOOSE(ArtifactsInput!$N$33+1,30,36,42,48,54,60)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
      <c r="A129">
        <f>Skills!A15</f>
        <v/>
      </c>
      <c r="B129">
        <f>Skills!B15</f>
        <v/>
      </c>
      <c r="C129">
        <f>Inputs!$B$3&gt;=100</f>
        <v/>
      </c>
      <c r="D129">
        <f>IF(Skills!C15=1,60+Inputs!$B$25+Inputs!$B$29,IF(Skills!C15=2,90+Inputs!$B$26+Inputs!$B$29,IF(Skills!C15=3,120+Inputs!$B$27+Inputs!$B$29,MAX(0,(Inputs!$B$3-100)*3)+Inputs!$B$28+Inputs!$B$29)))</f>
        <v/>
      </c>
      <c r="E129">
        <f>INDEX(FactorTable!$B$2:$Y$301, MATCH(ROUND(MIN(300,MAX(1,D129)),0), FactorTable!$A$2:$A$301,0), Skills!M15+1)</f>
        <v/>
      </c>
      <c r="F129">
        <f>IF(Skills!N15=TRUE,(Skills!L15/10)*(E129/1000),Skills!L15/10)+Skills!O15</f>
        <v/>
      </c>
      <c r="G129" t="inlineStr"/>
      <c r="H129" t="inlineStr"/>
      <c r="I129" t="inlineStr">
        <is>
          <t>1</t>
        </is>
      </c>
      <c r="J129" t="inlineStr"/>
      <c r="K129" t="inlineStr"/>
      <c r="L129" t="inlineStr"/>
      <c r="M129" t="inlineStr"/>
      <c r="N129" t="inlineStr"/>
      <c r="O129" t="inlineStr"/>
      <c r="P129" t="inlineStr"/>
      <c r="Q129" t="inlineStr"/>
      <c r="R129" t="inlineStr"/>
      <c r="S129" t="inlineStr"/>
    </row>
    <row r="130">
      <c r="A130">
        <f>Skills!A16</f>
        <v/>
      </c>
      <c r="B130">
        <f>Skills!B16</f>
        <v/>
      </c>
      <c r="C130">
        <f>Inputs!$B$3&gt;=120</f>
        <v/>
      </c>
      <c r="D130">
        <f>IF(Skills!C16=1,60+Inputs!$B$25+Inputs!$B$29,IF(Skills!C16=2,90+Inputs!$B$26+Inputs!$B$29,IF(Skills!C16=3,120+Inputs!$B$27+Inputs!$B$29,MAX(0,(Inputs!$B$3-100)*3)+Inputs!$B$28+Inputs!$B$29)))</f>
        <v/>
      </c>
      <c r="E130">
        <f>INDEX(FactorTable!$B$2:$Y$301, MATCH(ROUND(MIN(300,MAX(1,D130)),0), FactorTable!$A$2:$A$301,0), Skills!M16+1)</f>
        <v/>
      </c>
      <c r="F130">
        <f>IF(Skills!N16=TRUE,(Skills!L16/10)*(E130/1000),Skills!L16/10)+Skills!O16</f>
        <v/>
      </c>
      <c r="G130" t="inlineStr"/>
      <c r="H130" t="inlineStr"/>
      <c r="I130" t="inlineStr">
        <is>
          <t>1</t>
        </is>
      </c>
      <c r="J130" t="inlineStr"/>
      <c r="K130" t="inlineStr"/>
      <c r="L130" t="inlineStr"/>
      <c r="M130" t="inlineStr"/>
      <c r="N130" t="inlineStr"/>
      <c r="O130" t="inlineStr"/>
      <c r="P130" t="inlineStr"/>
      <c r="Q130" t="inlineStr"/>
      <c r="R130" t="inlineStr"/>
      <c r="S130" t="inlineStr"/>
    </row>
    <row r="131">
      <c r="A131">
        <f>Skills!A17</f>
        <v/>
      </c>
      <c r="B131">
        <f>Skills!B17</f>
        <v/>
      </c>
      <c r="C131">
        <f>Inputs!$B$3&gt;=66</f>
        <v/>
      </c>
      <c r="D131">
        <f>IF(Skills!C17=1,60+Inputs!$B$25+Inputs!$B$29,IF(Skills!C17=2,90+Inputs!$B$26+Inputs!$B$29,IF(Skills!C17=3,120+Inputs!$B$27+Inputs!$B$29,MAX(0,(Inputs!$B$3-100)*3)+Inputs!$B$28+Inputs!$B$29)))</f>
        <v/>
      </c>
      <c r="E131">
        <f>INDEX(FactorTable!$B$2:$Y$301, MATCH(ROUND(MIN(300,MAX(1,D131)),0), FactorTable!$A$2:$A$301,0), Skills!M17+1)</f>
        <v/>
      </c>
      <c r="F131">
        <f>IF(Skills!N17=TRUE,(Skills!L17/10)*(E131/1000),Skills!L17/10)+Skills!O17</f>
        <v/>
      </c>
      <c r="G131">
        <f>Skills!G17*IF(Skills!H17&gt;0,Skills!I17/Skills!H17,1)</f>
        <v/>
      </c>
      <c r="H131">
        <f>1-(1-Skills!J17/100)^Skills!K17</f>
        <v/>
      </c>
      <c r="I131" t="inlineStr">
        <is>
          <t>1</t>
        </is>
      </c>
      <c r="J131" t="inlineStr"/>
      <c r="K131" t="inlineStr"/>
      <c r="L131" t="inlineStr"/>
      <c r="M131" t="inlineStr"/>
      <c r="N131" t="inlineStr"/>
      <c r="O131">
        <f>(1-Summary!$B$11)*T131+Summary!$B$11*V131</f>
        <v/>
      </c>
      <c r="P131">
        <f>IF(B154=0,0,O131/B154)</f>
        <v/>
      </c>
      <c r="Q131" t="n">
        <v>0</v>
      </c>
      <c r="R131" t="n">
        <v>0</v>
      </c>
      <c r="S131">
        <f>IFERROR(O131/N131,0)</f>
        <v/>
      </c>
      <c r="T131" t="n">
        <v>0</v>
      </c>
      <c r="V131" t="n">
        <v>0</v>
      </c>
    </row>
    <row r="132">
      <c r="A132">
        <f>Skills!A18</f>
        <v/>
      </c>
      <c r="B132">
        <f>Skills!B18</f>
        <v/>
      </c>
      <c r="C132">
        <f>Inputs!$B$3&gt;=115</f>
        <v/>
      </c>
      <c r="D132">
        <f>IF(Skills!C18=1,60+Inputs!$B$25+Inputs!$B$29,IF(Skills!C18=2,90+Inputs!$B$26+Inputs!$B$29,IF(Skills!C18=3,120+Inputs!$B$27+Inputs!$B$29,MAX(0,(Inputs!$B$3-100)*3)+Inputs!$B$28+Inputs!$B$29)))</f>
        <v/>
      </c>
      <c r="E132">
        <f>INDEX(FactorTable!$B$2:$Y$301, MATCH(ROUND(MIN(300,MAX(1,D132)),0), FactorTable!$A$2:$A$301,0), Skills!M18+1)</f>
        <v/>
      </c>
      <c r="F132">
        <f>IF(Skills!N18=TRUE,(Skills!L18/10)*(E132/1000),Skills!L18/10)+Skills!O18</f>
        <v/>
      </c>
      <c r="G132">
        <f>Skills!G18*IF(Skills!H18&gt;0,Skills!I18/Skills!H18,1)</f>
        <v/>
      </c>
      <c r="H132">
        <f>1-(1-Skills!J18/100)^Skills!K18</f>
        <v/>
      </c>
      <c r="I132" t="inlineStr">
        <is>
          <t>1</t>
        </is>
      </c>
      <c r="J132" t="inlineStr"/>
      <c r="K132" t="inlineStr"/>
      <c r="L132" t="inlineStr"/>
      <c r="M132" t="inlineStr"/>
      <c r="N132" t="inlineStr"/>
      <c r="O132">
        <f>(1-Summary!$B$11)*T132+Summary!$B$11*V132</f>
        <v/>
      </c>
      <c r="P132">
        <f>IF(B154=0,0,O132/B154)</f>
        <v/>
      </c>
      <c r="Q132" t="n">
        <v>0</v>
      </c>
      <c r="R132" t="n">
        <v>0</v>
      </c>
      <c r="S132">
        <f>IFERROR(O132/N132,0)</f>
        <v/>
      </c>
      <c r="T132" t="n">
        <v>0</v>
      </c>
      <c r="V132" t="n">
        <v>0</v>
      </c>
    </row>
    <row r="133">
      <c r="A133">
        <f>Skills!A19</f>
        <v/>
      </c>
      <c r="B133">
        <f>Skills!B19</f>
        <v/>
      </c>
      <c r="C133">
        <f>Inputs!$B$3&gt;=15</f>
        <v/>
      </c>
      <c r="D133">
        <f>IF(Skills!C19=1,60+Inputs!$B$25+Inputs!$B$29,IF(Skills!C19=2,90+Inputs!$B$26+Inputs!$B$29,IF(Skills!C19=3,120+Inputs!$B$27+Inputs!$B$29,MAX(0,(Inputs!$B$3-100)*3)+Inputs!$B$28+Inputs!$B$29)))</f>
        <v/>
      </c>
      <c r="E133">
        <f>INDEX(FactorTable!$B$2:$Y$301, MATCH(ROUND(MIN(300,MAX(1,D133)),0), FactorTable!$A$2:$A$301,0), Skills!M19+1)</f>
        <v/>
      </c>
      <c r="F133">
        <f>IF(Skills!N19=TRUE,(Skills!L19/10)*(E133/1000),Skills!L19/10)+Skills!O19</f>
        <v/>
      </c>
      <c r="G133">
        <f>Skills!G19*IF(Skills!H19&gt;0,Skills!I19/Skills!H19,1)</f>
        <v/>
      </c>
      <c r="H133">
        <f>1-(1-Skills!J19/100)^Skills!K19</f>
        <v/>
      </c>
      <c r="I133" t="inlineStr">
        <is>
          <t>1</t>
        </is>
      </c>
      <c r="J133" t="inlineStr"/>
      <c r="K133" t="inlineStr"/>
      <c r="L133" t="inlineStr"/>
      <c r="M133" t="inlineStr"/>
      <c r="N133" t="inlineStr"/>
      <c r="O133">
        <f>(1-Summary!$B$11)*T133+Summary!$B$11*V133</f>
        <v/>
      </c>
      <c r="P133">
        <f>IF(B154=0,0,O133/B154)</f>
        <v/>
      </c>
      <c r="Q133" t="n">
        <v>0</v>
      </c>
      <c r="R133" t="n">
        <v>0</v>
      </c>
      <c r="S133">
        <f>IFERROR(O133/N133,0)</f>
        <v/>
      </c>
      <c r="T133" t="n">
        <v>0</v>
      </c>
      <c r="V133" t="n">
        <v>0</v>
      </c>
    </row>
    <row r="134">
      <c r="A134">
        <f>Skills!A20</f>
        <v/>
      </c>
      <c r="B134">
        <f>Skills!B20</f>
        <v/>
      </c>
      <c r="C134">
        <f>Inputs!$B$3&gt;=10</f>
        <v/>
      </c>
      <c r="D134">
        <f>IF(Skills!C20=1,60+Inputs!$B$25+Inputs!$B$29,IF(Skills!C20=2,90+Inputs!$B$26+Inputs!$B$29,IF(Skills!C20=3,120+Inputs!$B$27+Inputs!$B$29,MAX(0,(Inputs!$B$3-100)*3)+Inputs!$B$28+Inputs!$B$29)))</f>
        <v/>
      </c>
      <c r="E134">
        <f>INDEX(FactorTable!$B$2:$Y$301, MATCH(ROUND(MIN(300,MAX(1,D134)),0), FactorTable!$A$2:$A$301,0), Skills!M20+1)</f>
        <v/>
      </c>
      <c r="F134">
        <f>IF(Skills!N20=TRUE,(Skills!L20/10)*(E134/1000),Skills!L20/10)+Skills!O20</f>
        <v/>
      </c>
      <c r="G134">
        <f>Skills!G20*IF(Skills!H20&gt;0,Skills!I20/Skills!H20,1)</f>
        <v/>
      </c>
      <c r="H134">
        <f>1-(1-Skills!J20/100)^Skills!K20</f>
        <v/>
      </c>
      <c r="I134" t="inlineStr">
        <is>
          <t>1</t>
        </is>
      </c>
      <c r="J134" t="inlineStr"/>
      <c r="K134" t="inlineStr"/>
      <c r="L134" t="inlineStr"/>
      <c r="M134" t="inlineStr"/>
      <c r="N134" t="inlineStr"/>
      <c r="O134">
        <f>(1-Summary!$B$11)*T134+Summary!$B$11*V134</f>
        <v/>
      </c>
      <c r="P134">
        <f>IF(B154=0,0,O134/B154)</f>
        <v/>
      </c>
      <c r="Q134" t="n">
        <v>0</v>
      </c>
      <c r="R134" t="n">
        <v>0</v>
      </c>
      <c r="S134">
        <f>IFERROR(O134/N134,0)</f>
        <v/>
      </c>
      <c r="T134" t="n">
        <v>0</v>
      </c>
      <c r="V134" t="n">
        <v>0</v>
      </c>
    </row>
    <row r="135">
      <c r="A135">
        <f>Skills!A21</f>
        <v/>
      </c>
      <c r="B135">
        <f>Skills!B21</f>
        <v/>
      </c>
      <c r="C135">
        <f>Inputs!$B$3&gt;=33</f>
        <v/>
      </c>
      <c r="D135">
        <f>IF(Skills!C21=1,60+Inputs!$B$25+Inputs!$B$29,IF(Skills!C21=2,90+Inputs!$B$26+Inputs!$B$29,IF(Skills!C21=3,120+Inputs!$B$27+Inputs!$B$29,MAX(0,(Inputs!$B$3-100)*3)+Inputs!$B$28+Inputs!$B$29)))</f>
        <v/>
      </c>
      <c r="E135">
        <f>INDEX(FactorTable!$B$2:$Y$301, MATCH(ROUND(MIN(300,MAX(1,D135)),0), FactorTable!$A$2:$A$301,0), Skills!M21+1)</f>
        <v/>
      </c>
      <c r="F135">
        <f>IF(Skills!N21=TRUE,(Skills!L21/10)*(E135/1000),Skills!L21/10)+Skills!O21</f>
        <v/>
      </c>
      <c r="G135">
        <f>Skills!G21*IF(Skills!H21&gt;0,Skills!I21/Skills!H21,1)</f>
        <v/>
      </c>
      <c r="H135">
        <f>1-(1-Skills!J21/100)^Skills!K21</f>
        <v/>
      </c>
      <c r="I135" t="inlineStr">
        <is>
          <t>1</t>
        </is>
      </c>
      <c r="J135" t="inlineStr"/>
      <c r="K135" t="inlineStr"/>
      <c r="L135" t="inlineStr"/>
      <c r="M135" t="inlineStr"/>
      <c r="N135" t="inlineStr"/>
      <c r="O135">
        <f>(1-Summary!$B$11)*T135+Summary!$B$11*V135</f>
        <v/>
      </c>
      <c r="P135">
        <f>IF(B154=0,0,O135/B154)</f>
        <v/>
      </c>
      <c r="Q135" t="n">
        <v>0</v>
      </c>
      <c r="R135" t="n">
        <v>0</v>
      </c>
      <c r="S135">
        <f>IFERROR(O135/N135,0)</f>
        <v/>
      </c>
      <c r="T135" t="n">
        <v>0</v>
      </c>
      <c r="V135" t="n">
        <v>0</v>
      </c>
    </row>
    <row r="136">
      <c r="A136">
        <f>Skills!A22</f>
        <v/>
      </c>
      <c r="B136">
        <f>Skills!B22</f>
        <v/>
      </c>
      <c r="C136">
        <f>Inputs!$B$3&gt;=43</f>
        <v/>
      </c>
      <c r="D136">
        <f>IF(Skills!C22=1,60+Inputs!$B$25+Inputs!$B$29,IF(Skills!C22=2,90+Inputs!$B$26+Inputs!$B$29,IF(Skills!C22=3,120+Inputs!$B$27+Inputs!$B$29,MAX(0,(Inputs!$B$3-100)*3)+Inputs!$B$28+Inputs!$B$29)))</f>
        <v/>
      </c>
      <c r="E136">
        <f>INDEX(FactorTable!$B$2:$Y$301, MATCH(ROUND(MIN(300,MAX(1,D136)),0), FactorTable!$A$2:$A$301,0), Skills!M22+1)</f>
        <v/>
      </c>
      <c r="F136">
        <f>IF(Skills!N22=TRUE,(Skills!L22/10)*(E136/1000),Skills!L22/10)+Skills!O22</f>
        <v/>
      </c>
      <c r="G136">
        <f>Skills!G22*IF(Skills!H22&gt;0,Skills!I22/Skills!H22,1)</f>
        <v/>
      </c>
      <c r="H136">
        <f>1-(1-Skills!J22/100)^Skills!K22</f>
        <v/>
      </c>
      <c r="I136" t="inlineStr">
        <is>
          <t>1</t>
        </is>
      </c>
      <c r="J136" t="inlineStr"/>
      <c r="K136" t="inlineStr"/>
      <c r="L136" t="inlineStr"/>
      <c r="M136" t="inlineStr"/>
      <c r="N136" t="inlineStr"/>
      <c r="O136">
        <f>(1-Summary!$B$11)*T136+Summary!$B$11*V136</f>
        <v/>
      </c>
      <c r="P136">
        <f>IF(B154=0,0,O136/B154)</f>
        <v/>
      </c>
      <c r="Q136" t="n">
        <v>0</v>
      </c>
      <c r="R136" t="n">
        <v>0</v>
      </c>
      <c r="S136">
        <f>IFERROR(O136/N136,0)</f>
        <v/>
      </c>
      <c r="T136" t="n">
        <v>0</v>
      </c>
      <c r="V136" t="n">
        <v>0</v>
      </c>
    </row>
    <row r="137">
      <c r="A137">
        <f>Skills!A23</f>
        <v/>
      </c>
      <c r="B137">
        <f>Skills!B23</f>
        <v/>
      </c>
      <c r="C137">
        <f>Inputs!$B$3&gt;=38</f>
        <v/>
      </c>
      <c r="D137">
        <f>IF(Skills!C23=1,60+Inputs!$B$25+Inputs!$B$29,IF(Skills!C23=2,90+Inputs!$B$26+Inputs!$B$29,IF(Skills!C23=3,120+Inputs!$B$27+Inputs!$B$29,MAX(0,(Inputs!$B$3-100)*3)+Inputs!$B$28+Inputs!$B$29)))</f>
        <v/>
      </c>
      <c r="E137">
        <f>INDEX(FactorTable!$B$2:$Y$301, MATCH(ROUND(MIN(300,MAX(1,D137)),0), FactorTable!$A$2:$A$301,0), Skills!M23+1)</f>
        <v/>
      </c>
      <c r="F137">
        <f>IF(Skills!N23=TRUE,(Skills!L23/10)*(E137/1000),Skills!L23/10)+Skills!O23</f>
        <v/>
      </c>
      <c r="G137">
        <f>Skills!G23*IF(Skills!H23&gt;0,Skills!I23/Skills!H23,1)</f>
        <v/>
      </c>
      <c r="H137">
        <f>1-(1-Skills!J23/100)^Skills!K23</f>
        <v/>
      </c>
      <c r="I137" t="inlineStr">
        <is>
          <t>1</t>
        </is>
      </c>
      <c r="J137" t="inlineStr"/>
      <c r="K137" t="inlineStr"/>
      <c r="L137" t="inlineStr"/>
      <c r="M137" t="inlineStr"/>
      <c r="N137" t="inlineStr"/>
      <c r="O137">
        <f>(1-Summary!$B$11)*T137+Summary!$B$11*V137</f>
        <v/>
      </c>
      <c r="P137">
        <f>IF(B154=0,0,O137/B154)</f>
        <v/>
      </c>
      <c r="Q137" t="n">
        <v>0</v>
      </c>
      <c r="R137" t="n">
        <v>0</v>
      </c>
      <c r="S137">
        <f>IFERROR(O137/N137,0)</f>
        <v/>
      </c>
      <c r="T137" t="n">
        <v>0</v>
      </c>
      <c r="V137" t="n">
        <v>0</v>
      </c>
    </row>
    <row r="138">
      <c r="A138">
        <f>Skills!A24</f>
        <v/>
      </c>
      <c r="B138">
        <f>Skills!B24</f>
        <v/>
      </c>
      <c r="C138">
        <f>Inputs!$B$3&gt;=40</f>
        <v/>
      </c>
      <c r="D138">
        <f>IF(Skills!C24=1,60+Inputs!$B$25+Inputs!$B$29,IF(Skills!C24=2,90+Inputs!$B$26+Inputs!$B$29,IF(Skills!C24=3,120+Inputs!$B$27+Inputs!$B$29,MAX(0,(Inputs!$B$3-100)*3)+Inputs!$B$28+Inputs!$B$29)))</f>
        <v/>
      </c>
      <c r="E138">
        <f>INDEX(FactorTable!$B$2:$Y$301, MATCH(ROUND(MIN(300,MAX(1,D138)),0), FactorTable!$A$2:$A$301,0), Skills!M24+1)</f>
        <v/>
      </c>
      <c r="F138">
        <f>IF(Skills!N24=TRUE,(Skills!L24/10)*(E138/1000),Skills!L24/10)+Skills!O24</f>
        <v/>
      </c>
      <c r="G138">
        <f>Skills!G24*IF(Skills!H24&gt;0,Skills!I24/Skills!H24,1)</f>
        <v/>
      </c>
      <c r="H138">
        <f>1-(1-Skills!J24/100)^Skills!K24</f>
        <v/>
      </c>
      <c r="I138" t="inlineStr">
        <is>
          <t>1</t>
        </is>
      </c>
      <c r="J138" t="inlineStr"/>
      <c r="K138" t="inlineStr"/>
      <c r="L138" t="inlineStr"/>
      <c r="M138" t="inlineStr"/>
      <c r="N138" t="inlineStr"/>
      <c r="O138">
        <f>(1-Summary!$B$11)*T138+Summary!$B$11*V138</f>
        <v/>
      </c>
      <c r="P138">
        <f>IF(B154=0,0,O138/B154)</f>
        <v/>
      </c>
      <c r="Q138" t="n">
        <v>0</v>
      </c>
      <c r="R138" t="n">
        <v>0</v>
      </c>
      <c r="S138">
        <f>IFERROR(O138/N138,0)</f>
        <v/>
      </c>
      <c r="T138" t="n">
        <v>0</v>
      </c>
      <c r="V138" t="n">
        <v>0</v>
      </c>
    </row>
    <row r="139">
      <c r="A139">
        <f>Skills!A25</f>
        <v/>
      </c>
      <c r="B139">
        <f>Skills!B25</f>
        <v/>
      </c>
      <c r="C139">
        <f>Inputs!$B$3&gt;=72</f>
        <v/>
      </c>
      <c r="D139">
        <f>IF(Skills!C25=1,60+Inputs!$B$25+Inputs!$B$29,IF(Skills!C25=2,90+Inputs!$B$26+Inputs!$B$29,IF(Skills!C25=3,120+Inputs!$B$27+Inputs!$B$29,MAX(0,(Inputs!$B$3-100)*3)+Inputs!$B$28+Inputs!$B$29)))</f>
        <v/>
      </c>
      <c r="E139">
        <f>INDEX(FactorTable!$B$2:$Y$301, MATCH(ROUND(MIN(300,MAX(1,D139)),0), FactorTable!$A$2:$A$301,0), Skills!M25+1)</f>
        <v/>
      </c>
      <c r="F139">
        <f>IF(Skills!N25=TRUE,(Skills!L25/10)*(E139/1000),Skills!L25/10)+Skills!O25</f>
        <v/>
      </c>
      <c r="G139">
        <f>Skills!G25*IF(Skills!H25&gt;0,Skills!I25/Skills!H25,1)</f>
        <v/>
      </c>
      <c r="H139">
        <f>1-(1-Skills!J25/100)^Skills!K25</f>
        <v/>
      </c>
      <c r="I139" t="inlineStr">
        <is>
          <t>1</t>
        </is>
      </c>
      <c r="J139" t="inlineStr"/>
      <c r="K139" t="inlineStr"/>
      <c r="L139" t="inlineStr"/>
      <c r="M139" t="inlineStr"/>
      <c r="N139" t="inlineStr"/>
      <c r="O139">
        <f>(1-Summary!$B$11)*T139+Summary!$B$11*V139</f>
        <v/>
      </c>
      <c r="P139">
        <f>IF(B154=0,0,O139/B154)</f>
        <v/>
      </c>
      <c r="Q139" t="n">
        <v>0</v>
      </c>
      <c r="R139" t="n">
        <v>0</v>
      </c>
      <c r="S139">
        <f>IFERROR(O139/N139,0)</f>
        <v/>
      </c>
      <c r="T139" t="n">
        <v>0</v>
      </c>
      <c r="V139" t="n">
        <v>0</v>
      </c>
    </row>
    <row r="140">
      <c r="A140">
        <f>Skills!A26</f>
        <v/>
      </c>
      <c r="B140">
        <f>Skills!B26</f>
        <v/>
      </c>
      <c r="C140">
        <f>Inputs!$B$3&gt;=75</f>
        <v/>
      </c>
      <c r="D140">
        <f>IF(Skills!C26=1,60+Inputs!$B$25+Inputs!$B$29,IF(Skills!C26=2,90+Inputs!$B$26+Inputs!$B$29,IF(Skills!C26=3,120+Inputs!$B$27+Inputs!$B$29,MAX(0,(Inputs!$B$3-100)*3)+Inputs!$B$28+Inputs!$B$29)))</f>
        <v/>
      </c>
      <c r="E140">
        <f>INDEX(FactorTable!$B$2:$Y$301, MATCH(ROUND(MIN(300,MAX(1,D140)),0), FactorTable!$A$2:$A$301,0), Skills!M26+1)</f>
        <v/>
      </c>
      <c r="F140">
        <f>IF(Skills!N26=TRUE,(Skills!L26/10)*(E140/1000),Skills!L26/10)+Skills!O26</f>
        <v/>
      </c>
      <c r="G140">
        <f>Skills!G26*IF(Skills!H26&gt;0,Skills!I26/Skills!H26,1)</f>
        <v/>
      </c>
      <c r="H140">
        <f>1-(1-Skills!J26/100)^Skills!K26</f>
        <v/>
      </c>
      <c r="I140" t="inlineStr">
        <is>
          <t>1</t>
        </is>
      </c>
      <c r="J140" t="inlineStr"/>
      <c r="K140" t="inlineStr"/>
      <c r="L140" t="inlineStr"/>
      <c r="M140" t="inlineStr"/>
      <c r="N140" t="inlineStr"/>
      <c r="O140">
        <f>(1-Summary!$B$11)*T140+Summary!$B$11*V140</f>
        <v/>
      </c>
      <c r="P140">
        <f>IF(B154=0,0,O140/B154)</f>
        <v/>
      </c>
      <c r="Q140" t="n">
        <v>0</v>
      </c>
      <c r="R140" t="n">
        <v>0</v>
      </c>
      <c r="S140">
        <f>IFERROR(O140/N140,0)</f>
        <v/>
      </c>
      <c r="T140" t="n">
        <v>0</v>
      </c>
      <c r="V140" t="n">
        <v>0</v>
      </c>
    </row>
    <row r="141">
      <c r="A141">
        <f>Skills!A27</f>
        <v/>
      </c>
      <c r="B141">
        <f>Skills!B27</f>
        <v/>
      </c>
      <c r="C141">
        <f>Inputs!$B$3&gt;=117</f>
        <v/>
      </c>
      <c r="D141">
        <f>IF(Skills!C27=1,60+Inputs!$B$25+Inputs!$B$29,IF(Skills!C27=2,90+Inputs!$B$26+Inputs!$B$29,IF(Skills!C27=3,120+Inputs!$B$27+Inputs!$B$29,MAX(0,(Inputs!$B$3-100)*3)+Inputs!$B$28+Inputs!$B$29)))</f>
        <v/>
      </c>
      <c r="E141">
        <f>INDEX(FactorTable!$B$2:$Y$301, MATCH(ROUND(MIN(300,MAX(1,D141)),0), FactorTable!$A$2:$A$301,0), Skills!M27+1)</f>
        <v/>
      </c>
      <c r="F141">
        <f>IF(Skills!N27=TRUE,(Skills!L27/10)*(E141/1000),Skills!L27/10)+Skills!O27</f>
        <v/>
      </c>
      <c r="G141">
        <f>Skills!G27*IF(Skills!H27&gt;0,Skills!I27/Skills!H27,1)</f>
        <v/>
      </c>
      <c r="H141">
        <f>1-(1-Skills!J27/100)^Skills!K27</f>
        <v/>
      </c>
      <c r="I141" t="inlineStr">
        <is>
          <t>1</t>
        </is>
      </c>
      <c r="J141" t="inlineStr"/>
      <c r="K141" t="inlineStr"/>
      <c r="L141" t="inlineStr"/>
      <c r="M141" t="inlineStr"/>
      <c r="N141" t="inlineStr"/>
      <c r="O141">
        <f>(1-Summary!$B$11)*T141+Summary!$B$11*V141</f>
        <v/>
      </c>
      <c r="P141">
        <f>IF(B154=0,0,O141/B154)</f>
        <v/>
      </c>
      <c r="Q141" t="n">
        <v>0</v>
      </c>
      <c r="R141" t="n">
        <v>0</v>
      </c>
      <c r="S141">
        <f>IFERROR(O141/N141,0)</f>
        <v/>
      </c>
      <c r="T141" t="n">
        <v>0</v>
      </c>
      <c r="V141" t="n">
        <v>0</v>
      </c>
    </row>
    <row r="143">
      <c r="A143" t="inlineStr">
        <is>
          <t>Attack% Bucket Multiplier</t>
        </is>
      </c>
      <c r="B143">
        <f>(1+(((C131=TRUE)*F131)+((C138=TRUE)*(F138-Calc!F24))+(IF(ArtifactsInput!$M$21,CHOOSE(ArtifactsInput!$N$21+1,25,30,35,40,45,50)*(IF(OR(Inputs!$B$4="Chapter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4">
      <c r="A144" t="inlineStr">
        <is>
          <t>Global Crit Rate Bonus %</t>
        </is>
      </c>
      <c r="B144" t="n">
        <v>0</v>
      </c>
    </row>
    <row r="145">
      <c r="A145" t="inlineStr">
        <is>
          <t>Attack Speed Buff Bonus % (unused)</t>
        </is>
      </c>
      <c r="B145" t="n">
        <v>0</v>
      </c>
    </row>
    <row r="146">
      <c r="A146" t="inlineStr">
        <is>
          <t>Actions Per Second</t>
        </is>
      </c>
      <c r="B146">
        <f>1+MIN(150,150*(1-(1-(Inputs!$B$11+((C134=TRUE)*(F134-Calc!F20))+((C135=TRUE)*(F135-Calc!F21)))/150)*(1-B145/150)))/100</f>
        <v/>
      </c>
    </row>
    <row r="147">
      <c r="A147" t="inlineStr">
        <is>
          <t>Skill + Buff Cast Rate</t>
        </is>
      </c>
      <c r="B147">
        <f>IF(AND(Inputs!$B$38&lt;&gt;"pvp",Inputs!$B$43&gt;0),SUMPRODUCT((Skills!E2:E27=TRUE)*(C116:C141=TRUE)*R116:R141*Skills!F2:F27)/Inputs!$B$43,SUMPRODUCT((Skills!E2:E27=TRUE)*(C116:C141=TRUE)*Q116:Q141*Skills!F2:F27))</f>
        <v/>
      </c>
    </row>
    <row r="148">
      <c r="A148" t="inlineStr">
        <is>
          <t>Eight-Legs Easton Casts Per Second</t>
        </is>
      </c>
      <c r="B148">
        <f>MAX(0,B146-B147)</f>
        <v/>
      </c>
    </row>
    <row r="149">
      <c r="A149" t="inlineStr">
        <is>
          <t>Global Critical Damage Bonus % (unused)</t>
        </is>
      </c>
      <c r="B149" t="n">
        <v>0</v>
      </c>
    </row>
    <row r="150">
      <c r="A150" t="inlineStr">
        <is>
          <t>Global Final Damage Bonus % (Jolly Roger only)</t>
        </is>
      </c>
      <c r="B150">
        <f>((C132=TRUE)*F132)</f>
        <v/>
      </c>
    </row>
    <row r="151">
      <c r="A151" t="inlineStr">
        <is>
          <t>Buff-Casting Startup Delay (s, fixed-duration only)</t>
        </is>
      </c>
      <c r="B151">
        <f>IF(AND(Inputs!$B$38&lt;&gt;"pvp",Inputs!$B$43&gt;0),SUMPRODUCT((Skills!T2:T27&gt;0)*(Skills!E2:E27=TRUE)*(C116:C141=TRUE))/B146,0)</f>
        <v/>
      </c>
    </row>
    <row r="152">
      <c r="A152" t="inlineStr">
        <is>
          <t>Boss-Only Total DPS (this block's swept value)</t>
        </is>
      </c>
      <c r="B152">
        <f>SUM(T116:T141)</f>
        <v/>
      </c>
    </row>
    <row r="153">
      <c r="A153" t="inlineStr">
        <is>
          <t>Normal-Only Total DPS (this block's swept value)</t>
        </is>
      </c>
      <c r="B153">
        <f>SUM(V116:V141)</f>
        <v/>
      </c>
    </row>
    <row r="154">
      <c r="A154" s="6" t="inlineStr">
        <is>
          <t>TOTAL DPS</t>
        </is>
      </c>
      <c r="B154" s="6">
        <f>SUM(O116:O141)</f>
        <v/>
      </c>
    </row>
    <row r="157">
      <c r="A157" s="6" t="inlineStr">
        <is>
          <t>Stat: STR</t>
        </is>
      </c>
    </row>
    <row r="158">
      <c r="A158" s="5" t="inlineStr">
        <is>
          <t>Key</t>
        </is>
      </c>
      <c r="B158" s="5" t="inlineStr">
        <is>
          <t>Name</t>
        </is>
      </c>
      <c r="C158" s="5" t="inlineStr">
        <is>
          <t>Unlocked</t>
        </is>
      </c>
      <c r="D158" s="5" t="inlineStr">
        <is>
          <t>InputLevel</t>
        </is>
      </c>
      <c r="E158" s="5" t="inlineStr">
        <is>
          <t>Factor</t>
        </is>
      </c>
      <c r="F158" s="5" t="inlineStr">
        <is>
          <t>CoefficientPercent</t>
        </is>
      </c>
      <c r="G158" s="5" t="inlineStr">
        <is>
          <t>EffectiveHits</t>
        </is>
      </c>
      <c r="H158" s="5" t="inlineStr">
        <is>
          <t>ProcProbability</t>
        </is>
      </c>
      <c r="I158" s="5" t="inlineStr">
        <is>
          <t>MapleHeroMultiplier</t>
        </is>
      </c>
      <c r="J158" s="5" t="inlineStr">
        <is>
          <t>BaseDamage</t>
        </is>
      </c>
      <c r="K158" s="5" t="inlineStr">
        <is>
          <t>BaseHitDamage</t>
        </is>
      </c>
      <c r="L158" s="5" t="inlineStr">
        <is>
          <t>NonCritAvg</t>
        </is>
      </c>
      <c r="M158" s="5" t="inlineStr">
        <is>
          <t>CritAvg</t>
        </is>
      </c>
      <c r="N158" s="5" t="inlineStr">
        <is>
          <t>ExpectedDamage(perHit)</t>
        </is>
      </c>
      <c r="O158" s="5" t="inlineStr">
        <is>
          <t>DPS</t>
        </is>
      </c>
      <c r="P158" s="5" t="inlineStr">
        <is>
          <t>% of Total</t>
        </is>
      </c>
      <c r="Q158" s="5" t="inlineStr">
        <is>
          <t>InvCooldown</t>
        </is>
      </c>
      <c r="R158" s="5" t="inlineStr">
        <is>
          <t>CastsInFight</t>
        </is>
      </c>
      <c r="S158" s="5" t="inlineStr">
        <is>
          <t>HitRate(perSec)</t>
        </is>
      </c>
      <c r="U158" t="inlineStr">
        <is>
          <t>helpers</t>
        </is>
      </c>
    </row>
    <row r="159">
      <c r="A159">
        <f>Skills!A2</f>
        <v/>
      </c>
      <c r="B159">
        <f>Skills!B2</f>
        <v/>
      </c>
      <c r="C159">
        <f>Inputs!$B$3&gt;=100</f>
        <v/>
      </c>
      <c r="D159" t="inlineStr"/>
      <c r="E159" t="inlineStr"/>
      <c r="F159">
        <f>U161+Skills!O2</f>
        <v/>
      </c>
      <c r="G159">
        <f>Skills!G2*IF(Skills!H2&gt;0,Skills!I2/Skills!H2,1)</f>
        <v/>
      </c>
      <c r="H159">
        <f>1-(1-Skills!J2/100)^Skills!K2</f>
        <v/>
      </c>
      <c r="I159" t="inlineStr">
        <is>
          <t>1</t>
        </is>
      </c>
      <c r="J159">
        <f>((Inputs!$B$6*(1+Inputs!$B$7/100))+(((Inputs!$B$12*(1+Inputs!$B$13/100))-(Inputs!$B$12*(1+Inputs!$B$13/100)))+0.25*((Inputs!$B$14+1)-Inputs!$B$14))*(1+Inputs!$B$7/100))*(F159/100)</f>
        <v/>
      </c>
      <c r="K159">
        <f>J159*(1+((Inputs!$B$12*(1+Inputs!$B$13/100))*0.01+(Inputs!$B$14+1)*0.0025)/100)*(1+Inputs!$B$15/100)*(1+Inputs!$B$16/100)*(5000/(6000+Inputs!$B$42*(1-(100*(1-(1-(Inputs!$B$19+0)/100)*(1-CHOOSE(ArtifactsInput!$N$40+1,5,6,7,8,9,10)/100)^(ArtifactsInput!$M$40-ArtifactsInput!$M$40)))/100)))*(1+(Inputs!$B$24+((C183=TRUE)*(F183-Calc!F26))+B193)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180=TRUE)*(F180-Calc!F23))+((C184=TRUE)*(F184-Calc!F27))+(((IF(AND(ArtifactsInput!$M$42,((Inputs!$B$9+((C176=TRUE)*(F176-Calc!F19))+B187+(ArtifactsInput!$M$24-ArtifactsInput!$M$24)*CHOOSE(ArtifactsInput!$N$24+1,10,12,14,16,18,20)+IF(ArtifactsInput!$M$10,CHOOSE(ArtifactsInput!$N$10+1,15,18,21,24,27,30)*(IF(Inputs!$B$38="pvp",MIN(15,15)/15,IF(AND(Inputs!$B$38&lt;&gt;"pvp",Inputs!$B$43&gt;0),MIN(15,Inputs!$B$43)/(Inputs!$B$43),0))),0)))&gt;=100),MIN(100,((Inputs!$B$9+((C176=TRUE)*(F176-Calc!F19))+B187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TRUE)*(F176-Calc!F19))+B187+(ArtifactsInput!$M$24-ArtifactsInput!$M$24)*CHOOSE(ArtifactsInput!$N$24+1,10,12,14,16,18,20)+IF(ArtifactsInput!$M$10,CHOOSE(ArtifactsInput!$N$10+1,15,18,21,24,27,30)*(IF(Inputs!$B$38="pvp",MIN(15,15)/15,IF(AND(Inputs!$B$38&lt;&gt;"pvp",Inputs!$B$43&gt;0),MIN(15,Inputs!$B$43)/(Inputs!$B$43),0))),0)))&gt;=100),CHOOSE(ArtifactsInput!$N$42+1,40,48,56,64,72,80),0))))/100)*((1+(((C174=TRUE)*F174)+((C181=TRUE)*(F181-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f>
        <v/>
      </c>
      <c r="L159">
        <f>K159*(MIN(Inputs!$B$22+((C179=TRUE)*(F179-Calc!F22)),(Inputs!$B$23+0+(IF(ArtifactsInput!$M$15,CHOOSE(ArtifactsInput!$N$15+1,25,30,35,40,45,50)/100*(Inputs!$B$11-Inputs!$B$11),0))))/100+(Inputs!$B$23+0+(IF(ArtifactsInput!$M$15,CHOOSE(ArtifactsInput!$N$15+1,25,30,35,40,45,50)/100*(Inputs!$B$11-Inputs!$B$11),0)))/100)/2</f>
        <v/>
      </c>
      <c r="M159">
        <f>L159*(1+(Inputs!$B$10+((C182=TRUE)*(F182-Calc!F25))+B192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
        <f>L159*(1-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
        <f>(1-Summary!$B$11)*T159+Summary!$B$11*V159</f>
        <v/>
      </c>
      <c r="P159">
        <f>IF(B197=0,0,O159/B197)</f>
        <v/>
      </c>
      <c r="Q159" t="n">
        <v>0</v>
      </c>
      <c r="R159" t="n">
        <v>0</v>
      </c>
      <c r="S159">
        <f>IFERROR(O159/N159,0)</f>
        <v/>
      </c>
      <c r="T159">
        <f>IF(C159,(Skills!G2*N159*B191)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
        <f>MAX(0,(Inputs!$B$3-100)*3)+Inputs!$B$28+Inputs!$B$29</f>
        <v/>
      </c>
      <c r="V159">
        <f>IF(C159,(Skills!G2*N159*B191)*IF(Inputs!$B$38="pvp",1,(1+(Inputs!$B$21+Skills!Q2+(IF(ArtifactsInput!$M$33,CHOOSE(ArtifactsInput!$N$33+1,30,36,42,48,54,60),0))+(IF(AND(ArtifactsInput!$M$35,Inputs!$B$4&lt;&gt;"Chapter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
      <c r="A160">
        <f>Skills!A3</f>
        <v/>
      </c>
      <c r="B160">
        <f>Skills!B3</f>
        <v/>
      </c>
      <c r="C160">
        <f>Inputs!$B$3&gt;=35</f>
        <v/>
      </c>
      <c r="D160">
        <f>IF(Skills!C3=1,60+Inputs!$B$25+Inputs!$B$29,IF(Skills!C3=2,90+Inputs!$B$26+Inputs!$B$29,IF(Skills!C3=3,120+Inputs!$B$27+Inputs!$B$29,MAX(0,(Inputs!$B$3-100)*3)+Inputs!$B$28+Inputs!$B$29)))</f>
        <v/>
      </c>
      <c r="E160">
        <f>INDEX(FactorTable!$B$2:$Y$301, MATCH(ROUND(MIN(300,MAX(1,D160)),0), FactorTable!$A$2:$A$301,0), Skills!M3+1)</f>
        <v/>
      </c>
      <c r="F160">
        <f>IF(Skills!N3=TRUE,(Skills!L3/10)*(E160/1000),Skills!L3/10)+Skills!O3</f>
        <v/>
      </c>
      <c r="G160">
        <f>Skills!G3*IF(Skills!H3&gt;0,Skills!I3/Skills!H3,1)</f>
        <v/>
      </c>
      <c r="H160">
        <f>1-(1-Skills!J3/100)^Skills!K3</f>
        <v/>
      </c>
      <c r="I160" t="inlineStr">
        <is>
          <t>1</t>
        </is>
      </c>
      <c r="J160">
        <f>((Inputs!$B$6*(1+Inputs!$B$7/100))+(((Inputs!$B$12*(1+Inputs!$B$13/100))-(Inputs!$B$12*(1+Inputs!$B$13/100)))+0.25*((Inputs!$B$14+1)-Inputs!$B$14))*(1+Inputs!$B$7/100))*(F160/100)</f>
        <v/>
      </c>
      <c r="K160">
        <f>J160*(1+((Inputs!$B$12*(1+Inputs!$B$13/100))*0.01+(Inputs!$B$14+1)*0.0025)/100)*(1+Inputs!$B$15/100)*(1+Inputs!$B$16/100)*(5000/(6000+Inputs!$B$42*(1-(100*(1-(1-(Inputs!$B$19+0)/100)*(1-CHOOSE(ArtifactsInput!$N$40+1,5,6,7,8,9,10)/100)^(ArtifactsInput!$M$40-ArtifactsInput!$M$40)))/100)))*(1+(Inputs!$B$24+((C183=TRUE)*(F183-Calc!F26))+B193)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172=TRUE,F172,0)/100)*(1+(IF(Skills!A3="EIGHT_LEGS_EASTON",Inputs!$B$17+((C180=TRUE)*(F180-Calc!F23))+((C184=TRUE)*(F184-Calc!F27))+(((IF(AND(ArtifactsInput!$M$42,((Inputs!$B$9+((C176=TRUE)*(F176-Calc!F19))+B187+(ArtifactsInput!$M$24-ArtifactsInput!$M$24)*CHOOSE(ArtifactsInput!$N$24+1,10,12,14,16,18,20)+IF(ArtifactsInput!$M$10,CHOOSE(ArtifactsInput!$N$10+1,15,18,21,24,27,30)*(IF(Inputs!$B$38="pvp",MIN(15,15)/15,IF(AND(Inputs!$B$38&lt;&gt;"pvp",Inputs!$B$43&gt;0),MIN(15,Inputs!$B$43)/(Inputs!$B$43),0))),0)))&gt;=100),MIN(100,((Inputs!$B$9+((C176=TRUE)*(F176-Calc!F19))+B187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TRUE)*(F176-Calc!F19))+B187+(ArtifactsInput!$M$24-ArtifactsInput!$M$24)*CHOOSE(ArtifactsInput!$N$24+1,10,12,14,16,18,20)+IF(ArtifactsInput!$M$10,CHOOSE(ArtifactsInput!$N$10+1,15,18,21,24,27,30)*(IF(Inputs!$B$38="pvp",MIN(15,15)/15,IF(AND(Inputs!$B$38&lt;&gt;"pvp",Inputs!$B$43&gt;0),MIN(15,Inputs!$B$43)/(Inputs!$B$43),0))),0)))&gt;=100),CHOOSE(ArtifactsInput!$N$42+1,40,48,56,64,72,80),0))))/100)*((1+(((C174=TRUE)*F174)+((C181=TRUE)*(F181-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f>
        <v/>
      </c>
      <c r="L160">
        <f>K160*(MIN(Inputs!$B$22+((C179=TRUE)*(F179-Calc!F22)),(Inputs!$B$23+0+(IF(ArtifactsInput!$M$15,CHOOSE(ArtifactsInput!$N$15+1,25,30,35,40,45,50)/100*(Inputs!$B$11-Inputs!$B$11),0))))/100+(Inputs!$B$23+0+(IF(ArtifactsInput!$M$15,CHOOSE(ArtifactsInput!$N$15+1,25,30,35,40,45,50)/100*(Inputs!$B$11-Inputs!$B$11),0)))/100)/2</f>
        <v/>
      </c>
      <c r="M160">
        <f>L160*(1+(Inputs!$B$10+((C182=TRUE)*(F182-Calc!F25))+B192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
        <f>L160*(1-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
        <f>(1-Summary!$B$11)*T160+Summary!$B$11*V160</f>
        <v/>
      </c>
      <c r="P160">
        <f>IF(B197=0,0,O160/B197)</f>
        <v/>
      </c>
      <c r="Q160">
        <f>IFERROR(1/(IF(Inputs!$B$38="pvp",15,MAX(0.1,Skills!D3-IF(Skills!E3=TRUE,Inputs!$B$32,0)))*(1-IF(AND(ArtifactsInput!$M$27,Inputs!$B$4="Chapter Hunt"),CHOOSE(ArtifactsInput!$N$27+1,20,24,28,32,36,40),0)/100)),0)</f>
        <v/>
      </c>
      <c r="R160">
        <f>IF(AND(Inputs!$B$38&lt;&gt;"pvp",Inputs!$B$43&gt;0),IF(MAX(0,Inputs!$B$43-B194)&lt;=0,0,(INT(MAX(0,Inputs!$B$43-B194)/(IF(Inputs!$B$38="pvp",15,MAX(0.1,Skills!D3-IF(Skills!E3=TRUE,Inputs!$B$32,0)))*(1-IF(AND(ArtifactsInput!$M$27,Inputs!$B$4="Chapter Hunt"),CHOOSE(ArtifactsInput!$N$27+1,20,24,28,32,36,40),0)/100)))+1)),0)</f>
        <v/>
      </c>
      <c r="S160">
        <f>IFERROR(O160/N160,0)</f>
        <v/>
      </c>
      <c r="T160">
        <f>IF(C160,(H160*N160*IF(AND(Inputs!$B$38&lt;&gt;"pvp",Inputs!$B$43&gt;0),((Skills!G3*((R160-1)*IF(Skills!H3&gt;0,Skills!I3/Skills!H3,1)+IF(Skills!H3&gt;0,MIN(Skills!I3,MAX(0,MAX(0,Inputs!$B$43-B194)-((R160-1)*(IF(Inputs!$B$38="pvp",15,MAX(0.1,Skills!D3-IF(Skills!E3=TRUE,Inputs!$B$32,0)))*(1-IF(AND(ArtifactsInput!$M$27,Inputs!$B$4="Chapter Hunt"),CHOOSE(ArtifactsInput!$N$27+1,20,24,28,32,36,40),0)/100)))))/Skills!H3,1)))/Inputs!$B$43),G160*Q160)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
        <f>INDEX(FactorTable!$B$2:$Y$301, MATCH(ROUND(MIN(300,MAX(1,U159)),0), FactorTable!$A$2:$A$301,0), 22)</f>
        <v/>
      </c>
      <c r="V160">
        <f>IF(C160,(H160*N160*IF(AND(Inputs!$B$38&lt;&gt;"pvp",Inputs!$B$43&gt;0),((Skills!G3*((R160-1)*IF(Skills!H3&gt;0,Skills!I3/Skills!H3,1)+IF(Skills!H3&gt;0,MIN(Skills!I3,MAX(0,MAX(0,Inputs!$B$43-B194)-((R160-1)*(IF(Inputs!$B$38="pvp",15,MAX(0.1,Skills!D3-IF(Skills!E3=TRUE,Inputs!$B$32,0)))*(1-IF(AND(ArtifactsInput!$M$27,Inputs!$B$4="Chapter Hunt"),CHOOSE(ArtifactsInput!$N$27+1,20,24,28,32,36,40),0)/100)))))/Skills!H3,1)))/Inputs!$B$43),G160*Q160))*IF(Inputs!$B$38="pvp",1,(1+(Inputs!$B$21+Skills!Q3+(IF(ArtifactsInput!$M$33,CHOOSE(ArtifactsInput!$N$33+1,30,36,42,48,54,60)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
      <c r="A161">
        <f>Skills!A4</f>
        <v/>
      </c>
      <c r="B161">
        <f>Skills!B4</f>
        <v/>
      </c>
      <c r="C161">
        <f>Inputs!$B$3&gt;=40</f>
        <v/>
      </c>
      <c r="D161">
        <f>IF(Skills!C4=1,60+Inputs!$B$25+Inputs!$B$29,IF(Skills!C4=2,90+Inputs!$B$26+Inputs!$B$29,IF(Skills!C4=3,120+Inputs!$B$27+Inputs!$B$29,MAX(0,(Inputs!$B$3-100)*3)+Inputs!$B$28+Inputs!$B$29)))</f>
        <v/>
      </c>
      <c r="E161">
        <f>INDEX(FactorTable!$B$2:$Y$301, MATCH(ROUND(MIN(300,MAX(1,D161)),0), FactorTable!$A$2:$A$301,0), Skills!M4+1)</f>
        <v/>
      </c>
      <c r="F161">
        <f>IF(Skills!N4=TRUE,(Skills!L4/10)*(E161/1000),Skills!L4/10)+Skills!O4</f>
        <v/>
      </c>
      <c r="G161">
        <f>Skills!G4*IF(Skills!H4&gt;0,Skills!I4/Skills!H4,1)</f>
        <v/>
      </c>
      <c r="H161">
        <f>1-(1-Skills!J4/100)^Skills!K4</f>
        <v/>
      </c>
      <c r="I161" t="inlineStr">
        <is>
          <t>1</t>
        </is>
      </c>
      <c r="J161">
        <f>((Inputs!$B$6*(1+Inputs!$B$7/100))+(((Inputs!$B$12*(1+Inputs!$B$13/100))-(Inputs!$B$12*(1+Inputs!$B$13/100)))+0.25*((Inputs!$B$14+1)-Inputs!$B$14))*(1+Inputs!$B$7/100))*(F161/100)</f>
        <v/>
      </c>
      <c r="K161">
        <f>J161*(1+((Inputs!$B$12*(1+Inputs!$B$13/100))*0.01+(Inputs!$B$14+1)*0.0025)/100)*(1+Inputs!$B$15/100)*(1+Inputs!$B$16/100)*(5000/(6000+Inputs!$B$42*(1-(100*(1-(1-(Inputs!$B$19+0)/100)*(1-CHOOSE(ArtifactsInput!$N$40+1,5,6,7,8,9,10)/100)^(ArtifactsInput!$M$40-ArtifactsInput!$M$40)))/100)))*(1+(Inputs!$B$24+((C183=TRUE)*(F183-Calc!F26))+B193)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173=TRUE,F173,0)/100)*(1+(IF(Skills!A4="EIGHT_LEGS_EASTON",Inputs!$B$17+((C180=TRUE)*(F180-Calc!F23))+((C184=TRUE)*(F184-Calc!F27))+(((IF(AND(ArtifactsInput!$M$42,((Inputs!$B$9+((C176=TRUE)*(F176-Calc!F19))+B187+(ArtifactsInput!$M$24-ArtifactsInput!$M$24)*CHOOSE(ArtifactsInput!$N$24+1,10,12,14,16,18,20)+IF(ArtifactsInput!$M$10,CHOOSE(ArtifactsInput!$N$10+1,15,18,21,24,27,30)*(IF(Inputs!$B$38="pvp",MIN(15,15)/15,IF(AND(Inputs!$B$38&lt;&gt;"pvp",Inputs!$B$43&gt;0),MIN(15,Inputs!$B$43)/(Inputs!$B$43),0))),0)))&gt;=100),MIN(100,((Inputs!$B$9+((C176=TRUE)*(F176-Calc!F19))+B187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TRUE)*(F176-Calc!F19))+B187+(ArtifactsInput!$M$24-ArtifactsInput!$M$24)*CHOOSE(ArtifactsInput!$N$24+1,10,12,14,16,18,20)+IF(ArtifactsInput!$M$10,CHOOSE(ArtifactsInput!$N$10+1,15,18,21,24,27,30)*(IF(Inputs!$B$38="pvp",MIN(15,15)/15,IF(AND(Inputs!$B$38&lt;&gt;"pvp",Inputs!$B$43&gt;0),MIN(15,Inputs!$B$43)/(Inputs!$B$43),0))),0)))&gt;=100),CHOOSE(ArtifactsInput!$N$42+1,40,48,56,64,72,80),0))))/100)*((1+(((C174=TRUE)*F174)+((C181=TRUE)*(F181-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f>
        <v/>
      </c>
      <c r="L161">
        <f>K161*(MIN(Inputs!$B$22+((C179=TRUE)*(F179-Calc!F22)),(Inputs!$B$23+0+(IF(ArtifactsInput!$M$15,CHOOSE(ArtifactsInput!$N$15+1,25,30,35,40,45,50)/100*(Inputs!$B$11-Inputs!$B$11),0))))/100+(Inputs!$B$23+0+(IF(ArtifactsInput!$M$15,CHOOSE(ArtifactsInput!$N$15+1,25,30,35,40,45,50)/100*(Inputs!$B$11-Inputs!$B$11),0)))/100)/2</f>
        <v/>
      </c>
      <c r="M161">
        <f>L161*(1+(Inputs!$B$10+((C182=TRUE)*(F182-Calc!F25))+B192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
        <f>L161*(1-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
        <f>(1-Summary!$B$11)*T161+Summary!$B$11*V161</f>
        <v/>
      </c>
      <c r="P161">
        <f>IF(B197=0,0,O161/B197)</f>
        <v/>
      </c>
      <c r="Q161">
        <f>IFERROR(1/(IF(Inputs!$B$38="pvp",15,MAX(0.1,Skills!D4-IF(Skills!E4=TRUE,Inputs!$B$32,0)))*(1-IF(AND(ArtifactsInput!$M$27,Inputs!$B$4="Chapter Hunt"),CHOOSE(ArtifactsInput!$N$27+1,20,24,28,32,36,40),0)/100)),0)</f>
        <v/>
      </c>
      <c r="R161">
        <f>IF(AND(Inputs!$B$38&lt;&gt;"pvp",Inputs!$B$43&gt;0),IF(MAX(0,Inputs!$B$43-B194)&lt;=0,0,(INT(MAX(0,Inputs!$B$43-B194)/(IF(Inputs!$B$38="pvp",15,MAX(0.1,Skills!D4-IF(Skills!E4=TRUE,Inputs!$B$32,0)))*(1-IF(AND(ArtifactsInput!$M$27,Inputs!$B$4="Chapter Hunt"),CHOOSE(ArtifactsInput!$N$27+1,20,24,28,32,36,40),0)/100)))+1)),0)</f>
        <v/>
      </c>
      <c r="S161">
        <f>IFERROR(O161/N161,0)</f>
        <v/>
      </c>
      <c r="T161">
        <f>IF(C161,(H161*N161*IF(AND(Inputs!$B$38&lt;&gt;"pvp",Inputs!$B$43&gt;0),((Skills!G4*((R161-1)*IF(Skills!H4&gt;0,Skills!I4/Skills!H4,1)+IF(Skills!H4&gt;0,MIN(Skills!I4,MAX(0,MAX(0,Inputs!$B$43-B194)-((R161-1)*(IF(Inputs!$B$38="pvp",15,MAX(0.1,Skills!D4-IF(Skills!E4=TRUE,Inputs!$B$32,0)))*(1-IF(AND(ArtifactsInput!$M$27,Inputs!$B$4="Chapter Hunt"),CHOOSE(ArtifactsInput!$N$27+1,20,24,28,32,36,40),0)/100)))))/Skills!H4,1)))/Inputs!$B$43),G161*Q161)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
        <f>290*U160/1000</f>
        <v/>
      </c>
      <c r="V161">
        <f>IF(C161,(H161*N161*IF(AND(Inputs!$B$38&lt;&gt;"pvp",Inputs!$B$43&gt;0),((Skills!G4*((R161-1)*IF(Skills!H4&gt;0,Skills!I4/Skills!H4,1)+IF(Skills!H4&gt;0,MIN(Skills!I4,MAX(0,MAX(0,Inputs!$B$43-B194)-((R161-1)*(IF(Inputs!$B$38="pvp",15,MAX(0.1,Skills!D4-IF(Skills!E4=TRUE,Inputs!$B$32,0)))*(1-IF(AND(ArtifactsInput!$M$27,Inputs!$B$4="Chapter Hunt"),CHOOSE(ArtifactsInput!$N$27+1,20,24,28,32,36,40),0)/100)))))/Skills!H4,1)))/Inputs!$B$43),G161*Q161))*IF(Inputs!$B$38="pvp",1,(1+(Inputs!$B$21+Skills!Q4+(IF(ArtifactsInput!$M$33,CHOOSE(ArtifactsInput!$N$33+1,30,36,42,48,54,60)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
      <c r="A162">
        <f>Skills!A5</f>
        <v/>
      </c>
      <c r="B162">
        <f>Skills!B5</f>
        <v/>
      </c>
      <c r="C162">
        <f>Inputs!$B$3&gt;=45</f>
        <v/>
      </c>
      <c r="D162">
        <f>IF(Skills!C5=1,60+Inputs!$B$25+Inputs!$B$29,IF(Skills!C5=2,90+Inputs!$B$26+Inputs!$B$29,IF(Skills!C5=3,120+Inputs!$B$27+Inputs!$B$29,MAX(0,(Inputs!$B$3-100)*3)+Inputs!$B$28+Inputs!$B$29)))</f>
        <v/>
      </c>
      <c r="E162">
        <f>INDEX(FactorTable!$B$2:$Y$301, MATCH(ROUND(MIN(300,MAX(1,D162)),0), FactorTable!$A$2:$A$301,0), Skills!M5+1)</f>
        <v/>
      </c>
      <c r="F162">
        <f>IF(Skills!N5=TRUE,(Skills!L5/10)*(E162/1000),Skills!L5/10)+Skills!O5</f>
        <v/>
      </c>
      <c r="G162">
        <f>Skills!G5*IF(Skills!H5&gt;0,Skills!I5/Skills!H5,1)</f>
        <v/>
      </c>
      <c r="H162">
        <f>1-(1-Skills!J5/100)^Skills!K5</f>
        <v/>
      </c>
      <c r="I162" t="inlineStr">
        <is>
          <t>1</t>
        </is>
      </c>
      <c r="J162">
        <f>((Inputs!$B$6*(1+Inputs!$B$7/100))+(((Inputs!$B$12*(1+Inputs!$B$13/100))-(Inputs!$B$12*(1+Inputs!$B$13/100)))+0.25*((Inputs!$B$14+1)-Inputs!$B$14))*(1+Inputs!$B$7/100))*(F162/100)</f>
        <v/>
      </c>
      <c r="K162">
        <f>J162*(1+((Inputs!$B$12*(1+Inputs!$B$13/100))*0.01+(Inputs!$B$14+1)*0.0025)/100)*(1+Inputs!$B$15/100)*(1+Inputs!$B$16/100)*(5000/(6000+Inputs!$B$42*(1-(100*(1-(1-(Inputs!$B$19+0)/100)*(1-CHOOSE(ArtifactsInput!$N$40+1,5,6,7,8,9,10)/100)^(ArtifactsInput!$M$40-ArtifactsInput!$M$40)))/100)))*(1+(Inputs!$B$24+((C183=TRUE)*(F183-Calc!F26))+B193)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173=TRUE,F173,0)/100)*(1+(IF(Skills!A5="EIGHT_LEGS_EASTON",Inputs!$B$17+((C180=TRUE)*(F180-Calc!F23))+((C184=TRUE)*(F184-Calc!F27))+(((IF(AND(ArtifactsInput!$M$42,((Inputs!$B$9+((C176=TRUE)*(F176-Calc!F19))+B187+(ArtifactsInput!$M$24-ArtifactsInput!$M$24)*CHOOSE(ArtifactsInput!$N$24+1,10,12,14,16,18,20)+IF(ArtifactsInput!$M$10,CHOOSE(ArtifactsInput!$N$10+1,15,18,21,24,27,30)*(IF(Inputs!$B$38="pvp",MIN(15,15)/15,IF(AND(Inputs!$B$38&lt;&gt;"pvp",Inputs!$B$43&gt;0),MIN(15,Inputs!$B$43)/(Inputs!$B$43),0))),0)))&gt;=100),MIN(100,((Inputs!$B$9+((C176=TRUE)*(F176-Calc!F19))+B187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TRUE)*(F176-Calc!F19))+B187+(ArtifactsInput!$M$24-ArtifactsInput!$M$24)*CHOOSE(ArtifactsInput!$N$24+1,10,12,14,16,18,20)+IF(ArtifactsInput!$M$10,CHOOSE(ArtifactsInput!$N$10+1,15,18,21,24,27,30)*(IF(Inputs!$B$38="pvp",MIN(15,15)/15,IF(AND(Inputs!$B$38&lt;&gt;"pvp",Inputs!$B$43&gt;0),MIN(15,Inputs!$B$43)/(Inputs!$B$43),0))),0)))&gt;=100),CHOOSE(ArtifactsInput!$N$42+1,40,48,56,64,72,80),0))))/100)*((1+(((C174=TRUE)*F174)+((C181=TRUE)*(F181-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f>
        <v/>
      </c>
      <c r="L162">
        <f>K162*(MIN(Inputs!$B$22+((C179=TRUE)*(F179-Calc!F22)),(Inputs!$B$23+0+(IF(ArtifactsInput!$M$15,CHOOSE(ArtifactsInput!$N$15+1,25,30,35,40,45,50)/100*(Inputs!$B$11-Inputs!$B$11),0))))/100+(Inputs!$B$23+0+(IF(ArtifactsInput!$M$15,CHOOSE(ArtifactsInput!$N$15+1,25,30,35,40,45,50)/100*(Inputs!$B$11-Inputs!$B$11),0)))/100)/2</f>
        <v/>
      </c>
      <c r="M162">
        <f>L162*(1+(Inputs!$B$10+((C182=TRUE)*(F182-Calc!F25))+B192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
        <f>L162*(1-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
        <f>(1-Summary!$B$11)*T162+Summary!$B$11*V162</f>
        <v/>
      </c>
      <c r="P162">
        <f>IF(B197=0,0,O162/B197)</f>
        <v/>
      </c>
      <c r="Q162">
        <f>IFERROR(1/(IF(Inputs!$B$38="pvp",15,MAX(0.1,Skills!D5-IF(Skills!E5=TRUE,Inputs!$B$32,0)))*(1-IF(AND(ArtifactsInput!$M$27,Inputs!$B$4="Chapter Hunt"),CHOOSE(ArtifactsInput!$N$27+1,20,24,28,32,36,40),0)/100)),0)</f>
        <v/>
      </c>
      <c r="R162">
        <f>IF(AND(Inputs!$B$38&lt;&gt;"pvp",Inputs!$B$43&gt;0),IF(MAX(0,Inputs!$B$43-B194)&lt;=0,0,(INT(MAX(0,Inputs!$B$43-B194)/(IF(Inputs!$B$38="pvp",15,MAX(0.1,Skills!D5-IF(Skills!E5=TRUE,Inputs!$B$32,0)))*(1-IF(AND(ArtifactsInput!$M$27,Inputs!$B$4="Chapter Hunt"),CHOOSE(ArtifactsInput!$N$27+1,20,24,28,32,36,40),0)/100)))+1)),0)</f>
        <v/>
      </c>
      <c r="S162">
        <f>IFERROR(O162/N162,0)</f>
        <v/>
      </c>
      <c r="T162">
        <f>IF(C162,(H162*N162*IF(AND(Inputs!$B$38&lt;&gt;"pvp",Inputs!$B$43&gt;0),((Skills!G5*((R162-1)*IF(Skills!H5&gt;0,Skills!I5/Skills!H5,1)+IF(Skills!H5&gt;0,MIN(Skills!I5,MAX(0,MAX(0,Inputs!$B$43-B194)-((R162-1)*(IF(Inputs!$B$38="pvp",15,MAX(0.1,Skills!D5-IF(Skills!E5=TRUE,Inputs!$B$32,0)))*(1-IF(AND(ArtifactsInput!$M$27,Inputs!$B$4="Chapter Hunt"),CHOOSE(ArtifactsInput!$N$27+1,20,24,28,32,36,40),0)/100)))))/Skills!H5,1)))/Inputs!$B$43),G162*Q162)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
        <f>IF(C162,(H162*N162*IF(AND(Inputs!$B$38&lt;&gt;"pvp",Inputs!$B$43&gt;0),((Skills!G5*((R162-1)*IF(Skills!H5&gt;0,Skills!I5/Skills!H5,1)+IF(Skills!H5&gt;0,MIN(Skills!I5,MAX(0,MAX(0,Inputs!$B$43-B194)-((R162-1)*(IF(Inputs!$B$38="pvp",15,MAX(0.1,Skills!D5-IF(Skills!E5=TRUE,Inputs!$B$32,0)))*(1-IF(AND(ArtifactsInput!$M$27,Inputs!$B$4="Chapter Hunt"),CHOOSE(ArtifactsInput!$N$27+1,20,24,28,32,36,40),0)/100)))))/Skills!H5,1)))/Inputs!$B$43),G162*Q162))*IF(Inputs!$B$38="pvp",1,(1+(Inputs!$B$21+Skills!Q5+(IF(ArtifactsInput!$M$33,CHOOSE(ArtifactsInput!$N$33+1,30,36,42,48,54,60)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
      <c r="A163">
        <f>Skills!A6</f>
        <v/>
      </c>
      <c r="B163">
        <f>Skills!B6</f>
        <v/>
      </c>
      <c r="C163">
        <f>Inputs!$B$3&gt;=63</f>
        <v/>
      </c>
      <c r="D163">
        <f>IF(Skills!C6=1,60+Inputs!$B$25+Inputs!$B$29,IF(Skills!C6=2,90+Inputs!$B$26+Inputs!$B$29,IF(Skills!C6=3,120+Inputs!$B$27+Inputs!$B$29,MAX(0,(Inputs!$B$3-100)*3)+Inputs!$B$28+Inputs!$B$29)))</f>
        <v/>
      </c>
      <c r="E163">
        <f>INDEX(FactorTable!$B$2:$Y$301, MATCH(ROUND(MIN(300,MAX(1,D163)),0), FactorTable!$A$2:$A$301,0), Skills!M6+1)</f>
        <v/>
      </c>
      <c r="F163">
        <f>IF(Skills!N6=TRUE,(Skills!L6/10)*(E163/1000),Skills!L6/10)+Skills!O6</f>
        <v/>
      </c>
      <c r="G163">
        <f>Skills!G6*IF(Skills!H6&gt;0,Skills!I6/Skills!H6,1)</f>
        <v/>
      </c>
      <c r="H163">
        <f>1-(1-Skills!J6/100)^Skills!K6</f>
        <v/>
      </c>
      <c r="I163" t="inlineStr">
        <is>
          <t>1</t>
        </is>
      </c>
      <c r="J163">
        <f>((Inputs!$B$6*(1+Inputs!$B$7/100))+(((Inputs!$B$12*(1+Inputs!$B$13/100))-(Inputs!$B$12*(1+Inputs!$B$13/100)))+0.25*((Inputs!$B$14+1)-Inputs!$B$14))*(1+Inputs!$B$7/100))*(F163/100)</f>
        <v/>
      </c>
      <c r="K163">
        <f>J163*(1+((Inputs!$B$12*(1+Inputs!$B$13/100))*0.01+(Inputs!$B$14+1)*0.0025)/100)*(1+Inputs!$B$15/100)*(1+Inputs!$B$16/100)*(5000/(6000+Inputs!$B$42*(1-(100*(1-(1-(Inputs!$B$19+0)/100)*(1-CHOOSE(ArtifactsInput!$N$40+1,5,6,7,8,9,10)/100)^(ArtifactsInput!$M$40-ArtifactsInput!$M$40)))/100)))*(1+(Inputs!$B$24+((C183=TRUE)*(F183-Calc!F26))+B193)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172=TRUE,F172,0)/100)*(1+(IF(Skills!A6="EIGHT_LEGS_EASTON",Inputs!$B$17+((C180=TRUE)*(F180-Calc!F23))+((C184=TRUE)*(F184-Calc!F27))+(((IF(AND(ArtifactsInput!$M$42,((Inputs!$B$9+((C176=TRUE)*(F176-Calc!F19))+B187+(ArtifactsInput!$M$24-ArtifactsInput!$M$24)*CHOOSE(ArtifactsInput!$N$24+1,10,12,14,16,18,20)+IF(ArtifactsInput!$M$10,CHOOSE(ArtifactsInput!$N$10+1,15,18,21,24,27,30)*(IF(Inputs!$B$38="pvp",MIN(15,15)/15,IF(AND(Inputs!$B$38&lt;&gt;"pvp",Inputs!$B$43&gt;0),MIN(15,Inputs!$B$43)/(Inputs!$B$43),0))),0)))&gt;=100),MIN(100,((Inputs!$B$9+((C176=TRUE)*(F176-Calc!F19))+B187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TRUE)*(F176-Calc!F19))+B187+(ArtifactsInput!$M$24-ArtifactsInput!$M$24)*CHOOSE(ArtifactsInput!$N$24+1,10,12,14,16,18,20)+IF(ArtifactsInput!$M$10,CHOOSE(ArtifactsInput!$N$10+1,15,18,21,24,27,30)*(IF(Inputs!$B$38="pvp",MIN(15,15)/15,IF(AND(Inputs!$B$38&lt;&gt;"pvp",Inputs!$B$43&gt;0),MIN(15,Inputs!$B$43)/(Inputs!$B$43),0))),0)))&gt;=100),CHOOSE(ArtifactsInput!$N$42+1,40,48,56,64,72,80),0))))/100)*((1+(((C174=TRUE)*F174)+((C181=TRUE)*(F181-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f>
        <v/>
      </c>
      <c r="L163">
        <f>K163*(MIN(Inputs!$B$22+((C179=TRUE)*(F179-Calc!F22)),(Inputs!$B$23+0+(IF(ArtifactsInput!$M$15,CHOOSE(ArtifactsInput!$N$15+1,25,30,35,40,45,50)/100*(Inputs!$B$11-Inputs!$B$11),0))))/100+(Inputs!$B$23+0+(IF(ArtifactsInput!$M$15,CHOOSE(ArtifactsInput!$N$15+1,25,30,35,40,45,50)/100*(Inputs!$B$11-Inputs!$B$11),0)))/100)/2</f>
        <v/>
      </c>
      <c r="M163">
        <f>L163*(1+(Inputs!$B$10+((C182=TRUE)*(F182-Calc!F25))+B192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
        <f>L163*(1-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
        <f>(1-Summary!$B$11)*T163+Summary!$B$11*V163</f>
        <v/>
      </c>
      <c r="P163">
        <f>IF(B197=0,0,O163/B197)</f>
        <v/>
      </c>
      <c r="Q163">
        <f>IFERROR(1/(IF(Inputs!$B$38="pvp",15,MAX(0.1,Skills!D6-IF(Skills!E6=TRUE,Inputs!$B$32,0)))*(1-IF(AND(ArtifactsInput!$M$27,Inputs!$B$4="Chapter Hunt"),CHOOSE(ArtifactsInput!$N$27+1,20,24,28,32,36,40),0)/100)),0)</f>
        <v/>
      </c>
      <c r="R163">
        <f>IF(AND(Inputs!$B$38&lt;&gt;"pvp",Inputs!$B$43&gt;0),IF(MAX(0,Inputs!$B$43-B194)&lt;=0,0,(INT(MAX(0,Inputs!$B$43-B194)/(IF(Inputs!$B$38="pvp",15,MAX(0.1,Skills!D6-IF(Skills!E6=TRUE,Inputs!$B$32,0)))*(1-IF(AND(ArtifactsInput!$M$27,Inputs!$B$4="Chapter Hunt"),CHOOSE(ArtifactsInput!$N$27+1,20,24,28,32,36,40),0)/100)))+1)),0)</f>
        <v/>
      </c>
      <c r="S163">
        <f>IFERROR(O163/N163,0)</f>
        <v/>
      </c>
      <c r="T163">
        <f>IF(C163,(H163*N163*IF(AND(Inputs!$B$38&lt;&gt;"pvp",Inputs!$B$43&gt;0),((Skills!G6*((R163-1)*IF(Skills!H6&gt;0,Skills!I6/Skills!H6,1)+IF(Skills!H6&gt;0,MIN(Skills!I6,MAX(0,MAX(0,Inputs!$B$43-B194)-((R163-1)*(IF(Inputs!$B$38="pvp",15,MAX(0.1,Skills!D6-IF(Skills!E6=TRUE,Inputs!$B$32,0)))*(1-IF(AND(ArtifactsInput!$M$27,Inputs!$B$4="Chapter Hunt"),CHOOSE(ArtifactsInput!$N$27+1,20,24,28,32,36,40),0)/100)))))/Skills!H6,1)))/Inputs!$B$43),G163*Q163)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
        <f>IF(C163,(H163*N163*IF(AND(Inputs!$B$38&lt;&gt;"pvp",Inputs!$B$43&gt;0),((Skills!G6*((R163-1)*IF(Skills!H6&gt;0,Skills!I6/Skills!H6,1)+IF(Skills!H6&gt;0,MIN(Skills!I6,MAX(0,MAX(0,Inputs!$B$43-B194)-((R163-1)*(IF(Inputs!$B$38="pvp",15,MAX(0.1,Skills!D6-IF(Skills!E6=TRUE,Inputs!$B$32,0)))*(1-IF(AND(ArtifactsInput!$M$27,Inputs!$B$4="Chapter Hunt"),CHOOSE(ArtifactsInput!$N$27+1,20,24,28,32,36,40),0)/100)))))/Skills!H6,1)))/Inputs!$B$43),G163*Q163))*IF(Inputs!$B$38="pvp",1,(1+(Inputs!$B$21+Skills!Q6+(IF(ArtifactsInput!$M$33,CHOOSE(ArtifactsInput!$N$33+1,30,36,42,48,54,60)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
      <c r="A164">
        <f>Skills!A7</f>
        <v/>
      </c>
      <c r="B164">
        <f>Skills!B7</f>
        <v/>
      </c>
      <c r="C164">
        <f>Inputs!$B$3&gt;=66</f>
        <v/>
      </c>
      <c r="D164">
        <f>IF(Skills!C7=1,60+Inputs!$B$25+Inputs!$B$29,IF(Skills!C7=2,90+Inputs!$B$26+Inputs!$B$29,IF(Skills!C7=3,120+Inputs!$B$27+Inputs!$B$29,MAX(0,(Inputs!$B$3-100)*3)+Inputs!$B$28+Inputs!$B$29)))</f>
        <v/>
      </c>
      <c r="E164">
        <f>INDEX(FactorTable!$B$2:$Y$301, MATCH(ROUND(MIN(300,MAX(1,D164)),0), FactorTable!$A$2:$A$301,0), Skills!M7+1)</f>
        <v/>
      </c>
      <c r="F164">
        <f>IF(Skills!N7=TRUE,(Skills!L7/10)*(E164/1000),Skills!L7/10)+Skills!O7</f>
        <v/>
      </c>
      <c r="G164">
        <f>Skills!G7*IF(Skills!H7&gt;0,Skills!I7/Skills!H7,1)</f>
        <v/>
      </c>
      <c r="H164">
        <f>1-(1-Skills!J7/100)^Skills!K7</f>
        <v/>
      </c>
      <c r="I164" t="inlineStr">
        <is>
          <t>1</t>
        </is>
      </c>
      <c r="J164">
        <f>((Inputs!$B$6*(1+Inputs!$B$7/100))+(((Inputs!$B$12*(1+Inputs!$B$13/100))-(Inputs!$B$12*(1+Inputs!$B$13/100)))+0.25*((Inputs!$B$14+1)-Inputs!$B$14))*(1+Inputs!$B$7/100))*(F164/100)</f>
        <v/>
      </c>
      <c r="K164">
        <f>J164*(1+((Inputs!$B$12*(1+Inputs!$B$13/100))*0.01+(Inputs!$B$14+1)*0.0025)/100)*(1+Inputs!$B$15/100)*(1+Inputs!$B$16/100)*(5000/(6000+Inputs!$B$42*(1-(100*(1-(1-(Inputs!$B$19+0)/100)*(1-CHOOSE(ArtifactsInput!$N$40+1,5,6,7,8,9,10)/100)^(ArtifactsInput!$M$40-ArtifactsInput!$M$40)))/100)))*(1+(Inputs!$B$24+((C183=TRUE)*(F183-Calc!F26))+B193)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172=TRUE,F172,0)/100)*(1+(IF(Skills!A7="EIGHT_LEGS_EASTON",Inputs!$B$17+((C180=TRUE)*(F180-Calc!F23))+((C184=TRUE)*(F184-Calc!F27))+(((IF(AND(ArtifactsInput!$M$42,((Inputs!$B$9+((C176=TRUE)*(F176-Calc!F19))+B187+(ArtifactsInput!$M$24-ArtifactsInput!$M$24)*CHOOSE(ArtifactsInput!$N$24+1,10,12,14,16,18,20)+IF(ArtifactsInput!$M$10,CHOOSE(ArtifactsInput!$N$10+1,15,18,21,24,27,30)*(IF(Inputs!$B$38="pvp",MIN(15,15)/15,IF(AND(Inputs!$B$38&lt;&gt;"pvp",Inputs!$B$43&gt;0),MIN(15,Inputs!$B$43)/(Inputs!$B$43),0))),0)))&gt;=100),MIN(100,((Inputs!$B$9+((C176=TRUE)*(F176-Calc!F19))+B187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TRUE)*(F176-Calc!F19))+B187+(ArtifactsInput!$M$24-ArtifactsInput!$M$24)*CHOOSE(ArtifactsInput!$N$24+1,10,12,14,16,18,20)+IF(ArtifactsInput!$M$10,CHOOSE(ArtifactsInput!$N$10+1,15,18,21,24,27,30)*(IF(Inputs!$B$38="pvp",MIN(15,15)/15,IF(AND(Inputs!$B$38&lt;&gt;"pvp",Inputs!$B$43&gt;0),MIN(15,Inputs!$B$43)/(Inputs!$B$43),0))),0)))&gt;=100),CHOOSE(ArtifactsInput!$N$42+1,40,48,56,64,72,80),0))))/100)*((1+(((C174=TRUE)*F174)+((C181=TRUE)*(F181-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f>
        <v/>
      </c>
      <c r="L164">
        <f>K164*(MIN(Inputs!$B$22+((C179=TRUE)*(F179-Calc!F22)),(Inputs!$B$23+0+(IF(ArtifactsInput!$M$15,CHOOSE(ArtifactsInput!$N$15+1,25,30,35,40,45,50)/100*(Inputs!$B$11-Inputs!$B$11),0))))/100+(Inputs!$B$23+0+(IF(ArtifactsInput!$M$15,CHOOSE(ArtifactsInput!$N$15+1,25,30,35,40,45,50)/100*(Inputs!$B$11-Inputs!$B$11),0)))/100)/2</f>
        <v/>
      </c>
      <c r="M164">
        <f>L164*(1+(Inputs!$B$10+((C182=TRUE)*(F182-Calc!F25))+B192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
        <f>L164*(1-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
        <f>(1-Summary!$B$11)*T164+Summary!$B$11*V164</f>
        <v/>
      </c>
      <c r="P164">
        <f>IF(B197=0,0,O164/B197)</f>
        <v/>
      </c>
      <c r="Q164">
        <f>IFERROR(1/(IF(Inputs!$B$38="pvp",15,MAX(0.1,Skills!D7-IF(Skills!E7=TRUE,Inputs!$B$32,0)))*(1-IF(AND(ArtifactsInput!$M$27,Inputs!$B$4="Chapter Hunt"),CHOOSE(ArtifactsInput!$N$27+1,20,24,28,32,36,40),0)/100)),0)</f>
        <v/>
      </c>
      <c r="R164">
        <f>IF(AND(Inputs!$B$38&lt;&gt;"pvp",Inputs!$B$43&gt;0),IF(MAX(0,Inputs!$B$43-B194)&lt;=0,0,(INT(MAX(0,Inputs!$B$43-B194)/(IF(Inputs!$B$38="pvp",15,MAX(0.1,Skills!D7-IF(Skills!E7=TRUE,Inputs!$B$32,0)))*(1-IF(AND(ArtifactsInput!$M$27,Inputs!$B$4="Chapter Hunt"),CHOOSE(ArtifactsInput!$N$27+1,20,24,28,32,36,40),0)/100)))+1)),0)</f>
        <v/>
      </c>
      <c r="S164">
        <f>IFERROR(O164/N164,0)</f>
        <v/>
      </c>
      <c r="T164">
        <f>IF(C164,(H164*N164*IF(AND(Inputs!$B$38&lt;&gt;"pvp",Inputs!$B$43&gt;0),((Skills!G7*((R164-1)*IF(Skills!H7&gt;0,Skills!I7/Skills!H7,1)+IF(Skills!H7&gt;0,MIN(Skills!I7,MAX(0,MAX(0,Inputs!$B$43-B194)-((R164-1)*(IF(Inputs!$B$38="pvp",15,MAX(0.1,Skills!D7-IF(Skills!E7=TRUE,Inputs!$B$32,0)))*(1-IF(AND(ArtifactsInput!$M$27,Inputs!$B$4="Chapter Hunt"),CHOOSE(ArtifactsInput!$N$27+1,20,24,28,32,36,40),0)/100)))))/Skills!H7,1)))/Inputs!$B$43),G164*Q164)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
        <f>IF(C164,(H164*N164*IF(AND(Inputs!$B$38&lt;&gt;"pvp",Inputs!$B$43&gt;0),((Skills!G7*((R164-1)*IF(Skills!H7&gt;0,Skills!I7/Skills!H7,1)+IF(Skills!H7&gt;0,MIN(Skills!I7,MAX(0,MAX(0,Inputs!$B$43-B194)-((R164-1)*(IF(Inputs!$B$38="pvp",15,MAX(0.1,Skills!D7-IF(Skills!E7=TRUE,Inputs!$B$32,0)))*(1-IF(AND(ArtifactsInput!$M$27,Inputs!$B$4="Chapter Hunt"),CHOOSE(ArtifactsInput!$N$27+1,20,24,28,32,36,40),0)/100)))))/Skills!H7,1)))/Inputs!$B$43),G164*Q164))*IF(Inputs!$B$38="pvp",1,(1+(Inputs!$B$21+Skills!Q7+(IF(ArtifactsInput!$M$33,CHOOSE(ArtifactsInput!$N$33+1,30,36,42,48,54,60)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
      <c r="A165">
        <f>Skills!A8</f>
        <v/>
      </c>
      <c r="B165">
        <f>Skills!B8</f>
        <v/>
      </c>
      <c r="C165">
        <f>Inputs!$B$3&gt;=100</f>
        <v/>
      </c>
      <c r="D165">
        <f>IF(Skills!C8=1,60+Inputs!$B$25+Inputs!$B$29,IF(Skills!C8=2,90+Inputs!$B$26+Inputs!$B$29,IF(Skills!C8=3,120+Inputs!$B$27+Inputs!$B$29,MAX(0,(Inputs!$B$3-100)*3)+Inputs!$B$28+Inputs!$B$29)))</f>
        <v/>
      </c>
      <c r="E165">
        <f>INDEX(FactorTable!$B$2:$Y$301, MATCH(ROUND(MIN(300,MAX(1,D165)),0), FactorTable!$A$2:$A$301,0), Skills!M8+1)</f>
        <v/>
      </c>
      <c r="F165">
        <f>IF(Skills!N8=TRUE,(Skills!L8/10)*(E165/1000),Skills!L8/10)+Skills!O8</f>
        <v/>
      </c>
      <c r="G165">
        <f>Skills!G8*IF(Skills!H8&gt;0,Skills!I8/Skills!H8,1)</f>
        <v/>
      </c>
      <c r="H165">
        <f>1-(1-Skills!J8/100)^Skills!K8</f>
        <v/>
      </c>
      <c r="I165" t="inlineStr">
        <is>
          <t>1</t>
        </is>
      </c>
      <c r="J165">
        <f>((Inputs!$B$6*(1+Inputs!$B$7/100))+(((Inputs!$B$12*(1+Inputs!$B$13/100))-(Inputs!$B$12*(1+Inputs!$B$13/100)))+0.25*((Inputs!$B$14+1)-Inputs!$B$14))*(1+Inputs!$B$7/100))*(F165/100)</f>
        <v/>
      </c>
      <c r="K165">
        <f>J165*(1+((Inputs!$B$12*(1+Inputs!$B$13/100))*0.01+(Inputs!$B$14+1)*0.0025)/100)*(1+Inputs!$B$15/100)*(1+Inputs!$B$16/100)*(5000/(6000+Inputs!$B$42*(1-(100*(1-(1-(Inputs!$B$19+0)/100)*(1-CHOOSE(ArtifactsInput!$N$40+1,5,6,7,8,9,10)/100)^(ArtifactsInput!$M$40-ArtifactsInput!$M$40)))/100)))*(1+(Inputs!$B$24+((C183=TRUE)*(F183-Calc!F26))+B193)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180=TRUE)*(F180-Calc!F23))+((C184=TRUE)*(F184-Calc!F27))+(((IF(AND(ArtifactsInput!$M$42,((Inputs!$B$9+((C176=TRUE)*(F176-Calc!F19))+B187+(ArtifactsInput!$M$24-ArtifactsInput!$M$24)*CHOOSE(ArtifactsInput!$N$24+1,10,12,14,16,18,20)+IF(ArtifactsInput!$M$10,CHOOSE(ArtifactsInput!$N$10+1,15,18,21,24,27,30)*(IF(Inputs!$B$38="pvp",MIN(15,15)/15,IF(AND(Inputs!$B$38&lt;&gt;"pvp",Inputs!$B$43&gt;0),MIN(15,Inputs!$B$43)/(Inputs!$B$43),0))),0)))&gt;=100),MIN(100,((Inputs!$B$9+((C176=TRUE)*(F176-Calc!F19))+B187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TRUE)*(F176-Calc!F19))+B187+(ArtifactsInput!$M$24-ArtifactsInput!$M$24)*CHOOSE(ArtifactsInput!$N$24+1,10,12,14,16,18,20)+IF(ArtifactsInput!$M$10,CHOOSE(ArtifactsInput!$N$10+1,15,18,21,24,27,30)*(IF(Inputs!$B$38="pvp",MIN(15,15)/15,IF(AND(Inputs!$B$38&lt;&gt;"pvp",Inputs!$B$43&gt;0),MIN(15,Inputs!$B$43)/(Inputs!$B$43),0))),0)))&gt;=100),CHOOSE(ArtifactsInput!$N$42+1,40,48,56,64,72,80),0))))/100)*((1+(((C174=TRUE)*F174)+((C181=TRUE)*(F181-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f>
        <v/>
      </c>
      <c r="L165">
        <f>K165*(MIN(Inputs!$B$22+((C179=TRUE)*(F179-Calc!F22)),(Inputs!$B$23+0+(IF(ArtifactsInput!$M$15,CHOOSE(ArtifactsInput!$N$15+1,25,30,35,40,45,50)/100*(Inputs!$B$11-Inputs!$B$11),0))))/100+(Inputs!$B$23+0+(IF(ArtifactsInput!$M$15,CHOOSE(ArtifactsInput!$N$15+1,25,30,35,40,45,50)/100*(Inputs!$B$11-Inputs!$B$11),0)))/100)/2</f>
        <v/>
      </c>
      <c r="M165">
        <f>L165*(1+(Inputs!$B$10+((C182=TRUE)*(F182-Calc!F25))+B192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
        <f>L165*(1-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
        <f>(1-Summary!$B$11)*T165+Summary!$B$11*V165</f>
        <v/>
      </c>
      <c r="P165">
        <f>IF(B197=0,0,O165/B197)</f>
        <v/>
      </c>
      <c r="Q165">
        <f>IFERROR(1/(IF(Inputs!$B$38="pvp",15,MAX(0.1,Skills!D8-IF(Skills!E8=TRUE,Inputs!$B$32,0)))*(1-IF(AND(ArtifactsInput!$M$27,Inputs!$B$4="Chapter Hunt"),CHOOSE(ArtifactsInput!$N$27+1,20,24,28,32,36,40),0)/100)),0)</f>
        <v/>
      </c>
      <c r="R165">
        <f>IF(AND(Inputs!$B$38&lt;&gt;"pvp",Inputs!$B$43&gt;0),IF(MAX(0,Inputs!$B$43-B194)&lt;=0,0,(INT(MAX(0,Inputs!$B$43-B194)/(IF(Inputs!$B$38="pvp",15,MAX(0.1,Skills!D8-IF(Skills!E8=TRUE,Inputs!$B$32,0)))*(1-IF(AND(ArtifactsInput!$M$27,Inputs!$B$4="Chapter Hunt"),CHOOSE(ArtifactsInput!$N$27+1,20,24,28,32,36,40),0)/100)))+1)),0)</f>
        <v/>
      </c>
      <c r="S165">
        <f>IFERROR(O165/N165,0)</f>
        <v/>
      </c>
      <c r="T165">
        <f>IF(C165,(H165*N165*IF(AND(Inputs!$B$38&lt;&gt;"pvp",Inputs!$B$43&gt;0),((Skills!G8*((R165-1)*IF(Skills!H8&gt;0,Skills!I8/Skills!H8,1)+IF(Skills!H8&gt;0,MIN(Skills!I8,MAX(0,MAX(0,Inputs!$B$43-B194)-((R165-1)*(IF(Inputs!$B$38="pvp",15,MAX(0.1,Skills!D8-IF(Skills!E8=TRUE,Inputs!$B$32,0)))*(1-IF(AND(ArtifactsInput!$M$27,Inputs!$B$4="Chapter Hunt"),CHOOSE(ArtifactsInput!$N$27+1,20,24,28,32,36,40),0)/100)))))/Skills!H8,1)))/Inputs!$B$43),G165*Q165)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
        <f>IF(C165,(H165*N165*IF(AND(Inputs!$B$38&lt;&gt;"pvp",Inputs!$B$43&gt;0),((Skills!G8*((R165-1)*IF(Skills!H8&gt;0,Skills!I8/Skills!H8,1)+IF(Skills!H8&gt;0,MIN(Skills!I8,MAX(0,MAX(0,Inputs!$B$43-B194)-((R165-1)*(IF(Inputs!$B$38="pvp",15,MAX(0.1,Skills!D8-IF(Skills!E8=TRUE,Inputs!$B$32,0)))*(1-IF(AND(ArtifactsInput!$M$27,Inputs!$B$4="Chapter Hunt"),CHOOSE(ArtifactsInput!$N$27+1,20,24,28,32,36,40),0)/100)))))/Skills!H8,1)))/Inputs!$B$43),G165*Q165))*IF(Inputs!$B$38="pvp",1,(1+(Inputs!$B$21+Skills!Q8+(IF(ArtifactsInput!$M$33,CHOOSE(ArtifactsInput!$N$33+1,30,36,42,48,54,60)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
      <c r="A166">
        <f>Skills!A9</f>
        <v/>
      </c>
      <c r="B166">
        <f>Skills!B9</f>
        <v/>
      </c>
      <c r="C166">
        <f>Inputs!$B$3&gt;=103</f>
        <v/>
      </c>
      <c r="D166">
        <f>IF(Skills!C9=1,60+Inputs!$B$25+Inputs!$B$29,IF(Skills!C9=2,90+Inputs!$B$26+Inputs!$B$29,IF(Skills!C9=3,120+Inputs!$B$27+Inputs!$B$29,MAX(0,(Inputs!$B$3-100)*3)+Inputs!$B$28+Inputs!$B$29)))</f>
        <v/>
      </c>
      <c r="E166">
        <f>INDEX(FactorTable!$B$2:$Y$301, MATCH(ROUND(MIN(300,MAX(1,D166)),0), FactorTable!$A$2:$A$301,0), Skills!M9+1)</f>
        <v/>
      </c>
      <c r="F166">
        <f>IF(Skills!N9=TRUE,(Skills!L9/10)*(E166/1000),Skills!L9/10)+Skills!O9</f>
        <v/>
      </c>
      <c r="G166">
        <f>Skills!G9*IF(Skills!H9&gt;0,Skills!I9/Skills!H9,1)</f>
        <v/>
      </c>
      <c r="H166">
        <f>1-(1-Skills!J9/100)^Skills!K9</f>
        <v/>
      </c>
      <c r="I166" t="inlineStr">
        <is>
          <t>1</t>
        </is>
      </c>
      <c r="J166">
        <f>((Inputs!$B$6*(1+Inputs!$B$7/100))+(((Inputs!$B$12*(1+Inputs!$B$13/100))-(Inputs!$B$12*(1+Inputs!$B$13/100)))+0.25*((Inputs!$B$14+1)-Inputs!$B$14))*(1+Inputs!$B$7/100))*(F166/100)</f>
        <v/>
      </c>
      <c r="K166">
        <f>J166*(1+((Inputs!$B$12*(1+Inputs!$B$13/100))*0.01+(Inputs!$B$14+1)*0.0025)/100)*(1+Inputs!$B$15/100)*(1+Inputs!$B$16/100)*(5000/(6000+Inputs!$B$42*(1-(100*(1-(1-(Inputs!$B$19+0)/100)*(1-CHOOSE(ArtifactsInput!$N$40+1,5,6,7,8,9,10)/100)^(ArtifactsInput!$M$40-ArtifactsInput!$M$40)))/100)))*(1+(Inputs!$B$24+((C183=TRUE)*(F183-Calc!F26))+B193)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180=TRUE)*(F180-Calc!F23))+((C184=TRUE)*(F184-Calc!F27))+(((IF(AND(ArtifactsInput!$M$42,((Inputs!$B$9+((C176=TRUE)*(F176-Calc!F19))+B187+(ArtifactsInput!$M$24-ArtifactsInput!$M$24)*CHOOSE(ArtifactsInput!$N$24+1,10,12,14,16,18,20)+IF(ArtifactsInput!$M$10,CHOOSE(ArtifactsInput!$N$10+1,15,18,21,24,27,30)*(IF(Inputs!$B$38="pvp",MIN(15,15)/15,IF(AND(Inputs!$B$38&lt;&gt;"pvp",Inputs!$B$43&gt;0),MIN(15,Inputs!$B$43)/(Inputs!$B$43),0))),0)))&gt;=100),MIN(100,((Inputs!$B$9+((C176=TRUE)*(F176-Calc!F19))+B187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TRUE)*(F176-Calc!F19))+B187+(ArtifactsInput!$M$24-ArtifactsInput!$M$24)*CHOOSE(ArtifactsInput!$N$24+1,10,12,14,16,18,20)+IF(ArtifactsInput!$M$10,CHOOSE(ArtifactsInput!$N$10+1,15,18,21,24,27,30)*(IF(Inputs!$B$38="pvp",MIN(15,15)/15,IF(AND(Inputs!$B$38&lt;&gt;"pvp",Inputs!$B$43&gt;0),MIN(15,Inputs!$B$43)/(Inputs!$B$43),0))),0)))&gt;=100),CHOOSE(ArtifactsInput!$N$42+1,40,48,56,64,72,80),0))))/100)*((1+(((C174=TRUE)*F174)+((C181=TRUE)*(F181-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f>
        <v/>
      </c>
      <c r="L166">
        <f>K166*(MIN(Inputs!$B$22+((C179=TRUE)*(F179-Calc!F22)),(Inputs!$B$23+0+(IF(ArtifactsInput!$M$15,CHOOSE(ArtifactsInput!$N$15+1,25,30,35,40,45,50)/100*(Inputs!$B$11-Inputs!$B$11),0))))/100+(Inputs!$B$23+0+(IF(ArtifactsInput!$M$15,CHOOSE(ArtifactsInput!$N$15+1,25,30,35,40,45,50)/100*(Inputs!$B$11-Inputs!$B$11),0)))/100)/2</f>
        <v/>
      </c>
      <c r="M166">
        <f>L166*(1+(Inputs!$B$10+((C182=TRUE)*(F182-Calc!F25))+B192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
        <f>L166*(1-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
        <f>(1-Summary!$B$11)*T166+Summary!$B$11*V166</f>
        <v/>
      </c>
      <c r="P166">
        <f>IF(B197=0,0,O166/B197)</f>
        <v/>
      </c>
      <c r="Q166">
        <f>IFERROR(1/(IF(Inputs!$B$38="pvp",15,MAX(0.1,Skills!D9-IF(Skills!E9=TRUE,Inputs!$B$32,0)))*(1-IF(AND(ArtifactsInput!$M$27,Inputs!$B$4="Chapter Hunt"),CHOOSE(ArtifactsInput!$N$27+1,20,24,28,32,36,40),0)/100)),0)</f>
        <v/>
      </c>
      <c r="R166">
        <f>IF(AND(Inputs!$B$38&lt;&gt;"pvp",Inputs!$B$43&gt;0),IF(MAX(0,Inputs!$B$43-B194)&lt;=0,0,(INT(MAX(0,Inputs!$B$43-B194)/(IF(Inputs!$B$38="pvp",15,MAX(0.1,Skills!D9-IF(Skills!E9=TRUE,Inputs!$B$32,0)))*(1-IF(AND(ArtifactsInput!$M$27,Inputs!$B$4="Chapter Hunt"),CHOOSE(ArtifactsInput!$N$27+1,20,24,28,32,36,40),0)/100)))+1)),0)</f>
        <v/>
      </c>
      <c r="S166">
        <f>IFERROR(O166/N166,0)</f>
        <v/>
      </c>
      <c r="T166">
        <f>IF(C166,(H166*N166*IF(AND(Inputs!$B$38&lt;&gt;"pvp",Inputs!$B$43&gt;0),((Skills!G9*((R166-1)*IF(Skills!H9&gt;0,Skills!I9/Skills!H9,1)+IF(Skills!H9&gt;0,MIN(Skills!I9,MAX(0,MAX(0,Inputs!$B$43-B194)-((R166-1)*(IF(Inputs!$B$38="pvp",15,MAX(0.1,Skills!D9-IF(Skills!E9=TRUE,Inputs!$B$32,0)))*(1-IF(AND(ArtifactsInput!$M$27,Inputs!$B$4="Chapter Hunt"),CHOOSE(ArtifactsInput!$N$27+1,20,24,28,32,36,40),0)/100)))))/Skills!H9,1)))/Inputs!$B$43),G166*Q166)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
        <f>IF(C166,(H166*N166*IF(AND(Inputs!$B$38&lt;&gt;"pvp",Inputs!$B$43&gt;0),((Skills!G9*((R166-1)*IF(Skills!H9&gt;0,Skills!I9/Skills!H9,1)+IF(Skills!H9&gt;0,MIN(Skills!I9,MAX(0,MAX(0,Inputs!$B$43-B194)-((R166-1)*(IF(Inputs!$B$38="pvp",15,MAX(0.1,Skills!D9-IF(Skills!E9=TRUE,Inputs!$B$32,0)))*(1-IF(AND(ArtifactsInput!$M$27,Inputs!$B$4="Chapter Hunt"),CHOOSE(ArtifactsInput!$N$27+1,20,24,28,32,36,40),0)/100)))))/Skills!H9,1)))/Inputs!$B$43),G166*Q166))*IF(Inputs!$B$38="pvp",1,(1+(Inputs!$B$21+Skills!Q9+(IF(ArtifactsInput!$M$33,CHOOSE(ArtifactsInput!$N$33+1,30,36,42,48,54,60)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
      <c r="A167">
        <f>Skills!A10</f>
        <v/>
      </c>
      <c r="B167">
        <f>Skills!B10</f>
        <v/>
      </c>
      <c r="C167">
        <f>Inputs!$B$3&gt;=113</f>
        <v/>
      </c>
      <c r="D167">
        <f>IF(Skills!C10=1,60+Inputs!$B$25+Inputs!$B$29,IF(Skills!C10=2,90+Inputs!$B$26+Inputs!$B$29,IF(Skills!C10=3,120+Inputs!$B$27+Inputs!$B$29,MAX(0,(Inputs!$B$3-100)*3)+Inputs!$B$28+Inputs!$B$29)))</f>
        <v/>
      </c>
      <c r="E167">
        <f>INDEX(FactorTable!$B$2:$Y$301, MATCH(ROUND(MIN(300,MAX(1,D167)),0), FactorTable!$A$2:$A$301,0), Skills!M10+1)</f>
        <v/>
      </c>
      <c r="F167">
        <f>IF(Skills!N10=TRUE,(Skills!L10/10)*(E167/1000),Skills!L10/10)+Skills!O10</f>
        <v/>
      </c>
      <c r="G167">
        <f>Skills!G10*IF(Skills!H10&gt;0,Skills!I10/Skills!H10,1)</f>
        <v/>
      </c>
      <c r="H167">
        <f>1-(1-Skills!J10/100)^Skills!K10</f>
        <v/>
      </c>
      <c r="I167" t="inlineStr">
        <is>
          <t>1</t>
        </is>
      </c>
      <c r="J167">
        <f>((Inputs!$B$6*(1+Inputs!$B$7/100))+(((Inputs!$B$12*(1+Inputs!$B$13/100))-(Inputs!$B$12*(1+Inputs!$B$13/100)))+0.25*((Inputs!$B$14+1)-Inputs!$B$14))*(1+Inputs!$B$7/100))*(F167/100)</f>
        <v/>
      </c>
      <c r="K167">
        <f>J167*(1+((Inputs!$B$12*(1+Inputs!$B$13/100))*0.01+(Inputs!$B$14+1)*0.0025)/100)*(1+Inputs!$B$15/100)*(1+Inputs!$B$16/100)*(5000/(6000+Inputs!$B$42*(1-(100*(1-(1-(Inputs!$B$19+0)/100)*(1-CHOOSE(ArtifactsInput!$N$40+1,5,6,7,8,9,10)/100)^(ArtifactsInput!$M$40-ArtifactsInput!$M$40)))/100)))*(1+(Inputs!$B$24+((C183=TRUE)*(F183-Calc!F26))+B193)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180=TRUE)*(F180-Calc!F23))+((C184=TRUE)*(F184-Calc!F27))+(((IF(AND(ArtifactsInput!$M$42,((Inputs!$B$9+((C176=TRUE)*(F176-Calc!F19))+B187+(ArtifactsInput!$M$24-ArtifactsInput!$M$24)*CHOOSE(ArtifactsInput!$N$24+1,10,12,14,16,18,20)+IF(ArtifactsInput!$M$10,CHOOSE(ArtifactsInput!$N$10+1,15,18,21,24,27,30)*(IF(Inputs!$B$38="pvp",MIN(15,15)/15,IF(AND(Inputs!$B$38&lt;&gt;"pvp",Inputs!$B$43&gt;0),MIN(15,Inputs!$B$43)/(Inputs!$B$43),0))),0)))&gt;=100),MIN(100,((Inputs!$B$9+((C176=TRUE)*(F176-Calc!F19))+B187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TRUE)*(F176-Calc!F19))+B187+(ArtifactsInput!$M$24-ArtifactsInput!$M$24)*CHOOSE(ArtifactsInput!$N$24+1,10,12,14,16,18,20)+IF(ArtifactsInput!$M$10,CHOOSE(ArtifactsInput!$N$10+1,15,18,21,24,27,30)*(IF(Inputs!$B$38="pvp",MIN(15,15)/15,IF(AND(Inputs!$B$38&lt;&gt;"pvp",Inputs!$B$43&gt;0),MIN(15,Inputs!$B$43)/(Inputs!$B$43),0))),0)))&gt;=100),CHOOSE(ArtifactsInput!$N$42+1,40,48,56,64,72,80),0))))/100)*((1+(((C174=TRUE)*F174)+((C181=TRUE)*(F181-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f>
        <v/>
      </c>
      <c r="L167">
        <f>K167*(MIN(Inputs!$B$22+((C179=TRUE)*(F179-Calc!F22)),(Inputs!$B$23+0+(IF(ArtifactsInput!$M$15,CHOOSE(ArtifactsInput!$N$15+1,25,30,35,40,45,50)/100*(Inputs!$B$11-Inputs!$B$11),0))))/100+(Inputs!$B$23+0+(IF(ArtifactsInput!$M$15,CHOOSE(ArtifactsInput!$N$15+1,25,30,35,40,45,50)/100*(Inputs!$B$11-Inputs!$B$11),0)))/100)/2</f>
        <v/>
      </c>
      <c r="M167">
        <f>L167*(1+(Inputs!$B$10+((C182=TRUE)*(F182-Calc!F25))+B192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
        <f>L167*(1-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
        <f>(1-Summary!$B$11)*T167+Summary!$B$11*V167</f>
        <v/>
      </c>
      <c r="P167">
        <f>IF(B197=0,0,O167/B197)</f>
        <v/>
      </c>
      <c r="Q167">
        <f>IFERROR(1/(IF(Inputs!$B$38="pvp",15,MAX(0.1,Skills!D10-IF(Skills!E10=TRUE,Inputs!$B$32,0)))*(1-IF(AND(ArtifactsInput!$M$27,Inputs!$B$4="Chapter Hunt"),CHOOSE(ArtifactsInput!$N$27+1,20,24,28,32,36,40),0)/100)),0)</f>
        <v/>
      </c>
      <c r="R167">
        <f>IF(AND(Inputs!$B$38&lt;&gt;"pvp",Inputs!$B$43&gt;0),IF(MAX(0,Inputs!$B$43-B194)&lt;=0,0,(INT(MAX(0,Inputs!$B$43-B194)/(IF(Inputs!$B$38="pvp",15,MAX(0.1,Skills!D10-IF(Skills!E10=TRUE,Inputs!$B$32,0)))*(1-IF(AND(ArtifactsInput!$M$27,Inputs!$B$4="Chapter Hunt"),CHOOSE(ArtifactsInput!$N$27+1,20,24,28,32,36,40),0)/100)))+1)),0)</f>
        <v/>
      </c>
      <c r="S167">
        <f>IFERROR(O167/N167,0)</f>
        <v/>
      </c>
      <c r="T167">
        <f>IF(C167,(H167*N167*IF(AND(Inputs!$B$38&lt;&gt;"pvp",Inputs!$B$43&gt;0),((Skills!G10*((R167-1)*IF(Skills!H10&gt;0,Skills!I10/Skills!H10,1)+IF(Skills!H10&gt;0,MIN(Skills!I10,MAX(0,MAX(0,Inputs!$B$43-B194)-((R167-1)*(IF(Inputs!$B$38="pvp",15,MAX(0.1,Skills!D10-IF(Skills!E10=TRUE,Inputs!$B$32,0)))*(1-IF(AND(ArtifactsInput!$M$27,Inputs!$B$4="Chapter Hunt"),CHOOSE(ArtifactsInput!$N$27+1,20,24,28,32,36,40),0)/100)))))/Skills!H10,1)))/Inputs!$B$43),G167*Q167)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
        <f>IF(C167,(H167*N167*IF(AND(Inputs!$B$38&lt;&gt;"pvp",Inputs!$B$43&gt;0),((Skills!G10*((R167-1)*IF(Skills!H10&gt;0,Skills!I10/Skills!H10,1)+IF(Skills!H10&gt;0,MIN(Skills!I10,MAX(0,MAX(0,Inputs!$B$43-B194)-((R167-1)*(IF(Inputs!$B$38="pvp",15,MAX(0.1,Skills!D10-IF(Skills!E10=TRUE,Inputs!$B$32,0)))*(1-IF(AND(ArtifactsInput!$M$27,Inputs!$B$4="Chapter Hunt"),CHOOSE(ArtifactsInput!$N$27+1,20,24,28,32,36,40),0)/100)))))/Skills!H10,1)))/Inputs!$B$43),G167*Q167))*IF(Inputs!$B$38="pvp",1,(1+(Inputs!$B$21+Skills!Q10+(IF(ArtifactsInput!$M$33,CHOOSE(ArtifactsInput!$N$33+1,30,36,42,48,54,60)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
      <c r="A168">
        <f>Skills!A11</f>
        <v/>
      </c>
      <c r="B168">
        <f>Skills!B11</f>
        <v/>
      </c>
      <c r="C168">
        <f>Inputs!$B$3&gt;=107</f>
        <v/>
      </c>
      <c r="D168">
        <f>IF(Skills!C11=1,60+Inputs!$B$25+Inputs!$B$29,IF(Skills!C11=2,90+Inputs!$B$26+Inputs!$B$29,IF(Skills!C11=3,120+Inputs!$B$27+Inputs!$B$29,MAX(0,(Inputs!$B$3-100)*3)+Inputs!$B$28+Inputs!$B$29)))</f>
        <v/>
      </c>
      <c r="E168">
        <f>INDEX(FactorTable!$B$2:$Y$301, MATCH(ROUND(MIN(300,MAX(1,D168)),0), FactorTable!$A$2:$A$301,0), Skills!M11+1)</f>
        <v/>
      </c>
      <c r="F168">
        <f>IF(Skills!N11=TRUE,(Skills!L11/10)*(E168/1000),Skills!L11/10)+Skills!O11</f>
        <v/>
      </c>
      <c r="G168">
        <f>Skills!G11*IF(Skills!H11&gt;0,Skills!I11/Skills!H11,1)</f>
        <v/>
      </c>
      <c r="H168">
        <f>1-(1-Skills!J11/100)^Skills!K11</f>
        <v/>
      </c>
      <c r="I168" t="inlineStr">
        <is>
          <t>1</t>
        </is>
      </c>
      <c r="J168">
        <f>((Inputs!$B$6*(1+Inputs!$B$7/100))+(((Inputs!$B$12*(1+Inputs!$B$13/100))-(Inputs!$B$12*(1+Inputs!$B$13/100)))+0.25*((Inputs!$B$14+1)-Inputs!$B$14))*(1+Inputs!$B$7/100))*(F168/100)</f>
        <v/>
      </c>
      <c r="K168">
        <f>J168*(1+((Inputs!$B$12*(1+Inputs!$B$13/100))*0.01+(Inputs!$B$14+1)*0.0025)/100)*(1+Inputs!$B$15/100)*(1+Inputs!$B$16/100)*(5000/(6000+Inputs!$B$42*(1-(100*(1-(1-(Inputs!$B$19+0)/100)*(1-CHOOSE(ArtifactsInput!$N$40+1,5,6,7,8,9,10)/100)^(ArtifactsInput!$M$40-ArtifactsInput!$M$40)))/100)))*(1+(Inputs!$B$24+((C183=TRUE)*(F183-Calc!F26))+B193)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180=TRUE)*(F180-Calc!F23))+((C184=TRUE)*(F184-Calc!F27))+(((IF(AND(ArtifactsInput!$M$42,((Inputs!$B$9+((C176=TRUE)*(F176-Calc!F19))+B187+(ArtifactsInput!$M$24-ArtifactsInput!$M$24)*CHOOSE(ArtifactsInput!$N$24+1,10,12,14,16,18,20)+IF(ArtifactsInput!$M$10,CHOOSE(ArtifactsInput!$N$10+1,15,18,21,24,27,30)*(IF(Inputs!$B$38="pvp",MIN(15,15)/15,IF(AND(Inputs!$B$38&lt;&gt;"pvp",Inputs!$B$43&gt;0),MIN(15,Inputs!$B$43)/(Inputs!$B$43),0))),0)))&gt;=100),MIN(100,((Inputs!$B$9+((C176=TRUE)*(F176-Calc!F19))+B187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TRUE)*(F176-Calc!F19))+B187+(ArtifactsInput!$M$24-ArtifactsInput!$M$24)*CHOOSE(ArtifactsInput!$N$24+1,10,12,14,16,18,20)+IF(ArtifactsInput!$M$10,CHOOSE(ArtifactsInput!$N$10+1,15,18,21,24,27,30)*(IF(Inputs!$B$38="pvp",MIN(15,15)/15,IF(AND(Inputs!$B$38&lt;&gt;"pvp",Inputs!$B$43&gt;0),MIN(15,Inputs!$B$43)/(Inputs!$B$43),0))),0)))&gt;=100),CHOOSE(ArtifactsInput!$N$42+1,40,48,56,64,72,80),0))))/100)*((1+(((C174=TRUE)*F174)+((C181=TRUE)*(F181-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f>
        <v/>
      </c>
      <c r="L168">
        <f>K168*(MIN(Inputs!$B$22+((C179=TRUE)*(F179-Calc!F22)),(Inputs!$B$23+0+(IF(ArtifactsInput!$M$15,CHOOSE(ArtifactsInput!$N$15+1,25,30,35,40,45,50)/100*(Inputs!$B$11-Inputs!$B$11),0))))/100+(Inputs!$B$23+0+(IF(ArtifactsInput!$M$15,CHOOSE(ArtifactsInput!$N$15+1,25,30,35,40,45,50)/100*(Inputs!$B$11-Inputs!$B$11),0)))/100)/2</f>
        <v/>
      </c>
      <c r="M168">
        <f>L168*(1+(Inputs!$B$10+((C182=TRUE)*(F182-Calc!F25))+B192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
        <f>L168*(1-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
        <f>(1-Summary!$B$11)*T168+Summary!$B$11*V168</f>
        <v/>
      </c>
      <c r="P168">
        <f>IF(B197=0,0,O168/B197)</f>
        <v/>
      </c>
      <c r="Q168">
        <f>IFERROR(1/(IF(Inputs!$B$38="pvp",15,MAX(0.1,Skills!D11-IF(Skills!E11=TRUE,Inputs!$B$32,0)))*(1-IF(AND(ArtifactsInput!$M$27,Inputs!$B$4="Chapter Hunt"),CHOOSE(ArtifactsInput!$N$27+1,20,24,28,32,36,40),0)/100)),0)</f>
        <v/>
      </c>
      <c r="R168">
        <f>IF(AND(Inputs!$B$38&lt;&gt;"pvp",Inputs!$B$43&gt;0),IF(MAX(0,Inputs!$B$43-B194)&lt;=0,0,(INT(MAX(0,Inputs!$B$43-B194)/(IF(Inputs!$B$38="pvp",15,MAX(0.1,Skills!D11-IF(Skills!E11=TRUE,Inputs!$B$32,0)))*(1-IF(AND(ArtifactsInput!$M$27,Inputs!$B$4="Chapter Hunt"),CHOOSE(ArtifactsInput!$N$27+1,20,24,28,32,36,40),0)/100)))+1)),0)</f>
        <v/>
      </c>
      <c r="S168">
        <f>IFERROR(O168/N168,0)</f>
        <v/>
      </c>
      <c r="T168">
        <f>IF(C168,(H168*N168*IF(AND(Inputs!$B$38&lt;&gt;"pvp",Inputs!$B$43&gt;0),((Skills!G11*((R168-1)*IF(Skills!H11&gt;0,Skills!I11/Skills!H11,1)+IF(Skills!H11&gt;0,MIN(Skills!I11,MAX(0,MAX(0,Inputs!$B$43-B194)-((R168-1)*(IF(Inputs!$B$38="pvp",15,MAX(0.1,Skills!D11-IF(Skills!E11=TRUE,Inputs!$B$32,0)))*(1-IF(AND(ArtifactsInput!$M$27,Inputs!$B$4="Chapter Hunt"),CHOOSE(ArtifactsInput!$N$27+1,20,24,28,32,36,40),0)/100)))))/Skills!H11,1)))/Inputs!$B$43),G168*Q168)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
        <f>IF(C168,(H168*N168*IF(AND(Inputs!$B$38&lt;&gt;"pvp",Inputs!$B$43&gt;0),((Skills!G11*((R168-1)*IF(Skills!H11&gt;0,Skills!I11/Skills!H11,1)+IF(Skills!H11&gt;0,MIN(Skills!I11,MAX(0,MAX(0,Inputs!$B$43-B194)-((R168-1)*(IF(Inputs!$B$38="pvp",15,MAX(0.1,Skills!D11-IF(Skills!E11=TRUE,Inputs!$B$32,0)))*(1-IF(AND(ArtifactsInput!$M$27,Inputs!$B$4="Chapter Hunt"),CHOOSE(ArtifactsInput!$N$27+1,20,24,28,32,36,40),0)/100)))))/Skills!H11,1)))/Inputs!$B$43),G168*Q168))*IF(Inputs!$B$38="pvp",1,(1+(Inputs!$B$21+Skills!Q11+(IF(ArtifactsInput!$M$33,CHOOSE(ArtifactsInput!$N$33+1,30,36,42,48,54,60)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
      <c r="A169">
        <f>Skills!A12</f>
        <v/>
      </c>
      <c r="B169">
        <f>Skills!B12</f>
        <v/>
      </c>
      <c r="C169">
        <f>Inputs!$B$3&gt;=110</f>
        <v/>
      </c>
      <c r="D169">
        <f>IF(Skills!C12=1,60+Inputs!$B$25+Inputs!$B$29,IF(Skills!C12=2,90+Inputs!$B$26+Inputs!$B$29,IF(Skills!C12=3,120+Inputs!$B$27+Inputs!$B$29,MAX(0,(Inputs!$B$3-100)*3)+Inputs!$B$28+Inputs!$B$29)))</f>
        <v/>
      </c>
      <c r="E169">
        <f>INDEX(FactorTable!$B$2:$Y$301, MATCH(ROUND(MIN(300,MAX(1,D169)),0), FactorTable!$A$2:$A$301,0), Skills!M12+1)</f>
        <v/>
      </c>
      <c r="F169">
        <f>IF(Skills!N12=TRUE,(Skills!L12/10)*(E169/1000),Skills!L12/10)+Skills!O12</f>
        <v/>
      </c>
      <c r="G169">
        <f>Skills!G12*IF(Skills!H12&gt;0,Skills!I12/Skills!H12,1)</f>
        <v/>
      </c>
      <c r="H169">
        <f>1-(1-Skills!J12/100)^Skills!K12</f>
        <v/>
      </c>
      <c r="I169" t="inlineStr">
        <is>
          <t>1</t>
        </is>
      </c>
      <c r="J169">
        <f>((Inputs!$B$6*(1+Inputs!$B$7/100))+(((Inputs!$B$12*(1+Inputs!$B$13/100))-(Inputs!$B$12*(1+Inputs!$B$13/100)))+0.25*((Inputs!$B$14+1)-Inputs!$B$14))*(1+Inputs!$B$7/100))*(F169/100)</f>
        <v/>
      </c>
      <c r="K169">
        <f>J169*(1+((Inputs!$B$12*(1+Inputs!$B$13/100))*0.01+(Inputs!$B$14+1)*0.0025)/100)*(1+Inputs!$B$15/100)*(1+Inputs!$B$16/100)*(5000/(6000+Inputs!$B$42*(1-(100*(1-(1-(Inputs!$B$19+0)/100)*(1-CHOOSE(ArtifactsInput!$N$40+1,5,6,7,8,9,10)/100)^(ArtifactsInput!$M$40-ArtifactsInput!$M$40)))/100)))*(1+(Inputs!$B$24+((C183=TRUE)*(F183-Calc!F26))+B193)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180=TRUE)*(F180-Calc!F23))+((C184=TRUE)*(F184-Calc!F27))+(((IF(AND(ArtifactsInput!$M$42,((Inputs!$B$9+((C176=TRUE)*(F176-Calc!F19))+B187+(ArtifactsInput!$M$24-ArtifactsInput!$M$24)*CHOOSE(ArtifactsInput!$N$24+1,10,12,14,16,18,20)+IF(ArtifactsInput!$M$10,CHOOSE(ArtifactsInput!$N$10+1,15,18,21,24,27,30)*(IF(Inputs!$B$38="pvp",MIN(15,15)/15,IF(AND(Inputs!$B$38&lt;&gt;"pvp",Inputs!$B$43&gt;0),MIN(15,Inputs!$B$43)/(Inputs!$B$43),0))),0)))&gt;=100),MIN(100,((Inputs!$B$9+((C176=TRUE)*(F176-Calc!F19))+B187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TRUE)*(F176-Calc!F19))+B187+(ArtifactsInput!$M$24-ArtifactsInput!$M$24)*CHOOSE(ArtifactsInput!$N$24+1,10,12,14,16,18,20)+IF(ArtifactsInput!$M$10,CHOOSE(ArtifactsInput!$N$10+1,15,18,21,24,27,30)*(IF(Inputs!$B$38="pvp",MIN(15,15)/15,IF(AND(Inputs!$B$38&lt;&gt;"pvp",Inputs!$B$43&gt;0),MIN(15,Inputs!$B$43)/(Inputs!$B$43),0))),0)))&gt;=100),CHOOSE(ArtifactsInput!$N$42+1,40,48,56,64,72,80),0))))/100)*((1+(((C174=TRUE)*F174)+((C181=TRUE)*(F181-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f>
        <v/>
      </c>
      <c r="L169">
        <f>K169*(MIN(Inputs!$B$22+((C179=TRUE)*(F179-Calc!F22)),(Inputs!$B$23+0+(IF(ArtifactsInput!$M$15,CHOOSE(ArtifactsInput!$N$15+1,25,30,35,40,45,50)/100*(Inputs!$B$11-Inputs!$B$11),0))))/100+(Inputs!$B$23+0+(IF(ArtifactsInput!$M$15,CHOOSE(ArtifactsInput!$N$15+1,25,30,35,40,45,50)/100*(Inputs!$B$11-Inputs!$B$11),0)))/100)/2</f>
        <v/>
      </c>
      <c r="M169">
        <f>L169*(1+(Inputs!$B$10+((C182=TRUE)*(F182-Calc!F25))+B192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
        <f>L169*(1-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
        <f>(1-Summary!$B$11)*T169+Summary!$B$11*V169</f>
        <v/>
      </c>
      <c r="P169">
        <f>IF(B197=0,0,O169/B197)</f>
        <v/>
      </c>
      <c r="Q169">
        <f>IFERROR(1/(IF(Inputs!$B$38="pvp",15,MAX(0.1,Skills!D12-IF(Skills!E12=TRUE,Inputs!$B$32,0)))*(1-IF(AND(ArtifactsInput!$M$27,Inputs!$B$4="Chapter Hunt"),CHOOSE(ArtifactsInput!$N$27+1,20,24,28,32,36,40),0)/100)),0)</f>
        <v/>
      </c>
      <c r="R169">
        <f>IF(AND(Inputs!$B$38&lt;&gt;"pvp",Inputs!$B$43&gt;0),IF(MAX(0,Inputs!$B$43-B194)&lt;=0,0,(INT(MAX(0,Inputs!$B$43-B194)/(IF(Inputs!$B$38="pvp",15,MAX(0.1,Skills!D12-IF(Skills!E12=TRUE,Inputs!$B$32,0)))*(1-IF(AND(ArtifactsInput!$M$27,Inputs!$B$4="Chapter Hunt"),CHOOSE(ArtifactsInput!$N$27+1,20,24,28,32,36,40),0)/100)))+1)),0)</f>
        <v/>
      </c>
      <c r="S169">
        <f>IFERROR(O169/N169,0)</f>
        <v/>
      </c>
      <c r="T169">
        <f>IF(C169,(H169*N169*IF(AND(Inputs!$B$38&lt;&gt;"pvp",Inputs!$B$43&gt;0),((Skills!G12*((R169-1)*IF(Skills!H12&gt;0,Skills!I12/Skills!H12,1)+IF(Skills!H12&gt;0,MIN(Skills!I12,MAX(0,MAX(0,Inputs!$B$43-B194)-((R169-1)*(IF(Inputs!$B$38="pvp",15,MAX(0.1,Skills!D12-IF(Skills!E12=TRUE,Inputs!$B$32,0)))*(1-IF(AND(ArtifactsInput!$M$27,Inputs!$B$4="Chapter Hunt"),CHOOSE(ArtifactsInput!$N$27+1,20,24,28,32,36,40),0)/100)))))/Skills!H12,1)))/Inputs!$B$43),G169*Q169)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
        <f>IF(C169,(H169*N169*IF(AND(Inputs!$B$38&lt;&gt;"pvp",Inputs!$B$43&gt;0),((Skills!G12*((R169-1)*IF(Skills!H12&gt;0,Skills!I12/Skills!H12,1)+IF(Skills!H12&gt;0,MIN(Skills!I12,MAX(0,MAX(0,Inputs!$B$43-B194)-((R169-1)*(IF(Inputs!$B$38="pvp",15,MAX(0.1,Skills!D12-IF(Skills!E12=TRUE,Inputs!$B$32,0)))*(1-IF(AND(ArtifactsInput!$M$27,Inputs!$B$4="Chapter Hunt"),CHOOSE(ArtifactsInput!$N$27+1,20,24,28,32,36,40),0)/100)))))/Skills!H12,1)))/Inputs!$B$43),G169*Q169))*IF(Inputs!$B$38="pvp",1,(1+(Inputs!$B$21+Skills!Q12+(IF(ArtifactsInput!$M$33,CHOOSE(ArtifactsInput!$N$33+1,30,36,42,48,54,60)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
      <c r="A170">
        <f>Skills!A13</f>
        <v/>
      </c>
      <c r="B170">
        <f>Skills!B13</f>
        <v/>
      </c>
      <c r="C170">
        <f>Inputs!$B$3&gt;=110</f>
        <v/>
      </c>
      <c r="D170">
        <f>IF(Skills!C13=1,60+Inputs!$B$25+Inputs!$B$29,IF(Skills!C13=2,90+Inputs!$B$26+Inputs!$B$29,IF(Skills!C13=3,120+Inputs!$B$27+Inputs!$B$29,MAX(0,(Inputs!$B$3-100)*3)+Inputs!$B$28+Inputs!$B$29)))</f>
        <v/>
      </c>
      <c r="E170">
        <f>INDEX(FactorTable!$B$2:$Y$301, MATCH(ROUND(MIN(300,MAX(1,D170)),0), FactorTable!$A$2:$A$301,0), Skills!M13+1)</f>
        <v/>
      </c>
      <c r="F170">
        <f>IF(Skills!N13=TRUE,(Skills!L13/10)*(E170/1000),Skills!L13/10)+Skills!O13</f>
        <v/>
      </c>
      <c r="G170">
        <f>Skills!G13*IF(Skills!H13&gt;0,Skills!I13/Skills!H13,1)</f>
        <v/>
      </c>
      <c r="H170">
        <f>1-(1-Skills!J13/100)^Skills!K13</f>
        <v/>
      </c>
      <c r="I170" t="inlineStr">
        <is>
          <t>1</t>
        </is>
      </c>
      <c r="J170">
        <f>((Inputs!$B$6*(1+Inputs!$B$7/100))+(((Inputs!$B$12*(1+Inputs!$B$13/100))-(Inputs!$B$12*(1+Inputs!$B$13/100)))+0.25*((Inputs!$B$14+1)-Inputs!$B$14))*(1+Inputs!$B$7/100))*(F170/100)</f>
        <v/>
      </c>
      <c r="K170">
        <f>J170*(1+((Inputs!$B$12*(1+Inputs!$B$13/100))*0.01+(Inputs!$B$14+1)*0.0025)/100)*(1+Inputs!$B$15/100)*(1+Inputs!$B$16/100)*(5000/(6000+Inputs!$B$42*(1-(100*(1-(1-(Inputs!$B$19+0)/100)*(1-CHOOSE(ArtifactsInput!$N$40+1,5,6,7,8,9,10)/100)^(ArtifactsInput!$M$40-ArtifactsInput!$M$40)))/100)))*(1+(Inputs!$B$24+((C183=TRUE)*(F183-Calc!F26))+B193)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180=TRUE)*(F180-Calc!F23))+((C184=TRUE)*(F184-Calc!F27))+(((IF(AND(ArtifactsInput!$M$42,((Inputs!$B$9+((C176=TRUE)*(F176-Calc!F19))+B187+(ArtifactsInput!$M$24-ArtifactsInput!$M$24)*CHOOSE(ArtifactsInput!$N$24+1,10,12,14,16,18,20)+IF(ArtifactsInput!$M$10,CHOOSE(ArtifactsInput!$N$10+1,15,18,21,24,27,30)*(IF(Inputs!$B$38="pvp",MIN(15,15)/15,IF(AND(Inputs!$B$38&lt;&gt;"pvp",Inputs!$B$43&gt;0),MIN(15,Inputs!$B$43)/(Inputs!$B$43),0))),0)))&gt;=100),MIN(100,((Inputs!$B$9+((C176=TRUE)*(F176-Calc!F19))+B187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TRUE)*(F176-Calc!F19))+B187+(ArtifactsInput!$M$24-ArtifactsInput!$M$24)*CHOOSE(ArtifactsInput!$N$24+1,10,12,14,16,18,20)+IF(ArtifactsInput!$M$10,CHOOSE(ArtifactsInput!$N$10+1,15,18,21,24,27,30)*(IF(Inputs!$B$38="pvp",MIN(15,15)/15,IF(AND(Inputs!$B$38&lt;&gt;"pvp",Inputs!$B$43&gt;0),MIN(15,Inputs!$B$43)/(Inputs!$B$43),0))),0)))&gt;=100),CHOOSE(ArtifactsInput!$N$42+1,40,48,56,64,72,80),0))))/100)*((1+(((C174=TRUE)*F174)+((C181=TRUE)*(F181-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f>
        <v/>
      </c>
      <c r="L170">
        <f>K170*(MIN(Inputs!$B$22+((C179=TRUE)*(F179-Calc!F22)),(Inputs!$B$23+0+(IF(ArtifactsInput!$M$15,CHOOSE(ArtifactsInput!$N$15+1,25,30,35,40,45,50)/100*(Inputs!$B$11-Inputs!$B$11),0))))/100+(Inputs!$B$23+0+(IF(ArtifactsInput!$M$15,CHOOSE(ArtifactsInput!$N$15+1,25,30,35,40,45,50)/100*(Inputs!$B$11-Inputs!$B$11),0)))/100)/2</f>
        <v/>
      </c>
      <c r="M170">
        <f>L170*(1+(Inputs!$B$10+((C182=TRUE)*(F182-Calc!F25))+B192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
        <f>L170*(1-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
        <f>(1-Summary!$B$11)*T170+Summary!$B$11*V170</f>
        <v/>
      </c>
      <c r="P170">
        <f>IF(B197=0,0,O170/B197)</f>
        <v/>
      </c>
      <c r="Q170">
        <f>IFERROR(1/(IF(Inputs!$B$38="pvp",15,MAX(0.1,Skills!D13-IF(Skills!E13=TRUE,Inputs!$B$32,0)))*(1-IF(AND(ArtifactsInput!$M$27,Inputs!$B$4="Chapter Hunt"),CHOOSE(ArtifactsInput!$N$27+1,20,24,28,32,36,40),0)/100)),0)</f>
        <v/>
      </c>
      <c r="R170">
        <f>IF(AND(Inputs!$B$38&lt;&gt;"pvp",Inputs!$B$43&gt;0),IF(MAX(0,Inputs!$B$43-B194)&lt;=0,0,(INT(MAX(0,Inputs!$B$43-B194)/(IF(Inputs!$B$38="pvp",15,MAX(0.1,Skills!D13-IF(Skills!E13=TRUE,Inputs!$B$32,0)))*(1-IF(AND(ArtifactsInput!$M$27,Inputs!$B$4="Chapter Hunt"),CHOOSE(ArtifactsInput!$N$27+1,20,24,28,32,36,40),0)/100)))+1)),0)</f>
        <v/>
      </c>
      <c r="S170">
        <f>IFERROR(O170/N170,0)</f>
        <v/>
      </c>
      <c r="T170">
        <f>IF(C170,(H170*N170*IF(AND(Inputs!$B$38&lt;&gt;"pvp",Inputs!$B$43&gt;0),((Skills!G13*((R170-1)*IF(Skills!H13&gt;0,Skills!I13/Skills!H13,1)+IF(Skills!H13&gt;0,MIN(Skills!I13,MAX(0,MAX(0,Inputs!$B$43-B194)-((R170-1)*(IF(Inputs!$B$38="pvp",15,MAX(0.1,Skills!D13-IF(Skills!E13=TRUE,Inputs!$B$32,0)))*(1-IF(AND(ArtifactsInput!$M$27,Inputs!$B$4="Chapter Hunt"),CHOOSE(ArtifactsInput!$N$27+1,20,24,28,32,36,40),0)/100)))))/Skills!H13,1)))/Inputs!$B$43),G170*Q170)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
        <f>IF(C170,(H170*N170*IF(AND(Inputs!$B$38&lt;&gt;"pvp",Inputs!$B$43&gt;0),((Skills!G13*((R170-1)*IF(Skills!H13&gt;0,Skills!I13/Skills!H13,1)+IF(Skills!H13&gt;0,MIN(Skills!I13,MAX(0,MAX(0,Inputs!$B$43-B194)-((R170-1)*(IF(Inputs!$B$38="pvp",15,MAX(0.1,Skills!D13-IF(Skills!E13=TRUE,Inputs!$B$32,0)))*(1-IF(AND(ArtifactsInput!$M$27,Inputs!$B$4="Chapter Hunt"),CHOOSE(ArtifactsInput!$N$27+1,20,24,28,32,36,40),0)/100)))))/Skills!H13,1)))/Inputs!$B$43),G170*Q170))*IF(Inputs!$B$38="pvp",1,(1+(Inputs!$B$21+Skills!Q13+(IF(ArtifactsInput!$M$33,CHOOSE(ArtifactsInput!$N$33+1,30,36,42,48,54,60)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
      <c r="A171">
        <f>Skills!A14</f>
        <v/>
      </c>
      <c r="B171">
        <f>Skills!B14</f>
        <v/>
      </c>
      <c r="C171">
        <f>Inputs!$B$3&gt;=125</f>
        <v/>
      </c>
      <c r="D171">
        <f>IF(Skills!C14=1,60+Inputs!$B$25+Inputs!$B$29,IF(Skills!C14=2,90+Inputs!$B$26+Inputs!$B$29,IF(Skills!C14=3,120+Inputs!$B$27+Inputs!$B$29,MAX(0,(Inputs!$B$3-100)*3)+Inputs!$B$28+Inputs!$B$29)))</f>
        <v/>
      </c>
      <c r="E171">
        <f>INDEX(FactorTable!$B$2:$Y$301, MATCH(ROUND(MIN(300,MAX(1,D171)),0), FactorTable!$A$2:$A$301,0), Skills!M14+1)</f>
        <v/>
      </c>
      <c r="F171">
        <f>IF(Skills!N14=TRUE,(Skills!L14/10)*(E171/1000),Skills!L14/10)+Skills!O14</f>
        <v/>
      </c>
      <c r="G171">
        <f>Skills!G14*IF(Skills!H14&gt;0,Skills!I14/Skills!H14,1)</f>
        <v/>
      </c>
      <c r="H171">
        <f>1-(1-Skills!J14/100)^Skills!K14</f>
        <v/>
      </c>
      <c r="I171" t="inlineStr">
        <is>
          <t>1</t>
        </is>
      </c>
      <c r="J171">
        <f>((Inputs!$B$6*(1+Inputs!$B$7/100))+(((Inputs!$B$12*(1+Inputs!$B$13/100))-(Inputs!$B$12*(1+Inputs!$B$13/100)))+0.25*((Inputs!$B$14+1)-Inputs!$B$14))*(1+Inputs!$B$7/100))*(F171/100)</f>
        <v/>
      </c>
      <c r="K171">
        <f>J171*(1+((Inputs!$B$12*(1+Inputs!$B$13/100))*0.01+(Inputs!$B$14+1)*0.0025)/100)*(1+Inputs!$B$15/100)*(1+Inputs!$B$16/100)*(5000/(6000+Inputs!$B$42*(1-(100*(1-(1-(Inputs!$B$19+0)/100)*(1-CHOOSE(ArtifactsInput!$N$40+1,5,6,7,8,9,10)/100)^(ArtifactsInput!$M$40-ArtifactsInput!$M$40)))/100)))*(1+(Inputs!$B$24+((C183=TRUE)*(F183-Calc!F26))+B193)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180=TRUE)*(F180-Calc!F23))+((C184=TRUE)*(F184-Calc!F27))+(((IF(AND(ArtifactsInput!$M$42,((Inputs!$B$9+((C176=TRUE)*(F176-Calc!F19))+B187+(ArtifactsInput!$M$24-ArtifactsInput!$M$24)*CHOOSE(ArtifactsInput!$N$24+1,10,12,14,16,18,20)+IF(ArtifactsInput!$M$10,CHOOSE(ArtifactsInput!$N$10+1,15,18,21,24,27,30)*(IF(Inputs!$B$38="pvp",MIN(15,15)/15,IF(AND(Inputs!$B$38&lt;&gt;"pvp",Inputs!$B$43&gt;0),MIN(15,Inputs!$B$43)/(Inputs!$B$43),0))),0)))&gt;=100),MIN(100,((Inputs!$B$9+((C176=TRUE)*(F176-Calc!F19))+B187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TRUE)*(F176-Calc!F19))+B187+(ArtifactsInput!$M$24-ArtifactsInput!$M$24)*CHOOSE(ArtifactsInput!$N$24+1,10,12,14,16,18,20)+IF(ArtifactsInput!$M$10,CHOOSE(ArtifactsInput!$N$10+1,15,18,21,24,27,30)*(IF(Inputs!$B$38="pvp",MIN(15,15)/15,IF(AND(Inputs!$B$38&lt;&gt;"pvp",Inputs!$B$43&gt;0),MIN(15,Inputs!$B$43)/(Inputs!$B$43),0))),0)))&gt;=100),CHOOSE(ArtifactsInput!$N$42+1,40,48,56,64,72,80),0))))/100)*((1+(((C174=TRUE)*F174)+((C181=TRUE)*(F181-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f>
        <v/>
      </c>
      <c r="L171">
        <f>K171*(MIN(Inputs!$B$22+((C179=TRUE)*(F179-Calc!F22)),(Inputs!$B$23+0+(IF(ArtifactsInput!$M$15,CHOOSE(ArtifactsInput!$N$15+1,25,30,35,40,45,50)/100*(Inputs!$B$11-Inputs!$B$11),0))))/100+(Inputs!$B$23+0+(IF(ArtifactsInput!$M$15,CHOOSE(ArtifactsInput!$N$15+1,25,30,35,40,45,50)/100*(Inputs!$B$11-Inputs!$B$11),0)))/100)/2</f>
        <v/>
      </c>
      <c r="M171">
        <f>L171*(1+(Inputs!$B$10+((C182=TRUE)*(F182-Calc!F25))+B192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
        <f>L171*(1-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
        <f>(1-Summary!$B$11)*T171+Summary!$B$11*V171</f>
        <v/>
      </c>
      <c r="P171">
        <f>IF(B197=0,0,O171/B197)</f>
        <v/>
      </c>
      <c r="Q171" t="n">
        <v>0</v>
      </c>
      <c r="R171" t="n">
        <v>0</v>
      </c>
      <c r="S171">
        <f>IFERROR(O171/N171,0)</f>
        <v/>
      </c>
      <c r="T171">
        <f>IF(C171,(H171*N171*(B191+IF(AND(Inputs!$B$38&lt;&gt;"pvp",Inputs!$B$43&gt;0),((Skills!G8*((R165-1)*IF(Skills!H8&gt;0,Skills!I8/Skills!H8,1)+IF(Skills!H8&gt;0,MIN(Skills!I8,MAX(0,MAX(0,Inputs!$B$43-B194)-((R165-1)*(IF(Inputs!$B$38="pvp",15,MAX(0.1,Skills!D8-IF(Skills!E8=TRUE,Inputs!$B$32,0)))*(1-IF(AND(ArtifactsInput!$M$27,Inputs!$B$4="Chapter Hunt"),CHOOSE(ArtifactsInput!$N$27+1,20,24,28,32,36,40),0)/100)))))/Skills!H8,1)))/Inputs!$B$43),G165*Q165)+IF(AND(Inputs!$B$38&lt;&gt;"pvp",Inputs!$B$43&gt;0),((Skills!G11*((R168-1)*IF(Skills!H11&gt;0,Skills!I11/Skills!H11,1)+IF(Skills!H11&gt;0,MIN(Skills!I11,MAX(0,MAX(0,Inputs!$B$43-B194)-((R168-1)*(IF(Inputs!$B$38="pvp",15,MAX(0.1,Skills!D11-IF(Skills!E11=TRUE,Inputs!$B$32,0)))*(1-IF(AND(ArtifactsInput!$M$27,Inputs!$B$4="Chapter Hunt"),CHOOSE(ArtifactsInput!$N$27+1,20,24,28,32,36,40),0)/100)))))/Skills!H11,1)))/Inputs!$B$43),G168*Q168)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
        <f>IF(C171,(H171*N171*(B191+IF(AND(Inputs!$B$38&lt;&gt;"pvp",Inputs!$B$43&gt;0),((Skills!G8*((R165-1)*IF(Skills!H8&gt;0,Skills!I8/Skills!H8,1)+IF(Skills!H8&gt;0,MIN(Skills!I8,MAX(0,MAX(0,Inputs!$B$43-B194)-((R165-1)*(IF(Inputs!$B$38="pvp",15,MAX(0.1,Skills!D8-IF(Skills!E8=TRUE,Inputs!$B$32,0)))*(1-IF(AND(ArtifactsInput!$M$27,Inputs!$B$4="Chapter Hunt"),CHOOSE(ArtifactsInput!$N$27+1,20,24,28,32,36,40),0)/100)))))/Skills!H8,1)))/Inputs!$B$43),G165*Q165)+IF(AND(Inputs!$B$38&lt;&gt;"pvp",Inputs!$B$43&gt;0),((Skills!G11*((R168-1)*IF(Skills!H11&gt;0,Skills!I11/Skills!H11,1)+IF(Skills!H11&gt;0,MIN(Skills!I11,MAX(0,MAX(0,Inputs!$B$43-B194)-((R168-1)*(IF(Inputs!$B$38="pvp",15,MAX(0.1,Skills!D11-IF(Skills!E11=TRUE,Inputs!$B$32,0)))*(1-IF(AND(ArtifactsInput!$M$27,Inputs!$B$4="Chapter Hunt"),CHOOSE(ArtifactsInput!$N$27+1,20,24,28,32,36,40),0)/100)))))/Skills!H11,1)))/Inputs!$B$43),G168*Q168)))*IF(Inputs!$B$38="pvp",1,(1+(Inputs!$B$21+Skills!Q14+(IF(ArtifactsInput!$M$33,CHOOSE(ArtifactsInput!$N$33+1,30,36,42,48,54,60)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
      <c r="A172">
        <f>Skills!A15</f>
        <v/>
      </c>
      <c r="B172">
        <f>Skills!B15</f>
        <v/>
      </c>
      <c r="C172">
        <f>Inputs!$B$3&gt;=100</f>
        <v/>
      </c>
      <c r="D172">
        <f>IF(Skills!C15=1,60+Inputs!$B$25+Inputs!$B$29,IF(Skills!C15=2,90+Inputs!$B$26+Inputs!$B$29,IF(Skills!C15=3,120+Inputs!$B$27+Inputs!$B$29,MAX(0,(Inputs!$B$3-100)*3)+Inputs!$B$28+Inputs!$B$29)))</f>
        <v/>
      </c>
      <c r="E172">
        <f>INDEX(FactorTable!$B$2:$Y$301, MATCH(ROUND(MIN(300,MAX(1,D172)),0), FactorTable!$A$2:$A$301,0), Skills!M15+1)</f>
        <v/>
      </c>
      <c r="F172">
        <f>IF(Skills!N15=TRUE,(Skills!L15/10)*(E172/1000),Skills!L15/10)+Skills!O15</f>
        <v/>
      </c>
      <c r="G172" t="inlineStr"/>
      <c r="H172" t="inlineStr"/>
      <c r="I172" t="inlineStr">
        <is>
          <t>1</t>
        </is>
      </c>
      <c r="J172" t="inlineStr"/>
      <c r="K172" t="inlineStr"/>
      <c r="L172" t="inlineStr"/>
      <c r="M172" t="inlineStr"/>
      <c r="N172" t="inlineStr"/>
      <c r="O172" t="inlineStr"/>
      <c r="P172" t="inlineStr"/>
      <c r="Q172" t="inlineStr"/>
      <c r="R172" t="inlineStr"/>
      <c r="S172" t="inlineStr"/>
    </row>
    <row r="173">
      <c r="A173">
        <f>Skills!A16</f>
        <v/>
      </c>
      <c r="B173">
        <f>Skills!B16</f>
        <v/>
      </c>
      <c r="C173">
        <f>Inputs!$B$3&gt;=120</f>
        <v/>
      </c>
      <c r="D173">
        <f>IF(Skills!C16=1,60+Inputs!$B$25+Inputs!$B$29,IF(Skills!C16=2,90+Inputs!$B$26+Inputs!$B$29,IF(Skills!C16=3,120+Inputs!$B$27+Inputs!$B$29,MAX(0,(Inputs!$B$3-100)*3)+Inputs!$B$28+Inputs!$B$29)))</f>
        <v/>
      </c>
      <c r="E173">
        <f>INDEX(FactorTable!$B$2:$Y$301, MATCH(ROUND(MIN(300,MAX(1,D173)),0), FactorTable!$A$2:$A$301,0), Skills!M16+1)</f>
        <v/>
      </c>
      <c r="F173">
        <f>IF(Skills!N16=TRUE,(Skills!L16/10)*(E173/1000),Skills!L16/10)+Skills!O16</f>
        <v/>
      </c>
      <c r="G173" t="inlineStr"/>
      <c r="H173" t="inlineStr"/>
      <c r="I173" t="inlineStr">
        <is>
          <t>1</t>
        </is>
      </c>
      <c r="J173" t="inlineStr"/>
      <c r="K173" t="inlineStr"/>
      <c r="L173" t="inlineStr"/>
      <c r="M173" t="inlineStr"/>
      <c r="N173" t="inlineStr"/>
      <c r="O173" t="inlineStr"/>
      <c r="P173" t="inlineStr"/>
      <c r="Q173" t="inlineStr"/>
      <c r="R173" t="inlineStr"/>
      <c r="S173" t="inlineStr"/>
    </row>
    <row r="174">
      <c r="A174">
        <f>Skills!A17</f>
        <v/>
      </c>
      <c r="B174">
        <f>Skills!B17</f>
        <v/>
      </c>
      <c r="C174">
        <f>Inputs!$B$3&gt;=66</f>
        <v/>
      </c>
      <c r="D174">
        <f>IF(Skills!C17=1,60+Inputs!$B$25+Inputs!$B$29,IF(Skills!C17=2,90+Inputs!$B$26+Inputs!$B$29,IF(Skills!C17=3,120+Inputs!$B$27+Inputs!$B$29,MAX(0,(Inputs!$B$3-100)*3)+Inputs!$B$28+Inputs!$B$29)))</f>
        <v/>
      </c>
      <c r="E174">
        <f>INDEX(FactorTable!$B$2:$Y$301, MATCH(ROUND(MIN(300,MAX(1,D174)),0), FactorTable!$A$2:$A$301,0), Skills!M17+1)</f>
        <v/>
      </c>
      <c r="F174">
        <f>IF(Skills!N17=TRUE,(Skills!L17/10)*(E174/1000),Skills!L17/10)+Skills!O17</f>
        <v/>
      </c>
      <c r="G174">
        <f>Skills!G17*IF(Skills!H17&gt;0,Skills!I17/Skills!H17,1)</f>
        <v/>
      </c>
      <c r="H174">
        <f>1-(1-Skills!J17/100)^Skills!K17</f>
        <v/>
      </c>
      <c r="I174" t="inlineStr">
        <is>
          <t>1</t>
        </is>
      </c>
      <c r="J174" t="inlineStr"/>
      <c r="K174" t="inlineStr"/>
      <c r="L174" t="inlineStr"/>
      <c r="M174" t="inlineStr"/>
      <c r="N174" t="inlineStr"/>
      <c r="O174">
        <f>(1-Summary!$B$11)*T174+Summary!$B$11*V174</f>
        <v/>
      </c>
      <c r="P174">
        <f>IF(B197=0,0,O174/B197)</f>
        <v/>
      </c>
      <c r="Q174" t="n">
        <v>0</v>
      </c>
      <c r="R174" t="n">
        <v>0</v>
      </c>
      <c r="S174">
        <f>IFERROR(O174/N174,0)</f>
        <v/>
      </c>
      <c r="T174" t="n">
        <v>0</v>
      </c>
      <c r="V174" t="n">
        <v>0</v>
      </c>
    </row>
    <row r="175">
      <c r="A175">
        <f>Skills!A18</f>
        <v/>
      </c>
      <c r="B175">
        <f>Skills!B18</f>
        <v/>
      </c>
      <c r="C175">
        <f>Inputs!$B$3&gt;=115</f>
        <v/>
      </c>
      <c r="D175">
        <f>IF(Skills!C18=1,60+Inputs!$B$25+Inputs!$B$29,IF(Skills!C18=2,90+Inputs!$B$26+Inputs!$B$29,IF(Skills!C18=3,120+Inputs!$B$27+Inputs!$B$29,MAX(0,(Inputs!$B$3-100)*3)+Inputs!$B$28+Inputs!$B$29)))</f>
        <v/>
      </c>
      <c r="E175">
        <f>INDEX(FactorTable!$B$2:$Y$301, MATCH(ROUND(MIN(300,MAX(1,D175)),0), FactorTable!$A$2:$A$301,0), Skills!M18+1)</f>
        <v/>
      </c>
      <c r="F175">
        <f>IF(Skills!N18=TRUE,(Skills!L18/10)*(E175/1000),Skills!L18/10)+Skills!O18</f>
        <v/>
      </c>
      <c r="G175">
        <f>Skills!G18*IF(Skills!H18&gt;0,Skills!I18/Skills!H18,1)</f>
        <v/>
      </c>
      <c r="H175">
        <f>1-(1-Skills!J18/100)^Skills!K18</f>
        <v/>
      </c>
      <c r="I175" t="inlineStr">
        <is>
          <t>1</t>
        </is>
      </c>
      <c r="J175" t="inlineStr"/>
      <c r="K175" t="inlineStr"/>
      <c r="L175" t="inlineStr"/>
      <c r="M175" t="inlineStr"/>
      <c r="N175" t="inlineStr"/>
      <c r="O175">
        <f>(1-Summary!$B$11)*T175+Summary!$B$11*V175</f>
        <v/>
      </c>
      <c r="P175">
        <f>IF(B197=0,0,O175/B197)</f>
        <v/>
      </c>
      <c r="Q175" t="n">
        <v>0</v>
      </c>
      <c r="R175" t="n">
        <v>0</v>
      </c>
      <c r="S175">
        <f>IFERROR(O175/N175,0)</f>
        <v/>
      </c>
      <c r="T175" t="n">
        <v>0</v>
      </c>
      <c r="V175" t="n">
        <v>0</v>
      </c>
    </row>
    <row r="176">
      <c r="A176">
        <f>Skills!A19</f>
        <v/>
      </c>
      <c r="B176">
        <f>Skills!B19</f>
        <v/>
      </c>
      <c r="C176">
        <f>Inputs!$B$3&gt;=15</f>
        <v/>
      </c>
      <c r="D176">
        <f>IF(Skills!C19=1,60+Inputs!$B$25+Inputs!$B$29,IF(Skills!C19=2,90+Inputs!$B$26+Inputs!$B$29,IF(Skills!C19=3,120+Inputs!$B$27+Inputs!$B$29,MAX(0,(Inputs!$B$3-100)*3)+Inputs!$B$28+Inputs!$B$29)))</f>
        <v/>
      </c>
      <c r="E176">
        <f>INDEX(FactorTable!$B$2:$Y$301, MATCH(ROUND(MIN(300,MAX(1,D176)),0), FactorTable!$A$2:$A$301,0), Skills!M19+1)</f>
        <v/>
      </c>
      <c r="F176">
        <f>IF(Skills!N19=TRUE,(Skills!L19/10)*(E176/1000),Skills!L19/10)+Skills!O19</f>
        <v/>
      </c>
      <c r="G176">
        <f>Skills!G19*IF(Skills!H19&gt;0,Skills!I19/Skills!H19,1)</f>
        <v/>
      </c>
      <c r="H176">
        <f>1-(1-Skills!J19/100)^Skills!K19</f>
        <v/>
      </c>
      <c r="I176" t="inlineStr">
        <is>
          <t>1</t>
        </is>
      </c>
      <c r="J176" t="inlineStr"/>
      <c r="K176" t="inlineStr"/>
      <c r="L176" t="inlineStr"/>
      <c r="M176" t="inlineStr"/>
      <c r="N176" t="inlineStr"/>
      <c r="O176">
        <f>(1-Summary!$B$11)*T176+Summary!$B$11*V176</f>
        <v/>
      </c>
      <c r="P176">
        <f>IF(B197=0,0,O176/B197)</f>
        <v/>
      </c>
      <c r="Q176" t="n">
        <v>0</v>
      </c>
      <c r="R176" t="n">
        <v>0</v>
      </c>
      <c r="S176">
        <f>IFERROR(O176/N176,0)</f>
        <v/>
      </c>
      <c r="T176" t="n">
        <v>0</v>
      </c>
      <c r="V176" t="n">
        <v>0</v>
      </c>
    </row>
    <row r="177">
      <c r="A177">
        <f>Skills!A20</f>
        <v/>
      </c>
      <c r="B177">
        <f>Skills!B20</f>
        <v/>
      </c>
      <c r="C177">
        <f>Inputs!$B$3&gt;=10</f>
        <v/>
      </c>
      <c r="D177">
        <f>IF(Skills!C20=1,60+Inputs!$B$25+Inputs!$B$29,IF(Skills!C20=2,90+Inputs!$B$26+Inputs!$B$29,IF(Skills!C20=3,120+Inputs!$B$27+Inputs!$B$29,MAX(0,(Inputs!$B$3-100)*3)+Inputs!$B$28+Inputs!$B$29)))</f>
        <v/>
      </c>
      <c r="E177">
        <f>INDEX(FactorTable!$B$2:$Y$301, MATCH(ROUND(MIN(300,MAX(1,D177)),0), FactorTable!$A$2:$A$301,0), Skills!M20+1)</f>
        <v/>
      </c>
      <c r="F177">
        <f>IF(Skills!N20=TRUE,(Skills!L20/10)*(E177/1000),Skills!L20/10)+Skills!O20</f>
        <v/>
      </c>
      <c r="G177">
        <f>Skills!G20*IF(Skills!H20&gt;0,Skills!I20/Skills!H20,1)</f>
        <v/>
      </c>
      <c r="H177">
        <f>1-(1-Skills!J20/100)^Skills!K20</f>
        <v/>
      </c>
      <c r="I177" t="inlineStr">
        <is>
          <t>1</t>
        </is>
      </c>
      <c r="J177" t="inlineStr"/>
      <c r="K177" t="inlineStr"/>
      <c r="L177" t="inlineStr"/>
      <c r="M177" t="inlineStr"/>
      <c r="N177" t="inlineStr"/>
      <c r="O177">
        <f>(1-Summary!$B$11)*T177+Summary!$B$11*V177</f>
        <v/>
      </c>
      <c r="P177">
        <f>IF(B197=0,0,O177/B197)</f>
        <v/>
      </c>
      <c r="Q177" t="n">
        <v>0</v>
      </c>
      <c r="R177" t="n">
        <v>0</v>
      </c>
      <c r="S177">
        <f>IFERROR(O177/N177,0)</f>
        <v/>
      </c>
      <c r="T177" t="n">
        <v>0</v>
      </c>
      <c r="V177" t="n">
        <v>0</v>
      </c>
    </row>
    <row r="178">
      <c r="A178">
        <f>Skills!A21</f>
        <v/>
      </c>
      <c r="B178">
        <f>Skills!B21</f>
        <v/>
      </c>
      <c r="C178">
        <f>Inputs!$B$3&gt;=33</f>
        <v/>
      </c>
      <c r="D178">
        <f>IF(Skills!C21=1,60+Inputs!$B$25+Inputs!$B$29,IF(Skills!C21=2,90+Inputs!$B$26+Inputs!$B$29,IF(Skills!C21=3,120+Inputs!$B$27+Inputs!$B$29,MAX(0,(Inputs!$B$3-100)*3)+Inputs!$B$28+Inputs!$B$29)))</f>
        <v/>
      </c>
      <c r="E178">
        <f>INDEX(FactorTable!$B$2:$Y$301, MATCH(ROUND(MIN(300,MAX(1,D178)),0), FactorTable!$A$2:$A$301,0), Skills!M21+1)</f>
        <v/>
      </c>
      <c r="F178">
        <f>IF(Skills!N21=TRUE,(Skills!L21/10)*(E178/1000),Skills!L21/10)+Skills!O21</f>
        <v/>
      </c>
      <c r="G178">
        <f>Skills!G21*IF(Skills!H21&gt;0,Skills!I21/Skills!H21,1)</f>
        <v/>
      </c>
      <c r="H178">
        <f>1-(1-Skills!J21/100)^Skills!K21</f>
        <v/>
      </c>
      <c r="I178" t="inlineStr">
        <is>
          <t>1</t>
        </is>
      </c>
      <c r="J178" t="inlineStr"/>
      <c r="K178" t="inlineStr"/>
      <c r="L178" t="inlineStr"/>
      <c r="M178" t="inlineStr"/>
      <c r="N178" t="inlineStr"/>
      <c r="O178">
        <f>(1-Summary!$B$11)*T178+Summary!$B$11*V178</f>
        <v/>
      </c>
      <c r="P178">
        <f>IF(B197=0,0,O178/B197)</f>
        <v/>
      </c>
      <c r="Q178" t="n">
        <v>0</v>
      </c>
      <c r="R178" t="n">
        <v>0</v>
      </c>
      <c r="S178">
        <f>IFERROR(O178/N178,0)</f>
        <v/>
      </c>
      <c r="T178" t="n">
        <v>0</v>
      </c>
      <c r="V178" t="n">
        <v>0</v>
      </c>
    </row>
    <row r="179">
      <c r="A179">
        <f>Skills!A22</f>
        <v/>
      </c>
      <c r="B179">
        <f>Skills!B22</f>
        <v/>
      </c>
      <c r="C179">
        <f>Inputs!$B$3&gt;=43</f>
        <v/>
      </c>
      <c r="D179">
        <f>IF(Skills!C22=1,60+Inputs!$B$25+Inputs!$B$29,IF(Skills!C22=2,90+Inputs!$B$26+Inputs!$B$29,IF(Skills!C22=3,120+Inputs!$B$27+Inputs!$B$29,MAX(0,(Inputs!$B$3-100)*3)+Inputs!$B$28+Inputs!$B$29)))</f>
        <v/>
      </c>
      <c r="E179">
        <f>INDEX(FactorTable!$B$2:$Y$301, MATCH(ROUND(MIN(300,MAX(1,D179)),0), FactorTable!$A$2:$A$301,0), Skills!M22+1)</f>
        <v/>
      </c>
      <c r="F179">
        <f>IF(Skills!N22=TRUE,(Skills!L22/10)*(E179/1000),Skills!L22/10)+Skills!O22</f>
        <v/>
      </c>
      <c r="G179">
        <f>Skills!G22*IF(Skills!H22&gt;0,Skills!I22/Skills!H22,1)</f>
        <v/>
      </c>
      <c r="H179">
        <f>1-(1-Skills!J22/100)^Skills!K22</f>
        <v/>
      </c>
      <c r="I179" t="inlineStr">
        <is>
          <t>1</t>
        </is>
      </c>
      <c r="J179" t="inlineStr"/>
      <c r="K179" t="inlineStr"/>
      <c r="L179" t="inlineStr"/>
      <c r="M179" t="inlineStr"/>
      <c r="N179" t="inlineStr"/>
      <c r="O179">
        <f>(1-Summary!$B$11)*T179+Summary!$B$11*V179</f>
        <v/>
      </c>
      <c r="P179">
        <f>IF(B197=0,0,O179/B197)</f>
        <v/>
      </c>
      <c r="Q179" t="n">
        <v>0</v>
      </c>
      <c r="R179" t="n">
        <v>0</v>
      </c>
      <c r="S179">
        <f>IFERROR(O179/N179,0)</f>
        <v/>
      </c>
      <c r="T179" t="n">
        <v>0</v>
      </c>
      <c r="V179" t="n">
        <v>0</v>
      </c>
    </row>
    <row r="180">
      <c r="A180">
        <f>Skills!A23</f>
        <v/>
      </c>
      <c r="B180">
        <f>Skills!B23</f>
        <v/>
      </c>
      <c r="C180">
        <f>Inputs!$B$3&gt;=38</f>
        <v/>
      </c>
      <c r="D180">
        <f>IF(Skills!C23=1,60+Inputs!$B$25+Inputs!$B$29,IF(Skills!C23=2,90+Inputs!$B$26+Inputs!$B$29,IF(Skills!C23=3,120+Inputs!$B$27+Inputs!$B$29,MAX(0,(Inputs!$B$3-100)*3)+Inputs!$B$28+Inputs!$B$29)))</f>
        <v/>
      </c>
      <c r="E180">
        <f>INDEX(FactorTable!$B$2:$Y$301, MATCH(ROUND(MIN(300,MAX(1,D180)),0), FactorTable!$A$2:$A$301,0), Skills!M23+1)</f>
        <v/>
      </c>
      <c r="F180">
        <f>IF(Skills!N23=TRUE,(Skills!L23/10)*(E180/1000),Skills!L23/10)+Skills!O23</f>
        <v/>
      </c>
      <c r="G180">
        <f>Skills!G23*IF(Skills!H23&gt;0,Skills!I23/Skills!H23,1)</f>
        <v/>
      </c>
      <c r="H180">
        <f>1-(1-Skills!J23/100)^Skills!K23</f>
        <v/>
      </c>
      <c r="I180" t="inlineStr">
        <is>
          <t>1</t>
        </is>
      </c>
      <c r="J180" t="inlineStr"/>
      <c r="K180" t="inlineStr"/>
      <c r="L180" t="inlineStr"/>
      <c r="M180" t="inlineStr"/>
      <c r="N180" t="inlineStr"/>
      <c r="O180">
        <f>(1-Summary!$B$11)*T180+Summary!$B$11*V180</f>
        <v/>
      </c>
      <c r="P180">
        <f>IF(B197=0,0,O180/B197)</f>
        <v/>
      </c>
      <c r="Q180" t="n">
        <v>0</v>
      </c>
      <c r="R180" t="n">
        <v>0</v>
      </c>
      <c r="S180">
        <f>IFERROR(O180/N180,0)</f>
        <v/>
      </c>
      <c r="T180" t="n">
        <v>0</v>
      </c>
      <c r="V180" t="n">
        <v>0</v>
      </c>
    </row>
    <row r="181">
      <c r="A181">
        <f>Skills!A24</f>
        <v/>
      </c>
      <c r="B181">
        <f>Skills!B24</f>
        <v/>
      </c>
      <c r="C181">
        <f>Inputs!$B$3&gt;=40</f>
        <v/>
      </c>
      <c r="D181">
        <f>IF(Skills!C24=1,60+Inputs!$B$25+Inputs!$B$29,IF(Skills!C24=2,90+Inputs!$B$26+Inputs!$B$29,IF(Skills!C24=3,120+Inputs!$B$27+Inputs!$B$29,MAX(0,(Inputs!$B$3-100)*3)+Inputs!$B$28+Inputs!$B$29)))</f>
        <v/>
      </c>
      <c r="E181">
        <f>INDEX(FactorTable!$B$2:$Y$301, MATCH(ROUND(MIN(300,MAX(1,D181)),0), FactorTable!$A$2:$A$301,0), Skills!M24+1)</f>
        <v/>
      </c>
      <c r="F181">
        <f>IF(Skills!N24=TRUE,(Skills!L24/10)*(E181/1000),Skills!L24/10)+Skills!O24</f>
        <v/>
      </c>
      <c r="G181">
        <f>Skills!G24*IF(Skills!H24&gt;0,Skills!I24/Skills!H24,1)</f>
        <v/>
      </c>
      <c r="H181">
        <f>1-(1-Skills!J24/100)^Skills!K24</f>
        <v/>
      </c>
      <c r="I181" t="inlineStr">
        <is>
          <t>1</t>
        </is>
      </c>
      <c r="J181" t="inlineStr"/>
      <c r="K181" t="inlineStr"/>
      <c r="L181" t="inlineStr"/>
      <c r="M181" t="inlineStr"/>
      <c r="N181" t="inlineStr"/>
      <c r="O181">
        <f>(1-Summary!$B$11)*T181+Summary!$B$11*V181</f>
        <v/>
      </c>
      <c r="P181">
        <f>IF(B197=0,0,O181/B197)</f>
        <v/>
      </c>
      <c r="Q181" t="n">
        <v>0</v>
      </c>
      <c r="R181" t="n">
        <v>0</v>
      </c>
      <c r="S181">
        <f>IFERROR(O181/N181,0)</f>
        <v/>
      </c>
      <c r="T181" t="n">
        <v>0</v>
      </c>
      <c r="V181" t="n">
        <v>0</v>
      </c>
    </row>
    <row r="182">
      <c r="A182">
        <f>Skills!A25</f>
        <v/>
      </c>
      <c r="B182">
        <f>Skills!B25</f>
        <v/>
      </c>
      <c r="C182">
        <f>Inputs!$B$3&gt;=72</f>
        <v/>
      </c>
      <c r="D182">
        <f>IF(Skills!C25=1,60+Inputs!$B$25+Inputs!$B$29,IF(Skills!C25=2,90+Inputs!$B$26+Inputs!$B$29,IF(Skills!C25=3,120+Inputs!$B$27+Inputs!$B$29,MAX(0,(Inputs!$B$3-100)*3)+Inputs!$B$28+Inputs!$B$29)))</f>
        <v/>
      </c>
      <c r="E182">
        <f>INDEX(FactorTable!$B$2:$Y$301, MATCH(ROUND(MIN(300,MAX(1,D182)),0), FactorTable!$A$2:$A$301,0), Skills!M25+1)</f>
        <v/>
      </c>
      <c r="F182">
        <f>IF(Skills!N25=TRUE,(Skills!L25/10)*(E182/1000),Skills!L25/10)+Skills!O25</f>
        <v/>
      </c>
      <c r="G182">
        <f>Skills!G25*IF(Skills!H25&gt;0,Skills!I25/Skills!H25,1)</f>
        <v/>
      </c>
      <c r="H182">
        <f>1-(1-Skills!J25/100)^Skills!K25</f>
        <v/>
      </c>
      <c r="I182" t="inlineStr">
        <is>
          <t>1</t>
        </is>
      </c>
      <c r="J182" t="inlineStr"/>
      <c r="K182" t="inlineStr"/>
      <c r="L182" t="inlineStr"/>
      <c r="M182" t="inlineStr"/>
      <c r="N182" t="inlineStr"/>
      <c r="O182">
        <f>(1-Summary!$B$11)*T182+Summary!$B$11*V182</f>
        <v/>
      </c>
      <c r="P182">
        <f>IF(B197=0,0,O182/B197)</f>
        <v/>
      </c>
      <c r="Q182" t="n">
        <v>0</v>
      </c>
      <c r="R182" t="n">
        <v>0</v>
      </c>
      <c r="S182">
        <f>IFERROR(O182/N182,0)</f>
        <v/>
      </c>
      <c r="T182" t="n">
        <v>0</v>
      </c>
      <c r="V182" t="n">
        <v>0</v>
      </c>
    </row>
    <row r="183">
      <c r="A183">
        <f>Skills!A26</f>
        <v/>
      </c>
      <c r="B183">
        <f>Skills!B26</f>
        <v/>
      </c>
      <c r="C183">
        <f>Inputs!$B$3&gt;=75</f>
        <v/>
      </c>
      <c r="D183">
        <f>IF(Skills!C26=1,60+Inputs!$B$25+Inputs!$B$29,IF(Skills!C26=2,90+Inputs!$B$26+Inputs!$B$29,IF(Skills!C26=3,120+Inputs!$B$27+Inputs!$B$29,MAX(0,(Inputs!$B$3-100)*3)+Inputs!$B$28+Inputs!$B$29)))</f>
        <v/>
      </c>
      <c r="E183">
        <f>INDEX(FactorTable!$B$2:$Y$301, MATCH(ROUND(MIN(300,MAX(1,D183)),0), FactorTable!$A$2:$A$301,0), Skills!M26+1)</f>
        <v/>
      </c>
      <c r="F183">
        <f>IF(Skills!N26=TRUE,(Skills!L26/10)*(E183/1000),Skills!L26/10)+Skills!O26</f>
        <v/>
      </c>
      <c r="G183">
        <f>Skills!G26*IF(Skills!H26&gt;0,Skills!I26/Skills!H26,1)</f>
        <v/>
      </c>
      <c r="H183">
        <f>1-(1-Skills!J26/100)^Skills!K26</f>
        <v/>
      </c>
      <c r="I183" t="inlineStr">
        <is>
          <t>1</t>
        </is>
      </c>
      <c r="J183" t="inlineStr"/>
      <c r="K183" t="inlineStr"/>
      <c r="L183" t="inlineStr"/>
      <c r="M183" t="inlineStr"/>
      <c r="N183" t="inlineStr"/>
      <c r="O183">
        <f>(1-Summary!$B$11)*T183+Summary!$B$11*V183</f>
        <v/>
      </c>
      <c r="P183">
        <f>IF(B197=0,0,O183/B197)</f>
        <v/>
      </c>
      <c r="Q183" t="n">
        <v>0</v>
      </c>
      <c r="R183" t="n">
        <v>0</v>
      </c>
      <c r="S183">
        <f>IFERROR(O183/N183,0)</f>
        <v/>
      </c>
      <c r="T183" t="n">
        <v>0</v>
      </c>
      <c r="V183" t="n">
        <v>0</v>
      </c>
    </row>
    <row r="184">
      <c r="A184">
        <f>Skills!A27</f>
        <v/>
      </c>
      <c r="B184">
        <f>Skills!B27</f>
        <v/>
      </c>
      <c r="C184">
        <f>Inputs!$B$3&gt;=117</f>
        <v/>
      </c>
      <c r="D184">
        <f>IF(Skills!C27=1,60+Inputs!$B$25+Inputs!$B$29,IF(Skills!C27=2,90+Inputs!$B$26+Inputs!$B$29,IF(Skills!C27=3,120+Inputs!$B$27+Inputs!$B$29,MAX(0,(Inputs!$B$3-100)*3)+Inputs!$B$28+Inputs!$B$29)))</f>
        <v/>
      </c>
      <c r="E184">
        <f>INDEX(FactorTable!$B$2:$Y$301, MATCH(ROUND(MIN(300,MAX(1,D184)),0), FactorTable!$A$2:$A$301,0), Skills!M27+1)</f>
        <v/>
      </c>
      <c r="F184">
        <f>IF(Skills!N27=TRUE,(Skills!L27/10)*(E184/1000),Skills!L27/10)+Skills!O27</f>
        <v/>
      </c>
      <c r="G184">
        <f>Skills!G27*IF(Skills!H27&gt;0,Skills!I27/Skills!H27,1)</f>
        <v/>
      </c>
      <c r="H184">
        <f>1-(1-Skills!J27/100)^Skills!K27</f>
        <v/>
      </c>
      <c r="I184" t="inlineStr">
        <is>
          <t>1</t>
        </is>
      </c>
      <c r="J184" t="inlineStr"/>
      <c r="K184" t="inlineStr"/>
      <c r="L184" t="inlineStr"/>
      <c r="M184" t="inlineStr"/>
      <c r="N184" t="inlineStr"/>
      <c r="O184">
        <f>(1-Summary!$B$11)*T184+Summary!$B$11*V184</f>
        <v/>
      </c>
      <c r="P184">
        <f>IF(B197=0,0,O184/B197)</f>
        <v/>
      </c>
      <c r="Q184" t="n">
        <v>0</v>
      </c>
      <c r="R184" t="n">
        <v>0</v>
      </c>
      <c r="S184">
        <f>IFERROR(O184/N184,0)</f>
        <v/>
      </c>
      <c r="T184" t="n">
        <v>0</v>
      </c>
      <c r="V184" t="n">
        <v>0</v>
      </c>
    </row>
    <row r="186">
      <c r="A186" t="inlineStr">
        <is>
          <t>Attack% Bucket Multiplier</t>
        </is>
      </c>
      <c r="B186">
        <f>(1+(((C174=TRUE)*F174)+((C181=TRUE)*(F181-Calc!F24))+(IF(ArtifactsInput!$M$21,CHOOSE(ArtifactsInput!$N$21+1,25,30,35,40,45,50)*(IF(OR(Inputs!$B$4="Chapter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7">
      <c r="A187" t="inlineStr">
        <is>
          <t>Global Crit Rate Bonus %</t>
        </is>
      </c>
      <c r="B187" t="n">
        <v>0</v>
      </c>
    </row>
    <row r="188">
      <c r="A188" t="inlineStr">
        <is>
          <t>Attack Speed Buff Bonus % (unused)</t>
        </is>
      </c>
      <c r="B188" t="n">
        <v>0</v>
      </c>
    </row>
    <row r="189">
      <c r="A189" t="inlineStr">
        <is>
          <t>Actions Per Second</t>
        </is>
      </c>
      <c r="B189">
        <f>1+MIN(150,150*(1-(1-(Inputs!$B$11+((C177=TRUE)*(F177-Calc!F20))+((C178=TRUE)*(F178-Calc!F21)))/150)*(1-B188/150)))/100</f>
        <v/>
      </c>
    </row>
    <row r="190">
      <c r="A190" t="inlineStr">
        <is>
          <t>Skill + Buff Cast Rate</t>
        </is>
      </c>
      <c r="B190">
        <f>IF(AND(Inputs!$B$38&lt;&gt;"pvp",Inputs!$B$43&gt;0),SUMPRODUCT((Skills!E2:E27=TRUE)*(C159:C184=TRUE)*R159:R184*Skills!F2:F27)/Inputs!$B$43,SUMPRODUCT((Skills!E2:E27=TRUE)*(C159:C184=TRUE)*Q159:Q184*Skills!F2:F27))</f>
        <v/>
      </c>
    </row>
    <row r="191">
      <c r="A191" t="inlineStr">
        <is>
          <t>Eight-Legs Easton Casts Per Second</t>
        </is>
      </c>
      <c r="B191">
        <f>MAX(0,B189-B190)</f>
        <v/>
      </c>
    </row>
    <row r="192">
      <c r="A192" t="inlineStr">
        <is>
          <t>Global Critical Damage Bonus % (unused)</t>
        </is>
      </c>
      <c r="B192" t="n">
        <v>0</v>
      </c>
    </row>
    <row r="193">
      <c r="A193" t="inlineStr">
        <is>
          <t>Global Final Damage Bonus % (Jolly Roger only)</t>
        </is>
      </c>
      <c r="B193">
        <f>((C175=TRUE)*F175)</f>
        <v/>
      </c>
    </row>
    <row r="194">
      <c r="A194" t="inlineStr">
        <is>
          <t>Buff-Casting Startup Delay (s, fixed-duration only)</t>
        </is>
      </c>
      <c r="B194">
        <f>IF(AND(Inputs!$B$38&lt;&gt;"pvp",Inputs!$B$43&gt;0),SUMPRODUCT((Skills!T2:T27&gt;0)*(Skills!E2:E27=TRUE)*(C159:C184=TRUE))/B189,0)</f>
        <v/>
      </c>
    </row>
    <row r="195">
      <c r="A195" t="inlineStr">
        <is>
          <t>Boss-Only Total DPS (this block's swept value)</t>
        </is>
      </c>
      <c r="B195">
        <f>SUM(T159:T184)</f>
        <v/>
      </c>
    </row>
    <row r="196">
      <c r="A196" t="inlineStr">
        <is>
          <t>Normal-Only Total DPS (this block's swept value)</t>
        </is>
      </c>
      <c r="B196">
        <f>SUM(V159:V184)</f>
        <v/>
      </c>
    </row>
    <row r="197">
      <c r="A197" s="6" t="inlineStr">
        <is>
          <t>TOTAL DPS</t>
        </is>
      </c>
      <c r="B197" s="6">
        <f>SUM(O159:O184)</f>
        <v/>
      </c>
    </row>
    <row r="200">
      <c r="A200" s="6" t="inlineStr">
        <is>
          <t>Stat: DAMAGE %</t>
        </is>
      </c>
    </row>
    <row r="201">
      <c r="A201" s="5" t="inlineStr">
        <is>
          <t>Key</t>
        </is>
      </c>
      <c r="B201" s="5" t="inlineStr">
        <is>
          <t>Name</t>
        </is>
      </c>
      <c r="C201" s="5" t="inlineStr">
        <is>
          <t>Unlocked</t>
        </is>
      </c>
      <c r="D201" s="5" t="inlineStr">
        <is>
          <t>InputLevel</t>
        </is>
      </c>
      <c r="E201" s="5" t="inlineStr">
        <is>
          <t>Factor</t>
        </is>
      </c>
      <c r="F201" s="5" t="inlineStr">
        <is>
          <t>CoefficientPercent</t>
        </is>
      </c>
      <c r="G201" s="5" t="inlineStr">
        <is>
          <t>EffectiveHits</t>
        </is>
      </c>
      <c r="H201" s="5" t="inlineStr">
        <is>
          <t>ProcProbability</t>
        </is>
      </c>
      <c r="I201" s="5" t="inlineStr">
        <is>
          <t>MapleHeroMultiplier</t>
        </is>
      </c>
      <c r="J201" s="5" t="inlineStr">
        <is>
          <t>BaseDamage</t>
        </is>
      </c>
      <c r="K201" s="5" t="inlineStr">
        <is>
          <t>BaseHitDamage</t>
        </is>
      </c>
      <c r="L201" s="5" t="inlineStr">
        <is>
          <t>NonCritAvg</t>
        </is>
      </c>
      <c r="M201" s="5" t="inlineStr">
        <is>
          <t>CritAvg</t>
        </is>
      </c>
      <c r="N201" s="5" t="inlineStr">
        <is>
          <t>ExpectedDamage(perHit)</t>
        </is>
      </c>
      <c r="O201" s="5" t="inlineStr">
        <is>
          <t>DPS</t>
        </is>
      </c>
      <c r="P201" s="5" t="inlineStr">
        <is>
          <t>% of Total</t>
        </is>
      </c>
      <c r="Q201" s="5" t="inlineStr">
        <is>
          <t>InvCooldown</t>
        </is>
      </c>
      <c r="R201" s="5" t="inlineStr">
        <is>
          <t>CastsInFight</t>
        </is>
      </c>
      <c r="S201" s="5" t="inlineStr">
        <is>
          <t>HitRate(perSec)</t>
        </is>
      </c>
      <c r="U201" t="inlineStr">
        <is>
          <t>helpers</t>
        </is>
      </c>
    </row>
    <row r="202">
      <c r="A202">
        <f>Skills!A2</f>
        <v/>
      </c>
      <c r="B202">
        <f>Skills!B2</f>
        <v/>
      </c>
      <c r="C202">
        <f>Inputs!$B$3&gt;=100</f>
        <v/>
      </c>
      <c r="D202" t="inlineStr"/>
      <c r="E202" t="inlineStr"/>
      <c r="F202">
        <f>U204+Skills!O2</f>
        <v/>
      </c>
      <c r="G202">
        <f>Skills!G2*IF(Skills!H2&gt;0,Skills!I2/Skills!H2,1)</f>
        <v/>
      </c>
      <c r="H202">
        <f>1-(1-Skills!J2/100)^Skills!K2</f>
        <v/>
      </c>
      <c r="I202" t="inlineStr">
        <is>
          <t>1</t>
        </is>
      </c>
      <c r="J202">
        <f>((Inputs!$B$6*(1+Inputs!$B$7/100))+(((Inputs!$B$12*(1+Inputs!$B$13/100))-(Inputs!$B$12*(1+Inputs!$B$13/100)))+0.25*(Inputs!$B$14-Inputs!$B$14))*(1+Inputs!$B$7/100))*(F202/100)</f>
        <v/>
      </c>
      <c r="K202">
        <f>J202*(1+((Inputs!$B$12*(1+Inputs!$B$13/100))*0.01+Inputs!$B$14*0.0025)/100)*(1+(Inputs!$B$15+1)/100)*(1+Inputs!$B$16/100)*(5000/(6000+Inputs!$B$42*(1-(100*(1-(1-(Inputs!$B$19+0)/100)*(1-CHOOSE(ArtifactsInput!$N$40+1,5,6,7,8,9,10)/100)^(ArtifactsInput!$M$40-ArtifactsInput!$M$40)))/100)))*(1+(Inputs!$B$24+((C226=TRUE)*(F226-Calc!F26))+B236)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223=TRUE)*(F223-Calc!F23))+((C227=TRUE)*(F227-Calc!F27))+(((IF(AND(ArtifactsInput!$M$42,((Inputs!$B$9+((C219=TRUE)*(F219-Calc!F19))+B230+(ArtifactsInput!$M$24-ArtifactsInput!$M$24)*CHOOSE(ArtifactsInput!$N$24+1,10,12,14,16,18,20)+IF(ArtifactsInput!$M$10,CHOOSE(ArtifactsInput!$N$10+1,15,18,21,24,27,30)*(IF(Inputs!$B$38="pvp",MIN(15,15)/15,IF(AND(Inputs!$B$38&lt;&gt;"pvp",Inputs!$B$43&gt;0),MIN(15,Inputs!$B$43)/(Inputs!$B$43),0))),0)))&gt;=100),MIN(100,((Inputs!$B$9+((C219=TRUE)*(F219-Calc!F19))+B230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TRUE)*(F219-Calc!F19))+B230+(ArtifactsInput!$M$24-ArtifactsInput!$M$24)*CHOOSE(ArtifactsInput!$N$24+1,10,12,14,16,18,20)+IF(ArtifactsInput!$M$10,CHOOSE(ArtifactsInput!$N$10+1,15,18,21,24,27,30)*(IF(Inputs!$B$38="pvp",MIN(15,15)/15,IF(AND(Inputs!$B$38&lt;&gt;"pvp",Inputs!$B$43&gt;0),MIN(15,Inputs!$B$43)/(Inputs!$B$43),0))),0)))&gt;=100),CHOOSE(ArtifactsInput!$N$42+1,40,48,56,64,72,80),0))))/100)*((1+(((C217=TRUE)*F217)+((C224=TRUE)*(F224-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f>
        <v/>
      </c>
      <c r="L202">
        <f>K202*(MIN(Inputs!$B$22+((C222=TRUE)*(F222-Calc!F22)),(Inputs!$B$23+0+(IF(ArtifactsInput!$M$15,CHOOSE(ArtifactsInput!$N$15+1,25,30,35,40,45,50)/100*(Inputs!$B$11-Inputs!$B$11),0))))/100+(Inputs!$B$23+0+(IF(ArtifactsInput!$M$15,CHOOSE(ArtifactsInput!$N$15+1,25,30,35,40,45,50)/100*(Inputs!$B$11-Inputs!$B$11),0)))/100)/2</f>
        <v/>
      </c>
      <c r="M202">
        <f>L202*(1+(Inputs!$B$10+((C225=TRUE)*(F225-Calc!F25))+B235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
        <f>L202*(1-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
        <f>(1-Summary!$B$11)*T202+Summary!$B$11*V202</f>
        <v/>
      </c>
      <c r="P202">
        <f>IF(B240=0,0,O202/B240)</f>
        <v/>
      </c>
      <c r="Q202" t="n">
        <v>0</v>
      </c>
      <c r="R202" t="n">
        <v>0</v>
      </c>
      <c r="S202">
        <f>IFERROR(O202/N202,0)</f>
        <v/>
      </c>
      <c r="T202">
        <f>IF(C202,(Skills!G2*N202*B234)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
        <f>MAX(0,(Inputs!$B$3-100)*3)+Inputs!$B$28+Inputs!$B$29</f>
        <v/>
      </c>
      <c r="V202">
        <f>IF(C202,(Skills!G2*N202*B234)*IF(Inputs!$B$38="pvp",1,(1+(Inputs!$B$21+Skills!Q2+(IF(ArtifactsInput!$M$33,CHOOSE(ArtifactsInput!$N$33+1,30,36,42,48,54,60),0))+(IF(AND(ArtifactsInput!$M$35,Inputs!$B$4&lt;&gt;"Chapter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
      <c r="A203">
        <f>Skills!A3</f>
        <v/>
      </c>
      <c r="B203">
        <f>Skills!B3</f>
        <v/>
      </c>
      <c r="C203">
        <f>Inputs!$B$3&gt;=35</f>
        <v/>
      </c>
      <c r="D203">
        <f>IF(Skills!C3=1,60+Inputs!$B$25+Inputs!$B$29,IF(Skills!C3=2,90+Inputs!$B$26+Inputs!$B$29,IF(Skills!C3=3,120+Inputs!$B$27+Inputs!$B$29,MAX(0,(Inputs!$B$3-100)*3)+Inputs!$B$28+Inputs!$B$29)))</f>
        <v/>
      </c>
      <c r="E203">
        <f>INDEX(FactorTable!$B$2:$Y$301, MATCH(ROUND(MIN(300,MAX(1,D203)),0), FactorTable!$A$2:$A$301,0), Skills!M3+1)</f>
        <v/>
      </c>
      <c r="F203">
        <f>IF(Skills!N3=TRUE,(Skills!L3/10)*(E203/1000),Skills!L3/10)+Skills!O3</f>
        <v/>
      </c>
      <c r="G203">
        <f>Skills!G3*IF(Skills!H3&gt;0,Skills!I3/Skills!H3,1)</f>
        <v/>
      </c>
      <c r="H203">
        <f>1-(1-Skills!J3/100)^Skills!K3</f>
        <v/>
      </c>
      <c r="I203" t="inlineStr">
        <is>
          <t>1</t>
        </is>
      </c>
      <c r="J203">
        <f>((Inputs!$B$6*(1+Inputs!$B$7/100))+(((Inputs!$B$12*(1+Inputs!$B$13/100))-(Inputs!$B$12*(1+Inputs!$B$13/100)))+0.25*(Inputs!$B$14-Inputs!$B$14))*(1+Inputs!$B$7/100))*(F203/100)</f>
        <v/>
      </c>
      <c r="K203">
        <f>J203*(1+((Inputs!$B$12*(1+Inputs!$B$13/100))*0.01+Inputs!$B$14*0.0025)/100)*(1+(Inputs!$B$15+1)/100)*(1+Inputs!$B$16/100)*(5000/(6000+Inputs!$B$42*(1-(100*(1-(1-(Inputs!$B$19+0)/100)*(1-CHOOSE(ArtifactsInput!$N$40+1,5,6,7,8,9,10)/100)^(ArtifactsInput!$M$40-ArtifactsInput!$M$40)))/100)))*(1+(Inputs!$B$24+((C226=TRUE)*(F226-Calc!F26))+B236)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215=TRUE,F215,0)/100)*(1+(IF(Skills!A3="EIGHT_LEGS_EASTON",Inputs!$B$17+((C223=TRUE)*(F223-Calc!F23))+((C227=TRUE)*(F227-Calc!F27))+(((IF(AND(ArtifactsInput!$M$42,((Inputs!$B$9+((C219=TRUE)*(F219-Calc!F19))+B230+(ArtifactsInput!$M$24-ArtifactsInput!$M$24)*CHOOSE(ArtifactsInput!$N$24+1,10,12,14,16,18,20)+IF(ArtifactsInput!$M$10,CHOOSE(ArtifactsInput!$N$10+1,15,18,21,24,27,30)*(IF(Inputs!$B$38="pvp",MIN(15,15)/15,IF(AND(Inputs!$B$38&lt;&gt;"pvp",Inputs!$B$43&gt;0),MIN(15,Inputs!$B$43)/(Inputs!$B$43),0))),0)))&gt;=100),MIN(100,((Inputs!$B$9+((C219=TRUE)*(F219-Calc!F19))+B230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TRUE)*(F219-Calc!F19))+B230+(ArtifactsInput!$M$24-ArtifactsInput!$M$24)*CHOOSE(ArtifactsInput!$N$24+1,10,12,14,16,18,20)+IF(ArtifactsInput!$M$10,CHOOSE(ArtifactsInput!$N$10+1,15,18,21,24,27,30)*(IF(Inputs!$B$38="pvp",MIN(15,15)/15,IF(AND(Inputs!$B$38&lt;&gt;"pvp",Inputs!$B$43&gt;0),MIN(15,Inputs!$B$43)/(Inputs!$B$43),0))),0)))&gt;=100),CHOOSE(ArtifactsInput!$N$42+1,40,48,56,64,72,80),0))))/100)*((1+(((C217=TRUE)*F217)+((C224=TRUE)*(F224-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f>
        <v/>
      </c>
      <c r="L203">
        <f>K203*(MIN(Inputs!$B$22+((C222=TRUE)*(F222-Calc!F22)),(Inputs!$B$23+0+(IF(ArtifactsInput!$M$15,CHOOSE(ArtifactsInput!$N$15+1,25,30,35,40,45,50)/100*(Inputs!$B$11-Inputs!$B$11),0))))/100+(Inputs!$B$23+0+(IF(ArtifactsInput!$M$15,CHOOSE(ArtifactsInput!$N$15+1,25,30,35,40,45,50)/100*(Inputs!$B$11-Inputs!$B$11),0)))/100)/2</f>
        <v/>
      </c>
      <c r="M203">
        <f>L203*(1+(Inputs!$B$10+((C225=TRUE)*(F225-Calc!F25))+B235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
        <f>L203*(1-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
        <f>(1-Summary!$B$11)*T203+Summary!$B$11*V203</f>
        <v/>
      </c>
      <c r="P203">
        <f>IF(B240=0,0,O203/B240)</f>
        <v/>
      </c>
      <c r="Q203">
        <f>IFERROR(1/(IF(Inputs!$B$38="pvp",15,MAX(0.1,Skills!D3-IF(Skills!E3=TRUE,Inputs!$B$32,0)))*(1-IF(AND(ArtifactsInput!$M$27,Inputs!$B$4="Chapter Hunt"),CHOOSE(ArtifactsInput!$N$27+1,20,24,28,32,36,40),0)/100)),0)</f>
        <v/>
      </c>
      <c r="R203">
        <f>IF(AND(Inputs!$B$38&lt;&gt;"pvp",Inputs!$B$43&gt;0),IF(MAX(0,Inputs!$B$43-B237)&lt;=0,0,(INT(MAX(0,Inputs!$B$43-B237)/(IF(Inputs!$B$38="pvp",15,MAX(0.1,Skills!D3-IF(Skills!E3=TRUE,Inputs!$B$32,0)))*(1-IF(AND(ArtifactsInput!$M$27,Inputs!$B$4="Chapter Hunt"),CHOOSE(ArtifactsInput!$N$27+1,20,24,28,32,36,40),0)/100)))+1)),0)</f>
        <v/>
      </c>
      <c r="S203">
        <f>IFERROR(O203/N203,0)</f>
        <v/>
      </c>
      <c r="T203">
        <f>IF(C203,(H203*N203*IF(AND(Inputs!$B$38&lt;&gt;"pvp",Inputs!$B$43&gt;0),((Skills!G3*((R203-1)*IF(Skills!H3&gt;0,Skills!I3/Skills!H3,1)+IF(Skills!H3&gt;0,MIN(Skills!I3,MAX(0,MAX(0,Inputs!$B$43-B237)-((R203-1)*(IF(Inputs!$B$38="pvp",15,MAX(0.1,Skills!D3-IF(Skills!E3=TRUE,Inputs!$B$32,0)))*(1-IF(AND(ArtifactsInput!$M$27,Inputs!$B$4="Chapter Hunt"),CHOOSE(ArtifactsInput!$N$27+1,20,24,28,32,36,40),0)/100)))))/Skills!H3,1)))/Inputs!$B$43),G203*Q203)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
        <f>INDEX(FactorTable!$B$2:$Y$301, MATCH(ROUND(MIN(300,MAX(1,U202)),0), FactorTable!$A$2:$A$301,0), 22)</f>
        <v/>
      </c>
      <c r="V203">
        <f>IF(C203,(H203*N203*IF(AND(Inputs!$B$38&lt;&gt;"pvp",Inputs!$B$43&gt;0),((Skills!G3*((R203-1)*IF(Skills!H3&gt;0,Skills!I3/Skills!H3,1)+IF(Skills!H3&gt;0,MIN(Skills!I3,MAX(0,MAX(0,Inputs!$B$43-B237)-((R203-1)*(IF(Inputs!$B$38="pvp",15,MAX(0.1,Skills!D3-IF(Skills!E3=TRUE,Inputs!$B$32,0)))*(1-IF(AND(ArtifactsInput!$M$27,Inputs!$B$4="Chapter Hunt"),CHOOSE(ArtifactsInput!$N$27+1,20,24,28,32,36,40),0)/100)))))/Skills!H3,1)))/Inputs!$B$43),G203*Q203))*IF(Inputs!$B$38="pvp",1,(1+(Inputs!$B$21+Skills!Q3+(IF(ArtifactsInput!$M$33,CHOOSE(ArtifactsInput!$N$33+1,30,36,42,48,54,60)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
      <c r="A204">
        <f>Skills!A4</f>
        <v/>
      </c>
      <c r="B204">
        <f>Skills!B4</f>
        <v/>
      </c>
      <c r="C204">
        <f>Inputs!$B$3&gt;=40</f>
        <v/>
      </c>
      <c r="D204">
        <f>IF(Skills!C4=1,60+Inputs!$B$25+Inputs!$B$29,IF(Skills!C4=2,90+Inputs!$B$26+Inputs!$B$29,IF(Skills!C4=3,120+Inputs!$B$27+Inputs!$B$29,MAX(0,(Inputs!$B$3-100)*3)+Inputs!$B$28+Inputs!$B$29)))</f>
        <v/>
      </c>
      <c r="E204">
        <f>INDEX(FactorTable!$B$2:$Y$301, MATCH(ROUND(MIN(300,MAX(1,D204)),0), FactorTable!$A$2:$A$301,0), Skills!M4+1)</f>
        <v/>
      </c>
      <c r="F204">
        <f>IF(Skills!N4=TRUE,(Skills!L4/10)*(E204/1000),Skills!L4/10)+Skills!O4</f>
        <v/>
      </c>
      <c r="G204">
        <f>Skills!G4*IF(Skills!H4&gt;0,Skills!I4/Skills!H4,1)</f>
        <v/>
      </c>
      <c r="H204">
        <f>1-(1-Skills!J4/100)^Skills!K4</f>
        <v/>
      </c>
      <c r="I204" t="inlineStr">
        <is>
          <t>1</t>
        </is>
      </c>
      <c r="J204">
        <f>((Inputs!$B$6*(1+Inputs!$B$7/100))+(((Inputs!$B$12*(1+Inputs!$B$13/100))-(Inputs!$B$12*(1+Inputs!$B$13/100)))+0.25*(Inputs!$B$14-Inputs!$B$14))*(1+Inputs!$B$7/100))*(F204/100)</f>
        <v/>
      </c>
      <c r="K204">
        <f>J204*(1+((Inputs!$B$12*(1+Inputs!$B$13/100))*0.01+Inputs!$B$14*0.0025)/100)*(1+(Inputs!$B$15+1)/100)*(1+Inputs!$B$16/100)*(5000/(6000+Inputs!$B$42*(1-(100*(1-(1-(Inputs!$B$19+0)/100)*(1-CHOOSE(ArtifactsInput!$N$40+1,5,6,7,8,9,10)/100)^(ArtifactsInput!$M$40-ArtifactsInput!$M$40)))/100)))*(1+(Inputs!$B$24+((C226=TRUE)*(F226-Calc!F26))+B236)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216=TRUE,F216,0)/100)*(1+(IF(Skills!A4="EIGHT_LEGS_EASTON",Inputs!$B$17+((C223=TRUE)*(F223-Calc!F23))+((C227=TRUE)*(F227-Calc!F27))+(((IF(AND(ArtifactsInput!$M$42,((Inputs!$B$9+((C219=TRUE)*(F219-Calc!F19))+B230+(ArtifactsInput!$M$24-ArtifactsInput!$M$24)*CHOOSE(ArtifactsInput!$N$24+1,10,12,14,16,18,20)+IF(ArtifactsInput!$M$10,CHOOSE(ArtifactsInput!$N$10+1,15,18,21,24,27,30)*(IF(Inputs!$B$38="pvp",MIN(15,15)/15,IF(AND(Inputs!$B$38&lt;&gt;"pvp",Inputs!$B$43&gt;0),MIN(15,Inputs!$B$43)/(Inputs!$B$43),0))),0)))&gt;=100),MIN(100,((Inputs!$B$9+((C219=TRUE)*(F219-Calc!F19))+B230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TRUE)*(F219-Calc!F19))+B230+(ArtifactsInput!$M$24-ArtifactsInput!$M$24)*CHOOSE(ArtifactsInput!$N$24+1,10,12,14,16,18,20)+IF(ArtifactsInput!$M$10,CHOOSE(ArtifactsInput!$N$10+1,15,18,21,24,27,30)*(IF(Inputs!$B$38="pvp",MIN(15,15)/15,IF(AND(Inputs!$B$38&lt;&gt;"pvp",Inputs!$B$43&gt;0),MIN(15,Inputs!$B$43)/(Inputs!$B$43),0))),0)))&gt;=100),CHOOSE(ArtifactsInput!$N$42+1,40,48,56,64,72,80),0))))/100)*((1+(((C217=TRUE)*F217)+((C224=TRUE)*(F224-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f>
        <v/>
      </c>
      <c r="L204">
        <f>K204*(MIN(Inputs!$B$22+((C222=TRUE)*(F222-Calc!F22)),(Inputs!$B$23+0+(IF(ArtifactsInput!$M$15,CHOOSE(ArtifactsInput!$N$15+1,25,30,35,40,45,50)/100*(Inputs!$B$11-Inputs!$B$11),0))))/100+(Inputs!$B$23+0+(IF(ArtifactsInput!$M$15,CHOOSE(ArtifactsInput!$N$15+1,25,30,35,40,45,50)/100*(Inputs!$B$11-Inputs!$B$11),0)))/100)/2</f>
        <v/>
      </c>
      <c r="M204">
        <f>L204*(1+(Inputs!$B$10+((C225=TRUE)*(F225-Calc!F25))+B235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
        <f>L204*(1-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
        <f>(1-Summary!$B$11)*T204+Summary!$B$11*V204</f>
        <v/>
      </c>
      <c r="P204">
        <f>IF(B240=0,0,O204/B240)</f>
        <v/>
      </c>
      <c r="Q204">
        <f>IFERROR(1/(IF(Inputs!$B$38="pvp",15,MAX(0.1,Skills!D4-IF(Skills!E4=TRUE,Inputs!$B$32,0)))*(1-IF(AND(ArtifactsInput!$M$27,Inputs!$B$4="Chapter Hunt"),CHOOSE(ArtifactsInput!$N$27+1,20,24,28,32,36,40),0)/100)),0)</f>
        <v/>
      </c>
      <c r="R204">
        <f>IF(AND(Inputs!$B$38&lt;&gt;"pvp",Inputs!$B$43&gt;0),IF(MAX(0,Inputs!$B$43-B237)&lt;=0,0,(INT(MAX(0,Inputs!$B$43-B237)/(IF(Inputs!$B$38="pvp",15,MAX(0.1,Skills!D4-IF(Skills!E4=TRUE,Inputs!$B$32,0)))*(1-IF(AND(ArtifactsInput!$M$27,Inputs!$B$4="Chapter Hunt"),CHOOSE(ArtifactsInput!$N$27+1,20,24,28,32,36,40),0)/100)))+1)),0)</f>
        <v/>
      </c>
      <c r="S204">
        <f>IFERROR(O204/N204,0)</f>
        <v/>
      </c>
      <c r="T204">
        <f>IF(C204,(H204*N204*IF(AND(Inputs!$B$38&lt;&gt;"pvp",Inputs!$B$43&gt;0),((Skills!G4*((R204-1)*IF(Skills!H4&gt;0,Skills!I4/Skills!H4,1)+IF(Skills!H4&gt;0,MIN(Skills!I4,MAX(0,MAX(0,Inputs!$B$43-B237)-((R204-1)*(IF(Inputs!$B$38="pvp",15,MAX(0.1,Skills!D4-IF(Skills!E4=TRUE,Inputs!$B$32,0)))*(1-IF(AND(ArtifactsInput!$M$27,Inputs!$B$4="Chapter Hunt"),CHOOSE(ArtifactsInput!$N$27+1,20,24,28,32,36,40),0)/100)))))/Skills!H4,1)))/Inputs!$B$43),G204*Q204)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
        <f>290*U203/1000</f>
        <v/>
      </c>
      <c r="V204">
        <f>IF(C204,(H204*N204*IF(AND(Inputs!$B$38&lt;&gt;"pvp",Inputs!$B$43&gt;0),((Skills!G4*((R204-1)*IF(Skills!H4&gt;0,Skills!I4/Skills!H4,1)+IF(Skills!H4&gt;0,MIN(Skills!I4,MAX(0,MAX(0,Inputs!$B$43-B237)-((R204-1)*(IF(Inputs!$B$38="pvp",15,MAX(0.1,Skills!D4-IF(Skills!E4=TRUE,Inputs!$B$32,0)))*(1-IF(AND(ArtifactsInput!$M$27,Inputs!$B$4="Chapter Hunt"),CHOOSE(ArtifactsInput!$N$27+1,20,24,28,32,36,40),0)/100)))))/Skills!H4,1)))/Inputs!$B$43),G204*Q204))*IF(Inputs!$B$38="pvp",1,(1+(Inputs!$B$21+Skills!Q4+(IF(ArtifactsInput!$M$33,CHOOSE(ArtifactsInput!$N$33+1,30,36,42,48,54,60)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
      <c r="A205">
        <f>Skills!A5</f>
        <v/>
      </c>
      <c r="B205">
        <f>Skills!B5</f>
        <v/>
      </c>
      <c r="C205">
        <f>Inputs!$B$3&gt;=45</f>
        <v/>
      </c>
      <c r="D205">
        <f>IF(Skills!C5=1,60+Inputs!$B$25+Inputs!$B$29,IF(Skills!C5=2,90+Inputs!$B$26+Inputs!$B$29,IF(Skills!C5=3,120+Inputs!$B$27+Inputs!$B$29,MAX(0,(Inputs!$B$3-100)*3)+Inputs!$B$28+Inputs!$B$29)))</f>
        <v/>
      </c>
      <c r="E205">
        <f>INDEX(FactorTable!$B$2:$Y$301, MATCH(ROUND(MIN(300,MAX(1,D205)),0), FactorTable!$A$2:$A$301,0), Skills!M5+1)</f>
        <v/>
      </c>
      <c r="F205">
        <f>IF(Skills!N5=TRUE,(Skills!L5/10)*(E205/1000),Skills!L5/10)+Skills!O5</f>
        <v/>
      </c>
      <c r="G205">
        <f>Skills!G5*IF(Skills!H5&gt;0,Skills!I5/Skills!H5,1)</f>
        <v/>
      </c>
      <c r="H205">
        <f>1-(1-Skills!J5/100)^Skills!K5</f>
        <v/>
      </c>
      <c r="I205" t="inlineStr">
        <is>
          <t>1</t>
        </is>
      </c>
      <c r="J205">
        <f>((Inputs!$B$6*(1+Inputs!$B$7/100))+(((Inputs!$B$12*(1+Inputs!$B$13/100))-(Inputs!$B$12*(1+Inputs!$B$13/100)))+0.25*(Inputs!$B$14-Inputs!$B$14))*(1+Inputs!$B$7/100))*(F205/100)</f>
        <v/>
      </c>
      <c r="K205">
        <f>J205*(1+((Inputs!$B$12*(1+Inputs!$B$13/100))*0.01+Inputs!$B$14*0.0025)/100)*(1+(Inputs!$B$15+1)/100)*(1+Inputs!$B$16/100)*(5000/(6000+Inputs!$B$42*(1-(100*(1-(1-(Inputs!$B$19+0)/100)*(1-CHOOSE(ArtifactsInput!$N$40+1,5,6,7,8,9,10)/100)^(ArtifactsInput!$M$40-ArtifactsInput!$M$40)))/100)))*(1+(Inputs!$B$24+((C226=TRUE)*(F226-Calc!F26))+B236)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216=TRUE,F216,0)/100)*(1+(IF(Skills!A5="EIGHT_LEGS_EASTON",Inputs!$B$17+((C223=TRUE)*(F223-Calc!F23))+((C227=TRUE)*(F227-Calc!F27))+(((IF(AND(ArtifactsInput!$M$42,((Inputs!$B$9+((C219=TRUE)*(F219-Calc!F19))+B230+(ArtifactsInput!$M$24-ArtifactsInput!$M$24)*CHOOSE(ArtifactsInput!$N$24+1,10,12,14,16,18,20)+IF(ArtifactsInput!$M$10,CHOOSE(ArtifactsInput!$N$10+1,15,18,21,24,27,30)*(IF(Inputs!$B$38="pvp",MIN(15,15)/15,IF(AND(Inputs!$B$38&lt;&gt;"pvp",Inputs!$B$43&gt;0),MIN(15,Inputs!$B$43)/(Inputs!$B$43),0))),0)))&gt;=100),MIN(100,((Inputs!$B$9+((C219=TRUE)*(F219-Calc!F19))+B230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TRUE)*(F219-Calc!F19))+B230+(ArtifactsInput!$M$24-ArtifactsInput!$M$24)*CHOOSE(ArtifactsInput!$N$24+1,10,12,14,16,18,20)+IF(ArtifactsInput!$M$10,CHOOSE(ArtifactsInput!$N$10+1,15,18,21,24,27,30)*(IF(Inputs!$B$38="pvp",MIN(15,15)/15,IF(AND(Inputs!$B$38&lt;&gt;"pvp",Inputs!$B$43&gt;0),MIN(15,Inputs!$B$43)/(Inputs!$B$43),0))),0)))&gt;=100),CHOOSE(ArtifactsInput!$N$42+1,40,48,56,64,72,80),0))))/100)*((1+(((C217=TRUE)*F217)+((C224=TRUE)*(F224-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f>
        <v/>
      </c>
      <c r="L205">
        <f>K205*(MIN(Inputs!$B$22+((C222=TRUE)*(F222-Calc!F22)),(Inputs!$B$23+0+(IF(ArtifactsInput!$M$15,CHOOSE(ArtifactsInput!$N$15+1,25,30,35,40,45,50)/100*(Inputs!$B$11-Inputs!$B$11),0))))/100+(Inputs!$B$23+0+(IF(ArtifactsInput!$M$15,CHOOSE(ArtifactsInput!$N$15+1,25,30,35,40,45,50)/100*(Inputs!$B$11-Inputs!$B$11),0)))/100)/2</f>
        <v/>
      </c>
      <c r="M205">
        <f>L205*(1+(Inputs!$B$10+((C225=TRUE)*(F225-Calc!F25))+B235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
        <f>L205*(1-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
        <f>(1-Summary!$B$11)*T205+Summary!$B$11*V205</f>
        <v/>
      </c>
      <c r="P205">
        <f>IF(B240=0,0,O205/B240)</f>
        <v/>
      </c>
      <c r="Q205">
        <f>IFERROR(1/(IF(Inputs!$B$38="pvp",15,MAX(0.1,Skills!D5-IF(Skills!E5=TRUE,Inputs!$B$32,0)))*(1-IF(AND(ArtifactsInput!$M$27,Inputs!$B$4="Chapter Hunt"),CHOOSE(ArtifactsInput!$N$27+1,20,24,28,32,36,40),0)/100)),0)</f>
        <v/>
      </c>
      <c r="R205">
        <f>IF(AND(Inputs!$B$38&lt;&gt;"pvp",Inputs!$B$43&gt;0),IF(MAX(0,Inputs!$B$43-B237)&lt;=0,0,(INT(MAX(0,Inputs!$B$43-B237)/(IF(Inputs!$B$38="pvp",15,MAX(0.1,Skills!D5-IF(Skills!E5=TRUE,Inputs!$B$32,0)))*(1-IF(AND(ArtifactsInput!$M$27,Inputs!$B$4="Chapter Hunt"),CHOOSE(ArtifactsInput!$N$27+1,20,24,28,32,36,40),0)/100)))+1)),0)</f>
        <v/>
      </c>
      <c r="S205">
        <f>IFERROR(O205/N205,0)</f>
        <v/>
      </c>
      <c r="T205">
        <f>IF(C205,(H205*N205*IF(AND(Inputs!$B$38&lt;&gt;"pvp",Inputs!$B$43&gt;0),((Skills!G5*((R205-1)*IF(Skills!H5&gt;0,Skills!I5/Skills!H5,1)+IF(Skills!H5&gt;0,MIN(Skills!I5,MAX(0,MAX(0,Inputs!$B$43-B237)-((R205-1)*(IF(Inputs!$B$38="pvp",15,MAX(0.1,Skills!D5-IF(Skills!E5=TRUE,Inputs!$B$32,0)))*(1-IF(AND(ArtifactsInput!$M$27,Inputs!$B$4="Chapter Hunt"),CHOOSE(ArtifactsInput!$N$27+1,20,24,28,32,36,40),0)/100)))))/Skills!H5,1)))/Inputs!$B$43),G205*Q205)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
        <f>IF(C205,(H205*N205*IF(AND(Inputs!$B$38&lt;&gt;"pvp",Inputs!$B$43&gt;0),((Skills!G5*((R205-1)*IF(Skills!H5&gt;0,Skills!I5/Skills!H5,1)+IF(Skills!H5&gt;0,MIN(Skills!I5,MAX(0,MAX(0,Inputs!$B$43-B237)-((R205-1)*(IF(Inputs!$B$38="pvp",15,MAX(0.1,Skills!D5-IF(Skills!E5=TRUE,Inputs!$B$32,0)))*(1-IF(AND(ArtifactsInput!$M$27,Inputs!$B$4="Chapter Hunt"),CHOOSE(ArtifactsInput!$N$27+1,20,24,28,32,36,40),0)/100)))))/Skills!H5,1)))/Inputs!$B$43),G205*Q205))*IF(Inputs!$B$38="pvp",1,(1+(Inputs!$B$21+Skills!Q5+(IF(ArtifactsInput!$M$33,CHOOSE(ArtifactsInput!$N$33+1,30,36,42,48,54,60)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
      <c r="A206">
        <f>Skills!A6</f>
        <v/>
      </c>
      <c r="B206">
        <f>Skills!B6</f>
        <v/>
      </c>
      <c r="C206">
        <f>Inputs!$B$3&gt;=63</f>
        <v/>
      </c>
      <c r="D206">
        <f>IF(Skills!C6=1,60+Inputs!$B$25+Inputs!$B$29,IF(Skills!C6=2,90+Inputs!$B$26+Inputs!$B$29,IF(Skills!C6=3,120+Inputs!$B$27+Inputs!$B$29,MAX(0,(Inputs!$B$3-100)*3)+Inputs!$B$28+Inputs!$B$29)))</f>
        <v/>
      </c>
      <c r="E206">
        <f>INDEX(FactorTable!$B$2:$Y$301, MATCH(ROUND(MIN(300,MAX(1,D206)),0), FactorTable!$A$2:$A$301,0), Skills!M6+1)</f>
        <v/>
      </c>
      <c r="F206">
        <f>IF(Skills!N6=TRUE,(Skills!L6/10)*(E206/1000),Skills!L6/10)+Skills!O6</f>
        <v/>
      </c>
      <c r="G206">
        <f>Skills!G6*IF(Skills!H6&gt;0,Skills!I6/Skills!H6,1)</f>
        <v/>
      </c>
      <c r="H206">
        <f>1-(1-Skills!J6/100)^Skills!K6</f>
        <v/>
      </c>
      <c r="I206" t="inlineStr">
        <is>
          <t>1</t>
        </is>
      </c>
      <c r="J206">
        <f>((Inputs!$B$6*(1+Inputs!$B$7/100))+(((Inputs!$B$12*(1+Inputs!$B$13/100))-(Inputs!$B$12*(1+Inputs!$B$13/100)))+0.25*(Inputs!$B$14-Inputs!$B$14))*(1+Inputs!$B$7/100))*(F206/100)</f>
        <v/>
      </c>
      <c r="K206">
        <f>J206*(1+((Inputs!$B$12*(1+Inputs!$B$13/100))*0.01+Inputs!$B$14*0.0025)/100)*(1+(Inputs!$B$15+1)/100)*(1+Inputs!$B$16/100)*(5000/(6000+Inputs!$B$42*(1-(100*(1-(1-(Inputs!$B$19+0)/100)*(1-CHOOSE(ArtifactsInput!$N$40+1,5,6,7,8,9,10)/100)^(ArtifactsInput!$M$40-ArtifactsInput!$M$40)))/100)))*(1+(Inputs!$B$24+((C226=TRUE)*(F226-Calc!F26))+B236)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215=TRUE,F215,0)/100)*(1+(IF(Skills!A6="EIGHT_LEGS_EASTON",Inputs!$B$17+((C223=TRUE)*(F223-Calc!F23))+((C227=TRUE)*(F227-Calc!F27))+(((IF(AND(ArtifactsInput!$M$42,((Inputs!$B$9+((C219=TRUE)*(F219-Calc!F19))+B230+(ArtifactsInput!$M$24-ArtifactsInput!$M$24)*CHOOSE(ArtifactsInput!$N$24+1,10,12,14,16,18,20)+IF(ArtifactsInput!$M$10,CHOOSE(ArtifactsInput!$N$10+1,15,18,21,24,27,30)*(IF(Inputs!$B$38="pvp",MIN(15,15)/15,IF(AND(Inputs!$B$38&lt;&gt;"pvp",Inputs!$B$43&gt;0),MIN(15,Inputs!$B$43)/(Inputs!$B$43),0))),0)))&gt;=100),MIN(100,((Inputs!$B$9+((C219=TRUE)*(F219-Calc!F19))+B230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TRUE)*(F219-Calc!F19))+B230+(ArtifactsInput!$M$24-ArtifactsInput!$M$24)*CHOOSE(ArtifactsInput!$N$24+1,10,12,14,16,18,20)+IF(ArtifactsInput!$M$10,CHOOSE(ArtifactsInput!$N$10+1,15,18,21,24,27,30)*(IF(Inputs!$B$38="pvp",MIN(15,15)/15,IF(AND(Inputs!$B$38&lt;&gt;"pvp",Inputs!$B$43&gt;0),MIN(15,Inputs!$B$43)/(Inputs!$B$43),0))),0)))&gt;=100),CHOOSE(ArtifactsInput!$N$42+1,40,48,56,64,72,80),0))))/100)*((1+(((C217=TRUE)*F217)+((C224=TRUE)*(F224-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f>
        <v/>
      </c>
      <c r="L206">
        <f>K206*(MIN(Inputs!$B$22+((C222=TRUE)*(F222-Calc!F22)),(Inputs!$B$23+0+(IF(ArtifactsInput!$M$15,CHOOSE(ArtifactsInput!$N$15+1,25,30,35,40,45,50)/100*(Inputs!$B$11-Inputs!$B$11),0))))/100+(Inputs!$B$23+0+(IF(ArtifactsInput!$M$15,CHOOSE(ArtifactsInput!$N$15+1,25,30,35,40,45,50)/100*(Inputs!$B$11-Inputs!$B$11),0)))/100)/2</f>
        <v/>
      </c>
      <c r="M206">
        <f>L206*(1+(Inputs!$B$10+((C225=TRUE)*(F225-Calc!F25))+B235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
        <f>L206*(1-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
        <f>(1-Summary!$B$11)*T206+Summary!$B$11*V206</f>
        <v/>
      </c>
      <c r="P206">
        <f>IF(B240=0,0,O206/B240)</f>
        <v/>
      </c>
      <c r="Q206">
        <f>IFERROR(1/(IF(Inputs!$B$38="pvp",15,MAX(0.1,Skills!D6-IF(Skills!E6=TRUE,Inputs!$B$32,0)))*(1-IF(AND(ArtifactsInput!$M$27,Inputs!$B$4="Chapter Hunt"),CHOOSE(ArtifactsInput!$N$27+1,20,24,28,32,36,40),0)/100)),0)</f>
        <v/>
      </c>
      <c r="R206">
        <f>IF(AND(Inputs!$B$38&lt;&gt;"pvp",Inputs!$B$43&gt;0),IF(MAX(0,Inputs!$B$43-B237)&lt;=0,0,(INT(MAX(0,Inputs!$B$43-B237)/(IF(Inputs!$B$38="pvp",15,MAX(0.1,Skills!D6-IF(Skills!E6=TRUE,Inputs!$B$32,0)))*(1-IF(AND(ArtifactsInput!$M$27,Inputs!$B$4="Chapter Hunt"),CHOOSE(ArtifactsInput!$N$27+1,20,24,28,32,36,40),0)/100)))+1)),0)</f>
        <v/>
      </c>
      <c r="S206">
        <f>IFERROR(O206/N206,0)</f>
        <v/>
      </c>
      <c r="T206">
        <f>IF(C206,(H206*N206*IF(AND(Inputs!$B$38&lt;&gt;"pvp",Inputs!$B$43&gt;0),((Skills!G6*((R206-1)*IF(Skills!H6&gt;0,Skills!I6/Skills!H6,1)+IF(Skills!H6&gt;0,MIN(Skills!I6,MAX(0,MAX(0,Inputs!$B$43-B237)-((R206-1)*(IF(Inputs!$B$38="pvp",15,MAX(0.1,Skills!D6-IF(Skills!E6=TRUE,Inputs!$B$32,0)))*(1-IF(AND(ArtifactsInput!$M$27,Inputs!$B$4="Chapter Hunt"),CHOOSE(ArtifactsInput!$N$27+1,20,24,28,32,36,40),0)/100)))))/Skills!H6,1)))/Inputs!$B$43),G206*Q206)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
        <f>IF(C206,(H206*N206*IF(AND(Inputs!$B$38&lt;&gt;"pvp",Inputs!$B$43&gt;0),((Skills!G6*((R206-1)*IF(Skills!H6&gt;0,Skills!I6/Skills!H6,1)+IF(Skills!H6&gt;0,MIN(Skills!I6,MAX(0,MAX(0,Inputs!$B$43-B237)-((R206-1)*(IF(Inputs!$B$38="pvp",15,MAX(0.1,Skills!D6-IF(Skills!E6=TRUE,Inputs!$B$32,0)))*(1-IF(AND(ArtifactsInput!$M$27,Inputs!$B$4="Chapter Hunt"),CHOOSE(ArtifactsInput!$N$27+1,20,24,28,32,36,40),0)/100)))))/Skills!H6,1)))/Inputs!$B$43),G206*Q206))*IF(Inputs!$B$38="pvp",1,(1+(Inputs!$B$21+Skills!Q6+(IF(ArtifactsInput!$M$33,CHOOSE(ArtifactsInput!$N$33+1,30,36,42,48,54,60)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
      <c r="A207">
        <f>Skills!A7</f>
        <v/>
      </c>
      <c r="B207">
        <f>Skills!B7</f>
        <v/>
      </c>
      <c r="C207">
        <f>Inputs!$B$3&gt;=66</f>
        <v/>
      </c>
      <c r="D207">
        <f>IF(Skills!C7=1,60+Inputs!$B$25+Inputs!$B$29,IF(Skills!C7=2,90+Inputs!$B$26+Inputs!$B$29,IF(Skills!C7=3,120+Inputs!$B$27+Inputs!$B$29,MAX(0,(Inputs!$B$3-100)*3)+Inputs!$B$28+Inputs!$B$29)))</f>
        <v/>
      </c>
      <c r="E207">
        <f>INDEX(FactorTable!$B$2:$Y$301, MATCH(ROUND(MIN(300,MAX(1,D207)),0), FactorTable!$A$2:$A$301,0), Skills!M7+1)</f>
        <v/>
      </c>
      <c r="F207">
        <f>IF(Skills!N7=TRUE,(Skills!L7/10)*(E207/1000),Skills!L7/10)+Skills!O7</f>
        <v/>
      </c>
      <c r="G207">
        <f>Skills!G7*IF(Skills!H7&gt;0,Skills!I7/Skills!H7,1)</f>
        <v/>
      </c>
      <c r="H207">
        <f>1-(1-Skills!J7/100)^Skills!K7</f>
        <v/>
      </c>
      <c r="I207" t="inlineStr">
        <is>
          <t>1</t>
        </is>
      </c>
      <c r="J207">
        <f>((Inputs!$B$6*(1+Inputs!$B$7/100))+(((Inputs!$B$12*(1+Inputs!$B$13/100))-(Inputs!$B$12*(1+Inputs!$B$13/100)))+0.25*(Inputs!$B$14-Inputs!$B$14))*(1+Inputs!$B$7/100))*(F207/100)</f>
        <v/>
      </c>
      <c r="K207">
        <f>J207*(1+((Inputs!$B$12*(1+Inputs!$B$13/100))*0.01+Inputs!$B$14*0.0025)/100)*(1+(Inputs!$B$15+1)/100)*(1+Inputs!$B$16/100)*(5000/(6000+Inputs!$B$42*(1-(100*(1-(1-(Inputs!$B$19+0)/100)*(1-CHOOSE(ArtifactsInput!$N$40+1,5,6,7,8,9,10)/100)^(ArtifactsInput!$M$40-ArtifactsInput!$M$40)))/100)))*(1+(Inputs!$B$24+((C226=TRUE)*(F226-Calc!F26))+B236)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215=TRUE,F215,0)/100)*(1+(IF(Skills!A7="EIGHT_LEGS_EASTON",Inputs!$B$17+((C223=TRUE)*(F223-Calc!F23))+((C227=TRUE)*(F227-Calc!F27))+(((IF(AND(ArtifactsInput!$M$42,((Inputs!$B$9+((C219=TRUE)*(F219-Calc!F19))+B230+(ArtifactsInput!$M$24-ArtifactsInput!$M$24)*CHOOSE(ArtifactsInput!$N$24+1,10,12,14,16,18,20)+IF(ArtifactsInput!$M$10,CHOOSE(ArtifactsInput!$N$10+1,15,18,21,24,27,30)*(IF(Inputs!$B$38="pvp",MIN(15,15)/15,IF(AND(Inputs!$B$38&lt;&gt;"pvp",Inputs!$B$43&gt;0),MIN(15,Inputs!$B$43)/(Inputs!$B$43),0))),0)))&gt;=100),MIN(100,((Inputs!$B$9+((C219=TRUE)*(F219-Calc!F19))+B230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TRUE)*(F219-Calc!F19))+B230+(ArtifactsInput!$M$24-ArtifactsInput!$M$24)*CHOOSE(ArtifactsInput!$N$24+1,10,12,14,16,18,20)+IF(ArtifactsInput!$M$10,CHOOSE(ArtifactsInput!$N$10+1,15,18,21,24,27,30)*(IF(Inputs!$B$38="pvp",MIN(15,15)/15,IF(AND(Inputs!$B$38&lt;&gt;"pvp",Inputs!$B$43&gt;0),MIN(15,Inputs!$B$43)/(Inputs!$B$43),0))),0)))&gt;=100),CHOOSE(ArtifactsInput!$N$42+1,40,48,56,64,72,80),0))))/100)*((1+(((C217=TRUE)*F217)+((C224=TRUE)*(F224-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f>
        <v/>
      </c>
      <c r="L207">
        <f>K207*(MIN(Inputs!$B$22+((C222=TRUE)*(F222-Calc!F22)),(Inputs!$B$23+0+(IF(ArtifactsInput!$M$15,CHOOSE(ArtifactsInput!$N$15+1,25,30,35,40,45,50)/100*(Inputs!$B$11-Inputs!$B$11),0))))/100+(Inputs!$B$23+0+(IF(ArtifactsInput!$M$15,CHOOSE(ArtifactsInput!$N$15+1,25,30,35,40,45,50)/100*(Inputs!$B$11-Inputs!$B$11),0)))/100)/2</f>
        <v/>
      </c>
      <c r="M207">
        <f>L207*(1+(Inputs!$B$10+((C225=TRUE)*(F225-Calc!F25))+B235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
        <f>L207*(1-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
        <f>(1-Summary!$B$11)*T207+Summary!$B$11*V207</f>
        <v/>
      </c>
      <c r="P207">
        <f>IF(B240=0,0,O207/B240)</f>
        <v/>
      </c>
      <c r="Q207">
        <f>IFERROR(1/(IF(Inputs!$B$38="pvp",15,MAX(0.1,Skills!D7-IF(Skills!E7=TRUE,Inputs!$B$32,0)))*(1-IF(AND(ArtifactsInput!$M$27,Inputs!$B$4="Chapter Hunt"),CHOOSE(ArtifactsInput!$N$27+1,20,24,28,32,36,40),0)/100)),0)</f>
        <v/>
      </c>
      <c r="R207">
        <f>IF(AND(Inputs!$B$38&lt;&gt;"pvp",Inputs!$B$43&gt;0),IF(MAX(0,Inputs!$B$43-B237)&lt;=0,0,(INT(MAX(0,Inputs!$B$43-B237)/(IF(Inputs!$B$38="pvp",15,MAX(0.1,Skills!D7-IF(Skills!E7=TRUE,Inputs!$B$32,0)))*(1-IF(AND(ArtifactsInput!$M$27,Inputs!$B$4="Chapter Hunt"),CHOOSE(ArtifactsInput!$N$27+1,20,24,28,32,36,40),0)/100)))+1)),0)</f>
        <v/>
      </c>
      <c r="S207">
        <f>IFERROR(O207/N207,0)</f>
        <v/>
      </c>
      <c r="T207">
        <f>IF(C207,(H207*N207*IF(AND(Inputs!$B$38&lt;&gt;"pvp",Inputs!$B$43&gt;0),((Skills!G7*((R207-1)*IF(Skills!H7&gt;0,Skills!I7/Skills!H7,1)+IF(Skills!H7&gt;0,MIN(Skills!I7,MAX(0,MAX(0,Inputs!$B$43-B237)-((R207-1)*(IF(Inputs!$B$38="pvp",15,MAX(0.1,Skills!D7-IF(Skills!E7=TRUE,Inputs!$B$32,0)))*(1-IF(AND(ArtifactsInput!$M$27,Inputs!$B$4="Chapter Hunt"),CHOOSE(ArtifactsInput!$N$27+1,20,24,28,32,36,40),0)/100)))))/Skills!H7,1)))/Inputs!$B$43),G207*Q207)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
        <f>IF(C207,(H207*N207*IF(AND(Inputs!$B$38&lt;&gt;"pvp",Inputs!$B$43&gt;0),((Skills!G7*((R207-1)*IF(Skills!H7&gt;0,Skills!I7/Skills!H7,1)+IF(Skills!H7&gt;0,MIN(Skills!I7,MAX(0,MAX(0,Inputs!$B$43-B237)-((R207-1)*(IF(Inputs!$B$38="pvp",15,MAX(0.1,Skills!D7-IF(Skills!E7=TRUE,Inputs!$B$32,0)))*(1-IF(AND(ArtifactsInput!$M$27,Inputs!$B$4="Chapter Hunt"),CHOOSE(ArtifactsInput!$N$27+1,20,24,28,32,36,40),0)/100)))))/Skills!H7,1)))/Inputs!$B$43),G207*Q207))*IF(Inputs!$B$38="pvp",1,(1+(Inputs!$B$21+Skills!Q7+(IF(ArtifactsInput!$M$33,CHOOSE(ArtifactsInput!$N$33+1,30,36,42,48,54,60)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
      <c r="A208">
        <f>Skills!A8</f>
        <v/>
      </c>
      <c r="B208">
        <f>Skills!B8</f>
        <v/>
      </c>
      <c r="C208">
        <f>Inputs!$B$3&gt;=100</f>
        <v/>
      </c>
      <c r="D208">
        <f>IF(Skills!C8=1,60+Inputs!$B$25+Inputs!$B$29,IF(Skills!C8=2,90+Inputs!$B$26+Inputs!$B$29,IF(Skills!C8=3,120+Inputs!$B$27+Inputs!$B$29,MAX(0,(Inputs!$B$3-100)*3)+Inputs!$B$28+Inputs!$B$29)))</f>
        <v/>
      </c>
      <c r="E208">
        <f>INDEX(FactorTable!$B$2:$Y$301, MATCH(ROUND(MIN(300,MAX(1,D208)),0), FactorTable!$A$2:$A$301,0), Skills!M8+1)</f>
        <v/>
      </c>
      <c r="F208">
        <f>IF(Skills!N8=TRUE,(Skills!L8/10)*(E208/1000),Skills!L8/10)+Skills!O8</f>
        <v/>
      </c>
      <c r="G208">
        <f>Skills!G8*IF(Skills!H8&gt;0,Skills!I8/Skills!H8,1)</f>
        <v/>
      </c>
      <c r="H208">
        <f>1-(1-Skills!J8/100)^Skills!K8</f>
        <v/>
      </c>
      <c r="I208" t="inlineStr">
        <is>
          <t>1</t>
        </is>
      </c>
      <c r="J208">
        <f>((Inputs!$B$6*(1+Inputs!$B$7/100))+(((Inputs!$B$12*(1+Inputs!$B$13/100))-(Inputs!$B$12*(1+Inputs!$B$13/100)))+0.25*(Inputs!$B$14-Inputs!$B$14))*(1+Inputs!$B$7/100))*(F208/100)</f>
        <v/>
      </c>
      <c r="K208">
        <f>J208*(1+((Inputs!$B$12*(1+Inputs!$B$13/100))*0.01+Inputs!$B$14*0.0025)/100)*(1+(Inputs!$B$15+1)/100)*(1+Inputs!$B$16/100)*(5000/(6000+Inputs!$B$42*(1-(100*(1-(1-(Inputs!$B$19+0)/100)*(1-CHOOSE(ArtifactsInput!$N$40+1,5,6,7,8,9,10)/100)^(ArtifactsInput!$M$40-ArtifactsInput!$M$40)))/100)))*(1+(Inputs!$B$24+((C226=TRUE)*(F226-Calc!F26))+B236)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223=TRUE)*(F223-Calc!F23))+((C227=TRUE)*(F227-Calc!F27))+(((IF(AND(ArtifactsInput!$M$42,((Inputs!$B$9+((C219=TRUE)*(F219-Calc!F19))+B230+(ArtifactsInput!$M$24-ArtifactsInput!$M$24)*CHOOSE(ArtifactsInput!$N$24+1,10,12,14,16,18,20)+IF(ArtifactsInput!$M$10,CHOOSE(ArtifactsInput!$N$10+1,15,18,21,24,27,30)*(IF(Inputs!$B$38="pvp",MIN(15,15)/15,IF(AND(Inputs!$B$38&lt;&gt;"pvp",Inputs!$B$43&gt;0),MIN(15,Inputs!$B$43)/(Inputs!$B$43),0))),0)))&gt;=100),MIN(100,((Inputs!$B$9+((C219=TRUE)*(F219-Calc!F19))+B230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TRUE)*(F219-Calc!F19))+B230+(ArtifactsInput!$M$24-ArtifactsInput!$M$24)*CHOOSE(ArtifactsInput!$N$24+1,10,12,14,16,18,20)+IF(ArtifactsInput!$M$10,CHOOSE(ArtifactsInput!$N$10+1,15,18,21,24,27,30)*(IF(Inputs!$B$38="pvp",MIN(15,15)/15,IF(AND(Inputs!$B$38&lt;&gt;"pvp",Inputs!$B$43&gt;0),MIN(15,Inputs!$B$43)/(Inputs!$B$43),0))),0)))&gt;=100),CHOOSE(ArtifactsInput!$N$42+1,40,48,56,64,72,80),0))))/100)*((1+(((C217=TRUE)*F217)+((C224=TRUE)*(F224-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f>
        <v/>
      </c>
      <c r="L208">
        <f>K208*(MIN(Inputs!$B$22+((C222=TRUE)*(F222-Calc!F22)),(Inputs!$B$23+0+(IF(ArtifactsInput!$M$15,CHOOSE(ArtifactsInput!$N$15+1,25,30,35,40,45,50)/100*(Inputs!$B$11-Inputs!$B$11),0))))/100+(Inputs!$B$23+0+(IF(ArtifactsInput!$M$15,CHOOSE(ArtifactsInput!$N$15+1,25,30,35,40,45,50)/100*(Inputs!$B$11-Inputs!$B$11),0)))/100)/2</f>
        <v/>
      </c>
      <c r="M208">
        <f>L208*(1+(Inputs!$B$10+((C225=TRUE)*(F225-Calc!F25))+B235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
        <f>L208*(1-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
        <f>(1-Summary!$B$11)*T208+Summary!$B$11*V208</f>
        <v/>
      </c>
      <c r="P208">
        <f>IF(B240=0,0,O208/B240)</f>
        <v/>
      </c>
      <c r="Q208">
        <f>IFERROR(1/(IF(Inputs!$B$38="pvp",15,MAX(0.1,Skills!D8-IF(Skills!E8=TRUE,Inputs!$B$32,0)))*(1-IF(AND(ArtifactsInput!$M$27,Inputs!$B$4="Chapter Hunt"),CHOOSE(ArtifactsInput!$N$27+1,20,24,28,32,36,40),0)/100)),0)</f>
        <v/>
      </c>
      <c r="R208">
        <f>IF(AND(Inputs!$B$38&lt;&gt;"pvp",Inputs!$B$43&gt;0),IF(MAX(0,Inputs!$B$43-B237)&lt;=0,0,(INT(MAX(0,Inputs!$B$43-B237)/(IF(Inputs!$B$38="pvp",15,MAX(0.1,Skills!D8-IF(Skills!E8=TRUE,Inputs!$B$32,0)))*(1-IF(AND(ArtifactsInput!$M$27,Inputs!$B$4="Chapter Hunt"),CHOOSE(ArtifactsInput!$N$27+1,20,24,28,32,36,40),0)/100)))+1)),0)</f>
        <v/>
      </c>
      <c r="S208">
        <f>IFERROR(O208/N208,0)</f>
        <v/>
      </c>
      <c r="T208">
        <f>IF(C208,(H208*N208*IF(AND(Inputs!$B$38&lt;&gt;"pvp",Inputs!$B$43&gt;0),((Skills!G8*((R208-1)*IF(Skills!H8&gt;0,Skills!I8/Skills!H8,1)+IF(Skills!H8&gt;0,MIN(Skills!I8,MAX(0,MAX(0,Inputs!$B$43-B237)-((R208-1)*(IF(Inputs!$B$38="pvp",15,MAX(0.1,Skills!D8-IF(Skills!E8=TRUE,Inputs!$B$32,0)))*(1-IF(AND(ArtifactsInput!$M$27,Inputs!$B$4="Chapter Hunt"),CHOOSE(ArtifactsInput!$N$27+1,20,24,28,32,36,40),0)/100)))))/Skills!H8,1)))/Inputs!$B$43),G208*Q208)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8">
        <f>IF(C208,(H208*N208*IF(AND(Inputs!$B$38&lt;&gt;"pvp",Inputs!$B$43&gt;0),((Skills!G8*((R208-1)*IF(Skills!H8&gt;0,Skills!I8/Skills!H8,1)+IF(Skills!H8&gt;0,MIN(Skills!I8,MAX(0,MAX(0,Inputs!$B$43-B237)-((R208-1)*(IF(Inputs!$B$38="pvp",15,MAX(0.1,Skills!D8-IF(Skills!E8=TRUE,Inputs!$B$32,0)))*(1-IF(AND(ArtifactsInput!$M$27,Inputs!$B$4="Chapter Hunt"),CHOOSE(ArtifactsInput!$N$27+1,20,24,28,32,36,40),0)/100)))))/Skills!H8,1)))/Inputs!$B$43),G208*Q208))*IF(Inputs!$B$38="pvp",1,(1+(Inputs!$B$21+Skills!Q8+(IF(ArtifactsInput!$M$33,CHOOSE(ArtifactsInput!$N$33+1,30,36,42,48,54,60)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
      <c r="A209">
        <f>Skills!A9</f>
        <v/>
      </c>
      <c r="B209">
        <f>Skills!B9</f>
        <v/>
      </c>
      <c r="C209">
        <f>Inputs!$B$3&gt;=103</f>
        <v/>
      </c>
      <c r="D209">
        <f>IF(Skills!C9=1,60+Inputs!$B$25+Inputs!$B$29,IF(Skills!C9=2,90+Inputs!$B$26+Inputs!$B$29,IF(Skills!C9=3,120+Inputs!$B$27+Inputs!$B$29,MAX(0,(Inputs!$B$3-100)*3)+Inputs!$B$28+Inputs!$B$29)))</f>
        <v/>
      </c>
      <c r="E209">
        <f>INDEX(FactorTable!$B$2:$Y$301, MATCH(ROUND(MIN(300,MAX(1,D209)),0), FactorTable!$A$2:$A$301,0), Skills!M9+1)</f>
        <v/>
      </c>
      <c r="F209">
        <f>IF(Skills!N9=TRUE,(Skills!L9/10)*(E209/1000),Skills!L9/10)+Skills!O9</f>
        <v/>
      </c>
      <c r="G209">
        <f>Skills!G9*IF(Skills!H9&gt;0,Skills!I9/Skills!H9,1)</f>
        <v/>
      </c>
      <c r="H209">
        <f>1-(1-Skills!J9/100)^Skills!K9</f>
        <v/>
      </c>
      <c r="I209" t="inlineStr">
        <is>
          <t>1</t>
        </is>
      </c>
      <c r="J209">
        <f>((Inputs!$B$6*(1+Inputs!$B$7/100))+(((Inputs!$B$12*(1+Inputs!$B$13/100))-(Inputs!$B$12*(1+Inputs!$B$13/100)))+0.25*(Inputs!$B$14-Inputs!$B$14))*(1+Inputs!$B$7/100))*(F209/100)</f>
        <v/>
      </c>
      <c r="K209">
        <f>J209*(1+((Inputs!$B$12*(1+Inputs!$B$13/100))*0.01+Inputs!$B$14*0.0025)/100)*(1+(Inputs!$B$15+1)/100)*(1+Inputs!$B$16/100)*(5000/(6000+Inputs!$B$42*(1-(100*(1-(1-(Inputs!$B$19+0)/100)*(1-CHOOSE(ArtifactsInput!$N$40+1,5,6,7,8,9,10)/100)^(ArtifactsInput!$M$40-ArtifactsInput!$M$40)))/100)))*(1+(Inputs!$B$24+((C226=TRUE)*(F226-Calc!F26))+B236)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223=TRUE)*(F223-Calc!F23))+((C227=TRUE)*(F227-Calc!F27))+(((IF(AND(ArtifactsInput!$M$42,((Inputs!$B$9+((C219=TRUE)*(F219-Calc!F19))+B230+(ArtifactsInput!$M$24-ArtifactsInput!$M$24)*CHOOSE(ArtifactsInput!$N$24+1,10,12,14,16,18,20)+IF(ArtifactsInput!$M$10,CHOOSE(ArtifactsInput!$N$10+1,15,18,21,24,27,30)*(IF(Inputs!$B$38="pvp",MIN(15,15)/15,IF(AND(Inputs!$B$38&lt;&gt;"pvp",Inputs!$B$43&gt;0),MIN(15,Inputs!$B$43)/(Inputs!$B$43),0))),0)))&gt;=100),MIN(100,((Inputs!$B$9+((C219=TRUE)*(F219-Calc!F19))+B230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TRUE)*(F219-Calc!F19))+B230+(ArtifactsInput!$M$24-ArtifactsInput!$M$24)*CHOOSE(ArtifactsInput!$N$24+1,10,12,14,16,18,20)+IF(ArtifactsInput!$M$10,CHOOSE(ArtifactsInput!$N$10+1,15,18,21,24,27,30)*(IF(Inputs!$B$38="pvp",MIN(15,15)/15,IF(AND(Inputs!$B$38&lt;&gt;"pvp",Inputs!$B$43&gt;0),MIN(15,Inputs!$B$43)/(Inputs!$B$43),0))),0)))&gt;=100),CHOOSE(ArtifactsInput!$N$42+1,40,48,56,64,72,80),0))))/100)*((1+(((C217=TRUE)*F217)+((C224=TRUE)*(F224-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f>
        <v/>
      </c>
      <c r="L209">
        <f>K209*(MIN(Inputs!$B$22+((C222=TRUE)*(F222-Calc!F22)),(Inputs!$B$23+0+(IF(ArtifactsInput!$M$15,CHOOSE(ArtifactsInput!$N$15+1,25,30,35,40,45,50)/100*(Inputs!$B$11-Inputs!$B$11),0))))/100+(Inputs!$B$23+0+(IF(ArtifactsInput!$M$15,CHOOSE(ArtifactsInput!$N$15+1,25,30,35,40,45,50)/100*(Inputs!$B$11-Inputs!$B$11),0)))/100)/2</f>
        <v/>
      </c>
      <c r="M209">
        <f>L209*(1+(Inputs!$B$10+((C225=TRUE)*(F225-Calc!F25))+B235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
        <f>L209*(1-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
        <f>(1-Summary!$B$11)*T209+Summary!$B$11*V209</f>
        <v/>
      </c>
      <c r="P209">
        <f>IF(B240=0,0,O209/B240)</f>
        <v/>
      </c>
      <c r="Q209">
        <f>IFERROR(1/(IF(Inputs!$B$38="pvp",15,MAX(0.1,Skills!D9-IF(Skills!E9=TRUE,Inputs!$B$32,0)))*(1-IF(AND(ArtifactsInput!$M$27,Inputs!$B$4="Chapter Hunt"),CHOOSE(ArtifactsInput!$N$27+1,20,24,28,32,36,40),0)/100)),0)</f>
        <v/>
      </c>
      <c r="R209">
        <f>IF(AND(Inputs!$B$38&lt;&gt;"pvp",Inputs!$B$43&gt;0),IF(MAX(0,Inputs!$B$43-B237)&lt;=0,0,(INT(MAX(0,Inputs!$B$43-B237)/(IF(Inputs!$B$38="pvp",15,MAX(0.1,Skills!D9-IF(Skills!E9=TRUE,Inputs!$B$32,0)))*(1-IF(AND(ArtifactsInput!$M$27,Inputs!$B$4="Chapter Hunt"),CHOOSE(ArtifactsInput!$N$27+1,20,24,28,32,36,40),0)/100)))+1)),0)</f>
        <v/>
      </c>
      <c r="S209">
        <f>IFERROR(O209/N209,0)</f>
        <v/>
      </c>
      <c r="T209">
        <f>IF(C209,(H209*N209*IF(AND(Inputs!$B$38&lt;&gt;"pvp",Inputs!$B$43&gt;0),((Skills!G9*((R209-1)*IF(Skills!H9&gt;0,Skills!I9/Skills!H9,1)+IF(Skills!H9&gt;0,MIN(Skills!I9,MAX(0,MAX(0,Inputs!$B$43-B237)-((R209-1)*(IF(Inputs!$B$38="pvp",15,MAX(0.1,Skills!D9-IF(Skills!E9=TRUE,Inputs!$B$32,0)))*(1-IF(AND(ArtifactsInput!$M$27,Inputs!$B$4="Chapter Hunt"),CHOOSE(ArtifactsInput!$N$27+1,20,24,28,32,36,40),0)/100)))))/Skills!H9,1)))/Inputs!$B$43),G209*Q209)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
        <f>IF(C209,(H209*N209*IF(AND(Inputs!$B$38&lt;&gt;"pvp",Inputs!$B$43&gt;0),((Skills!G9*((R209-1)*IF(Skills!H9&gt;0,Skills!I9/Skills!H9,1)+IF(Skills!H9&gt;0,MIN(Skills!I9,MAX(0,MAX(0,Inputs!$B$43-B237)-((R209-1)*(IF(Inputs!$B$38="pvp",15,MAX(0.1,Skills!D9-IF(Skills!E9=TRUE,Inputs!$B$32,0)))*(1-IF(AND(ArtifactsInput!$M$27,Inputs!$B$4="Chapter Hunt"),CHOOSE(ArtifactsInput!$N$27+1,20,24,28,32,36,40),0)/100)))))/Skills!H9,1)))/Inputs!$B$43),G209*Q209))*IF(Inputs!$B$38="pvp",1,(1+(Inputs!$B$21+Skills!Q9+(IF(ArtifactsInput!$M$33,CHOOSE(ArtifactsInput!$N$33+1,30,36,42,48,54,60)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
      <c r="A210">
        <f>Skills!A10</f>
        <v/>
      </c>
      <c r="B210">
        <f>Skills!B10</f>
        <v/>
      </c>
      <c r="C210">
        <f>Inputs!$B$3&gt;=113</f>
        <v/>
      </c>
      <c r="D210">
        <f>IF(Skills!C10=1,60+Inputs!$B$25+Inputs!$B$29,IF(Skills!C10=2,90+Inputs!$B$26+Inputs!$B$29,IF(Skills!C10=3,120+Inputs!$B$27+Inputs!$B$29,MAX(0,(Inputs!$B$3-100)*3)+Inputs!$B$28+Inputs!$B$29)))</f>
        <v/>
      </c>
      <c r="E210">
        <f>INDEX(FactorTable!$B$2:$Y$301, MATCH(ROUND(MIN(300,MAX(1,D210)),0), FactorTable!$A$2:$A$301,0), Skills!M10+1)</f>
        <v/>
      </c>
      <c r="F210">
        <f>IF(Skills!N10=TRUE,(Skills!L10/10)*(E210/1000),Skills!L10/10)+Skills!O10</f>
        <v/>
      </c>
      <c r="G210">
        <f>Skills!G10*IF(Skills!H10&gt;0,Skills!I10/Skills!H10,1)</f>
        <v/>
      </c>
      <c r="H210">
        <f>1-(1-Skills!J10/100)^Skills!K10</f>
        <v/>
      </c>
      <c r="I210" t="inlineStr">
        <is>
          <t>1</t>
        </is>
      </c>
      <c r="J210">
        <f>((Inputs!$B$6*(1+Inputs!$B$7/100))+(((Inputs!$B$12*(1+Inputs!$B$13/100))-(Inputs!$B$12*(1+Inputs!$B$13/100)))+0.25*(Inputs!$B$14-Inputs!$B$14))*(1+Inputs!$B$7/100))*(F210/100)</f>
        <v/>
      </c>
      <c r="K210">
        <f>J210*(1+((Inputs!$B$12*(1+Inputs!$B$13/100))*0.01+Inputs!$B$14*0.0025)/100)*(1+(Inputs!$B$15+1)/100)*(1+Inputs!$B$16/100)*(5000/(6000+Inputs!$B$42*(1-(100*(1-(1-(Inputs!$B$19+0)/100)*(1-CHOOSE(ArtifactsInput!$N$40+1,5,6,7,8,9,10)/100)^(ArtifactsInput!$M$40-ArtifactsInput!$M$40)))/100)))*(1+(Inputs!$B$24+((C226=TRUE)*(F226-Calc!F26))+B236)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223=TRUE)*(F223-Calc!F23))+((C227=TRUE)*(F227-Calc!F27))+(((IF(AND(ArtifactsInput!$M$42,((Inputs!$B$9+((C219=TRUE)*(F219-Calc!F19))+B230+(ArtifactsInput!$M$24-ArtifactsInput!$M$24)*CHOOSE(ArtifactsInput!$N$24+1,10,12,14,16,18,20)+IF(ArtifactsInput!$M$10,CHOOSE(ArtifactsInput!$N$10+1,15,18,21,24,27,30)*(IF(Inputs!$B$38="pvp",MIN(15,15)/15,IF(AND(Inputs!$B$38&lt;&gt;"pvp",Inputs!$B$43&gt;0),MIN(15,Inputs!$B$43)/(Inputs!$B$43),0))),0)))&gt;=100),MIN(100,((Inputs!$B$9+((C219=TRUE)*(F219-Calc!F19))+B230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TRUE)*(F219-Calc!F19))+B230+(ArtifactsInput!$M$24-ArtifactsInput!$M$24)*CHOOSE(ArtifactsInput!$N$24+1,10,12,14,16,18,20)+IF(ArtifactsInput!$M$10,CHOOSE(ArtifactsInput!$N$10+1,15,18,21,24,27,30)*(IF(Inputs!$B$38="pvp",MIN(15,15)/15,IF(AND(Inputs!$B$38&lt;&gt;"pvp",Inputs!$B$43&gt;0),MIN(15,Inputs!$B$43)/(Inputs!$B$43),0))),0)))&gt;=100),CHOOSE(ArtifactsInput!$N$42+1,40,48,56,64,72,80),0))))/100)*((1+(((C217=TRUE)*F217)+((C224=TRUE)*(F224-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f>
        <v/>
      </c>
      <c r="L210">
        <f>K210*(MIN(Inputs!$B$22+((C222=TRUE)*(F222-Calc!F22)),(Inputs!$B$23+0+(IF(ArtifactsInput!$M$15,CHOOSE(ArtifactsInput!$N$15+1,25,30,35,40,45,50)/100*(Inputs!$B$11-Inputs!$B$11),0))))/100+(Inputs!$B$23+0+(IF(ArtifactsInput!$M$15,CHOOSE(ArtifactsInput!$N$15+1,25,30,35,40,45,50)/100*(Inputs!$B$11-Inputs!$B$11),0)))/100)/2</f>
        <v/>
      </c>
      <c r="M210">
        <f>L210*(1+(Inputs!$B$10+((C225=TRUE)*(F225-Calc!F25))+B235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
        <f>L210*(1-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
        <f>(1-Summary!$B$11)*T210+Summary!$B$11*V210</f>
        <v/>
      </c>
      <c r="P210">
        <f>IF(B240=0,0,O210/B240)</f>
        <v/>
      </c>
      <c r="Q210">
        <f>IFERROR(1/(IF(Inputs!$B$38="pvp",15,MAX(0.1,Skills!D10-IF(Skills!E10=TRUE,Inputs!$B$32,0)))*(1-IF(AND(ArtifactsInput!$M$27,Inputs!$B$4="Chapter Hunt"),CHOOSE(ArtifactsInput!$N$27+1,20,24,28,32,36,40),0)/100)),0)</f>
        <v/>
      </c>
      <c r="R210">
        <f>IF(AND(Inputs!$B$38&lt;&gt;"pvp",Inputs!$B$43&gt;0),IF(MAX(0,Inputs!$B$43-B237)&lt;=0,0,(INT(MAX(0,Inputs!$B$43-B237)/(IF(Inputs!$B$38="pvp",15,MAX(0.1,Skills!D10-IF(Skills!E10=TRUE,Inputs!$B$32,0)))*(1-IF(AND(ArtifactsInput!$M$27,Inputs!$B$4="Chapter Hunt"),CHOOSE(ArtifactsInput!$N$27+1,20,24,28,32,36,40),0)/100)))+1)),0)</f>
        <v/>
      </c>
      <c r="S210">
        <f>IFERROR(O210/N210,0)</f>
        <v/>
      </c>
      <c r="T210">
        <f>IF(C210,(H210*N210*IF(AND(Inputs!$B$38&lt;&gt;"pvp",Inputs!$B$43&gt;0),((Skills!G10*((R210-1)*IF(Skills!H10&gt;0,Skills!I10/Skills!H10,1)+IF(Skills!H10&gt;0,MIN(Skills!I10,MAX(0,MAX(0,Inputs!$B$43-B237)-((R210-1)*(IF(Inputs!$B$38="pvp",15,MAX(0.1,Skills!D10-IF(Skills!E10=TRUE,Inputs!$B$32,0)))*(1-IF(AND(ArtifactsInput!$M$27,Inputs!$B$4="Chapter Hunt"),CHOOSE(ArtifactsInput!$N$27+1,20,24,28,32,36,40),0)/100)))))/Skills!H10,1)))/Inputs!$B$43),G210*Q210)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
        <f>IF(C210,(H210*N210*IF(AND(Inputs!$B$38&lt;&gt;"pvp",Inputs!$B$43&gt;0),((Skills!G10*((R210-1)*IF(Skills!H10&gt;0,Skills!I10/Skills!H10,1)+IF(Skills!H10&gt;0,MIN(Skills!I10,MAX(0,MAX(0,Inputs!$B$43-B237)-((R210-1)*(IF(Inputs!$B$38="pvp",15,MAX(0.1,Skills!D10-IF(Skills!E10=TRUE,Inputs!$B$32,0)))*(1-IF(AND(ArtifactsInput!$M$27,Inputs!$B$4="Chapter Hunt"),CHOOSE(ArtifactsInput!$N$27+1,20,24,28,32,36,40),0)/100)))))/Skills!H10,1)))/Inputs!$B$43),G210*Q210))*IF(Inputs!$B$38="pvp",1,(1+(Inputs!$B$21+Skills!Q10+(IF(ArtifactsInput!$M$33,CHOOSE(ArtifactsInput!$N$33+1,30,36,42,48,54,60)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
      <c r="A211">
        <f>Skills!A11</f>
        <v/>
      </c>
      <c r="B211">
        <f>Skills!B11</f>
        <v/>
      </c>
      <c r="C211">
        <f>Inputs!$B$3&gt;=107</f>
        <v/>
      </c>
      <c r="D211">
        <f>IF(Skills!C11=1,60+Inputs!$B$25+Inputs!$B$29,IF(Skills!C11=2,90+Inputs!$B$26+Inputs!$B$29,IF(Skills!C11=3,120+Inputs!$B$27+Inputs!$B$29,MAX(0,(Inputs!$B$3-100)*3)+Inputs!$B$28+Inputs!$B$29)))</f>
        <v/>
      </c>
      <c r="E211">
        <f>INDEX(FactorTable!$B$2:$Y$301, MATCH(ROUND(MIN(300,MAX(1,D211)),0), FactorTable!$A$2:$A$301,0), Skills!M11+1)</f>
        <v/>
      </c>
      <c r="F211">
        <f>IF(Skills!N11=TRUE,(Skills!L11/10)*(E211/1000),Skills!L11/10)+Skills!O11</f>
        <v/>
      </c>
      <c r="G211">
        <f>Skills!G11*IF(Skills!H11&gt;0,Skills!I11/Skills!H11,1)</f>
        <v/>
      </c>
      <c r="H211">
        <f>1-(1-Skills!J11/100)^Skills!K11</f>
        <v/>
      </c>
      <c r="I211" t="inlineStr">
        <is>
          <t>1</t>
        </is>
      </c>
      <c r="J211">
        <f>((Inputs!$B$6*(1+Inputs!$B$7/100))+(((Inputs!$B$12*(1+Inputs!$B$13/100))-(Inputs!$B$12*(1+Inputs!$B$13/100)))+0.25*(Inputs!$B$14-Inputs!$B$14))*(1+Inputs!$B$7/100))*(F211/100)</f>
        <v/>
      </c>
      <c r="K211">
        <f>J211*(1+((Inputs!$B$12*(1+Inputs!$B$13/100))*0.01+Inputs!$B$14*0.0025)/100)*(1+(Inputs!$B$15+1)/100)*(1+Inputs!$B$16/100)*(5000/(6000+Inputs!$B$42*(1-(100*(1-(1-(Inputs!$B$19+0)/100)*(1-CHOOSE(ArtifactsInput!$N$40+1,5,6,7,8,9,10)/100)^(ArtifactsInput!$M$40-ArtifactsInput!$M$40)))/100)))*(1+(Inputs!$B$24+((C226=TRUE)*(F226-Calc!F26))+B236)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223=TRUE)*(F223-Calc!F23))+((C227=TRUE)*(F227-Calc!F27))+(((IF(AND(ArtifactsInput!$M$42,((Inputs!$B$9+((C219=TRUE)*(F219-Calc!F19))+B230+(ArtifactsInput!$M$24-ArtifactsInput!$M$24)*CHOOSE(ArtifactsInput!$N$24+1,10,12,14,16,18,20)+IF(ArtifactsInput!$M$10,CHOOSE(ArtifactsInput!$N$10+1,15,18,21,24,27,30)*(IF(Inputs!$B$38="pvp",MIN(15,15)/15,IF(AND(Inputs!$B$38&lt;&gt;"pvp",Inputs!$B$43&gt;0),MIN(15,Inputs!$B$43)/(Inputs!$B$43),0))),0)))&gt;=100),MIN(100,((Inputs!$B$9+((C219=TRUE)*(F219-Calc!F19))+B230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TRUE)*(F219-Calc!F19))+B230+(ArtifactsInput!$M$24-ArtifactsInput!$M$24)*CHOOSE(ArtifactsInput!$N$24+1,10,12,14,16,18,20)+IF(ArtifactsInput!$M$10,CHOOSE(ArtifactsInput!$N$10+1,15,18,21,24,27,30)*(IF(Inputs!$B$38="pvp",MIN(15,15)/15,IF(AND(Inputs!$B$38&lt;&gt;"pvp",Inputs!$B$43&gt;0),MIN(15,Inputs!$B$43)/(Inputs!$B$43),0))),0)))&gt;=100),CHOOSE(ArtifactsInput!$N$42+1,40,48,56,64,72,80),0))))/100)*((1+(((C217=TRUE)*F217)+((C224=TRUE)*(F224-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f>
        <v/>
      </c>
      <c r="L211">
        <f>K211*(MIN(Inputs!$B$22+((C222=TRUE)*(F222-Calc!F22)),(Inputs!$B$23+0+(IF(ArtifactsInput!$M$15,CHOOSE(ArtifactsInput!$N$15+1,25,30,35,40,45,50)/100*(Inputs!$B$11-Inputs!$B$11),0))))/100+(Inputs!$B$23+0+(IF(ArtifactsInput!$M$15,CHOOSE(ArtifactsInput!$N$15+1,25,30,35,40,45,50)/100*(Inputs!$B$11-Inputs!$B$11),0)))/100)/2</f>
        <v/>
      </c>
      <c r="M211">
        <f>L211*(1+(Inputs!$B$10+((C225=TRUE)*(F225-Calc!F25))+B235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
        <f>L211*(1-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
        <f>(1-Summary!$B$11)*T211+Summary!$B$11*V211</f>
        <v/>
      </c>
      <c r="P211">
        <f>IF(B240=0,0,O211/B240)</f>
        <v/>
      </c>
      <c r="Q211">
        <f>IFERROR(1/(IF(Inputs!$B$38="pvp",15,MAX(0.1,Skills!D11-IF(Skills!E11=TRUE,Inputs!$B$32,0)))*(1-IF(AND(ArtifactsInput!$M$27,Inputs!$B$4="Chapter Hunt"),CHOOSE(ArtifactsInput!$N$27+1,20,24,28,32,36,40),0)/100)),0)</f>
        <v/>
      </c>
      <c r="R211">
        <f>IF(AND(Inputs!$B$38&lt;&gt;"pvp",Inputs!$B$43&gt;0),IF(MAX(0,Inputs!$B$43-B237)&lt;=0,0,(INT(MAX(0,Inputs!$B$43-B237)/(IF(Inputs!$B$38="pvp",15,MAX(0.1,Skills!D11-IF(Skills!E11=TRUE,Inputs!$B$32,0)))*(1-IF(AND(ArtifactsInput!$M$27,Inputs!$B$4="Chapter Hunt"),CHOOSE(ArtifactsInput!$N$27+1,20,24,28,32,36,40),0)/100)))+1)),0)</f>
        <v/>
      </c>
      <c r="S211">
        <f>IFERROR(O211/N211,0)</f>
        <v/>
      </c>
      <c r="T211">
        <f>IF(C211,(H211*N211*IF(AND(Inputs!$B$38&lt;&gt;"pvp",Inputs!$B$43&gt;0),((Skills!G11*((R211-1)*IF(Skills!H11&gt;0,Skills!I11/Skills!H11,1)+IF(Skills!H11&gt;0,MIN(Skills!I11,MAX(0,MAX(0,Inputs!$B$43-B237)-((R211-1)*(IF(Inputs!$B$38="pvp",15,MAX(0.1,Skills!D11-IF(Skills!E11=TRUE,Inputs!$B$32,0)))*(1-IF(AND(ArtifactsInput!$M$27,Inputs!$B$4="Chapter Hunt"),CHOOSE(ArtifactsInput!$N$27+1,20,24,28,32,36,40),0)/100)))))/Skills!H11,1)))/Inputs!$B$43),G211*Q211)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
        <f>IF(C211,(H211*N211*IF(AND(Inputs!$B$38&lt;&gt;"pvp",Inputs!$B$43&gt;0),((Skills!G11*((R211-1)*IF(Skills!H11&gt;0,Skills!I11/Skills!H11,1)+IF(Skills!H11&gt;0,MIN(Skills!I11,MAX(0,MAX(0,Inputs!$B$43-B237)-((R211-1)*(IF(Inputs!$B$38="pvp",15,MAX(0.1,Skills!D11-IF(Skills!E11=TRUE,Inputs!$B$32,0)))*(1-IF(AND(ArtifactsInput!$M$27,Inputs!$B$4="Chapter Hunt"),CHOOSE(ArtifactsInput!$N$27+1,20,24,28,32,36,40),0)/100)))))/Skills!H11,1)))/Inputs!$B$43),G211*Q211))*IF(Inputs!$B$38="pvp",1,(1+(Inputs!$B$21+Skills!Q11+(IF(ArtifactsInput!$M$33,CHOOSE(ArtifactsInput!$N$33+1,30,36,42,48,54,60)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
      <c r="A212">
        <f>Skills!A12</f>
        <v/>
      </c>
      <c r="B212">
        <f>Skills!B12</f>
        <v/>
      </c>
      <c r="C212">
        <f>Inputs!$B$3&gt;=110</f>
        <v/>
      </c>
      <c r="D212">
        <f>IF(Skills!C12=1,60+Inputs!$B$25+Inputs!$B$29,IF(Skills!C12=2,90+Inputs!$B$26+Inputs!$B$29,IF(Skills!C12=3,120+Inputs!$B$27+Inputs!$B$29,MAX(0,(Inputs!$B$3-100)*3)+Inputs!$B$28+Inputs!$B$29)))</f>
        <v/>
      </c>
      <c r="E212">
        <f>INDEX(FactorTable!$B$2:$Y$301, MATCH(ROUND(MIN(300,MAX(1,D212)),0), FactorTable!$A$2:$A$301,0), Skills!M12+1)</f>
        <v/>
      </c>
      <c r="F212">
        <f>IF(Skills!N12=TRUE,(Skills!L12/10)*(E212/1000),Skills!L12/10)+Skills!O12</f>
        <v/>
      </c>
      <c r="G212">
        <f>Skills!G12*IF(Skills!H12&gt;0,Skills!I12/Skills!H12,1)</f>
        <v/>
      </c>
      <c r="H212">
        <f>1-(1-Skills!J12/100)^Skills!K12</f>
        <v/>
      </c>
      <c r="I212" t="inlineStr">
        <is>
          <t>1</t>
        </is>
      </c>
      <c r="J212">
        <f>((Inputs!$B$6*(1+Inputs!$B$7/100))+(((Inputs!$B$12*(1+Inputs!$B$13/100))-(Inputs!$B$12*(1+Inputs!$B$13/100)))+0.25*(Inputs!$B$14-Inputs!$B$14))*(1+Inputs!$B$7/100))*(F212/100)</f>
        <v/>
      </c>
      <c r="K212">
        <f>J212*(1+((Inputs!$B$12*(1+Inputs!$B$13/100))*0.01+Inputs!$B$14*0.0025)/100)*(1+(Inputs!$B$15+1)/100)*(1+Inputs!$B$16/100)*(5000/(6000+Inputs!$B$42*(1-(100*(1-(1-(Inputs!$B$19+0)/100)*(1-CHOOSE(ArtifactsInput!$N$40+1,5,6,7,8,9,10)/100)^(ArtifactsInput!$M$40-ArtifactsInput!$M$40)))/100)))*(1+(Inputs!$B$24+((C226=TRUE)*(F226-Calc!F26))+B236)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223=TRUE)*(F223-Calc!F23))+((C227=TRUE)*(F227-Calc!F27))+(((IF(AND(ArtifactsInput!$M$42,((Inputs!$B$9+((C219=TRUE)*(F219-Calc!F19))+B230+(ArtifactsInput!$M$24-ArtifactsInput!$M$24)*CHOOSE(ArtifactsInput!$N$24+1,10,12,14,16,18,20)+IF(ArtifactsInput!$M$10,CHOOSE(ArtifactsInput!$N$10+1,15,18,21,24,27,30)*(IF(Inputs!$B$38="pvp",MIN(15,15)/15,IF(AND(Inputs!$B$38&lt;&gt;"pvp",Inputs!$B$43&gt;0),MIN(15,Inputs!$B$43)/(Inputs!$B$43),0))),0)))&gt;=100),MIN(100,((Inputs!$B$9+((C219=TRUE)*(F219-Calc!F19))+B230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TRUE)*(F219-Calc!F19))+B230+(ArtifactsInput!$M$24-ArtifactsInput!$M$24)*CHOOSE(ArtifactsInput!$N$24+1,10,12,14,16,18,20)+IF(ArtifactsInput!$M$10,CHOOSE(ArtifactsInput!$N$10+1,15,18,21,24,27,30)*(IF(Inputs!$B$38="pvp",MIN(15,15)/15,IF(AND(Inputs!$B$38&lt;&gt;"pvp",Inputs!$B$43&gt;0),MIN(15,Inputs!$B$43)/(Inputs!$B$43),0))),0)))&gt;=100),CHOOSE(ArtifactsInput!$N$42+1,40,48,56,64,72,80),0))))/100)*((1+(((C217=TRUE)*F217)+((C224=TRUE)*(F224-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f>
        <v/>
      </c>
      <c r="L212">
        <f>K212*(MIN(Inputs!$B$22+((C222=TRUE)*(F222-Calc!F22)),(Inputs!$B$23+0+(IF(ArtifactsInput!$M$15,CHOOSE(ArtifactsInput!$N$15+1,25,30,35,40,45,50)/100*(Inputs!$B$11-Inputs!$B$11),0))))/100+(Inputs!$B$23+0+(IF(ArtifactsInput!$M$15,CHOOSE(ArtifactsInput!$N$15+1,25,30,35,40,45,50)/100*(Inputs!$B$11-Inputs!$B$11),0)))/100)/2</f>
        <v/>
      </c>
      <c r="M212">
        <f>L212*(1+(Inputs!$B$10+((C225=TRUE)*(F225-Calc!F25))+B235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
        <f>L212*(1-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
        <f>(1-Summary!$B$11)*T212+Summary!$B$11*V212</f>
        <v/>
      </c>
      <c r="P212">
        <f>IF(B240=0,0,O212/B240)</f>
        <v/>
      </c>
      <c r="Q212">
        <f>IFERROR(1/(IF(Inputs!$B$38="pvp",15,MAX(0.1,Skills!D12-IF(Skills!E12=TRUE,Inputs!$B$32,0)))*(1-IF(AND(ArtifactsInput!$M$27,Inputs!$B$4="Chapter Hunt"),CHOOSE(ArtifactsInput!$N$27+1,20,24,28,32,36,40),0)/100)),0)</f>
        <v/>
      </c>
      <c r="R212">
        <f>IF(AND(Inputs!$B$38&lt;&gt;"pvp",Inputs!$B$43&gt;0),IF(MAX(0,Inputs!$B$43-B237)&lt;=0,0,(INT(MAX(0,Inputs!$B$43-B237)/(IF(Inputs!$B$38="pvp",15,MAX(0.1,Skills!D12-IF(Skills!E12=TRUE,Inputs!$B$32,0)))*(1-IF(AND(ArtifactsInput!$M$27,Inputs!$B$4="Chapter Hunt"),CHOOSE(ArtifactsInput!$N$27+1,20,24,28,32,36,40),0)/100)))+1)),0)</f>
        <v/>
      </c>
      <c r="S212">
        <f>IFERROR(O212/N212,0)</f>
        <v/>
      </c>
      <c r="T212">
        <f>IF(C212,(H212*N212*IF(AND(Inputs!$B$38&lt;&gt;"pvp",Inputs!$B$43&gt;0),((Skills!G12*((R212-1)*IF(Skills!H12&gt;0,Skills!I12/Skills!H12,1)+IF(Skills!H12&gt;0,MIN(Skills!I12,MAX(0,MAX(0,Inputs!$B$43-B237)-((R212-1)*(IF(Inputs!$B$38="pvp",15,MAX(0.1,Skills!D12-IF(Skills!E12=TRUE,Inputs!$B$32,0)))*(1-IF(AND(ArtifactsInput!$M$27,Inputs!$B$4="Chapter Hunt"),CHOOSE(ArtifactsInput!$N$27+1,20,24,28,32,36,40),0)/100)))))/Skills!H12,1)))/Inputs!$B$43),G212*Q212)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2">
        <f>IF(C212,(H212*N212*IF(AND(Inputs!$B$38&lt;&gt;"pvp",Inputs!$B$43&gt;0),((Skills!G12*((R212-1)*IF(Skills!H12&gt;0,Skills!I12/Skills!H12,1)+IF(Skills!H12&gt;0,MIN(Skills!I12,MAX(0,MAX(0,Inputs!$B$43-B237)-((R212-1)*(IF(Inputs!$B$38="pvp",15,MAX(0.1,Skills!D12-IF(Skills!E12=TRUE,Inputs!$B$32,0)))*(1-IF(AND(ArtifactsInput!$M$27,Inputs!$B$4="Chapter Hunt"),CHOOSE(ArtifactsInput!$N$27+1,20,24,28,32,36,40),0)/100)))))/Skills!H12,1)))/Inputs!$B$43),G212*Q212))*IF(Inputs!$B$38="pvp",1,(1+(Inputs!$B$21+Skills!Q12+(IF(ArtifactsInput!$M$33,CHOOSE(ArtifactsInput!$N$33+1,30,36,42,48,54,60)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
      <c r="A213">
        <f>Skills!A13</f>
        <v/>
      </c>
      <c r="B213">
        <f>Skills!B13</f>
        <v/>
      </c>
      <c r="C213">
        <f>Inputs!$B$3&gt;=110</f>
        <v/>
      </c>
      <c r="D213">
        <f>IF(Skills!C13=1,60+Inputs!$B$25+Inputs!$B$29,IF(Skills!C13=2,90+Inputs!$B$26+Inputs!$B$29,IF(Skills!C13=3,120+Inputs!$B$27+Inputs!$B$29,MAX(0,(Inputs!$B$3-100)*3)+Inputs!$B$28+Inputs!$B$29)))</f>
        <v/>
      </c>
      <c r="E213">
        <f>INDEX(FactorTable!$B$2:$Y$301, MATCH(ROUND(MIN(300,MAX(1,D213)),0), FactorTable!$A$2:$A$301,0), Skills!M13+1)</f>
        <v/>
      </c>
      <c r="F213">
        <f>IF(Skills!N13=TRUE,(Skills!L13/10)*(E213/1000),Skills!L13/10)+Skills!O13</f>
        <v/>
      </c>
      <c r="G213">
        <f>Skills!G13*IF(Skills!H13&gt;0,Skills!I13/Skills!H13,1)</f>
        <v/>
      </c>
      <c r="H213">
        <f>1-(1-Skills!J13/100)^Skills!K13</f>
        <v/>
      </c>
      <c r="I213" t="inlineStr">
        <is>
          <t>1</t>
        </is>
      </c>
      <c r="J213">
        <f>((Inputs!$B$6*(1+Inputs!$B$7/100))+(((Inputs!$B$12*(1+Inputs!$B$13/100))-(Inputs!$B$12*(1+Inputs!$B$13/100)))+0.25*(Inputs!$B$14-Inputs!$B$14))*(1+Inputs!$B$7/100))*(F213/100)</f>
        <v/>
      </c>
      <c r="K213">
        <f>J213*(1+((Inputs!$B$12*(1+Inputs!$B$13/100))*0.01+Inputs!$B$14*0.0025)/100)*(1+(Inputs!$B$15+1)/100)*(1+Inputs!$B$16/100)*(5000/(6000+Inputs!$B$42*(1-(100*(1-(1-(Inputs!$B$19+0)/100)*(1-CHOOSE(ArtifactsInput!$N$40+1,5,6,7,8,9,10)/100)^(ArtifactsInput!$M$40-ArtifactsInput!$M$40)))/100)))*(1+(Inputs!$B$24+((C226=TRUE)*(F226-Calc!F26))+B236)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223=TRUE)*(F223-Calc!F23))+((C227=TRUE)*(F227-Calc!F27))+(((IF(AND(ArtifactsInput!$M$42,((Inputs!$B$9+((C219=TRUE)*(F219-Calc!F19))+B230+(ArtifactsInput!$M$24-ArtifactsInput!$M$24)*CHOOSE(ArtifactsInput!$N$24+1,10,12,14,16,18,20)+IF(ArtifactsInput!$M$10,CHOOSE(ArtifactsInput!$N$10+1,15,18,21,24,27,30)*(IF(Inputs!$B$38="pvp",MIN(15,15)/15,IF(AND(Inputs!$B$38&lt;&gt;"pvp",Inputs!$B$43&gt;0),MIN(15,Inputs!$B$43)/(Inputs!$B$43),0))),0)))&gt;=100),MIN(100,((Inputs!$B$9+((C219=TRUE)*(F219-Calc!F19))+B230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TRUE)*(F219-Calc!F19))+B230+(ArtifactsInput!$M$24-ArtifactsInput!$M$24)*CHOOSE(ArtifactsInput!$N$24+1,10,12,14,16,18,20)+IF(ArtifactsInput!$M$10,CHOOSE(ArtifactsInput!$N$10+1,15,18,21,24,27,30)*(IF(Inputs!$B$38="pvp",MIN(15,15)/15,IF(AND(Inputs!$B$38&lt;&gt;"pvp",Inputs!$B$43&gt;0),MIN(15,Inputs!$B$43)/(Inputs!$B$43),0))),0)))&gt;=100),CHOOSE(ArtifactsInput!$N$42+1,40,48,56,64,72,80),0))))/100)*((1+(((C217=TRUE)*F217)+((C224=TRUE)*(F224-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f>
        <v/>
      </c>
      <c r="L213">
        <f>K213*(MIN(Inputs!$B$22+((C222=TRUE)*(F222-Calc!F22)),(Inputs!$B$23+0+(IF(ArtifactsInput!$M$15,CHOOSE(ArtifactsInput!$N$15+1,25,30,35,40,45,50)/100*(Inputs!$B$11-Inputs!$B$11),0))))/100+(Inputs!$B$23+0+(IF(ArtifactsInput!$M$15,CHOOSE(ArtifactsInput!$N$15+1,25,30,35,40,45,50)/100*(Inputs!$B$11-Inputs!$B$11),0)))/100)/2</f>
        <v/>
      </c>
      <c r="M213">
        <f>L213*(1+(Inputs!$B$10+((C225=TRUE)*(F225-Calc!F25))+B235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
        <f>L213*(1-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
        <f>(1-Summary!$B$11)*T213+Summary!$B$11*V213</f>
        <v/>
      </c>
      <c r="P213">
        <f>IF(B240=0,0,O213/B240)</f>
        <v/>
      </c>
      <c r="Q213">
        <f>IFERROR(1/(IF(Inputs!$B$38="pvp",15,MAX(0.1,Skills!D13-IF(Skills!E13=TRUE,Inputs!$B$32,0)))*(1-IF(AND(ArtifactsInput!$M$27,Inputs!$B$4="Chapter Hunt"),CHOOSE(ArtifactsInput!$N$27+1,20,24,28,32,36,40),0)/100)),0)</f>
        <v/>
      </c>
      <c r="R213">
        <f>IF(AND(Inputs!$B$38&lt;&gt;"pvp",Inputs!$B$43&gt;0),IF(MAX(0,Inputs!$B$43-B237)&lt;=0,0,(INT(MAX(0,Inputs!$B$43-B237)/(IF(Inputs!$B$38="pvp",15,MAX(0.1,Skills!D13-IF(Skills!E13=TRUE,Inputs!$B$32,0)))*(1-IF(AND(ArtifactsInput!$M$27,Inputs!$B$4="Chapter Hunt"),CHOOSE(ArtifactsInput!$N$27+1,20,24,28,32,36,40),0)/100)))+1)),0)</f>
        <v/>
      </c>
      <c r="S213">
        <f>IFERROR(O213/N213,0)</f>
        <v/>
      </c>
      <c r="T213">
        <f>IF(C213,(H213*N213*IF(AND(Inputs!$B$38&lt;&gt;"pvp",Inputs!$B$43&gt;0),((Skills!G13*((R213-1)*IF(Skills!H13&gt;0,Skills!I13/Skills!H13,1)+IF(Skills!H13&gt;0,MIN(Skills!I13,MAX(0,MAX(0,Inputs!$B$43-B237)-((R213-1)*(IF(Inputs!$B$38="pvp",15,MAX(0.1,Skills!D13-IF(Skills!E13=TRUE,Inputs!$B$32,0)))*(1-IF(AND(ArtifactsInput!$M$27,Inputs!$B$4="Chapter Hunt"),CHOOSE(ArtifactsInput!$N$27+1,20,24,28,32,36,40),0)/100)))))/Skills!H13,1)))/Inputs!$B$43),G213*Q213))*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
        <f>IF(C213,(H213*N213*IF(AND(Inputs!$B$38&lt;&gt;"pvp",Inputs!$B$43&gt;0),((Skills!G13*((R213-1)*IF(Skills!H13&gt;0,Skills!I13/Skills!H13,1)+IF(Skills!H13&gt;0,MIN(Skills!I13,MAX(0,MAX(0,Inputs!$B$43-B237)-((R213-1)*(IF(Inputs!$B$38="pvp",15,MAX(0.1,Skills!D13-IF(Skills!E13=TRUE,Inputs!$B$32,0)))*(1-IF(AND(ArtifactsInput!$M$27,Inputs!$B$4="Chapter Hunt"),CHOOSE(ArtifactsInput!$N$27+1,20,24,28,32,36,40),0)/100)))))/Skills!H13,1)))/Inputs!$B$43),G213*Q213))*IF(Inputs!$B$38="pvp",1,(1+(Inputs!$B$21+Skills!Q13+(IF(ArtifactsInput!$M$33,CHOOSE(ArtifactsInput!$N$33+1,30,36,42,48,54,60)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
      <c r="A214">
        <f>Skills!A14</f>
        <v/>
      </c>
      <c r="B214">
        <f>Skills!B14</f>
        <v/>
      </c>
      <c r="C214">
        <f>Inputs!$B$3&gt;=125</f>
        <v/>
      </c>
      <c r="D214">
        <f>IF(Skills!C14=1,60+Inputs!$B$25+Inputs!$B$29,IF(Skills!C14=2,90+Inputs!$B$26+Inputs!$B$29,IF(Skills!C14=3,120+Inputs!$B$27+Inputs!$B$29,MAX(0,(Inputs!$B$3-100)*3)+Inputs!$B$28+Inputs!$B$29)))</f>
        <v/>
      </c>
      <c r="E214">
        <f>INDEX(FactorTable!$B$2:$Y$301, MATCH(ROUND(MIN(300,MAX(1,D214)),0), FactorTable!$A$2:$A$301,0), Skills!M14+1)</f>
        <v/>
      </c>
      <c r="F214">
        <f>IF(Skills!N14=TRUE,(Skills!L14/10)*(E214/1000),Skills!L14/10)+Skills!O14</f>
        <v/>
      </c>
      <c r="G214">
        <f>Skills!G14*IF(Skills!H14&gt;0,Skills!I14/Skills!H14,1)</f>
        <v/>
      </c>
      <c r="H214">
        <f>1-(1-Skills!J14/100)^Skills!K14</f>
        <v/>
      </c>
      <c r="I214" t="inlineStr">
        <is>
          <t>1</t>
        </is>
      </c>
      <c r="J214">
        <f>((Inputs!$B$6*(1+Inputs!$B$7/100))+(((Inputs!$B$12*(1+Inputs!$B$13/100))-(Inputs!$B$12*(1+Inputs!$B$13/100)))+0.25*(Inputs!$B$14-Inputs!$B$14))*(1+Inputs!$B$7/100))*(F214/100)</f>
        <v/>
      </c>
      <c r="K214">
        <f>J214*(1+((Inputs!$B$12*(1+Inputs!$B$13/100))*0.01+Inputs!$B$14*0.0025)/100)*(1+(Inputs!$B$15+1)/100)*(1+Inputs!$B$16/100)*(5000/(6000+Inputs!$B$42*(1-(100*(1-(1-(Inputs!$B$19+0)/100)*(1-CHOOSE(ArtifactsInput!$N$40+1,5,6,7,8,9,10)/100)^(ArtifactsInput!$M$40-ArtifactsInput!$M$40)))/100)))*(1+(Inputs!$B$24+((C226=TRUE)*(F226-Calc!F26))+B236)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223=TRUE)*(F223-Calc!F23))+((C227=TRUE)*(F227-Calc!F27))+(((IF(AND(ArtifactsInput!$M$42,((Inputs!$B$9+((C219=TRUE)*(F219-Calc!F19))+B230+(ArtifactsInput!$M$24-ArtifactsInput!$M$24)*CHOOSE(ArtifactsInput!$N$24+1,10,12,14,16,18,20)+IF(ArtifactsInput!$M$10,CHOOSE(ArtifactsInput!$N$10+1,15,18,21,24,27,30)*(IF(Inputs!$B$38="pvp",MIN(15,15)/15,IF(AND(Inputs!$B$38&lt;&gt;"pvp",Inputs!$B$43&gt;0),MIN(15,Inputs!$B$43)/(Inputs!$B$43),0))),0)))&gt;=100),MIN(100,((Inputs!$B$9+((C219=TRUE)*(F219-Calc!F19))+B230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TRUE)*(F219-Calc!F19))+B230+(ArtifactsInput!$M$24-ArtifactsInput!$M$24)*CHOOSE(ArtifactsInput!$N$24+1,10,12,14,16,18,20)+IF(ArtifactsInput!$M$10,CHOOSE(ArtifactsInput!$N$10+1,15,18,21,24,27,30)*(IF(Inputs!$B$38="pvp",MIN(15,15)/15,IF(AND(Inputs!$B$38&lt;&gt;"pvp",Inputs!$B$43&gt;0),MIN(15,Inputs!$B$43)/(Inputs!$B$43),0))),0)))&gt;=100),CHOOSE(ArtifactsInput!$N$42+1,40,48,56,64,72,80),0))))/100)*((1+(((C217=TRUE)*F217)+((C224=TRUE)*(F224-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f>
        <v/>
      </c>
      <c r="L214">
        <f>K214*(MIN(Inputs!$B$22+((C222=TRUE)*(F222-Calc!F22)),(Inputs!$B$23+0+(IF(ArtifactsInput!$M$15,CHOOSE(ArtifactsInput!$N$15+1,25,30,35,40,45,50)/100*(Inputs!$B$11-Inputs!$B$11),0))))/100+(Inputs!$B$23+0+(IF(ArtifactsInput!$M$15,CHOOSE(ArtifactsInput!$N$15+1,25,30,35,40,45,50)/100*(Inputs!$B$11-Inputs!$B$11),0)))/100)/2</f>
        <v/>
      </c>
      <c r="M214">
        <f>L214*(1+(Inputs!$B$10+((C225=TRUE)*(F225-Calc!F25))+B235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
        <f>L214*(1-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
        <f>(1-Summary!$B$11)*T214+Summary!$B$11*V214</f>
        <v/>
      </c>
      <c r="P214">
        <f>IF(B240=0,0,O214/B240)</f>
        <v/>
      </c>
      <c r="Q214" t="n">
        <v>0</v>
      </c>
      <c r="R214" t="n">
        <v>0</v>
      </c>
      <c r="S214">
        <f>IFERROR(O214/N214,0)</f>
        <v/>
      </c>
      <c r="T214">
        <f>IF(C214,(H214*N214*(B234+IF(AND(Inputs!$B$38&lt;&gt;"pvp",Inputs!$B$43&gt;0),((Skills!G8*((R208-1)*IF(Skills!H8&gt;0,Skills!I8/Skills!H8,1)+IF(Skills!H8&gt;0,MIN(Skills!I8,MAX(0,MAX(0,Inputs!$B$43-B237)-((R208-1)*(IF(Inputs!$B$38="pvp",15,MAX(0.1,Skills!D8-IF(Skills!E8=TRUE,Inputs!$B$32,0)))*(1-IF(AND(ArtifactsInput!$M$27,Inputs!$B$4="Chapter Hunt"),CHOOSE(ArtifactsInput!$N$27+1,20,24,28,32,36,40),0)/100)))))/Skills!H8,1)))/Inputs!$B$43),G208*Q208)+IF(AND(Inputs!$B$38&lt;&gt;"pvp",Inputs!$B$43&gt;0),((Skills!G11*((R211-1)*IF(Skills!H11&gt;0,Skills!I11/Skills!H11,1)+IF(Skills!H11&gt;0,MIN(Skills!I11,MAX(0,MAX(0,Inputs!$B$43-B237)-((R211-1)*(IF(Inputs!$B$38="pvp",15,MAX(0.1,Skills!D11-IF(Skills!E11=TRUE,Inputs!$B$32,0)))*(1-IF(AND(ArtifactsInput!$M$27,Inputs!$B$4="Chapter Hunt"),CHOOSE(ArtifactsInput!$N$27+1,20,24,28,32,36,40),0)/100)))))/Skills!H11,1)))/Inputs!$B$43),G211*Q211)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
        <f>IF(C214,(H214*N214*(B234+IF(AND(Inputs!$B$38&lt;&gt;"pvp",Inputs!$B$43&gt;0),((Skills!G8*((R208-1)*IF(Skills!H8&gt;0,Skills!I8/Skills!H8,1)+IF(Skills!H8&gt;0,MIN(Skills!I8,MAX(0,MAX(0,Inputs!$B$43-B237)-((R208-1)*(IF(Inputs!$B$38="pvp",15,MAX(0.1,Skills!D8-IF(Skills!E8=TRUE,Inputs!$B$32,0)))*(1-IF(AND(ArtifactsInput!$M$27,Inputs!$B$4="Chapter Hunt"),CHOOSE(ArtifactsInput!$N$27+1,20,24,28,32,36,40),0)/100)))))/Skills!H8,1)))/Inputs!$B$43),G208*Q208)+IF(AND(Inputs!$B$38&lt;&gt;"pvp",Inputs!$B$43&gt;0),((Skills!G11*((R211-1)*IF(Skills!H11&gt;0,Skills!I11/Skills!H11,1)+IF(Skills!H11&gt;0,MIN(Skills!I11,MAX(0,MAX(0,Inputs!$B$43-B237)-((R211-1)*(IF(Inputs!$B$38="pvp",15,MAX(0.1,Skills!D11-IF(Skills!E11=TRUE,Inputs!$B$32,0)))*(1-IF(AND(ArtifactsInput!$M$27,Inputs!$B$4="Chapter Hunt"),CHOOSE(ArtifactsInput!$N$27+1,20,24,28,32,36,40),0)/100)))))/Skills!H11,1)))/Inputs!$B$43),G211*Q211)))*IF(Inputs!$B$38="pvp",1,(1+(Inputs!$B$21+Skills!Q14+(IF(ArtifactsInput!$M$33,CHOOSE(ArtifactsInput!$N$33+1,30,36,42,48,54,60)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
      <c r="A215">
        <f>Skills!A15</f>
        <v/>
      </c>
      <c r="B215">
        <f>Skills!B15</f>
        <v/>
      </c>
      <c r="C215">
        <f>Inputs!$B$3&gt;=100</f>
        <v/>
      </c>
      <c r="D215">
        <f>IF(Skills!C15=1,60+Inputs!$B$25+Inputs!$B$29,IF(Skills!C15=2,90+Inputs!$B$26+Inputs!$B$29,IF(Skills!C15=3,120+Inputs!$B$27+Inputs!$B$29,MAX(0,(Inputs!$B$3-100)*3)+Inputs!$B$28+Inputs!$B$29)))</f>
        <v/>
      </c>
      <c r="E215">
        <f>INDEX(FactorTable!$B$2:$Y$301, MATCH(ROUND(MIN(300,MAX(1,D215)),0), FactorTable!$A$2:$A$301,0), Skills!M15+1)</f>
        <v/>
      </c>
      <c r="F215">
        <f>IF(Skills!N15=TRUE,(Skills!L15/10)*(E215/1000),Skills!L15/10)+Skills!O15</f>
        <v/>
      </c>
      <c r="G215" t="inlineStr"/>
      <c r="H215" t="inlineStr"/>
      <c r="I215" t="inlineStr">
        <is>
          <t>1</t>
        </is>
      </c>
      <c r="J215" t="inlineStr"/>
      <c r="K215" t="inlineStr"/>
      <c r="L215" t="inlineStr"/>
      <c r="M215" t="inlineStr"/>
      <c r="N215" t="inlineStr"/>
      <c r="O215" t="inlineStr"/>
      <c r="P215" t="inlineStr"/>
      <c r="Q215" t="inlineStr"/>
      <c r="R215" t="inlineStr"/>
      <c r="S215" t="inlineStr"/>
    </row>
    <row r="216">
      <c r="A216">
        <f>Skills!A16</f>
        <v/>
      </c>
      <c r="B216">
        <f>Skills!B16</f>
        <v/>
      </c>
      <c r="C216">
        <f>Inputs!$B$3&gt;=120</f>
        <v/>
      </c>
      <c r="D216">
        <f>IF(Skills!C16=1,60+Inputs!$B$25+Inputs!$B$29,IF(Skills!C16=2,90+Inputs!$B$26+Inputs!$B$29,IF(Skills!C16=3,120+Inputs!$B$27+Inputs!$B$29,MAX(0,(Inputs!$B$3-100)*3)+Inputs!$B$28+Inputs!$B$29)))</f>
        <v/>
      </c>
      <c r="E216">
        <f>INDEX(FactorTable!$B$2:$Y$301, MATCH(ROUND(MIN(300,MAX(1,D216)),0), FactorTable!$A$2:$A$301,0), Skills!M16+1)</f>
        <v/>
      </c>
      <c r="F216">
        <f>IF(Skills!N16=TRUE,(Skills!L16/10)*(E216/1000),Skills!L16/10)+Skills!O16</f>
        <v/>
      </c>
      <c r="G216" t="inlineStr"/>
      <c r="H216" t="inlineStr"/>
      <c r="I216" t="inlineStr">
        <is>
          <t>1</t>
        </is>
      </c>
      <c r="J216" t="inlineStr"/>
      <c r="K216" t="inlineStr"/>
      <c r="L216" t="inlineStr"/>
      <c r="M216" t="inlineStr"/>
      <c r="N216" t="inlineStr"/>
      <c r="O216" t="inlineStr"/>
      <c r="P216" t="inlineStr"/>
      <c r="Q216" t="inlineStr"/>
      <c r="R216" t="inlineStr"/>
      <c r="S216" t="inlineStr"/>
    </row>
    <row r="217">
      <c r="A217">
        <f>Skills!A17</f>
        <v/>
      </c>
      <c r="B217">
        <f>Skills!B17</f>
        <v/>
      </c>
      <c r="C217">
        <f>Inputs!$B$3&gt;=66</f>
        <v/>
      </c>
      <c r="D217">
        <f>IF(Skills!C17=1,60+Inputs!$B$25+Inputs!$B$29,IF(Skills!C17=2,90+Inputs!$B$26+Inputs!$B$29,IF(Skills!C17=3,120+Inputs!$B$27+Inputs!$B$29,MAX(0,(Inputs!$B$3-100)*3)+Inputs!$B$28+Inputs!$B$29)))</f>
        <v/>
      </c>
      <c r="E217">
        <f>INDEX(FactorTable!$B$2:$Y$301, MATCH(ROUND(MIN(300,MAX(1,D217)),0), FactorTable!$A$2:$A$301,0), Skills!M17+1)</f>
        <v/>
      </c>
      <c r="F217">
        <f>IF(Skills!N17=TRUE,(Skills!L17/10)*(E217/1000),Skills!L17/10)+Skills!O17</f>
        <v/>
      </c>
      <c r="G217">
        <f>Skills!G17*IF(Skills!H17&gt;0,Skills!I17/Skills!H17,1)</f>
        <v/>
      </c>
      <c r="H217">
        <f>1-(1-Skills!J17/100)^Skills!K17</f>
        <v/>
      </c>
      <c r="I217" t="inlineStr">
        <is>
          <t>1</t>
        </is>
      </c>
      <c r="J217" t="inlineStr"/>
      <c r="K217" t="inlineStr"/>
      <c r="L217" t="inlineStr"/>
      <c r="M217" t="inlineStr"/>
      <c r="N217" t="inlineStr"/>
      <c r="O217">
        <f>(1-Summary!$B$11)*T217+Summary!$B$11*V217</f>
        <v/>
      </c>
      <c r="P217">
        <f>IF(B240=0,0,O217/B240)</f>
        <v/>
      </c>
      <c r="Q217" t="n">
        <v>0</v>
      </c>
      <c r="R217" t="n">
        <v>0</v>
      </c>
      <c r="S217">
        <f>IFERROR(O217/N217,0)</f>
        <v/>
      </c>
      <c r="T217" t="n">
        <v>0</v>
      </c>
      <c r="V217" t="n">
        <v>0</v>
      </c>
    </row>
    <row r="218">
      <c r="A218">
        <f>Skills!A18</f>
        <v/>
      </c>
      <c r="B218">
        <f>Skills!B18</f>
        <v/>
      </c>
      <c r="C218">
        <f>Inputs!$B$3&gt;=115</f>
        <v/>
      </c>
      <c r="D218">
        <f>IF(Skills!C18=1,60+Inputs!$B$25+Inputs!$B$29,IF(Skills!C18=2,90+Inputs!$B$26+Inputs!$B$29,IF(Skills!C18=3,120+Inputs!$B$27+Inputs!$B$29,MAX(0,(Inputs!$B$3-100)*3)+Inputs!$B$28+Inputs!$B$29)))</f>
        <v/>
      </c>
      <c r="E218">
        <f>INDEX(FactorTable!$B$2:$Y$301, MATCH(ROUND(MIN(300,MAX(1,D218)),0), FactorTable!$A$2:$A$301,0), Skills!M18+1)</f>
        <v/>
      </c>
      <c r="F218">
        <f>IF(Skills!N18=TRUE,(Skills!L18/10)*(E218/1000),Skills!L18/10)+Skills!O18</f>
        <v/>
      </c>
      <c r="G218">
        <f>Skills!G18*IF(Skills!H18&gt;0,Skills!I18/Skills!H18,1)</f>
        <v/>
      </c>
      <c r="H218">
        <f>1-(1-Skills!J18/100)^Skills!K18</f>
        <v/>
      </c>
      <c r="I218" t="inlineStr">
        <is>
          <t>1</t>
        </is>
      </c>
      <c r="J218" t="inlineStr"/>
      <c r="K218" t="inlineStr"/>
      <c r="L218" t="inlineStr"/>
      <c r="M218" t="inlineStr"/>
      <c r="N218" t="inlineStr"/>
      <c r="O218">
        <f>(1-Summary!$B$11)*T218+Summary!$B$11*V218</f>
        <v/>
      </c>
      <c r="P218">
        <f>IF(B240=0,0,O218/B240)</f>
        <v/>
      </c>
      <c r="Q218" t="n">
        <v>0</v>
      </c>
      <c r="R218" t="n">
        <v>0</v>
      </c>
      <c r="S218">
        <f>IFERROR(O218/N218,0)</f>
        <v/>
      </c>
      <c r="T218" t="n">
        <v>0</v>
      </c>
      <c r="V218" t="n">
        <v>0</v>
      </c>
    </row>
    <row r="219">
      <c r="A219">
        <f>Skills!A19</f>
        <v/>
      </c>
      <c r="B219">
        <f>Skills!B19</f>
        <v/>
      </c>
      <c r="C219">
        <f>Inputs!$B$3&gt;=15</f>
        <v/>
      </c>
      <c r="D219">
        <f>IF(Skills!C19=1,60+Inputs!$B$25+Inputs!$B$29,IF(Skills!C19=2,90+Inputs!$B$26+Inputs!$B$29,IF(Skills!C19=3,120+Inputs!$B$27+Inputs!$B$29,MAX(0,(Inputs!$B$3-100)*3)+Inputs!$B$28+Inputs!$B$29)))</f>
        <v/>
      </c>
      <c r="E219">
        <f>INDEX(FactorTable!$B$2:$Y$301, MATCH(ROUND(MIN(300,MAX(1,D219)),0), FactorTable!$A$2:$A$301,0), Skills!M19+1)</f>
        <v/>
      </c>
      <c r="F219">
        <f>IF(Skills!N19=TRUE,(Skills!L19/10)*(E219/1000),Skills!L19/10)+Skills!O19</f>
        <v/>
      </c>
      <c r="G219">
        <f>Skills!G19*IF(Skills!H19&gt;0,Skills!I19/Skills!H19,1)</f>
        <v/>
      </c>
      <c r="H219">
        <f>1-(1-Skills!J19/100)^Skills!K19</f>
        <v/>
      </c>
      <c r="I219" t="inlineStr">
        <is>
          <t>1</t>
        </is>
      </c>
      <c r="J219" t="inlineStr"/>
      <c r="K219" t="inlineStr"/>
      <c r="L219" t="inlineStr"/>
      <c r="M219" t="inlineStr"/>
      <c r="N219" t="inlineStr"/>
      <c r="O219">
        <f>(1-Summary!$B$11)*T219+Summary!$B$11*V219</f>
        <v/>
      </c>
      <c r="P219">
        <f>IF(B240=0,0,O219/B240)</f>
        <v/>
      </c>
      <c r="Q219" t="n">
        <v>0</v>
      </c>
      <c r="R219" t="n">
        <v>0</v>
      </c>
      <c r="S219">
        <f>IFERROR(O219/N219,0)</f>
        <v/>
      </c>
      <c r="T219" t="n">
        <v>0</v>
      </c>
      <c r="V219" t="n">
        <v>0</v>
      </c>
    </row>
    <row r="220">
      <c r="A220">
        <f>Skills!A20</f>
        <v/>
      </c>
      <c r="B220">
        <f>Skills!B20</f>
        <v/>
      </c>
      <c r="C220">
        <f>Inputs!$B$3&gt;=10</f>
        <v/>
      </c>
      <c r="D220">
        <f>IF(Skills!C20=1,60+Inputs!$B$25+Inputs!$B$29,IF(Skills!C20=2,90+Inputs!$B$26+Inputs!$B$29,IF(Skills!C20=3,120+Inputs!$B$27+Inputs!$B$29,MAX(0,(Inputs!$B$3-100)*3)+Inputs!$B$28+Inputs!$B$29)))</f>
        <v/>
      </c>
      <c r="E220">
        <f>INDEX(FactorTable!$B$2:$Y$301, MATCH(ROUND(MIN(300,MAX(1,D220)),0), FactorTable!$A$2:$A$301,0), Skills!M20+1)</f>
        <v/>
      </c>
      <c r="F220">
        <f>IF(Skills!N20=TRUE,(Skills!L20/10)*(E220/1000),Skills!L20/10)+Skills!O20</f>
        <v/>
      </c>
      <c r="G220">
        <f>Skills!G20*IF(Skills!H20&gt;0,Skills!I20/Skills!H20,1)</f>
        <v/>
      </c>
      <c r="H220">
        <f>1-(1-Skills!J20/100)^Skills!K20</f>
        <v/>
      </c>
      <c r="I220" t="inlineStr">
        <is>
          <t>1</t>
        </is>
      </c>
      <c r="J220" t="inlineStr"/>
      <c r="K220" t="inlineStr"/>
      <c r="L220" t="inlineStr"/>
      <c r="M220" t="inlineStr"/>
      <c r="N220" t="inlineStr"/>
      <c r="O220">
        <f>(1-Summary!$B$11)*T220+Summary!$B$11*V220</f>
        <v/>
      </c>
      <c r="P220">
        <f>IF(B240=0,0,O220/B240)</f>
        <v/>
      </c>
      <c r="Q220" t="n">
        <v>0</v>
      </c>
      <c r="R220" t="n">
        <v>0</v>
      </c>
      <c r="S220">
        <f>IFERROR(O220/N220,0)</f>
        <v/>
      </c>
      <c r="T220" t="n">
        <v>0</v>
      </c>
      <c r="V220" t="n">
        <v>0</v>
      </c>
    </row>
    <row r="221">
      <c r="A221">
        <f>Skills!A21</f>
        <v/>
      </c>
      <c r="B221">
        <f>Skills!B21</f>
        <v/>
      </c>
      <c r="C221">
        <f>Inputs!$B$3&gt;=33</f>
        <v/>
      </c>
      <c r="D221">
        <f>IF(Skills!C21=1,60+Inputs!$B$25+Inputs!$B$29,IF(Skills!C21=2,90+Inputs!$B$26+Inputs!$B$29,IF(Skills!C21=3,120+Inputs!$B$27+Inputs!$B$29,MAX(0,(Inputs!$B$3-100)*3)+Inputs!$B$28+Inputs!$B$29)))</f>
        <v/>
      </c>
      <c r="E221">
        <f>INDEX(FactorTable!$B$2:$Y$301, MATCH(ROUND(MIN(300,MAX(1,D221)),0), FactorTable!$A$2:$A$301,0), Skills!M21+1)</f>
        <v/>
      </c>
      <c r="F221">
        <f>IF(Skills!N21=TRUE,(Skills!L21/10)*(E221/1000),Skills!L21/10)+Skills!O21</f>
        <v/>
      </c>
      <c r="G221">
        <f>Skills!G21*IF(Skills!H21&gt;0,Skills!I21/Skills!H21,1)</f>
        <v/>
      </c>
      <c r="H221">
        <f>1-(1-Skills!J21/100)^Skills!K21</f>
        <v/>
      </c>
      <c r="I221" t="inlineStr">
        <is>
          <t>1</t>
        </is>
      </c>
      <c r="J221" t="inlineStr"/>
      <c r="K221" t="inlineStr"/>
      <c r="L221" t="inlineStr"/>
      <c r="M221" t="inlineStr"/>
      <c r="N221" t="inlineStr"/>
      <c r="O221">
        <f>(1-Summary!$B$11)*T221+Summary!$B$11*V221</f>
        <v/>
      </c>
      <c r="P221">
        <f>IF(B240=0,0,O221/B240)</f>
        <v/>
      </c>
      <c r="Q221" t="n">
        <v>0</v>
      </c>
      <c r="R221" t="n">
        <v>0</v>
      </c>
      <c r="S221">
        <f>IFERROR(O221/N221,0)</f>
        <v/>
      </c>
      <c r="T221" t="n">
        <v>0</v>
      </c>
      <c r="V221" t="n">
        <v>0</v>
      </c>
    </row>
    <row r="222">
      <c r="A222">
        <f>Skills!A22</f>
        <v/>
      </c>
      <c r="B222">
        <f>Skills!B22</f>
        <v/>
      </c>
      <c r="C222">
        <f>Inputs!$B$3&gt;=43</f>
        <v/>
      </c>
      <c r="D222">
        <f>IF(Skills!C22=1,60+Inputs!$B$25+Inputs!$B$29,IF(Skills!C22=2,90+Inputs!$B$26+Inputs!$B$29,IF(Skills!C22=3,120+Inputs!$B$27+Inputs!$B$29,MAX(0,(Inputs!$B$3-100)*3)+Inputs!$B$28+Inputs!$B$29)))</f>
        <v/>
      </c>
      <c r="E222">
        <f>INDEX(FactorTable!$B$2:$Y$301, MATCH(ROUND(MIN(300,MAX(1,D222)),0), FactorTable!$A$2:$A$301,0), Skills!M22+1)</f>
        <v/>
      </c>
      <c r="F222">
        <f>IF(Skills!N22=TRUE,(Skills!L22/10)*(E222/1000),Skills!L22/10)+Skills!O22</f>
        <v/>
      </c>
      <c r="G222">
        <f>Skills!G22*IF(Skills!H22&gt;0,Skills!I22/Skills!H22,1)</f>
        <v/>
      </c>
      <c r="H222">
        <f>1-(1-Skills!J22/100)^Skills!K22</f>
        <v/>
      </c>
      <c r="I222" t="inlineStr">
        <is>
          <t>1</t>
        </is>
      </c>
      <c r="J222" t="inlineStr"/>
      <c r="K222" t="inlineStr"/>
      <c r="L222" t="inlineStr"/>
      <c r="M222" t="inlineStr"/>
      <c r="N222" t="inlineStr"/>
      <c r="O222">
        <f>(1-Summary!$B$11)*T222+Summary!$B$11*V222</f>
        <v/>
      </c>
      <c r="P222">
        <f>IF(B240=0,0,O222/B240)</f>
        <v/>
      </c>
      <c r="Q222" t="n">
        <v>0</v>
      </c>
      <c r="R222" t="n">
        <v>0</v>
      </c>
      <c r="S222">
        <f>IFERROR(O222/N222,0)</f>
        <v/>
      </c>
      <c r="T222" t="n">
        <v>0</v>
      </c>
      <c r="V222" t="n">
        <v>0</v>
      </c>
    </row>
    <row r="223">
      <c r="A223">
        <f>Skills!A23</f>
        <v/>
      </c>
      <c r="B223">
        <f>Skills!B23</f>
        <v/>
      </c>
      <c r="C223">
        <f>Inputs!$B$3&gt;=38</f>
        <v/>
      </c>
      <c r="D223">
        <f>IF(Skills!C23=1,60+Inputs!$B$25+Inputs!$B$29,IF(Skills!C23=2,90+Inputs!$B$26+Inputs!$B$29,IF(Skills!C23=3,120+Inputs!$B$27+Inputs!$B$29,MAX(0,(Inputs!$B$3-100)*3)+Inputs!$B$28+Inputs!$B$29)))</f>
        <v/>
      </c>
      <c r="E223">
        <f>INDEX(FactorTable!$B$2:$Y$301, MATCH(ROUND(MIN(300,MAX(1,D223)),0), FactorTable!$A$2:$A$301,0), Skills!M23+1)</f>
        <v/>
      </c>
      <c r="F223">
        <f>IF(Skills!N23=TRUE,(Skills!L23/10)*(E223/1000),Skills!L23/10)+Skills!O23</f>
        <v/>
      </c>
      <c r="G223">
        <f>Skills!G23*IF(Skills!H23&gt;0,Skills!I23/Skills!H23,1)</f>
        <v/>
      </c>
      <c r="H223">
        <f>1-(1-Skills!J23/100)^Skills!K23</f>
        <v/>
      </c>
      <c r="I223" t="inlineStr">
        <is>
          <t>1</t>
        </is>
      </c>
      <c r="J223" t="inlineStr"/>
      <c r="K223" t="inlineStr"/>
      <c r="L223" t="inlineStr"/>
      <c r="M223" t="inlineStr"/>
      <c r="N223" t="inlineStr"/>
      <c r="O223">
        <f>(1-Summary!$B$11)*T223+Summary!$B$11*V223</f>
        <v/>
      </c>
      <c r="P223">
        <f>IF(B240=0,0,O223/B240)</f>
        <v/>
      </c>
      <c r="Q223" t="n">
        <v>0</v>
      </c>
      <c r="R223" t="n">
        <v>0</v>
      </c>
      <c r="S223">
        <f>IFERROR(O223/N223,0)</f>
        <v/>
      </c>
      <c r="T223" t="n">
        <v>0</v>
      </c>
      <c r="V223" t="n">
        <v>0</v>
      </c>
    </row>
    <row r="224">
      <c r="A224">
        <f>Skills!A24</f>
        <v/>
      </c>
      <c r="B224">
        <f>Skills!B24</f>
        <v/>
      </c>
      <c r="C224">
        <f>Inputs!$B$3&gt;=40</f>
        <v/>
      </c>
      <c r="D224">
        <f>IF(Skills!C24=1,60+Inputs!$B$25+Inputs!$B$29,IF(Skills!C24=2,90+Inputs!$B$26+Inputs!$B$29,IF(Skills!C24=3,120+Inputs!$B$27+Inputs!$B$29,MAX(0,(Inputs!$B$3-100)*3)+Inputs!$B$28+Inputs!$B$29)))</f>
        <v/>
      </c>
      <c r="E224">
        <f>INDEX(FactorTable!$B$2:$Y$301, MATCH(ROUND(MIN(300,MAX(1,D224)),0), FactorTable!$A$2:$A$301,0), Skills!M24+1)</f>
        <v/>
      </c>
      <c r="F224">
        <f>IF(Skills!N24=TRUE,(Skills!L24/10)*(E224/1000),Skills!L24/10)+Skills!O24</f>
        <v/>
      </c>
      <c r="G224">
        <f>Skills!G24*IF(Skills!H24&gt;0,Skills!I24/Skills!H24,1)</f>
        <v/>
      </c>
      <c r="H224">
        <f>1-(1-Skills!J24/100)^Skills!K24</f>
        <v/>
      </c>
      <c r="I224" t="inlineStr">
        <is>
          <t>1</t>
        </is>
      </c>
      <c r="J224" t="inlineStr"/>
      <c r="K224" t="inlineStr"/>
      <c r="L224" t="inlineStr"/>
      <c r="M224" t="inlineStr"/>
      <c r="N224" t="inlineStr"/>
      <c r="O224">
        <f>(1-Summary!$B$11)*T224+Summary!$B$11*V224</f>
        <v/>
      </c>
      <c r="P224">
        <f>IF(B240=0,0,O224/B240)</f>
        <v/>
      </c>
      <c r="Q224" t="n">
        <v>0</v>
      </c>
      <c r="R224" t="n">
        <v>0</v>
      </c>
      <c r="S224">
        <f>IFERROR(O224/N224,0)</f>
        <v/>
      </c>
      <c r="T224" t="n">
        <v>0</v>
      </c>
      <c r="V224" t="n">
        <v>0</v>
      </c>
    </row>
    <row r="225">
      <c r="A225">
        <f>Skills!A25</f>
        <v/>
      </c>
      <c r="B225">
        <f>Skills!B25</f>
        <v/>
      </c>
      <c r="C225">
        <f>Inputs!$B$3&gt;=72</f>
        <v/>
      </c>
      <c r="D225">
        <f>IF(Skills!C25=1,60+Inputs!$B$25+Inputs!$B$29,IF(Skills!C25=2,90+Inputs!$B$26+Inputs!$B$29,IF(Skills!C25=3,120+Inputs!$B$27+Inputs!$B$29,MAX(0,(Inputs!$B$3-100)*3)+Inputs!$B$28+Inputs!$B$29)))</f>
        <v/>
      </c>
      <c r="E225">
        <f>INDEX(FactorTable!$B$2:$Y$301, MATCH(ROUND(MIN(300,MAX(1,D225)),0), FactorTable!$A$2:$A$301,0), Skills!M25+1)</f>
        <v/>
      </c>
      <c r="F225">
        <f>IF(Skills!N25=TRUE,(Skills!L25/10)*(E225/1000),Skills!L25/10)+Skills!O25</f>
        <v/>
      </c>
      <c r="G225">
        <f>Skills!G25*IF(Skills!H25&gt;0,Skills!I25/Skills!H25,1)</f>
        <v/>
      </c>
      <c r="H225">
        <f>1-(1-Skills!J25/100)^Skills!K25</f>
        <v/>
      </c>
      <c r="I225" t="inlineStr">
        <is>
          <t>1</t>
        </is>
      </c>
      <c r="J225" t="inlineStr"/>
      <c r="K225" t="inlineStr"/>
      <c r="L225" t="inlineStr"/>
      <c r="M225" t="inlineStr"/>
      <c r="N225" t="inlineStr"/>
      <c r="O225">
        <f>(1-Summary!$B$11)*T225+Summary!$B$11*V225</f>
        <v/>
      </c>
      <c r="P225">
        <f>IF(B240=0,0,O225/B240)</f>
        <v/>
      </c>
      <c r="Q225" t="n">
        <v>0</v>
      </c>
      <c r="R225" t="n">
        <v>0</v>
      </c>
      <c r="S225">
        <f>IFERROR(O225/N225,0)</f>
        <v/>
      </c>
      <c r="T225" t="n">
        <v>0</v>
      </c>
      <c r="V225" t="n">
        <v>0</v>
      </c>
    </row>
    <row r="226">
      <c r="A226">
        <f>Skills!A26</f>
        <v/>
      </c>
      <c r="B226">
        <f>Skills!B26</f>
        <v/>
      </c>
      <c r="C226">
        <f>Inputs!$B$3&gt;=75</f>
        <v/>
      </c>
      <c r="D226">
        <f>IF(Skills!C26=1,60+Inputs!$B$25+Inputs!$B$29,IF(Skills!C26=2,90+Inputs!$B$26+Inputs!$B$29,IF(Skills!C26=3,120+Inputs!$B$27+Inputs!$B$29,MAX(0,(Inputs!$B$3-100)*3)+Inputs!$B$28+Inputs!$B$29)))</f>
        <v/>
      </c>
      <c r="E226">
        <f>INDEX(FactorTable!$B$2:$Y$301, MATCH(ROUND(MIN(300,MAX(1,D226)),0), FactorTable!$A$2:$A$301,0), Skills!M26+1)</f>
        <v/>
      </c>
      <c r="F226">
        <f>IF(Skills!N26=TRUE,(Skills!L26/10)*(E226/1000),Skills!L26/10)+Skills!O26</f>
        <v/>
      </c>
      <c r="G226">
        <f>Skills!G26*IF(Skills!H26&gt;0,Skills!I26/Skills!H26,1)</f>
        <v/>
      </c>
      <c r="H226">
        <f>1-(1-Skills!J26/100)^Skills!K26</f>
        <v/>
      </c>
      <c r="I226" t="inlineStr">
        <is>
          <t>1</t>
        </is>
      </c>
      <c r="J226" t="inlineStr"/>
      <c r="K226" t="inlineStr"/>
      <c r="L226" t="inlineStr"/>
      <c r="M226" t="inlineStr"/>
      <c r="N226" t="inlineStr"/>
      <c r="O226">
        <f>(1-Summary!$B$11)*T226+Summary!$B$11*V226</f>
        <v/>
      </c>
      <c r="P226">
        <f>IF(B240=0,0,O226/B240)</f>
        <v/>
      </c>
      <c r="Q226" t="n">
        <v>0</v>
      </c>
      <c r="R226" t="n">
        <v>0</v>
      </c>
      <c r="S226">
        <f>IFERROR(O226/N226,0)</f>
        <v/>
      </c>
      <c r="T226" t="n">
        <v>0</v>
      </c>
      <c r="V226" t="n">
        <v>0</v>
      </c>
    </row>
    <row r="227">
      <c r="A227">
        <f>Skills!A27</f>
        <v/>
      </c>
      <c r="B227">
        <f>Skills!B27</f>
        <v/>
      </c>
      <c r="C227">
        <f>Inputs!$B$3&gt;=117</f>
        <v/>
      </c>
      <c r="D227">
        <f>IF(Skills!C27=1,60+Inputs!$B$25+Inputs!$B$29,IF(Skills!C27=2,90+Inputs!$B$26+Inputs!$B$29,IF(Skills!C27=3,120+Inputs!$B$27+Inputs!$B$29,MAX(0,(Inputs!$B$3-100)*3)+Inputs!$B$28+Inputs!$B$29)))</f>
        <v/>
      </c>
      <c r="E227">
        <f>INDEX(FactorTable!$B$2:$Y$301, MATCH(ROUND(MIN(300,MAX(1,D227)),0), FactorTable!$A$2:$A$301,0), Skills!M27+1)</f>
        <v/>
      </c>
      <c r="F227">
        <f>IF(Skills!N27=TRUE,(Skills!L27/10)*(E227/1000),Skills!L27/10)+Skills!O27</f>
        <v/>
      </c>
      <c r="G227">
        <f>Skills!G27*IF(Skills!H27&gt;0,Skills!I27/Skills!H27,1)</f>
        <v/>
      </c>
      <c r="H227">
        <f>1-(1-Skills!J27/100)^Skills!K27</f>
        <v/>
      </c>
      <c r="I227" t="inlineStr">
        <is>
          <t>1</t>
        </is>
      </c>
      <c r="J227" t="inlineStr"/>
      <c r="K227" t="inlineStr"/>
      <c r="L227" t="inlineStr"/>
      <c r="M227" t="inlineStr"/>
      <c r="N227" t="inlineStr"/>
      <c r="O227">
        <f>(1-Summary!$B$11)*T227+Summary!$B$11*V227</f>
        <v/>
      </c>
      <c r="P227">
        <f>IF(B240=0,0,O227/B240)</f>
        <v/>
      </c>
      <c r="Q227" t="n">
        <v>0</v>
      </c>
      <c r="R227" t="n">
        <v>0</v>
      </c>
      <c r="S227">
        <f>IFERROR(O227/N227,0)</f>
        <v/>
      </c>
      <c r="T227" t="n">
        <v>0</v>
      </c>
      <c r="V227" t="n">
        <v>0</v>
      </c>
    </row>
    <row r="229">
      <c r="A229" t="inlineStr">
        <is>
          <t>Attack% Bucket Multiplier</t>
        </is>
      </c>
      <c r="B229">
        <f>(1+(((C217=TRUE)*F217)+((C224=TRUE)*(F224-Calc!F24))+(IF(ArtifactsInput!$M$21,CHOOSE(ArtifactsInput!$N$21+1,25,30,35,40,45,50)*(IF(OR(Inputs!$B$4="Chapter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0">
      <c r="A230" t="inlineStr">
        <is>
          <t>Global Crit Rate Bonus %</t>
        </is>
      </c>
      <c r="B230" t="n">
        <v>0</v>
      </c>
    </row>
    <row r="231">
      <c r="A231" t="inlineStr">
        <is>
          <t>Attack Speed Buff Bonus % (unused)</t>
        </is>
      </c>
      <c r="B231" t="n">
        <v>0</v>
      </c>
    </row>
    <row r="232">
      <c r="A232" t="inlineStr">
        <is>
          <t>Actions Per Second</t>
        </is>
      </c>
      <c r="B232">
        <f>1+MIN(150,150*(1-(1-(Inputs!$B$11+((C220=TRUE)*(F220-Calc!F20))+((C221=TRUE)*(F221-Calc!F21)))/150)*(1-B231/150)))/100</f>
        <v/>
      </c>
    </row>
    <row r="233">
      <c r="A233" t="inlineStr">
        <is>
          <t>Skill + Buff Cast Rate</t>
        </is>
      </c>
      <c r="B233">
        <f>IF(AND(Inputs!$B$38&lt;&gt;"pvp",Inputs!$B$43&gt;0),SUMPRODUCT((Skills!E2:E27=TRUE)*(C202:C227=TRUE)*R202:R227*Skills!F2:F27)/Inputs!$B$43,SUMPRODUCT((Skills!E2:E27=TRUE)*(C202:C227=TRUE)*Q202:Q227*Skills!F2:F27))</f>
        <v/>
      </c>
    </row>
    <row r="234">
      <c r="A234" t="inlineStr">
        <is>
          <t>Eight-Legs Easton Casts Per Second</t>
        </is>
      </c>
      <c r="B234">
        <f>MAX(0,B232-B233)</f>
        <v/>
      </c>
    </row>
    <row r="235">
      <c r="A235" t="inlineStr">
        <is>
          <t>Global Critical Damage Bonus % (unused)</t>
        </is>
      </c>
      <c r="B235" t="n">
        <v>0</v>
      </c>
    </row>
    <row r="236">
      <c r="A236" t="inlineStr">
        <is>
          <t>Global Final Damage Bonus % (Jolly Roger only)</t>
        </is>
      </c>
      <c r="B236">
        <f>((C218=TRUE)*F218)</f>
        <v/>
      </c>
    </row>
    <row r="237">
      <c r="A237" t="inlineStr">
        <is>
          <t>Buff-Casting Startup Delay (s, fixed-duration only)</t>
        </is>
      </c>
      <c r="B237">
        <f>IF(AND(Inputs!$B$38&lt;&gt;"pvp",Inputs!$B$43&gt;0),SUMPRODUCT((Skills!T2:T27&gt;0)*(Skills!E2:E27=TRUE)*(C202:C227=TRUE))/B232,0)</f>
        <v/>
      </c>
    </row>
    <row r="238">
      <c r="A238" t="inlineStr">
        <is>
          <t>Boss-Only Total DPS (this block's swept value)</t>
        </is>
      </c>
      <c r="B238">
        <f>SUM(T202:T227)</f>
        <v/>
      </c>
    </row>
    <row r="239">
      <c r="A239" t="inlineStr">
        <is>
          <t>Normal-Only Total DPS (this block's swept value)</t>
        </is>
      </c>
      <c r="B239">
        <f>SUM(V202:V227)</f>
        <v/>
      </c>
    </row>
    <row r="240">
      <c r="A240" s="6" t="inlineStr">
        <is>
          <t>TOTAL DPS</t>
        </is>
      </c>
      <c r="B240" s="6">
        <f>SUM(O202:O227)</f>
        <v/>
      </c>
    </row>
    <row r="243">
      <c r="A243" s="6" t="inlineStr">
        <is>
          <t>Stat: DAMAGE_AMP %</t>
        </is>
      </c>
    </row>
    <row r="244">
      <c r="A244" s="5" t="inlineStr">
        <is>
          <t>Key</t>
        </is>
      </c>
      <c r="B244" s="5" t="inlineStr">
        <is>
          <t>Name</t>
        </is>
      </c>
      <c r="C244" s="5" t="inlineStr">
        <is>
          <t>Unlocked</t>
        </is>
      </c>
      <c r="D244" s="5" t="inlineStr">
        <is>
          <t>InputLevel</t>
        </is>
      </c>
      <c r="E244" s="5" t="inlineStr">
        <is>
          <t>Factor</t>
        </is>
      </c>
      <c r="F244" s="5" t="inlineStr">
        <is>
          <t>CoefficientPercent</t>
        </is>
      </c>
      <c r="G244" s="5" t="inlineStr">
        <is>
          <t>EffectiveHits</t>
        </is>
      </c>
      <c r="H244" s="5" t="inlineStr">
        <is>
          <t>ProcProbability</t>
        </is>
      </c>
      <c r="I244" s="5" t="inlineStr">
        <is>
          <t>MapleHeroMultiplier</t>
        </is>
      </c>
      <c r="J244" s="5" t="inlineStr">
        <is>
          <t>BaseDamage</t>
        </is>
      </c>
      <c r="K244" s="5" t="inlineStr">
        <is>
          <t>BaseHitDamage</t>
        </is>
      </c>
      <c r="L244" s="5" t="inlineStr">
        <is>
          <t>NonCritAvg</t>
        </is>
      </c>
      <c r="M244" s="5" t="inlineStr">
        <is>
          <t>CritAvg</t>
        </is>
      </c>
      <c r="N244" s="5" t="inlineStr">
        <is>
          <t>ExpectedDamage(perHit)</t>
        </is>
      </c>
      <c r="O244" s="5" t="inlineStr">
        <is>
          <t>DPS</t>
        </is>
      </c>
      <c r="P244" s="5" t="inlineStr">
        <is>
          <t>% of Total</t>
        </is>
      </c>
      <c r="Q244" s="5" t="inlineStr">
        <is>
          <t>InvCooldown</t>
        </is>
      </c>
      <c r="R244" s="5" t="inlineStr">
        <is>
          <t>CastsInFight</t>
        </is>
      </c>
      <c r="S244" s="5" t="inlineStr">
        <is>
          <t>HitRate(perSec)</t>
        </is>
      </c>
      <c r="U244" t="inlineStr">
        <is>
          <t>helpers</t>
        </is>
      </c>
    </row>
    <row r="245">
      <c r="A245">
        <f>Skills!A2</f>
        <v/>
      </c>
      <c r="B245">
        <f>Skills!B2</f>
        <v/>
      </c>
      <c r="C245">
        <f>Inputs!$B$3&gt;=100</f>
        <v/>
      </c>
      <c r="D245" t="inlineStr"/>
      <c r="E245" t="inlineStr"/>
      <c r="F245">
        <f>U247+Skills!O2</f>
        <v/>
      </c>
      <c r="G245">
        <f>Skills!G2*IF(Skills!H2&gt;0,Skills!I2/Skills!H2,1)</f>
        <v/>
      </c>
      <c r="H245">
        <f>1-(1-Skills!J2/100)^Skills!K2</f>
        <v/>
      </c>
      <c r="I245" t="inlineStr">
        <is>
          <t>1</t>
        </is>
      </c>
      <c r="J245">
        <f>((Inputs!$B$6*(1+Inputs!$B$7/100))+(((Inputs!$B$12*(1+Inputs!$B$13/100))-(Inputs!$B$12*(1+Inputs!$B$13/100)))+0.25*(Inputs!$B$14-Inputs!$B$14))*(1+Inputs!$B$7/100))*(F245/100)</f>
        <v/>
      </c>
      <c r="K245">
        <f>J245*(1+((Inputs!$B$12*(1+Inputs!$B$13/100))*0.01+Inputs!$B$14*0.0025)/100)*(1+Inputs!$B$15/100)*(1+(Inputs!$B$16+1)/100)*(5000/(6000+Inputs!$B$42*(1-(100*(1-(1-(Inputs!$B$19+0)/100)*(1-CHOOSE(ArtifactsInput!$N$40+1,5,6,7,8,9,10)/100)^(ArtifactsInput!$M$40-ArtifactsInput!$M$40)))/100)))*(1+(Inputs!$B$24+((C269=TRUE)*(F269-Calc!F26))+B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266=TRUE)*(F266-Calc!F23))+((C270=TRUE)*(F270-Calc!F27))+(((IF(AND(ArtifactsInput!$M$42,((Inputs!$B$9+((C262=TRUE)*(F262-Calc!F19))+B273+(ArtifactsInput!$M$24-ArtifactsInput!$M$24)*CHOOSE(ArtifactsInput!$N$24+1,10,12,14,16,18,20)+IF(ArtifactsInput!$M$10,CHOOSE(ArtifactsInput!$N$10+1,15,18,21,24,27,30)*(IF(Inputs!$B$38="pvp",MIN(15,15)/15,IF(AND(Inputs!$B$38&lt;&gt;"pvp",Inputs!$B$43&gt;0),MIN(15,Inputs!$B$43)/(Inputs!$B$43),0))),0)))&gt;=100),MIN(100,((Inputs!$B$9+((C262=TRUE)*(F262-Calc!F19))+B273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TRUE)*(F262-Calc!F19))+B273+(ArtifactsInput!$M$24-ArtifactsInput!$M$24)*CHOOSE(ArtifactsInput!$N$24+1,10,12,14,16,18,20)+IF(ArtifactsInput!$M$10,CHOOSE(ArtifactsInput!$N$10+1,15,18,21,24,27,30)*(IF(Inputs!$B$38="pvp",MIN(15,15)/15,IF(AND(Inputs!$B$38&lt;&gt;"pvp",Inputs!$B$43&gt;0),MIN(15,Inputs!$B$43)/(Inputs!$B$43),0))),0)))&gt;=100),CHOOSE(ArtifactsInput!$N$42+1,40,48,56,64,72,80),0))))/100)*((1+(((C260=TRUE)*F260)+((C267=TRUE)*(F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f>
        <v/>
      </c>
      <c r="L245">
        <f>K245*(MIN(Inputs!$B$22+((C265=TRUE)*(F265-Calc!F22)),(Inputs!$B$23+0+(IF(ArtifactsInput!$M$15,CHOOSE(ArtifactsInput!$N$15+1,25,30,35,40,45,50)/100*(Inputs!$B$11-Inputs!$B$11),0))))/100+(Inputs!$B$23+0+(IF(ArtifactsInput!$M$15,CHOOSE(ArtifactsInput!$N$15+1,25,30,35,40,45,50)/100*(Inputs!$B$11-Inputs!$B$11),0)))/100)/2</f>
        <v/>
      </c>
      <c r="M245">
        <f>L245*(1+(Inputs!$B$10+((C268=TRUE)*(F268-Calc!F25))+B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
        <f>L245*(1-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
        <f>(1-Summary!$B$11)*T245+Summary!$B$11*V245</f>
        <v/>
      </c>
      <c r="P245">
        <f>IF(B283=0,0,O245/B283)</f>
        <v/>
      </c>
      <c r="Q245" t="n">
        <v>0</v>
      </c>
      <c r="R245" t="n">
        <v>0</v>
      </c>
      <c r="S245">
        <f>IFERROR(O245/N245,0)</f>
        <v/>
      </c>
      <c r="T245">
        <f>IF(C245,(Skills!G2*N245*B277)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
        <f>MAX(0,(Inputs!$B$3-100)*3)+Inputs!$B$28+Inputs!$B$29</f>
        <v/>
      </c>
      <c r="V245">
        <f>IF(C245,(Skills!G2*N245*B277)*IF(Inputs!$B$38="pvp",1,(1+(Inputs!$B$21+Skills!Q2+(IF(ArtifactsInput!$M$33,CHOOSE(ArtifactsInput!$N$33+1,30,36,42,48,54,60),0))+(IF(AND(ArtifactsInput!$M$35,Inputs!$B$4&lt;&gt;"Chapter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
      <c r="A246">
        <f>Skills!A3</f>
        <v/>
      </c>
      <c r="B246">
        <f>Skills!B3</f>
        <v/>
      </c>
      <c r="C246">
        <f>Inputs!$B$3&gt;=35</f>
        <v/>
      </c>
      <c r="D246">
        <f>IF(Skills!C3=1,60+Inputs!$B$25+Inputs!$B$29,IF(Skills!C3=2,90+Inputs!$B$26+Inputs!$B$29,IF(Skills!C3=3,120+Inputs!$B$27+Inputs!$B$29,MAX(0,(Inputs!$B$3-100)*3)+Inputs!$B$28+Inputs!$B$29)))</f>
        <v/>
      </c>
      <c r="E246">
        <f>INDEX(FactorTable!$B$2:$Y$301, MATCH(ROUND(MIN(300,MAX(1,D246)),0), FactorTable!$A$2:$A$301,0), Skills!M3+1)</f>
        <v/>
      </c>
      <c r="F246">
        <f>IF(Skills!N3=TRUE,(Skills!L3/10)*(E246/1000),Skills!L3/10)+Skills!O3</f>
        <v/>
      </c>
      <c r="G246">
        <f>Skills!G3*IF(Skills!H3&gt;0,Skills!I3/Skills!H3,1)</f>
        <v/>
      </c>
      <c r="H246">
        <f>1-(1-Skills!J3/100)^Skills!K3</f>
        <v/>
      </c>
      <c r="I246" t="inlineStr">
        <is>
          <t>1</t>
        </is>
      </c>
      <c r="J246">
        <f>((Inputs!$B$6*(1+Inputs!$B$7/100))+(((Inputs!$B$12*(1+Inputs!$B$13/100))-(Inputs!$B$12*(1+Inputs!$B$13/100)))+0.25*(Inputs!$B$14-Inputs!$B$14))*(1+Inputs!$B$7/100))*(F246/100)</f>
        <v/>
      </c>
      <c r="K246">
        <f>J246*(1+((Inputs!$B$12*(1+Inputs!$B$13/100))*0.01+Inputs!$B$14*0.0025)/100)*(1+Inputs!$B$15/100)*(1+(Inputs!$B$16+1)/100)*(5000/(6000+Inputs!$B$42*(1-(100*(1-(1-(Inputs!$B$19+0)/100)*(1-CHOOSE(ArtifactsInput!$N$40+1,5,6,7,8,9,10)/100)^(ArtifactsInput!$M$40-ArtifactsInput!$M$40)))/100)))*(1+(Inputs!$B$24+((C269=TRUE)*(F269-Calc!F26))+B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258=TRUE,F258,0)/100)*(1+(IF(Skills!A3="EIGHT_LEGS_EASTON",Inputs!$B$17+((C266=TRUE)*(F266-Calc!F23))+((C270=TRUE)*(F270-Calc!F27))+(((IF(AND(ArtifactsInput!$M$42,((Inputs!$B$9+((C262=TRUE)*(F262-Calc!F19))+B273+(ArtifactsInput!$M$24-ArtifactsInput!$M$24)*CHOOSE(ArtifactsInput!$N$24+1,10,12,14,16,18,20)+IF(ArtifactsInput!$M$10,CHOOSE(ArtifactsInput!$N$10+1,15,18,21,24,27,30)*(IF(Inputs!$B$38="pvp",MIN(15,15)/15,IF(AND(Inputs!$B$38&lt;&gt;"pvp",Inputs!$B$43&gt;0),MIN(15,Inputs!$B$43)/(Inputs!$B$43),0))),0)))&gt;=100),MIN(100,((Inputs!$B$9+((C262=TRUE)*(F262-Calc!F19))+B273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TRUE)*(F262-Calc!F19))+B273+(ArtifactsInput!$M$24-ArtifactsInput!$M$24)*CHOOSE(ArtifactsInput!$N$24+1,10,12,14,16,18,20)+IF(ArtifactsInput!$M$10,CHOOSE(ArtifactsInput!$N$10+1,15,18,21,24,27,30)*(IF(Inputs!$B$38="pvp",MIN(15,15)/15,IF(AND(Inputs!$B$38&lt;&gt;"pvp",Inputs!$B$43&gt;0),MIN(15,Inputs!$B$43)/(Inputs!$B$43),0))),0)))&gt;=100),CHOOSE(ArtifactsInput!$N$42+1,40,48,56,64,72,80),0))))/100)*((1+(((C260=TRUE)*F260)+((C267=TRUE)*(F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f>
        <v/>
      </c>
      <c r="L246">
        <f>K246*(MIN(Inputs!$B$22+((C265=TRUE)*(F265-Calc!F22)),(Inputs!$B$23+0+(IF(ArtifactsInput!$M$15,CHOOSE(ArtifactsInput!$N$15+1,25,30,35,40,45,50)/100*(Inputs!$B$11-Inputs!$B$11),0))))/100+(Inputs!$B$23+0+(IF(ArtifactsInput!$M$15,CHOOSE(ArtifactsInput!$N$15+1,25,30,35,40,45,50)/100*(Inputs!$B$11-Inputs!$B$11),0)))/100)/2</f>
        <v/>
      </c>
      <c r="M246">
        <f>L246*(1+(Inputs!$B$10+((C268=TRUE)*(F268-Calc!F25))+B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
        <f>L246*(1-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
        <f>(1-Summary!$B$11)*T246+Summary!$B$11*V246</f>
        <v/>
      </c>
      <c r="P246">
        <f>IF(B283=0,0,O246/B283)</f>
        <v/>
      </c>
      <c r="Q246">
        <f>IFERROR(1/(IF(Inputs!$B$38="pvp",15,MAX(0.1,Skills!D3-IF(Skills!E3=TRUE,Inputs!$B$32,0)))*(1-IF(AND(ArtifactsInput!$M$27,Inputs!$B$4="Chapter Hunt"),CHOOSE(ArtifactsInput!$N$27+1,20,24,28,32,36,40),0)/100)),0)</f>
        <v/>
      </c>
      <c r="R246">
        <f>IF(AND(Inputs!$B$38&lt;&gt;"pvp",Inputs!$B$43&gt;0),IF(MAX(0,Inputs!$B$43-B280)&lt;=0,0,(INT(MAX(0,Inputs!$B$43-B280)/(IF(Inputs!$B$38="pvp",15,MAX(0.1,Skills!D3-IF(Skills!E3=TRUE,Inputs!$B$32,0)))*(1-IF(AND(ArtifactsInput!$M$27,Inputs!$B$4="Chapter Hunt"),CHOOSE(ArtifactsInput!$N$27+1,20,24,28,32,36,40),0)/100)))+1)),0)</f>
        <v/>
      </c>
      <c r="S246">
        <f>IFERROR(O246/N246,0)</f>
        <v/>
      </c>
      <c r="T246">
        <f>IF(C246,(H246*N246*IF(AND(Inputs!$B$38&lt;&gt;"pvp",Inputs!$B$43&gt;0),((Skills!G3*((R246-1)*IF(Skills!H3&gt;0,Skills!I3/Skills!H3,1)+IF(Skills!H3&gt;0,MIN(Skills!I3,MAX(0,MAX(0,Inputs!$B$43-B280)-((R246-1)*(IF(Inputs!$B$38="pvp",15,MAX(0.1,Skills!D3-IF(Skills!E3=TRUE,Inputs!$B$32,0)))*(1-IF(AND(ArtifactsInput!$M$27,Inputs!$B$4="Chapter Hunt"),CHOOSE(ArtifactsInput!$N$27+1,20,24,28,32,36,40),0)/100)))))/Skills!H3,1)))/Inputs!$B$43),G246*Q246)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
        <f>INDEX(FactorTable!$B$2:$Y$301, MATCH(ROUND(MIN(300,MAX(1,U245)),0), FactorTable!$A$2:$A$301,0), 22)</f>
        <v/>
      </c>
      <c r="V246">
        <f>IF(C246,(H246*N246*IF(AND(Inputs!$B$38&lt;&gt;"pvp",Inputs!$B$43&gt;0),((Skills!G3*((R246-1)*IF(Skills!H3&gt;0,Skills!I3/Skills!H3,1)+IF(Skills!H3&gt;0,MIN(Skills!I3,MAX(0,MAX(0,Inputs!$B$43-B280)-((R246-1)*(IF(Inputs!$B$38="pvp",15,MAX(0.1,Skills!D3-IF(Skills!E3=TRUE,Inputs!$B$32,0)))*(1-IF(AND(ArtifactsInput!$M$27,Inputs!$B$4="Chapter Hunt"),CHOOSE(ArtifactsInput!$N$27+1,20,24,28,32,36,40),0)/100)))))/Skills!H3,1)))/Inputs!$B$43),G246*Q246))*IF(Inputs!$B$38="pvp",1,(1+(Inputs!$B$21+Skills!Q3+(IF(ArtifactsInput!$M$33,CHOOSE(ArtifactsInput!$N$33+1,30,36,42,48,54,60)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
      <c r="A247">
        <f>Skills!A4</f>
        <v/>
      </c>
      <c r="B247">
        <f>Skills!B4</f>
        <v/>
      </c>
      <c r="C247">
        <f>Inputs!$B$3&gt;=40</f>
        <v/>
      </c>
      <c r="D247">
        <f>IF(Skills!C4=1,60+Inputs!$B$25+Inputs!$B$29,IF(Skills!C4=2,90+Inputs!$B$26+Inputs!$B$29,IF(Skills!C4=3,120+Inputs!$B$27+Inputs!$B$29,MAX(0,(Inputs!$B$3-100)*3)+Inputs!$B$28+Inputs!$B$29)))</f>
        <v/>
      </c>
      <c r="E247">
        <f>INDEX(FactorTable!$B$2:$Y$301, MATCH(ROUND(MIN(300,MAX(1,D247)),0), FactorTable!$A$2:$A$301,0), Skills!M4+1)</f>
        <v/>
      </c>
      <c r="F247">
        <f>IF(Skills!N4=TRUE,(Skills!L4/10)*(E247/1000),Skills!L4/10)+Skills!O4</f>
        <v/>
      </c>
      <c r="G247">
        <f>Skills!G4*IF(Skills!H4&gt;0,Skills!I4/Skills!H4,1)</f>
        <v/>
      </c>
      <c r="H247">
        <f>1-(1-Skills!J4/100)^Skills!K4</f>
        <v/>
      </c>
      <c r="I247" t="inlineStr">
        <is>
          <t>1</t>
        </is>
      </c>
      <c r="J247">
        <f>((Inputs!$B$6*(1+Inputs!$B$7/100))+(((Inputs!$B$12*(1+Inputs!$B$13/100))-(Inputs!$B$12*(1+Inputs!$B$13/100)))+0.25*(Inputs!$B$14-Inputs!$B$14))*(1+Inputs!$B$7/100))*(F247/100)</f>
        <v/>
      </c>
      <c r="K247">
        <f>J247*(1+((Inputs!$B$12*(1+Inputs!$B$13/100))*0.01+Inputs!$B$14*0.0025)/100)*(1+Inputs!$B$15/100)*(1+(Inputs!$B$16+1)/100)*(5000/(6000+Inputs!$B$42*(1-(100*(1-(1-(Inputs!$B$19+0)/100)*(1-CHOOSE(ArtifactsInput!$N$40+1,5,6,7,8,9,10)/100)^(ArtifactsInput!$M$40-ArtifactsInput!$M$40)))/100)))*(1+(Inputs!$B$24+((C269=TRUE)*(F269-Calc!F26))+B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259=TRUE,F259,0)/100)*(1+(IF(Skills!A4="EIGHT_LEGS_EASTON",Inputs!$B$17+((C266=TRUE)*(F266-Calc!F23))+((C270=TRUE)*(F270-Calc!F27))+(((IF(AND(ArtifactsInput!$M$42,((Inputs!$B$9+((C262=TRUE)*(F262-Calc!F19))+B273+(ArtifactsInput!$M$24-ArtifactsInput!$M$24)*CHOOSE(ArtifactsInput!$N$24+1,10,12,14,16,18,20)+IF(ArtifactsInput!$M$10,CHOOSE(ArtifactsInput!$N$10+1,15,18,21,24,27,30)*(IF(Inputs!$B$38="pvp",MIN(15,15)/15,IF(AND(Inputs!$B$38&lt;&gt;"pvp",Inputs!$B$43&gt;0),MIN(15,Inputs!$B$43)/(Inputs!$B$43),0))),0)))&gt;=100),MIN(100,((Inputs!$B$9+((C262=TRUE)*(F262-Calc!F19))+B273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TRUE)*(F262-Calc!F19))+B273+(ArtifactsInput!$M$24-ArtifactsInput!$M$24)*CHOOSE(ArtifactsInput!$N$24+1,10,12,14,16,18,20)+IF(ArtifactsInput!$M$10,CHOOSE(ArtifactsInput!$N$10+1,15,18,21,24,27,30)*(IF(Inputs!$B$38="pvp",MIN(15,15)/15,IF(AND(Inputs!$B$38&lt;&gt;"pvp",Inputs!$B$43&gt;0),MIN(15,Inputs!$B$43)/(Inputs!$B$43),0))),0)))&gt;=100),CHOOSE(ArtifactsInput!$N$42+1,40,48,56,64,72,80),0))))/100)*((1+(((C260=TRUE)*F260)+((C267=TRUE)*(F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f>
        <v/>
      </c>
      <c r="L247">
        <f>K247*(MIN(Inputs!$B$22+((C265=TRUE)*(F265-Calc!F22)),(Inputs!$B$23+0+(IF(ArtifactsInput!$M$15,CHOOSE(ArtifactsInput!$N$15+1,25,30,35,40,45,50)/100*(Inputs!$B$11-Inputs!$B$11),0))))/100+(Inputs!$B$23+0+(IF(ArtifactsInput!$M$15,CHOOSE(ArtifactsInput!$N$15+1,25,30,35,40,45,50)/100*(Inputs!$B$11-Inputs!$B$11),0)))/100)/2</f>
        <v/>
      </c>
      <c r="M247">
        <f>L247*(1+(Inputs!$B$10+((C268=TRUE)*(F268-Calc!F25))+B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
        <f>L247*(1-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
        <f>(1-Summary!$B$11)*T247+Summary!$B$11*V247</f>
        <v/>
      </c>
      <c r="P247">
        <f>IF(B283=0,0,O247/B283)</f>
        <v/>
      </c>
      <c r="Q247">
        <f>IFERROR(1/(IF(Inputs!$B$38="pvp",15,MAX(0.1,Skills!D4-IF(Skills!E4=TRUE,Inputs!$B$32,0)))*(1-IF(AND(ArtifactsInput!$M$27,Inputs!$B$4="Chapter Hunt"),CHOOSE(ArtifactsInput!$N$27+1,20,24,28,32,36,40),0)/100)),0)</f>
        <v/>
      </c>
      <c r="R247">
        <f>IF(AND(Inputs!$B$38&lt;&gt;"pvp",Inputs!$B$43&gt;0),IF(MAX(0,Inputs!$B$43-B280)&lt;=0,0,(INT(MAX(0,Inputs!$B$43-B280)/(IF(Inputs!$B$38="pvp",15,MAX(0.1,Skills!D4-IF(Skills!E4=TRUE,Inputs!$B$32,0)))*(1-IF(AND(ArtifactsInput!$M$27,Inputs!$B$4="Chapter Hunt"),CHOOSE(ArtifactsInput!$N$27+1,20,24,28,32,36,40),0)/100)))+1)),0)</f>
        <v/>
      </c>
      <c r="S247">
        <f>IFERROR(O247/N247,0)</f>
        <v/>
      </c>
      <c r="T247">
        <f>IF(C247,(H247*N247*IF(AND(Inputs!$B$38&lt;&gt;"pvp",Inputs!$B$43&gt;0),((Skills!G4*((R247-1)*IF(Skills!H4&gt;0,Skills!I4/Skills!H4,1)+IF(Skills!H4&gt;0,MIN(Skills!I4,MAX(0,MAX(0,Inputs!$B$43-B280)-((R247-1)*(IF(Inputs!$B$38="pvp",15,MAX(0.1,Skills!D4-IF(Skills!E4=TRUE,Inputs!$B$32,0)))*(1-IF(AND(ArtifactsInput!$M$27,Inputs!$B$4="Chapter Hunt"),CHOOSE(ArtifactsInput!$N$27+1,20,24,28,32,36,40),0)/100)))))/Skills!H4,1)))/Inputs!$B$43),G247*Q247)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
        <f>290*U246/1000</f>
        <v/>
      </c>
      <c r="V247">
        <f>IF(C247,(H247*N247*IF(AND(Inputs!$B$38&lt;&gt;"pvp",Inputs!$B$43&gt;0),((Skills!G4*((R247-1)*IF(Skills!H4&gt;0,Skills!I4/Skills!H4,1)+IF(Skills!H4&gt;0,MIN(Skills!I4,MAX(0,MAX(0,Inputs!$B$43-B280)-((R247-1)*(IF(Inputs!$B$38="pvp",15,MAX(0.1,Skills!D4-IF(Skills!E4=TRUE,Inputs!$B$32,0)))*(1-IF(AND(ArtifactsInput!$M$27,Inputs!$B$4="Chapter Hunt"),CHOOSE(ArtifactsInput!$N$27+1,20,24,28,32,36,40),0)/100)))))/Skills!H4,1)))/Inputs!$B$43),G247*Q247))*IF(Inputs!$B$38="pvp",1,(1+(Inputs!$B$21+Skills!Q4+(IF(ArtifactsInput!$M$33,CHOOSE(ArtifactsInput!$N$33+1,30,36,42,48,54,60)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
      <c r="A248">
        <f>Skills!A5</f>
        <v/>
      </c>
      <c r="B248">
        <f>Skills!B5</f>
        <v/>
      </c>
      <c r="C248">
        <f>Inputs!$B$3&gt;=45</f>
        <v/>
      </c>
      <c r="D248">
        <f>IF(Skills!C5=1,60+Inputs!$B$25+Inputs!$B$29,IF(Skills!C5=2,90+Inputs!$B$26+Inputs!$B$29,IF(Skills!C5=3,120+Inputs!$B$27+Inputs!$B$29,MAX(0,(Inputs!$B$3-100)*3)+Inputs!$B$28+Inputs!$B$29)))</f>
        <v/>
      </c>
      <c r="E248">
        <f>INDEX(FactorTable!$B$2:$Y$301, MATCH(ROUND(MIN(300,MAX(1,D248)),0), FactorTable!$A$2:$A$301,0), Skills!M5+1)</f>
        <v/>
      </c>
      <c r="F248">
        <f>IF(Skills!N5=TRUE,(Skills!L5/10)*(E248/1000),Skills!L5/10)+Skills!O5</f>
        <v/>
      </c>
      <c r="G248">
        <f>Skills!G5*IF(Skills!H5&gt;0,Skills!I5/Skills!H5,1)</f>
        <v/>
      </c>
      <c r="H248">
        <f>1-(1-Skills!J5/100)^Skills!K5</f>
        <v/>
      </c>
      <c r="I248" t="inlineStr">
        <is>
          <t>1</t>
        </is>
      </c>
      <c r="J248">
        <f>((Inputs!$B$6*(1+Inputs!$B$7/100))+(((Inputs!$B$12*(1+Inputs!$B$13/100))-(Inputs!$B$12*(1+Inputs!$B$13/100)))+0.25*(Inputs!$B$14-Inputs!$B$14))*(1+Inputs!$B$7/100))*(F248/100)</f>
        <v/>
      </c>
      <c r="K248">
        <f>J248*(1+((Inputs!$B$12*(1+Inputs!$B$13/100))*0.01+Inputs!$B$14*0.0025)/100)*(1+Inputs!$B$15/100)*(1+(Inputs!$B$16+1)/100)*(5000/(6000+Inputs!$B$42*(1-(100*(1-(1-(Inputs!$B$19+0)/100)*(1-CHOOSE(ArtifactsInput!$N$40+1,5,6,7,8,9,10)/100)^(ArtifactsInput!$M$40-ArtifactsInput!$M$40)))/100)))*(1+(Inputs!$B$24+((C269=TRUE)*(F269-Calc!F26))+B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259=TRUE,F259,0)/100)*(1+(IF(Skills!A5="EIGHT_LEGS_EASTON",Inputs!$B$17+((C266=TRUE)*(F266-Calc!F23))+((C270=TRUE)*(F270-Calc!F27))+(((IF(AND(ArtifactsInput!$M$42,((Inputs!$B$9+((C262=TRUE)*(F262-Calc!F19))+B273+(ArtifactsInput!$M$24-ArtifactsInput!$M$24)*CHOOSE(ArtifactsInput!$N$24+1,10,12,14,16,18,20)+IF(ArtifactsInput!$M$10,CHOOSE(ArtifactsInput!$N$10+1,15,18,21,24,27,30)*(IF(Inputs!$B$38="pvp",MIN(15,15)/15,IF(AND(Inputs!$B$38&lt;&gt;"pvp",Inputs!$B$43&gt;0),MIN(15,Inputs!$B$43)/(Inputs!$B$43),0))),0)))&gt;=100),MIN(100,((Inputs!$B$9+((C262=TRUE)*(F262-Calc!F19))+B273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TRUE)*(F262-Calc!F19))+B273+(ArtifactsInput!$M$24-ArtifactsInput!$M$24)*CHOOSE(ArtifactsInput!$N$24+1,10,12,14,16,18,20)+IF(ArtifactsInput!$M$10,CHOOSE(ArtifactsInput!$N$10+1,15,18,21,24,27,30)*(IF(Inputs!$B$38="pvp",MIN(15,15)/15,IF(AND(Inputs!$B$38&lt;&gt;"pvp",Inputs!$B$43&gt;0),MIN(15,Inputs!$B$43)/(Inputs!$B$43),0))),0)))&gt;=100),CHOOSE(ArtifactsInput!$N$42+1,40,48,56,64,72,80),0))))/100)*((1+(((C260=TRUE)*F260)+((C267=TRUE)*(F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f>
        <v/>
      </c>
      <c r="L248">
        <f>K248*(MIN(Inputs!$B$22+((C265=TRUE)*(F265-Calc!F22)),(Inputs!$B$23+0+(IF(ArtifactsInput!$M$15,CHOOSE(ArtifactsInput!$N$15+1,25,30,35,40,45,50)/100*(Inputs!$B$11-Inputs!$B$11),0))))/100+(Inputs!$B$23+0+(IF(ArtifactsInput!$M$15,CHOOSE(ArtifactsInput!$N$15+1,25,30,35,40,45,50)/100*(Inputs!$B$11-Inputs!$B$11),0)))/100)/2</f>
        <v/>
      </c>
      <c r="M248">
        <f>L248*(1+(Inputs!$B$10+((C268=TRUE)*(F268-Calc!F25))+B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
        <f>L248*(1-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
        <f>(1-Summary!$B$11)*T248+Summary!$B$11*V248</f>
        <v/>
      </c>
      <c r="P248">
        <f>IF(B283=0,0,O248/B283)</f>
        <v/>
      </c>
      <c r="Q248">
        <f>IFERROR(1/(IF(Inputs!$B$38="pvp",15,MAX(0.1,Skills!D5-IF(Skills!E5=TRUE,Inputs!$B$32,0)))*(1-IF(AND(ArtifactsInput!$M$27,Inputs!$B$4="Chapter Hunt"),CHOOSE(ArtifactsInput!$N$27+1,20,24,28,32,36,40),0)/100)),0)</f>
        <v/>
      </c>
      <c r="R248">
        <f>IF(AND(Inputs!$B$38&lt;&gt;"pvp",Inputs!$B$43&gt;0),IF(MAX(0,Inputs!$B$43-B280)&lt;=0,0,(INT(MAX(0,Inputs!$B$43-B280)/(IF(Inputs!$B$38="pvp",15,MAX(0.1,Skills!D5-IF(Skills!E5=TRUE,Inputs!$B$32,0)))*(1-IF(AND(ArtifactsInput!$M$27,Inputs!$B$4="Chapter Hunt"),CHOOSE(ArtifactsInput!$N$27+1,20,24,28,32,36,40),0)/100)))+1)),0)</f>
        <v/>
      </c>
      <c r="S248">
        <f>IFERROR(O248/N248,0)</f>
        <v/>
      </c>
      <c r="T248">
        <f>IF(C248,(H248*N248*IF(AND(Inputs!$B$38&lt;&gt;"pvp",Inputs!$B$43&gt;0),((Skills!G5*((R248-1)*IF(Skills!H5&gt;0,Skills!I5/Skills!H5,1)+IF(Skills!H5&gt;0,MIN(Skills!I5,MAX(0,MAX(0,Inputs!$B$43-B280)-((R248-1)*(IF(Inputs!$B$38="pvp",15,MAX(0.1,Skills!D5-IF(Skills!E5=TRUE,Inputs!$B$32,0)))*(1-IF(AND(ArtifactsInput!$M$27,Inputs!$B$4="Chapter Hunt"),CHOOSE(ArtifactsInput!$N$27+1,20,24,28,32,36,40),0)/100)))))/Skills!H5,1)))/Inputs!$B$43),G248*Q248)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
        <f>IF(C248,(H248*N248*IF(AND(Inputs!$B$38&lt;&gt;"pvp",Inputs!$B$43&gt;0),((Skills!G5*((R248-1)*IF(Skills!H5&gt;0,Skills!I5/Skills!H5,1)+IF(Skills!H5&gt;0,MIN(Skills!I5,MAX(0,MAX(0,Inputs!$B$43-B280)-((R248-1)*(IF(Inputs!$B$38="pvp",15,MAX(0.1,Skills!D5-IF(Skills!E5=TRUE,Inputs!$B$32,0)))*(1-IF(AND(ArtifactsInput!$M$27,Inputs!$B$4="Chapter Hunt"),CHOOSE(ArtifactsInput!$N$27+1,20,24,28,32,36,40),0)/100)))))/Skills!H5,1)))/Inputs!$B$43),G248*Q248))*IF(Inputs!$B$38="pvp",1,(1+(Inputs!$B$21+Skills!Q5+(IF(ArtifactsInput!$M$33,CHOOSE(ArtifactsInput!$N$33+1,30,36,42,48,54,60)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
      <c r="A249">
        <f>Skills!A6</f>
        <v/>
      </c>
      <c r="B249">
        <f>Skills!B6</f>
        <v/>
      </c>
      <c r="C249">
        <f>Inputs!$B$3&gt;=63</f>
        <v/>
      </c>
      <c r="D249">
        <f>IF(Skills!C6=1,60+Inputs!$B$25+Inputs!$B$29,IF(Skills!C6=2,90+Inputs!$B$26+Inputs!$B$29,IF(Skills!C6=3,120+Inputs!$B$27+Inputs!$B$29,MAX(0,(Inputs!$B$3-100)*3)+Inputs!$B$28+Inputs!$B$29)))</f>
        <v/>
      </c>
      <c r="E249">
        <f>INDEX(FactorTable!$B$2:$Y$301, MATCH(ROUND(MIN(300,MAX(1,D249)),0), FactorTable!$A$2:$A$301,0), Skills!M6+1)</f>
        <v/>
      </c>
      <c r="F249">
        <f>IF(Skills!N6=TRUE,(Skills!L6/10)*(E249/1000),Skills!L6/10)+Skills!O6</f>
        <v/>
      </c>
      <c r="G249">
        <f>Skills!G6*IF(Skills!H6&gt;0,Skills!I6/Skills!H6,1)</f>
        <v/>
      </c>
      <c r="H249">
        <f>1-(1-Skills!J6/100)^Skills!K6</f>
        <v/>
      </c>
      <c r="I249" t="inlineStr">
        <is>
          <t>1</t>
        </is>
      </c>
      <c r="J249">
        <f>((Inputs!$B$6*(1+Inputs!$B$7/100))+(((Inputs!$B$12*(1+Inputs!$B$13/100))-(Inputs!$B$12*(1+Inputs!$B$13/100)))+0.25*(Inputs!$B$14-Inputs!$B$14))*(1+Inputs!$B$7/100))*(F249/100)</f>
        <v/>
      </c>
      <c r="K249">
        <f>J249*(1+((Inputs!$B$12*(1+Inputs!$B$13/100))*0.01+Inputs!$B$14*0.0025)/100)*(1+Inputs!$B$15/100)*(1+(Inputs!$B$16+1)/100)*(5000/(6000+Inputs!$B$42*(1-(100*(1-(1-(Inputs!$B$19+0)/100)*(1-CHOOSE(ArtifactsInput!$N$40+1,5,6,7,8,9,10)/100)^(ArtifactsInput!$M$40-ArtifactsInput!$M$40)))/100)))*(1+(Inputs!$B$24+((C269=TRUE)*(F269-Calc!F26))+B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258=TRUE,F258,0)/100)*(1+(IF(Skills!A6="EIGHT_LEGS_EASTON",Inputs!$B$17+((C266=TRUE)*(F266-Calc!F23))+((C270=TRUE)*(F270-Calc!F27))+(((IF(AND(ArtifactsInput!$M$42,((Inputs!$B$9+((C262=TRUE)*(F262-Calc!F19))+B273+(ArtifactsInput!$M$24-ArtifactsInput!$M$24)*CHOOSE(ArtifactsInput!$N$24+1,10,12,14,16,18,20)+IF(ArtifactsInput!$M$10,CHOOSE(ArtifactsInput!$N$10+1,15,18,21,24,27,30)*(IF(Inputs!$B$38="pvp",MIN(15,15)/15,IF(AND(Inputs!$B$38&lt;&gt;"pvp",Inputs!$B$43&gt;0),MIN(15,Inputs!$B$43)/(Inputs!$B$43),0))),0)))&gt;=100),MIN(100,((Inputs!$B$9+((C262=TRUE)*(F262-Calc!F19))+B273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TRUE)*(F262-Calc!F19))+B273+(ArtifactsInput!$M$24-ArtifactsInput!$M$24)*CHOOSE(ArtifactsInput!$N$24+1,10,12,14,16,18,20)+IF(ArtifactsInput!$M$10,CHOOSE(ArtifactsInput!$N$10+1,15,18,21,24,27,30)*(IF(Inputs!$B$38="pvp",MIN(15,15)/15,IF(AND(Inputs!$B$38&lt;&gt;"pvp",Inputs!$B$43&gt;0),MIN(15,Inputs!$B$43)/(Inputs!$B$43),0))),0)))&gt;=100),CHOOSE(ArtifactsInput!$N$42+1,40,48,56,64,72,80),0))))/100)*((1+(((C260=TRUE)*F260)+((C267=TRUE)*(F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f>
        <v/>
      </c>
      <c r="L249">
        <f>K249*(MIN(Inputs!$B$22+((C265=TRUE)*(F265-Calc!F22)),(Inputs!$B$23+0+(IF(ArtifactsInput!$M$15,CHOOSE(ArtifactsInput!$N$15+1,25,30,35,40,45,50)/100*(Inputs!$B$11-Inputs!$B$11),0))))/100+(Inputs!$B$23+0+(IF(ArtifactsInput!$M$15,CHOOSE(ArtifactsInput!$N$15+1,25,30,35,40,45,50)/100*(Inputs!$B$11-Inputs!$B$11),0)))/100)/2</f>
        <v/>
      </c>
      <c r="M249">
        <f>L249*(1+(Inputs!$B$10+((C268=TRUE)*(F268-Calc!F25))+B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
        <f>L249*(1-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
        <f>(1-Summary!$B$11)*T249+Summary!$B$11*V249</f>
        <v/>
      </c>
      <c r="P249">
        <f>IF(B283=0,0,O249/B283)</f>
        <v/>
      </c>
      <c r="Q249">
        <f>IFERROR(1/(IF(Inputs!$B$38="pvp",15,MAX(0.1,Skills!D6-IF(Skills!E6=TRUE,Inputs!$B$32,0)))*(1-IF(AND(ArtifactsInput!$M$27,Inputs!$B$4="Chapter Hunt"),CHOOSE(ArtifactsInput!$N$27+1,20,24,28,32,36,40),0)/100)),0)</f>
        <v/>
      </c>
      <c r="R249">
        <f>IF(AND(Inputs!$B$38&lt;&gt;"pvp",Inputs!$B$43&gt;0),IF(MAX(0,Inputs!$B$43-B280)&lt;=0,0,(INT(MAX(0,Inputs!$B$43-B280)/(IF(Inputs!$B$38="pvp",15,MAX(0.1,Skills!D6-IF(Skills!E6=TRUE,Inputs!$B$32,0)))*(1-IF(AND(ArtifactsInput!$M$27,Inputs!$B$4="Chapter Hunt"),CHOOSE(ArtifactsInput!$N$27+1,20,24,28,32,36,40),0)/100)))+1)),0)</f>
        <v/>
      </c>
      <c r="S249">
        <f>IFERROR(O249/N249,0)</f>
        <v/>
      </c>
      <c r="T249">
        <f>IF(C249,(H249*N249*IF(AND(Inputs!$B$38&lt;&gt;"pvp",Inputs!$B$43&gt;0),((Skills!G6*((R249-1)*IF(Skills!H6&gt;0,Skills!I6/Skills!H6,1)+IF(Skills!H6&gt;0,MIN(Skills!I6,MAX(0,MAX(0,Inputs!$B$43-B280)-((R249-1)*(IF(Inputs!$B$38="pvp",15,MAX(0.1,Skills!D6-IF(Skills!E6=TRUE,Inputs!$B$32,0)))*(1-IF(AND(ArtifactsInput!$M$27,Inputs!$B$4="Chapter Hunt"),CHOOSE(ArtifactsInput!$N$27+1,20,24,28,32,36,40),0)/100)))))/Skills!H6,1)))/Inputs!$B$43),G249*Q249)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
        <f>IF(C249,(H249*N249*IF(AND(Inputs!$B$38&lt;&gt;"pvp",Inputs!$B$43&gt;0),((Skills!G6*((R249-1)*IF(Skills!H6&gt;0,Skills!I6/Skills!H6,1)+IF(Skills!H6&gt;0,MIN(Skills!I6,MAX(0,MAX(0,Inputs!$B$43-B280)-((R249-1)*(IF(Inputs!$B$38="pvp",15,MAX(0.1,Skills!D6-IF(Skills!E6=TRUE,Inputs!$B$32,0)))*(1-IF(AND(ArtifactsInput!$M$27,Inputs!$B$4="Chapter Hunt"),CHOOSE(ArtifactsInput!$N$27+1,20,24,28,32,36,40),0)/100)))))/Skills!H6,1)))/Inputs!$B$43),G249*Q249))*IF(Inputs!$B$38="pvp",1,(1+(Inputs!$B$21+Skills!Q6+(IF(ArtifactsInput!$M$33,CHOOSE(ArtifactsInput!$N$33+1,30,36,42,48,54,60)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
      <c r="A250">
        <f>Skills!A7</f>
        <v/>
      </c>
      <c r="B250">
        <f>Skills!B7</f>
        <v/>
      </c>
      <c r="C250">
        <f>Inputs!$B$3&gt;=66</f>
        <v/>
      </c>
      <c r="D250">
        <f>IF(Skills!C7=1,60+Inputs!$B$25+Inputs!$B$29,IF(Skills!C7=2,90+Inputs!$B$26+Inputs!$B$29,IF(Skills!C7=3,120+Inputs!$B$27+Inputs!$B$29,MAX(0,(Inputs!$B$3-100)*3)+Inputs!$B$28+Inputs!$B$29)))</f>
        <v/>
      </c>
      <c r="E250">
        <f>INDEX(FactorTable!$B$2:$Y$301, MATCH(ROUND(MIN(300,MAX(1,D250)),0), FactorTable!$A$2:$A$301,0), Skills!M7+1)</f>
        <v/>
      </c>
      <c r="F250">
        <f>IF(Skills!N7=TRUE,(Skills!L7/10)*(E250/1000),Skills!L7/10)+Skills!O7</f>
        <v/>
      </c>
      <c r="G250">
        <f>Skills!G7*IF(Skills!H7&gt;0,Skills!I7/Skills!H7,1)</f>
        <v/>
      </c>
      <c r="H250">
        <f>1-(1-Skills!J7/100)^Skills!K7</f>
        <v/>
      </c>
      <c r="I250" t="inlineStr">
        <is>
          <t>1</t>
        </is>
      </c>
      <c r="J250">
        <f>((Inputs!$B$6*(1+Inputs!$B$7/100))+(((Inputs!$B$12*(1+Inputs!$B$13/100))-(Inputs!$B$12*(1+Inputs!$B$13/100)))+0.25*(Inputs!$B$14-Inputs!$B$14))*(1+Inputs!$B$7/100))*(F250/100)</f>
        <v/>
      </c>
      <c r="K250">
        <f>J250*(1+((Inputs!$B$12*(1+Inputs!$B$13/100))*0.01+Inputs!$B$14*0.0025)/100)*(1+Inputs!$B$15/100)*(1+(Inputs!$B$16+1)/100)*(5000/(6000+Inputs!$B$42*(1-(100*(1-(1-(Inputs!$B$19+0)/100)*(1-CHOOSE(ArtifactsInput!$N$40+1,5,6,7,8,9,10)/100)^(ArtifactsInput!$M$40-ArtifactsInput!$M$40)))/100)))*(1+(Inputs!$B$24+((C269=TRUE)*(F269-Calc!F26))+B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258=TRUE,F258,0)/100)*(1+(IF(Skills!A7="EIGHT_LEGS_EASTON",Inputs!$B$17+((C266=TRUE)*(F266-Calc!F23))+((C270=TRUE)*(F270-Calc!F27))+(((IF(AND(ArtifactsInput!$M$42,((Inputs!$B$9+((C262=TRUE)*(F262-Calc!F19))+B273+(ArtifactsInput!$M$24-ArtifactsInput!$M$24)*CHOOSE(ArtifactsInput!$N$24+1,10,12,14,16,18,20)+IF(ArtifactsInput!$M$10,CHOOSE(ArtifactsInput!$N$10+1,15,18,21,24,27,30)*(IF(Inputs!$B$38="pvp",MIN(15,15)/15,IF(AND(Inputs!$B$38&lt;&gt;"pvp",Inputs!$B$43&gt;0),MIN(15,Inputs!$B$43)/(Inputs!$B$43),0))),0)))&gt;=100),MIN(100,((Inputs!$B$9+((C262=TRUE)*(F262-Calc!F19))+B273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TRUE)*(F262-Calc!F19))+B273+(ArtifactsInput!$M$24-ArtifactsInput!$M$24)*CHOOSE(ArtifactsInput!$N$24+1,10,12,14,16,18,20)+IF(ArtifactsInput!$M$10,CHOOSE(ArtifactsInput!$N$10+1,15,18,21,24,27,30)*(IF(Inputs!$B$38="pvp",MIN(15,15)/15,IF(AND(Inputs!$B$38&lt;&gt;"pvp",Inputs!$B$43&gt;0),MIN(15,Inputs!$B$43)/(Inputs!$B$43),0))),0)))&gt;=100),CHOOSE(ArtifactsInput!$N$42+1,40,48,56,64,72,80),0))))/100)*((1+(((C260=TRUE)*F260)+((C267=TRUE)*(F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f>
        <v/>
      </c>
      <c r="L250">
        <f>K250*(MIN(Inputs!$B$22+((C265=TRUE)*(F265-Calc!F22)),(Inputs!$B$23+0+(IF(ArtifactsInput!$M$15,CHOOSE(ArtifactsInput!$N$15+1,25,30,35,40,45,50)/100*(Inputs!$B$11-Inputs!$B$11),0))))/100+(Inputs!$B$23+0+(IF(ArtifactsInput!$M$15,CHOOSE(ArtifactsInput!$N$15+1,25,30,35,40,45,50)/100*(Inputs!$B$11-Inputs!$B$11),0)))/100)/2</f>
        <v/>
      </c>
      <c r="M250">
        <f>L250*(1+(Inputs!$B$10+((C268=TRUE)*(F268-Calc!F25))+B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
        <f>L250*(1-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
        <f>(1-Summary!$B$11)*T250+Summary!$B$11*V250</f>
        <v/>
      </c>
      <c r="P250">
        <f>IF(B283=0,0,O250/B283)</f>
        <v/>
      </c>
      <c r="Q250">
        <f>IFERROR(1/(IF(Inputs!$B$38="pvp",15,MAX(0.1,Skills!D7-IF(Skills!E7=TRUE,Inputs!$B$32,0)))*(1-IF(AND(ArtifactsInput!$M$27,Inputs!$B$4="Chapter Hunt"),CHOOSE(ArtifactsInput!$N$27+1,20,24,28,32,36,40),0)/100)),0)</f>
        <v/>
      </c>
      <c r="R250">
        <f>IF(AND(Inputs!$B$38&lt;&gt;"pvp",Inputs!$B$43&gt;0),IF(MAX(0,Inputs!$B$43-B280)&lt;=0,0,(INT(MAX(0,Inputs!$B$43-B280)/(IF(Inputs!$B$38="pvp",15,MAX(0.1,Skills!D7-IF(Skills!E7=TRUE,Inputs!$B$32,0)))*(1-IF(AND(ArtifactsInput!$M$27,Inputs!$B$4="Chapter Hunt"),CHOOSE(ArtifactsInput!$N$27+1,20,24,28,32,36,40),0)/100)))+1)),0)</f>
        <v/>
      </c>
      <c r="S250">
        <f>IFERROR(O250/N250,0)</f>
        <v/>
      </c>
      <c r="T250">
        <f>IF(C250,(H250*N250*IF(AND(Inputs!$B$38&lt;&gt;"pvp",Inputs!$B$43&gt;0),((Skills!G7*((R250-1)*IF(Skills!H7&gt;0,Skills!I7/Skills!H7,1)+IF(Skills!H7&gt;0,MIN(Skills!I7,MAX(0,MAX(0,Inputs!$B$43-B280)-((R250-1)*(IF(Inputs!$B$38="pvp",15,MAX(0.1,Skills!D7-IF(Skills!E7=TRUE,Inputs!$B$32,0)))*(1-IF(AND(ArtifactsInput!$M$27,Inputs!$B$4="Chapter Hunt"),CHOOSE(ArtifactsInput!$N$27+1,20,24,28,32,36,40),0)/100)))))/Skills!H7,1)))/Inputs!$B$43),G250*Q250)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
        <f>IF(C250,(H250*N250*IF(AND(Inputs!$B$38&lt;&gt;"pvp",Inputs!$B$43&gt;0),((Skills!G7*((R250-1)*IF(Skills!H7&gt;0,Skills!I7/Skills!H7,1)+IF(Skills!H7&gt;0,MIN(Skills!I7,MAX(0,MAX(0,Inputs!$B$43-B280)-((R250-1)*(IF(Inputs!$B$38="pvp",15,MAX(0.1,Skills!D7-IF(Skills!E7=TRUE,Inputs!$B$32,0)))*(1-IF(AND(ArtifactsInput!$M$27,Inputs!$B$4="Chapter Hunt"),CHOOSE(ArtifactsInput!$N$27+1,20,24,28,32,36,40),0)/100)))))/Skills!H7,1)))/Inputs!$B$43),G250*Q250))*IF(Inputs!$B$38="pvp",1,(1+(Inputs!$B$21+Skills!Q7+(IF(ArtifactsInput!$M$33,CHOOSE(ArtifactsInput!$N$33+1,30,36,42,48,54,60)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
      <c r="A251">
        <f>Skills!A8</f>
        <v/>
      </c>
      <c r="B251">
        <f>Skills!B8</f>
        <v/>
      </c>
      <c r="C251">
        <f>Inputs!$B$3&gt;=100</f>
        <v/>
      </c>
      <c r="D251">
        <f>IF(Skills!C8=1,60+Inputs!$B$25+Inputs!$B$29,IF(Skills!C8=2,90+Inputs!$B$26+Inputs!$B$29,IF(Skills!C8=3,120+Inputs!$B$27+Inputs!$B$29,MAX(0,(Inputs!$B$3-100)*3)+Inputs!$B$28+Inputs!$B$29)))</f>
        <v/>
      </c>
      <c r="E251">
        <f>INDEX(FactorTable!$B$2:$Y$301, MATCH(ROUND(MIN(300,MAX(1,D251)),0), FactorTable!$A$2:$A$301,0), Skills!M8+1)</f>
        <v/>
      </c>
      <c r="F251">
        <f>IF(Skills!N8=TRUE,(Skills!L8/10)*(E251/1000),Skills!L8/10)+Skills!O8</f>
        <v/>
      </c>
      <c r="G251">
        <f>Skills!G8*IF(Skills!H8&gt;0,Skills!I8/Skills!H8,1)</f>
        <v/>
      </c>
      <c r="H251">
        <f>1-(1-Skills!J8/100)^Skills!K8</f>
        <v/>
      </c>
      <c r="I251" t="inlineStr">
        <is>
          <t>1</t>
        </is>
      </c>
      <c r="J251">
        <f>((Inputs!$B$6*(1+Inputs!$B$7/100))+(((Inputs!$B$12*(1+Inputs!$B$13/100))-(Inputs!$B$12*(1+Inputs!$B$13/100)))+0.25*(Inputs!$B$14-Inputs!$B$14))*(1+Inputs!$B$7/100))*(F251/100)</f>
        <v/>
      </c>
      <c r="K251">
        <f>J251*(1+((Inputs!$B$12*(1+Inputs!$B$13/100))*0.01+Inputs!$B$14*0.0025)/100)*(1+Inputs!$B$15/100)*(1+(Inputs!$B$16+1)/100)*(5000/(6000+Inputs!$B$42*(1-(100*(1-(1-(Inputs!$B$19+0)/100)*(1-CHOOSE(ArtifactsInput!$N$40+1,5,6,7,8,9,10)/100)^(ArtifactsInput!$M$40-ArtifactsInput!$M$40)))/100)))*(1+(Inputs!$B$24+((C269=TRUE)*(F269-Calc!F26))+B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266=TRUE)*(F266-Calc!F23))+((C270=TRUE)*(F270-Calc!F27))+(((IF(AND(ArtifactsInput!$M$42,((Inputs!$B$9+((C262=TRUE)*(F262-Calc!F19))+B273+(ArtifactsInput!$M$24-ArtifactsInput!$M$24)*CHOOSE(ArtifactsInput!$N$24+1,10,12,14,16,18,20)+IF(ArtifactsInput!$M$10,CHOOSE(ArtifactsInput!$N$10+1,15,18,21,24,27,30)*(IF(Inputs!$B$38="pvp",MIN(15,15)/15,IF(AND(Inputs!$B$38&lt;&gt;"pvp",Inputs!$B$43&gt;0),MIN(15,Inputs!$B$43)/(Inputs!$B$43),0))),0)))&gt;=100),MIN(100,((Inputs!$B$9+((C262=TRUE)*(F262-Calc!F19))+B273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TRUE)*(F262-Calc!F19))+B273+(ArtifactsInput!$M$24-ArtifactsInput!$M$24)*CHOOSE(ArtifactsInput!$N$24+1,10,12,14,16,18,20)+IF(ArtifactsInput!$M$10,CHOOSE(ArtifactsInput!$N$10+1,15,18,21,24,27,30)*(IF(Inputs!$B$38="pvp",MIN(15,15)/15,IF(AND(Inputs!$B$38&lt;&gt;"pvp",Inputs!$B$43&gt;0),MIN(15,Inputs!$B$43)/(Inputs!$B$43),0))),0)))&gt;=100),CHOOSE(ArtifactsInput!$N$42+1,40,48,56,64,72,80),0))))/100)*((1+(((C260=TRUE)*F260)+((C267=TRUE)*(F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f>
        <v/>
      </c>
      <c r="L251">
        <f>K251*(MIN(Inputs!$B$22+((C265=TRUE)*(F265-Calc!F22)),(Inputs!$B$23+0+(IF(ArtifactsInput!$M$15,CHOOSE(ArtifactsInput!$N$15+1,25,30,35,40,45,50)/100*(Inputs!$B$11-Inputs!$B$11),0))))/100+(Inputs!$B$23+0+(IF(ArtifactsInput!$M$15,CHOOSE(ArtifactsInput!$N$15+1,25,30,35,40,45,50)/100*(Inputs!$B$11-Inputs!$B$11),0)))/100)/2</f>
        <v/>
      </c>
      <c r="M251">
        <f>L251*(1+(Inputs!$B$10+((C268=TRUE)*(F268-Calc!F25))+B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
        <f>L251*(1-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
        <f>(1-Summary!$B$11)*T251+Summary!$B$11*V251</f>
        <v/>
      </c>
      <c r="P251">
        <f>IF(B283=0,0,O251/B283)</f>
        <v/>
      </c>
      <c r="Q251">
        <f>IFERROR(1/(IF(Inputs!$B$38="pvp",15,MAX(0.1,Skills!D8-IF(Skills!E8=TRUE,Inputs!$B$32,0)))*(1-IF(AND(ArtifactsInput!$M$27,Inputs!$B$4="Chapter Hunt"),CHOOSE(ArtifactsInput!$N$27+1,20,24,28,32,36,40),0)/100)),0)</f>
        <v/>
      </c>
      <c r="R251">
        <f>IF(AND(Inputs!$B$38&lt;&gt;"pvp",Inputs!$B$43&gt;0),IF(MAX(0,Inputs!$B$43-B280)&lt;=0,0,(INT(MAX(0,Inputs!$B$43-B280)/(IF(Inputs!$B$38="pvp",15,MAX(0.1,Skills!D8-IF(Skills!E8=TRUE,Inputs!$B$32,0)))*(1-IF(AND(ArtifactsInput!$M$27,Inputs!$B$4="Chapter Hunt"),CHOOSE(ArtifactsInput!$N$27+1,20,24,28,32,36,40),0)/100)))+1)),0)</f>
        <v/>
      </c>
      <c r="S251">
        <f>IFERROR(O251/N251,0)</f>
        <v/>
      </c>
      <c r="T251">
        <f>IF(C251,(H251*N251*IF(AND(Inputs!$B$38&lt;&gt;"pvp",Inputs!$B$43&gt;0),((Skills!G8*((R251-1)*IF(Skills!H8&gt;0,Skills!I8/Skills!H8,1)+IF(Skills!H8&gt;0,MIN(Skills!I8,MAX(0,MAX(0,Inputs!$B$43-B280)-((R251-1)*(IF(Inputs!$B$38="pvp",15,MAX(0.1,Skills!D8-IF(Skills!E8=TRUE,Inputs!$B$32,0)))*(1-IF(AND(ArtifactsInput!$M$27,Inputs!$B$4="Chapter Hunt"),CHOOSE(ArtifactsInput!$N$27+1,20,24,28,32,36,40),0)/100)))))/Skills!H8,1)))/Inputs!$B$43),G251*Q251)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
        <f>IF(C251,(H251*N251*IF(AND(Inputs!$B$38&lt;&gt;"pvp",Inputs!$B$43&gt;0),((Skills!G8*((R251-1)*IF(Skills!H8&gt;0,Skills!I8/Skills!H8,1)+IF(Skills!H8&gt;0,MIN(Skills!I8,MAX(0,MAX(0,Inputs!$B$43-B280)-((R251-1)*(IF(Inputs!$B$38="pvp",15,MAX(0.1,Skills!D8-IF(Skills!E8=TRUE,Inputs!$B$32,0)))*(1-IF(AND(ArtifactsInput!$M$27,Inputs!$B$4="Chapter Hunt"),CHOOSE(ArtifactsInput!$N$27+1,20,24,28,32,36,40),0)/100)))))/Skills!H8,1)))/Inputs!$B$43),G251*Q251))*IF(Inputs!$B$38="pvp",1,(1+(Inputs!$B$21+Skills!Q8+(IF(ArtifactsInput!$M$33,CHOOSE(ArtifactsInput!$N$33+1,30,36,42,48,54,60)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
      <c r="A252">
        <f>Skills!A9</f>
        <v/>
      </c>
      <c r="B252">
        <f>Skills!B9</f>
        <v/>
      </c>
      <c r="C252">
        <f>Inputs!$B$3&gt;=103</f>
        <v/>
      </c>
      <c r="D252">
        <f>IF(Skills!C9=1,60+Inputs!$B$25+Inputs!$B$29,IF(Skills!C9=2,90+Inputs!$B$26+Inputs!$B$29,IF(Skills!C9=3,120+Inputs!$B$27+Inputs!$B$29,MAX(0,(Inputs!$B$3-100)*3)+Inputs!$B$28+Inputs!$B$29)))</f>
        <v/>
      </c>
      <c r="E252">
        <f>INDEX(FactorTable!$B$2:$Y$301, MATCH(ROUND(MIN(300,MAX(1,D252)),0), FactorTable!$A$2:$A$301,0), Skills!M9+1)</f>
        <v/>
      </c>
      <c r="F252">
        <f>IF(Skills!N9=TRUE,(Skills!L9/10)*(E252/1000),Skills!L9/10)+Skills!O9</f>
        <v/>
      </c>
      <c r="G252">
        <f>Skills!G9*IF(Skills!H9&gt;0,Skills!I9/Skills!H9,1)</f>
        <v/>
      </c>
      <c r="H252">
        <f>1-(1-Skills!J9/100)^Skills!K9</f>
        <v/>
      </c>
      <c r="I252" t="inlineStr">
        <is>
          <t>1</t>
        </is>
      </c>
      <c r="J252">
        <f>((Inputs!$B$6*(1+Inputs!$B$7/100))+(((Inputs!$B$12*(1+Inputs!$B$13/100))-(Inputs!$B$12*(1+Inputs!$B$13/100)))+0.25*(Inputs!$B$14-Inputs!$B$14))*(1+Inputs!$B$7/100))*(F252/100)</f>
        <v/>
      </c>
      <c r="K252">
        <f>J252*(1+((Inputs!$B$12*(1+Inputs!$B$13/100))*0.01+Inputs!$B$14*0.0025)/100)*(1+Inputs!$B$15/100)*(1+(Inputs!$B$16+1)/100)*(5000/(6000+Inputs!$B$42*(1-(100*(1-(1-(Inputs!$B$19+0)/100)*(1-CHOOSE(ArtifactsInput!$N$40+1,5,6,7,8,9,10)/100)^(ArtifactsInput!$M$40-ArtifactsInput!$M$40)))/100)))*(1+(Inputs!$B$24+((C269=TRUE)*(F269-Calc!F26))+B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266=TRUE)*(F266-Calc!F23))+((C270=TRUE)*(F270-Calc!F27))+(((IF(AND(ArtifactsInput!$M$42,((Inputs!$B$9+((C262=TRUE)*(F262-Calc!F19))+B273+(ArtifactsInput!$M$24-ArtifactsInput!$M$24)*CHOOSE(ArtifactsInput!$N$24+1,10,12,14,16,18,20)+IF(ArtifactsInput!$M$10,CHOOSE(ArtifactsInput!$N$10+1,15,18,21,24,27,30)*(IF(Inputs!$B$38="pvp",MIN(15,15)/15,IF(AND(Inputs!$B$38&lt;&gt;"pvp",Inputs!$B$43&gt;0),MIN(15,Inputs!$B$43)/(Inputs!$B$43),0))),0)))&gt;=100),MIN(100,((Inputs!$B$9+((C262=TRUE)*(F262-Calc!F19))+B273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TRUE)*(F262-Calc!F19))+B273+(ArtifactsInput!$M$24-ArtifactsInput!$M$24)*CHOOSE(ArtifactsInput!$N$24+1,10,12,14,16,18,20)+IF(ArtifactsInput!$M$10,CHOOSE(ArtifactsInput!$N$10+1,15,18,21,24,27,30)*(IF(Inputs!$B$38="pvp",MIN(15,15)/15,IF(AND(Inputs!$B$38&lt;&gt;"pvp",Inputs!$B$43&gt;0),MIN(15,Inputs!$B$43)/(Inputs!$B$43),0))),0)))&gt;=100),CHOOSE(ArtifactsInput!$N$42+1,40,48,56,64,72,80),0))))/100)*((1+(((C260=TRUE)*F260)+((C267=TRUE)*(F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f>
        <v/>
      </c>
      <c r="L252">
        <f>K252*(MIN(Inputs!$B$22+((C265=TRUE)*(F265-Calc!F22)),(Inputs!$B$23+0+(IF(ArtifactsInput!$M$15,CHOOSE(ArtifactsInput!$N$15+1,25,30,35,40,45,50)/100*(Inputs!$B$11-Inputs!$B$11),0))))/100+(Inputs!$B$23+0+(IF(ArtifactsInput!$M$15,CHOOSE(ArtifactsInput!$N$15+1,25,30,35,40,45,50)/100*(Inputs!$B$11-Inputs!$B$11),0)))/100)/2</f>
        <v/>
      </c>
      <c r="M252">
        <f>L252*(1+(Inputs!$B$10+((C268=TRUE)*(F268-Calc!F25))+B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
        <f>L252*(1-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
        <f>(1-Summary!$B$11)*T252+Summary!$B$11*V252</f>
        <v/>
      </c>
      <c r="P252">
        <f>IF(B283=0,0,O252/B283)</f>
        <v/>
      </c>
      <c r="Q252">
        <f>IFERROR(1/(IF(Inputs!$B$38="pvp",15,MAX(0.1,Skills!D9-IF(Skills!E9=TRUE,Inputs!$B$32,0)))*(1-IF(AND(ArtifactsInput!$M$27,Inputs!$B$4="Chapter Hunt"),CHOOSE(ArtifactsInput!$N$27+1,20,24,28,32,36,40),0)/100)),0)</f>
        <v/>
      </c>
      <c r="R252">
        <f>IF(AND(Inputs!$B$38&lt;&gt;"pvp",Inputs!$B$43&gt;0),IF(MAX(0,Inputs!$B$43-B280)&lt;=0,0,(INT(MAX(0,Inputs!$B$43-B280)/(IF(Inputs!$B$38="pvp",15,MAX(0.1,Skills!D9-IF(Skills!E9=TRUE,Inputs!$B$32,0)))*(1-IF(AND(ArtifactsInput!$M$27,Inputs!$B$4="Chapter Hunt"),CHOOSE(ArtifactsInput!$N$27+1,20,24,28,32,36,40),0)/100)))+1)),0)</f>
        <v/>
      </c>
      <c r="S252">
        <f>IFERROR(O252/N252,0)</f>
        <v/>
      </c>
      <c r="T252">
        <f>IF(C252,(H252*N252*IF(AND(Inputs!$B$38&lt;&gt;"pvp",Inputs!$B$43&gt;0),((Skills!G9*((R252-1)*IF(Skills!H9&gt;0,Skills!I9/Skills!H9,1)+IF(Skills!H9&gt;0,MIN(Skills!I9,MAX(0,MAX(0,Inputs!$B$43-B280)-((R252-1)*(IF(Inputs!$B$38="pvp",15,MAX(0.1,Skills!D9-IF(Skills!E9=TRUE,Inputs!$B$32,0)))*(1-IF(AND(ArtifactsInput!$M$27,Inputs!$B$4="Chapter Hunt"),CHOOSE(ArtifactsInput!$N$27+1,20,24,28,32,36,40),0)/100)))))/Skills!H9,1)))/Inputs!$B$43),G252*Q252)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
        <f>IF(C252,(H252*N252*IF(AND(Inputs!$B$38&lt;&gt;"pvp",Inputs!$B$43&gt;0),((Skills!G9*((R252-1)*IF(Skills!H9&gt;0,Skills!I9/Skills!H9,1)+IF(Skills!H9&gt;0,MIN(Skills!I9,MAX(0,MAX(0,Inputs!$B$43-B280)-((R252-1)*(IF(Inputs!$B$38="pvp",15,MAX(0.1,Skills!D9-IF(Skills!E9=TRUE,Inputs!$B$32,0)))*(1-IF(AND(ArtifactsInput!$M$27,Inputs!$B$4="Chapter Hunt"),CHOOSE(ArtifactsInput!$N$27+1,20,24,28,32,36,40),0)/100)))))/Skills!H9,1)))/Inputs!$B$43),G252*Q252))*IF(Inputs!$B$38="pvp",1,(1+(Inputs!$B$21+Skills!Q9+(IF(ArtifactsInput!$M$33,CHOOSE(ArtifactsInput!$N$33+1,30,36,42,48,54,60)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
      <c r="A253">
        <f>Skills!A10</f>
        <v/>
      </c>
      <c r="B253">
        <f>Skills!B10</f>
        <v/>
      </c>
      <c r="C253">
        <f>Inputs!$B$3&gt;=113</f>
        <v/>
      </c>
      <c r="D253">
        <f>IF(Skills!C10=1,60+Inputs!$B$25+Inputs!$B$29,IF(Skills!C10=2,90+Inputs!$B$26+Inputs!$B$29,IF(Skills!C10=3,120+Inputs!$B$27+Inputs!$B$29,MAX(0,(Inputs!$B$3-100)*3)+Inputs!$B$28+Inputs!$B$29)))</f>
        <v/>
      </c>
      <c r="E253">
        <f>INDEX(FactorTable!$B$2:$Y$301, MATCH(ROUND(MIN(300,MAX(1,D253)),0), FactorTable!$A$2:$A$301,0), Skills!M10+1)</f>
        <v/>
      </c>
      <c r="F253">
        <f>IF(Skills!N10=TRUE,(Skills!L10/10)*(E253/1000),Skills!L10/10)+Skills!O10</f>
        <v/>
      </c>
      <c r="G253">
        <f>Skills!G10*IF(Skills!H10&gt;0,Skills!I10/Skills!H10,1)</f>
        <v/>
      </c>
      <c r="H253">
        <f>1-(1-Skills!J10/100)^Skills!K10</f>
        <v/>
      </c>
      <c r="I253" t="inlineStr">
        <is>
          <t>1</t>
        </is>
      </c>
      <c r="J253">
        <f>((Inputs!$B$6*(1+Inputs!$B$7/100))+(((Inputs!$B$12*(1+Inputs!$B$13/100))-(Inputs!$B$12*(1+Inputs!$B$13/100)))+0.25*(Inputs!$B$14-Inputs!$B$14))*(1+Inputs!$B$7/100))*(F253/100)</f>
        <v/>
      </c>
      <c r="K253">
        <f>J253*(1+((Inputs!$B$12*(1+Inputs!$B$13/100))*0.01+Inputs!$B$14*0.0025)/100)*(1+Inputs!$B$15/100)*(1+(Inputs!$B$16+1)/100)*(5000/(6000+Inputs!$B$42*(1-(100*(1-(1-(Inputs!$B$19+0)/100)*(1-CHOOSE(ArtifactsInput!$N$40+1,5,6,7,8,9,10)/100)^(ArtifactsInput!$M$40-ArtifactsInput!$M$40)))/100)))*(1+(Inputs!$B$24+((C269=TRUE)*(F269-Calc!F26))+B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266=TRUE)*(F266-Calc!F23))+((C270=TRUE)*(F270-Calc!F27))+(((IF(AND(ArtifactsInput!$M$42,((Inputs!$B$9+((C262=TRUE)*(F262-Calc!F19))+B273+(ArtifactsInput!$M$24-ArtifactsInput!$M$24)*CHOOSE(ArtifactsInput!$N$24+1,10,12,14,16,18,20)+IF(ArtifactsInput!$M$10,CHOOSE(ArtifactsInput!$N$10+1,15,18,21,24,27,30)*(IF(Inputs!$B$38="pvp",MIN(15,15)/15,IF(AND(Inputs!$B$38&lt;&gt;"pvp",Inputs!$B$43&gt;0),MIN(15,Inputs!$B$43)/(Inputs!$B$43),0))),0)))&gt;=100),MIN(100,((Inputs!$B$9+((C262=TRUE)*(F262-Calc!F19))+B273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TRUE)*(F262-Calc!F19))+B273+(ArtifactsInput!$M$24-ArtifactsInput!$M$24)*CHOOSE(ArtifactsInput!$N$24+1,10,12,14,16,18,20)+IF(ArtifactsInput!$M$10,CHOOSE(ArtifactsInput!$N$10+1,15,18,21,24,27,30)*(IF(Inputs!$B$38="pvp",MIN(15,15)/15,IF(AND(Inputs!$B$38&lt;&gt;"pvp",Inputs!$B$43&gt;0),MIN(15,Inputs!$B$43)/(Inputs!$B$43),0))),0)))&gt;=100),CHOOSE(ArtifactsInput!$N$42+1,40,48,56,64,72,80),0))))/100)*((1+(((C260=TRUE)*F260)+((C267=TRUE)*(F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f>
        <v/>
      </c>
      <c r="L253">
        <f>K253*(MIN(Inputs!$B$22+((C265=TRUE)*(F265-Calc!F22)),(Inputs!$B$23+0+(IF(ArtifactsInput!$M$15,CHOOSE(ArtifactsInput!$N$15+1,25,30,35,40,45,50)/100*(Inputs!$B$11-Inputs!$B$11),0))))/100+(Inputs!$B$23+0+(IF(ArtifactsInput!$M$15,CHOOSE(ArtifactsInput!$N$15+1,25,30,35,40,45,50)/100*(Inputs!$B$11-Inputs!$B$11),0)))/100)/2</f>
        <v/>
      </c>
      <c r="M253">
        <f>L253*(1+(Inputs!$B$10+((C268=TRUE)*(F268-Calc!F25))+B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
        <f>L253*(1-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
        <f>(1-Summary!$B$11)*T253+Summary!$B$11*V253</f>
        <v/>
      </c>
      <c r="P253">
        <f>IF(B283=0,0,O253/B283)</f>
        <v/>
      </c>
      <c r="Q253">
        <f>IFERROR(1/(IF(Inputs!$B$38="pvp",15,MAX(0.1,Skills!D10-IF(Skills!E10=TRUE,Inputs!$B$32,0)))*(1-IF(AND(ArtifactsInput!$M$27,Inputs!$B$4="Chapter Hunt"),CHOOSE(ArtifactsInput!$N$27+1,20,24,28,32,36,40),0)/100)),0)</f>
        <v/>
      </c>
      <c r="R253">
        <f>IF(AND(Inputs!$B$38&lt;&gt;"pvp",Inputs!$B$43&gt;0),IF(MAX(0,Inputs!$B$43-B280)&lt;=0,0,(INT(MAX(0,Inputs!$B$43-B280)/(IF(Inputs!$B$38="pvp",15,MAX(0.1,Skills!D10-IF(Skills!E10=TRUE,Inputs!$B$32,0)))*(1-IF(AND(ArtifactsInput!$M$27,Inputs!$B$4="Chapter Hunt"),CHOOSE(ArtifactsInput!$N$27+1,20,24,28,32,36,40),0)/100)))+1)),0)</f>
        <v/>
      </c>
      <c r="S253">
        <f>IFERROR(O253/N253,0)</f>
        <v/>
      </c>
      <c r="T253">
        <f>IF(C253,(H253*N253*IF(AND(Inputs!$B$38&lt;&gt;"pvp",Inputs!$B$43&gt;0),((Skills!G10*((R253-1)*IF(Skills!H10&gt;0,Skills!I10/Skills!H10,1)+IF(Skills!H10&gt;0,MIN(Skills!I10,MAX(0,MAX(0,Inputs!$B$43-B280)-((R253-1)*(IF(Inputs!$B$38="pvp",15,MAX(0.1,Skills!D10-IF(Skills!E10=TRUE,Inputs!$B$32,0)))*(1-IF(AND(ArtifactsInput!$M$27,Inputs!$B$4="Chapter Hunt"),CHOOSE(ArtifactsInput!$N$27+1,20,24,28,32,36,40),0)/100)))))/Skills!H10,1)))/Inputs!$B$43),G253*Q253)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3">
        <f>IF(C253,(H253*N253*IF(AND(Inputs!$B$38&lt;&gt;"pvp",Inputs!$B$43&gt;0),((Skills!G10*((R253-1)*IF(Skills!H10&gt;0,Skills!I10/Skills!H10,1)+IF(Skills!H10&gt;0,MIN(Skills!I10,MAX(0,MAX(0,Inputs!$B$43-B280)-((R253-1)*(IF(Inputs!$B$38="pvp",15,MAX(0.1,Skills!D10-IF(Skills!E10=TRUE,Inputs!$B$32,0)))*(1-IF(AND(ArtifactsInput!$M$27,Inputs!$B$4="Chapter Hunt"),CHOOSE(ArtifactsInput!$N$27+1,20,24,28,32,36,40),0)/100)))))/Skills!H10,1)))/Inputs!$B$43),G253*Q253))*IF(Inputs!$B$38="pvp",1,(1+(Inputs!$B$21+Skills!Q10+(IF(ArtifactsInput!$M$33,CHOOSE(ArtifactsInput!$N$33+1,30,36,42,48,54,60)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
      <c r="A254">
        <f>Skills!A11</f>
        <v/>
      </c>
      <c r="B254">
        <f>Skills!B11</f>
        <v/>
      </c>
      <c r="C254">
        <f>Inputs!$B$3&gt;=107</f>
        <v/>
      </c>
      <c r="D254">
        <f>IF(Skills!C11=1,60+Inputs!$B$25+Inputs!$B$29,IF(Skills!C11=2,90+Inputs!$B$26+Inputs!$B$29,IF(Skills!C11=3,120+Inputs!$B$27+Inputs!$B$29,MAX(0,(Inputs!$B$3-100)*3)+Inputs!$B$28+Inputs!$B$29)))</f>
        <v/>
      </c>
      <c r="E254">
        <f>INDEX(FactorTable!$B$2:$Y$301, MATCH(ROUND(MIN(300,MAX(1,D254)),0), FactorTable!$A$2:$A$301,0), Skills!M11+1)</f>
        <v/>
      </c>
      <c r="F254">
        <f>IF(Skills!N11=TRUE,(Skills!L11/10)*(E254/1000),Skills!L11/10)+Skills!O11</f>
        <v/>
      </c>
      <c r="G254">
        <f>Skills!G11*IF(Skills!H11&gt;0,Skills!I11/Skills!H11,1)</f>
        <v/>
      </c>
      <c r="H254">
        <f>1-(1-Skills!J11/100)^Skills!K11</f>
        <v/>
      </c>
      <c r="I254" t="inlineStr">
        <is>
          <t>1</t>
        </is>
      </c>
      <c r="J254">
        <f>((Inputs!$B$6*(1+Inputs!$B$7/100))+(((Inputs!$B$12*(1+Inputs!$B$13/100))-(Inputs!$B$12*(1+Inputs!$B$13/100)))+0.25*(Inputs!$B$14-Inputs!$B$14))*(1+Inputs!$B$7/100))*(F254/100)</f>
        <v/>
      </c>
      <c r="K254">
        <f>J254*(1+((Inputs!$B$12*(1+Inputs!$B$13/100))*0.01+Inputs!$B$14*0.0025)/100)*(1+Inputs!$B$15/100)*(1+(Inputs!$B$16+1)/100)*(5000/(6000+Inputs!$B$42*(1-(100*(1-(1-(Inputs!$B$19+0)/100)*(1-CHOOSE(ArtifactsInput!$N$40+1,5,6,7,8,9,10)/100)^(ArtifactsInput!$M$40-ArtifactsInput!$M$40)))/100)))*(1+(Inputs!$B$24+((C269=TRUE)*(F269-Calc!F26))+B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266=TRUE)*(F266-Calc!F23))+((C270=TRUE)*(F270-Calc!F27))+(((IF(AND(ArtifactsInput!$M$42,((Inputs!$B$9+((C262=TRUE)*(F262-Calc!F19))+B273+(ArtifactsInput!$M$24-ArtifactsInput!$M$24)*CHOOSE(ArtifactsInput!$N$24+1,10,12,14,16,18,20)+IF(ArtifactsInput!$M$10,CHOOSE(ArtifactsInput!$N$10+1,15,18,21,24,27,30)*(IF(Inputs!$B$38="pvp",MIN(15,15)/15,IF(AND(Inputs!$B$38&lt;&gt;"pvp",Inputs!$B$43&gt;0),MIN(15,Inputs!$B$43)/(Inputs!$B$43),0))),0)))&gt;=100),MIN(100,((Inputs!$B$9+((C262=TRUE)*(F262-Calc!F19))+B273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TRUE)*(F262-Calc!F19))+B273+(ArtifactsInput!$M$24-ArtifactsInput!$M$24)*CHOOSE(ArtifactsInput!$N$24+1,10,12,14,16,18,20)+IF(ArtifactsInput!$M$10,CHOOSE(ArtifactsInput!$N$10+1,15,18,21,24,27,30)*(IF(Inputs!$B$38="pvp",MIN(15,15)/15,IF(AND(Inputs!$B$38&lt;&gt;"pvp",Inputs!$B$43&gt;0),MIN(15,Inputs!$B$43)/(Inputs!$B$43),0))),0)))&gt;=100),CHOOSE(ArtifactsInput!$N$42+1,40,48,56,64,72,80),0))))/100)*((1+(((C260=TRUE)*F260)+((C267=TRUE)*(F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f>
        <v/>
      </c>
      <c r="L254">
        <f>K254*(MIN(Inputs!$B$22+((C265=TRUE)*(F265-Calc!F22)),(Inputs!$B$23+0+(IF(ArtifactsInput!$M$15,CHOOSE(ArtifactsInput!$N$15+1,25,30,35,40,45,50)/100*(Inputs!$B$11-Inputs!$B$11),0))))/100+(Inputs!$B$23+0+(IF(ArtifactsInput!$M$15,CHOOSE(ArtifactsInput!$N$15+1,25,30,35,40,45,50)/100*(Inputs!$B$11-Inputs!$B$11),0)))/100)/2</f>
        <v/>
      </c>
      <c r="M254">
        <f>L254*(1+(Inputs!$B$10+((C268=TRUE)*(F268-Calc!F25))+B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
        <f>L254*(1-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
        <f>(1-Summary!$B$11)*T254+Summary!$B$11*V254</f>
        <v/>
      </c>
      <c r="P254">
        <f>IF(B283=0,0,O254/B283)</f>
        <v/>
      </c>
      <c r="Q254">
        <f>IFERROR(1/(IF(Inputs!$B$38="pvp",15,MAX(0.1,Skills!D11-IF(Skills!E11=TRUE,Inputs!$B$32,0)))*(1-IF(AND(ArtifactsInput!$M$27,Inputs!$B$4="Chapter Hunt"),CHOOSE(ArtifactsInput!$N$27+1,20,24,28,32,36,40),0)/100)),0)</f>
        <v/>
      </c>
      <c r="R254">
        <f>IF(AND(Inputs!$B$38&lt;&gt;"pvp",Inputs!$B$43&gt;0),IF(MAX(0,Inputs!$B$43-B280)&lt;=0,0,(INT(MAX(0,Inputs!$B$43-B280)/(IF(Inputs!$B$38="pvp",15,MAX(0.1,Skills!D11-IF(Skills!E11=TRUE,Inputs!$B$32,0)))*(1-IF(AND(ArtifactsInput!$M$27,Inputs!$B$4="Chapter Hunt"),CHOOSE(ArtifactsInput!$N$27+1,20,24,28,32,36,40),0)/100)))+1)),0)</f>
        <v/>
      </c>
      <c r="S254">
        <f>IFERROR(O254/N254,0)</f>
        <v/>
      </c>
      <c r="T254">
        <f>IF(C254,(H254*N254*IF(AND(Inputs!$B$38&lt;&gt;"pvp",Inputs!$B$43&gt;0),((Skills!G11*((R254-1)*IF(Skills!H11&gt;0,Skills!I11/Skills!H11,1)+IF(Skills!H11&gt;0,MIN(Skills!I11,MAX(0,MAX(0,Inputs!$B$43-B280)-((R254-1)*(IF(Inputs!$B$38="pvp",15,MAX(0.1,Skills!D11-IF(Skills!E11=TRUE,Inputs!$B$32,0)))*(1-IF(AND(ArtifactsInput!$M$27,Inputs!$B$4="Chapter Hunt"),CHOOSE(ArtifactsInput!$N$27+1,20,24,28,32,36,40),0)/100)))))/Skills!H11,1)))/Inputs!$B$43),G254*Q254)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
        <f>IF(C254,(H254*N254*IF(AND(Inputs!$B$38&lt;&gt;"pvp",Inputs!$B$43&gt;0),((Skills!G11*((R254-1)*IF(Skills!H11&gt;0,Skills!I11/Skills!H11,1)+IF(Skills!H11&gt;0,MIN(Skills!I11,MAX(0,MAX(0,Inputs!$B$43-B280)-((R254-1)*(IF(Inputs!$B$38="pvp",15,MAX(0.1,Skills!D11-IF(Skills!E11=TRUE,Inputs!$B$32,0)))*(1-IF(AND(ArtifactsInput!$M$27,Inputs!$B$4="Chapter Hunt"),CHOOSE(ArtifactsInput!$N$27+1,20,24,28,32,36,40),0)/100)))))/Skills!H11,1)))/Inputs!$B$43),G254*Q254))*IF(Inputs!$B$38="pvp",1,(1+(Inputs!$B$21+Skills!Q11+(IF(ArtifactsInput!$M$33,CHOOSE(ArtifactsInput!$N$33+1,30,36,42,48,54,60)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
      <c r="A255">
        <f>Skills!A12</f>
        <v/>
      </c>
      <c r="B255">
        <f>Skills!B12</f>
        <v/>
      </c>
      <c r="C255">
        <f>Inputs!$B$3&gt;=110</f>
        <v/>
      </c>
      <c r="D255">
        <f>IF(Skills!C12=1,60+Inputs!$B$25+Inputs!$B$29,IF(Skills!C12=2,90+Inputs!$B$26+Inputs!$B$29,IF(Skills!C12=3,120+Inputs!$B$27+Inputs!$B$29,MAX(0,(Inputs!$B$3-100)*3)+Inputs!$B$28+Inputs!$B$29)))</f>
        <v/>
      </c>
      <c r="E255">
        <f>INDEX(FactorTable!$B$2:$Y$301, MATCH(ROUND(MIN(300,MAX(1,D255)),0), FactorTable!$A$2:$A$301,0), Skills!M12+1)</f>
        <v/>
      </c>
      <c r="F255">
        <f>IF(Skills!N12=TRUE,(Skills!L12/10)*(E255/1000),Skills!L12/10)+Skills!O12</f>
        <v/>
      </c>
      <c r="G255">
        <f>Skills!G12*IF(Skills!H12&gt;0,Skills!I12/Skills!H12,1)</f>
        <v/>
      </c>
      <c r="H255">
        <f>1-(1-Skills!J12/100)^Skills!K12</f>
        <v/>
      </c>
      <c r="I255" t="inlineStr">
        <is>
          <t>1</t>
        </is>
      </c>
      <c r="J255">
        <f>((Inputs!$B$6*(1+Inputs!$B$7/100))+(((Inputs!$B$12*(1+Inputs!$B$13/100))-(Inputs!$B$12*(1+Inputs!$B$13/100)))+0.25*(Inputs!$B$14-Inputs!$B$14))*(1+Inputs!$B$7/100))*(F255/100)</f>
        <v/>
      </c>
      <c r="K255">
        <f>J255*(1+((Inputs!$B$12*(1+Inputs!$B$13/100))*0.01+Inputs!$B$14*0.0025)/100)*(1+Inputs!$B$15/100)*(1+(Inputs!$B$16+1)/100)*(5000/(6000+Inputs!$B$42*(1-(100*(1-(1-(Inputs!$B$19+0)/100)*(1-CHOOSE(ArtifactsInput!$N$40+1,5,6,7,8,9,10)/100)^(ArtifactsInput!$M$40-ArtifactsInput!$M$40)))/100)))*(1+(Inputs!$B$24+((C269=TRUE)*(F269-Calc!F26))+B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266=TRUE)*(F266-Calc!F23))+((C270=TRUE)*(F270-Calc!F27))+(((IF(AND(ArtifactsInput!$M$42,((Inputs!$B$9+((C262=TRUE)*(F262-Calc!F19))+B273+(ArtifactsInput!$M$24-ArtifactsInput!$M$24)*CHOOSE(ArtifactsInput!$N$24+1,10,12,14,16,18,20)+IF(ArtifactsInput!$M$10,CHOOSE(ArtifactsInput!$N$10+1,15,18,21,24,27,30)*(IF(Inputs!$B$38="pvp",MIN(15,15)/15,IF(AND(Inputs!$B$38&lt;&gt;"pvp",Inputs!$B$43&gt;0),MIN(15,Inputs!$B$43)/(Inputs!$B$43),0))),0)))&gt;=100),MIN(100,((Inputs!$B$9+((C262=TRUE)*(F262-Calc!F19))+B273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TRUE)*(F262-Calc!F19))+B273+(ArtifactsInput!$M$24-ArtifactsInput!$M$24)*CHOOSE(ArtifactsInput!$N$24+1,10,12,14,16,18,20)+IF(ArtifactsInput!$M$10,CHOOSE(ArtifactsInput!$N$10+1,15,18,21,24,27,30)*(IF(Inputs!$B$38="pvp",MIN(15,15)/15,IF(AND(Inputs!$B$38&lt;&gt;"pvp",Inputs!$B$43&gt;0),MIN(15,Inputs!$B$43)/(Inputs!$B$43),0))),0)))&gt;=100),CHOOSE(ArtifactsInput!$N$42+1,40,48,56,64,72,80),0))))/100)*((1+(((C260=TRUE)*F260)+((C267=TRUE)*(F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f>
        <v/>
      </c>
      <c r="L255">
        <f>K255*(MIN(Inputs!$B$22+((C265=TRUE)*(F265-Calc!F22)),(Inputs!$B$23+0+(IF(ArtifactsInput!$M$15,CHOOSE(ArtifactsInput!$N$15+1,25,30,35,40,45,50)/100*(Inputs!$B$11-Inputs!$B$11),0))))/100+(Inputs!$B$23+0+(IF(ArtifactsInput!$M$15,CHOOSE(ArtifactsInput!$N$15+1,25,30,35,40,45,50)/100*(Inputs!$B$11-Inputs!$B$11),0)))/100)/2</f>
        <v/>
      </c>
      <c r="M255">
        <f>L255*(1+(Inputs!$B$10+((C268=TRUE)*(F268-Calc!F25))+B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
        <f>L255*(1-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
        <f>(1-Summary!$B$11)*T255+Summary!$B$11*V255</f>
        <v/>
      </c>
      <c r="P255">
        <f>IF(B283=0,0,O255/B283)</f>
        <v/>
      </c>
      <c r="Q255">
        <f>IFERROR(1/(IF(Inputs!$B$38="pvp",15,MAX(0.1,Skills!D12-IF(Skills!E12=TRUE,Inputs!$B$32,0)))*(1-IF(AND(ArtifactsInput!$M$27,Inputs!$B$4="Chapter Hunt"),CHOOSE(ArtifactsInput!$N$27+1,20,24,28,32,36,40),0)/100)),0)</f>
        <v/>
      </c>
      <c r="R255">
        <f>IF(AND(Inputs!$B$38&lt;&gt;"pvp",Inputs!$B$43&gt;0),IF(MAX(0,Inputs!$B$43-B280)&lt;=0,0,(INT(MAX(0,Inputs!$B$43-B280)/(IF(Inputs!$B$38="pvp",15,MAX(0.1,Skills!D12-IF(Skills!E12=TRUE,Inputs!$B$32,0)))*(1-IF(AND(ArtifactsInput!$M$27,Inputs!$B$4="Chapter Hunt"),CHOOSE(ArtifactsInput!$N$27+1,20,24,28,32,36,40),0)/100)))+1)),0)</f>
        <v/>
      </c>
      <c r="S255">
        <f>IFERROR(O255/N255,0)</f>
        <v/>
      </c>
      <c r="T255">
        <f>IF(C255,(H255*N255*IF(AND(Inputs!$B$38&lt;&gt;"pvp",Inputs!$B$43&gt;0),((Skills!G12*((R255-1)*IF(Skills!H12&gt;0,Skills!I12/Skills!H12,1)+IF(Skills!H12&gt;0,MIN(Skills!I12,MAX(0,MAX(0,Inputs!$B$43-B280)-((R255-1)*(IF(Inputs!$B$38="pvp",15,MAX(0.1,Skills!D12-IF(Skills!E12=TRUE,Inputs!$B$32,0)))*(1-IF(AND(ArtifactsInput!$M$27,Inputs!$B$4="Chapter Hunt"),CHOOSE(ArtifactsInput!$N$27+1,20,24,28,32,36,40),0)/100)))))/Skills!H12,1)))/Inputs!$B$43),G255*Q255)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
        <f>IF(C255,(H255*N255*IF(AND(Inputs!$B$38&lt;&gt;"pvp",Inputs!$B$43&gt;0),((Skills!G12*((R255-1)*IF(Skills!H12&gt;0,Skills!I12/Skills!H12,1)+IF(Skills!H12&gt;0,MIN(Skills!I12,MAX(0,MAX(0,Inputs!$B$43-B280)-((R255-1)*(IF(Inputs!$B$38="pvp",15,MAX(0.1,Skills!D12-IF(Skills!E12=TRUE,Inputs!$B$32,0)))*(1-IF(AND(ArtifactsInput!$M$27,Inputs!$B$4="Chapter Hunt"),CHOOSE(ArtifactsInput!$N$27+1,20,24,28,32,36,40),0)/100)))))/Skills!H12,1)))/Inputs!$B$43),G255*Q255))*IF(Inputs!$B$38="pvp",1,(1+(Inputs!$B$21+Skills!Q12+(IF(ArtifactsInput!$M$33,CHOOSE(ArtifactsInput!$N$33+1,30,36,42,48,54,60)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
      <c r="A256">
        <f>Skills!A13</f>
        <v/>
      </c>
      <c r="B256">
        <f>Skills!B13</f>
        <v/>
      </c>
      <c r="C256">
        <f>Inputs!$B$3&gt;=110</f>
        <v/>
      </c>
      <c r="D256">
        <f>IF(Skills!C13=1,60+Inputs!$B$25+Inputs!$B$29,IF(Skills!C13=2,90+Inputs!$B$26+Inputs!$B$29,IF(Skills!C13=3,120+Inputs!$B$27+Inputs!$B$29,MAX(0,(Inputs!$B$3-100)*3)+Inputs!$B$28+Inputs!$B$29)))</f>
        <v/>
      </c>
      <c r="E256">
        <f>INDEX(FactorTable!$B$2:$Y$301, MATCH(ROUND(MIN(300,MAX(1,D256)),0), FactorTable!$A$2:$A$301,0), Skills!M13+1)</f>
        <v/>
      </c>
      <c r="F256">
        <f>IF(Skills!N13=TRUE,(Skills!L13/10)*(E256/1000),Skills!L13/10)+Skills!O13</f>
        <v/>
      </c>
      <c r="G256">
        <f>Skills!G13*IF(Skills!H13&gt;0,Skills!I13/Skills!H13,1)</f>
        <v/>
      </c>
      <c r="H256">
        <f>1-(1-Skills!J13/100)^Skills!K13</f>
        <v/>
      </c>
      <c r="I256" t="inlineStr">
        <is>
          <t>1</t>
        </is>
      </c>
      <c r="J256">
        <f>((Inputs!$B$6*(1+Inputs!$B$7/100))+(((Inputs!$B$12*(1+Inputs!$B$13/100))-(Inputs!$B$12*(1+Inputs!$B$13/100)))+0.25*(Inputs!$B$14-Inputs!$B$14))*(1+Inputs!$B$7/100))*(F256/100)</f>
        <v/>
      </c>
      <c r="K256">
        <f>J256*(1+((Inputs!$B$12*(1+Inputs!$B$13/100))*0.01+Inputs!$B$14*0.0025)/100)*(1+Inputs!$B$15/100)*(1+(Inputs!$B$16+1)/100)*(5000/(6000+Inputs!$B$42*(1-(100*(1-(1-(Inputs!$B$19+0)/100)*(1-CHOOSE(ArtifactsInput!$N$40+1,5,6,7,8,9,10)/100)^(ArtifactsInput!$M$40-ArtifactsInput!$M$40)))/100)))*(1+(Inputs!$B$24+((C269=TRUE)*(F269-Calc!F26))+B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266=TRUE)*(F266-Calc!F23))+((C270=TRUE)*(F270-Calc!F27))+(((IF(AND(ArtifactsInput!$M$42,((Inputs!$B$9+((C262=TRUE)*(F262-Calc!F19))+B273+(ArtifactsInput!$M$24-ArtifactsInput!$M$24)*CHOOSE(ArtifactsInput!$N$24+1,10,12,14,16,18,20)+IF(ArtifactsInput!$M$10,CHOOSE(ArtifactsInput!$N$10+1,15,18,21,24,27,30)*(IF(Inputs!$B$38="pvp",MIN(15,15)/15,IF(AND(Inputs!$B$38&lt;&gt;"pvp",Inputs!$B$43&gt;0),MIN(15,Inputs!$B$43)/(Inputs!$B$43),0))),0)))&gt;=100),MIN(100,((Inputs!$B$9+((C262=TRUE)*(F262-Calc!F19))+B273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TRUE)*(F262-Calc!F19))+B273+(ArtifactsInput!$M$24-ArtifactsInput!$M$24)*CHOOSE(ArtifactsInput!$N$24+1,10,12,14,16,18,20)+IF(ArtifactsInput!$M$10,CHOOSE(ArtifactsInput!$N$10+1,15,18,21,24,27,30)*(IF(Inputs!$B$38="pvp",MIN(15,15)/15,IF(AND(Inputs!$B$38&lt;&gt;"pvp",Inputs!$B$43&gt;0),MIN(15,Inputs!$B$43)/(Inputs!$B$43),0))),0)))&gt;=100),CHOOSE(ArtifactsInput!$N$42+1,40,48,56,64,72,80),0))))/100)*((1+(((C260=TRUE)*F260)+((C267=TRUE)*(F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f>
        <v/>
      </c>
      <c r="L256">
        <f>K256*(MIN(Inputs!$B$22+((C265=TRUE)*(F265-Calc!F22)),(Inputs!$B$23+0+(IF(ArtifactsInput!$M$15,CHOOSE(ArtifactsInput!$N$15+1,25,30,35,40,45,50)/100*(Inputs!$B$11-Inputs!$B$11),0))))/100+(Inputs!$B$23+0+(IF(ArtifactsInput!$M$15,CHOOSE(ArtifactsInput!$N$15+1,25,30,35,40,45,50)/100*(Inputs!$B$11-Inputs!$B$11),0)))/100)/2</f>
        <v/>
      </c>
      <c r="M256">
        <f>L256*(1+(Inputs!$B$10+((C268=TRUE)*(F268-Calc!F25))+B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
        <f>L256*(1-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
        <f>(1-Summary!$B$11)*T256+Summary!$B$11*V256</f>
        <v/>
      </c>
      <c r="P256">
        <f>IF(B283=0,0,O256/B283)</f>
        <v/>
      </c>
      <c r="Q256">
        <f>IFERROR(1/(IF(Inputs!$B$38="pvp",15,MAX(0.1,Skills!D13-IF(Skills!E13=TRUE,Inputs!$B$32,0)))*(1-IF(AND(ArtifactsInput!$M$27,Inputs!$B$4="Chapter Hunt"),CHOOSE(ArtifactsInput!$N$27+1,20,24,28,32,36,40),0)/100)),0)</f>
        <v/>
      </c>
      <c r="R256">
        <f>IF(AND(Inputs!$B$38&lt;&gt;"pvp",Inputs!$B$43&gt;0),IF(MAX(0,Inputs!$B$43-B280)&lt;=0,0,(INT(MAX(0,Inputs!$B$43-B280)/(IF(Inputs!$B$38="pvp",15,MAX(0.1,Skills!D13-IF(Skills!E13=TRUE,Inputs!$B$32,0)))*(1-IF(AND(ArtifactsInput!$M$27,Inputs!$B$4="Chapter Hunt"),CHOOSE(ArtifactsInput!$N$27+1,20,24,28,32,36,40),0)/100)))+1)),0)</f>
        <v/>
      </c>
      <c r="S256">
        <f>IFERROR(O256/N256,0)</f>
        <v/>
      </c>
      <c r="T256">
        <f>IF(C256,(H256*N256*IF(AND(Inputs!$B$38&lt;&gt;"pvp",Inputs!$B$43&gt;0),((Skills!G13*((R256-1)*IF(Skills!H13&gt;0,Skills!I13/Skills!H13,1)+IF(Skills!H13&gt;0,MIN(Skills!I13,MAX(0,MAX(0,Inputs!$B$43-B280)-((R256-1)*(IF(Inputs!$B$38="pvp",15,MAX(0.1,Skills!D13-IF(Skills!E13=TRUE,Inputs!$B$32,0)))*(1-IF(AND(ArtifactsInput!$M$27,Inputs!$B$4="Chapter Hunt"),CHOOSE(ArtifactsInput!$N$27+1,20,24,28,32,36,40),0)/100)))))/Skills!H13,1)))/Inputs!$B$43),G256*Q256)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
        <f>IF(C256,(H256*N256*IF(AND(Inputs!$B$38&lt;&gt;"pvp",Inputs!$B$43&gt;0),((Skills!G13*((R256-1)*IF(Skills!H13&gt;0,Skills!I13/Skills!H13,1)+IF(Skills!H13&gt;0,MIN(Skills!I13,MAX(0,MAX(0,Inputs!$B$43-B280)-((R256-1)*(IF(Inputs!$B$38="pvp",15,MAX(0.1,Skills!D13-IF(Skills!E13=TRUE,Inputs!$B$32,0)))*(1-IF(AND(ArtifactsInput!$M$27,Inputs!$B$4="Chapter Hunt"),CHOOSE(ArtifactsInput!$N$27+1,20,24,28,32,36,40),0)/100)))))/Skills!H13,1)))/Inputs!$B$43),G256*Q256))*IF(Inputs!$B$38="pvp",1,(1+(Inputs!$B$21+Skills!Q13+(IF(ArtifactsInput!$M$33,CHOOSE(ArtifactsInput!$N$33+1,30,36,42,48,54,60)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
      <c r="A257">
        <f>Skills!A14</f>
        <v/>
      </c>
      <c r="B257">
        <f>Skills!B14</f>
        <v/>
      </c>
      <c r="C257">
        <f>Inputs!$B$3&gt;=125</f>
        <v/>
      </c>
      <c r="D257">
        <f>IF(Skills!C14=1,60+Inputs!$B$25+Inputs!$B$29,IF(Skills!C14=2,90+Inputs!$B$26+Inputs!$B$29,IF(Skills!C14=3,120+Inputs!$B$27+Inputs!$B$29,MAX(0,(Inputs!$B$3-100)*3)+Inputs!$B$28+Inputs!$B$29)))</f>
        <v/>
      </c>
      <c r="E257">
        <f>INDEX(FactorTable!$B$2:$Y$301, MATCH(ROUND(MIN(300,MAX(1,D257)),0), FactorTable!$A$2:$A$301,0), Skills!M14+1)</f>
        <v/>
      </c>
      <c r="F257">
        <f>IF(Skills!N14=TRUE,(Skills!L14/10)*(E257/1000),Skills!L14/10)+Skills!O14</f>
        <v/>
      </c>
      <c r="G257">
        <f>Skills!G14*IF(Skills!H14&gt;0,Skills!I14/Skills!H14,1)</f>
        <v/>
      </c>
      <c r="H257">
        <f>1-(1-Skills!J14/100)^Skills!K14</f>
        <v/>
      </c>
      <c r="I257" t="inlineStr">
        <is>
          <t>1</t>
        </is>
      </c>
      <c r="J257">
        <f>((Inputs!$B$6*(1+Inputs!$B$7/100))+(((Inputs!$B$12*(1+Inputs!$B$13/100))-(Inputs!$B$12*(1+Inputs!$B$13/100)))+0.25*(Inputs!$B$14-Inputs!$B$14))*(1+Inputs!$B$7/100))*(F257/100)</f>
        <v/>
      </c>
      <c r="K257">
        <f>J257*(1+((Inputs!$B$12*(1+Inputs!$B$13/100))*0.01+Inputs!$B$14*0.0025)/100)*(1+Inputs!$B$15/100)*(1+(Inputs!$B$16+1)/100)*(5000/(6000+Inputs!$B$42*(1-(100*(1-(1-(Inputs!$B$19+0)/100)*(1-CHOOSE(ArtifactsInput!$N$40+1,5,6,7,8,9,10)/100)^(ArtifactsInput!$M$40-ArtifactsInput!$M$40)))/100)))*(1+(Inputs!$B$24+((C269=TRUE)*(F269-Calc!F26))+B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266=TRUE)*(F266-Calc!F23))+((C270=TRUE)*(F270-Calc!F27))+(((IF(AND(ArtifactsInput!$M$42,((Inputs!$B$9+((C262=TRUE)*(F262-Calc!F19))+B273+(ArtifactsInput!$M$24-ArtifactsInput!$M$24)*CHOOSE(ArtifactsInput!$N$24+1,10,12,14,16,18,20)+IF(ArtifactsInput!$M$10,CHOOSE(ArtifactsInput!$N$10+1,15,18,21,24,27,30)*(IF(Inputs!$B$38="pvp",MIN(15,15)/15,IF(AND(Inputs!$B$38&lt;&gt;"pvp",Inputs!$B$43&gt;0),MIN(15,Inputs!$B$43)/(Inputs!$B$43),0))),0)))&gt;=100),MIN(100,((Inputs!$B$9+((C262=TRUE)*(F262-Calc!F19))+B273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TRUE)*(F262-Calc!F19))+B273+(ArtifactsInput!$M$24-ArtifactsInput!$M$24)*CHOOSE(ArtifactsInput!$N$24+1,10,12,14,16,18,20)+IF(ArtifactsInput!$M$10,CHOOSE(ArtifactsInput!$N$10+1,15,18,21,24,27,30)*(IF(Inputs!$B$38="pvp",MIN(15,15)/15,IF(AND(Inputs!$B$38&lt;&gt;"pvp",Inputs!$B$43&gt;0),MIN(15,Inputs!$B$43)/(Inputs!$B$43),0))),0)))&gt;=100),CHOOSE(ArtifactsInput!$N$42+1,40,48,56,64,72,80),0))))/100)*((1+(((C260=TRUE)*F260)+((C267=TRUE)*(F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f>
        <v/>
      </c>
      <c r="L257">
        <f>K257*(MIN(Inputs!$B$22+((C265=TRUE)*(F265-Calc!F22)),(Inputs!$B$23+0+(IF(ArtifactsInput!$M$15,CHOOSE(ArtifactsInput!$N$15+1,25,30,35,40,45,50)/100*(Inputs!$B$11-Inputs!$B$11),0))))/100+(Inputs!$B$23+0+(IF(ArtifactsInput!$M$15,CHOOSE(ArtifactsInput!$N$15+1,25,30,35,40,45,50)/100*(Inputs!$B$11-Inputs!$B$11),0)))/100)/2</f>
        <v/>
      </c>
      <c r="M257">
        <f>L257*(1+(Inputs!$B$10+((C268=TRUE)*(F268-Calc!F25))+B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
        <f>L257*(1-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
        <f>(1-Summary!$B$11)*T257+Summary!$B$11*V257</f>
        <v/>
      </c>
      <c r="P257">
        <f>IF(B283=0,0,O257/B283)</f>
        <v/>
      </c>
      <c r="Q257" t="n">
        <v>0</v>
      </c>
      <c r="R257" t="n">
        <v>0</v>
      </c>
      <c r="S257">
        <f>IFERROR(O257/N257,0)</f>
        <v/>
      </c>
      <c r="T257">
        <f>IF(C257,(H257*N257*(B277+IF(AND(Inputs!$B$38&lt;&gt;"pvp",Inputs!$B$43&gt;0),((Skills!G8*((R251-1)*IF(Skills!H8&gt;0,Skills!I8/Skills!H8,1)+IF(Skills!H8&gt;0,MIN(Skills!I8,MAX(0,MAX(0,Inputs!$B$43-B280)-((R251-1)*(IF(Inputs!$B$38="pvp",15,MAX(0.1,Skills!D8-IF(Skills!E8=TRUE,Inputs!$B$32,0)))*(1-IF(AND(ArtifactsInput!$M$27,Inputs!$B$4="Chapter Hunt"),CHOOSE(ArtifactsInput!$N$27+1,20,24,28,32,36,40),0)/100)))))/Skills!H8,1)))/Inputs!$B$43),G251*Q251)+IF(AND(Inputs!$B$38&lt;&gt;"pvp",Inputs!$B$43&gt;0),((Skills!G11*((R254-1)*IF(Skills!H11&gt;0,Skills!I11/Skills!H11,1)+IF(Skills!H11&gt;0,MIN(Skills!I11,MAX(0,MAX(0,Inputs!$B$43-B280)-((R254-1)*(IF(Inputs!$B$38="pvp",15,MAX(0.1,Skills!D11-IF(Skills!E11=TRUE,Inputs!$B$32,0)))*(1-IF(AND(ArtifactsInput!$M$27,Inputs!$B$4="Chapter Hunt"),CHOOSE(ArtifactsInput!$N$27+1,20,24,28,32,36,40),0)/100)))))/Skills!H11,1)))/Inputs!$B$43),G254*Q254)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
        <f>IF(C257,(H257*N257*(B277+IF(AND(Inputs!$B$38&lt;&gt;"pvp",Inputs!$B$43&gt;0),((Skills!G8*((R251-1)*IF(Skills!H8&gt;0,Skills!I8/Skills!H8,1)+IF(Skills!H8&gt;0,MIN(Skills!I8,MAX(0,MAX(0,Inputs!$B$43-B280)-((R251-1)*(IF(Inputs!$B$38="pvp",15,MAX(0.1,Skills!D8-IF(Skills!E8=TRUE,Inputs!$B$32,0)))*(1-IF(AND(ArtifactsInput!$M$27,Inputs!$B$4="Chapter Hunt"),CHOOSE(ArtifactsInput!$N$27+1,20,24,28,32,36,40),0)/100)))))/Skills!H8,1)))/Inputs!$B$43),G251*Q251)+IF(AND(Inputs!$B$38&lt;&gt;"pvp",Inputs!$B$43&gt;0),((Skills!G11*((R254-1)*IF(Skills!H11&gt;0,Skills!I11/Skills!H11,1)+IF(Skills!H11&gt;0,MIN(Skills!I11,MAX(0,MAX(0,Inputs!$B$43-B280)-((R254-1)*(IF(Inputs!$B$38="pvp",15,MAX(0.1,Skills!D11-IF(Skills!E11=TRUE,Inputs!$B$32,0)))*(1-IF(AND(ArtifactsInput!$M$27,Inputs!$B$4="Chapter Hunt"),CHOOSE(ArtifactsInput!$N$27+1,20,24,28,32,36,40),0)/100)))))/Skills!H11,1)))/Inputs!$B$43),G254*Q254)))*IF(Inputs!$B$38="pvp",1,(1+(Inputs!$B$21+Skills!Q14+(IF(ArtifactsInput!$M$33,CHOOSE(ArtifactsInput!$N$33+1,30,36,42,48,54,60)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
      <c r="A258">
        <f>Skills!A15</f>
        <v/>
      </c>
      <c r="B258">
        <f>Skills!B15</f>
        <v/>
      </c>
      <c r="C258">
        <f>Inputs!$B$3&gt;=100</f>
        <v/>
      </c>
      <c r="D258">
        <f>IF(Skills!C15=1,60+Inputs!$B$25+Inputs!$B$29,IF(Skills!C15=2,90+Inputs!$B$26+Inputs!$B$29,IF(Skills!C15=3,120+Inputs!$B$27+Inputs!$B$29,MAX(0,(Inputs!$B$3-100)*3)+Inputs!$B$28+Inputs!$B$29)))</f>
        <v/>
      </c>
      <c r="E258">
        <f>INDEX(FactorTable!$B$2:$Y$301, MATCH(ROUND(MIN(300,MAX(1,D258)),0), FactorTable!$A$2:$A$301,0), Skills!M15+1)</f>
        <v/>
      </c>
      <c r="F258">
        <f>IF(Skills!N15=TRUE,(Skills!L15/10)*(E258/1000),Skills!L15/10)+Skills!O15</f>
        <v/>
      </c>
      <c r="G258" t="inlineStr"/>
      <c r="H258" t="inlineStr"/>
      <c r="I258" t="inlineStr">
        <is>
          <t>1</t>
        </is>
      </c>
      <c r="J258" t="inlineStr"/>
      <c r="K258" t="inlineStr"/>
      <c r="L258" t="inlineStr"/>
      <c r="M258" t="inlineStr"/>
      <c r="N258" t="inlineStr"/>
      <c r="O258" t="inlineStr"/>
      <c r="P258" t="inlineStr"/>
      <c r="Q258" t="inlineStr"/>
      <c r="R258" t="inlineStr"/>
      <c r="S258" t="inlineStr"/>
    </row>
    <row r="259">
      <c r="A259">
        <f>Skills!A16</f>
        <v/>
      </c>
      <c r="B259">
        <f>Skills!B16</f>
        <v/>
      </c>
      <c r="C259">
        <f>Inputs!$B$3&gt;=120</f>
        <v/>
      </c>
      <c r="D259">
        <f>IF(Skills!C16=1,60+Inputs!$B$25+Inputs!$B$29,IF(Skills!C16=2,90+Inputs!$B$26+Inputs!$B$29,IF(Skills!C16=3,120+Inputs!$B$27+Inputs!$B$29,MAX(0,(Inputs!$B$3-100)*3)+Inputs!$B$28+Inputs!$B$29)))</f>
        <v/>
      </c>
      <c r="E259">
        <f>INDEX(FactorTable!$B$2:$Y$301, MATCH(ROUND(MIN(300,MAX(1,D259)),0), FactorTable!$A$2:$A$301,0), Skills!M16+1)</f>
        <v/>
      </c>
      <c r="F259">
        <f>IF(Skills!N16=TRUE,(Skills!L16/10)*(E259/1000),Skills!L16/10)+Skills!O16</f>
        <v/>
      </c>
      <c r="G259" t="inlineStr"/>
      <c r="H259" t="inlineStr"/>
      <c r="I259" t="inlineStr">
        <is>
          <t>1</t>
        </is>
      </c>
      <c r="J259" t="inlineStr"/>
      <c r="K259" t="inlineStr"/>
      <c r="L259" t="inlineStr"/>
      <c r="M259" t="inlineStr"/>
      <c r="N259" t="inlineStr"/>
      <c r="O259" t="inlineStr"/>
      <c r="P259" t="inlineStr"/>
      <c r="Q259" t="inlineStr"/>
      <c r="R259" t="inlineStr"/>
      <c r="S259" t="inlineStr"/>
    </row>
    <row r="260">
      <c r="A260">
        <f>Skills!A17</f>
        <v/>
      </c>
      <c r="B260">
        <f>Skills!B17</f>
        <v/>
      </c>
      <c r="C260">
        <f>Inputs!$B$3&gt;=66</f>
        <v/>
      </c>
      <c r="D260">
        <f>IF(Skills!C17=1,60+Inputs!$B$25+Inputs!$B$29,IF(Skills!C17=2,90+Inputs!$B$26+Inputs!$B$29,IF(Skills!C17=3,120+Inputs!$B$27+Inputs!$B$29,MAX(0,(Inputs!$B$3-100)*3)+Inputs!$B$28+Inputs!$B$29)))</f>
        <v/>
      </c>
      <c r="E260">
        <f>INDEX(FactorTable!$B$2:$Y$301, MATCH(ROUND(MIN(300,MAX(1,D260)),0), FactorTable!$A$2:$A$301,0), Skills!M17+1)</f>
        <v/>
      </c>
      <c r="F260">
        <f>IF(Skills!N17=TRUE,(Skills!L17/10)*(E260/1000),Skills!L17/10)+Skills!O17</f>
        <v/>
      </c>
      <c r="G260">
        <f>Skills!G17*IF(Skills!H17&gt;0,Skills!I17/Skills!H17,1)</f>
        <v/>
      </c>
      <c r="H260">
        <f>1-(1-Skills!J17/100)^Skills!K17</f>
        <v/>
      </c>
      <c r="I260" t="inlineStr">
        <is>
          <t>1</t>
        </is>
      </c>
      <c r="J260" t="inlineStr"/>
      <c r="K260" t="inlineStr"/>
      <c r="L260" t="inlineStr"/>
      <c r="M260" t="inlineStr"/>
      <c r="N260" t="inlineStr"/>
      <c r="O260">
        <f>(1-Summary!$B$11)*T260+Summary!$B$11*V260</f>
        <v/>
      </c>
      <c r="P260">
        <f>IF(B283=0,0,O260/B283)</f>
        <v/>
      </c>
      <c r="Q260" t="n">
        <v>0</v>
      </c>
      <c r="R260" t="n">
        <v>0</v>
      </c>
      <c r="S260">
        <f>IFERROR(O260/N260,0)</f>
        <v/>
      </c>
      <c r="T260" t="n">
        <v>0</v>
      </c>
      <c r="V260" t="n">
        <v>0</v>
      </c>
    </row>
    <row r="261">
      <c r="A261">
        <f>Skills!A18</f>
        <v/>
      </c>
      <c r="B261">
        <f>Skills!B18</f>
        <v/>
      </c>
      <c r="C261">
        <f>Inputs!$B$3&gt;=115</f>
        <v/>
      </c>
      <c r="D261">
        <f>IF(Skills!C18=1,60+Inputs!$B$25+Inputs!$B$29,IF(Skills!C18=2,90+Inputs!$B$26+Inputs!$B$29,IF(Skills!C18=3,120+Inputs!$B$27+Inputs!$B$29,MAX(0,(Inputs!$B$3-100)*3)+Inputs!$B$28+Inputs!$B$29)))</f>
        <v/>
      </c>
      <c r="E261">
        <f>INDEX(FactorTable!$B$2:$Y$301, MATCH(ROUND(MIN(300,MAX(1,D261)),0), FactorTable!$A$2:$A$301,0), Skills!M18+1)</f>
        <v/>
      </c>
      <c r="F261">
        <f>IF(Skills!N18=TRUE,(Skills!L18/10)*(E261/1000),Skills!L18/10)+Skills!O18</f>
        <v/>
      </c>
      <c r="G261">
        <f>Skills!G18*IF(Skills!H18&gt;0,Skills!I18/Skills!H18,1)</f>
        <v/>
      </c>
      <c r="H261">
        <f>1-(1-Skills!J18/100)^Skills!K18</f>
        <v/>
      </c>
      <c r="I261" t="inlineStr">
        <is>
          <t>1</t>
        </is>
      </c>
      <c r="J261" t="inlineStr"/>
      <c r="K261" t="inlineStr"/>
      <c r="L261" t="inlineStr"/>
      <c r="M261" t="inlineStr"/>
      <c r="N261" t="inlineStr"/>
      <c r="O261">
        <f>(1-Summary!$B$11)*T261+Summary!$B$11*V261</f>
        <v/>
      </c>
      <c r="P261">
        <f>IF(B283=0,0,O261/B283)</f>
        <v/>
      </c>
      <c r="Q261" t="n">
        <v>0</v>
      </c>
      <c r="R261" t="n">
        <v>0</v>
      </c>
      <c r="S261">
        <f>IFERROR(O261/N261,0)</f>
        <v/>
      </c>
      <c r="T261" t="n">
        <v>0</v>
      </c>
      <c r="V261" t="n">
        <v>0</v>
      </c>
    </row>
    <row r="262">
      <c r="A262">
        <f>Skills!A19</f>
        <v/>
      </c>
      <c r="B262">
        <f>Skills!B19</f>
        <v/>
      </c>
      <c r="C262">
        <f>Inputs!$B$3&gt;=15</f>
        <v/>
      </c>
      <c r="D262">
        <f>IF(Skills!C19=1,60+Inputs!$B$25+Inputs!$B$29,IF(Skills!C19=2,90+Inputs!$B$26+Inputs!$B$29,IF(Skills!C19=3,120+Inputs!$B$27+Inputs!$B$29,MAX(0,(Inputs!$B$3-100)*3)+Inputs!$B$28+Inputs!$B$29)))</f>
        <v/>
      </c>
      <c r="E262">
        <f>INDEX(FactorTable!$B$2:$Y$301, MATCH(ROUND(MIN(300,MAX(1,D262)),0), FactorTable!$A$2:$A$301,0), Skills!M19+1)</f>
        <v/>
      </c>
      <c r="F262">
        <f>IF(Skills!N19=TRUE,(Skills!L19/10)*(E262/1000),Skills!L19/10)+Skills!O19</f>
        <v/>
      </c>
      <c r="G262">
        <f>Skills!G19*IF(Skills!H19&gt;0,Skills!I19/Skills!H19,1)</f>
        <v/>
      </c>
      <c r="H262">
        <f>1-(1-Skills!J19/100)^Skills!K19</f>
        <v/>
      </c>
      <c r="I262" t="inlineStr">
        <is>
          <t>1</t>
        </is>
      </c>
      <c r="J262" t="inlineStr"/>
      <c r="K262" t="inlineStr"/>
      <c r="L262" t="inlineStr"/>
      <c r="M262" t="inlineStr"/>
      <c r="N262" t="inlineStr"/>
      <c r="O262">
        <f>(1-Summary!$B$11)*T262+Summary!$B$11*V262</f>
        <v/>
      </c>
      <c r="P262">
        <f>IF(B283=0,0,O262/B283)</f>
        <v/>
      </c>
      <c r="Q262" t="n">
        <v>0</v>
      </c>
      <c r="R262" t="n">
        <v>0</v>
      </c>
      <c r="S262">
        <f>IFERROR(O262/N262,0)</f>
        <v/>
      </c>
      <c r="T262" t="n">
        <v>0</v>
      </c>
      <c r="V262" t="n">
        <v>0</v>
      </c>
    </row>
    <row r="263">
      <c r="A263">
        <f>Skills!A20</f>
        <v/>
      </c>
      <c r="B263">
        <f>Skills!B20</f>
        <v/>
      </c>
      <c r="C263">
        <f>Inputs!$B$3&gt;=10</f>
        <v/>
      </c>
      <c r="D263">
        <f>IF(Skills!C20=1,60+Inputs!$B$25+Inputs!$B$29,IF(Skills!C20=2,90+Inputs!$B$26+Inputs!$B$29,IF(Skills!C20=3,120+Inputs!$B$27+Inputs!$B$29,MAX(0,(Inputs!$B$3-100)*3)+Inputs!$B$28+Inputs!$B$29)))</f>
        <v/>
      </c>
      <c r="E263">
        <f>INDEX(FactorTable!$B$2:$Y$301, MATCH(ROUND(MIN(300,MAX(1,D263)),0), FactorTable!$A$2:$A$301,0), Skills!M20+1)</f>
        <v/>
      </c>
      <c r="F263">
        <f>IF(Skills!N20=TRUE,(Skills!L20/10)*(E263/1000),Skills!L20/10)+Skills!O20</f>
        <v/>
      </c>
      <c r="G263">
        <f>Skills!G20*IF(Skills!H20&gt;0,Skills!I20/Skills!H20,1)</f>
        <v/>
      </c>
      <c r="H263">
        <f>1-(1-Skills!J20/100)^Skills!K20</f>
        <v/>
      </c>
      <c r="I263" t="inlineStr">
        <is>
          <t>1</t>
        </is>
      </c>
      <c r="J263" t="inlineStr"/>
      <c r="K263" t="inlineStr"/>
      <c r="L263" t="inlineStr"/>
      <c r="M263" t="inlineStr"/>
      <c r="N263" t="inlineStr"/>
      <c r="O263">
        <f>(1-Summary!$B$11)*T263+Summary!$B$11*V263</f>
        <v/>
      </c>
      <c r="P263">
        <f>IF(B283=0,0,O263/B283)</f>
        <v/>
      </c>
      <c r="Q263" t="n">
        <v>0</v>
      </c>
      <c r="R263" t="n">
        <v>0</v>
      </c>
      <c r="S263">
        <f>IFERROR(O263/N263,0)</f>
        <v/>
      </c>
      <c r="T263" t="n">
        <v>0</v>
      </c>
      <c r="V263" t="n">
        <v>0</v>
      </c>
    </row>
    <row r="264">
      <c r="A264">
        <f>Skills!A21</f>
        <v/>
      </c>
      <c r="B264">
        <f>Skills!B21</f>
        <v/>
      </c>
      <c r="C264">
        <f>Inputs!$B$3&gt;=33</f>
        <v/>
      </c>
      <c r="D264">
        <f>IF(Skills!C21=1,60+Inputs!$B$25+Inputs!$B$29,IF(Skills!C21=2,90+Inputs!$B$26+Inputs!$B$29,IF(Skills!C21=3,120+Inputs!$B$27+Inputs!$B$29,MAX(0,(Inputs!$B$3-100)*3)+Inputs!$B$28+Inputs!$B$29)))</f>
        <v/>
      </c>
      <c r="E264">
        <f>INDEX(FactorTable!$B$2:$Y$301, MATCH(ROUND(MIN(300,MAX(1,D264)),0), FactorTable!$A$2:$A$301,0), Skills!M21+1)</f>
        <v/>
      </c>
      <c r="F264">
        <f>IF(Skills!N21=TRUE,(Skills!L21/10)*(E264/1000),Skills!L21/10)+Skills!O21</f>
        <v/>
      </c>
      <c r="G264">
        <f>Skills!G21*IF(Skills!H21&gt;0,Skills!I21/Skills!H21,1)</f>
        <v/>
      </c>
      <c r="H264">
        <f>1-(1-Skills!J21/100)^Skills!K21</f>
        <v/>
      </c>
      <c r="I264" t="inlineStr">
        <is>
          <t>1</t>
        </is>
      </c>
      <c r="J264" t="inlineStr"/>
      <c r="K264" t="inlineStr"/>
      <c r="L264" t="inlineStr"/>
      <c r="M264" t="inlineStr"/>
      <c r="N264" t="inlineStr"/>
      <c r="O264">
        <f>(1-Summary!$B$11)*T264+Summary!$B$11*V264</f>
        <v/>
      </c>
      <c r="P264">
        <f>IF(B283=0,0,O264/B283)</f>
        <v/>
      </c>
      <c r="Q264" t="n">
        <v>0</v>
      </c>
      <c r="R264" t="n">
        <v>0</v>
      </c>
      <c r="S264">
        <f>IFERROR(O264/N264,0)</f>
        <v/>
      </c>
      <c r="T264" t="n">
        <v>0</v>
      </c>
      <c r="V264" t="n">
        <v>0</v>
      </c>
    </row>
    <row r="265">
      <c r="A265">
        <f>Skills!A22</f>
        <v/>
      </c>
      <c r="B265">
        <f>Skills!B22</f>
        <v/>
      </c>
      <c r="C265">
        <f>Inputs!$B$3&gt;=43</f>
        <v/>
      </c>
      <c r="D265">
        <f>IF(Skills!C22=1,60+Inputs!$B$25+Inputs!$B$29,IF(Skills!C22=2,90+Inputs!$B$26+Inputs!$B$29,IF(Skills!C22=3,120+Inputs!$B$27+Inputs!$B$29,MAX(0,(Inputs!$B$3-100)*3)+Inputs!$B$28+Inputs!$B$29)))</f>
        <v/>
      </c>
      <c r="E265">
        <f>INDEX(FactorTable!$B$2:$Y$301, MATCH(ROUND(MIN(300,MAX(1,D265)),0), FactorTable!$A$2:$A$301,0), Skills!M22+1)</f>
        <v/>
      </c>
      <c r="F265">
        <f>IF(Skills!N22=TRUE,(Skills!L22/10)*(E265/1000),Skills!L22/10)+Skills!O22</f>
        <v/>
      </c>
      <c r="G265">
        <f>Skills!G22*IF(Skills!H22&gt;0,Skills!I22/Skills!H22,1)</f>
        <v/>
      </c>
      <c r="H265">
        <f>1-(1-Skills!J22/100)^Skills!K22</f>
        <v/>
      </c>
      <c r="I265" t="inlineStr">
        <is>
          <t>1</t>
        </is>
      </c>
      <c r="J265" t="inlineStr"/>
      <c r="K265" t="inlineStr"/>
      <c r="L265" t="inlineStr"/>
      <c r="M265" t="inlineStr"/>
      <c r="N265" t="inlineStr"/>
      <c r="O265">
        <f>(1-Summary!$B$11)*T265+Summary!$B$11*V265</f>
        <v/>
      </c>
      <c r="P265">
        <f>IF(B283=0,0,O265/B283)</f>
        <v/>
      </c>
      <c r="Q265" t="n">
        <v>0</v>
      </c>
      <c r="R265" t="n">
        <v>0</v>
      </c>
      <c r="S265">
        <f>IFERROR(O265/N265,0)</f>
        <v/>
      </c>
      <c r="T265" t="n">
        <v>0</v>
      </c>
      <c r="V265" t="n">
        <v>0</v>
      </c>
    </row>
    <row r="266">
      <c r="A266">
        <f>Skills!A23</f>
        <v/>
      </c>
      <c r="B266">
        <f>Skills!B23</f>
        <v/>
      </c>
      <c r="C266">
        <f>Inputs!$B$3&gt;=38</f>
        <v/>
      </c>
      <c r="D266">
        <f>IF(Skills!C23=1,60+Inputs!$B$25+Inputs!$B$29,IF(Skills!C23=2,90+Inputs!$B$26+Inputs!$B$29,IF(Skills!C23=3,120+Inputs!$B$27+Inputs!$B$29,MAX(0,(Inputs!$B$3-100)*3)+Inputs!$B$28+Inputs!$B$29)))</f>
        <v/>
      </c>
      <c r="E266">
        <f>INDEX(FactorTable!$B$2:$Y$301, MATCH(ROUND(MIN(300,MAX(1,D266)),0), FactorTable!$A$2:$A$301,0), Skills!M23+1)</f>
        <v/>
      </c>
      <c r="F266">
        <f>IF(Skills!N23=TRUE,(Skills!L23/10)*(E266/1000),Skills!L23/10)+Skills!O23</f>
        <v/>
      </c>
      <c r="G266">
        <f>Skills!G23*IF(Skills!H23&gt;0,Skills!I23/Skills!H23,1)</f>
        <v/>
      </c>
      <c r="H266">
        <f>1-(1-Skills!J23/100)^Skills!K23</f>
        <v/>
      </c>
      <c r="I266" t="inlineStr">
        <is>
          <t>1</t>
        </is>
      </c>
      <c r="J266" t="inlineStr"/>
      <c r="K266" t="inlineStr"/>
      <c r="L266" t="inlineStr"/>
      <c r="M266" t="inlineStr"/>
      <c r="N266" t="inlineStr"/>
      <c r="O266">
        <f>(1-Summary!$B$11)*T266+Summary!$B$11*V266</f>
        <v/>
      </c>
      <c r="P266">
        <f>IF(B283=0,0,O266/B283)</f>
        <v/>
      </c>
      <c r="Q266" t="n">
        <v>0</v>
      </c>
      <c r="R266" t="n">
        <v>0</v>
      </c>
      <c r="S266">
        <f>IFERROR(O266/N266,0)</f>
        <v/>
      </c>
      <c r="T266" t="n">
        <v>0</v>
      </c>
      <c r="V266" t="n">
        <v>0</v>
      </c>
    </row>
    <row r="267">
      <c r="A267">
        <f>Skills!A24</f>
        <v/>
      </c>
      <c r="B267">
        <f>Skills!B24</f>
        <v/>
      </c>
      <c r="C267">
        <f>Inputs!$B$3&gt;=40</f>
        <v/>
      </c>
      <c r="D267">
        <f>IF(Skills!C24=1,60+Inputs!$B$25+Inputs!$B$29,IF(Skills!C24=2,90+Inputs!$B$26+Inputs!$B$29,IF(Skills!C24=3,120+Inputs!$B$27+Inputs!$B$29,MAX(0,(Inputs!$B$3-100)*3)+Inputs!$B$28+Inputs!$B$29)))</f>
        <v/>
      </c>
      <c r="E267">
        <f>INDEX(FactorTable!$B$2:$Y$301, MATCH(ROUND(MIN(300,MAX(1,D267)),0), FactorTable!$A$2:$A$301,0), Skills!M24+1)</f>
        <v/>
      </c>
      <c r="F267">
        <f>IF(Skills!N24=TRUE,(Skills!L24/10)*(E267/1000),Skills!L24/10)+Skills!O24</f>
        <v/>
      </c>
      <c r="G267">
        <f>Skills!G24*IF(Skills!H24&gt;0,Skills!I24/Skills!H24,1)</f>
        <v/>
      </c>
      <c r="H267">
        <f>1-(1-Skills!J24/100)^Skills!K24</f>
        <v/>
      </c>
      <c r="I267" t="inlineStr">
        <is>
          <t>1</t>
        </is>
      </c>
      <c r="J267" t="inlineStr"/>
      <c r="K267" t="inlineStr"/>
      <c r="L267" t="inlineStr"/>
      <c r="M267" t="inlineStr"/>
      <c r="N267" t="inlineStr"/>
      <c r="O267">
        <f>(1-Summary!$B$11)*T267+Summary!$B$11*V267</f>
        <v/>
      </c>
      <c r="P267">
        <f>IF(B283=0,0,O267/B283)</f>
        <v/>
      </c>
      <c r="Q267" t="n">
        <v>0</v>
      </c>
      <c r="R267" t="n">
        <v>0</v>
      </c>
      <c r="S267">
        <f>IFERROR(O267/N267,0)</f>
        <v/>
      </c>
      <c r="T267" t="n">
        <v>0</v>
      </c>
      <c r="V267" t="n">
        <v>0</v>
      </c>
    </row>
    <row r="268">
      <c r="A268">
        <f>Skills!A25</f>
        <v/>
      </c>
      <c r="B268">
        <f>Skills!B25</f>
        <v/>
      </c>
      <c r="C268">
        <f>Inputs!$B$3&gt;=72</f>
        <v/>
      </c>
      <c r="D268">
        <f>IF(Skills!C25=1,60+Inputs!$B$25+Inputs!$B$29,IF(Skills!C25=2,90+Inputs!$B$26+Inputs!$B$29,IF(Skills!C25=3,120+Inputs!$B$27+Inputs!$B$29,MAX(0,(Inputs!$B$3-100)*3)+Inputs!$B$28+Inputs!$B$29)))</f>
        <v/>
      </c>
      <c r="E268">
        <f>INDEX(FactorTable!$B$2:$Y$301, MATCH(ROUND(MIN(300,MAX(1,D268)),0), FactorTable!$A$2:$A$301,0), Skills!M25+1)</f>
        <v/>
      </c>
      <c r="F268">
        <f>IF(Skills!N25=TRUE,(Skills!L25/10)*(E268/1000),Skills!L25/10)+Skills!O25</f>
        <v/>
      </c>
      <c r="G268">
        <f>Skills!G25*IF(Skills!H25&gt;0,Skills!I25/Skills!H25,1)</f>
        <v/>
      </c>
      <c r="H268">
        <f>1-(1-Skills!J25/100)^Skills!K25</f>
        <v/>
      </c>
      <c r="I268" t="inlineStr">
        <is>
          <t>1</t>
        </is>
      </c>
      <c r="J268" t="inlineStr"/>
      <c r="K268" t="inlineStr"/>
      <c r="L268" t="inlineStr"/>
      <c r="M268" t="inlineStr"/>
      <c r="N268" t="inlineStr"/>
      <c r="O268">
        <f>(1-Summary!$B$11)*T268+Summary!$B$11*V268</f>
        <v/>
      </c>
      <c r="P268">
        <f>IF(B283=0,0,O268/B283)</f>
        <v/>
      </c>
      <c r="Q268" t="n">
        <v>0</v>
      </c>
      <c r="R268" t="n">
        <v>0</v>
      </c>
      <c r="S268">
        <f>IFERROR(O268/N268,0)</f>
        <v/>
      </c>
      <c r="T268" t="n">
        <v>0</v>
      </c>
      <c r="V268" t="n">
        <v>0</v>
      </c>
    </row>
    <row r="269">
      <c r="A269">
        <f>Skills!A26</f>
        <v/>
      </c>
      <c r="B269">
        <f>Skills!B26</f>
        <v/>
      </c>
      <c r="C269">
        <f>Inputs!$B$3&gt;=75</f>
        <v/>
      </c>
      <c r="D269">
        <f>IF(Skills!C26=1,60+Inputs!$B$25+Inputs!$B$29,IF(Skills!C26=2,90+Inputs!$B$26+Inputs!$B$29,IF(Skills!C26=3,120+Inputs!$B$27+Inputs!$B$29,MAX(0,(Inputs!$B$3-100)*3)+Inputs!$B$28+Inputs!$B$29)))</f>
        <v/>
      </c>
      <c r="E269">
        <f>INDEX(FactorTable!$B$2:$Y$301, MATCH(ROUND(MIN(300,MAX(1,D269)),0), FactorTable!$A$2:$A$301,0), Skills!M26+1)</f>
        <v/>
      </c>
      <c r="F269">
        <f>IF(Skills!N26=TRUE,(Skills!L26/10)*(E269/1000),Skills!L26/10)+Skills!O26</f>
        <v/>
      </c>
      <c r="G269">
        <f>Skills!G26*IF(Skills!H26&gt;0,Skills!I26/Skills!H26,1)</f>
        <v/>
      </c>
      <c r="H269">
        <f>1-(1-Skills!J26/100)^Skills!K26</f>
        <v/>
      </c>
      <c r="I269" t="inlineStr">
        <is>
          <t>1</t>
        </is>
      </c>
      <c r="J269" t="inlineStr"/>
      <c r="K269" t="inlineStr"/>
      <c r="L269" t="inlineStr"/>
      <c r="M269" t="inlineStr"/>
      <c r="N269" t="inlineStr"/>
      <c r="O269">
        <f>(1-Summary!$B$11)*T269+Summary!$B$11*V269</f>
        <v/>
      </c>
      <c r="P269">
        <f>IF(B283=0,0,O269/B283)</f>
        <v/>
      </c>
      <c r="Q269" t="n">
        <v>0</v>
      </c>
      <c r="R269" t="n">
        <v>0</v>
      </c>
      <c r="S269">
        <f>IFERROR(O269/N269,0)</f>
        <v/>
      </c>
      <c r="T269" t="n">
        <v>0</v>
      </c>
      <c r="V269" t="n">
        <v>0</v>
      </c>
    </row>
    <row r="270">
      <c r="A270">
        <f>Skills!A27</f>
        <v/>
      </c>
      <c r="B270">
        <f>Skills!B27</f>
        <v/>
      </c>
      <c r="C270">
        <f>Inputs!$B$3&gt;=117</f>
        <v/>
      </c>
      <c r="D270">
        <f>IF(Skills!C27=1,60+Inputs!$B$25+Inputs!$B$29,IF(Skills!C27=2,90+Inputs!$B$26+Inputs!$B$29,IF(Skills!C27=3,120+Inputs!$B$27+Inputs!$B$29,MAX(0,(Inputs!$B$3-100)*3)+Inputs!$B$28+Inputs!$B$29)))</f>
        <v/>
      </c>
      <c r="E270">
        <f>INDEX(FactorTable!$B$2:$Y$301, MATCH(ROUND(MIN(300,MAX(1,D270)),0), FactorTable!$A$2:$A$301,0), Skills!M27+1)</f>
        <v/>
      </c>
      <c r="F270">
        <f>IF(Skills!N27=TRUE,(Skills!L27/10)*(E270/1000),Skills!L27/10)+Skills!O27</f>
        <v/>
      </c>
      <c r="G270">
        <f>Skills!G27*IF(Skills!H27&gt;0,Skills!I27/Skills!H27,1)</f>
        <v/>
      </c>
      <c r="H270">
        <f>1-(1-Skills!J27/100)^Skills!K27</f>
        <v/>
      </c>
      <c r="I270" t="inlineStr">
        <is>
          <t>1</t>
        </is>
      </c>
      <c r="J270" t="inlineStr"/>
      <c r="K270" t="inlineStr"/>
      <c r="L270" t="inlineStr"/>
      <c r="M270" t="inlineStr"/>
      <c r="N270" t="inlineStr"/>
      <c r="O270">
        <f>(1-Summary!$B$11)*T270+Summary!$B$11*V270</f>
        <v/>
      </c>
      <c r="P270">
        <f>IF(B283=0,0,O270/B283)</f>
        <v/>
      </c>
      <c r="Q270" t="n">
        <v>0</v>
      </c>
      <c r="R270" t="n">
        <v>0</v>
      </c>
      <c r="S270">
        <f>IFERROR(O270/N270,0)</f>
        <v/>
      </c>
      <c r="T270" t="n">
        <v>0</v>
      </c>
      <c r="V270" t="n">
        <v>0</v>
      </c>
    </row>
    <row r="272">
      <c r="A272" t="inlineStr">
        <is>
          <t>Attack% Bucket Multiplier</t>
        </is>
      </c>
      <c r="B272">
        <f>(1+(((C260=TRUE)*F260)+((C267=TRUE)*(F267-Calc!F24))+(IF(ArtifactsInput!$M$21,CHOOSE(ArtifactsInput!$N$21+1,25,30,35,40,45,50)*(IF(OR(Inputs!$B$4="Chapter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3">
      <c r="A273" t="inlineStr">
        <is>
          <t>Global Crit Rate Bonus %</t>
        </is>
      </c>
      <c r="B273" t="n">
        <v>0</v>
      </c>
    </row>
    <row r="274">
      <c r="A274" t="inlineStr">
        <is>
          <t>Attack Speed Buff Bonus % (unused)</t>
        </is>
      </c>
      <c r="B274" t="n">
        <v>0</v>
      </c>
    </row>
    <row r="275">
      <c r="A275" t="inlineStr">
        <is>
          <t>Actions Per Second</t>
        </is>
      </c>
      <c r="B275">
        <f>1+MIN(150,150*(1-(1-(Inputs!$B$11+((C263=TRUE)*(F263-Calc!F20))+((C264=TRUE)*(F264-Calc!F21)))/150)*(1-B274/150)))/100</f>
        <v/>
      </c>
    </row>
    <row r="276">
      <c r="A276" t="inlineStr">
        <is>
          <t>Skill + Buff Cast Rate</t>
        </is>
      </c>
      <c r="B276">
        <f>IF(AND(Inputs!$B$38&lt;&gt;"pvp",Inputs!$B$43&gt;0),SUMPRODUCT((Skills!E2:E27=TRUE)*(C245:C270=TRUE)*R245:R270*Skills!F2:F27)/Inputs!$B$43,SUMPRODUCT((Skills!E2:E27=TRUE)*(C245:C270=TRUE)*Q245:Q270*Skills!F2:F27))</f>
        <v/>
      </c>
    </row>
    <row r="277">
      <c r="A277" t="inlineStr">
        <is>
          <t>Eight-Legs Easton Casts Per Second</t>
        </is>
      </c>
      <c r="B277">
        <f>MAX(0,B275-B276)</f>
        <v/>
      </c>
    </row>
    <row r="278">
      <c r="A278" t="inlineStr">
        <is>
          <t>Global Critical Damage Bonus % (unused)</t>
        </is>
      </c>
      <c r="B278" t="n">
        <v>0</v>
      </c>
    </row>
    <row r="279">
      <c r="A279" t="inlineStr">
        <is>
          <t>Global Final Damage Bonus % (Jolly Roger only)</t>
        </is>
      </c>
      <c r="B279">
        <f>((C261=TRUE)*F261)</f>
        <v/>
      </c>
    </row>
    <row r="280">
      <c r="A280" t="inlineStr">
        <is>
          <t>Buff-Casting Startup Delay (s, fixed-duration only)</t>
        </is>
      </c>
      <c r="B280">
        <f>IF(AND(Inputs!$B$38&lt;&gt;"pvp",Inputs!$B$43&gt;0),SUMPRODUCT((Skills!T2:T27&gt;0)*(Skills!E2:E27=TRUE)*(C245:C270=TRUE))/B275,0)</f>
        <v/>
      </c>
    </row>
    <row r="281">
      <c r="A281" t="inlineStr">
        <is>
          <t>Boss-Only Total DPS (this block's swept value)</t>
        </is>
      </c>
      <c r="B281">
        <f>SUM(T245:T270)</f>
        <v/>
      </c>
    </row>
    <row r="282">
      <c r="A282" t="inlineStr">
        <is>
          <t>Normal-Only Total DPS (this block's swept value)</t>
        </is>
      </c>
      <c r="B282">
        <f>SUM(V245:V270)</f>
        <v/>
      </c>
    </row>
    <row r="283">
      <c r="A283" s="6" t="inlineStr">
        <is>
          <t>TOTAL DPS</t>
        </is>
      </c>
      <c r="B283" s="6">
        <f>SUM(O245:O270)</f>
        <v/>
      </c>
    </row>
    <row r="286">
      <c r="A286" s="6" t="inlineStr">
        <is>
          <t>Stat: BOSS_DAMAGE %</t>
        </is>
      </c>
    </row>
    <row r="287">
      <c r="A287" s="5" t="inlineStr">
        <is>
          <t>Key</t>
        </is>
      </c>
      <c r="B287" s="5" t="inlineStr">
        <is>
          <t>Name</t>
        </is>
      </c>
      <c r="C287" s="5" t="inlineStr">
        <is>
          <t>Unlocked</t>
        </is>
      </c>
      <c r="D287" s="5" t="inlineStr">
        <is>
          <t>InputLevel</t>
        </is>
      </c>
      <c r="E287" s="5" t="inlineStr">
        <is>
          <t>Factor</t>
        </is>
      </c>
      <c r="F287" s="5" t="inlineStr">
        <is>
          <t>CoefficientPercent</t>
        </is>
      </c>
      <c r="G287" s="5" t="inlineStr">
        <is>
          <t>EffectiveHits</t>
        </is>
      </c>
      <c r="H287" s="5" t="inlineStr">
        <is>
          <t>ProcProbability</t>
        </is>
      </c>
      <c r="I287" s="5" t="inlineStr">
        <is>
          <t>MapleHeroMultiplier</t>
        </is>
      </c>
      <c r="J287" s="5" t="inlineStr">
        <is>
          <t>BaseDamage</t>
        </is>
      </c>
      <c r="K287" s="5" t="inlineStr">
        <is>
          <t>BaseHitDamage</t>
        </is>
      </c>
      <c r="L287" s="5" t="inlineStr">
        <is>
          <t>NonCritAvg</t>
        </is>
      </c>
      <c r="M287" s="5" t="inlineStr">
        <is>
          <t>CritAvg</t>
        </is>
      </c>
      <c r="N287" s="5" t="inlineStr">
        <is>
          <t>ExpectedDamage(perHit)</t>
        </is>
      </c>
      <c r="O287" s="5" t="inlineStr">
        <is>
          <t>DPS</t>
        </is>
      </c>
      <c r="P287" s="5" t="inlineStr">
        <is>
          <t>% of Total</t>
        </is>
      </c>
      <c r="Q287" s="5" t="inlineStr">
        <is>
          <t>InvCooldown</t>
        </is>
      </c>
      <c r="R287" s="5" t="inlineStr">
        <is>
          <t>CastsInFight</t>
        </is>
      </c>
      <c r="S287" s="5" t="inlineStr">
        <is>
          <t>HitRate(perSec)</t>
        </is>
      </c>
      <c r="U287" t="inlineStr">
        <is>
          <t>helpers</t>
        </is>
      </c>
    </row>
    <row r="288">
      <c r="A288">
        <f>Skills!A2</f>
        <v/>
      </c>
      <c r="B288">
        <f>Skills!B2</f>
        <v/>
      </c>
      <c r="C288">
        <f>Inputs!$B$3&gt;=100</f>
        <v/>
      </c>
      <c r="D288" t="inlineStr"/>
      <c r="E288" t="inlineStr"/>
      <c r="F288">
        <f>U290+Skills!O2</f>
        <v/>
      </c>
      <c r="G288">
        <f>Skills!G2*IF(Skills!H2&gt;0,Skills!I2/Skills!H2,1)</f>
        <v/>
      </c>
      <c r="H288">
        <f>1-(1-Skills!J2/100)^Skills!K2</f>
        <v/>
      </c>
      <c r="I288" t="inlineStr">
        <is>
          <t>1</t>
        </is>
      </c>
      <c r="J288">
        <f>((Inputs!$B$6*(1+Inputs!$B$7/100))+(((Inputs!$B$12*(1+Inputs!$B$13/100))-(Inputs!$B$12*(1+Inputs!$B$13/100)))+0.25*(Inputs!$B$14-Inputs!$B$14))*(1+Inputs!$B$7/100))*(F288/100)</f>
        <v/>
      </c>
      <c r="K288">
        <f>J288*(1+((Inputs!$B$12*(1+Inputs!$B$13/100))*0.01+Inputs!$B$14*0.0025)/100)*(1+Inputs!$B$15/100)*(1+Inputs!$B$16/100)*(5000/(6000+Inputs!$B$42*(1-(100*(1-(1-(Inputs!$B$19+0)/100)*(1-CHOOSE(ArtifactsInput!$N$40+1,5,6,7,8,9,10)/100)^(ArtifactsInput!$M$40-ArtifactsInput!$M$40)))/100)))*(1+(Inputs!$B$24+((C312=TRUE)*(F312-Calc!F26))+B322)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309=TRUE)*(F309-Calc!F23))+((C313=TRUE)*(F313-Calc!F27))+(((IF(AND(ArtifactsInput!$M$42,((Inputs!$B$9+((C305=TRUE)*(F305-Calc!F19))+B316+(ArtifactsInput!$M$24-ArtifactsInput!$M$24)*CHOOSE(ArtifactsInput!$N$24+1,10,12,14,16,18,20)+IF(ArtifactsInput!$M$10,CHOOSE(ArtifactsInput!$N$10+1,15,18,21,24,27,30)*(IF(Inputs!$B$38="pvp",MIN(15,15)/15,IF(AND(Inputs!$B$38&lt;&gt;"pvp",Inputs!$B$43&gt;0),MIN(15,Inputs!$B$43)/(Inputs!$B$43),0))),0)))&gt;=100),MIN(100,((Inputs!$B$9+((C305=TRUE)*(F305-Calc!F19))+B316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TRUE)*(F305-Calc!F19))+B316+(ArtifactsInput!$M$24-ArtifactsInput!$M$24)*CHOOSE(ArtifactsInput!$N$24+1,10,12,14,16,18,20)+IF(ArtifactsInput!$M$10,CHOOSE(ArtifactsInput!$N$10+1,15,18,21,24,27,30)*(IF(Inputs!$B$38="pvp",MIN(15,15)/15,IF(AND(Inputs!$B$38&lt;&gt;"pvp",Inputs!$B$43&gt;0),MIN(15,Inputs!$B$43)/(Inputs!$B$43),0))),0)))&gt;=100),CHOOSE(ArtifactsInput!$N$42+1,40,48,56,64,72,80),0))))/100)*((1+(((C303=TRUE)*F303)+((C310=TRUE)*(F310-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f>
        <v/>
      </c>
      <c r="L288">
        <f>K288*(MIN(Inputs!$B$22+((C308=TRUE)*(F308-Calc!F22)),(Inputs!$B$23+0+(IF(ArtifactsInput!$M$15,CHOOSE(ArtifactsInput!$N$15+1,25,30,35,40,45,50)/100*(Inputs!$B$11-Inputs!$B$11),0))))/100+(Inputs!$B$23+0+(IF(ArtifactsInput!$M$15,CHOOSE(ArtifactsInput!$N$15+1,25,30,35,40,45,50)/100*(Inputs!$B$11-Inputs!$B$11),0)))/100)/2</f>
        <v/>
      </c>
      <c r="M288">
        <f>L288*(1+(Inputs!$B$10+((C311=TRUE)*(F311-Calc!F25))+B321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
        <f>L288*(1-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
        <f>(1-Summary!$B$11)*T288+Summary!$B$11*V288</f>
        <v/>
      </c>
      <c r="P288">
        <f>IF(B326=0,0,O288/B326)</f>
        <v/>
      </c>
      <c r="Q288" t="n">
        <v>0</v>
      </c>
      <c r="R288" t="n">
        <v>0</v>
      </c>
      <c r="S288">
        <f>IFERROR(O288/N288,0)</f>
        <v/>
      </c>
      <c r="T288">
        <f>IF(C288,(Skills!G2*N288*B320)*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
        <f>MAX(0,(Inputs!$B$3-100)*3)+Inputs!$B$28+Inputs!$B$29</f>
        <v/>
      </c>
      <c r="V288">
        <f>IF(C288,(Skills!G2*N288*B320)*IF(Inputs!$B$38="pvp",1,(1+(Inputs!$B$21+Skills!Q2+(IF(ArtifactsInput!$M$33,CHOOSE(ArtifactsInput!$N$33+1,30,36,42,48,54,60),0))+(IF(AND(ArtifactsInput!$M$35,Inputs!$B$4&lt;&gt;"Chapter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
      <c r="A289">
        <f>Skills!A3</f>
        <v/>
      </c>
      <c r="B289">
        <f>Skills!B3</f>
        <v/>
      </c>
      <c r="C289">
        <f>Inputs!$B$3&gt;=35</f>
        <v/>
      </c>
      <c r="D289">
        <f>IF(Skills!C3=1,60+Inputs!$B$25+Inputs!$B$29,IF(Skills!C3=2,90+Inputs!$B$26+Inputs!$B$29,IF(Skills!C3=3,120+Inputs!$B$27+Inputs!$B$29,MAX(0,(Inputs!$B$3-100)*3)+Inputs!$B$28+Inputs!$B$29)))</f>
        <v/>
      </c>
      <c r="E289">
        <f>INDEX(FactorTable!$B$2:$Y$301, MATCH(ROUND(MIN(300,MAX(1,D289)),0), FactorTable!$A$2:$A$301,0), Skills!M3+1)</f>
        <v/>
      </c>
      <c r="F289">
        <f>IF(Skills!N3=TRUE,(Skills!L3/10)*(E289/1000),Skills!L3/10)+Skills!O3</f>
        <v/>
      </c>
      <c r="G289">
        <f>Skills!G3*IF(Skills!H3&gt;0,Skills!I3/Skills!H3,1)</f>
        <v/>
      </c>
      <c r="H289">
        <f>1-(1-Skills!J3/100)^Skills!K3</f>
        <v/>
      </c>
      <c r="I289" t="inlineStr">
        <is>
          <t>1</t>
        </is>
      </c>
      <c r="J289">
        <f>((Inputs!$B$6*(1+Inputs!$B$7/100))+(((Inputs!$B$12*(1+Inputs!$B$13/100))-(Inputs!$B$12*(1+Inputs!$B$13/100)))+0.25*(Inputs!$B$14-Inputs!$B$14))*(1+Inputs!$B$7/100))*(F289/100)</f>
        <v/>
      </c>
      <c r="K289">
        <f>J289*(1+((Inputs!$B$12*(1+Inputs!$B$13/100))*0.01+Inputs!$B$14*0.0025)/100)*(1+Inputs!$B$15/100)*(1+Inputs!$B$16/100)*(5000/(6000+Inputs!$B$42*(1-(100*(1-(1-(Inputs!$B$19+0)/100)*(1-CHOOSE(ArtifactsInput!$N$40+1,5,6,7,8,9,10)/100)^(ArtifactsInput!$M$40-ArtifactsInput!$M$40)))/100)))*(1+(Inputs!$B$24+((C312=TRUE)*(F312-Calc!F26))+B322)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301=TRUE,F301,0)/100)*(1+(IF(Skills!A3="EIGHT_LEGS_EASTON",Inputs!$B$17+((C309=TRUE)*(F309-Calc!F23))+((C313=TRUE)*(F313-Calc!F27))+(((IF(AND(ArtifactsInput!$M$42,((Inputs!$B$9+((C305=TRUE)*(F305-Calc!F19))+B316+(ArtifactsInput!$M$24-ArtifactsInput!$M$24)*CHOOSE(ArtifactsInput!$N$24+1,10,12,14,16,18,20)+IF(ArtifactsInput!$M$10,CHOOSE(ArtifactsInput!$N$10+1,15,18,21,24,27,30)*(IF(Inputs!$B$38="pvp",MIN(15,15)/15,IF(AND(Inputs!$B$38&lt;&gt;"pvp",Inputs!$B$43&gt;0),MIN(15,Inputs!$B$43)/(Inputs!$B$43),0))),0)))&gt;=100),MIN(100,((Inputs!$B$9+((C305=TRUE)*(F305-Calc!F19))+B316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TRUE)*(F305-Calc!F19))+B316+(ArtifactsInput!$M$24-ArtifactsInput!$M$24)*CHOOSE(ArtifactsInput!$N$24+1,10,12,14,16,18,20)+IF(ArtifactsInput!$M$10,CHOOSE(ArtifactsInput!$N$10+1,15,18,21,24,27,30)*(IF(Inputs!$B$38="pvp",MIN(15,15)/15,IF(AND(Inputs!$B$38&lt;&gt;"pvp",Inputs!$B$43&gt;0),MIN(15,Inputs!$B$43)/(Inputs!$B$43),0))),0)))&gt;=100),CHOOSE(ArtifactsInput!$N$42+1,40,48,56,64,72,80),0))))/100)*((1+(((C303=TRUE)*F303)+((C310=TRUE)*(F310-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f>
        <v/>
      </c>
      <c r="L289">
        <f>K289*(MIN(Inputs!$B$22+((C308=TRUE)*(F308-Calc!F22)),(Inputs!$B$23+0+(IF(ArtifactsInput!$M$15,CHOOSE(ArtifactsInput!$N$15+1,25,30,35,40,45,50)/100*(Inputs!$B$11-Inputs!$B$11),0))))/100+(Inputs!$B$23+0+(IF(ArtifactsInput!$M$15,CHOOSE(ArtifactsInput!$N$15+1,25,30,35,40,45,50)/100*(Inputs!$B$11-Inputs!$B$11),0)))/100)/2</f>
        <v/>
      </c>
      <c r="M289">
        <f>L289*(1+(Inputs!$B$10+((C311=TRUE)*(F311-Calc!F25))+B321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
        <f>L289*(1-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
        <f>(1-Summary!$B$11)*T289+Summary!$B$11*V289</f>
        <v/>
      </c>
      <c r="P289">
        <f>IF(B326=0,0,O289/B326)</f>
        <v/>
      </c>
      <c r="Q289">
        <f>IFERROR(1/(IF(Inputs!$B$38="pvp",15,MAX(0.1,Skills!D3-IF(Skills!E3=TRUE,Inputs!$B$32,0)))*(1-IF(AND(ArtifactsInput!$M$27,Inputs!$B$4="Chapter Hunt"),CHOOSE(ArtifactsInput!$N$27+1,20,24,28,32,36,40),0)/100)),0)</f>
        <v/>
      </c>
      <c r="R289">
        <f>IF(AND(Inputs!$B$38&lt;&gt;"pvp",Inputs!$B$43&gt;0),IF(MAX(0,Inputs!$B$43-B323)&lt;=0,0,(INT(MAX(0,Inputs!$B$43-B323)/(IF(Inputs!$B$38="pvp",15,MAX(0.1,Skills!D3-IF(Skills!E3=TRUE,Inputs!$B$32,0)))*(1-IF(AND(ArtifactsInput!$M$27,Inputs!$B$4="Chapter Hunt"),CHOOSE(ArtifactsInput!$N$27+1,20,24,28,32,36,40),0)/100)))+1)),0)</f>
        <v/>
      </c>
      <c r="S289">
        <f>IFERROR(O289/N289,0)</f>
        <v/>
      </c>
      <c r="T289">
        <f>IF(C289,(H289*N289*IF(AND(Inputs!$B$38&lt;&gt;"pvp",Inputs!$B$43&gt;0),((Skills!G3*((R289-1)*IF(Skills!H3&gt;0,Skills!I3/Skills!H3,1)+IF(Skills!H3&gt;0,MIN(Skills!I3,MAX(0,MAX(0,Inputs!$B$43-B323)-((R289-1)*(IF(Inputs!$B$38="pvp",15,MAX(0.1,Skills!D3-IF(Skills!E3=TRUE,Inputs!$B$32,0)))*(1-IF(AND(ArtifactsInput!$M$27,Inputs!$B$4="Chapter Hunt"),CHOOSE(ArtifactsInput!$N$27+1,20,24,28,32,36,40),0)/100)))))/Skills!H3,1)))/Inputs!$B$43),G289*Q289))*IF(Inputs!$B$38="pvp",1,1+((Inputs!$B$20+1)+0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
        <f>INDEX(FactorTable!$B$2:$Y$301, MATCH(ROUND(MIN(300,MAX(1,U288)),0), FactorTable!$A$2:$A$301,0), 22)</f>
        <v/>
      </c>
      <c r="V289">
        <f>IF(C289,(H289*N289*IF(AND(Inputs!$B$38&lt;&gt;"pvp",Inputs!$B$43&gt;0),((Skills!G3*((R289-1)*IF(Skills!H3&gt;0,Skills!I3/Skills!H3,1)+IF(Skills!H3&gt;0,MIN(Skills!I3,MAX(0,MAX(0,Inputs!$B$43-B323)-((R289-1)*(IF(Inputs!$B$38="pvp",15,MAX(0.1,Skills!D3-IF(Skills!E3=TRUE,Inputs!$B$32,0)))*(1-IF(AND(ArtifactsInput!$M$27,Inputs!$B$4="Chapter Hunt"),CHOOSE(ArtifactsInput!$N$27+1,20,24,28,32,36,40),0)/100)))))/Skills!H3,1)))/Inputs!$B$43),G289*Q289))*IF(Inputs!$B$38="pvp",1,(1+(Inputs!$B$21+Skills!Q3+(IF(ArtifactsInput!$M$33,CHOOSE(ArtifactsInput!$N$33+1,30,36,42,48,54,60)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
      <c r="A290">
        <f>Skills!A4</f>
        <v/>
      </c>
      <c r="B290">
        <f>Skills!B4</f>
        <v/>
      </c>
      <c r="C290">
        <f>Inputs!$B$3&gt;=40</f>
        <v/>
      </c>
      <c r="D290">
        <f>IF(Skills!C4=1,60+Inputs!$B$25+Inputs!$B$29,IF(Skills!C4=2,90+Inputs!$B$26+Inputs!$B$29,IF(Skills!C4=3,120+Inputs!$B$27+Inputs!$B$29,MAX(0,(Inputs!$B$3-100)*3)+Inputs!$B$28+Inputs!$B$29)))</f>
        <v/>
      </c>
      <c r="E290">
        <f>INDEX(FactorTable!$B$2:$Y$301, MATCH(ROUND(MIN(300,MAX(1,D290)),0), FactorTable!$A$2:$A$301,0), Skills!M4+1)</f>
        <v/>
      </c>
      <c r="F290">
        <f>IF(Skills!N4=TRUE,(Skills!L4/10)*(E290/1000),Skills!L4/10)+Skills!O4</f>
        <v/>
      </c>
      <c r="G290">
        <f>Skills!G4*IF(Skills!H4&gt;0,Skills!I4/Skills!H4,1)</f>
        <v/>
      </c>
      <c r="H290">
        <f>1-(1-Skills!J4/100)^Skills!K4</f>
        <v/>
      </c>
      <c r="I290" t="inlineStr">
        <is>
          <t>1</t>
        </is>
      </c>
      <c r="J290">
        <f>((Inputs!$B$6*(1+Inputs!$B$7/100))+(((Inputs!$B$12*(1+Inputs!$B$13/100))-(Inputs!$B$12*(1+Inputs!$B$13/100)))+0.25*(Inputs!$B$14-Inputs!$B$14))*(1+Inputs!$B$7/100))*(F290/100)</f>
        <v/>
      </c>
      <c r="K290">
        <f>J290*(1+((Inputs!$B$12*(1+Inputs!$B$13/100))*0.01+Inputs!$B$14*0.0025)/100)*(1+Inputs!$B$15/100)*(1+Inputs!$B$16/100)*(5000/(6000+Inputs!$B$42*(1-(100*(1-(1-(Inputs!$B$19+0)/100)*(1-CHOOSE(ArtifactsInput!$N$40+1,5,6,7,8,9,10)/100)^(ArtifactsInput!$M$40-ArtifactsInput!$M$40)))/100)))*(1+(Inputs!$B$24+((C312=TRUE)*(F312-Calc!F26))+B322)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302=TRUE,F302,0)/100)*(1+(IF(Skills!A4="EIGHT_LEGS_EASTON",Inputs!$B$17+((C309=TRUE)*(F309-Calc!F23))+((C313=TRUE)*(F313-Calc!F27))+(((IF(AND(ArtifactsInput!$M$42,((Inputs!$B$9+((C305=TRUE)*(F305-Calc!F19))+B316+(ArtifactsInput!$M$24-ArtifactsInput!$M$24)*CHOOSE(ArtifactsInput!$N$24+1,10,12,14,16,18,20)+IF(ArtifactsInput!$M$10,CHOOSE(ArtifactsInput!$N$10+1,15,18,21,24,27,30)*(IF(Inputs!$B$38="pvp",MIN(15,15)/15,IF(AND(Inputs!$B$38&lt;&gt;"pvp",Inputs!$B$43&gt;0),MIN(15,Inputs!$B$43)/(Inputs!$B$43),0))),0)))&gt;=100),MIN(100,((Inputs!$B$9+((C305=TRUE)*(F305-Calc!F19))+B316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TRUE)*(F305-Calc!F19))+B316+(ArtifactsInput!$M$24-ArtifactsInput!$M$24)*CHOOSE(ArtifactsInput!$N$24+1,10,12,14,16,18,20)+IF(ArtifactsInput!$M$10,CHOOSE(ArtifactsInput!$N$10+1,15,18,21,24,27,30)*(IF(Inputs!$B$38="pvp",MIN(15,15)/15,IF(AND(Inputs!$B$38&lt;&gt;"pvp",Inputs!$B$43&gt;0),MIN(15,Inputs!$B$43)/(Inputs!$B$43),0))),0)))&gt;=100),CHOOSE(ArtifactsInput!$N$42+1,40,48,56,64,72,80),0))))/100)*((1+(((C303=TRUE)*F303)+((C310=TRUE)*(F310-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f>
        <v/>
      </c>
      <c r="L290">
        <f>K290*(MIN(Inputs!$B$22+((C308=TRUE)*(F308-Calc!F22)),(Inputs!$B$23+0+(IF(ArtifactsInput!$M$15,CHOOSE(ArtifactsInput!$N$15+1,25,30,35,40,45,50)/100*(Inputs!$B$11-Inputs!$B$11),0))))/100+(Inputs!$B$23+0+(IF(ArtifactsInput!$M$15,CHOOSE(ArtifactsInput!$N$15+1,25,30,35,40,45,50)/100*(Inputs!$B$11-Inputs!$B$11),0)))/100)/2</f>
        <v/>
      </c>
      <c r="M290">
        <f>L290*(1+(Inputs!$B$10+((C311=TRUE)*(F311-Calc!F25))+B321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
        <f>L290*(1-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
        <f>(1-Summary!$B$11)*T290+Summary!$B$11*V290</f>
        <v/>
      </c>
      <c r="P290">
        <f>IF(B326=0,0,O290/B326)</f>
        <v/>
      </c>
      <c r="Q290">
        <f>IFERROR(1/(IF(Inputs!$B$38="pvp",15,MAX(0.1,Skills!D4-IF(Skills!E4=TRUE,Inputs!$B$32,0)))*(1-IF(AND(ArtifactsInput!$M$27,Inputs!$B$4="Chapter Hunt"),CHOOSE(ArtifactsInput!$N$27+1,20,24,28,32,36,40),0)/100)),0)</f>
        <v/>
      </c>
      <c r="R290">
        <f>IF(AND(Inputs!$B$38&lt;&gt;"pvp",Inputs!$B$43&gt;0),IF(MAX(0,Inputs!$B$43-B323)&lt;=0,0,(INT(MAX(0,Inputs!$B$43-B323)/(IF(Inputs!$B$38="pvp",15,MAX(0.1,Skills!D4-IF(Skills!E4=TRUE,Inputs!$B$32,0)))*(1-IF(AND(ArtifactsInput!$M$27,Inputs!$B$4="Chapter Hunt"),CHOOSE(ArtifactsInput!$N$27+1,20,24,28,32,36,40),0)/100)))+1)),0)</f>
        <v/>
      </c>
      <c r="S290">
        <f>IFERROR(O290/N290,0)</f>
        <v/>
      </c>
      <c r="T290">
        <f>IF(C290,(H290*N290*IF(AND(Inputs!$B$38&lt;&gt;"pvp",Inputs!$B$43&gt;0),((Skills!G4*((R290-1)*IF(Skills!H4&gt;0,Skills!I4/Skills!H4,1)+IF(Skills!H4&gt;0,MIN(Skills!I4,MAX(0,MAX(0,Inputs!$B$43-B323)-((R290-1)*(IF(Inputs!$B$38="pvp",15,MAX(0.1,Skills!D4-IF(Skills!E4=TRUE,Inputs!$B$32,0)))*(1-IF(AND(ArtifactsInput!$M$27,Inputs!$B$4="Chapter Hunt"),CHOOSE(ArtifactsInput!$N$27+1,20,24,28,32,36,40),0)/100)))))/Skills!H4,1)))/Inputs!$B$43),G290*Q290))*IF(Inputs!$B$38="pvp",1,1+((Inputs!$B$20+1)+0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
        <f>290*U289/1000</f>
        <v/>
      </c>
      <c r="V290">
        <f>IF(C290,(H290*N290*IF(AND(Inputs!$B$38&lt;&gt;"pvp",Inputs!$B$43&gt;0),((Skills!G4*((R290-1)*IF(Skills!H4&gt;0,Skills!I4/Skills!H4,1)+IF(Skills!H4&gt;0,MIN(Skills!I4,MAX(0,MAX(0,Inputs!$B$43-B323)-((R290-1)*(IF(Inputs!$B$38="pvp",15,MAX(0.1,Skills!D4-IF(Skills!E4=TRUE,Inputs!$B$32,0)))*(1-IF(AND(ArtifactsInput!$M$27,Inputs!$B$4="Chapter Hunt"),CHOOSE(ArtifactsInput!$N$27+1,20,24,28,32,36,40),0)/100)))))/Skills!H4,1)))/Inputs!$B$43),G290*Q290))*IF(Inputs!$B$38="pvp",1,(1+(Inputs!$B$21+Skills!Q4+(IF(ArtifactsInput!$M$33,CHOOSE(ArtifactsInput!$N$33+1,30,36,42,48,54,60)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
      <c r="A291">
        <f>Skills!A5</f>
        <v/>
      </c>
      <c r="B291">
        <f>Skills!B5</f>
        <v/>
      </c>
      <c r="C291">
        <f>Inputs!$B$3&gt;=45</f>
        <v/>
      </c>
      <c r="D291">
        <f>IF(Skills!C5=1,60+Inputs!$B$25+Inputs!$B$29,IF(Skills!C5=2,90+Inputs!$B$26+Inputs!$B$29,IF(Skills!C5=3,120+Inputs!$B$27+Inputs!$B$29,MAX(0,(Inputs!$B$3-100)*3)+Inputs!$B$28+Inputs!$B$29)))</f>
        <v/>
      </c>
      <c r="E291">
        <f>INDEX(FactorTable!$B$2:$Y$301, MATCH(ROUND(MIN(300,MAX(1,D291)),0), FactorTable!$A$2:$A$301,0), Skills!M5+1)</f>
        <v/>
      </c>
      <c r="F291">
        <f>IF(Skills!N5=TRUE,(Skills!L5/10)*(E291/1000),Skills!L5/10)+Skills!O5</f>
        <v/>
      </c>
      <c r="G291">
        <f>Skills!G5*IF(Skills!H5&gt;0,Skills!I5/Skills!H5,1)</f>
        <v/>
      </c>
      <c r="H291">
        <f>1-(1-Skills!J5/100)^Skills!K5</f>
        <v/>
      </c>
      <c r="I291" t="inlineStr">
        <is>
          <t>1</t>
        </is>
      </c>
      <c r="J291">
        <f>((Inputs!$B$6*(1+Inputs!$B$7/100))+(((Inputs!$B$12*(1+Inputs!$B$13/100))-(Inputs!$B$12*(1+Inputs!$B$13/100)))+0.25*(Inputs!$B$14-Inputs!$B$14))*(1+Inputs!$B$7/100))*(F291/100)</f>
        <v/>
      </c>
      <c r="K291">
        <f>J291*(1+((Inputs!$B$12*(1+Inputs!$B$13/100))*0.01+Inputs!$B$14*0.0025)/100)*(1+Inputs!$B$15/100)*(1+Inputs!$B$16/100)*(5000/(6000+Inputs!$B$42*(1-(100*(1-(1-(Inputs!$B$19+0)/100)*(1-CHOOSE(ArtifactsInput!$N$40+1,5,6,7,8,9,10)/100)^(ArtifactsInput!$M$40-ArtifactsInput!$M$40)))/100)))*(1+(Inputs!$B$24+((C312=TRUE)*(F312-Calc!F26))+B322)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302=TRUE,F302,0)/100)*(1+(IF(Skills!A5="EIGHT_LEGS_EASTON",Inputs!$B$17+((C309=TRUE)*(F309-Calc!F23))+((C313=TRUE)*(F313-Calc!F27))+(((IF(AND(ArtifactsInput!$M$42,((Inputs!$B$9+((C305=TRUE)*(F305-Calc!F19))+B316+(ArtifactsInput!$M$24-ArtifactsInput!$M$24)*CHOOSE(ArtifactsInput!$N$24+1,10,12,14,16,18,20)+IF(ArtifactsInput!$M$10,CHOOSE(ArtifactsInput!$N$10+1,15,18,21,24,27,30)*(IF(Inputs!$B$38="pvp",MIN(15,15)/15,IF(AND(Inputs!$B$38&lt;&gt;"pvp",Inputs!$B$43&gt;0),MIN(15,Inputs!$B$43)/(Inputs!$B$43),0))),0)))&gt;=100),MIN(100,((Inputs!$B$9+((C305=TRUE)*(F305-Calc!F19))+B316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TRUE)*(F305-Calc!F19))+B316+(ArtifactsInput!$M$24-ArtifactsInput!$M$24)*CHOOSE(ArtifactsInput!$N$24+1,10,12,14,16,18,20)+IF(ArtifactsInput!$M$10,CHOOSE(ArtifactsInput!$N$10+1,15,18,21,24,27,30)*(IF(Inputs!$B$38="pvp",MIN(15,15)/15,IF(AND(Inputs!$B$38&lt;&gt;"pvp",Inputs!$B$43&gt;0),MIN(15,Inputs!$B$43)/(Inputs!$B$43),0))),0)))&gt;=100),CHOOSE(ArtifactsInput!$N$42+1,40,48,56,64,72,80),0))))/100)*((1+(((C303=TRUE)*F303)+((C310=TRUE)*(F310-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f>
        <v/>
      </c>
      <c r="L291">
        <f>K291*(MIN(Inputs!$B$22+((C308=TRUE)*(F308-Calc!F22)),(Inputs!$B$23+0+(IF(ArtifactsInput!$M$15,CHOOSE(ArtifactsInput!$N$15+1,25,30,35,40,45,50)/100*(Inputs!$B$11-Inputs!$B$11),0))))/100+(Inputs!$B$23+0+(IF(ArtifactsInput!$M$15,CHOOSE(ArtifactsInput!$N$15+1,25,30,35,40,45,50)/100*(Inputs!$B$11-Inputs!$B$11),0)))/100)/2</f>
        <v/>
      </c>
      <c r="M291">
        <f>L291*(1+(Inputs!$B$10+((C311=TRUE)*(F311-Calc!F25))+B321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
        <f>L291*(1-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
        <f>(1-Summary!$B$11)*T291+Summary!$B$11*V291</f>
        <v/>
      </c>
      <c r="P291">
        <f>IF(B326=0,0,O291/B326)</f>
        <v/>
      </c>
      <c r="Q291">
        <f>IFERROR(1/(IF(Inputs!$B$38="pvp",15,MAX(0.1,Skills!D5-IF(Skills!E5=TRUE,Inputs!$B$32,0)))*(1-IF(AND(ArtifactsInput!$M$27,Inputs!$B$4="Chapter Hunt"),CHOOSE(ArtifactsInput!$N$27+1,20,24,28,32,36,40),0)/100)),0)</f>
        <v/>
      </c>
      <c r="R291">
        <f>IF(AND(Inputs!$B$38&lt;&gt;"pvp",Inputs!$B$43&gt;0),IF(MAX(0,Inputs!$B$43-B323)&lt;=0,0,(INT(MAX(0,Inputs!$B$43-B323)/(IF(Inputs!$B$38="pvp",15,MAX(0.1,Skills!D5-IF(Skills!E5=TRUE,Inputs!$B$32,0)))*(1-IF(AND(ArtifactsInput!$M$27,Inputs!$B$4="Chapter Hunt"),CHOOSE(ArtifactsInput!$N$27+1,20,24,28,32,36,40),0)/100)))+1)),0)</f>
        <v/>
      </c>
      <c r="S291">
        <f>IFERROR(O291/N291,0)</f>
        <v/>
      </c>
      <c r="T291">
        <f>IF(C291,(H291*N291*IF(AND(Inputs!$B$38&lt;&gt;"pvp",Inputs!$B$43&gt;0),((Skills!G5*((R291-1)*IF(Skills!H5&gt;0,Skills!I5/Skills!H5,1)+IF(Skills!H5&gt;0,MIN(Skills!I5,MAX(0,MAX(0,Inputs!$B$43-B323)-((R291-1)*(IF(Inputs!$B$38="pvp",15,MAX(0.1,Skills!D5-IF(Skills!E5=TRUE,Inputs!$B$32,0)))*(1-IF(AND(ArtifactsInput!$M$27,Inputs!$B$4="Chapter Hunt"),CHOOSE(ArtifactsInput!$N$27+1,20,24,28,32,36,40),0)/100)))))/Skills!H5,1)))/Inputs!$B$43),G291*Q291))*IF(Inputs!$B$38="pvp",1,1+((Inputs!$B$20+1)+0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
        <f>IF(C291,(H291*N291*IF(AND(Inputs!$B$38&lt;&gt;"pvp",Inputs!$B$43&gt;0),((Skills!G5*((R291-1)*IF(Skills!H5&gt;0,Skills!I5/Skills!H5,1)+IF(Skills!H5&gt;0,MIN(Skills!I5,MAX(0,MAX(0,Inputs!$B$43-B323)-((R291-1)*(IF(Inputs!$B$38="pvp",15,MAX(0.1,Skills!D5-IF(Skills!E5=TRUE,Inputs!$B$32,0)))*(1-IF(AND(ArtifactsInput!$M$27,Inputs!$B$4="Chapter Hunt"),CHOOSE(ArtifactsInput!$N$27+1,20,24,28,32,36,40),0)/100)))))/Skills!H5,1)))/Inputs!$B$43),G291*Q291))*IF(Inputs!$B$38="pvp",1,(1+(Inputs!$B$21+Skills!Q5+(IF(ArtifactsInput!$M$33,CHOOSE(ArtifactsInput!$N$33+1,30,36,42,48,54,60)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
      <c r="A292">
        <f>Skills!A6</f>
        <v/>
      </c>
      <c r="B292">
        <f>Skills!B6</f>
        <v/>
      </c>
      <c r="C292">
        <f>Inputs!$B$3&gt;=63</f>
        <v/>
      </c>
      <c r="D292">
        <f>IF(Skills!C6=1,60+Inputs!$B$25+Inputs!$B$29,IF(Skills!C6=2,90+Inputs!$B$26+Inputs!$B$29,IF(Skills!C6=3,120+Inputs!$B$27+Inputs!$B$29,MAX(0,(Inputs!$B$3-100)*3)+Inputs!$B$28+Inputs!$B$29)))</f>
        <v/>
      </c>
      <c r="E292">
        <f>INDEX(FactorTable!$B$2:$Y$301, MATCH(ROUND(MIN(300,MAX(1,D292)),0), FactorTable!$A$2:$A$301,0), Skills!M6+1)</f>
        <v/>
      </c>
      <c r="F292">
        <f>IF(Skills!N6=TRUE,(Skills!L6/10)*(E292/1000),Skills!L6/10)+Skills!O6</f>
        <v/>
      </c>
      <c r="G292">
        <f>Skills!G6*IF(Skills!H6&gt;0,Skills!I6/Skills!H6,1)</f>
        <v/>
      </c>
      <c r="H292">
        <f>1-(1-Skills!J6/100)^Skills!K6</f>
        <v/>
      </c>
      <c r="I292" t="inlineStr">
        <is>
          <t>1</t>
        </is>
      </c>
      <c r="J292">
        <f>((Inputs!$B$6*(1+Inputs!$B$7/100))+(((Inputs!$B$12*(1+Inputs!$B$13/100))-(Inputs!$B$12*(1+Inputs!$B$13/100)))+0.25*(Inputs!$B$14-Inputs!$B$14))*(1+Inputs!$B$7/100))*(F292/100)</f>
        <v/>
      </c>
      <c r="K292">
        <f>J292*(1+((Inputs!$B$12*(1+Inputs!$B$13/100))*0.01+Inputs!$B$14*0.0025)/100)*(1+Inputs!$B$15/100)*(1+Inputs!$B$16/100)*(5000/(6000+Inputs!$B$42*(1-(100*(1-(1-(Inputs!$B$19+0)/100)*(1-CHOOSE(ArtifactsInput!$N$40+1,5,6,7,8,9,10)/100)^(ArtifactsInput!$M$40-ArtifactsInput!$M$40)))/100)))*(1+(Inputs!$B$24+((C312=TRUE)*(F312-Calc!F26))+B322)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301=TRUE,F301,0)/100)*(1+(IF(Skills!A6="EIGHT_LEGS_EASTON",Inputs!$B$17+((C309=TRUE)*(F309-Calc!F23))+((C313=TRUE)*(F313-Calc!F27))+(((IF(AND(ArtifactsInput!$M$42,((Inputs!$B$9+((C305=TRUE)*(F305-Calc!F19))+B316+(ArtifactsInput!$M$24-ArtifactsInput!$M$24)*CHOOSE(ArtifactsInput!$N$24+1,10,12,14,16,18,20)+IF(ArtifactsInput!$M$10,CHOOSE(ArtifactsInput!$N$10+1,15,18,21,24,27,30)*(IF(Inputs!$B$38="pvp",MIN(15,15)/15,IF(AND(Inputs!$B$38&lt;&gt;"pvp",Inputs!$B$43&gt;0),MIN(15,Inputs!$B$43)/(Inputs!$B$43),0))),0)))&gt;=100),MIN(100,((Inputs!$B$9+((C305=TRUE)*(F305-Calc!F19))+B316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TRUE)*(F305-Calc!F19))+B316+(ArtifactsInput!$M$24-ArtifactsInput!$M$24)*CHOOSE(ArtifactsInput!$N$24+1,10,12,14,16,18,20)+IF(ArtifactsInput!$M$10,CHOOSE(ArtifactsInput!$N$10+1,15,18,21,24,27,30)*(IF(Inputs!$B$38="pvp",MIN(15,15)/15,IF(AND(Inputs!$B$38&lt;&gt;"pvp",Inputs!$B$43&gt;0),MIN(15,Inputs!$B$43)/(Inputs!$B$43),0))),0)))&gt;=100),CHOOSE(ArtifactsInput!$N$42+1,40,48,56,64,72,80),0))))/100)*((1+(((C303=TRUE)*F303)+((C310=TRUE)*(F310-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f>
        <v/>
      </c>
      <c r="L292">
        <f>K292*(MIN(Inputs!$B$22+((C308=TRUE)*(F308-Calc!F22)),(Inputs!$B$23+0+(IF(ArtifactsInput!$M$15,CHOOSE(ArtifactsInput!$N$15+1,25,30,35,40,45,50)/100*(Inputs!$B$11-Inputs!$B$11),0))))/100+(Inputs!$B$23+0+(IF(ArtifactsInput!$M$15,CHOOSE(ArtifactsInput!$N$15+1,25,30,35,40,45,50)/100*(Inputs!$B$11-Inputs!$B$11),0)))/100)/2</f>
        <v/>
      </c>
      <c r="M292">
        <f>L292*(1+(Inputs!$B$10+((C311=TRUE)*(F311-Calc!F25))+B321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
        <f>L292*(1-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
        <f>(1-Summary!$B$11)*T292+Summary!$B$11*V292</f>
        <v/>
      </c>
      <c r="P292">
        <f>IF(B326=0,0,O292/B326)</f>
        <v/>
      </c>
      <c r="Q292">
        <f>IFERROR(1/(IF(Inputs!$B$38="pvp",15,MAX(0.1,Skills!D6-IF(Skills!E6=TRUE,Inputs!$B$32,0)))*(1-IF(AND(ArtifactsInput!$M$27,Inputs!$B$4="Chapter Hunt"),CHOOSE(ArtifactsInput!$N$27+1,20,24,28,32,36,40),0)/100)),0)</f>
        <v/>
      </c>
      <c r="R292">
        <f>IF(AND(Inputs!$B$38&lt;&gt;"pvp",Inputs!$B$43&gt;0),IF(MAX(0,Inputs!$B$43-B323)&lt;=0,0,(INT(MAX(0,Inputs!$B$43-B323)/(IF(Inputs!$B$38="pvp",15,MAX(0.1,Skills!D6-IF(Skills!E6=TRUE,Inputs!$B$32,0)))*(1-IF(AND(ArtifactsInput!$M$27,Inputs!$B$4="Chapter Hunt"),CHOOSE(ArtifactsInput!$N$27+1,20,24,28,32,36,40),0)/100)))+1)),0)</f>
        <v/>
      </c>
      <c r="S292">
        <f>IFERROR(O292/N292,0)</f>
        <v/>
      </c>
      <c r="T292">
        <f>IF(C292,(H292*N292*IF(AND(Inputs!$B$38&lt;&gt;"pvp",Inputs!$B$43&gt;0),((Skills!G6*((R292-1)*IF(Skills!H6&gt;0,Skills!I6/Skills!H6,1)+IF(Skills!H6&gt;0,MIN(Skills!I6,MAX(0,MAX(0,Inputs!$B$43-B323)-((R292-1)*(IF(Inputs!$B$38="pvp",15,MAX(0.1,Skills!D6-IF(Skills!E6=TRUE,Inputs!$B$32,0)))*(1-IF(AND(ArtifactsInput!$M$27,Inputs!$B$4="Chapter Hunt"),CHOOSE(ArtifactsInput!$N$27+1,20,24,28,32,36,40),0)/100)))))/Skills!H6,1)))/Inputs!$B$43),G292*Q292))*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
        <f>IF(C292,(H292*N292*IF(AND(Inputs!$B$38&lt;&gt;"pvp",Inputs!$B$43&gt;0),((Skills!G6*((R292-1)*IF(Skills!H6&gt;0,Skills!I6/Skills!H6,1)+IF(Skills!H6&gt;0,MIN(Skills!I6,MAX(0,MAX(0,Inputs!$B$43-B323)-((R292-1)*(IF(Inputs!$B$38="pvp",15,MAX(0.1,Skills!D6-IF(Skills!E6=TRUE,Inputs!$B$32,0)))*(1-IF(AND(ArtifactsInput!$M$27,Inputs!$B$4="Chapter Hunt"),CHOOSE(ArtifactsInput!$N$27+1,20,24,28,32,36,40),0)/100)))))/Skills!H6,1)))/Inputs!$B$43),G292*Q292))*IF(Inputs!$B$38="pvp",1,(1+(Inputs!$B$21+Skills!Q6+(IF(ArtifactsInput!$M$33,CHOOSE(ArtifactsInput!$N$33+1,30,36,42,48,54,60)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
      <c r="A293">
        <f>Skills!A7</f>
        <v/>
      </c>
      <c r="B293">
        <f>Skills!B7</f>
        <v/>
      </c>
      <c r="C293">
        <f>Inputs!$B$3&gt;=66</f>
        <v/>
      </c>
      <c r="D293">
        <f>IF(Skills!C7=1,60+Inputs!$B$25+Inputs!$B$29,IF(Skills!C7=2,90+Inputs!$B$26+Inputs!$B$29,IF(Skills!C7=3,120+Inputs!$B$27+Inputs!$B$29,MAX(0,(Inputs!$B$3-100)*3)+Inputs!$B$28+Inputs!$B$29)))</f>
        <v/>
      </c>
      <c r="E293">
        <f>INDEX(FactorTable!$B$2:$Y$301, MATCH(ROUND(MIN(300,MAX(1,D293)),0), FactorTable!$A$2:$A$301,0), Skills!M7+1)</f>
        <v/>
      </c>
      <c r="F293">
        <f>IF(Skills!N7=TRUE,(Skills!L7/10)*(E293/1000),Skills!L7/10)+Skills!O7</f>
        <v/>
      </c>
      <c r="G293">
        <f>Skills!G7*IF(Skills!H7&gt;0,Skills!I7/Skills!H7,1)</f>
        <v/>
      </c>
      <c r="H293">
        <f>1-(1-Skills!J7/100)^Skills!K7</f>
        <v/>
      </c>
      <c r="I293" t="inlineStr">
        <is>
          <t>1</t>
        </is>
      </c>
      <c r="J293">
        <f>((Inputs!$B$6*(1+Inputs!$B$7/100))+(((Inputs!$B$12*(1+Inputs!$B$13/100))-(Inputs!$B$12*(1+Inputs!$B$13/100)))+0.25*(Inputs!$B$14-Inputs!$B$14))*(1+Inputs!$B$7/100))*(F293/100)</f>
        <v/>
      </c>
      <c r="K293">
        <f>J293*(1+((Inputs!$B$12*(1+Inputs!$B$13/100))*0.01+Inputs!$B$14*0.0025)/100)*(1+Inputs!$B$15/100)*(1+Inputs!$B$16/100)*(5000/(6000+Inputs!$B$42*(1-(100*(1-(1-(Inputs!$B$19+0)/100)*(1-CHOOSE(ArtifactsInput!$N$40+1,5,6,7,8,9,10)/100)^(ArtifactsInput!$M$40-ArtifactsInput!$M$40)))/100)))*(1+(Inputs!$B$24+((C312=TRUE)*(F312-Calc!F26))+B322)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301=TRUE,F301,0)/100)*(1+(IF(Skills!A7="EIGHT_LEGS_EASTON",Inputs!$B$17+((C309=TRUE)*(F309-Calc!F23))+((C313=TRUE)*(F313-Calc!F27))+(((IF(AND(ArtifactsInput!$M$42,((Inputs!$B$9+((C305=TRUE)*(F305-Calc!F19))+B316+(ArtifactsInput!$M$24-ArtifactsInput!$M$24)*CHOOSE(ArtifactsInput!$N$24+1,10,12,14,16,18,20)+IF(ArtifactsInput!$M$10,CHOOSE(ArtifactsInput!$N$10+1,15,18,21,24,27,30)*(IF(Inputs!$B$38="pvp",MIN(15,15)/15,IF(AND(Inputs!$B$38&lt;&gt;"pvp",Inputs!$B$43&gt;0),MIN(15,Inputs!$B$43)/(Inputs!$B$43),0))),0)))&gt;=100),MIN(100,((Inputs!$B$9+((C305=TRUE)*(F305-Calc!F19))+B316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TRUE)*(F305-Calc!F19))+B316+(ArtifactsInput!$M$24-ArtifactsInput!$M$24)*CHOOSE(ArtifactsInput!$N$24+1,10,12,14,16,18,20)+IF(ArtifactsInput!$M$10,CHOOSE(ArtifactsInput!$N$10+1,15,18,21,24,27,30)*(IF(Inputs!$B$38="pvp",MIN(15,15)/15,IF(AND(Inputs!$B$38&lt;&gt;"pvp",Inputs!$B$43&gt;0),MIN(15,Inputs!$B$43)/(Inputs!$B$43),0))),0)))&gt;=100),CHOOSE(ArtifactsInput!$N$42+1,40,48,56,64,72,80),0))))/100)*((1+(((C303=TRUE)*F303)+((C310=TRUE)*(F310-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f>
        <v/>
      </c>
      <c r="L293">
        <f>K293*(MIN(Inputs!$B$22+((C308=TRUE)*(F308-Calc!F22)),(Inputs!$B$23+0+(IF(ArtifactsInput!$M$15,CHOOSE(ArtifactsInput!$N$15+1,25,30,35,40,45,50)/100*(Inputs!$B$11-Inputs!$B$11),0))))/100+(Inputs!$B$23+0+(IF(ArtifactsInput!$M$15,CHOOSE(ArtifactsInput!$N$15+1,25,30,35,40,45,50)/100*(Inputs!$B$11-Inputs!$B$11),0)))/100)/2</f>
        <v/>
      </c>
      <c r="M293">
        <f>L293*(1+(Inputs!$B$10+((C311=TRUE)*(F311-Calc!F25))+B321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
        <f>L293*(1-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
        <f>(1-Summary!$B$11)*T293+Summary!$B$11*V293</f>
        <v/>
      </c>
      <c r="P293">
        <f>IF(B326=0,0,O293/B326)</f>
        <v/>
      </c>
      <c r="Q293">
        <f>IFERROR(1/(IF(Inputs!$B$38="pvp",15,MAX(0.1,Skills!D7-IF(Skills!E7=TRUE,Inputs!$B$32,0)))*(1-IF(AND(ArtifactsInput!$M$27,Inputs!$B$4="Chapter Hunt"),CHOOSE(ArtifactsInput!$N$27+1,20,24,28,32,36,40),0)/100)),0)</f>
        <v/>
      </c>
      <c r="R293">
        <f>IF(AND(Inputs!$B$38&lt;&gt;"pvp",Inputs!$B$43&gt;0),IF(MAX(0,Inputs!$B$43-B323)&lt;=0,0,(INT(MAX(0,Inputs!$B$43-B323)/(IF(Inputs!$B$38="pvp",15,MAX(0.1,Skills!D7-IF(Skills!E7=TRUE,Inputs!$B$32,0)))*(1-IF(AND(ArtifactsInput!$M$27,Inputs!$B$4="Chapter Hunt"),CHOOSE(ArtifactsInput!$N$27+1,20,24,28,32,36,40),0)/100)))+1)),0)</f>
        <v/>
      </c>
      <c r="S293">
        <f>IFERROR(O293/N293,0)</f>
        <v/>
      </c>
      <c r="T293">
        <f>IF(C293,(H293*N293*IF(AND(Inputs!$B$38&lt;&gt;"pvp",Inputs!$B$43&gt;0),((Skills!G7*((R293-1)*IF(Skills!H7&gt;0,Skills!I7/Skills!H7,1)+IF(Skills!H7&gt;0,MIN(Skills!I7,MAX(0,MAX(0,Inputs!$B$43-B323)-((R293-1)*(IF(Inputs!$B$38="pvp",15,MAX(0.1,Skills!D7-IF(Skills!E7=TRUE,Inputs!$B$32,0)))*(1-IF(AND(ArtifactsInput!$M$27,Inputs!$B$4="Chapter Hunt"),CHOOSE(ArtifactsInput!$N$27+1,20,24,28,32,36,40),0)/100)))))/Skills!H7,1)))/Inputs!$B$43),G293*Q293))*IF(Inputs!$B$38="pvp",1,1+((Inputs!$B$20+1)+0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
        <f>IF(C293,(H293*N293*IF(AND(Inputs!$B$38&lt;&gt;"pvp",Inputs!$B$43&gt;0),((Skills!G7*((R293-1)*IF(Skills!H7&gt;0,Skills!I7/Skills!H7,1)+IF(Skills!H7&gt;0,MIN(Skills!I7,MAX(0,MAX(0,Inputs!$B$43-B323)-((R293-1)*(IF(Inputs!$B$38="pvp",15,MAX(0.1,Skills!D7-IF(Skills!E7=TRUE,Inputs!$B$32,0)))*(1-IF(AND(ArtifactsInput!$M$27,Inputs!$B$4="Chapter Hunt"),CHOOSE(ArtifactsInput!$N$27+1,20,24,28,32,36,40),0)/100)))))/Skills!H7,1)))/Inputs!$B$43),G293*Q293))*IF(Inputs!$B$38="pvp",1,(1+(Inputs!$B$21+Skills!Q7+(IF(ArtifactsInput!$M$33,CHOOSE(ArtifactsInput!$N$33+1,30,36,42,48,54,60)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
      <c r="A294">
        <f>Skills!A8</f>
        <v/>
      </c>
      <c r="B294">
        <f>Skills!B8</f>
        <v/>
      </c>
      <c r="C294">
        <f>Inputs!$B$3&gt;=100</f>
        <v/>
      </c>
      <c r="D294">
        <f>IF(Skills!C8=1,60+Inputs!$B$25+Inputs!$B$29,IF(Skills!C8=2,90+Inputs!$B$26+Inputs!$B$29,IF(Skills!C8=3,120+Inputs!$B$27+Inputs!$B$29,MAX(0,(Inputs!$B$3-100)*3)+Inputs!$B$28+Inputs!$B$29)))</f>
        <v/>
      </c>
      <c r="E294">
        <f>INDEX(FactorTable!$B$2:$Y$301, MATCH(ROUND(MIN(300,MAX(1,D294)),0), FactorTable!$A$2:$A$301,0), Skills!M8+1)</f>
        <v/>
      </c>
      <c r="F294">
        <f>IF(Skills!N8=TRUE,(Skills!L8/10)*(E294/1000),Skills!L8/10)+Skills!O8</f>
        <v/>
      </c>
      <c r="G294">
        <f>Skills!G8*IF(Skills!H8&gt;0,Skills!I8/Skills!H8,1)</f>
        <v/>
      </c>
      <c r="H294">
        <f>1-(1-Skills!J8/100)^Skills!K8</f>
        <v/>
      </c>
      <c r="I294" t="inlineStr">
        <is>
          <t>1</t>
        </is>
      </c>
      <c r="J294">
        <f>((Inputs!$B$6*(1+Inputs!$B$7/100))+(((Inputs!$B$12*(1+Inputs!$B$13/100))-(Inputs!$B$12*(1+Inputs!$B$13/100)))+0.25*(Inputs!$B$14-Inputs!$B$14))*(1+Inputs!$B$7/100))*(F294/100)</f>
        <v/>
      </c>
      <c r="K294">
        <f>J294*(1+((Inputs!$B$12*(1+Inputs!$B$13/100))*0.01+Inputs!$B$14*0.0025)/100)*(1+Inputs!$B$15/100)*(1+Inputs!$B$16/100)*(5000/(6000+Inputs!$B$42*(1-(100*(1-(1-(Inputs!$B$19+0)/100)*(1-CHOOSE(ArtifactsInput!$N$40+1,5,6,7,8,9,10)/100)^(ArtifactsInput!$M$40-ArtifactsInput!$M$40)))/100)))*(1+(Inputs!$B$24+((C312=TRUE)*(F312-Calc!F26))+B322)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309=TRUE)*(F309-Calc!F23))+((C313=TRUE)*(F313-Calc!F27))+(((IF(AND(ArtifactsInput!$M$42,((Inputs!$B$9+((C305=TRUE)*(F305-Calc!F19))+B316+(ArtifactsInput!$M$24-ArtifactsInput!$M$24)*CHOOSE(ArtifactsInput!$N$24+1,10,12,14,16,18,20)+IF(ArtifactsInput!$M$10,CHOOSE(ArtifactsInput!$N$10+1,15,18,21,24,27,30)*(IF(Inputs!$B$38="pvp",MIN(15,15)/15,IF(AND(Inputs!$B$38&lt;&gt;"pvp",Inputs!$B$43&gt;0),MIN(15,Inputs!$B$43)/(Inputs!$B$43),0))),0)))&gt;=100),MIN(100,((Inputs!$B$9+((C305=TRUE)*(F305-Calc!F19))+B316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TRUE)*(F305-Calc!F19))+B316+(ArtifactsInput!$M$24-ArtifactsInput!$M$24)*CHOOSE(ArtifactsInput!$N$24+1,10,12,14,16,18,20)+IF(ArtifactsInput!$M$10,CHOOSE(ArtifactsInput!$N$10+1,15,18,21,24,27,30)*(IF(Inputs!$B$38="pvp",MIN(15,15)/15,IF(AND(Inputs!$B$38&lt;&gt;"pvp",Inputs!$B$43&gt;0),MIN(15,Inputs!$B$43)/(Inputs!$B$43),0))),0)))&gt;=100),CHOOSE(ArtifactsInput!$N$42+1,40,48,56,64,72,80),0))))/100)*((1+(((C303=TRUE)*F303)+((C310=TRUE)*(F310-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f>
        <v/>
      </c>
      <c r="L294">
        <f>K294*(MIN(Inputs!$B$22+((C308=TRUE)*(F308-Calc!F22)),(Inputs!$B$23+0+(IF(ArtifactsInput!$M$15,CHOOSE(ArtifactsInput!$N$15+1,25,30,35,40,45,50)/100*(Inputs!$B$11-Inputs!$B$11),0))))/100+(Inputs!$B$23+0+(IF(ArtifactsInput!$M$15,CHOOSE(ArtifactsInput!$N$15+1,25,30,35,40,45,50)/100*(Inputs!$B$11-Inputs!$B$11),0)))/100)/2</f>
        <v/>
      </c>
      <c r="M294">
        <f>L294*(1+(Inputs!$B$10+((C311=TRUE)*(F311-Calc!F25))+B321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
        <f>L294*(1-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
        <f>(1-Summary!$B$11)*T294+Summary!$B$11*V294</f>
        <v/>
      </c>
      <c r="P294">
        <f>IF(B326=0,0,O294/B326)</f>
        <v/>
      </c>
      <c r="Q294">
        <f>IFERROR(1/(IF(Inputs!$B$38="pvp",15,MAX(0.1,Skills!D8-IF(Skills!E8=TRUE,Inputs!$B$32,0)))*(1-IF(AND(ArtifactsInput!$M$27,Inputs!$B$4="Chapter Hunt"),CHOOSE(ArtifactsInput!$N$27+1,20,24,28,32,36,40),0)/100)),0)</f>
        <v/>
      </c>
      <c r="R294">
        <f>IF(AND(Inputs!$B$38&lt;&gt;"pvp",Inputs!$B$43&gt;0),IF(MAX(0,Inputs!$B$43-B323)&lt;=0,0,(INT(MAX(0,Inputs!$B$43-B323)/(IF(Inputs!$B$38="pvp",15,MAX(0.1,Skills!D8-IF(Skills!E8=TRUE,Inputs!$B$32,0)))*(1-IF(AND(ArtifactsInput!$M$27,Inputs!$B$4="Chapter Hunt"),CHOOSE(ArtifactsInput!$N$27+1,20,24,28,32,36,40),0)/100)))+1)),0)</f>
        <v/>
      </c>
      <c r="S294">
        <f>IFERROR(O294/N294,0)</f>
        <v/>
      </c>
      <c r="T294">
        <f>IF(C294,(H294*N294*IF(AND(Inputs!$B$38&lt;&gt;"pvp",Inputs!$B$43&gt;0),((Skills!G8*((R294-1)*IF(Skills!H8&gt;0,Skills!I8/Skills!H8,1)+IF(Skills!H8&gt;0,MIN(Skills!I8,MAX(0,MAX(0,Inputs!$B$43-B323)-((R294-1)*(IF(Inputs!$B$38="pvp",15,MAX(0.1,Skills!D8-IF(Skills!E8=TRUE,Inputs!$B$32,0)))*(1-IF(AND(ArtifactsInput!$M$27,Inputs!$B$4="Chapter Hunt"),CHOOSE(ArtifactsInput!$N$27+1,20,24,28,32,36,40),0)/100)))))/Skills!H8,1)))/Inputs!$B$43),G294*Q294))*IF(Inputs!$B$38="pvp",1,1+((Inputs!$B$20+1)+0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
        <f>IF(C294,(H294*N294*IF(AND(Inputs!$B$38&lt;&gt;"pvp",Inputs!$B$43&gt;0),((Skills!G8*((R294-1)*IF(Skills!H8&gt;0,Skills!I8/Skills!H8,1)+IF(Skills!H8&gt;0,MIN(Skills!I8,MAX(0,MAX(0,Inputs!$B$43-B323)-((R294-1)*(IF(Inputs!$B$38="pvp",15,MAX(0.1,Skills!D8-IF(Skills!E8=TRUE,Inputs!$B$32,0)))*(1-IF(AND(ArtifactsInput!$M$27,Inputs!$B$4="Chapter Hunt"),CHOOSE(ArtifactsInput!$N$27+1,20,24,28,32,36,40),0)/100)))))/Skills!H8,1)))/Inputs!$B$43),G294*Q294))*IF(Inputs!$B$38="pvp",1,(1+(Inputs!$B$21+Skills!Q8+(IF(ArtifactsInput!$M$33,CHOOSE(ArtifactsInput!$N$33+1,30,36,42,48,54,60)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
      <c r="A295">
        <f>Skills!A9</f>
        <v/>
      </c>
      <c r="B295">
        <f>Skills!B9</f>
        <v/>
      </c>
      <c r="C295">
        <f>Inputs!$B$3&gt;=103</f>
        <v/>
      </c>
      <c r="D295">
        <f>IF(Skills!C9=1,60+Inputs!$B$25+Inputs!$B$29,IF(Skills!C9=2,90+Inputs!$B$26+Inputs!$B$29,IF(Skills!C9=3,120+Inputs!$B$27+Inputs!$B$29,MAX(0,(Inputs!$B$3-100)*3)+Inputs!$B$28+Inputs!$B$29)))</f>
        <v/>
      </c>
      <c r="E295">
        <f>INDEX(FactorTable!$B$2:$Y$301, MATCH(ROUND(MIN(300,MAX(1,D295)),0), FactorTable!$A$2:$A$301,0), Skills!M9+1)</f>
        <v/>
      </c>
      <c r="F295">
        <f>IF(Skills!N9=TRUE,(Skills!L9/10)*(E295/1000),Skills!L9/10)+Skills!O9</f>
        <v/>
      </c>
      <c r="G295">
        <f>Skills!G9*IF(Skills!H9&gt;0,Skills!I9/Skills!H9,1)</f>
        <v/>
      </c>
      <c r="H295">
        <f>1-(1-Skills!J9/100)^Skills!K9</f>
        <v/>
      </c>
      <c r="I295" t="inlineStr">
        <is>
          <t>1</t>
        </is>
      </c>
      <c r="J295">
        <f>((Inputs!$B$6*(1+Inputs!$B$7/100))+(((Inputs!$B$12*(1+Inputs!$B$13/100))-(Inputs!$B$12*(1+Inputs!$B$13/100)))+0.25*(Inputs!$B$14-Inputs!$B$14))*(1+Inputs!$B$7/100))*(F295/100)</f>
        <v/>
      </c>
      <c r="K295">
        <f>J295*(1+((Inputs!$B$12*(1+Inputs!$B$13/100))*0.01+Inputs!$B$14*0.0025)/100)*(1+Inputs!$B$15/100)*(1+Inputs!$B$16/100)*(5000/(6000+Inputs!$B$42*(1-(100*(1-(1-(Inputs!$B$19+0)/100)*(1-CHOOSE(ArtifactsInput!$N$40+1,5,6,7,8,9,10)/100)^(ArtifactsInput!$M$40-ArtifactsInput!$M$40)))/100)))*(1+(Inputs!$B$24+((C312=TRUE)*(F312-Calc!F26))+B322)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309=TRUE)*(F309-Calc!F23))+((C313=TRUE)*(F313-Calc!F27))+(((IF(AND(ArtifactsInput!$M$42,((Inputs!$B$9+((C305=TRUE)*(F305-Calc!F19))+B316+(ArtifactsInput!$M$24-ArtifactsInput!$M$24)*CHOOSE(ArtifactsInput!$N$24+1,10,12,14,16,18,20)+IF(ArtifactsInput!$M$10,CHOOSE(ArtifactsInput!$N$10+1,15,18,21,24,27,30)*(IF(Inputs!$B$38="pvp",MIN(15,15)/15,IF(AND(Inputs!$B$38&lt;&gt;"pvp",Inputs!$B$43&gt;0),MIN(15,Inputs!$B$43)/(Inputs!$B$43),0))),0)))&gt;=100),MIN(100,((Inputs!$B$9+((C305=TRUE)*(F305-Calc!F19))+B316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TRUE)*(F305-Calc!F19))+B316+(ArtifactsInput!$M$24-ArtifactsInput!$M$24)*CHOOSE(ArtifactsInput!$N$24+1,10,12,14,16,18,20)+IF(ArtifactsInput!$M$10,CHOOSE(ArtifactsInput!$N$10+1,15,18,21,24,27,30)*(IF(Inputs!$B$38="pvp",MIN(15,15)/15,IF(AND(Inputs!$B$38&lt;&gt;"pvp",Inputs!$B$43&gt;0),MIN(15,Inputs!$B$43)/(Inputs!$B$43),0))),0)))&gt;=100),CHOOSE(ArtifactsInput!$N$42+1,40,48,56,64,72,80),0))))/100)*((1+(((C303=TRUE)*F303)+((C310=TRUE)*(F310-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f>
        <v/>
      </c>
      <c r="L295">
        <f>K295*(MIN(Inputs!$B$22+((C308=TRUE)*(F308-Calc!F22)),(Inputs!$B$23+0+(IF(ArtifactsInput!$M$15,CHOOSE(ArtifactsInput!$N$15+1,25,30,35,40,45,50)/100*(Inputs!$B$11-Inputs!$B$11),0))))/100+(Inputs!$B$23+0+(IF(ArtifactsInput!$M$15,CHOOSE(ArtifactsInput!$N$15+1,25,30,35,40,45,50)/100*(Inputs!$B$11-Inputs!$B$11),0)))/100)/2</f>
        <v/>
      </c>
      <c r="M295">
        <f>L295*(1+(Inputs!$B$10+((C311=TRUE)*(F311-Calc!F25))+B321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
        <f>L295*(1-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
        <f>(1-Summary!$B$11)*T295+Summary!$B$11*V295</f>
        <v/>
      </c>
      <c r="P295">
        <f>IF(B326=0,0,O295/B326)</f>
        <v/>
      </c>
      <c r="Q295">
        <f>IFERROR(1/(IF(Inputs!$B$38="pvp",15,MAX(0.1,Skills!D9-IF(Skills!E9=TRUE,Inputs!$B$32,0)))*(1-IF(AND(ArtifactsInput!$M$27,Inputs!$B$4="Chapter Hunt"),CHOOSE(ArtifactsInput!$N$27+1,20,24,28,32,36,40),0)/100)),0)</f>
        <v/>
      </c>
      <c r="R295">
        <f>IF(AND(Inputs!$B$38&lt;&gt;"pvp",Inputs!$B$43&gt;0),IF(MAX(0,Inputs!$B$43-B323)&lt;=0,0,(INT(MAX(0,Inputs!$B$43-B323)/(IF(Inputs!$B$38="pvp",15,MAX(0.1,Skills!D9-IF(Skills!E9=TRUE,Inputs!$B$32,0)))*(1-IF(AND(ArtifactsInput!$M$27,Inputs!$B$4="Chapter Hunt"),CHOOSE(ArtifactsInput!$N$27+1,20,24,28,32,36,40),0)/100)))+1)),0)</f>
        <v/>
      </c>
      <c r="S295">
        <f>IFERROR(O295/N295,0)</f>
        <v/>
      </c>
      <c r="T295">
        <f>IF(C295,(H295*N295*IF(AND(Inputs!$B$38&lt;&gt;"pvp",Inputs!$B$43&gt;0),((Skills!G9*((R295-1)*IF(Skills!H9&gt;0,Skills!I9/Skills!H9,1)+IF(Skills!H9&gt;0,MIN(Skills!I9,MAX(0,MAX(0,Inputs!$B$43-B323)-((R295-1)*(IF(Inputs!$B$38="pvp",15,MAX(0.1,Skills!D9-IF(Skills!E9=TRUE,Inputs!$B$32,0)))*(1-IF(AND(ArtifactsInput!$M$27,Inputs!$B$4="Chapter Hunt"),CHOOSE(ArtifactsInput!$N$27+1,20,24,28,32,36,40),0)/100)))))/Skills!H9,1)))/Inputs!$B$43),G295*Q295))*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
        <f>IF(C295,(H295*N295*IF(AND(Inputs!$B$38&lt;&gt;"pvp",Inputs!$B$43&gt;0),((Skills!G9*((R295-1)*IF(Skills!H9&gt;0,Skills!I9/Skills!H9,1)+IF(Skills!H9&gt;0,MIN(Skills!I9,MAX(0,MAX(0,Inputs!$B$43-B323)-((R295-1)*(IF(Inputs!$B$38="pvp",15,MAX(0.1,Skills!D9-IF(Skills!E9=TRUE,Inputs!$B$32,0)))*(1-IF(AND(ArtifactsInput!$M$27,Inputs!$B$4="Chapter Hunt"),CHOOSE(ArtifactsInput!$N$27+1,20,24,28,32,36,40),0)/100)))))/Skills!H9,1)))/Inputs!$B$43),G295*Q295))*IF(Inputs!$B$38="pvp",1,(1+(Inputs!$B$21+Skills!Q9+(IF(ArtifactsInput!$M$33,CHOOSE(ArtifactsInput!$N$33+1,30,36,42,48,54,60)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
      <c r="A296">
        <f>Skills!A10</f>
        <v/>
      </c>
      <c r="B296">
        <f>Skills!B10</f>
        <v/>
      </c>
      <c r="C296">
        <f>Inputs!$B$3&gt;=113</f>
        <v/>
      </c>
      <c r="D296">
        <f>IF(Skills!C10=1,60+Inputs!$B$25+Inputs!$B$29,IF(Skills!C10=2,90+Inputs!$B$26+Inputs!$B$29,IF(Skills!C10=3,120+Inputs!$B$27+Inputs!$B$29,MAX(0,(Inputs!$B$3-100)*3)+Inputs!$B$28+Inputs!$B$29)))</f>
        <v/>
      </c>
      <c r="E296">
        <f>INDEX(FactorTable!$B$2:$Y$301, MATCH(ROUND(MIN(300,MAX(1,D296)),0), FactorTable!$A$2:$A$301,0), Skills!M10+1)</f>
        <v/>
      </c>
      <c r="F296">
        <f>IF(Skills!N10=TRUE,(Skills!L10/10)*(E296/1000),Skills!L10/10)+Skills!O10</f>
        <v/>
      </c>
      <c r="G296">
        <f>Skills!G10*IF(Skills!H10&gt;0,Skills!I10/Skills!H10,1)</f>
        <v/>
      </c>
      <c r="H296">
        <f>1-(1-Skills!J10/100)^Skills!K10</f>
        <v/>
      </c>
      <c r="I296" t="inlineStr">
        <is>
          <t>1</t>
        </is>
      </c>
      <c r="J296">
        <f>((Inputs!$B$6*(1+Inputs!$B$7/100))+(((Inputs!$B$12*(1+Inputs!$B$13/100))-(Inputs!$B$12*(1+Inputs!$B$13/100)))+0.25*(Inputs!$B$14-Inputs!$B$14))*(1+Inputs!$B$7/100))*(F296/100)</f>
        <v/>
      </c>
      <c r="K296">
        <f>J296*(1+((Inputs!$B$12*(1+Inputs!$B$13/100))*0.01+Inputs!$B$14*0.0025)/100)*(1+Inputs!$B$15/100)*(1+Inputs!$B$16/100)*(5000/(6000+Inputs!$B$42*(1-(100*(1-(1-(Inputs!$B$19+0)/100)*(1-CHOOSE(ArtifactsInput!$N$40+1,5,6,7,8,9,10)/100)^(ArtifactsInput!$M$40-ArtifactsInput!$M$40)))/100)))*(1+(Inputs!$B$24+((C312=TRUE)*(F312-Calc!F26))+B322)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309=TRUE)*(F309-Calc!F23))+((C313=TRUE)*(F313-Calc!F27))+(((IF(AND(ArtifactsInput!$M$42,((Inputs!$B$9+((C305=TRUE)*(F305-Calc!F19))+B316+(ArtifactsInput!$M$24-ArtifactsInput!$M$24)*CHOOSE(ArtifactsInput!$N$24+1,10,12,14,16,18,20)+IF(ArtifactsInput!$M$10,CHOOSE(ArtifactsInput!$N$10+1,15,18,21,24,27,30)*(IF(Inputs!$B$38="pvp",MIN(15,15)/15,IF(AND(Inputs!$B$38&lt;&gt;"pvp",Inputs!$B$43&gt;0),MIN(15,Inputs!$B$43)/(Inputs!$B$43),0))),0)))&gt;=100),MIN(100,((Inputs!$B$9+((C305=TRUE)*(F305-Calc!F19))+B316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TRUE)*(F305-Calc!F19))+B316+(ArtifactsInput!$M$24-ArtifactsInput!$M$24)*CHOOSE(ArtifactsInput!$N$24+1,10,12,14,16,18,20)+IF(ArtifactsInput!$M$10,CHOOSE(ArtifactsInput!$N$10+1,15,18,21,24,27,30)*(IF(Inputs!$B$38="pvp",MIN(15,15)/15,IF(AND(Inputs!$B$38&lt;&gt;"pvp",Inputs!$B$43&gt;0),MIN(15,Inputs!$B$43)/(Inputs!$B$43),0))),0)))&gt;=100),CHOOSE(ArtifactsInput!$N$42+1,40,48,56,64,72,80),0))))/100)*((1+(((C303=TRUE)*F303)+((C310=TRUE)*(F310-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f>
        <v/>
      </c>
      <c r="L296">
        <f>K296*(MIN(Inputs!$B$22+((C308=TRUE)*(F308-Calc!F22)),(Inputs!$B$23+0+(IF(ArtifactsInput!$M$15,CHOOSE(ArtifactsInput!$N$15+1,25,30,35,40,45,50)/100*(Inputs!$B$11-Inputs!$B$11),0))))/100+(Inputs!$B$23+0+(IF(ArtifactsInput!$M$15,CHOOSE(ArtifactsInput!$N$15+1,25,30,35,40,45,50)/100*(Inputs!$B$11-Inputs!$B$11),0)))/100)/2</f>
        <v/>
      </c>
      <c r="M296">
        <f>L296*(1+(Inputs!$B$10+((C311=TRUE)*(F311-Calc!F25))+B321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
        <f>L296*(1-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
        <f>(1-Summary!$B$11)*T296+Summary!$B$11*V296</f>
        <v/>
      </c>
      <c r="P296">
        <f>IF(B326=0,0,O296/B326)</f>
        <v/>
      </c>
      <c r="Q296">
        <f>IFERROR(1/(IF(Inputs!$B$38="pvp",15,MAX(0.1,Skills!D10-IF(Skills!E10=TRUE,Inputs!$B$32,0)))*(1-IF(AND(ArtifactsInput!$M$27,Inputs!$B$4="Chapter Hunt"),CHOOSE(ArtifactsInput!$N$27+1,20,24,28,32,36,40),0)/100)),0)</f>
        <v/>
      </c>
      <c r="R296">
        <f>IF(AND(Inputs!$B$38&lt;&gt;"pvp",Inputs!$B$43&gt;0),IF(MAX(0,Inputs!$B$43-B323)&lt;=0,0,(INT(MAX(0,Inputs!$B$43-B323)/(IF(Inputs!$B$38="pvp",15,MAX(0.1,Skills!D10-IF(Skills!E10=TRUE,Inputs!$B$32,0)))*(1-IF(AND(ArtifactsInput!$M$27,Inputs!$B$4="Chapter Hunt"),CHOOSE(ArtifactsInput!$N$27+1,20,24,28,32,36,40),0)/100)))+1)),0)</f>
        <v/>
      </c>
      <c r="S296">
        <f>IFERROR(O296/N296,0)</f>
        <v/>
      </c>
      <c r="T296">
        <f>IF(C296,(H296*N296*IF(AND(Inputs!$B$38&lt;&gt;"pvp",Inputs!$B$43&gt;0),((Skills!G10*((R296-1)*IF(Skills!H10&gt;0,Skills!I10/Skills!H10,1)+IF(Skills!H10&gt;0,MIN(Skills!I10,MAX(0,MAX(0,Inputs!$B$43-B323)-((R296-1)*(IF(Inputs!$B$38="pvp",15,MAX(0.1,Skills!D10-IF(Skills!E10=TRUE,Inputs!$B$32,0)))*(1-IF(AND(ArtifactsInput!$M$27,Inputs!$B$4="Chapter Hunt"),CHOOSE(ArtifactsInput!$N$27+1,20,24,28,32,36,40),0)/100)))))/Skills!H10,1)))/Inputs!$B$43),G296*Q296))*IF(Inputs!$B$38="pvp",1,1+((Inputs!$B$20+1)+0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296*(1-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6">
        <f>IF(C296,(H296*N296*IF(AND(Inputs!$B$38&lt;&gt;"pvp",Inputs!$B$43&gt;0),((Skills!G10*((R296-1)*IF(Skills!H10&gt;0,Skills!I10/Skills!H10,1)+IF(Skills!H10&gt;0,MIN(Skills!I10,MAX(0,MAX(0,Inputs!$B$43-B323)-((R296-1)*(IF(Inputs!$B$38="pvp",15,MAX(0.1,Skills!D10-IF(Skills!E10=TRUE,Inputs!$B$32,0)))*(1-IF(AND(ArtifactsInput!$M$27,Inputs!$B$4="Chapter Hunt"),CHOOSE(ArtifactsInput!$N$27+1,20,24,28,32,36,40),0)/100)))))/Skills!H10,1)))/Inputs!$B$43),G296*Q296))*IF(Inputs!$B$38="pvp",1,(1+(Inputs!$B$21+Skills!Q10+(IF(ArtifactsInput!$M$33,CHOOSE(ArtifactsInput!$N$33+1,30,36,42,48,54,60)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
      <c r="A297">
        <f>Skills!A11</f>
        <v/>
      </c>
      <c r="B297">
        <f>Skills!B11</f>
        <v/>
      </c>
      <c r="C297">
        <f>Inputs!$B$3&gt;=107</f>
        <v/>
      </c>
      <c r="D297">
        <f>IF(Skills!C11=1,60+Inputs!$B$25+Inputs!$B$29,IF(Skills!C11=2,90+Inputs!$B$26+Inputs!$B$29,IF(Skills!C11=3,120+Inputs!$B$27+Inputs!$B$29,MAX(0,(Inputs!$B$3-100)*3)+Inputs!$B$28+Inputs!$B$29)))</f>
        <v/>
      </c>
      <c r="E297">
        <f>INDEX(FactorTable!$B$2:$Y$301, MATCH(ROUND(MIN(300,MAX(1,D297)),0), FactorTable!$A$2:$A$301,0), Skills!M11+1)</f>
        <v/>
      </c>
      <c r="F297">
        <f>IF(Skills!N11=TRUE,(Skills!L11/10)*(E297/1000),Skills!L11/10)+Skills!O11</f>
        <v/>
      </c>
      <c r="G297">
        <f>Skills!G11*IF(Skills!H11&gt;0,Skills!I11/Skills!H11,1)</f>
        <v/>
      </c>
      <c r="H297">
        <f>1-(1-Skills!J11/100)^Skills!K11</f>
        <v/>
      </c>
      <c r="I297" t="inlineStr">
        <is>
          <t>1</t>
        </is>
      </c>
      <c r="J297">
        <f>((Inputs!$B$6*(1+Inputs!$B$7/100))+(((Inputs!$B$12*(1+Inputs!$B$13/100))-(Inputs!$B$12*(1+Inputs!$B$13/100)))+0.25*(Inputs!$B$14-Inputs!$B$14))*(1+Inputs!$B$7/100))*(F297/100)</f>
        <v/>
      </c>
      <c r="K297">
        <f>J297*(1+((Inputs!$B$12*(1+Inputs!$B$13/100))*0.01+Inputs!$B$14*0.0025)/100)*(1+Inputs!$B$15/100)*(1+Inputs!$B$16/100)*(5000/(6000+Inputs!$B$42*(1-(100*(1-(1-(Inputs!$B$19+0)/100)*(1-CHOOSE(ArtifactsInput!$N$40+1,5,6,7,8,9,10)/100)^(ArtifactsInput!$M$40-ArtifactsInput!$M$40)))/100)))*(1+(Inputs!$B$24+((C312=TRUE)*(F312-Calc!F26))+B322)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309=TRUE)*(F309-Calc!F23))+((C313=TRUE)*(F313-Calc!F27))+(((IF(AND(ArtifactsInput!$M$42,((Inputs!$B$9+((C305=TRUE)*(F305-Calc!F19))+B316+(ArtifactsInput!$M$24-ArtifactsInput!$M$24)*CHOOSE(ArtifactsInput!$N$24+1,10,12,14,16,18,20)+IF(ArtifactsInput!$M$10,CHOOSE(ArtifactsInput!$N$10+1,15,18,21,24,27,30)*(IF(Inputs!$B$38="pvp",MIN(15,15)/15,IF(AND(Inputs!$B$38&lt;&gt;"pvp",Inputs!$B$43&gt;0),MIN(15,Inputs!$B$43)/(Inputs!$B$43),0))),0)))&gt;=100),MIN(100,((Inputs!$B$9+((C305=TRUE)*(F305-Calc!F19))+B316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TRUE)*(F305-Calc!F19))+B316+(ArtifactsInput!$M$24-ArtifactsInput!$M$24)*CHOOSE(ArtifactsInput!$N$24+1,10,12,14,16,18,20)+IF(ArtifactsInput!$M$10,CHOOSE(ArtifactsInput!$N$10+1,15,18,21,24,27,30)*(IF(Inputs!$B$38="pvp",MIN(15,15)/15,IF(AND(Inputs!$B$38&lt;&gt;"pvp",Inputs!$B$43&gt;0),MIN(15,Inputs!$B$43)/(Inputs!$B$43),0))),0)))&gt;=100),CHOOSE(ArtifactsInput!$N$42+1,40,48,56,64,72,80),0))))/100)*((1+(((C303=TRUE)*F303)+((C310=TRUE)*(F310-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f>
        <v/>
      </c>
      <c r="L297">
        <f>K297*(MIN(Inputs!$B$22+((C308=TRUE)*(F308-Calc!F22)),(Inputs!$B$23+0+(IF(ArtifactsInput!$M$15,CHOOSE(ArtifactsInput!$N$15+1,25,30,35,40,45,50)/100*(Inputs!$B$11-Inputs!$B$11),0))))/100+(Inputs!$B$23+0+(IF(ArtifactsInput!$M$15,CHOOSE(ArtifactsInput!$N$15+1,25,30,35,40,45,50)/100*(Inputs!$B$11-Inputs!$B$11),0)))/100)/2</f>
        <v/>
      </c>
      <c r="M297">
        <f>L297*(1+(Inputs!$B$10+((C311=TRUE)*(F311-Calc!F25))+B321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
        <f>L297*(1-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
        <f>(1-Summary!$B$11)*T297+Summary!$B$11*V297</f>
        <v/>
      </c>
      <c r="P297">
        <f>IF(B326=0,0,O297/B326)</f>
        <v/>
      </c>
      <c r="Q297">
        <f>IFERROR(1/(IF(Inputs!$B$38="pvp",15,MAX(0.1,Skills!D11-IF(Skills!E11=TRUE,Inputs!$B$32,0)))*(1-IF(AND(ArtifactsInput!$M$27,Inputs!$B$4="Chapter Hunt"),CHOOSE(ArtifactsInput!$N$27+1,20,24,28,32,36,40),0)/100)),0)</f>
        <v/>
      </c>
      <c r="R297">
        <f>IF(AND(Inputs!$B$38&lt;&gt;"pvp",Inputs!$B$43&gt;0),IF(MAX(0,Inputs!$B$43-B323)&lt;=0,0,(INT(MAX(0,Inputs!$B$43-B323)/(IF(Inputs!$B$38="pvp",15,MAX(0.1,Skills!D11-IF(Skills!E11=TRUE,Inputs!$B$32,0)))*(1-IF(AND(ArtifactsInput!$M$27,Inputs!$B$4="Chapter Hunt"),CHOOSE(ArtifactsInput!$N$27+1,20,24,28,32,36,40),0)/100)))+1)),0)</f>
        <v/>
      </c>
      <c r="S297">
        <f>IFERROR(O297/N297,0)</f>
        <v/>
      </c>
      <c r="T297">
        <f>IF(C297,(H297*N297*IF(AND(Inputs!$B$38&lt;&gt;"pvp",Inputs!$B$43&gt;0),((Skills!G11*((R297-1)*IF(Skills!H11&gt;0,Skills!I11/Skills!H11,1)+IF(Skills!H11&gt;0,MIN(Skills!I11,MAX(0,MAX(0,Inputs!$B$43-B323)-((R297-1)*(IF(Inputs!$B$38="pvp",15,MAX(0.1,Skills!D11-IF(Skills!E11=TRUE,Inputs!$B$32,0)))*(1-IF(AND(ArtifactsInput!$M$27,Inputs!$B$4="Chapter Hunt"),CHOOSE(ArtifactsInput!$N$27+1,20,24,28,32,36,40),0)/100)))))/Skills!H11,1)))/Inputs!$B$43),G297*Q297))*IF(Inputs!$B$38="pvp",1,1+((Inputs!$B$20+1)+0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
        <f>IF(C297,(H297*N297*IF(AND(Inputs!$B$38&lt;&gt;"pvp",Inputs!$B$43&gt;0),((Skills!G11*((R297-1)*IF(Skills!H11&gt;0,Skills!I11/Skills!H11,1)+IF(Skills!H11&gt;0,MIN(Skills!I11,MAX(0,MAX(0,Inputs!$B$43-B323)-((R297-1)*(IF(Inputs!$B$38="pvp",15,MAX(0.1,Skills!D11-IF(Skills!E11=TRUE,Inputs!$B$32,0)))*(1-IF(AND(ArtifactsInput!$M$27,Inputs!$B$4="Chapter Hunt"),CHOOSE(ArtifactsInput!$N$27+1,20,24,28,32,36,40),0)/100)))))/Skills!H11,1)))/Inputs!$B$43),G297*Q297))*IF(Inputs!$B$38="pvp",1,(1+(Inputs!$B$21+Skills!Q11+(IF(ArtifactsInput!$M$33,CHOOSE(ArtifactsInput!$N$33+1,30,36,42,48,54,60)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
      <c r="A298">
        <f>Skills!A12</f>
        <v/>
      </c>
      <c r="B298">
        <f>Skills!B12</f>
        <v/>
      </c>
      <c r="C298">
        <f>Inputs!$B$3&gt;=110</f>
        <v/>
      </c>
      <c r="D298">
        <f>IF(Skills!C12=1,60+Inputs!$B$25+Inputs!$B$29,IF(Skills!C12=2,90+Inputs!$B$26+Inputs!$B$29,IF(Skills!C12=3,120+Inputs!$B$27+Inputs!$B$29,MAX(0,(Inputs!$B$3-100)*3)+Inputs!$B$28+Inputs!$B$29)))</f>
        <v/>
      </c>
      <c r="E298">
        <f>INDEX(FactorTable!$B$2:$Y$301, MATCH(ROUND(MIN(300,MAX(1,D298)),0), FactorTable!$A$2:$A$301,0), Skills!M12+1)</f>
        <v/>
      </c>
      <c r="F298">
        <f>IF(Skills!N12=TRUE,(Skills!L12/10)*(E298/1000),Skills!L12/10)+Skills!O12</f>
        <v/>
      </c>
      <c r="G298">
        <f>Skills!G12*IF(Skills!H12&gt;0,Skills!I12/Skills!H12,1)</f>
        <v/>
      </c>
      <c r="H298">
        <f>1-(1-Skills!J12/100)^Skills!K12</f>
        <v/>
      </c>
      <c r="I298" t="inlineStr">
        <is>
          <t>1</t>
        </is>
      </c>
      <c r="J298">
        <f>((Inputs!$B$6*(1+Inputs!$B$7/100))+(((Inputs!$B$12*(1+Inputs!$B$13/100))-(Inputs!$B$12*(1+Inputs!$B$13/100)))+0.25*(Inputs!$B$14-Inputs!$B$14))*(1+Inputs!$B$7/100))*(F298/100)</f>
        <v/>
      </c>
      <c r="K298">
        <f>J298*(1+((Inputs!$B$12*(1+Inputs!$B$13/100))*0.01+Inputs!$B$14*0.0025)/100)*(1+Inputs!$B$15/100)*(1+Inputs!$B$16/100)*(5000/(6000+Inputs!$B$42*(1-(100*(1-(1-(Inputs!$B$19+0)/100)*(1-CHOOSE(ArtifactsInput!$N$40+1,5,6,7,8,9,10)/100)^(ArtifactsInput!$M$40-ArtifactsInput!$M$40)))/100)))*(1+(Inputs!$B$24+((C312=TRUE)*(F312-Calc!F26))+B322)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309=TRUE)*(F309-Calc!F23))+((C313=TRUE)*(F313-Calc!F27))+(((IF(AND(ArtifactsInput!$M$42,((Inputs!$B$9+((C305=TRUE)*(F305-Calc!F19))+B316+(ArtifactsInput!$M$24-ArtifactsInput!$M$24)*CHOOSE(ArtifactsInput!$N$24+1,10,12,14,16,18,20)+IF(ArtifactsInput!$M$10,CHOOSE(ArtifactsInput!$N$10+1,15,18,21,24,27,30)*(IF(Inputs!$B$38="pvp",MIN(15,15)/15,IF(AND(Inputs!$B$38&lt;&gt;"pvp",Inputs!$B$43&gt;0),MIN(15,Inputs!$B$43)/(Inputs!$B$43),0))),0)))&gt;=100),MIN(100,((Inputs!$B$9+((C305=TRUE)*(F305-Calc!F19))+B316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TRUE)*(F305-Calc!F19))+B316+(ArtifactsInput!$M$24-ArtifactsInput!$M$24)*CHOOSE(ArtifactsInput!$N$24+1,10,12,14,16,18,20)+IF(ArtifactsInput!$M$10,CHOOSE(ArtifactsInput!$N$10+1,15,18,21,24,27,30)*(IF(Inputs!$B$38="pvp",MIN(15,15)/15,IF(AND(Inputs!$B$38&lt;&gt;"pvp",Inputs!$B$43&gt;0),MIN(15,Inputs!$B$43)/(Inputs!$B$43),0))),0)))&gt;=100),CHOOSE(ArtifactsInput!$N$42+1,40,48,56,64,72,80),0))))/100)*((1+(((C303=TRUE)*F303)+((C310=TRUE)*(F310-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f>
        <v/>
      </c>
      <c r="L298">
        <f>K298*(MIN(Inputs!$B$22+((C308=TRUE)*(F308-Calc!F22)),(Inputs!$B$23+0+(IF(ArtifactsInput!$M$15,CHOOSE(ArtifactsInput!$N$15+1,25,30,35,40,45,50)/100*(Inputs!$B$11-Inputs!$B$11),0))))/100+(Inputs!$B$23+0+(IF(ArtifactsInput!$M$15,CHOOSE(ArtifactsInput!$N$15+1,25,30,35,40,45,50)/100*(Inputs!$B$11-Inputs!$B$11),0)))/100)/2</f>
        <v/>
      </c>
      <c r="M298">
        <f>L298*(1+(Inputs!$B$10+((C311=TRUE)*(F311-Calc!F25))+B321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
        <f>L298*(1-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
        <f>(1-Summary!$B$11)*T298+Summary!$B$11*V298</f>
        <v/>
      </c>
      <c r="P298">
        <f>IF(B326=0,0,O298/B326)</f>
        <v/>
      </c>
      <c r="Q298">
        <f>IFERROR(1/(IF(Inputs!$B$38="pvp",15,MAX(0.1,Skills!D12-IF(Skills!E12=TRUE,Inputs!$B$32,0)))*(1-IF(AND(ArtifactsInput!$M$27,Inputs!$B$4="Chapter Hunt"),CHOOSE(ArtifactsInput!$N$27+1,20,24,28,32,36,40),0)/100)),0)</f>
        <v/>
      </c>
      <c r="R298">
        <f>IF(AND(Inputs!$B$38&lt;&gt;"pvp",Inputs!$B$43&gt;0),IF(MAX(0,Inputs!$B$43-B323)&lt;=0,0,(INT(MAX(0,Inputs!$B$43-B323)/(IF(Inputs!$B$38="pvp",15,MAX(0.1,Skills!D12-IF(Skills!E12=TRUE,Inputs!$B$32,0)))*(1-IF(AND(ArtifactsInput!$M$27,Inputs!$B$4="Chapter Hunt"),CHOOSE(ArtifactsInput!$N$27+1,20,24,28,32,36,40),0)/100)))+1)),0)</f>
        <v/>
      </c>
      <c r="S298">
        <f>IFERROR(O298/N298,0)</f>
        <v/>
      </c>
      <c r="T298">
        <f>IF(C298,(H298*N298*IF(AND(Inputs!$B$38&lt;&gt;"pvp",Inputs!$B$43&gt;0),((Skills!G12*((R298-1)*IF(Skills!H12&gt;0,Skills!I12/Skills!H12,1)+IF(Skills!H12&gt;0,MIN(Skills!I12,MAX(0,MAX(0,Inputs!$B$43-B323)-((R298-1)*(IF(Inputs!$B$38="pvp",15,MAX(0.1,Skills!D12-IF(Skills!E12=TRUE,Inputs!$B$32,0)))*(1-IF(AND(ArtifactsInput!$M$27,Inputs!$B$4="Chapter Hunt"),CHOOSE(ArtifactsInput!$N$27+1,20,24,28,32,36,40),0)/100)))))/Skills!H12,1)))/Inputs!$B$43),G298*Q298))*IF(Inputs!$B$38="pvp",1,1+((Inputs!$B$20+1)+0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8">
        <f>IF(C298,(H298*N298*IF(AND(Inputs!$B$38&lt;&gt;"pvp",Inputs!$B$43&gt;0),((Skills!G12*((R298-1)*IF(Skills!H12&gt;0,Skills!I12/Skills!H12,1)+IF(Skills!H12&gt;0,MIN(Skills!I12,MAX(0,MAX(0,Inputs!$B$43-B323)-((R298-1)*(IF(Inputs!$B$38="pvp",15,MAX(0.1,Skills!D12-IF(Skills!E12=TRUE,Inputs!$B$32,0)))*(1-IF(AND(ArtifactsInput!$M$27,Inputs!$B$4="Chapter Hunt"),CHOOSE(ArtifactsInput!$N$27+1,20,24,28,32,36,40),0)/100)))))/Skills!H12,1)))/Inputs!$B$43),G298*Q298))*IF(Inputs!$B$38="pvp",1,(1+(Inputs!$B$21+Skills!Q12+(IF(ArtifactsInput!$M$33,CHOOSE(ArtifactsInput!$N$33+1,30,36,42,48,54,60)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
      <c r="A299">
        <f>Skills!A13</f>
        <v/>
      </c>
      <c r="B299">
        <f>Skills!B13</f>
        <v/>
      </c>
      <c r="C299">
        <f>Inputs!$B$3&gt;=110</f>
        <v/>
      </c>
      <c r="D299">
        <f>IF(Skills!C13=1,60+Inputs!$B$25+Inputs!$B$29,IF(Skills!C13=2,90+Inputs!$B$26+Inputs!$B$29,IF(Skills!C13=3,120+Inputs!$B$27+Inputs!$B$29,MAX(0,(Inputs!$B$3-100)*3)+Inputs!$B$28+Inputs!$B$29)))</f>
        <v/>
      </c>
      <c r="E299">
        <f>INDEX(FactorTable!$B$2:$Y$301, MATCH(ROUND(MIN(300,MAX(1,D299)),0), FactorTable!$A$2:$A$301,0), Skills!M13+1)</f>
        <v/>
      </c>
      <c r="F299">
        <f>IF(Skills!N13=TRUE,(Skills!L13/10)*(E299/1000),Skills!L13/10)+Skills!O13</f>
        <v/>
      </c>
      <c r="G299">
        <f>Skills!G13*IF(Skills!H13&gt;0,Skills!I13/Skills!H13,1)</f>
        <v/>
      </c>
      <c r="H299">
        <f>1-(1-Skills!J13/100)^Skills!K13</f>
        <v/>
      </c>
      <c r="I299" t="inlineStr">
        <is>
          <t>1</t>
        </is>
      </c>
      <c r="J299">
        <f>((Inputs!$B$6*(1+Inputs!$B$7/100))+(((Inputs!$B$12*(1+Inputs!$B$13/100))-(Inputs!$B$12*(1+Inputs!$B$13/100)))+0.25*(Inputs!$B$14-Inputs!$B$14))*(1+Inputs!$B$7/100))*(F299/100)</f>
        <v/>
      </c>
      <c r="K299">
        <f>J299*(1+((Inputs!$B$12*(1+Inputs!$B$13/100))*0.01+Inputs!$B$14*0.0025)/100)*(1+Inputs!$B$15/100)*(1+Inputs!$B$16/100)*(5000/(6000+Inputs!$B$42*(1-(100*(1-(1-(Inputs!$B$19+0)/100)*(1-CHOOSE(ArtifactsInput!$N$40+1,5,6,7,8,9,10)/100)^(ArtifactsInput!$M$40-ArtifactsInput!$M$40)))/100)))*(1+(Inputs!$B$24+((C312=TRUE)*(F312-Calc!F26))+B322)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309=TRUE)*(F309-Calc!F23))+((C313=TRUE)*(F313-Calc!F27))+(((IF(AND(ArtifactsInput!$M$42,((Inputs!$B$9+((C305=TRUE)*(F305-Calc!F19))+B316+(ArtifactsInput!$M$24-ArtifactsInput!$M$24)*CHOOSE(ArtifactsInput!$N$24+1,10,12,14,16,18,20)+IF(ArtifactsInput!$M$10,CHOOSE(ArtifactsInput!$N$10+1,15,18,21,24,27,30)*(IF(Inputs!$B$38="pvp",MIN(15,15)/15,IF(AND(Inputs!$B$38&lt;&gt;"pvp",Inputs!$B$43&gt;0),MIN(15,Inputs!$B$43)/(Inputs!$B$43),0))),0)))&gt;=100),MIN(100,((Inputs!$B$9+((C305=TRUE)*(F305-Calc!F19))+B316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TRUE)*(F305-Calc!F19))+B316+(ArtifactsInput!$M$24-ArtifactsInput!$M$24)*CHOOSE(ArtifactsInput!$N$24+1,10,12,14,16,18,20)+IF(ArtifactsInput!$M$10,CHOOSE(ArtifactsInput!$N$10+1,15,18,21,24,27,30)*(IF(Inputs!$B$38="pvp",MIN(15,15)/15,IF(AND(Inputs!$B$38&lt;&gt;"pvp",Inputs!$B$43&gt;0),MIN(15,Inputs!$B$43)/(Inputs!$B$43),0))),0)))&gt;=100),CHOOSE(ArtifactsInput!$N$42+1,40,48,56,64,72,80),0))))/100)*((1+(((C303=TRUE)*F303)+((C310=TRUE)*(F310-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f>
        <v/>
      </c>
      <c r="L299">
        <f>K299*(MIN(Inputs!$B$22+((C308=TRUE)*(F308-Calc!F22)),(Inputs!$B$23+0+(IF(ArtifactsInput!$M$15,CHOOSE(ArtifactsInput!$N$15+1,25,30,35,40,45,50)/100*(Inputs!$B$11-Inputs!$B$11),0))))/100+(Inputs!$B$23+0+(IF(ArtifactsInput!$M$15,CHOOSE(ArtifactsInput!$N$15+1,25,30,35,40,45,50)/100*(Inputs!$B$11-Inputs!$B$11),0)))/100)/2</f>
        <v/>
      </c>
      <c r="M299">
        <f>L299*(1+(Inputs!$B$10+((C311=TRUE)*(F311-Calc!F25))+B321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
        <f>L299*(1-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
        <f>(1-Summary!$B$11)*T299+Summary!$B$11*V299</f>
        <v/>
      </c>
      <c r="P299">
        <f>IF(B326=0,0,O299/B326)</f>
        <v/>
      </c>
      <c r="Q299">
        <f>IFERROR(1/(IF(Inputs!$B$38="pvp",15,MAX(0.1,Skills!D13-IF(Skills!E13=TRUE,Inputs!$B$32,0)))*(1-IF(AND(ArtifactsInput!$M$27,Inputs!$B$4="Chapter Hunt"),CHOOSE(ArtifactsInput!$N$27+1,20,24,28,32,36,40),0)/100)),0)</f>
        <v/>
      </c>
      <c r="R299">
        <f>IF(AND(Inputs!$B$38&lt;&gt;"pvp",Inputs!$B$43&gt;0),IF(MAX(0,Inputs!$B$43-B323)&lt;=0,0,(INT(MAX(0,Inputs!$B$43-B323)/(IF(Inputs!$B$38="pvp",15,MAX(0.1,Skills!D13-IF(Skills!E13=TRUE,Inputs!$B$32,0)))*(1-IF(AND(ArtifactsInput!$M$27,Inputs!$B$4="Chapter Hunt"),CHOOSE(ArtifactsInput!$N$27+1,20,24,28,32,36,40),0)/100)))+1)),0)</f>
        <v/>
      </c>
      <c r="S299">
        <f>IFERROR(O299/N299,0)</f>
        <v/>
      </c>
      <c r="T299">
        <f>IF(C299,(H299*N299*IF(AND(Inputs!$B$38&lt;&gt;"pvp",Inputs!$B$43&gt;0),((Skills!G13*((R299-1)*IF(Skills!H13&gt;0,Skills!I13/Skills!H13,1)+IF(Skills!H13&gt;0,MIN(Skills!I13,MAX(0,MAX(0,Inputs!$B$43-B323)-((R299-1)*(IF(Inputs!$B$38="pvp",15,MAX(0.1,Skills!D13-IF(Skills!E13=TRUE,Inputs!$B$32,0)))*(1-IF(AND(ArtifactsInput!$M$27,Inputs!$B$4="Chapter Hunt"),CHOOSE(ArtifactsInput!$N$27+1,20,24,28,32,36,40),0)/100)))))/Skills!H13,1)))/Inputs!$B$43),G299*Q299))*IF(Inputs!$B$38="pvp",1,1+((Inputs!$B$20+1)+0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
        <f>IF(C299,(H299*N299*IF(AND(Inputs!$B$38&lt;&gt;"pvp",Inputs!$B$43&gt;0),((Skills!G13*((R299-1)*IF(Skills!H13&gt;0,Skills!I13/Skills!H13,1)+IF(Skills!H13&gt;0,MIN(Skills!I13,MAX(0,MAX(0,Inputs!$B$43-B323)-((R299-1)*(IF(Inputs!$B$38="pvp",15,MAX(0.1,Skills!D13-IF(Skills!E13=TRUE,Inputs!$B$32,0)))*(1-IF(AND(ArtifactsInput!$M$27,Inputs!$B$4="Chapter Hunt"),CHOOSE(ArtifactsInput!$N$27+1,20,24,28,32,36,40),0)/100)))))/Skills!H13,1)))/Inputs!$B$43),G299*Q299))*IF(Inputs!$B$38="pvp",1,(1+(Inputs!$B$21+Skills!Q13+(IF(ArtifactsInput!$M$33,CHOOSE(ArtifactsInput!$N$33+1,30,36,42,48,54,60)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
      <c r="A300">
        <f>Skills!A14</f>
        <v/>
      </c>
      <c r="B300">
        <f>Skills!B14</f>
        <v/>
      </c>
      <c r="C300">
        <f>Inputs!$B$3&gt;=125</f>
        <v/>
      </c>
      <c r="D300">
        <f>IF(Skills!C14=1,60+Inputs!$B$25+Inputs!$B$29,IF(Skills!C14=2,90+Inputs!$B$26+Inputs!$B$29,IF(Skills!C14=3,120+Inputs!$B$27+Inputs!$B$29,MAX(0,(Inputs!$B$3-100)*3)+Inputs!$B$28+Inputs!$B$29)))</f>
        <v/>
      </c>
      <c r="E300">
        <f>INDEX(FactorTable!$B$2:$Y$301, MATCH(ROUND(MIN(300,MAX(1,D300)),0), FactorTable!$A$2:$A$301,0), Skills!M14+1)</f>
        <v/>
      </c>
      <c r="F300">
        <f>IF(Skills!N14=TRUE,(Skills!L14/10)*(E300/1000),Skills!L14/10)+Skills!O14</f>
        <v/>
      </c>
      <c r="G300">
        <f>Skills!G14*IF(Skills!H14&gt;0,Skills!I14/Skills!H14,1)</f>
        <v/>
      </c>
      <c r="H300">
        <f>1-(1-Skills!J14/100)^Skills!K14</f>
        <v/>
      </c>
      <c r="I300" t="inlineStr">
        <is>
          <t>1</t>
        </is>
      </c>
      <c r="J300">
        <f>((Inputs!$B$6*(1+Inputs!$B$7/100))+(((Inputs!$B$12*(1+Inputs!$B$13/100))-(Inputs!$B$12*(1+Inputs!$B$13/100)))+0.25*(Inputs!$B$14-Inputs!$B$14))*(1+Inputs!$B$7/100))*(F300/100)</f>
        <v/>
      </c>
      <c r="K300">
        <f>J300*(1+((Inputs!$B$12*(1+Inputs!$B$13/100))*0.01+Inputs!$B$14*0.0025)/100)*(1+Inputs!$B$15/100)*(1+Inputs!$B$16/100)*(5000/(6000+Inputs!$B$42*(1-(100*(1-(1-(Inputs!$B$19+0)/100)*(1-CHOOSE(ArtifactsInput!$N$40+1,5,6,7,8,9,10)/100)^(ArtifactsInput!$M$40-ArtifactsInput!$M$40)))/100)))*(1+(Inputs!$B$24+((C312=TRUE)*(F312-Calc!F26))+B322)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309=TRUE)*(F309-Calc!F23))+((C313=TRUE)*(F313-Calc!F27))+(((IF(AND(ArtifactsInput!$M$42,((Inputs!$B$9+((C305=TRUE)*(F305-Calc!F19))+B316+(ArtifactsInput!$M$24-ArtifactsInput!$M$24)*CHOOSE(ArtifactsInput!$N$24+1,10,12,14,16,18,20)+IF(ArtifactsInput!$M$10,CHOOSE(ArtifactsInput!$N$10+1,15,18,21,24,27,30)*(IF(Inputs!$B$38="pvp",MIN(15,15)/15,IF(AND(Inputs!$B$38&lt;&gt;"pvp",Inputs!$B$43&gt;0),MIN(15,Inputs!$B$43)/(Inputs!$B$43),0))),0)))&gt;=100),MIN(100,((Inputs!$B$9+((C305=TRUE)*(F305-Calc!F19))+B316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TRUE)*(F305-Calc!F19))+B316+(ArtifactsInput!$M$24-ArtifactsInput!$M$24)*CHOOSE(ArtifactsInput!$N$24+1,10,12,14,16,18,20)+IF(ArtifactsInput!$M$10,CHOOSE(ArtifactsInput!$N$10+1,15,18,21,24,27,30)*(IF(Inputs!$B$38="pvp",MIN(15,15)/15,IF(AND(Inputs!$B$38&lt;&gt;"pvp",Inputs!$B$43&gt;0),MIN(15,Inputs!$B$43)/(Inputs!$B$43),0))),0)))&gt;=100),CHOOSE(ArtifactsInput!$N$42+1,40,48,56,64,72,80),0))))/100)*((1+(((C303=TRUE)*F303)+((C310=TRUE)*(F310-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f>
        <v/>
      </c>
      <c r="L300">
        <f>K300*(MIN(Inputs!$B$22+((C308=TRUE)*(F308-Calc!F22)),(Inputs!$B$23+0+(IF(ArtifactsInput!$M$15,CHOOSE(ArtifactsInput!$N$15+1,25,30,35,40,45,50)/100*(Inputs!$B$11-Inputs!$B$11),0))))/100+(Inputs!$B$23+0+(IF(ArtifactsInput!$M$15,CHOOSE(ArtifactsInput!$N$15+1,25,30,35,40,45,50)/100*(Inputs!$B$11-Inputs!$B$11),0)))/100)/2</f>
        <v/>
      </c>
      <c r="M300">
        <f>L300*(1+(Inputs!$B$10+((C311=TRUE)*(F311-Calc!F25))+B321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
        <f>L300*(1-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
        <f>(1-Summary!$B$11)*T300+Summary!$B$11*V300</f>
        <v/>
      </c>
      <c r="P300">
        <f>IF(B326=0,0,O300/B326)</f>
        <v/>
      </c>
      <c r="Q300" t="n">
        <v>0</v>
      </c>
      <c r="R300" t="n">
        <v>0</v>
      </c>
      <c r="S300">
        <f>IFERROR(O300/N300,0)</f>
        <v/>
      </c>
      <c r="T300">
        <f>IF(C300,(H300*N300*(B320+IF(AND(Inputs!$B$38&lt;&gt;"pvp",Inputs!$B$43&gt;0),((Skills!G8*((R294-1)*IF(Skills!H8&gt;0,Skills!I8/Skills!H8,1)+IF(Skills!H8&gt;0,MIN(Skills!I8,MAX(0,MAX(0,Inputs!$B$43-B323)-((R294-1)*(IF(Inputs!$B$38="pvp",15,MAX(0.1,Skills!D8-IF(Skills!E8=TRUE,Inputs!$B$32,0)))*(1-IF(AND(ArtifactsInput!$M$27,Inputs!$B$4="Chapter Hunt"),CHOOSE(ArtifactsInput!$N$27+1,20,24,28,32,36,40),0)/100)))))/Skills!H8,1)))/Inputs!$B$43),G294*Q294)+IF(AND(Inputs!$B$38&lt;&gt;"pvp",Inputs!$B$43&gt;0),((Skills!G11*((R297-1)*IF(Skills!H11&gt;0,Skills!I11/Skills!H11,1)+IF(Skills!H11&gt;0,MIN(Skills!I11,MAX(0,MAX(0,Inputs!$B$43-B323)-((R297-1)*(IF(Inputs!$B$38="pvp",15,MAX(0.1,Skills!D11-IF(Skills!E11=TRUE,Inputs!$B$32,0)))*(1-IF(AND(ArtifactsInput!$M$27,Inputs!$B$4="Chapter Hunt"),CHOOSE(ArtifactsInput!$N$27+1,20,24,28,32,36,40),0)/100)))))/Skills!H11,1)))/Inputs!$B$43),G297*Q297)))*IF(Inputs!$B$38="pvp",1,1+((Inputs!$B$20+1)+0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300*(1-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
        <f>IF(C300,(H300*N300*(B320+IF(AND(Inputs!$B$38&lt;&gt;"pvp",Inputs!$B$43&gt;0),((Skills!G8*((R294-1)*IF(Skills!H8&gt;0,Skills!I8/Skills!H8,1)+IF(Skills!H8&gt;0,MIN(Skills!I8,MAX(0,MAX(0,Inputs!$B$43-B323)-((R294-1)*(IF(Inputs!$B$38="pvp",15,MAX(0.1,Skills!D8-IF(Skills!E8=TRUE,Inputs!$B$32,0)))*(1-IF(AND(ArtifactsInput!$M$27,Inputs!$B$4="Chapter Hunt"),CHOOSE(ArtifactsInput!$N$27+1,20,24,28,32,36,40),0)/100)))))/Skills!H8,1)))/Inputs!$B$43),G294*Q294)+IF(AND(Inputs!$B$38&lt;&gt;"pvp",Inputs!$B$43&gt;0),((Skills!G11*((R297-1)*IF(Skills!H11&gt;0,Skills!I11/Skills!H11,1)+IF(Skills!H11&gt;0,MIN(Skills!I11,MAX(0,MAX(0,Inputs!$B$43-B323)-((R297-1)*(IF(Inputs!$B$38="pvp",15,MAX(0.1,Skills!D11-IF(Skills!E11=TRUE,Inputs!$B$32,0)))*(1-IF(AND(ArtifactsInput!$M$27,Inputs!$B$4="Chapter Hunt"),CHOOSE(ArtifactsInput!$N$27+1,20,24,28,32,36,40),0)/100)))))/Skills!H11,1)))/Inputs!$B$43),G297*Q297)))*IF(Inputs!$B$38="pvp",1,(1+(Inputs!$B$21+Skills!Q14+(IF(ArtifactsInput!$M$33,CHOOSE(ArtifactsInput!$N$33+1,30,36,42,48,54,60)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
      <c r="A301">
        <f>Skills!A15</f>
        <v/>
      </c>
      <c r="B301">
        <f>Skills!B15</f>
        <v/>
      </c>
      <c r="C301">
        <f>Inputs!$B$3&gt;=100</f>
        <v/>
      </c>
      <c r="D301">
        <f>IF(Skills!C15=1,60+Inputs!$B$25+Inputs!$B$29,IF(Skills!C15=2,90+Inputs!$B$26+Inputs!$B$29,IF(Skills!C15=3,120+Inputs!$B$27+Inputs!$B$29,MAX(0,(Inputs!$B$3-100)*3)+Inputs!$B$28+Inputs!$B$29)))</f>
        <v/>
      </c>
      <c r="E301">
        <f>INDEX(FactorTable!$B$2:$Y$301, MATCH(ROUND(MIN(300,MAX(1,D301)),0), FactorTable!$A$2:$A$301,0), Skills!M15+1)</f>
        <v/>
      </c>
      <c r="F301">
        <f>IF(Skills!N15=TRUE,(Skills!L15/10)*(E301/1000),Skills!L15/10)+Skills!O15</f>
        <v/>
      </c>
      <c r="G301" t="inlineStr"/>
      <c r="H301" t="inlineStr"/>
      <c r="I301" t="inlineStr">
        <is>
          <t>1</t>
        </is>
      </c>
      <c r="J301" t="inlineStr"/>
      <c r="K301" t="inlineStr"/>
      <c r="L301" t="inlineStr"/>
      <c r="M301" t="inlineStr"/>
      <c r="N301" t="inlineStr"/>
      <c r="O301" t="inlineStr"/>
      <c r="P301" t="inlineStr"/>
      <c r="Q301" t="inlineStr"/>
      <c r="R301" t="inlineStr"/>
      <c r="S301" t="inlineStr"/>
    </row>
    <row r="302">
      <c r="A302">
        <f>Skills!A16</f>
        <v/>
      </c>
      <c r="B302">
        <f>Skills!B16</f>
        <v/>
      </c>
      <c r="C302">
        <f>Inputs!$B$3&gt;=120</f>
        <v/>
      </c>
      <c r="D302">
        <f>IF(Skills!C16=1,60+Inputs!$B$25+Inputs!$B$29,IF(Skills!C16=2,90+Inputs!$B$26+Inputs!$B$29,IF(Skills!C16=3,120+Inputs!$B$27+Inputs!$B$29,MAX(0,(Inputs!$B$3-100)*3)+Inputs!$B$28+Inputs!$B$29)))</f>
        <v/>
      </c>
      <c r="E302">
        <f>INDEX(FactorTable!$B$2:$Y$301, MATCH(ROUND(MIN(300,MAX(1,D302)),0), FactorTable!$A$2:$A$301,0), Skills!M16+1)</f>
        <v/>
      </c>
      <c r="F302">
        <f>IF(Skills!N16=TRUE,(Skills!L16/10)*(E302/1000),Skills!L16/10)+Skills!O16</f>
        <v/>
      </c>
      <c r="G302" t="inlineStr"/>
      <c r="H302" t="inlineStr"/>
      <c r="I302" t="inlineStr">
        <is>
          <t>1</t>
        </is>
      </c>
      <c r="J302" t="inlineStr"/>
      <c r="K302" t="inlineStr"/>
      <c r="L302" t="inlineStr"/>
      <c r="M302" t="inlineStr"/>
      <c r="N302" t="inlineStr"/>
      <c r="O302" t="inlineStr"/>
      <c r="P302" t="inlineStr"/>
      <c r="Q302" t="inlineStr"/>
      <c r="R302" t="inlineStr"/>
      <c r="S302" t="inlineStr"/>
    </row>
    <row r="303">
      <c r="A303">
        <f>Skills!A17</f>
        <v/>
      </c>
      <c r="B303">
        <f>Skills!B17</f>
        <v/>
      </c>
      <c r="C303">
        <f>Inputs!$B$3&gt;=66</f>
        <v/>
      </c>
      <c r="D303">
        <f>IF(Skills!C17=1,60+Inputs!$B$25+Inputs!$B$29,IF(Skills!C17=2,90+Inputs!$B$26+Inputs!$B$29,IF(Skills!C17=3,120+Inputs!$B$27+Inputs!$B$29,MAX(0,(Inputs!$B$3-100)*3)+Inputs!$B$28+Inputs!$B$29)))</f>
        <v/>
      </c>
      <c r="E303">
        <f>INDEX(FactorTable!$B$2:$Y$301, MATCH(ROUND(MIN(300,MAX(1,D303)),0), FactorTable!$A$2:$A$301,0), Skills!M17+1)</f>
        <v/>
      </c>
      <c r="F303">
        <f>IF(Skills!N17=TRUE,(Skills!L17/10)*(E303/1000),Skills!L17/10)+Skills!O17</f>
        <v/>
      </c>
      <c r="G303">
        <f>Skills!G17*IF(Skills!H17&gt;0,Skills!I17/Skills!H17,1)</f>
        <v/>
      </c>
      <c r="H303">
        <f>1-(1-Skills!J17/100)^Skills!K17</f>
        <v/>
      </c>
      <c r="I303" t="inlineStr">
        <is>
          <t>1</t>
        </is>
      </c>
      <c r="J303" t="inlineStr"/>
      <c r="K303" t="inlineStr"/>
      <c r="L303" t="inlineStr"/>
      <c r="M303" t="inlineStr"/>
      <c r="N303" t="inlineStr"/>
      <c r="O303">
        <f>(1-Summary!$B$11)*T303+Summary!$B$11*V303</f>
        <v/>
      </c>
      <c r="P303">
        <f>IF(B326=0,0,O303/B326)</f>
        <v/>
      </c>
      <c r="Q303" t="n">
        <v>0</v>
      </c>
      <c r="R303" t="n">
        <v>0</v>
      </c>
      <c r="S303">
        <f>IFERROR(O303/N303,0)</f>
        <v/>
      </c>
      <c r="T303" t="n">
        <v>0</v>
      </c>
      <c r="V303" t="n">
        <v>0</v>
      </c>
    </row>
    <row r="304">
      <c r="A304">
        <f>Skills!A18</f>
        <v/>
      </c>
      <c r="B304">
        <f>Skills!B18</f>
        <v/>
      </c>
      <c r="C304">
        <f>Inputs!$B$3&gt;=115</f>
        <v/>
      </c>
      <c r="D304">
        <f>IF(Skills!C18=1,60+Inputs!$B$25+Inputs!$B$29,IF(Skills!C18=2,90+Inputs!$B$26+Inputs!$B$29,IF(Skills!C18=3,120+Inputs!$B$27+Inputs!$B$29,MAX(0,(Inputs!$B$3-100)*3)+Inputs!$B$28+Inputs!$B$29)))</f>
        <v/>
      </c>
      <c r="E304">
        <f>INDEX(FactorTable!$B$2:$Y$301, MATCH(ROUND(MIN(300,MAX(1,D304)),0), FactorTable!$A$2:$A$301,0), Skills!M18+1)</f>
        <v/>
      </c>
      <c r="F304">
        <f>IF(Skills!N18=TRUE,(Skills!L18/10)*(E304/1000),Skills!L18/10)+Skills!O18</f>
        <v/>
      </c>
      <c r="G304">
        <f>Skills!G18*IF(Skills!H18&gt;0,Skills!I18/Skills!H18,1)</f>
        <v/>
      </c>
      <c r="H304">
        <f>1-(1-Skills!J18/100)^Skills!K18</f>
        <v/>
      </c>
      <c r="I304" t="inlineStr">
        <is>
          <t>1</t>
        </is>
      </c>
      <c r="J304" t="inlineStr"/>
      <c r="K304" t="inlineStr"/>
      <c r="L304" t="inlineStr"/>
      <c r="M304" t="inlineStr"/>
      <c r="N304" t="inlineStr"/>
      <c r="O304">
        <f>(1-Summary!$B$11)*T304+Summary!$B$11*V304</f>
        <v/>
      </c>
      <c r="P304">
        <f>IF(B326=0,0,O304/B326)</f>
        <v/>
      </c>
      <c r="Q304" t="n">
        <v>0</v>
      </c>
      <c r="R304" t="n">
        <v>0</v>
      </c>
      <c r="S304">
        <f>IFERROR(O304/N304,0)</f>
        <v/>
      </c>
      <c r="T304" t="n">
        <v>0</v>
      </c>
      <c r="V304" t="n">
        <v>0</v>
      </c>
    </row>
    <row r="305">
      <c r="A305">
        <f>Skills!A19</f>
        <v/>
      </c>
      <c r="B305">
        <f>Skills!B19</f>
        <v/>
      </c>
      <c r="C305">
        <f>Inputs!$B$3&gt;=15</f>
        <v/>
      </c>
      <c r="D305">
        <f>IF(Skills!C19=1,60+Inputs!$B$25+Inputs!$B$29,IF(Skills!C19=2,90+Inputs!$B$26+Inputs!$B$29,IF(Skills!C19=3,120+Inputs!$B$27+Inputs!$B$29,MAX(0,(Inputs!$B$3-100)*3)+Inputs!$B$28+Inputs!$B$29)))</f>
        <v/>
      </c>
      <c r="E305">
        <f>INDEX(FactorTable!$B$2:$Y$301, MATCH(ROUND(MIN(300,MAX(1,D305)),0), FactorTable!$A$2:$A$301,0), Skills!M19+1)</f>
        <v/>
      </c>
      <c r="F305">
        <f>IF(Skills!N19=TRUE,(Skills!L19/10)*(E305/1000),Skills!L19/10)+Skills!O19</f>
        <v/>
      </c>
      <c r="G305">
        <f>Skills!G19*IF(Skills!H19&gt;0,Skills!I19/Skills!H19,1)</f>
        <v/>
      </c>
      <c r="H305">
        <f>1-(1-Skills!J19/100)^Skills!K19</f>
        <v/>
      </c>
      <c r="I305" t="inlineStr">
        <is>
          <t>1</t>
        </is>
      </c>
      <c r="J305" t="inlineStr"/>
      <c r="K305" t="inlineStr"/>
      <c r="L305" t="inlineStr"/>
      <c r="M305" t="inlineStr"/>
      <c r="N305" t="inlineStr"/>
      <c r="O305">
        <f>(1-Summary!$B$11)*T305+Summary!$B$11*V305</f>
        <v/>
      </c>
      <c r="P305">
        <f>IF(B326=0,0,O305/B326)</f>
        <v/>
      </c>
      <c r="Q305" t="n">
        <v>0</v>
      </c>
      <c r="R305" t="n">
        <v>0</v>
      </c>
      <c r="S305">
        <f>IFERROR(O305/N305,0)</f>
        <v/>
      </c>
      <c r="T305" t="n">
        <v>0</v>
      </c>
      <c r="V305" t="n">
        <v>0</v>
      </c>
    </row>
    <row r="306">
      <c r="A306">
        <f>Skills!A20</f>
        <v/>
      </c>
      <c r="B306">
        <f>Skills!B20</f>
        <v/>
      </c>
      <c r="C306">
        <f>Inputs!$B$3&gt;=10</f>
        <v/>
      </c>
      <c r="D306">
        <f>IF(Skills!C20=1,60+Inputs!$B$25+Inputs!$B$29,IF(Skills!C20=2,90+Inputs!$B$26+Inputs!$B$29,IF(Skills!C20=3,120+Inputs!$B$27+Inputs!$B$29,MAX(0,(Inputs!$B$3-100)*3)+Inputs!$B$28+Inputs!$B$29)))</f>
        <v/>
      </c>
      <c r="E306">
        <f>INDEX(FactorTable!$B$2:$Y$301, MATCH(ROUND(MIN(300,MAX(1,D306)),0), FactorTable!$A$2:$A$301,0), Skills!M20+1)</f>
        <v/>
      </c>
      <c r="F306">
        <f>IF(Skills!N20=TRUE,(Skills!L20/10)*(E306/1000),Skills!L20/10)+Skills!O20</f>
        <v/>
      </c>
      <c r="G306">
        <f>Skills!G20*IF(Skills!H20&gt;0,Skills!I20/Skills!H20,1)</f>
        <v/>
      </c>
      <c r="H306">
        <f>1-(1-Skills!J20/100)^Skills!K20</f>
        <v/>
      </c>
      <c r="I306" t="inlineStr">
        <is>
          <t>1</t>
        </is>
      </c>
      <c r="J306" t="inlineStr"/>
      <c r="K306" t="inlineStr"/>
      <c r="L306" t="inlineStr"/>
      <c r="M306" t="inlineStr"/>
      <c r="N306" t="inlineStr"/>
      <c r="O306">
        <f>(1-Summary!$B$11)*T306+Summary!$B$11*V306</f>
        <v/>
      </c>
      <c r="P306">
        <f>IF(B326=0,0,O306/B326)</f>
        <v/>
      </c>
      <c r="Q306" t="n">
        <v>0</v>
      </c>
      <c r="R306" t="n">
        <v>0</v>
      </c>
      <c r="S306">
        <f>IFERROR(O306/N306,0)</f>
        <v/>
      </c>
      <c r="T306" t="n">
        <v>0</v>
      </c>
      <c r="V306" t="n">
        <v>0</v>
      </c>
    </row>
    <row r="307">
      <c r="A307">
        <f>Skills!A21</f>
        <v/>
      </c>
      <c r="B307">
        <f>Skills!B21</f>
        <v/>
      </c>
      <c r="C307">
        <f>Inputs!$B$3&gt;=33</f>
        <v/>
      </c>
      <c r="D307">
        <f>IF(Skills!C21=1,60+Inputs!$B$25+Inputs!$B$29,IF(Skills!C21=2,90+Inputs!$B$26+Inputs!$B$29,IF(Skills!C21=3,120+Inputs!$B$27+Inputs!$B$29,MAX(0,(Inputs!$B$3-100)*3)+Inputs!$B$28+Inputs!$B$29)))</f>
        <v/>
      </c>
      <c r="E307">
        <f>INDEX(FactorTable!$B$2:$Y$301, MATCH(ROUND(MIN(300,MAX(1,D307)),0), FactorTable!$A$2:$A$301,0), Skills!M21+1)</f>
        <v/>
      </c>
      <c r="F307">
        <f>IF(Skills!N21=TRUE,(Skills!L21/10)*(E307/1000),Skills!L21/10)+Skills!O21</f>
        <v/>
      </c>
      <c r="G307">
        <f>Skills!G21*IF(Skills!H21&gt;0,Skills!I21/Skills!H21,1)</f>
        <v/>
      </c>
      <c r="H307">
        <f>1-(1-Skills!J21/100)^Skills!K21</f>
        <v/>
      </c>
      <c r="I307" t="inlineStr">
        <is>
          <t>1</t>
        </is>
      </c>
      <c r="J307" t="inlineStr"/>
      <c r="K307" t="inlineStr"/>
      <c r="L307" t="inlineStr"/>
      <c r="M307" t="inlineStr"/>
      <c r="N307" t="inlineStr"/>
      <c r="O307">
        <f>(1-Summary!$B$11)*T307+Summary!$B$11*V307</f>
        <v/>
      </c>
      <c r="P307">
        <f>IF(B326=0,0,O307/B326)</f>
        <v/>
      </c>
      <c r="Q307" t="n">
        <v>0</v>
      </c>
      <c r="R307" t="n">
        <v>0</v>
      </c>
      <c r="S307">
        <f>IFERROR(O307/N307,0)</f>
        <v/>
      </c>
      <c r="T307" t="n">
        <v>0</v>
      </c>
      <c r="V307" t="n">
        <v>0</v>
      </c>
    </row>
    <row r="308">
      <c r="A308">
        <f>Skills!A22</f>
        <v/>
      </c>
      <c r="B308">
        <f>Skills!B22</f>
        <v/>
      </c>
      <c r="C308">
        <f>Inputs!$B$3&gt;=43</f>
        <v/>
      </c>
      <c r="D308">
        <f>IF(Skills!C22=1,60+Inputs!$B$25+Inputs!$B$29,IF(Skills!C22=2,90+Inputs!$B$26+Inputs!$B$29,IF(Skills!C22=3,120+Inputs!$B$27+Inputs!$B$29,MAX(0,(Inputs!$B$3-100)*3)+Inputs!$B$28+Inputs!$B$29)))</f>
        <v/>
      </c>
      <c r="E308">
        <f>INDEX(FactorTable!$B$2:$Y$301, MATCH(ROUND(MIN(300,MAX(1,D308)),0), FactorTable!$A$2:$A$301,0), Skills!M22+1)</f>
        <v/>
      </c>
      <c r="F308">
        <f>IF(Skills!N22=TRUE,(Skills!L22/10)*(E308/1000),Skills!L22/10)+Skills!O22</f>
        <v/>
      </c>
      <c r="G308">
        <f>Skills!G22*IF(Skills!H22&gt;0,Skills!I22/Skills!H22,1)</f>
        <v/>
      </c>
      <c r="H308">
        <f>1-(1-Skills!J22/100)^Skills!K22</f>
        <v/>
      </c>
      <c r="I308" t="inlineStr">
        <is>
          <t>1</t>
        </is>
      </c>
      <c r="J308" t="inlineStr"/>
      <c r="K308" t="inlineStr"/>
      <c r="L308" t="inlineStr"/>
      <c r="M308" t="inlineStr"/>
      <c r="N308" t="inlineStr"/>
      <c r="O308">
        <f>(1-Summary!$B$11)*T308+Summary!$B$11*V308</f>
        <v/>
      </c>
      <c r="P308">
        <f>IF(B326=0,0,O308/B326)</f>
        <v/>
      </c>
      <c r="Q308" t="n">
        <v>0</v>
      </c>
      <c r="R308" t="n">
        <v>0</v>
      </c>
      <c r="S308">
        <f>IFERROR(O308/N308,0)</f>
        <v/>
      </c>
      <c r="T308" t="n">
        <v>0</v>
      </c>
      <c r="V308" t="n">
        <v>0</v>
      </c>
    </row>
    <row r="309">
      <c r="A309">
        <f>Skills!A23</f>
        <v/>
      </c>
      <c r="B309">
        <f>Skills!B23</f>
        <v/>
      </c>
      <c r="C309">
        <f>Inputs!$B$3&gt;=38</f>
        <v/>
      </c>
      <c r="D309">
        <f>IF(Skills!C23=1,60+Inputs!$B$25+Inputs!$B$29,IF(Skills!C23=2,90+Inputs!$B$26+Inputs!$B$29,IF(Skills!C23=3,120+Inputs!$B$27+Inputs!$B$29,MAX(0,(Inputs!$B$3-100)*3)+Inputs!$B$28+Inputs!$B$29)))</f>
        <v/>
      </c>
      <c r="E309">
        <f>INDEX(FactorTable!$B$2:$Y$301, MATCH(ROUND(MIN(300,MAX(1,D309)),0), FactorTable!$A$2:$A$301,0), Skills!M23+1)</f>
        <v/>
      </c>
      <c r="F309">
        <f>IF(Skills!N23=TRUE,(Skills!L23/10)*(E309/1000),Skills!L23/10)+Skills!O23</f>
        <v/>
      </c>
      <c r="G309">
        <f>Skills!G23*IF(Skills!H23&gt;0,Skills!I23/Skills!H23,1)</f>
        <v/>
      </c>
      <c r="H309">
        <f>1-(1-Skills!J23/100)^Skills!K23</f>
        <v/>
      </c>
      <c r="I309" t="inlineStr">
        <is>
          <t>1</t>
        </is>
      </c>
      <c r="J309" t="inlineStr"/>
      <c r="K309" t="inlineStr"/>
      <c r="L309" t="inlineStr"/>
      <c r="M309" t="inlineStr"/>
      <c r="N309" t="inlineStr"/>
      <c r="O309">
        <f>(1-Summary!$B$11)*T309+Summary!$B$11*V309</f>
        <v/>
      </c>
      <c r="P309">
        <f>IF(B326=0,0,O309/B326)</f>
        <v/>
      </c>
      <c r="Q309" t="n">
        <v>0</v>
      </c>
      <c r="R309" t="n">
        <v>0</v>
      </c>
      <c r="S309">
        <f>IFERROR(O309/N309,0)</f>
        <v/>
      </c>
      <c r="T309" t="n">
        <v>0</v>
      </c>
      <c r="V309" t="n">
        <v>0</v>
      </c>
    </row>
    <row r="310">
      <c r="A310">
        <f>Skills!A24</f>
        <v/>
      </c>
      <c r="B310">
        <f>Skills!B24</f>
        <v/>
      </c>
      <c r="C310">
        <f>Inputs!$B$3&gt;=40</f>
        <v/>
      </c>
      <c r="D310">
        <f>IF(Skills!C24=1,60+Inputs!$B$25+Inputs!$B$29,IF(Skills!C24=2,90+Inputs!$B$26+Inputs!$B$29,IF(Skills!C24=3,120+Inputs!$B$27+Inputs!$B$29,MAX(0,(Inputs!$B$3-100)*3)+Inputs!$B$28+Inputs!$B$29)))</f>
        <v/>
      </c>
      <c r="E310">
        <f>INDEX(FactorTable!$B$2:$Y$301, MATCH(ROUND(MIN(300,MAX(1,D310)),0), FactorTable!$A$2:$A$301,0), Skills!M24+1)</f>
        <v/>
      </c>
      <c r="F310">
        <f>IF(Skills!N24=TRUE,(Skills!L24/10)*(E310/1000),Skills!L24/10)+Skills!O24</f>
        <v/>
      </c>
      <c r="G310">
        <f>Skills!G24*IF(Skills!H24&gt;0,Skills!I24/Skills!H24,1)</f>
        <v/>
      </c>
      <c r="H310">
        <f>1-(1-Skills!J24/100)^Skills!K24</f>
        <v/>
      </c>
      <c r="I310" t="inlineStr">
        <is>
          <t>1</t>
        </is>
      </c>
      <c r="J310" t="inlineStr"/>
      <c r="K310" t="inlineStr"/>
      <c r="L310" t="inlineStr"/>
      <c r="M310" t="inlineStr"/>
      <c r="N310" t="inlineStr"/>
      <c r="O310">
        <f>(1-Summary!$B$11)*T310+Summary!$B$11*V310</f>
        <v/>
      </c>
      <c r="P310">
        <f>IF(B326=0,0,O310/B326)</f>
        <v/>
      </c>
      <c r="Q310" t="n">
        <v>0</v>
      </c>
      <c r="R310" t="n">
        <v>0</v>
      </c>
      <c r="S310">
        <f>IFERROR(O310/N310,0)</f>
        <v/>
      </c>
      <c r="T310" t="n">
        <v>0</v>
      </c>
      <c r="V310" t="n">
        <v>0</v>
      </c>
    </row>
    <row r="311">
      <c r="A311">
        <f>Skills!A25</f>
        <v/>
      </c>
      <c r="B311">
        <f>Skills!B25</f>
        <v/>
      </c>
      <c r="C311">
        <f>Inputs!$B$3&gt;=72</f>
        <v/>
      </c>
      <c r="D311">
        <f>IF(Skills!C25=1,60+Inputs!$B$25+Inputs!$B$29,IF(Skills!C25=2,90+Inputs!$B$26+Inputs!$B$29,IF(Skills!C25=3,120+Inputs!$B$27+Inputs!$B$29,MAX(0,(Inputs!$B$3-100)*3)+Inputs!$B$28+Inputs!$B$29)))</f>
        <v/>
      </c>
      <c r="E311">
        <f>INDEX(FactorTable!$B$2:$Y$301, MATCH(ROUND(MIN(300,MAX(1,D311)),0), FactorTable!$A$2:$A$301,0), Skills!M25+1)</f>
        <v/>
      </c>
      <c r="F311">
        <f>IF(Skills!N25=TRUE,(Skills!L25/10)*(E311/1000),Skills!L25/10)+Skills!O25</f>
        <v/>
      </c>
      <c r="G311">
        <f>Skills!G25*IF(Skills!H25&gt;0,Skills!I25/Skills!H25,1)</f>
        <v/>
      </c>
      <c r="H311">
        <f>1-(1-Skills!J25/100)^Skills!K25</f>
        <v/>
      </c>
      <c r="I311" t="inlineStr">
        <is>
          <t>1</t>
        </is>
      </c>
      <c r="J311" t="inlineStr"/>
      <c r="K311" t="inlineStr"/>
      <c r="L311" t="inlineStr"/>
      <c r="M311" t="inlineStr"/>
      <c r="N311" t="inlineStr"/>
      <c r="O311">
        <f>(1-Summary!$B$11)*T311+Summary!$B$11*V311</f>
        <v/>
      </c>
      <c r="P311">
        <f>IF(B326=0,0,O311/B326)</f>
        <v/>
      </c>
      <c r="Q311" t="n">
        <v>0</v>
      </c>
      <c r="R311" t="n">
        <v>0</v>
      </c>
      <c r="S311">
        <f>IFERROR(O311/N311,0)</f>
        <v/>
      </c>
      <c r="T311" t="n">
        <v>0</v>
      </c>
      <c r="V311" t="n">
        <v>0</v>
      </c>
    </row>
    <row r="312">
      <c r="A312">
        <f>Skills!A26</f>
        <v/>
      </c>
      <c r="B312">
        <f>Skills!B26</f>
        <v/>
      </c>
      <c r="C312">
        <f>Inputs!$B$3&gt;=75</f>
        <v/>
      </c>
      <c r="D312">
        <f>IF(Skills!C26=1,60+Inputs!$B$25+Inputs!$B$29,IF(Skills!C26=2,90+Inputs!$B$26+Inputs!$B$29,IF(Skills!C26=3,120+Inputs!$B$27+Inputs!$B$29,MAX(0,(Inputs!$B$3-100)*3)+Inputs!$B$28+Inputs!$B$29)))</f>
        <v/>
      </c>
      <c r="E312">
        <f>INDEX(FactorTable!$B$2:$Y$301, MATCH(ROUND(MIN(300,MAX(1,D312)),0), FactorTable!$A$2:$A$301,0), Skills!M26+1)</f>
        <v/>
      </c>
      <c r="F312">
        <f>IF(Skills!N26=TRUE,(Skills!L26/10)*(E312/1000),Skills!L26/10)+Skills!O26</f>
        <v/>
      </c>
      <c r="G312">
        <f>Skills!G26*IF(Skills!H26&gt;0,Skills!I26/Skills!H26,1)</f>
        <v/>
      </c>
      <c r="H312">
        <f>1-(1-Skills!J26/100)^Skills!K26</f>
        <v/>
      </c>
      <c r="I312" t="inlineStr">
        <is>
          <t>1</t>
        </is>
      </c>
      <c r="J312" t="inlineStr"/>
      <c r="K312" t="inlineStr"/>
      <c r="L312" t="inlineStr"/>
      <c r="M312" t="inlineStr"/>
      <c r="N312" t="inlineStr"/>
      <c r="O312">
        <f>(1-Summary!$B$11)*T312+Summary!$B$11*V312</f>
        <v/>
      </c>
      <c r="P312">
        <f>IF(B326=0,0,O312/B326)</f>
        <v/>
      </c>
      <c r="Q312" t="n">
        <v>0</v>
      </c>
      <c r="R312" t="n">
        <v>0</v>
      </c>
      <c r="S312">
        <f>IFERROR(O312/N312,0)</f>
        <v/>
      </c>
      <c r="T312" t="n">
        <v>0</v>
      </c>
      <c r="V312" t="n">
        <v>0</v>
      </c>
    </row>
    <row r="313">
      <c r="A313">
        <f>Skills!A27</f>
        <v/>
      </c>
      <c r="B313">
        <f>Skills!B27</f>
        <v/>
      </c>
      <c r="C313">
        <f>Inputs!$B$3&gt;=117</f>
        <v/>
      </c>
      <c r="D313">
        <f>IF(Skills!C27=1,60+Inputs!$B$25+Inputs!$B$29,IF(Skills!C27=2,90+Inputs!$B$26+Inputs!$B$29,IF(Skills!C27=3,120+Inputs!$B$27+Inputs!$B$29,MAX(0,(Inputs!$B$3-100)*3)+Inputs!$B$28+Inputs!$B$29)))</f>
        <v/>
      </c>
      <c r="E313">
        <f>INDEX(FactorTable!$B$2:$Y$301, MATCH(ROUND(MIN(300,MAX(1,D313)),0), FactorTable!$A$2:$A$301,0), Skills!M27+1)</f>
        <v/>
      </c>
      <c r="F313">
        <f>IF(Skills!N27=TRUE,(Skills!L27/10)*(E313/1000),Skills!L27/10)+Skills!O27</f>
        <v/>
      </c>
      <c r="G313">
        <f>Skills!G27*IF(Skills!H27&gt;0,Skills!I27/Skills!H27,1)</f>
        <v/>
      </c>
      <c r="H313">
        <f>1-(1-Skills!J27/100)^Skills!K27</f>
        <v/>
      </c>
      <c r="I313" t="inlineStr">
        <is>
          <t>1</t>
        </is>
      </c>
      <c r="J313" t="inlineStr"/>
      <c r="K313" t="inlineStr"/>
      <c r="L313" t="inlineStr"/>
      <c r="M313" t="inlineStr"/>
      <c r="N313" t="inlineStr"/>
      <c r="O313">
        <f>(1-Summary!$B$11)*T313+Summary!$B$11*V313</f>
        <v/>
      </c>
      <c r="P313">
        <f>IF(B326=0,0,O313/B326)</f>
        <v/>
      </c>
      <c r="Q313" t="n">
        <v>0</v>
      </c>
      <c r="R313" t="n">
        <v>0</v>
      </c>
      <c r="S313">
        <f>IFERROR(O313/N313,0)</f>
        <v/>
      </c>
      <c r="T313" t="n">
        <v>0</v>
      </c>
      <c r="V313" t="n">
        <v>0</v>
      </c>
    </row>
    <row r="315">
      <c r="A315" t="inlineStr">
        <is>
          <t>Attack% Bucket Multiplier</t>
        </is>
      </c>
      <c r="B315">
        <f>(1+(((C303=TRUE)*F303)+((C310=TRUE)*(F310-Calc!F24))+(IF(ArtifactsInput!$M$21,CHOOSE(ArtifactsInput!$N$21+1,25,30,35,40,45,50)*(IF(OR(Inputs!$B$4="Chapter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6">
      <c r="A316" t="inlineStr">
        <is>
          <t>Global Crit Rate Bonus %</t>
        </is>
      </c>
      <c r="B316" t="n">
        <v>0</v>
      </c>
    </row>
    <row r="317">
      <c r="A317" t="inlineStr">
        <is>
          <t>Attack Speed Buff Bonus % (unused)</t>
        </is>
      </c>
      <c r="B317" t="n">
        <v>0</v>
      </c>
    </row>
    <row r="318">
      <c r="A318" t="inlineStr">
        <is>
          <t>Actions Per Second</t>
        </is>
      </c>
      <c r="B318">
        <f>1+MIN(150,150*(1-(1-(Inputs!$B$11+((C306=TRUE)*(F306-Calc!F20))+((C307=TRUE)*(F307-Calc!F21)))/150)*(1-B317/150)))/100</f>
        <v/>
      </c>
    </row>
    <row r="319">
      <c r="A319" t="inlineStr">
        <is>
          <t>Skill + Buff Cast Rate</t>
        </is>
      </c>
      <c r="B319">
        <f>IF(AND(Inputs!$B$38&lt;&gt;"pvp",Inputs!$B$43&gt;0),SUMPRODUCT((Skills!E2:E27=TRUE)*(C288:C313=TRUE)*R288:R313*Skills!F2:F27)/Inputs!$B$43,SUMPRODUCT((Skills!E2:E27=TRUE)*(C288:C313=TRUE)*Q288:Q313*Skills!F2:F27))</f>
        <v/>
      </c>
    </row>
    <row r="320">
      <c r="A320" t="inlineStr">
        <is>
          <t>Eight-Legs Easton Casts Per Second</t>
        </is>
      </c>
      <c r="B320">
        <f>MAX(0,B318-B319)</f>
        <v/>
      </c>
    </row>
    <row r="321">
      <c r="A321" t="inlineStr">
        <is>
          <t>Global Critical Damage Bonus % (unused)</t>
        </is>
      </c>
      <c r="B321" t="n">
        <v>0</v>
      </c>
    </row>
    <row r="322">
      <c r="A322" t="inlineStr">
        <is>
          <t>Global Final Damage Bonus % (Jolly Roger only)</t>
        </is>
      </c>
      <c r="B322">
        <f>((C304=TRUE)*F304)</f>
        <v/>
      </c>
    </row>
    <row r="323">
      <c r="A323" t="inlineStr">
        <is>
          <t>Buff-Casting Startup Delay (s, fixed-duration only)</t>
        </is>
      </c>
      <c r="B323">
        <f>IF(AND(Inputs!$B$38&lt;&gt;"pvp",Inputs!$B$43&gt;0),SUMPRODUCT((Skills!T2:T27&gt;0)*(Skills!E2:E27=TRUE)*(C288:C313=TRUE))/B318,0)</f>
        <v/>
      </c>
    </row>
    <row r="324">
      <c r="A324" t="inlineStr">
        <is>
          <t>Boss-Only Total DPS (this block's swept value)</t>
        </is>
      </c>
      <c r="B324">
        <f>SUM(T288:T313)</f>
        <v/>
      </c>
    </row>
    <row r="325">
      <c r="A325" t="inlineStr">
        <is>
          <t>Normal-Only Total DPS (this block's swept value)</t>
        </is>
      </c>
      <c r="B325">
        <f>SUM(V288:V313)</f>
        <v/>
      </c>
    </row>
    <row r="326">
      <c r="A326" s="6" t="inlineStr">
        <is>
          <t>TOTAL DPS</t>
        </is>
      </c>
      <c r="B326" s="6">
        <f>SUM(O288:O313)</f>
        <v/>
      </c>
    </row>
    <row r="329">
      <c r="A329" s="6" t="inlineStr">
        <is>
          <t>Stat: NORMAL_DAMAGE %</t>
        </is>
      </c>
    </row>
    <row r="330">
      <c r="A330" s="5" t="inlineStr">
        <is>
          <t>Key</t>
        </is>
      </c>
      <c r="B330" s="5" t="inlineStr">
        <is>
          <t>Name</t>
        </is>
      </c>
      <c r="C330" s="5" t="inlineStr">
        <is>
          <t>Unlocked</t>
        </is>
      </c>
      <c r="D330" s="5" t="inlineStr">
        <is>
          <t>InputLevel</t>
        </is>
      </c>
      <c r="E330" s="5" t="inlineStr">
        <is>
          <t>Factor</t>
        </is>
      </c>
      <c r="F330" s="5" t="inlineStr">
        <is>
          <t>CoefficientPercent</t>
        </is>
      </c>
      <c r="G330" s="5" t="inlineStr">
        <is>
          <t>EffectiveHits</t>
        </is>
      </c>
      <c r="H330" s="5" t="inlineStr">
        <is>
          <t>ProcProbability</t>
        </is>
      </c>
      <c r="I330" s="5" t="inlineStr">
        <is>
          <t>MapleHeroMultiplier</t>
        </is>
      </c>
      <c r="J330" s="5" t="inlineStr">
        <is>
          <t>BaseDamage</t>
        </is>
      </c>
      <c r="K330" s="5" t="inlineStr">
        <is>
          <t>BaseHitDamage</t>
        </is>
      </c>
      <c r="L330" s="5" t="inlineStr">
        <is>
          <t>NonCritAvg</t>
        </is>
      </c>
      <c r="M330" s="5" t="inlineStr">
        <is>
          <t>CritAvg</t>
        </is>
      </c>
      <c r="N330" s="5" t="inlineStr">
        <is>
          <t>ExpectedDamage(perHit)</t>
        </is>
      </c>
      <c r="O330" s="5" t="inlineStr">
        <is>
          <t>DPS</t>
        </is>
      </c>
      <c r="P330" s="5" t="inlineStr">
        <is>
          <t>% of Total</t>
        </is>
      </c>
      <c r="Q330" s="5" t="inlineStr">
        <is>
          <t>InvCooldown</t>
        </is>
      </c>
      <c r="R330" s="5" t="inlineStr">
        <is>
          <t>CastsInFight</t>
        </is>
      </c>
      <c r="S330" s="5" t="inlineStr">
        <is>
          <t>HitRate(perSec)</t>
        </is>
      </c>
      <c r="U330" t="inlineStr">
        <is>
          <t>helpers</t>
        </is>
      </c>
    </row>
    <row r="331">
      <c r="A331">
        <f>Skills!A2</f>
        <v/>
      </c>
      <c r="B331">
        <f>Skills!B2</f>
        <v/>
      </c>
      <c r="C331">
        <f>Inputs!$B$3&gt;=100</f>
        <v/>
      </c>
      <c r="D331" t="inlineStr"/>
      <c r="E331" t="inlineStr"/>
      <c r="F331">
        <f>U333+Skills!O2</f>
        <v/>
      </c>
      <c r="G331">
        <f>Skills!G2*IF(Skills!H2&gt;0,Skills!I2/Skills!H2,1)</f>
        <v/>
      </c>
      <c r="H331">
        <f>1-(1-Skills!J2/100)^Skills!K2</f>
        <v/>
      </c>
      <c r="I331" t="inlineStr">
        <is>
          <t>1</t>
        </is>
      </c>
      <c r="J331">
        <f>((Inputs!$B$6*(1+Inputs!$B$7/100))+(((Inputs!$B$12*(1+Inputs!$B$13/100))-(Inputs!$B$12*(1+Inputs!$B$13/100)))+0.25*(Inputs!$B$14-Inputs!$B$14))*(1+Inputs!$B$7/100))*(F331/100)</f>
        <v/>
      </c>
      <c r="K331">
        <f>J331*(1+((Inputs!$B$12*(1+Inputs!$B$13/100))*0.01+Inputs!$B$14*0.0025)/100)*(1+Inputs!$B$15/100)*(1+Inputs!$B$16/100)*(5000/(6000+Inputs!$B$42*(1-(100*(1-(1-(Inputs!$B$19+0)/100)*(1-CHOOSE(ArtifactsInput!$N$40+1,5,6,7,8,9,10)/100)^(ArtifactsInput!$M$40-ArtifactsInput!$M$40)))/100)))*(1+(Inputs!$B$24+((C355=TRUE)*(F355-Calc!F26))+B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352=TRUE)*(F352-Calc!F23))+((C356=TRUE)*(F356-Calc!F27))+(((IF(AND(ArtifactsInput!$M$42,((Inputs!$B$9+((C348=TRUE)*(F348-Calc!F19))+B359+(ArtifactsInput!$M$24-ArtifactsInput!$M$24)*CHOOSE(ArtifactsInput!$N$24+1,10,12,14,16,18,20)+IF(ArtifactsInput!$M$10,CHOOSE(ArtifactsInput!$N$10+1,15,18,21,24,27,30)*(IF(Inputs!$B$38="pvp",MIN(15,15)/15,IF(AND(Inputs!$B$38&lt;&gt;"pvp",Inputs!$B$43&gt;0),MIN(15,Inputs!$B$43)/(Inputs!$B$43),0))),0)))&gt;=100),MIN(100,((Inputs!$B$9+((C348=TRUE)*(F348-Calc!F19))+B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348=TRUE)*(F348-Calc!F19))+B359+(ArtifactsInput!$M$24-ArtifactsInput!$M$24)*CHOOSE(ArtifactsInput!$N$24+1,10,12,14,16,18,20)+IF(ArtifactsInput!$M$10,CHOOSE(ArtifactsInput!$N$10+1,15,18,21,24,27,30)*(IF(Inputs!$B$38="pvp",MIN(15,15)/15,IF(AND(Inputs!$B$38&lt;&gt;"pvp",Inputs!$B$43&gt;0),MIN(15,Inputs!$B$43)/(Inputs!$B$43),0))),0)))&gt;=100),CHOOSE(ArtifactsInput!$N$42+1,40,48,56,64,72,80),0))))/100)*((1+(((C346=TRUE)*F346)+((C353=TRUE)*(F353-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f>
        <v/>
      </c>
      <c r="L331">
        <f>K331*(MIN(Inputs!$B$22+((C351=TRUE)*(F351-Calc!F22)),(Inputs!$B$23+0+(IF(ArtifactsInput!$M$15,CHOOSE(ArtifactsInput!$N$15+1,25,30,35,40,45,50)/100*(Inputs!$B$11-Inputs!$B$11),0))))/100+(Inputs!$B$23+0+(IF(ArtifactsInput!$M$15,CHOOSE(ArtifactsInput!$N$15+1,25,30,35,40,45,50)/100*(Inputs!$B$11-Inputs!$B$11),0)))/100)/2</f>
        <v/>
      </c>
      <c r="M331">
        <f>L331*(1+(Inputs!$B$10+((C354=TRUE)*(F354-Calc!F25))+B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
        <f>L331*(1-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
        <f>(1-Summary!$B$11)*T331+Summary!$B$11*V331</f>
        <v/>
      </c>
      <c r="P331">
        <f>IF(B369=0,0,O331/B369)</f>
        <v/>
      </c>
      <c r="Q331" t="n">
        <v>0</v>
      </c>
      <c r="R331" t="n">
        <v>0</v>
      </c>
      <c r="S331">
        <f>IFERROR(O331/N331,0)</f>
        <v/>
      </c>
      <c r="T331">
        <f>IF(C331,(Skills!G2*N331*B363)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331*(1-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1">
        <f>MAX(0,(Inputs!$B$3-100)*3)+Inputs!$B$28+Inputs!$B$29</f>
        <v/>
      </c>
      <c r="V331">
        <f>IF(C331,(Skills!G2*N331*B363)*IF(Inputs!$B$38="pvp",1,(1+((Inputs!$B$21+1)+Skills!Q2+(IF(ArtifactsInput!$M$33,CHOOSE(ArtifactsInput!$N$33+1,30,36,42,48,54,60),0))+(IF(AND(ArtifactsInput!$M$35,Inputs!$B$4&lt;&gt;"Chapter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2">
      <c r="A332">
        <f>Skills!A3</f>
        <v/>
      </c>
      <c r="B332">
        <f>Skills!B3</f>
        <v/>
      </c>
      <c r="C332">
        <f>Inputs!$B$3&gt;=35</f>
        <v/>
      </c>
      <c r="D332">
        <f>IF(Skills!C3=1,60+Inputs!$B$25+Inputs!$B$29,IF(Skills!C3=2,90+Inputs!$B$26+Inputs!$B$29,IF(Skills!C3=3,120+Inputs!$B$27+Inputs!$B$29,MAX(0,(Inputs!$B$3-100)*3)+Inputs!$B$28+Inputs!$B$29)))</f>
        <v/>
      </c>
      <c r="E332">
        <f>INDEX(FactorTable!$B$2:$Y$301, MATCH(ROUND(MIN(300,MAX(1,D332)),0), FactorTable!$A$2:$A$301,0), Skills!M3+1)</f>
        <v/>
      </c>
      <c r="F332">
        <f>IF(Skills!N3=TRUE,(Skills!L3/10)*(E332/1000),Skills!L3/10)+Skills!O3</f>
        <v/>
      </c>
      <c r="G332">
        <f>Skills!G3*IF(Skills!H3&gt;0,Skills!I3/Skills!H3,1)</f>
        <v/>
      </c>
      <c r="H332">
        <f>1-(1-Skills!J3/100)^Skills!K3</f>
        <v/>
      </c>
      <c r="I332" t="inlineStr">
        <is>
          <t>1</t>
        </is>
      </c>
      <c r="J332">
        <f>((Inputs!$B$6*(1+Inputs!$B$7/100))+(((Inputs!$B$12*(1+Inputs!$B$13/100))-(Inputs!$B$12*(1+Inputs!$B$13/100)))+0.25*(Inputs!$B$14-Inputs!$B$14))*(1+Inputs!$B$7/100))*(F332/100)</f>
        <v/>
      </c>
      <c r="K332">
        <f>J332*(1+((Inputs!$B$12*(1+Inputs!$B$13/100))*0.01+Inputs!$B$14*0.0025)/100)*(1+Inputs!$B$15/100)*(1+Inputs!$B$16/100)*(5000/(6000+Inputs!$B$42*(1-(100*(1-(1-(Inputs!$B$19+0)/100)*(1-CHOOSE(ArtifactsInput!$N$40+1,5,6,7,8,9,10)/100)^(ArtifactsInput!$M$40-ArtifactsInput!$M$40)))/100)))*(1+(Inputs!$B$24+((C355=TRUE)*(F355-Calc!F26))+B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344=TRUE,F344,0)/100)*(1+(IF(Skills!A3="EIGHT_LEGS_EASTON",Inputs!$B$17+((C352=TRUE)*(F352-Calc!F23))+((C356=TRUE)*(F356-Calc!F27))+(((IF(AND(ArtifactsInput!$M$42,((Inputs!$B$9+((C348=TRUE)*(F348-Calc!F19))+B359+(ArtifactsInput!$M$24-ArtifactsInput!$M$24)*CHOOSE(ArtifactsInput!$N$24+1,10,12,14,16,18,20)+IF(ArtifactsInput!$M$10,CHOOSE(ArtifactsInput!$N$10+1,15,18,21,24,27,30)*(IF(Inputs!$B$38="pvp",MIN(15,15)/15,IF(AND(Inputs!$B$38&lt;&gt;"pvp",Inputs!$B$43&gt;0),MIN(15,Inputs!$B$43)/(Inputs!$B$43),0))),0)))&gt;=100),MIN(100,((Inputs!$B$9+((C348=TRUE)*(F348-Calc!F19))+B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348=TRUE)*(F348-Calc!F19))+B359+(ArtifactsInput!$M$24-ArtifactsInput!$M$24)*CHOOSE(ArtifactsInput!$N$24+1,10,12,14,16,18,20)+IF(ArtifactsInput!$M$10,CHOOSE(ArtifactsInput!$N$10+1,15,18,21,24,27,30)*(IF(Inputs!$B$38="pvp",MIN(15,15)/15,IF(AND(Inputs!$B$38&lt;&gt;"pvp",Inputs!$B$43&gt;0),MIN(15,Inputs!$B$43)/(Inputs!$B$43),0))),0)))&gt;=100),CHOOSE(ArtifactsInput!$N$42+1,40,48,56,64,72,80),0))))/100)*((1+(((C346=TRUE)*F346)+((C353=TRUE)*(F353-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332)</f>
        <v/>
      </c>
      <c r="L332">
        <f>K332*(MIN(Inputs!$B$22+((C351=TRUE)*(F351-Calc!F22)),(Inputs!$B$23+0+(IF(ArtifactsInput!$M$15,CHOOSE(ArtifactsInput!$N$15+1,25,30,35,40,45,50)/100*(Inputs!$B$11-Inputs!$B$11),0))))/100+(Inputs!$B$23+0+(IF(ArtifactsInput!$M$15,CHOOSE(ArtifactsInput!$N$15+1,25,30,35,40,45,50)/100*(Inputs!$B$11-Inputs!$B$11),0)))/100)/2</f>
        <v/>
      </c>
      <c r="M332">
        <f>L332*(1+(Inputs!$B$10+((C354=TRUE)*(F354-Calc!F25))+B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2">
        <f>L332*(1-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332*(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2">
        <f>(1-Summary!$B$11)*T332+Summary!$B$11*V332</f>
        <v/>
      </c>
      <c r="P332">
        <f>IF(B369=0,0,O332/B369)</f>
        <v/>
      </c>
      <c r="Q332">
        <f>IFERROR(1/(IF(Inputs!$B$38="pvp",15,MAX(0.1,Skills!D3-IF(Skills!E3=TRUE,Inputs!$B$32,0)))*(1-IF(AND(ArtifactsInput!$M$27,Inputs!$B$4="Chapter Hunt"),CHOOSE(ArtifactsInput!$N$27+1,20,24,28,32,36,40),0)/100)),0)</f>
        <v/>
      </c>
      <c r="R332">
        <f>IF(AND(Inputs!$B$38&lt;&gt;"pvp",Inputs!$B$43&gt;0),IF(MAX(0,Inputs!$B$43-B366)&lt;=0,0,(INT(MAX(0,Inputs!$B$43-B366)/(IF(Inputs!$B$38="pvp",15,MAX(0.1,Skills!D3-IF(Skills!E3=TRUE,Inputs!$B$32,0)))*(1-IF(AND(ArtifactsInput!$M$27,Inputs!$B$4="Chapter Hunt"),CHOOSE(ArtifactsInput!$N$27+1,20,24,28,32,36,40),0)/100)))+1)),0)</f>
        <v/>
      </c>
      <c r="S332">
        <f>IFERROR(O332/N332,0)</f>
        <v/>
      </c>
      <c r="T332">
        <f>IF(C332,(H332*N332*IF(AND(Inputs!$B$38&lt;&gt;"pvp",Inputs!$B$43&gt;0),((Skills!G3*((R332-1)*IF(Skills!H3&gt;0,Skills!I3/Skills!H3,1)+IF(Skills!H3&gt;0,MIN(Skills!I3,MAX(0,MAX(0,Inputs!$B$43-B366)-((R332-1)*(IF(Inputs!$B$38="pvp",15,MAX(0.1,Skills!D3-IF(Skills!E3=TRUE,Inputs!$B$32,0)))*(1-IF(AND(ArtifactsInput!$M$27,Inputs!$B$4="Chapter Hunt"),CHOOSE(ArtifactsInput!$N$27+1,20,24,28,32,36,40),0)/100)))))/Skills!H3,1)))/Inputs!$B$43),G332*Q332)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332*(1-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332*(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332*(1-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332*(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2">
        <f>INDEX(FactorTable!$B$2:$Y$301, MATCH(ROUND(MIN(300,MAX(1,U331)),0), FactorTable!$A$2:$A$301,0), 22)</f>
        <v/>
      </c>
      <c r="V332">
        <f>IF(C332,(H332*N332*IF(AND(Inputs!$B$38&lt;&gt;"pvp",Inputs!$B$43&gt;0),((Skills!G3*((R332-1)*IF(Skills!H3&gt;0,Skills!I3/Skills!H3,1)+IF(Skills!H3&gt;0,MIN(Skills!I3,MAX(0,MAX(0,Inputs!$B$43-B366)-((R332-1)*(IF(Inputs!$B$38="pvp",15,MAX(0.1,Skills!D3-IF(Skills!E3=TRUE,Inputs!$B$32,0)))*(1-IF(AND(ArtifactsInput!$M$27,Inputs!$B$4="Chapter Hunt"),CHOOSE(ArtifactsInput!$N$27+1,20,24,28,32,36,40),0)/100)))))/Skills!H3,1)))/Inputs!$B$43),G332*Q332))*IF(Inputs!$B$38="pvp",1,(1+((Inputs!$B$21+1)+Skills!Q3+(IF(ArtifactsInput!$M$33,CHOOSE(ArtifactsInput!$N$33+1,30,36,42,48,54,60)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3">
      <c r="A333">
        <f>Skills!A4</f>
        <v/>
      </c>
      <c r="B333">
        <f>Skills!B4</f>
        <v/>
      </c>
      <c r="C333">
        <f>Inputs!$B$3&gt;=40</f>
        <v/>
      </c>
      <c r="D333">
        <f>IF(Skills!C4=1,60+Inputs!$B$25+Inputs!$B$29,IF(Skills!C4=2,90+Inputs!$B$26+Inputs!$B$29,IF(Skills!C4=3,120+Inputs!$B$27+Inputs!$B$29,MAX(0,(Inputs!$B$3-100)*3)+Inputs!$B$28+Inputs!$B$29)))</f>
        <v/>
      </c>
      <c r="E333">
        <f>INDEX(FactorTable!$B$2:$Y$301, MATCH(ROUND(MIN(300,MAX(1,D333)),0), FactorTable!$A$2:$A$301,0), Skills!M4+1)</f>
        <v/>
      </c>
      <c r="F333">
        <f>IF(Skills!N4=TRUE,(Skills!L4/10)*(E333/1000),Skills!L4/10)+Skills!O4</f>
        <v/>
      </c>
      <c r="G333">
        <f>Skills!G4*IF(Skills!H4&gt;0,Skills!I4/Skills!H4,1)</f>
        <v/>
      </c>
      <c r="H333">
        <f>1-(1-Skills!J4/100)^Skills!K4</f>
        <v/>
      </c>
      <c r="I333" t="inlineStr">
        <is>
          <t>1</t>
        </is>
      </c>
      <c r="J333">
        <f>((Inputs!$B$6*(1+Inputs!$B$7/100))+(((Inputs!$B$12*(1+Inputs!$B$13/100))-(Inputs!$B$12*(1+Inputs!$B$13/100)))+0.25*(Inputs!$B$14-Inputs!$B$14))*(1+Inputs!$B$7/100))*(F333/100)</f>
        <v/>
      </c>
      <c r="K333">
        <f>J333*(1+((Inputs!$B$12*(1+Inputs!$B$13/100))*0.01+Inputs!$B$14*0.0025)/100)*(1+Inputs!$B$15/100)*(1+Inputs!$B$16/100)*(5000/(6000+Inputs!$B$42*(1-(100*(1-(1-(Inputs!$B$19+0)/100)*(1-CHOOSE(ArtifactsInput!$N$40+1,5,6,7,8,9,10)/100)^(ArtifactsInput!$M$40-ArtifactsInput!$M$40)))/100)))*(1+(Inputs!$B$24+((C355=TRUE)*(F355-Calc!F26))+B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345=TRUE,F345,0)/100)*(1+(IF(Skills!A4="EIGHT_LEGS_EASTON",Inputs!$B$17+((C352=TRUE)*(F352-Calc!F23))+((C356=TRUE)*(F356-Calc!F27))+(((IF(AND(ArtifactsInput!$M$42,((Inputs!$B$9+((C348=TRUE)*(F348-Calc!F19))+B359+(ArtifactsInput!$M$24-ArtifactsInput!$M$24)*CHOOSE(ArtifactsInput!$N$24+1,10,12,14,16,18,20)+IF(ArtifactsInput!$M$10,CHOOSE(ArtifactsInput!$N$10+1,15,18,21,24,27,30)*(IF(Inputs!$B$38="pvp",MIN(15,15)/15,IF(AND(Inputs!$B$38&lt;&gt;"pvp",Inputs!$B$43&gt;0),MIN(15,Inputs!$B$43)/(Inputs!$B$43),0))),0)))&gt;=100),MIN(100,((Inputs!$B$9+((C348=TRUE)*(F348-Calc!F19))+B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348=TRUE)*(F348-Calc!F19))+B359+(ArtifactsInput!$M$24-ArtifactsInput!$M$24)*CHOOSE(ArtifactsInput!$N$24+1,10,12,14,16,18,20)+IF(ArtifactsInput!$M$10,CHOOSE(ArtifactsInput!$N$10+1,15,18,21,24,27,30)*(IF(Inputs!$B$38="pvp",MIN(15,15)/15,IF(AND(Inputs!$B$38&lt;&gt;"pvp",Inputs!$B$43&gt;0),MIN(15,Inputs!$B$43)/(Inputs!$B$43),0))),0)))&gt;=100),CHOOSE(ArtifactsInput!$N$42+1,40,48,56,64,72,80),0))))/100)*((1+(((C346=TRUE)*F346)+((C353=TRUE)*(F353-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333)</f>
        <v/>
      </c>
      <c r="L333">
        <f>K333*(MIN(Inputs!$B$22+((C351=TRUE)*(F351-Calc!F22)),(Inputs!$B$23+0+(IF(ArtifactsInput!$M$15,CHOOSE(ArtifactsInput!$N$15+1,25,30,35,40,45,50)/100*(Inputs!$B$11-Inputs!$B$11),0))))/100+(Inputs!$B$23+0+(IF(ArtifactsInput!$M$15,CHOOSE(ArtifactsInput!$N$15+1,25,30,35,40,45,50)/100*(Inputs!$B$11-Inputs!$B$11),0)))/100)/2</f>
        <v/>
      </c>
      <c r="M333">
        <f>L333*(1+(Inputs!$B$10+((C354=TRUE)*(F354-Calc!F25))+B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3">
        <f>L333*(1-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333*(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3">
        <f>(1-Summary!$B$11)*T333+Summary!$B$11*V333</f>
        <v/>
      </c>
      <c r="P333">
        <f>IF(B369=0,0,O333/B369)</f>
        <v/>
      </c>
      <c r="Q333">
        <f>IFERROR(1/(IF(Inputs!$B$38="pvp",15,MAX(0.1,Skills!D4-IF(Skills!E4=TRUE,Inputs!$B$32,0)))*(1-IF(AND(ArtifactsInput!$M$27,Inputs!$B$4="Chapter Hunt"),CHOOSE(ArtifactsInput!$N$27+1,20,24,28,32,36,40),0)/100)),0)</f>
        <v/>
      </c>
      <c r="R333">
        <f>IF(AND(Inputs!$B$38&lt;&gt;"pvp",Inputs!$B$43&gt;0),IF(MAX(0,Inputs!$B$43-B366)&lt;=0,0,(INT(MAX(0,Inputs!$B$43-B366)/(IF(Inputs!$B$38="pvp",15,MAX(0.1,Skills!D4-IF(Skills!E4=TRUE,Inputs!$B$32,0)))*(1-IF(AND(ArtifactsInput!$M$27,Inputs!$B$4="Chapter Hunt"),CHOOSE(ArtifactsInput!$N$27+1,20,24,28,32,36,40),0)/100)))+1)),0)</f>
        <v/>
      </c>
      <c r="S333">
        <f>IFERROR(O333/N333,0)</f>
        <v/>
      </c>
      <c r="T333">
        <f>IF(C333,(H333*N333*IF(AND(Inputs!$B$38&lt;&gt;"pvp",Inputs!$B$43&gt;0),((Skills!G4*((R333-1)*IF(Skills!H4&gt;0,Skills!I4/Skills!H4,1)+IF(Skills!H4&gt;0,MIN(Skills!I4,MAX(0,MAX(0,Inputs!$B$43-B366)-((R333-1)*(IF(Inputs!$B$38="pvp",15,MAX(0.1,Skills!D4-IF(Skills!E4=TRUE,Inputs!$B$32,0)))*(1-IF(AND(ArtifactsInput!$M$27,Inputs!$B$4="Chapter Hunt"),CHOOSE(ArtifactsInput!$N$27+1,20,24,28,32,36,40),0)/100)))))/Skills!H4,1)))/Inputs!$B$43),G333*Q333)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333*(1-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333*(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333*(1-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333*(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3">
        <f>290*U332/1000</f>
        <v/>
      </c>
      <c r="V333">
        <f>IF(C333,(H333*N333*IF(AND(Inputs!$B$38&lt;&gt;"pvp",Inputs!$B$43&gt;0),((Skills!G4*((R333-1)*IF(Skills!H4&gt;0,Skills!I4/Skills!H4,1)+IF(Skills!H4&gt;0,MIN(Skills!I4,MAX(0,MAX(0,Inputs!$B$43-B366)-((R333-1)*(IF(Inputs!$B$38="pvp",15,MAX(0.1,Skills!D4-IF(Skills!E4=TRUE,Inputs!$B$32,0)))*(1-IF(AND(ArtifactsInput!$M$27,Inputs!$B$4="Chapter Hunt"),CHOOSE(ArtifactsInput!$N$27+1,20,24,28,32,36,40),0)/100)))))/Skills!H4,1)))/Inputs!$B$43),G333*Q333))*IF(Inputs!$B$38="pvp",1,(1+((Inputs!$B$21+1)+Skills!Q4+(IF(ArtifactsInput!$M$33,CHOOSE(ArtifactsInput!$N$33+1,30,36,42,48,54,60)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4">
      <c r="A334">
        <f>Skills!A5</f>
        <v/>
      </c>
      <c r="B334">
        <f>Skills!B5</f>
        <v/>
      </c>
      <c r="C334">
        <f>Inputs!$B$3&gt;=45</f>
        <v/>
      </c>
      <c r="D334">
        <f>IF(Skills!C5=1,60+Inputs!$B$25+Inputs!$B$29,IF(Skills!C5=2,90+Inputs!$B$26+Inputs!$B$29,IF(Skills!C5=3,120+Inputs!$B$27+Inputs!$B$29,MAX(0,(Inputs!$B$3-100)*3)+Inputs!$B$28+Inputs!$B$29)))</f>
        <v/>
      </c>
      <c r="E334">
        <f>INDEX(FactorTable!$B$2:$Y$301, MATCH(ROUND(MIN(300,MAX(1,D334)),0), FactorTable!$A$2:$A$301,0), Skills!M5+1)</f>
        <v/>
      </c>
      <c r="F334">
        <f>IF(Skills!N5=TRUE,(Skills!L5/10)*(E334/1000),Skills!L5/10)+Skills!O5</f>
        <v/>
      </c>
      <c r="G334">
        <f>Skills!G5*IF(Skills!H5&gt;0,Skills!I5/Skills!H5,1)</f>
        <v/>
      </c>
      <c r="H334">
        <f>1-(1-Skills!J5/100)^Skills!K5</f>
        <v/>
      </c>
      <c r="I334" t="inlineStr">
        <is>
          <t>1</t>
        </is>
      </c>
      <c r="J334">
        <f>((Inputs!$B$6*(1+Inputs!$B$7/100))+(((Inputs!$B$12*(1+Inputs!$B$13/100))-(Inputs!$B$12*(1+Inputs!$B$13/100)))+0.25*(Inputs!$B$14-Inputs!$B$14))*(1+Inputs!$B$7/100))*(F334/100)</f>
        <v/>
      </c>
      <c r="K334">
        <f>J334*(1+((Inputs!$B$12*(1+Inputs!$B$13/100))*0.01+Inputs!$B$14*0.0025)/100)*(1+Inputs!$B$15/100)*(1+Inputs!$B$16/100)*(5000/(6000+Inputs!$B$42*(1-(100*(1-(1-(Inputs!$B$19+0)/100)*(1-CHOOSE(ArtifactsInput!$N$40+1,5,6,7,8,9,10)/100)^(ArtifactsInput!$M$40-ArtifactsInput!$M$40)))/100)))*(1+(Inputs!$B$24+((C355=TRUE)*(F355-Calc!F26))+B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345=TRUE,F345,0)/100)*(1+(IF(Skills!A5="EIGHT_LEGS_EASTON",Inputs!$B$17+((C352=TRUE)*(F352-Calc!F23))+((C356=TRUE)*(F356-Calc!F27))+(((IF(AND(ArtifactsInput!$M$42,((Inputs!$B$9+((C348=TRUE)*(F348-Calc!F19))+B359+(ArtifactsInput!$M$24-ArtifactsInput!$M$24)*CHOOSE(ArtifactsInput!$N$24+1,10,12,14,16,18,20)+IF(ArtifactsInput!$M$10,CHOOSE(ArtifactsInput!$N$10+1,15,18,21,24,27,30)*(IF(Inputs!$B$38="pvp",MIN(15,15)/15,IF(AND(Inputs!$B$38&lt;&gt;"pvp",Inputs!$B$43&gt;0),MIN(15,Inputs!$B$43)/(Inputs!$B$43),0))),0)))&gt;=100),MIN(100,((Inputs!$B$9+((C348=TRUE)*(F348-Calc!F19))+B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348=TRUE)*(F348-Calc!F19))+B359+(ArtifactsInput!$M$24-ArtifactsInput!$M$24)*CHOOSE(ArtifactsInput!$N$24+1,10,12,14,16,18,20)+IF(ArtifactsInput!$M$10,CHOOSE(ArtifactsInput!$N$10+1,15,18,21,24,27,30)*(IF(Inputs!$B$38="pvp",MIN(15,15)/15,IF(AND(Inputs!$B$38&lt;&gt;"pvp",Inputs!$B$43&gt;0),MIN(15,Inputs!$B$43)/(Inputs!$B$43),0))),0)))&gt;=100),CHOOSE(ArtifactsInput!$N$42+1,40,48,56,64,72,80),0))))/100)*((1+(((C346=TRUE)*F346)+((C353=TRUE)*(F353-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334)</f>
        <v/>
      </c>
      <c r="L334">
        <f>K334*(MIN(Inputs!$B$22+((C351=TRUE)*(F351-Calc!F22)),(Inputs!$B$23+0+(IF(ArtifactsInput!$M$15,CHOOSE(ArtifactsInput!$N$15+1,25,30,35,40,45,50)/100*(Inputs!$B$11-Inputs!$B$11),0))))/100+(Inputs!$B$23+0+(IF(ArtifactsInput!$M$15,CHOOSE(ArtifactsInput!$N$15+1,25,30,35,40,45,50)/100*(Inputs!$B$11-Inputs!$B$11),0)))/100)/2</f>
        <v/>
      </c>
      <c r="M334">
        <f>L334*(1+(Inputs!$B$10+((C354=TRUE)*(F354-Calc!F25))+B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4">
        <f>L334*(1-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334*(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4">
        <f>(1-Summary!$B$11)*T334+Summary!$B$11*V334</f>
        <v/>
      </c>
      <c r="P334">
        <f>IF(B369=0,0,O334/B369)</f>
        <v/>
      </c>
      <c r="Q334">
        <f>IFERROR(1/(IF(Inputs!$B$38="pvp",15,MAX(0.1,Skills!D5-IF(Skills!E5=TRUE,Inputs!$B$32,0)))*(1-IF(AND(ArtifactsInput!$M$27,Inputs!$B$4="Chapter Hunt"),CHOOSE(ArtifactsInput!$N$27+1,20,24,28,32,36,40),0)/100)),0)</f>
        <v/>
      </c>
      <c r="R334">
        <f>IF(AND(Inputs!$B$38&lt;&gt;"pvp",Inputs!$B$43&gt;0),IF(MAX(0,Inputs!$B$43-B366)&lt;=0,0,(INT(MAX(0,Inputs!$B$43-B366)/(IF(Inputs!$B$38="pvp",15,MAX(0.1,Skills!D5-IF(Skills!E5=TRUE,Inputs!$B$32,0)))*(1-IF(AND(ArtifactsInput!$M$27,Inputs!$B$4="Chapter Hunt"),CHOOSE(ArtifactsInput!$N$27+1,20,24,28,32,36,40),0)/100)))+1)),0)</f>
        <v/>
      </c>
      <c r="S334">
        <f>IFERROR(O334/N334,0)</f>
        <v/>
      </c>
      <c r="T334">
        <f>IF(C334,(H334*N334*IF(AND(Inputs!$B$38&lt;&gt;"pvp",Inputs!$B$43&gt;0),((Skills!G5*((R334-1)*IF(Skills!H5&gt;0,Skills!I5/Skills!H5,1)+IF(Skills!H5&gt;0,MIN(Skills!I5,MAX(0,MAX(0,Inputs!$B$43-B366)-((R334-1)*(IF(Inputs!$B$38="pvp",15,MAX(0.1,Skills!D5-IF(Skills!E5=TRUE,Inputs!$B$32,0)))*(1-IF(AND(ArtifactsInput!$M$27,Inputs!$B$4="Chapter Hunt"),CHOOSE(ArtifactsInput!$N$27+1,20,24,28,32,36,40),0)/100)))))/Skills!H5,1)))/Inputs!$B$43),G334*Q334)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334*(1-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334*(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334*(1-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334*(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4">
        <f>IF(C334,(H334*N334*IF(AND(Inputs!$B$38&lt;&gt;"pvp",Inputs!$B$43&gt;0),((Skills!G5*((R334-1)*IF(Skills!H5&gt;0,Skills!I5/Skills!H5,1)+IF(Skills!H5&gt;0,MIN(Skills!I5,MAX(0,MAX(0,Inputs!$B$43-B366)-((R334-1)*(IF(Inputs!$B$38="pvp",15,MAX(0.1,Skills!D5-IF(Skills!E5=TRUE,Inputs!$B$32,0)))*(1-IF(AND(ArtifactsInput!$M$27,Inputs!$B$4="Chapter Hunt"),CHOOSE(ArtifactsInput!$N$27+1,20,24,28,32,36,40),0)/100)))))/Skills!H5,1)))/Inputs!$B$43),G334*Q334))*IF(Inputs!$B$38="pvp",1,(1+((Inputs!$B$21+1)+Skills!Q5+(IF(ArtifactsInput!$M$33,CHOOSE(ArtifactsInput!$N$33+1,30,36,42,48,54,60)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
      <c r="A335">
        <f>Skills!A6</f>
        <v/>
      </c>
      <c r="B335">
        <f>Skills!B6</f>
        <v/>
      </c>
      <c r="C335">
        <f>Inputs!$B$3&gt;=63</f>
        <v/>
      </c>
      <c r="D335">
        <f>IF(Skills!C6=1,60+Inputs!$B$25+Inputs!$B$29,IF(Skills!C6=2,90+Inputs!$B$26+Inputs!$B$29,IF(Skills!C6=3,120+Inputs!$B$27+Inputs!$B$29,MAX(0,(Inputs!$B$3-100)*3)+Inputs!$B$28+Inputs!$B$29)))</f>
        <v/>
      </c>
      <c r="E335">
        <f>INDEX(FactorTable!$B$2:$Y$301, MATCH(ROUND(MIN(300,MAX(1,D335)),0), FactorTable!$A$2:$A$301,0), Skills!M6+1)</f>
        <v/>
      </c>
      <c r="F335">
        <f>IF(Skills!N6=TRUE,(Skills!L6/10)*(E335/1000),Skills!L6/10)+Skills!O6</f>
        <v/>
      </c>
      <c r="G335">
        <f>Skills!G6*IF(Skills!H6&gt;0,Skills!I6/Skills!H6,1)</f>
        <v/>
      </c>
      <c r="H335">
        <f>1-(1-Skills!J6/100)^Skills!K6</f>
        <v/>
      </c>
      <c r="I335" t="inlineStr">
        <is>
          <t>1</t>
        </is>
      </c>
      <c r="J335">
        <f>((Inputs!$B$6*(1+Inputs!$B$7/100))+(((Inputs!$B$12*(1+Inputs!$B$13/100))-(Inputs!$B$12*(1+Inputs!$B$13/100)))+0.25*(Inputs!$B$14-Inputs!$B$14))*(1+Inputs!$B$7/100))*(F335/100)</f>
        <v/>
      </c>
      <c r="K335">
        <f>J335*(1+((Inputs!$B$12*(1+Inputs!$B$13/100))*0.01+Inputs!$B$14*0.0025)/100)*(1+Inputs!$B$15/100)*(1+Inputs!$B$16/100)*(5000/(6000+Inputs!$B$42*(1-(100*(1-(1-(Inputs!$B$19+0)/100)*(1-CHOOSE(ArtifactsInput!$N$40+1,5,6,7,8,9,10)/100)^(ArtifactsInput!$M$40-ArtifactsInput!$M$40)))/100)))*(1+(Inputs!$B$24+((C355=TRUE)*(F355-Calc!F26))+B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344=TRUE,F344,0)/100)*(1+(IF(Skills!A6="EIGHT_LEGS_EASTON",Inputs!$B$17+((C352=TRUE)*(F352-Calc!F23))+((C356=TRUE)*(F356-Calc!F27))+(((IF(AND(ArtifactsInput!$M$42,((Inputs!$B$9+((C348=TRUE)*(F348-Calc!F19))+B359+(ArtifactsInput!$M$24-ArtifactsInput!$M$24)*CHOOSE(ArtifactsInput!$N$24+1,10,12,14,16,18,20)+IF(ArtifactsInput!$M$10,CHOOSE(ArtifactsInput!$N$10+1,15,18,21,24,27,30)*(IF(Inputs!$B$38="pvp",MIN(15,15)/15,IF(AND(Inputs!$B$38&lt;&gt;"pvp",Inputs!$B$43&gt;0),MIN(15,Inputs!$B$43)/(Inputs!$B$43),0))),0)))&gt;=100),MIN(100,((Inputs!$B$9+((C348=TRUE)*(F348-Calc!F19))+B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348=TRUE)*(F348-Calc!F19))+B359+(ArtifactsInput!$M$24-ArtifactsInput!$M$24)*CHOOSE(ArtifactsInput!$N$24+1,10,12,14,16,18,20)+IF(ArtifactsInput!$M$10,CHOOSE(ArtifactsInput!$N$10+1,15,18,21,24,27,30)*(IF(Inputs!$B$38="pvp",MIN(15,15)/15,IF(AND(Inputs!$B$38&lt;&gt;"pvp",Inputs!$B$43&gt;0),MIN(15,Inputs!$B$43)/(Inputs!$B$43),0))),0)))&gt;=100),CHOOSE(ArtifactsInput!$N$42+1,40,48,56,64,72,80),0))))/100)*((1+(((C346=TRUE)*F346)+((C353=TRUE)*(F353-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f>
        <v/>
      </c>
      <c r="L335">
        <f>K335*(MIN(Inputs!$B$22+((C351=TRUE)*(F351-Calc!F22)),(Inputs!$B$23+0+(IF(ArtifactsInput!$M$15,CHOOSE(ArtifactsInput!$N$15+1,25,30,35,40,45,50)/100*(Inputs!$B$11-Inputs!$B$11),0))))/100+(Inputs!$B$23+0+(IF(ArtifactsInput!$M$15,CHOOSE(ArtifactsInput!$N$15+1,25,30,35,40,45,50)/100*(Inputs!$B$11-Inputs!$B$11),0)))/100)/2</f>
        <v/>
      </c>
      <c r="M335">
        <f>L335*(1+(Inputs!$B$10+((C354=TRUE)*(F354-Calc!F25))+B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
        <f>L335*(1-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
        <f>(1-Summary!$B$11)*T335+Summary!$B$11*V335</f>
        <v/>
      </c>
      <c r="P335">
        <f>IF(B369=0,0,O335/B369)</f>
        <v/>
      </c>
      <c r="Q335">
        <f>IFERROR(1/(IF(Inputs!$B$38="pvp",15,MAX(0.1,Skills!D6-IF(Skills!E6=TRUE,Inputs!$B$32,0)))*(1-IF(AND(ArtifactsInput!$M$27,Inputs!$B$4="Chapter Hunt"),CHOOSE(ArtifactsInput!$N$27+1,20,24,28,32,36,40),0)/100)),0)</f>
        <v/>
      </c>
      <c r="R335">
        <f>IF(AND(Inputs!$B$38&lt;&gt;"pvp",Inputs!$B$43&gt;0),IF(MAX(0,Inputs!$B$43-B366)&lt;=0,0,(INT(MAX(0,Inputs!$B$43-B366)/(IF(Inputs!$B$38="pvp",15,MAX(0.1,Skills!D6-IF(Skills!E6=TRUE,Inputs!$B$32,0)))*(1-IF(AND(ArtifactsInput!$M$27,Inputs!$B$4="Chapter Hunt"),CHOOSE(ArtifactsInput!$N$27+1,20,24,28,32,36,40),0)/100)))+1)),0)</f>
        <v/>
      </c>
      <c r="S335">
        <f>IFERROR(O335/N335,0)</f>
        <v/>
      </c>
      <c r="T335">
        <f>IF(C335,(H335*N335*IF(AND(Inputs!$B$38&lt;&gt;"pvp",Inputs!$B$43&gt;0),((Skills!G6*((R335-1)*IF(Skills!H6&gt;0,Skills!I6/Skills!H6,1)+IF(Skills!H6&gt;0,MIN(Skills!I6,MAX(0,MAX(0,Inputs!$B$43-B366)-((R335-1)*(IF(Inputs!$B$38="pvp",15,MAX(0.1,Skills!D6-IF(Skills!E6=TRUE,Inputs!$B$32,0)))*(1-IF(AND(ArtifactsInput!$M$27,Inputs!$B$4="Chapter Hunt"),CHOOSE(ArtifactsInput!$N$27+1,20,24,28,32,36,40),0)/100)))))/Skills!H6,1)))/Inputs!$B$43),G335*Q335)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335*(1-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5">
        <f>IF(C335,(H335*N335*IF(AND(Inputs!$B$38&lt;&gt;"pvp",Inputs!$B$43&gt;0),((Skills!G6*((R335-1)*IF(Skills!H6&gt;0,Skills!I6/Skills!H6,1)+IF(Skills!H6&gt;0,MIN(Skills!I6,MAX(0,MAX(0,Inputs!$B$43-B366)-((R335-1)*(IF(Inputs!$B$38="pvp",15,MAX(0.1,Skills!D6-IF(Skills!E6=TRUE,Inputs!$B$32,0)))*(1-IF(AND(ArtifactsInput!$M$27,Inputs!$B$4="Chapter Hunt"),CHOOSE(ArtifactsInput!$N$27+1,20,24,28,32,36,40),0)/100)))))/Skills!H6,1)))/Inputs!$B$43),G335*Q335))*IF(Inputs!$B$38="pvp",1,(1+((Inputs!$B$21+1)+Skills!Q6+(IF(ArtifactsInput!$M$33,CHOOSE(ArtifactsInput!$N$33+1,30,36,42,48,54,60)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6">
      <c r="A336">
        <f>Skills!A7</f>
        <v/>
      </c>
      <c r="B336">
        <f>Skills!B7</f>
        <v/>
      </c>
      <c r="C336">
        <f>Inputs!$B$3&gt;=66</f>
        <v/>
      </c>
      <c r="D336">
        <f>IF(Skills!C7=1,60+Inputs!$B$25+Inputs!$B$29,IF(Skills!C7=2,90+Inputs!$B$26+Inputs!$B$29,IF(Skills!C7=3,120+Inputs!$B$27+Inputs!$B$29,MAX(0,(Inputs!$B$3-100)*3)+Inputs!$B$28+Inputs!$B$29)))</f>
        <v/>
      </c>
      <c r="E336">
        <f>INDEX(FactorTable!$B$2:$Y$301, MATCH(ROUND(MIN(300,MAX(1,D336)),0), FactorTable!$A$2:$A$301,0), Skills!M7+1)</f>
        <v/>
      </c>
      <c r="F336">
        <f>IF(Skills!N7=TRUE,(Skills!L7/10)*(E336/1000),Skills!L7/10)+Skills!O7</f>
        <v/>
      </c>
      <c r="G336">
        <f>Skills!G7*IF(Skills!H7&gt;0,Skills!I7/Skills!H7,1)</f>
        <v/>
      </c>
      <c r="H336">
        <f>1-(1-Skills!J7/100)^Skills!K7</f>
        <v/>
      </c>
      <c r="I336" t="inlineStr">
        <is>
          <t>1</t>
        </is>
      </c>
      <c r="J336">
        <f>((Inputs!$B$6*(1+Inputs!$B$7/100))+(((Inputs!$B$12*(1+Inputs!$B$13/100))-(Inputs!$B$12*(1+Inputs!$B$13/100)))+0.25*(Inputs!$B$14-Inputs!$B$14))*(1+Inputs!$B$7/100))*(F336/100)</f>
        <v/>
      </c>
      <c r="K336">
        <f>J336*(1+((Inputs!$B$12*(1+Inputs!$B$13/100))*0.01+Inputs!$B$14*0.0025)/100)*(1+Inputs!$B$15/100)*(1+Inputs!$B$16/100)*(5000/(6000+Inputs!$B$42*(1-(100*(1-(1-(Inputs!$B$19+0)/100)*(1-CHOOSE(ArtifactsInput!$N$40+1,5,6,7,8,9,10)/100)^(ArtifactsInput!$M$40-ArtifactsInput!$M$40)))/100)))*(1+(Inputs!$B$24+((C355=TRUE)*(F355-Calc!F26))+B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344=TRUE,F344,0)/100)*(1+(IF(Skills!A7="EIGHT_LEGS_EASTON",Inputs!$B$17+((C352=TRUE)*(F352-Calc!F23))+((C356=TRUE)*(F356-Calc!F27))+(((IF(AND(ArtifactsInput!$M$42,((Inputs!$B$9+((C348=TRUE)*(F348-Calc!F19))+B359+(ArtifactsInput!$M$24-ArtifactsInput!$M$24)*CHOOSE(ArtifactsInput!$N$24+1,10,12,14,16,18,20)+IF(ArtifactsInput!$M$10,CHOOSE(ArtifactsInput!$N$10+1,15,18,21,24,27,30)*(IF(Inputs!$B$38="pvp",MIN(15,15)/15,IF(AND(Inputs!$B$38&lt;&gt;"pvp",Inputs!$B$43&gt;0),MIN(15,Inputs!$B$43)/(Inputs!$B$43),0))),0)))&gt;=100),MIN(100,((Inputs!$B$9+((C348=TRUE)*(F348-Calc!F19))+B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348=TRUE)*(F348-Calc!F19))+B359+(ArtifactsInput!$M$24-ArtifactsInput!$M$24)*CHOOSE(ArtifactsInput!$N$24+1,10,12,14,16,18,20)+IF(ArtifactsInput!$M$10,CHOOSE(ArtifactsInput!$N$10+1,15,18,21,24,27,30)*(IF(Inputs!$B$38="pvp",MIN(15,15)/15,IF(AND(Inputs!$B$38&lt;&gt;"pvp",Inputs!$B$43&gt;0),MIN(15,Inputs!$B$43)/(Inputs!$B$43),0))),0)))&gt;=100),CHOOSE(ArtifactsInput!$N$42+1,40,48,56,64,72,80),0))))/100)*((1+(((C346=TRUE)*F346)+((C353=TRUE)*(F353-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336)</f>
        <v/>
      </c>
      <c r="L336">
        <f>K336*(MIN(Inputs!$B$22+((C351=TRUE)*(F351-Calc!F22)),(Inputs!$B$23+0+(IF(ArtifactsInput!$M$15,CHOOSE(ArtifactsInput!$N$15+1,25,30,35,40,45,50)/100*(Inputs!$B$11-Inputs!$B$11),0))))/100+(Inputs!$B$23+0+(IF(ArtifactsInput!$M$15,CHOOSE(ArtifactsInput!$N$15+1,25,30,35,40,45,50)/100*(Inputs!$B$11-Inputs!$B$11),0)))/100)/2</f>
        <v/>
      </c>
      <c r="M336">
        <f>L336*(1+(Inputs!$B$10+((C354=TRUE)*(F354-Calc!F25))+B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6">
        <f>L336*(1-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336*(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6">
        <f>(1-Summary!$B$11)*T336+Summary!$B$11*V336</f>
        <v/>
      </c>
      <c r="P336">
        <f>IF(B369=0,0,O336/B369)</f>
        <v/>
      </c>
      <c r="Q336">
        <f>IFERROR(1/(IF(Inputs!$B$38="pvp",15,MAX(0.1,Skills!D7-IF(Skills!E7=TRUE,Inputs!$B$32,0)))*(1-IF(AND(ArtifactsInput!$M$27,Inputs!$B$4="Chapter Hunt"),CHOOSE(ArtifactsInput!$N$27+1,20,24,28,32,36,40),0)/100)),0)</f>
        <v/>
      </c>
      <c r="R336">
        <f>IF(AND(Inputs!$B$38&lt;&gt;"pvp",Inputs!$B$43&gt;0),IF(MAX(0,Inputs!$B$43-B366)&lt;=0,0,(INT(MAX(0,Inputs!$B$43-B366)/(IF(Inputs!$B$38="pvp",15,MAX(0.1,Skills!D7-IF(Skills!E7=TRUE,Inputs!$B$32,0)))*(1-IF(AND(ArtifactsInput!$M$27,Inputs!$B$4="Chapter Hunt"),CHOOSE(ArtifactsInput!$N$27+1,20,24,28,32,36,40),0)/100)))+1)),0)</f>
        <v/>
      </c>
      <c r="S336">
        <f>IFERROR(O336/N336,0)</f>
        <v/>
      </c>
      <c r="T336">
        <f>IF(C336,(H336*N336*IF(AND(Inputs!$B$38&lt;&gt;"pvp",Inputs!$B$43&gt;0),((Skills!G7*((R336-1)*IF(Skills!H7&gt;0,Skills!I7/Skills!H7,1)+IF(Skills!H7&gt;0,MIN(Skills!I7,MAX(0,MAX(0,Inputs!$B$43-B366)-((R336-1)*(IF(Inputs!$B$38="pvp",15,MAX(0.1,Skills!D7-IF(Skills!E7=TRUE,Inputs!$B$32,0)))*(1-IF(AND(ArtifactsInput!$M$27,Inputs!$B$4="Chapter Hunt"),CHOOSE(ArtifactsInput!$N$27+1,20,24,28,32,36,40),0)/100)))))/Skills!H7,1)))/Inputs!$B$43),G336*Q336)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336*(1-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336*(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336*(1-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336*(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6">
        <f>IF(C336,(H336*N336*IF(AND(Inputs!$B$38&lt;&gt;"pvp",Inputs!$B$43&gt;0),((Skills!G7*((R336-1)*IF(Skills!H7&gt;0,Skills!I7/Skills!H7,1)+IF(Skills!H7&gt;0,MIN(Skills!I7,MAX(0,MAX(0,Inputs!$B$43-B366)-((R336-1)*(IF(Inputs!$B$38="pvp",15,MAX(0.1,Skills!D7-IF(Skills!E7=TRUE,Inputs!$B$32,0)))*(1-IF(AND(ArtifactsInput!$M$27,Inputs!$B$4="Chapter Hunt"),CHOOSE(ArtifactsInput!$N$27+1,20,24,28,32,36,40),0)/100)))))/Skills!H7,1)))/Inputs!$B$43),G336*Q336))*IF(Inputs!$B$38="pvp",1,(1+((Inputs!$B$21+1)+Skills!Q7+(IF(ArtifactsInput!$M$33,CHOOSE(ArtifactsInput!$N$33+1,30,36,42,48,54,60)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7">
      <c r="A337">
        <f>Skills!A8</f>
        <v/>
      </c>
      <c r="B337">
        <f>Skills!B8</f>
        <v/>
      </c>
      <c r="C337">
        <f>Inputs!$B$3&gt;=100</f>
        <v/>
      </c>
      <c r="D337">
        <f>IF(Skills!C8=1,60+Inputs!$B$25+Inputs!$B$29,IF(Skills!C8=2,90+Inputs!$B$26+Inputs!$B$29,IF(Skills!C8=3,120+Inputs!$B$27+Inputs!$B$29,MAX(0,(Inputs!$B$3-100)*3)+Inputs!$B$28+Inputs!$B$29)))</f>
        <v/>
      </c>
      <c r="E337">
        <f>INDEX(FactorTable!$B$2:$Y$301, MATCH(ROUND(MIN(300,MAX(1,D337)),0), FactorTable!$A$2:$A$301,0), Skills!M8+1)</f>
        <v/>
      </c>
      <c r="F337">
        <f>IF(Skills!N8=TRUE,(Skills!L8/10)*(E337/1000),Skills!L8/10)+Skills!O8</f>
        <v/>
      </c>
      <c r="G337">
        <f>Skills!G8*IF(Skills!H8&gt;0,Skills!I8/Skills!H8,1)</f>
        <v/>
      </c>
      <c r="H337">
        <f>1-(1-Skills!J8/100)^Skills!K8</f>
        <v/>
      </c>
      <c r="I337" t="inlineStr">
        <is>
          <t>1</t>
        </is>
      </c>
      <c r="J337">
        <f>((Inputs!$B$6*(1+Inputs!$B$7/100))+(((Inputs!$B$12*(1+Inputs!$B$13/100))-(Inputs!$B$12*(1+Inputs!$B$13/100)))+0.25*(Inputs!$B$14-Inputs!$B$14))*(1+Inputs!$B$7/100))*(F337/100)</f>
        <v/>
      </c>
      <c r="K337">
        <f>J337*(1+((Inputs!$B$12*(1+Inputs!$B$13/100))*0.01+Inputs!$B$14*0.0025)/100)*(1+Inputs!$B$15/100)*(1+Inputs!$B$16/100)*(5000/(6000+Inputs!$B$42*(1-(100*(1-(1-(Inputs!$B$19+0)/100)*(1-CHOOSE(ArtifactsInput!$N$40+1,5,6,7,8,9,10)/100)^(ArtifactsInput!$M$40-ArtifactsInput!$M$40)))/100)))*(1+(Inputs!$B$24+((C355=TRUE)*(F355-Calc!F26))+B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352=TRUE)*(F352-Calc!F23))+((C356=TRUE)*(F356-Calc!F27))+(((IF(AND(ArtifactsInput!$M$42,((Inputs!$B$9+((C348=TRUE)*(F348-Calc!F19))+B359+(ArtifactsInput!$M$24-ArtifactsInput!$M$24)*CHOOSE(ArtifactsInput!$N$24+1,10,12,14,16,18,20)+IF(ArtifactsInput!$M$10,CHOOSE(ArtifactsInput!$N$10+1,15,18,21,24,27,30)*(IF(Inputs!$B$38="pvp",MIN(15,15)/15,IF(AND(Inputs!$B$38&lt;&gt;"pvp",Inputs!$B$43&gt;0),MIN(15,Inputs!$B$43)/(Inputs!$B$43),0))),0)))&gt;=100),MIN(100,((Inputs!$B$9+((C348=TRUE)*(F348-Calc!F19))+B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348=TRUE)*(F348-Calc!F19))+B359+(ArtifactsInput!$M$24-ArtifactsInput!$M$24)*CHOOSE(ArtifactsInput!$N$24+1,10,12,14,16,18,20)+IF(ArtifactsInput!$M$10,CHOOSE(ArtifactsInput!$N$10+1,15,18,21,24,27,30)*(IF(Inputs!$B$38="pvp",MIN(15,15)/15,IF(AND(Inputs!$B$38&lt;&gt;"pvp",Inputs!$B$43&gt;0),MIN(15,Inputs!$B$43)/(Inputs!$B$43),0))),0)))&gt;=100),CHOOSE(ArtifactsInput!$N$42+1,40,48,56,64,72,80),0))))/100)*((1+(((C346=TRUE)*F346)+((C353=TRUE)*(F353-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337)</f>
        <v/>
      </c>
      <c r="L337">
        <f>K337*(MIN(Inputs!$B$22+((C351=TRUE)*(F351-Calc!F22)),(Inputs!$B$23+0+(IF(ArtifactsInput!$M$15,CHOOSE(ArtifactsInput!$N$15+1,25,30,35,40,45,50)/100*(Inputs!$B$11-Inputs!$B$11),0))))/100+(Inputs!$B$23+0+(IF(ArtifactsInput!$M$15,CHOOSE(ArtifactsInput!$N$15+1,25,30,35,40,45,50)/100*(Inputs!$B$11-Inputs!$B$11),0)))/100)/2</f>
        <v/>
      </c>
      <c r="M337">
        <f>L337*(1+(Inputs!$B$10+((C354=TRUE)*(F354-Calc!F25))+B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7">
        <f>L337*(1-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337*(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7">
        <f>(1-Summary!$B$11)*T337+Summary!$B$11*V337</f>
        <v/>
      </c>
      <c r="P337">
        <f>IF(B369=0,0,O337/B369)</f>
        <v/>
      </c>
      <c r="Q337">
        <f>IFERROR(1/(IF(Inputs!$B$38="pvp",15,MAX(0.1,Skills!D8-IF(Skills!E8=TRUE,Inputs!$B$32,0)))*(1-IF(AND(ArtifactsInput!$M$27,Inputs!$B$4="Chapter Hunt"),CHOOSE(ArtifactsInput!$N$27+1,20,24,28,32,36,40),0)/100)),0)</f>
        <v/>
      </c>
      <c r="R337">
        <f>IF(AND(Inputs!$B$38&lt;&gt;"pvp",Inputs!$B$43&gt;0),IF(MAX(0,Inputs!$B$43-B366)&lt;=0,0,(INT(MAX(0,Inputs!$B$43-B366)/(IF(Inputs!$B$38="pvp",15,MAX(0.1,Skills!D8-IF(Skills!E8=TRUE,Inputs!$B$32,0)))*(1-IF(AND(ArtifactsInput!$M$27,Inputs!$B$4="Chapter Hunt"),CHOOSE(ArtifactsInput!$N$27+1,20,24,28,32,36,40),0)/100)))+1)),0)</f>
        <v/>
      </c>
      <c r="S337">
        <f>IFERROR(O337/N337,0)</f>
        <v/>
      </c>
      <c r="T337">
        <f>IF(C337,(H337*N337*IF(AND(Inputs!$B$38&lt;&gt;"pvp",Inputs!$B$43&gt;0),((Skills!G8*((R337-1)*IF(Skills!H8&gt;0,Skills!I8/Skills!H8,1)+IF(Skills!H8&gt;0,MIN(Skills!I8,MAX(0,MAX(0,Inputs!$B$43-B366)-((R337-1)*(IF(Inputs!$B$38="pvp",15,MAX(0.1,Skills!D8-IF(Skills!E8=TRUE,Inputs!$B$32,0)))*(1-IF(AND(ArtifactsInput!$M$27,Inputs!$B$4="Chapter Hunt"),CHOOSE(ArtifactsInput!$N$27+1,20,24,28,32,36,40),0)/100)))))/Skills!H8,1)))/Inputs!$B$43),G337*Q337)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337*(1-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337*(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337*(1-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337*(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7">
        <f>IF(C337,(H337*N337*IF(AND(Inputs!$B$38&lt;&gt;"pvp",Inputs!$B$43&gt;0),((Skills!G8*((R337-1)*IF(Skills!H8&gt;0,Skills!I8/Skills!H8,1)+IF(Skills!H8&gt;0,MIN(Skills!I8,MAX(0,MAX(0,Inputs!$B$43-B366)-((R337-1)*(IF(Inputs!$B$38="pvp",15,MAX(0.1,Skills!D8-IF(Skills!E8=TRUE,Inputs!$B$32,0)))*(1-IF(AND(ArtifactsInput!$M$27,Inputs!$B$4="Chapter Hunt"),CHOOSE(ArtifactsInput!$N$27+1,20,24,28,32,36,40),0)/100)))))/Skills!H8,1)))/Inputs!$B$43),G337*Q337))*IF(Inputs!$B$38="pvp",1,(1+((Inputs!$B$21+1)+Skills!Q8+(IF(ArtifactsInput!$M$33,CHOOSE(ArtifactsInput!$N$33+1,30,36,42,48,54,60)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8">
      <c r="A338">
        <f>Skills!A9</f>
        <v/>
      </c>
      <c r="B338">
        <f>Skills!B9</f>
        <v/>
      </c>
      <c r="C338">
        <f>Inputs!$B$3&gt;=103</f>
        <v/>
      </c>
      <c r="D338">
        <f>IF(Skills!C9=1,60+Inputs!$B$25+Inputs!$B$29,IF(Skills!C9=2,90+Inputs!$B$26+Inputs!$B$29,IF(Skills!C9=3,120+Inputs!$B$27+Inputs!$B$29,MAX(0,(Inputs!$B$3-100)*3)+Inputs!$B$28+Inputs!$B$29)))</f>
        <v/>
      </c>
      <c r="E338">
        <f>INDEX(FactorTable!$B$2:$Y$301, MATCH(ROUND(MIN(300,MAX(1,D338)),0), FactorTable!$A$2:$A$301,0), Skills!M9+1)</f>
        <v/>
      </c>
      <c r="F338">
        <f>IF(Skills!N9=TRUE,(Skills!L9/10)*(E338/1000),Skills!L9/10)+Skills!O9</f>
        <v/>
      </c>
      <c r="G338">
        <f>Skills!G9*IF(Skills!H9&gt;0,Skills!I9/Skills!H9,1)</f>
        <v/>
      </c>
      <c r="H338">
        <f>1-(1-Skills!J9/100)^Skills!K9</f>
        <v/>
      </c>
      <c r="I338" t="inlineStr">
        <is>
          <t>1</t>
        </is>
      </c>
      <c r="J338">
        <f>((Inputs!$B$6*(1+Inputs!$B$7/100))+(((Inputs!$B$12*(1+Inputs!$B$13/100))-(Inputs!$B$12*(1+Inputs!$B$13/100)))+0.25*(Inputs!$B$14-Inputs!$B$14))*(1+Inputs!$B$7/100))*(F338/100)</f>
        <v/>
      </c>
      <c r="K338">
        <f>J338*(1+((Inputs!$B$12*(1+Inputs!$B$13/100))*0.01+Inputs!$B$14*0.0025)/100)*(1+Inputs!$B$15/100)*(1+Inputs!$B$16/100)*(5000/(6000+Inputs!$B$42*(1-(100*(1-(1-(Inputs!$B$19+0)/100)*(1-CHOOSE(ArtifactsInput!$N$40+1,5,6,7,8,9,10)/100)^(ArtifactsInput!$M$40-ArtifactsInput!$M$40)))/100)))*(1+(Inputs!$B$24+((C355=TRUE)*(F355-Calc!F26))+B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352=TRUE)*(F352-Calc!F23))+((C356=TRUE)*(F356-Calc!F27))+(((IF(AND(ArtifactsInput!$M$42,((Inputs!$B$9+((C348=TRUE)*(F348-Calc!F19))+B359+(ArtifactsInput!$M$24-ArtifactsInput!$M$24)*CHOOSE(ArtifactsInput!$N$24+1,10,12,14,16,18,20)+IF(ArtifactsInput!$M$10,CHOOSE(ArtifactsInput!$N$10+1,15,18,21,24,27,30)*(IF(Inputs!$B$38="pvp",MIN(15,15)/15,IF(AND(Inputs!$B$38&lt;&gt;"pvp",Inputs!$B$43&gt;0),MIN(15,Inputs!$B$43)/(Inputs!$B$43),0))),0)))&gt;=100),MIN(100,((Inputs!$B$9+((C348=TRUE)*(F348-Calc!F19))+B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348=TRUE)*(F348-Calc!F19))+B359+(ArtifactsInput!$M$24-ArtifactsInput!$M$24)*CHOOSE(ArtifactsInput!$N$24+1,10,12,14,16,18,20)+IF(ArtifactsInput!$M$10,CHOOSE(ArtifactsInput!$N$10+1,15,18,21,24,27,30)*(IF(Inputs!$B$38="pvp",MIN(15,15)/15,IF(AND(Inputs!$B$38&lt;&gt;"pvp",Inputs!$B$43&gt;0),MIN(15,Inputs!$B$43)/(Inputs!$B$43),0))),0)))&gt;=100),CHOOSE(ArtifactsInput!$N$42+1,40,48,56,64,72,80),0))))/100)*((1+(((C346=TRUE)*F346)+((C353=TRUE)*(F353-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338)</f>
        <v/>
      </c>
      <c r="L338">
        <f>K338*(MIN(Inputs!$B$22+((C351=TRUE)*(F351-Calc!F22)),(Inputs!$B$23+0+(IF(ArtifactsInput!$M$15,CHOOSE(ArtifactsInput!$N$15+1,25,30,35,40,45,50)/100*(Inputs!$B$11-Inputs!$B$11),0))))/100+(Inputs!$B$23+0+(IF(ArtifactsInput!$M$15,CHOOSE(ArtifactsInput!$N$15+1,25,30,35,40,45,50)/100*(Inputs!$B$11-Inputs!$B$11),0)))/100)/2</f>
        <v/>
      </c>
      <c r="M338">
        <f>L338*(1+(Inputs!$B$10+((C354=TRUE)*(F354-Calc!F25))+B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8">
        <f>L338*(1-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338*(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8">
        <f>(1-Summary!$B$11)*T338+Summary!$B$11*V338</f>
        <v/>
      </c>
      <c r="P338">
        <f>IF(B369=0,0,O338/B369)</f>
        <v/>
      </c>
      <c r="Q338">
        <f>IFERROR(1/(IF(Inputs!$B$38="pvp",15,MAX(0.1,Skills!D9-IF(Skills!E9=TRUE,Inputs!$B$32,0)))*(1-IF(AND(ArtifactsInput!$M$27,Inputs!$B$4="Chapter Hunt"),CHOOSE(ArtifactsInput!$N$27+1,20,24,28,32,36,40),0)/100)),0)</f>
        <v/>
      </c>
      <c r="R338">
        <f>IF(AND(Inputs!$B$38&lt;&gt;"pvp",Inputs!$B$43&gt;0),IF(MAX(0,Inputs!$B$43-B366)&lt;=0,0,(INT(MAX(0,Inputs!$B$43-B366)/(IF(Inputs!$B$38="pvp",15,MAX(0.1,Skills!D9-IF(Skills!E9=TRUE,Inputs!$B$32,0)))*(1-IF(AND(ArtifactsInput!$M$27,Inputs!$B$4="Chapter Hunt"),CHOOSE(ArtifactsInput!$N$27+1,20,24,28,32,36,40),0)/100)))+1)),0)</f>
        <v/>
      </c>
      <c r="S338">
        <f>IFERROR(O338/N338,0)</f>
        <v/>
      </c>
      <c r="T338">
        <f>IF(C338,(H338*N338*IF(AND(Inputs!$B$38&lt;&gt;"pvp",Inputs!$B$43&gt;0),((Skills!G9*((R338-1)*IF(Skills!H9&gt;0,Skills!I9/Skills!H9,1)+IF(Skills!H9&gt;0,MIN(Skills!I9,MAX(0,MAX(0,Inputs!$B$43-B366)-((R338-1)*(IF(Inputs!$B$38="pvp",15,MAX(0.1,Skills!D9-IF(Skills!E9=TRUE,Inputs!$B$32,0)))*(1-IF(AND(ArtifactsInput!$M$27,Inputs!$B$4="Chapter Hunt"),CHOOSE(ArtifactsInput!$N$27+1,20,24,28,32,36,40),0)/100)))))/Skills!H9,1)))/Inputs!$B$43),G338*Q338)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338*(1-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338*(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338*(1-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338*(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8">
        <f>IF(C338,(H338*N338*IF(AND(Inputs!$B$38&lt;&gt;"pvp",Inputs!$B$43&gt;0),((Skills!G9*((R338-1)*IF(Skills!H9&gt;0,Skills!I9/Skills!H9,1)+IF(Skills!H9&gt;0,MIN(Skills!I9,MAX(0,MAX(0,Inputs!$B$43-B366)-((R338-1)*(IF(Inputs!$B$38="pvp",15,MAX(0.1,Skills!D9-IF(Skills!E9=TRUE,Inputs!$B$32,0)))*(1-IF(AND(ArtifactsInput!$M$27,Inputs!$B$4="Chapter Hunt"),CHOOSE(ArtifactsInput!$N$27+1,20,24,28,32,36,40),0)/100)))))/Skills!H9,1)))/Inputs!$B$43),G338*Q338))*IF(Inputs!$B$38="pvp",1,(1+((Inputs!$B$21+1)+Skills!Q9+(IF(ArtifactsInput!$M$33,CHOOSE(ArtifactsInput!$N$33+1,30,36,42,48,54,60)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9">
      <c r="A339">
        <f>Skills!A10</f>
        <v/>
      </c>
      <c r="B339">
        <f>Skills!B10</f>
        <v/>
      </c>
      <c r="C339">
        <f>Inputs!$B$3&gt;=113</f>
        <v/>
      </c>
      <c r="D339">
        <f>IF(Skills!C10=1,60+Inputs!$B$25+Inputs!$B$29,IF(Skills!C10=2,90+Inputs!$B$26+Inputs!$B$29,IF(Skills!C10=3,120+Inputs!$B$27+Inputs!$B$29,MAX(0,(Inputs!$B$3-100)*3)+Inputs!$B$28+Inputs!$B$29)))</f>
        <v/>
      </c>
      <c r="E339">
        <f>INDEX(FactorTable!$B$2:$Y$301, MATCH(ROUND(MIN(300,MAX(1,D339)),0), FactorTable!$A$2:$A$301,0), Skills!M10+1)</f>
        <v/>
      </c>
      <c r="F339">
        <f>IF(Skills!N10=TRUE,(Skills!L10/10)*(E339/1000),Skills!L10/10)+Skills!O10</f>
        <v/>
      </c>
      <c r="G339">
        <f>Skills!G10*IF(Skills!H10&gt;0,Skills!I10/Skills!H10,1)</f>
        <v/>
      </c>
      <c r="H339">
        <f>1-(1-Skills!J10/100)^Skills!K10</f>
        <v/>
      </c>
      <c r="I339" t="inlineStr">
        <is>
          <t>1</t>
        </is>
      </c>
      <c r="J339">
        <f>((Inputs!$B$6*(1+Inputs!$B$7/100))+(((Inputs!$B$12*(1+Inputs!$B$13/100))-(Inputs!$B$12*(1+Inputs!$B$13/100)))+0.25*(Inputs!$B$14-Inputs!$B$14))*(1+Inputs!$B$7/100))*(F339/100)</f>
        <v/>
      </c>
      <c r="K339">
        <f>J339*(1+((Inputs!$B$12*(1+Inputs!$B$13/100))*0.01+Inputs!$B$14*0.0025)/100)*(1+Inputs!$B$15/100)*(1+Inputs!$B$16/100)*(5000/(6000+Inputs!$B$42*(1-(100*(1-(1-(Inputs!$B$19+0)/100)*(1-CHOOSE(ArtifactsInput!$N$40+1,5,6,7,8,9,10)/100)^(ArtifactsInput!$M$40-ArtifactsInput!$M$40)))/100)))*(1+(Inputs!$B$24+((C355=TRUE)*(F355-Calc!F26))+B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352=TRUE)*(F352-Calc!F23))+((C356=TRUE)*(F356-Calc!F27))+(((IF(AND(ArtifactsInput!$M$42,((Inputs!$B$9+((C348=TRUE)*(F348-Calc!F19))+B359+(ArtifactsInput!$M$24-ArtifactsInput!$M$24)*CHOOSE(ArtifactsInput!$N$24+1,10,12,14,16,18,20)+IF(ArtifactsInput!$M$10,CHOOSE(ArtifactsInput!$N$10+1,15,18,21,24,27,30)*(IF(Inputs!$B$38="pvp",MIN(15,15)/15,IF(AND(Inputs!$B$38&lt;&gt;"pvp",Inputs!$B$43&gt;0),MIN(15,Inputs!$B$43)/(Inputs!$B$43),0))),0)))&gt;=100),MIN(100,((Inputs!$B$9+((C348=TRUE)*(F348-Calc!F19))+B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348=TRUE)*(F348-Calc!F19))+B359+(ArtifactsInput!$M$24-ArtifactsInput!$M$24)*CHOOSE(ArtifactsInput!$N$24+1,10,12,14,16,18,20)+IF(ArtifactsInput!$M$10,CHOOSE(ArtifactsInput!$N$10+1,15,18,21,24,27,30)*(IF(Inputs!$B$38="pvp",MIN(15,15)/15,IF(AND(Inputs!$B$38&lt;&gt;"pvp",Inputs!$B$43&gt;0),MIN(15,Inputs!$B$43)/(Inputs!$B$43),0))),0)))&gt;=100),CHOOSE(ArtifactsInput!$N$42+1,40,48,56,64,72,80),0))))/100)*((1+(((C346=TRUE)*F346)+((C353=TRUE)*(F353-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339)</f>
        <v/>
      </c>
      <c r="L339">
        <f>K339*(MIN(Inputs!$B$22+((C351=TRUE)*(F351-Calc!F22)),(Inputs!$B$23+0+(IF(ArtifactsInput!$M$15,CHOOSE(ArtifactsInput!$N$15+1,25,30,35,40,45,50)/100*(Inputs!$B$11-Inputs!$B$11),0))))/100+(Inputs!$B$23+0+(IF(ArtifactsInput!$M$15,CHOOSE(ArtifactsInput!$N$15+1,25,30,35,40,45,50)/100*(Inputs!$B$11-Inputs!$B$11),0)))/100)/2</f>
        <v/>
      </c>
      <c r="M339">
        <f>L339*(1+(Inputs!$B$10+((C354=TRUE)*(F354-Calc!F25))+B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9">
        <f>L339*(1-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339*(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9">
        <f>(1-Summary!$B$11)*T339+Summary!$B$11*V339</f>
        <v/>
      </c>
      <c r="P339">
        <f>IF(B369=0,0,O339/B369)</f>
        <v/>
      </c>
      <c r="Q339">
        <f>IFERROR(1/(IF(Inputs!$B$38="pvp",15,MAX(0.1,Skills!D10-IF(Skills!E10=TRUE,Inputs!$B$32,0)))*(1-IF(AND(ArtifactsInput!$M$27,Inputs!$B$4="Chapter Hunt"),CHOOSE(ArtifactsInput!$N$27+1,20,24,28,32,36,40),0)/100)),0)</f>
        <v/>
      </c>
      <c r="R339">
        <f>IF(AND(Inputs!$B$38&lt;&gt;"pvp",Inputs!$B$43&gt;0),IF(MAX(0,Inputs!$B$43-B366)&lt;=0,0,(INT(MAX(0,Inputs!$B$43-B366)/(IF(Inputs!$B$38="pvp",15,MAX(0.1,Skills!D10-IF(Skills!E10=TRUE,Inputs!$B$32,0)))*(1-IF(AND(ArtifactsInput!$M$27,Inputs!$B$4="Chapter Hunt"),CHOOSE(ArtifactsInput!$N$27+1,20,24,28,32,36,40),0)/100)))+1)),0)</f>
        <v/>
      </c>
      <c r="S339">
        <f>IFERROR(O339/N339,0)</f>
        <v/>
      </c>
      <c r="T339">
        <f>IF(C339,(H339*N339*IF(AND(Inputs!$B$38&lt;&gt;"pvp",Inputs!$B$43&gt;0),((Skills!G10*((R339-1)*IF(Skills!H10&gt;0,Skills!I10/Skills!H10,1)+IF(Skills!H10&gt;0,MIN(Skills!I10,MAX(0,MAX(0,Inputs!$B$43-B366)-((R339-1)*(IF(Inputs!$B$38="pvp",15,MAX(0.1,Skills!D10-IF(Skills!E10=TRUE,Inputs!$B$32,0)))*(1-IF(AND(ArtifactsInput!$M$27,Inputs!$B$4="Chapter Hunt"),CHOOSE(ArtifactsInput!$N$27+1,20,24,28,32,36,40),0)/100)))))/Skills!H10,1)))/Inputs!$B$43),G339*Q339)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339*(1-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339*(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339*(1-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339*(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9">
        <f>IF(C339,(H339*N339*IF(AND(Inputs!$B$38&lt;&gt;"pvp",Inputs!$B$43&gt;0),((Skills!G10*((R339-1)*IF(Skills!H10&gt;0,Skills!I10/Skills!H10,1)+IF(Skills!H10&gt;0,MIN(Skills!I10,MAX(0,MAX(0,Inputs!$B$43-B366)-((R339-1)*(IF(Inputs!$B$38="pvp",15,MAX(0.1,Skills!D10-IF(Skills!E10=TRUE,Inputs!$B$32,0)))*(1-IF(AND(ArtifactsInput!$M$27,Inputs!$B$4="Chapter Hunt"),CHOOSE(ArtifactsInput!$N$27+1,20,24,28,32,36,40),0)/100)))))/Skills!H10,1)))/Inputs!$B$43),G339*Q339))*IF(Inputs!$B$38="pvp",1,(1+((Inputs!$B$21+1)+Skills!Q10+(IF(ArtifactsInput!$M$33,CHOOSE(ArtifactsInput!$N$33+1,30,36,42,48,54,60)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0">
      <c r="A340">
        <f>Skills!A11</f>
        <v/>
      </c>
      <c r="B340">
        <f>Skills!B11</f>
        <v/>
      </c>
      <c r="C340">
        <f>Inputs!$B$3&gt;=107</f>
        <v/>
      </c>
      <c r="D340">
        <f>IF(Skills!C11=1,60+Inputs!$B$25+Inputs!$B$29,IF(Skills!C11=2,90+Inputs!$B$26+Inputs!$B$29,IF(Skills!C11=3,120+Inputs!$B$27+Inputs!$B$29,MAX(0,(Inputs!$B$3-100)*3)+Inputs!$B$28+Inputs!$B$29)))</f>
        <v/>
      </c>
      <c r="E340">
        <f>INDEX(FactorTable!$B$2:$Y$301, MATCH(ROUND(MIN(300,MAX(1,D340)),0), FactorTable!$A$2:$A$301,0), Skills!M11+1)</f>
        <v/>
      </c>
      <c r="F340">
        <f>IF(Skills!N11=TRUE,(Skills!L11/10)*(E340/1000),Skills!L11/10)+Skills!O11</f>
        <v/>
      </c>
      <c r="G340">
        <f>Skills!G11*IF(Skills!H11&gt;0,Skills!I11/Skills!H11,1)</f>
        <v/>
      </c>
      <c r="H340">
        <f>1-(1-Skills!J11/100)^Skills!K11</f>
        <v/>
      </c>
      <c r="I340" t="inlineStr">
        <is>
          <t>1</t>
        </is>
      </c>
      <c r="J340">
        <f>((Inputs!$B$6*(1+Inputs!$B$7/100))+(((Inputs!$B$12*(1+Inputs!$B$13/100))-(Inputs!$B$12*(1+Inputs!$B$13/100)))+0.25*(Inputs!$B$14-Inputs!$B$14))*(1+Inputs!$B$7/100))*(F340/100)</f>
        <v/>
      </c>
      <c r="K340">
        <f>J340*(1+((Inputs!$B$12*(1+Inputs!$B$13/100))*0.01+Inputs!$B$14*0.0025)/100)*(1+Inputs!$B$15/100)*(1+Inputs!$B$16/100)*(5000/(6000+Inputs!$B$42*(1-(100*(1-(1-(Inputs!$B$19+0)/100)*(1-CHOOSE(ArtifactsInput!$N$40+1,5,6,7,8,9,10)/100)^(ArtifactsInput!$M$40-ArtifactsInput!$M$40)))/100)))*(1+(Inputs!$B$24+((C355=TRUE)*(F355-Calc!F26))+B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352=TRUE)*(F352-Calc!F23))+((C356=TRUE)*(F356-Calc!F27))+(((IF(AND(ArtifactsInput!$M$42,((Inputs!$B$9+((C348=TRUE)*(F348-Calc!F19))+B359+(ArtifactsInput!$M$24-ArtifactsInput!$M$24)*CHOOSE(ArtifactsInput!$N$24+1,10,12,14,16,18,20)+IF(ArtifactsInput!$M$10,CHOOSE(ArtifactsInput!$N$10+1,15,18,21,24,27,30)*(IF(Inputs!$B$38="pvp",MIN(15,15)/15,IF(AND(Inputs!$B$38&lt;&gt;"pvp",Inputs!$B$43&gt;0),MIN(15,Inputs!$B$43)/(Inputs!$B$43),0))),0)))&gt;=100),MIN(100,((Inputs!$B$9+((C348=TRUE)*(F348-Calc!F19))+B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348=TRUE)*(F348-Calc!F19))+B359+(ArtifactsInput!$M$24-ArtifactsInput!$M$24)*CHOOSE(ArtifactsInput!$N$24+1,10,12,14,16,18,20)+IF(ArtifactsInput!$M$10,CHOOSE(ArtifactsInput!$N$10+1,15,18,21,24,27,30)*(IF(Inputs!$B$38="pvp",MIN(15,15)/15,IF(AND(Inputs!$B$38&lt;&gt;"pvp",Inputs!$B$43&gt;0),MIN(15,Inputs!$B$43)/(Inputs!$B$43),0))),0)))&gt;=100),CHOOSE(ArtifactsInput!$N$42+1,40,48,56,64,72,80),0))))/100)*((1+(((C346=TRUE)*F346)+((C353=TRUE)*(F353-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340)</f>
        <v/>
      </c>
      <c r="L340">
        <f>K340*(MIN(Inputs!$B$22+((C351=TRUE)*(F351-Calc!F22)),(Inputs!$B$23+0+(IF(ArtifactsInput!$M$15,CHOOSE(ArtifactsInput!$N$15+1,25,30,35,40,45,50)/100*(Inputs!$B$11-Inputs!$B$11),0))))/100+(Inputs!$B$23+0+(IF(ArtifactsInput!$M$15,CHOOSE(ArtifactsInput!$N$15+1,25,30,35,40,45,50)/100*(Inputs!$B$11-Inputs!$B$11),0)))/100)/2</f>
        <v/>
      </c>
      <c r="M340">
        <f>L340*(1+(Inputs!$B$10+((C354=TRUE)*(F354-Calc!F25))+B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0">
        <f>L340*(1-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340*(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0">
        <f>(1-Summary!$B$11)*T340+Summary!$B$11*V340</f>
        <v/>
      </c>
      <c r="P340">
        <f>IF(B369=0,0,O340/B369)</f>
        <v/>
      </c>
      <c r="Q340">
        <f>IFERROR(1/(IF(Inputs!$B$38="pvp",15,MAX(0.1,Skills!D11-IF(Skills!E11=TRUE,Inputs!$B$32,0)))*(1-IF(AND(ArtifactsInput!$M$27,Inputs!$B$4="Chapter Hunt"),CHOOSE(ArtifactsInput!$N$27+1,20,24,28,32,36,40),0)/100)),0)</f>
        <v/>
      </c>
      <c r="R340">
        <f>IF(AND(Inputs!$B$38&lt;&gt;"pvp",Inputs!$B$43&gt;0),IF(MAX(0,Inputs!$B$43-B366)&lt;=0,0,(INT(MAX(0,Inputs!$B$43-B366)/(IF(Inputs!$B$38="pvp",15,MAX(0.1,Skills!D11-IF(Skills!E11=TRUE,Inputs!$B$32,0)))*(1-IF(AND(ArtifactsInput!$M$27,Inputs!$B$4="Chapter Hunt"),CHOOSE(ArtifactsInput!$N$27+1,20,24,28,32,36,40),0)/100)))+1)),0)</f>
        <v/>
      </c>
      <c r="S340">
        <f>IFERROR(O340/N340,0)</f>
        <v/>
      </c>
      <c r="T340">
        <f>IF(C340,(H340*N340*IF(AND(Inputs!$B$38&lt;&gt;"pvp",Inputs!$B$43&gt;0),((Skills!G11*((R340-1)*IF(Skills!H11&gt;0,Skills!I11/Skills!H11,1)+IF(Skills!H11&gt;0,MIN(Skills!I11,MAX(0,MAX(0,Inputs!$B$43-B366)-((R340-1)*(IF(Inputs!$B$38="pvp",15,MAX(0.1,Skills!D11-IF(Skills!E11=TRUE,Inputs!$B$32,0)))*(1-IF(AND(ArtifactsInput!$M$27,Inputs!$B$4="Chapter Hunt"),CHOOSE(ArtifactsInput!$N$27+1,20,24,28,32,36,40),0)/100)))))/Skills!H11,1)))/Inputs!$B$43),G340*Q340)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340*(1-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340*(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340*(1-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340*(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0">
        <f>IF(C340,(H340*N340*IF(AND(Inputs!$B$38&lt;&gt;"pvp",Inputs!$B$43&gt;0),((Skills!G11*((R340-1)*IF(Skills!H11&gt;0,Skills!I11/Skills!H11,1)+IF(Skills!H11&gt;0,MIN(Skills!I11,MAX(0,MAX(0,Inputs!$B$43-B366)-((R340-1)*(IF(Inputs!$B$38="pvp",15,MAX(0.1,Skills!D11-IF(Skills!E11=TRUE,Inputs!$B$32,0)))*(1-IF(AND(ArtifactsInput!$M$27,Inputs!$B$4="Chapter Hunt"),CHOOSE(ArtifactsInput!$N$27+1,20,24,28,32,36,40),0)/100)))))/Skills!H11,1)))/Inputs!$B$43),G340*Q340))*IF(Inputs!$B$38="pvp",1,(1+((Inputs!$B$21+1)+Skills!Q11+(IF(ArtifactsInput!$M$33,CHOOSE(ArtifactsInput!$N$33+1,30,36,42,48,54,60)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1">
      <c r="A341">
        <f>Skills!A12</f>
        <v/>
      </c>
      <c r="B341">
        <f>Skills!B12</f>
        <v/>
      </c>
      <c r="C341">
        <f>Inputs!$B$3&gt;=110</f>
        <v/>
      </c>
      <c r="D341">
        <f>IF(Skills!C12=1,60+Inputs!$B$25+Inputs!$B$29,IF(Skills!C12=2,90+Inputs!$B$26+Inputs!$B$29,IF(Skills!C12=3,120+Inputs!$B$27+Inputs!$B$29,MAX(0,(Inputs!$B$3-100)*3)+Inputs!$B$28+Inputs!$B$29)))</f>
        <v/>
      </c>
      <c r="E341">
        <f>INDEX(FactorTable!$B$2:$Y$301, MATCH(ROUND(MIN(300,MAX(1,D341)),0), FactorTable!$A$2:$A$301,0), Skills!M12+1)</f>
        <v/>
      </c>
      <c r="F341">
        <f>IF(Skills!N12=TRUE,(Skills!L12/10)*(E341/1000),Skills!L12/10)+Skills!O12</f>
        <v/>
      </c>
      <c r="G341">
        <f>Skills!G12*IF(Skills!H12&gt;0,Skills!I12/Skills!H12,1)</f>
        <v/>
      </c>
      <c r="H341">
        <f>1-(1-Skills!J12/100)^Skills!K12</f>
        <v/>
      </c>
      <c r="I341" t="inlineStr">
        <is>
          <t>1</t>
        </is>
      </c>
      <c r="J341">
        <f>((Inputs!$B$6*(1+Inputs!$B$7/100))+(((Inputs!$B$12*(1+Inputs!$B$13/100))-(Inputs!$B$12*(1+Inputs!$B$13/100)))+0.25*(Inputs!$B$14-Inputs!$B$14))*(1+Inputs!$B$7/100))*(F341/100)</f>
        <v/>
      </c>
      <c r="K341">
        <f>J341*(1+((Inputs!$B$12*(1+Inputs!$B$13/100))*0.01+Inputs!$B$14*0.0025)/100)*(1+Inputs!$B$15/100)*(1+Inputs!$B$16/100)*(5000/(6000+Inputs!$B$42*(1-(100*(1-(1-(Inputs!$B$19+0)/100)*(1-CHOOSE(ArtifactsInput!$N$40+1,5,6,7,8,9,10)/100)^(ArtifactsInput!$M$40-ArtifactsInput!$M$40)))/100)))*(1+(Inputs!$B$24+((C355=TRUE)*(F355-Calc!F26))+B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352=TRUE)*(F352-Calc!F23))+((C356=TRUE)*(F356-Calc!F27))+(((IF(AND(ArtifactsInput!$M$42,((Inputs!$B$9+((C348=TRUE)*(F348-Calc!F19))+B359+(ArtifactsInput!$M$24-ArtifactsInput!$M$24)*CHOOSE(ArtifactsInput!$N$24+1,10,12,14,16,18,20)+IF(ArtifactsInput!$M$10,CHOOSE(ArtifactsInput!$N$10+1,15,18,21,24,27,30)*(IF(Inputs!$B$38="pvp",MIN(15,15)/15,IF(AND(Inputs!$B$38&lt;&gt;"pvp",Inputs!$B$43&gt;0),MIN(15,Inputs!$B$43)/(Inputs!$B$43),0))),0)))&gt;=100),MIN(100,((Inputs!$B$9+((C348=TRUE)*(F348-Calc!F19))+B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348=TRUE)*(F348-Calc!F19))+B359+(ArtifactsInput!$M$24-ArtifactsInput!$M$24)*CHOOSE(ArtifactsInput!$N$24+1,10,12,14,16,18,20)+IF(ArtifactsInput!$M$10,CHOOSE(ArtifactsInput!$N$10+1,15,18,21,24,27,30)*(IF(Inputs!$B$38="pvp",MIN(15,15)/15,IF(AND(Inputs!$B$38&lt;&gt;"pvp",Inputs!$B$43&gt;0),MIN(15,Inputs!$B$43)/(Inputs!$B$43),0))),0)))&gt;=100),CHOOSE(ArtifactsInput!$N$42+1,40,48,56,64,72,80),0))))/100)*((1+(((C346=TRUE)*F346)+((C353=TRUE)*(F353-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341)</f>
        <v/>
      </c>
      <c r="L341">
        <f>K341*(MIN(Inputs!$B$22+((C351=TRUE)*(F351-Calc!F22)),(Inputs!$B$23+0+(IF(ArtifactsInput!$M$15,CHOOSE(ArtifactsInput!$N$15+1,25,30,35,40,45,50)/100*(Inputs!$B$11-Inputs!$B$11),0))))/100+(Inputs!$B$23+0+(IF(ArtifactsInput!$M$15,CHOOSE(ArtifactsInput!$N$15+1,25,30,35,40,45,50)/100*(Inputs!$B$11-Inputs!$B$11),0)))/100)/2</f>
        <v/>
      </c>
      <c r="M341">
        <f>L341*(1+(Inputs!$B$10+((C354=TRUE)*(F354-Calc!F25))+B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1">
        <f>L341*(1-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1">
        <f>(1-Summary!$B$11)*T341+Summary!$B$11*V341</f>
        <v/>
      </c>
      <c r="P341">
        <f>IF(B369=0,0,O341/B369)</f>
        <v/>
      </c>
      <c r="Q341">
        <f>IFERROR(1/(IF(Inputs!$B$38="pvp",15,MAX(0.1,Skills!D12-IF(Skills!E12=TRUE,Inputs!$B$32,0)))*(1-IF(AND(ArtifactsInput!$M$27,Inputs!$B$4="Chapter Hunt"),CHOOSE(ArtifactsInput!$N$27+1,20,24,28,32,36,40),0)/100)),0)</f>
        <v/>
      </c>
      <c r="R341">
        <f>IF(AND(Inputs!$B$38&lt;&gt;"pvp",Inputs!$B$43&gt;0),IF(MAX(0,Inputs!$B$43-B366)&lt;=0,0,(INT(MAX(0,Inputs!$B$43-B366)/(IF(Inputs!$B$38="pvp",15,MAX(0.1,Skills!D12-IF(Skills!E12=TRUE,Inputs!$B$32,0)))*(1-IF(AND(ArtifactsInput!$M$27,Inputs!$B$4="Chapter Hunt"),CHOOSE(ArtifactsInput!$N$27+1,20,24,28,32,36,40),0)/100)))+1)),0)</f>
        <v/>
      </c>
      <c r="S341">
        <f>IFERROR(O341/N341,0)</f>
        <v/>
      </c>
      <c r="T341">
        <f>IF(C341,(H341*N341*IF(AND(Inputs!$B$38&lt;&gt;"pvp",Inputs!$B$43&gt;0),((Skills!G12*((R341-1)*IF(Skills!H12&gt;0,Skills!I12/Skills!H12,1)+IF(Skills!H12&gt;0,MIN(Skills!I12,MAX(0,MAX(0,Inputs!$B$43-B366)-((R341-1)*(IF(Inputs!$B$38="pvp",15,MAX(0.1,Skills!D12-IF(Skills!E12=TRUE,Inputs!$B$32,0)))*(1-IF(AND(ArtifactsInput!$M$27,Inputs!$B$4="Chapter Hunt"),CHOOSE(ArtifactsInput!$N$27+1,20,24,28,32,36,40),0)/100)))))/Skills!H12,1)))/Inputs!$B$43),G341*Q341)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341*(1-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341*(1-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1">
        <f>IF(C341,(H341*N341*IF(AND(Inputs!$B$38&lt;&gt;"pvp",Inputs!$B$43&gt;0),((Skills!G12*((R341-1)*IF(Skills!H12&gt;0,Skills!I12/Skills!H12,1)+IF(Skills!H12&gt;0,MIN(Skills!I12,MAX(0,MAX(0,Inputs!$B$43-B366)-((R341-1)*(IF(Inputs!$B$38="pvp",15,MAX(0.1,Skills!D12-IF(Skills!E12=TRUE,Inputs!$B$32,0)))*(1-IF(AND(ArtifactsInput!$M$27,Inputs!$B$4="Chapter Hunt"),CHOOSE(ArtifactsInput!$N$27+1,20,24,28,32,36,40),0)/100)))))/Skills!H12,1)))/Inputs!$B$43),G341*Q341))*IF(Inputs!$B$38="pvp",1,(1+((Inputs!$B$21+1)+Skills!Q12+(IF(ArtifactsInput!$M$33,CHOOSE(ArtifactsInput!$N$33+1,30,36,42,48,54,60)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2">
      <c r="A342">
        <f>Skills!A13</f>
        <v/>
      </c>
      <c r="B342">
        <f>Skills!B13</f>
        <v/>
      </c>
      <c r="C342">
        <f>Inputs!$B$3&gt;=110</f>
        <v/>
      </c>
      <c r="D342">
        <f>IF(Skills!C13=1,60+Inputs!$B$25+Inputs!$B$29,IF(Skills!C13=2,90+Inputs!$B$26+Inputs!$B$29,IF(Skills!C13=3,120+Inputs!$B$27+Inputs!$B$29,MAX(0,(Inputs!$B$3-100)*3)+Inputs!$B$28+Inputs!$B$29)))</f>
        <v/>
      </c>
      <c r="E342">
        <f>INDEX(FactorTable!$B$2:$Y$301, MATCH(ROUND(MIN(300,MAX(1,D342)),0), FactorTable!$A$2:$A$301,0), Skills!M13+1)</f>
        <v/>
      </c>
      <c r="F342">
        <f>IF(Skills!N13=TRUE,(Skills!L13/10)*(E342/1000),Skills!L13/10)+Skills!O13</f>
        <v/>
      </c>
      <c r="G342">
        <f>Skills!G13*IF(Skills!H13&gt;0,Skills!I13/Skills!H13,1)</f>
        <v/>
      </c>
      <c r="H342">
        <f>1-(1-Skills!J13/100)^Skills!K13</f>
        <v/>
      </c>
      <c r="I342" t="inlineStr">
        <is>
          <t>1</t>
        </is>
      </c>
      <c r="J342">
        <f>((Inputs!$B$6*(1+Inputs!$B$7/100))+(((Inputs!$B$12*(1+Inputs!$B$13/100))-(Inputs!$B$12*(1+Inputs!$B$13/100)))+0.25*(Inputs!$B$14-Inputs!$B$14))*(1+Inputs!$B$7/100))*(F342/100)</f>
        <v/>
      </c>
      <c r="K342">
        <f>J342*(1+((Inputs!$B$12*(1+Inputs!$B$13/100))*0.01+Inputs!$B$14*0.0025)/100)*(1+Inputs!$B$15/100)*(1+Inputs!$B$16/100)*(5000/(6000+Inputs!$B$42*(1-(100*(1-(1-(Inputs!$B$19+0)/100)*(1-CHOOSE(ArtifactsInput!$N$40+1,5,6,7,8,9,10)/100)^(ArtifactsInput!$M$40-ArtifactsInput!$M$40)))/100)))*(1+(Inputs!$B$24+((C355=TRUE)*(F355-Calc!F26))+B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352=TRUE)*(F352-Calc!F23))+((C356=TRUE)*(F356-Calc!F27))+(((IF(AND(ArtifactsInput!$M$42,((Inputs!$B$9+((C348=TRUE)*(F348-Calc!F19))+B359+(ArtifactsInput!$M$24-ArtifactsInput!$M$24)*CHOOSE(ArtifactsInput!$N$24+1,10,12,14,16,18,20)+IF(ArtifactsInput!$M$10,CHOOSE(ArtifactsInput!$N$10+1,15,18,21,24,27,30)*(IF(Inputs!$B$38="pvp",MIN(15,15)/15,IF(AND(Inputs!$B$38&lt;&gt;"pvp",Inputs!$B$43&gt;0),MIN(15,Inputs!$B$43)/(Inputs!$B$43),0))),0)))&gt;=100),MIN(100,((Inputs!$B$9+((C348=TRUE)*(F348-Calc!F19))+B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348=TRUE)*(F348-Calc!F19))+B359+(ArtifactsInput!$M$24-ArtifactsInput!$M$24)*CHOOSE(ArtifactsInput!$N$24+1,10,12,14,16,18,20)+IF(ArtifactsInput!$M$10,CHOOSE(ArtifactsInput!$N$10+1,15,18,21,24,27,30)*(IF(Inputs!$B$38="pvp",MIN(15,15)/15,IF(AND(Inputs!$B$38&lt;&gt;"pvp",Inputs!$B$43&gt;0),MIN(15,Inputs!$B$43)/(Inputs!$B$43),0))),0)))&gt;=100),CHOOSE(ArtifactsInput!$N$42+1,40,48,56,64,72,80),0))))/100)*((1+(((C346=TRUE)*F346)+((C353=TRUE)*(F353-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342)</f>
        <v/>
      </c>
      <c r="L342">
        <f>K342*(MIN(Inputs!$B$22+((C351=TRUE)*(F351-Calc!F22)),(Inputs!$B$23+0+(IF(ArtifactsInput!$M$15,CHOOSE(ArtifactsInput!$N$15+1,25,30,35,40,45,50)/100*(Inputs!$B$11-Inputs!$B$11),0))))/100+(Inputs!$B$23+0+(IF(ArtifactsInput!$M$15,CHOOSE(ArtifactsInput!$N$15+1,25,30,35,40,45,50)/100*(Inputs!$B$11-Inputs!$B$11),0)))/100)/2</f>
        <v/>
      </c>
      <c r="M342">
        <f>L342*(1+(Inputs!$B$10+((C354=TRUE)*(F354-Calc!F25))+B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2">
        <f>L342*(1-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342*(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2">
        <f>(1-Summary!$B$11)*T342+Summary!$B$11*V342</f>
        <v/>
      </c>
      <c r="P342">
        <f>IF(B369=0,0,O342/B369)</f>
        <v/>
      </c>
      <c r="Q342">
        <f>IFERROR(1/(IF(Inputs!$B$38="pvp",15,MAX(0.1,Skills!D13-IF(Skills!E13=TRUE,Inputs!$B$32,0)))*(1-IF(AND(ArtifactsInput!$M$27,Inputs!$B$4="Chapter Hunt"),CHOOSE(ArtifactsInput!$N$27+1,20,24,28,32,36,40),0)/100)),0)</f>
        <v/>
      </c>
      <c r="R342">
        <f>IF(AND(Inputs!$B$38&lt;&gt;"pvp",Inputs!$B$43&gt;0),IF(MAX(0,Inputs!$B$43-B366)&lt;=0,0,(INT(MAX(0,Inputs!$B$43-B366)/(IF(Inputs!$B$38="pvp",15,MAX(0.1,Skills!D13-IF(Skills!E13=TRUE,Inputs!$B$32,0)))*(1-IF(AND(ArtifactsInput!$M$27,Inputs!$B$4="Chapter Hunt"),CHOOSE(ArtifactsInput!$N$27+1,20,24,28,32,36,40),0)/100)))+1)),0)</f>
        <v/>
      </c>
      <c r="S342">
        <f>IFERROR(O342/N342,0)</f>
        <v/>
      </c>
      <c r="T342">
        <f>IF(C342,(H342*N342*IF(AND(Inputs!$B$38&lt;&gt;"pvp",Inputs!$B$43&gt;0),((Skills!G13*((R342-1)*IF(Skills!H13&gt;0,Skills!I13/Skills!H13,1)+IF(Skills!H13&gt;0,MIN(Skills!I13,MAX(0,MAX(0,Inputs!$B$43-B366)-((R342-1)*(IF(Inputs!$B$38="pvp",15,MAX(0.1,Skills!D13-IF(Skills!E13=TRUE,Inputs!$B$32,0)))*(1-IF(AND(ArtifactsInput!$M$27,Inputs!$B$4="Chapter Hunt"),CHOOSE(ArtifactsInput!$N$27+1,20,24,28,32,36,40),0)/100)))))/Skills!H13,1)))/Inputs!$B$43),G342*Q342)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342*(1-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342*(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342*(1-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342*(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2">
        <f>IF(C342,(H342*N342*IF(AND(Inputs!$B$38&lt;&gt;"pvp",Inputs!$B$43&gt;0),((Skills!G13*((R342-1)*IF(Skills!H13&gt;0,Skills!I13/Skills!H13,1)+IF(Skills!H13&gt;0,MIN(Skills!I13,MAX(0,MAX(0,Inputs!$B$43-B366)-((R342-1)*(IF(Inputs!$B$38="pvp",15,MAX(0.1,Skills!D13-IF(Skills!E13=TRUE,Inputs!$B$32,0)))*(1-IF(AND(ArtifactsInput!$M$27,Inputs!$B$4="Chapter Hunt"),CHOOSE(ArtifactsInput!$N$27+1,20,24,28,32,36,40),0)/100)))))/Skills!H13,1)))/Inputs!$B$43),G342*Q342))*IF(Inputs!$B$38="pvp",1,(1+((Inputs!$B$21+1)+Skills!Q13+(IF(ArtifactsInput!$M$33,CHOOSE(ArtifactsInput!$N$33+1,30,36,42,48,54,60)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3">
      <c r="A343">
        <f>Skills!A14</f>
        <v/>
      </c>
      <c r="B343">
        <f>Skills!B14</f>
        <v/>
      </c>
      <c r="C343">
        <f>Inputs!$B$3&gt;=125</f>
        <v/>
      </c>
      <c r="D343">
        <f>IF(Skills!C14=1,60+Inputs!$B$25+Inputs!$B$29,IF(Skills!C14=2,90+Inputs!$B$26+Inputs!$B$29,IF(Skills!C14=3,120+Inputs!$B$27+Inputs!$B$29,MAX(0,(Inputs!$B$3-100)*3)+Inputs!$B$28+Inputs!$B$29)))</f>
        <v/>
      </c>
      <c r="E343">
        <f>INDEX(FactorTable!$B$2:$Y$301, MATCH(ROUND(MIN(300,MAX(1,D343)),0), FactorTable!$A$2:$A$301,0), Skills!M14+1)</f>
        <v/>
      </c>
      <c r="F343">
        <f>IF(Skills!N14=TRUE,(Skills!L14/10)*(E343/1000),Skills!L14/10)+Skills!O14</f>
        <v/>
      </c>
      <c r="G343">
        <f>Skills!G14*IF(Skills!H14&gt;0,Skills!I14/Skills!H14,1)</f>
        <v/>
      </c>
      <c r="H343">
        <f>1-(1-Skills!J14/100)^Skills!K14</f>
        <v/>
      </c>
      <c r="I343" t="inlineStr">
        <is>
          <t>1</t>
        </is>
      </c>
      <c r="J343">
        <f>((Inputs!$B$6*(1+Inputs!$B$7/100))+(((Inputs!$B$12*(1+Inputs!$B$13/100))-(Inputs!$B$12*(1+Inputs!$B$13/100)))+0.25*(Inputs!$B$14-Inputs!$B$14))*(1+Inputs!$B$7/100))*(F343/100)</f>
        <v/>
      </c>
      <c r="K343">
        <f>J343*(1+((Inputs!$B$12*(1+Inputs!$B$13/100))*0.01+Inputs!$B$14*0.0025)/100)*(1+Inputs!$B$15/100)*(1+Inputs!$B$16/100)*(5000/(6000+Inputs!$B$42*(1-(100*(1-(1-(Inputs!$B$19+0)/100)*(1-CHOOSE(ArtifactsInput!$N$40+1,5,6,7,8,9,10)/100)^(ArtifactsInput!$M$40-ArtifactsInput!$M$40)))/100)))*(1+(Inputs!$B$24+((C355=TRUE)*(F355-Calc!F26))+B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352=TRUE)*(F352-Calc!F23))+((C356=TRUE)*(F356-Calc!F27))+(((IF(AND(ArtifactsInput!$M$42,((Inputs!$B$9+((C348=TRUE)*(F348-Calc!F19))+B359+(ArtifactsInput!$M$24-ArtifactsInput!$M$24)*CHOOSE(ArtifactsInput!$N$24+1,10,12,14,16,18,20)+IF(ArtifactsInput!$M$10,CHOOSE(ArtifactsInput!$N$10+1,15,18,21,24,27,30)*(IF(Inputs!$B$38="pvp",MIN(15,15)/15,IF(AND(Inputs!$B$38&lt;&gt;"pvp",Inputs!$B$43&gt;0),MIN(15,Inputs!$B$43)/(Inputs!$B$43),0))),0)))&gt;=100),MIN(100,((Inputs!$B$9+((C348=TRUE)*(F348-Calc!F19))+B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348=TRUE)*(F348-Calc!F19))+B359+(ArtifactsInput!$M$24-ArtifactsInput!$M$24)*CHOOSE(ArtifactsInput!$N$24+1,10,12,14,16,18,20)+IF(ArtifactsInput!$M$10,CHOOSE(ArtifactsInput!$N$10+1,15,18,21,24,27,30)*(IF(Inputs!$B$38="pvp",MIN(15,15)/15,IF(AND(Inputs!$B$38&lt;&gt;"pvp",Inputs!$B$43&gt;0),MIN(15,Inputs!$B$43)/(Inputs!$B$43),0))),0)))&gt;=100),CHOOSE(ArtifactsInput!$N$42+1,40,48,56,64,72,80),0))))/100)*((1+(((C346=TRUE)*F346)+((C353=TRUE)*(F353-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f>
        <v/>
      </c>
      <c r="L343">
        <f>K343*(MIN(Inputs!$B$22+((C351=TRUE)*(F351-Calc!F22)),(Inputs!$B$23+0+(IF(ArtifactsInput!$M$15,CHOOSE(ArtifactsInput!$N$15+1,25,30,35,40,45,50)/100*(Inputs!$B$11-Inputs!$B$11),0))))/100+(Inputs!$B$23+0+(IF(ArtifactsInput!$M$15,CHOOSE(ArtifactsInput!$N$15+1,25,30,35,40,45,50)/100*(Inputs!$B$11-Inputs!$B$11),0)))/100)/2</f>
        <v/>
      </c>
      <c r="M343">
        <f>L343*(1+(Inputs!$B$10+((C354=TRUE)*(F354-Calc!F25))+B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3">
        <f>L343*(1-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3">
        <f>(1-Summary!$B$11)*T343+Summary!$B$11*V343</f>
        <v/>
      </c>
      <c r="P343">
        <f>IF(B369=0,0,O343/B369)</f>
        <v/>
      </c>
      <c r="Q343" t="n">
        <v>0</v>
      </c>
      <c r="R343" t="n">
        <v>0</v>
      </c>
      <c r="S343">
        <f>IFERROR(O343/N343,0)</f>
        <v/>
      </c>
      <c r="T343">
        <f>IF(C343,(H343*N343*(B363+IF(AND(Inputs!$B$38&lt;&gt;"pvp",Inputs!$B$43&gt;0),((Skills!G8*((R337-1)*IF(Skills!H8&gt;0,Skills!I8/Skills!H8,1)+IF(Skills!H8&gt;0,MIN(Skills!I8,MAX(0,MAX(0,Inputs!$B$43-B366)-((R337-1)*(IF(Inputs!$B$38="pvp",15,MAX(0.1,Skills!D8-IF(Skills!E8=TRUE,Inputs!$B$32,0)))*(1-IF(AND(ArtifactsInput!$M$27,Inputs!$B$4="Chapter Hunt"),CHOOSE(ArtifactsInput!$N$27+1,20,24,28,32,36,40),0)/100)))))/Skills!H8,1)))/Inputs!$B$43),G337*Q337)+IF(AND(Inputs!$B$38&lt;&gt;"pvp",Inputs!$B$43&gt;0),((Skills!G11*((R340-1)*IF(Skills!H11&gt;0,Skills!I11/Skills!H11,1)+IF(Skills!H11&gt;0,MIN(Skills!I11,MAX(0,MAX(0,Inputs!$B$43-B366)-((R340-1)*(IF(Inputs!$B$38="pvp",15,MAX(0.1,Skills!D11-IF(Skills!E11=TRUE,Inputs!$B$32,0)))*(1-IF(AND(ArtifactsInput!$M$27,Inputs!$B$4="Chapter Hunt"),CHOOSE(ArtifactsInput!$N$27+1,20,24,28,32,36,40),0)/100)))))/Skills!H11,1)))/Inputs!$B$43),G340*Q340)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343*(1-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3">
        <f>IF(C343,(H343*N343*(B363+IF(AND(Inputs!$B$38&lt;&gt;"pvp",Inputs!$B$43&gt;0),((Skills!G8*((R337-1)*IF(Skills!H8&gt;0,Skills!I8/Skills!H8,1)+IF(Skills!H8&gt;0,MIN(Skills!I8,MAX(0,MAX(0,Inputs!$B$43-B366)-((R337-1)*(IF(Inputs!$B$38="pvp",15,MAX(0.1,Skills!D8-IF(Skills!E8=TRUE,Inputs!$B$32,0)))*(1-IF(AND(ArtifactsInput!$M$27,Inputs!$B$4="Chapter Hunt"),CHOOSE(ArtifactsInput!$N$27+1,20,24,28,32,36,40),0)/100)))))/Skills!H8,1)))/Inputs!$B$43),G337*Q337)+IF(AND(Inputs!$B$38&lt;&gt;"pvp",Inputs!$B$43&gt;0),((Skills!G11*((R340-1)*IF(Skills!H11&gt;0,Skills!I11/Skills!H11,1)+IF(Skills!H11&gt;0,MIN(Skills!I11,MAX(0,MAX(0,Inputs!$B$43-B366)-((R340-1)*(IF(Inputs!$B$38="pvp",15,MAX(0.1,Skills!D11-IF(Skills!E11=TRUE,Inputs!$B$32,0)))*(1-IF(AND(ArtifactsInput!$M$27,Inputs!$B$4="Chapter Hunt"),CHOOSE(ArtifactsInput!$N$27+1,20,24,28,32,36,40),0)/100)))))/Skills!H11,1)))/Inputs!$B$43),G340*Q340)))*IF(Inputs!$B$38="pvp",1,(1+((Inputs!$B$21+1)+Skills!Q14+(IF(ArtifactsInput!$M$33,CHOOSE(ArtifactsInput!$N$33+1,30,36,42,48,54,60)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4">
      <c r="A344">
        <f>Skills!A15</f>
        <v/>
      </c>
      <c r="B344">
        <f>Skills!B15</f>
        <v/>
      </c>
      <c r="C344">
        <f>Inputs!$B$3&gt;=100</f>
        <v/>
      </c>
      <c r="D344">
        <f>IF(Skills!C15=1,60+Inputs!$B$25+Inputs!$B$29,IF(Skills!C15=2,90+Inputs!$B$26+Inputs!$B$29,IF(Skills!C15=3,120+Inputs!$B$27+Inputs!$B$29,MAX(0,(Inputs!$B$3-100)*3)+Inputs!$B$28+Inputs!$B$29)))</f>
        <v/>
      </c>
      <c r="E344">
        <f>INDEX(FactorTable!$B$2:$Y$301, MATCH(ROUND(MIN(300,MAX(1,D344)),0), FactorTable!$A$2:$A$301,0), Skills!M15+1)</f>
        <v/>
      </c>
      <c r="F344">
        <f>IF(Skills!N15=TRUE,(Skills!L15/10)*(E344/1000),Skills!L15/10)+Skills!O15</f>
        <v/>
      </c>
      <c r="G344" t="inlineStr"/>
      <c r="H344" t="inlineStr"/>
      <c r="I344" t="inlineStr">
        <is>
          <t>1</t>
        </is>
      </c>
      <c r="J344" t="inlineStr"/>
      <c r="K344" t="inlineStr"/>
      <c r="L344" t="inlineStr"/>
      <c r="M344" t="inlineStr"/>
      <c r="N344" t="inlineStr"/>
      <c r="O344" t="inlineStr"/>
      <c r="P344" t="inlineStr"/>
      <c r="Q344" t="inlineStr"/>
      <c r="R344" t="inlineStr"/>
      <c r="S344" t="inlineStr"/>
    </row>
    <row r="345">
      <c r="A345">
        <f>Skills!A16</f>
        <v/>
      </c>
      <c r="B345">
        <f>Skills!B16</f>
        <v/>
      </c>
      <c r="C345">
        <f>Inputs!$B$3&gt;=120</f>
        <v/>
      </c>
      <c r="D345">
        <f>IF(Skills!C16=1,60+Inputs!$B$25+Inputs!$B$29,IF(Skills!C16=2,90+Inputs!$B$26+Inputs!$B$29,IF(Skills!C16=3,120+Inputs!$B$27+Inputs!$B$29,MAX(0,(Inputs!$B$3-100)*3)+Inputs!$B$28+Inputs!$B$29)))</f>
        <v/>
      </c>
      <c r="E345">
        <f>INDEX(FactorTable!$B$2:$Y$301, MATCH(ROUND(MIN(300,MAX(1,D345)),0), FactorTable!$A$2:$A$301,0), Skills!M16+1)</f>
        <v/>
      </c>
      <c r="F345">
        <f>IF(Skills!N16=TRUE,(Skills!L16/10)*(E345/1000),Skills!L16/10)+Skills!O16</f>
        <v/>
      </c>
      <c r="G345" t="inlineStr"/>
      <c r="H345" t="inlineStr"/>
      <c r="I345" t="inlineStr">
        <is>
          <t>1</t>
        </is>
      </c>
      <c r="J345" t="inlineStr"/>
      <c r="K345" t="inlineStr"/>
      <c r="L345" t="inlineStr"/>
      <c r="M345" t="inlineStr"/>
      <c r="N345" t="inlineStr"/>
      <c r="O345" t="inlineStr"/>
      <c r="P345" t="inlineStr"/>
      <c r="Q345" t="inlineStr"/>
      <c r="R345" t="inlineStr"/>
      <c r="S345" t="inlineStr"/>
    </row>
    <row r="346">
      <c r="A346">
        <f>Skills!A17</f>
        <v/>
      </c>
      <c r="B346">
        <f>Skills!B17</f>
        <v/>
      </c>
      <c r="C346">
        <f>Inputs!$B$3&gt;=66</f>
        <v/>
      </c>
      <c r="D346">
        <f>IF(Skills!C17=1,60+Inputs!$B$25+Inputs!$B$29,IF(Skills!C17=2,90+Inputs!$B$26+Inputs!$B$29,IF(Skills!C17=3,120+Inputs!$B$27+Inputs!$B$29,MAX(0,(Inputs!$B$3-100)*3)+Inputs!$B$28+Inputs!$B$29)))</f>
        <v/>
      </c>
      <c r="E346">
        <f>INDEX(FactorTable!$B$2:$Y$301, MATCH(ROUND(MIN(300,MAX(1,D346)),0), FactorTable!$A$2:$A$301,0), Skills!M17+1)</f>
        <v/>
      </c>
      <c r="F346">
        <f>IF(Skills!N17=TRUE,(Skills!L17/10)*(E346/1000),Skills!L17/10)+Skills!O17</f>
        <v/>
      </c>
      <c r="G346">
        <f>Skills!G17*IF(Skills!H17&gt;0,Skills!I17/Skills!H17,1)</f>
        <v/>
      </c>
      <c r="H346">
        <f>1-(1-Skills!J17/100)^Skills!K17</f>
        <v/>
      </c>
      <c r="I346" t="inlineStr">
        <is>
          <t>1</t>
        </is>
      </c>
      <c r="J346" t="inlineStr"/>
      <c r="K346" t="inlineStr"/>
      <c r="L346" t="inlineStr"/>
      <c r="M346" t="inlineStr"/>
      <c r="N346" t="inlineStr"/>
      <c r="O346">
        <f>(1-Summary!$B$11)*T346+Summary!$B$11*V346</f>
        <v/>
      </c>
      <c r="P346">
        <f>IF(B369=0,0,O346/B369)</f>
        <v/>
      </c>
      <c r="Q346" t="n">
        <v>0</v>
      </c>
      <c r="R346" t="n">
        <v>0</v>
      </c>
      <c r="S346">
        <f>IFERROR(O346/N346,0)</f>
        <v/>
      </c>
      <c r="T346" t="n">
        <v>0</v>
      </c>
      <c r="V346" t="n">
        <v>0</v>
      </c>
    </row>
    <row r="347">
      <c r="A347">
        <f>Skills!A18</f>
        <v/>
      </c>
      <c r="B347">
        <f>Skills!B18</f>
        <v/>
      </c>
      <c r="C347">
        <f>Inputs!$B$3&gt;=115</f>
        <v/>
      </c>
      <c r="D347">
        <f>IF(Skills!C18=1,60+Inputs!$B$25+Inputs!$B$29,IF(Skills!C18=2,90+Inputs!$B$26+Inputs!$B$29,IF(Skills!C18=3,120+Inputs!$B$27+Inputs!$B$29,MAX(0,(Inputs!$B$3-100)*3)+Inputs!$B$28+Inputs!$B$29)))</f>
        <v/>
      </c>
      <c r="E347">
        <f>INDEX(FactorTable!$B$2:$Y$301, MATCH(ROUND(MIN(300,MAX(1,D347)),0), FactorTable!$A$2:$A$301,0), Skills!M18+1)</f>
        <v/>
      </c>
      <c r="F347">
        <f>IF(Skills!N18=TRUE,(Skills!L18/10)*(E347/1000),Skills!L18/10)+Skills!O18</f>
        <v/>
      </c>
      <c r="G347">
        <f>Skills!G18*IF(Skills!H18&gt;0,Skills!I18/Skills!H18,1)</f>
        <v/>
      </c>
      <c r="H347">
        <f>1-(1-Skills!J18/100)^Skills!K18</f>
        <v/>
      </c>
      <c r="I347" t="inlineStr">
        <is>
          <t>1</t>
        </is>
      </c>
      <c r="J347" t="inlineStr"/>
      <c r="K347" t="inlineStr"/>
      <c r="L347" t="inlineStr"/>
      <c r="M347" t="inlineStr"/>
      <c r="N347" t="inlineStr"/>
      <c r="O347">
        <f>(1-Summary!$B$11)*T347+Summary!$B$11*V347</f>
        <v/>
      </c>
      <c r="P347">
        <f>IF(B369=0,0,O347/B369)</f>
        <v/>
      </c>
      <c r="Q347" t="n">
        <v>0</v>
      </c>
      <c r="R347" t="n">
        <v>0</v>
      </c>
      <c r="S347">
        <f>IFERROR(O347/N347,0)</f>
        <v/>
      </c>
      <c r="T347" t="n">
        <v>0</v>
      </c>
      <c r="V347" t="n">
        <v>0</v>
      </c>
    </row>
    <row r="348">
      <c r="A348">
        <f>Skills!A19</f>
        <v/>
      </c>
      <c r="B348">
        <f>Skills!B19</f>
        <v/>
      </c>
      <c r="C348">
        <f>Inputs!$B$3&gt;=15</f>
        <v/>
      </c>
      <c r="D348">
        <f>IF(Skills!C19=1,60+Inputs!$B$25+Inputs!$B$29,IF(Skills!C19=2,90+Inputs!$B$26+Inputs!$B$29,IF(Skills!C19=3,120+Inputs!$B$27+Inputs!$B$29,MAX(0,(Inputs!$B$3-100)*3)+Inputs!$B$28+Inputs!$B$29)))</f>
        <v/>
      </c>
      <c r="E348">
        <f>INDEX(FactorTable!$B$2:$Y$301, MATCH(ROUND(MIN(300,MAX(1,D348)),0), FactorTable!$A$2:$A$301,0), Skills!M19+1)</f>
        <v/>
      </c>
      <c r="F348">
        <f>IF(Skills!N19=TRUE,(Skills!L19/10)*(E348/1000),Skills!L19/10)+Skills!O19</f>
        <v/>
      </c>
      <c r="G348">
        <f>Skills!G19*IF(Skills!H19&gt;0,Skills!I19/Skills!H19,1)</f>
        <v/>
      </c>
      <c r="H348">
        <f>1-(1-Skills!J19/100)^Skills!K19</f>
        <v/>
      </c>
      <c r="I348" t="inlineStr">
        <is>
          <t>1</t>
        </is>
      </c>
      <c r="J348" t="inlineStr"/>
      <c r="K348" t="inlineStr"/>
      <c r="L348" t="inlineStr"/>
      <c r="M348" t="inlineStr"/>
      <c r="N348" t="inlineStr"/>
      <c r="O348">
        <f>(1-Summary!$B$11)*T348+Summary!$B$11*V348</f>
        <v/>
      </c>
      <c r="P348">
        <f>IF(B369=0,0,O348/B369)</f>
        <v/>
      </c>
      <c r="Q348" t="n">
        <v>0</v>
      </c>
      <c r="R348" t="n">
        <v>0</v>
      </c>
      <c r="S348">
        <f>IFERROR(O348/N348,0)</f>
        <v/>
      </c>
      <c r="T348" t="n">
        <v>0</v>
      </c>
      <c r="V348" t="n">
        <v>0</v>
      </c>
    </row>
    <row r="349">
      <c r="A349">
        <f>Skills!A20</f>
        <v/>
      </c>
      <c r="B349">
        <f>Skills!B20</f>
        <v/>
      </c>
      <c r="C349">
        <f>Inputs!$B$3&gt;=10</f>
        <v/>
      </c>
      <c r="D349">
        <f>IF(Skills!C20=1,60+Inputs!$B$25+Inputs!$B$29,IF(Skills!C20=2,90+Inputs!$B$26+Inputs!$B$29,IF(Skills!C20=3,120+Inputs!$B$27+Inputs!$B$29,MAX(0,(Inputs!$B$3-100)*3)+Inputs!$B$28+Inputs!$B$29)))</f>
        <v/>
      </c>
      <c r="E349">
        <f>INDEX(FactorTable!$B$2:$Y$301, MATCH(ROUND(MIN(300,MAX(1,D349)),0), FactorTable!$A$2:$A$301,0), Skills!M20+1)</f>
        <v/>
      </c>
      <c r="F349">
        <f>IF(Skills!N20=TRUE,(Skills!L20/10)*(E349/1000),Skills!L20/10)+Skills!O20</f>
        <v/>
      </c>
      <c r="G349">
        <f>Skills!G20*IF(Skills!H20&gt;0,Skills!I20/Skills!H20,1)</f>
        <v/>
      </c>
      <c r="H349">
        <f>1-(1-Skills!J20/100)^Skills!K20</f>
        <v/>
      </c>
      <c r="I349" t="inlineStr">
        <is>
          <t>1</t>
        </is>
      </c>
      <c r="J349" t="inlineStr"/>
      <c r="K349" t="inlineStr"/>
      <c r="L349" t="inlineStr"/>
      <c r="M349" t="inlineStr"/>
      <c r="N349" t="inlineStr"/>
      <c r="O349">
        <f>(1-Summary!$B$11)*T349+Summary!$B$11*V349</f>
        <v/>
      </c>
      <c r="P349">
        <f>IF(B369=0,0,O349/B369)</f>
        <v/>
      </c>
      <c r="Q349" t="n">
        <v>0</v>
      </c>
      <c r="R349" t="n">
        <v>0</v>
      </c>
      <c r="S349">
        <f>IFERROR(O349/N349,0)</f>
        <v/>
      </c>
      <c r="T349" t="n">
        <v>0</v>
      </c>
      <c r="V349" t="n">
        <v>0</v>
      </c>
    </row>
    <row r="350">
      <c r="A350">
        <f>Skills!A21</f>
        <v/>
      </c>
      <c r="B350">
        <f>Skills!B21</f>
        <v/>
      </c>
      <c r="C350">
        <f>Inputs!$B$3&gt;=33</f>
        <v/>
      </c>
      <c r="D350">
        <f>IF(Skills!C21=1,60+Inputs!$B$25+Inputs!$B$29,IF(Skills!C21=2,90+Inputs!$B$26+Inputs!$B$29,IF(Skills!C21=3,120+Inputs!$B$27+Inputs!$B$29,MAX(0,(Inputs!$B$3-100)*3)+Inputs!$B$28+Inputs!$B$29)))</f>
        <v/>
      </c>
      <c r="E350">
        <f>INDEX(FactorTable!$B$2:$Y$301, MATCH(ROUND(MIN(300,MAX(1,D350)),0), FactorTable!$A$2:$A$301,0), Skills!M21+1)</f>
        <v/>
      </c>
      <c r="F350">
        <f>IF(Skills!N21=TRUE,(Skills!L21/10)*(E350/1000),Skills!L21/10)+Skills!O21</f>
        <v/>
      </c>
      <c r="G350">
        <f>Skills!G21*IF(Skills!H21&gt;0,Skills!I21/Skills!H21,1)</f>
        <v/>
      </c>
      <c r="H350">
        <f>1-(1-Skills!J21/100)^Skills!K21</f>
        <v/>
      </c>
      <c r="I350" t="inlineStr">
        <is>
          <t>1</t>
        </is>
      </c>
      <c r="J350" t="inlineStr"/>
      <c r="K350" t="inlineStr"/>
      <c r="L350" t="inlineStr"/>
      <c r="M350" t="inlineStr"/>
      <c r="N350" t="inlineStr"/>
      <c r="O350">
        <f>(1-Summary!$B$11)*T350+Summary!$B$11*V350</f>
        <v/>
      </c>
      <c r="P350">
        <f>IF(B369=0,0,O350/B369)</f>
        <v/>
      </c>
      <c r="Q350" t="n">
        <v>0</v>
      </c>
      <c r="R350" t="n">
        <v>0</v>
      </c>
      <c r="S350">
        <f>IFERROR(O350/N350,0)</f>
        <v/>
      </c>
      <c r="T350" t="n">
        <v>0</v>
      </c>
      <c r="V350" t="n">
        <v>0</v>
      </c>
    </row>
    <row r="351">
      <c r="A351">
        <f>Skills!A22</f>
        <v/>
      </c>
      <c r="B351">
        <f>Skills!B22</f>
        <v/>
      </c>
      <c r="C351">
        <f>Inputs!$B$3&gt;=43</f>
        <v/>
      </c>
      <c r="D351">
        <f>IF(Skills!C22=1,60+Inputs!$B$25+Inputs!$B$29,IF(Skills!C22=2,90+Inputs!$B$26+Inputs!$B$29,IF(Skills!C22=3,120+Inputs!$B$27+Inputs!$B$29,MAX(0,(Inputs!$B$3-100)*3)+Inputs!$B$28+Inputs!$B$29)))</f>
        <v/>
      </c>
      <c r="E351">
        <f>INDEX(FactorTable!$B$2:$Y$301, MATCH(ROUND(MIN(300,MAX(1,D351)),0), FactorTable!$A$2:$A$301,0), Skills!M22+1)</f>
        <v/>
      </c>
      <c r="F351">
        <f>IF(Skills!N22=TRUE,(Skills!L22/10)*(E351/1000),Skills!L22/10)+Skills!O22</f>
        <v/>
      </c>
      <c r="G351">
        <f>Skills!G22*IF(Skills!H22&gt;0,Skills!I22/Skills!H22,1)</f>
        <v/>
      </c>
      <c r="H351">
        <f>1-(1-Skills!J22/100)^Skills!K22</f>
        <v/>
      </c>
      <c r="I351" t="inlineStr">
        <is>
          <t>1</t>
        </is>
      </c>
      <c r="J351" t="inlineStr"/>
      <c r="K351" t="inlineStr"/>
      <c r="L351" t="inlineStr"/>
      <c r="M351" t="inlineStr"/>
      <c r="N351" t="inlineStr"/>
      <c r="O351">
        <f>(1-Summary!$B$11)*T351+Summary!$B$11*V351</f>
        <v/>
      </c>
      <c r="P351">
        <f>IF(B369=0,0,O351/B369)</f>
        <v/>
      </c>
      <c r="Q351" t="n">
        <v>0</v>
      </c>
      <c r="R351" t="n">
        <v>0</v>
      </c>
      <c r="S351">
        <f>IFERROR(O351/N351,0)</f>
        <v/>
      </c>
      <c r="T351" t="n">
        <v>0</v>
      </c>
      <c r="V351" t="n">
        <v>0</v>
      </c>
    </row>
    <row r="352">
      <c r="A352">
        <f>Skills!A23</f>
        <v/>
      </c>
      <c r="B352">
        <f>Skills!B23</f>
        <v/>
      </c>
      <c r="C352">
        <f>Inputs!$B$3&gt;=38</f>
        <v/>
      </c>
      <c r="D352">
        <f>IF(Skills!C23=1,60+Inputs!$B$25+Inputs!$B$29,IF(Skills!C23=2,90+Inputs!$B$26+Inputs!$B$29,IF(Skills!C23=3,120+Inputs!$B$27+Inputs!$B$29,MAX(0,(Inputs!$B$3-100)*3)+Inputs!$B$28+Inputs!$B$29)))</f>
        <v/>
      </c>
      <c r="E352">
        <f>INDEX(FactorTable!$B$2:$Y$301, MATCH(ROUND(MIN(300,MAX(1,D352)),0), FactorTable!$A$2:$A$301,0), Skills!M23+1)</f>
        <v/>
      </c>
      <c r="F352">
        <f>IF(Skills!N23=TRUE,(Skills!L23/10)*(E352/1000),Skills!L23/10)+Skills!O23</f>
        <v/>
      </c>
      <c r="G352">
        <f>Skills!G23*IF(Skills!H23&gt;0,Skills!I23/Skills!H23,1)</f>
        <v/>
      </c>
      <c r="H352">
        <f>1-(1-Skills!J23/100)^Skills!K23</f>
        <v/>
      </c>
      <c r="I352" t="inlineStr">
        <is>
          <t>1</t>
        </is>
      </c>
      <c r="J352" t="inlineStr"/>
      <c r="K352" t="inlineStr"/>
      <c r="L352" t="inlineStr"/>
      <c r="M352" t="inlineStr"/>
      <c r="N352" t="inlineStr"/>
      <c r="O352">
        <f>(1-Summary!$B$11)*T352+Summary!$B$11*V352</f>
        <v/>
      </c>
      <c r="P352">
        <f>IF(B369=0,0,O352/B369)</f>
        <v/>
      </c>
      <c r="Q352" t="n">
        <v>0</v>
      </c>
      <c r="R352" t="n">
        <v>0</v>
      </c>
      <c r="S352">
        <f>IFERROR(O352/N352,0)</f>
        <v/>
      </c>
      <c r="T352" t="n">
        <v>0</v>
      </c>
      <c r="V352" t="n">
        <v>0</v>
      </c>
    </row>
    <row r="353">
      <c r="A353">
        <f>Skills!A24</f>
        <v/>
      </c>
      <c r="B353">
        <f>Skills!B24</f>
        <v/>
      </c>
      <c r="C353">
        <f>Inputs!$B$3&gt;=40</f>
        <v/>
      </c>
      <c r="D353">
        <f>IF(Skills!C24=1,60+Inputs!$B$25+Inputs!$B$29,IF(Skills!C24=2,90+Inputs!$B$26+Inputs!$B$29,IF(Skills!C24=3,120+Inputs!$B$27+Inputs!$B$29,MAX(0,(Inputs!$B$3-100)*3)+Inputs!$B$28+Inputs!$B$29)))</f>
        <v/>
      </c>
      <c r="E353">
        <f>INDEX(FactorTable!$B$2:$Y$301, MATCH(ROUND(MIN(300,MAX(1,D353)),0), FactorTable!$A$2:$A$301,0), Skills!M24+1)</f>
        <v/>
      </c>
      <c r="F353">
        <f>IF(Skills!N24=TRUE,(Skills!L24/10)*(E353/1000),Skills!L24/10)+Skills!O24</f>
        <v/>
      </c>
      <c r="G353">
        <f>Skills!G24*IF(Skills!H24&gt;0,Skills!I24/Skills!H24,1)</f>
        <v/>
      </c>
      <c r="H353">
        <f>1-(1-Skills!J24/100)^Skills!K24</f>
        <v/>
      </c>
      <c r="I353" t="inlineStr">
        <is>
          <t>1</t>
        </is>
      </c>
      <c r="J353" t="inlineStr"/>
      <c r="K353" t="inlineStr"/>
      <c r="L353" t="inlineStr"/>
      <c r="M353" t="inlineStr"/>
      <c r="N353" t="inlineStr"/>
      <c r="O353">
        <f>(1-Summary!$B$11)*T353+Summary!$B$11*V353</f>
        <v/>
      </c>
      <c r="P353">
        <f>IF(B369=0,0,O353/B369)</f>
        <v/>
      </c>
      <c r="Q353" t="n">
        <v>0</v>
      </c>
      <c r="R353" t="n">
        <v>0</v>
      </c>
      <c r="S353">
        <f>IFERROR(O353/N353,0)</f>
        <v/>
      </c>
      <c r="T353" t="n">
        <v>0</v>
      </c>
      <c r="V353" t="n">
        <v>0</v>
      </c>
    </row>
    <row r="354">
      <c r="A354">
        <f>Skills!A25</f>
        <v/>
      </c>
      <c r="B354">
        <f>Skills!B25</f>
        <v/>
      </c>
      <c r="C354">
        <f>Inputs!$B$3&gt;=72</f>
        <v/>
      </c>
      <c r="D354">
        <f>IF(Skills!C25=1,60+Inputs!$B$25+Inputs!$B$29,IF(Skills!C25=2,90+Inputs!$B$26+Inputs!$B$29,IF(Skills!C25=3,120+Inputs!$B$27+Inputs!$B$29,MAX(0,(Inputs!$B$3-100)*3)+Inputs!$B$28+Inputs!$B$29)))</f>
        <v/>
      </c>
      <c r="E354">
        <f>INDEX(FactorTable!$B$2:$Y$301, MATCH(ROUND(MIN(300,MAX(1,D354)),0), FactorTable!$A$2:$A$301,0), Skills!M25+1)</f>
        <v/>
      </c>
      <c r="F354">
        <f>IF(Skills!N25=TRUE,(Skills!L25/10)*(E354/1000),Skills!L25/10)+Skills!O25</f>
        <v/>
      </c>
      <c r="G354">
        <f>Skills!G25*IF(Skills!H25&gt;0,Skills!I25/Skills!H25,1)</f>
        <v/>
      </c>
      <c r="H354">
        <f>1-(1-Skills!J25/100)^Skills!K25</f>
        <v/>
      </c>
      <c r="I354" t="inlineStr">
        <is>
          <t>1</t>
        </is>
      </c>
      <c r="J354" t="inlineStr"/>
      <c r="K354" t="inlineStr"/>
      <c r="L354" t="inlineStr"/>
      <c r="M354" t="inlineStr"/>
      <c r="N354" t="inlineStr"/>
      <c r="O354">
        <f>(1-Summary!$B$11)*T354+Summary!$B$11*V354</f>
        <v/>
      </c>
      <c r="P354">
        <f>IF(B369=0,0,O354/B369)</f>
        <v/>
      </c>
      <c r="Q354" t="n">
        <v>0</v>
      </c>
      <c r="R354" t="n">
        <v>0</v>
      </c>
      <c r="S354">
        <f>IFERROR(O354/N354,0)</f>
        <v/>
      </c>
      <c r="T354" t="n">
        <v>0</v>
      </c>
      <c r="V354" t="n">
        <v>0</v>
      </c>
    </row>
    <row r="355">
      <c r="A355">
        <f>Skills!A26</f>
        <v/>
      </c>
      <c r="B355">
        <f>Skills!B26</f>
        <v/>
      </c>
      <c r="C355">
        <f>Inputs!$B$3&gt;=75</f>
        <v/>
      </c>
      <c r="D355">
        <f>IF(Skills!C26=1,60+Inputs!$B$25+Inputs!$B$29,IF(Skills!C26=2,90+Inputs!$B$26+Inputs!$B$29,IF(Skills!C26=3,120+Inputs!$B$27+Inputs!$B$29,MAX(0,(Inputs!$B$3-100)*3)+Inputs!$B$28+Inputs!$B$29)))</f>
        <v/>
      </c>
      <c r="E355">
        <f>INDEX(FactorTable!$B$2:$Y$301, MATCH(ROUND(MIN(300,MAX(1,D355)),0), FactorTable!$A$2:$A$301,0), Skills!M26+1)</f>
        <v/>
      </c>
      <c r="F355">
        <f>IF(Skills!N26=TRUE,(Skills!L26/10)*(E355/1000),Skills!L26/10)+Skills!O26</f>
        <v/>
      </c>
      <c r="G355">
        <f>Skills!G26*IF(Skills!H26&gt;0,Skills!I26/Skills!H26,1)</f>
        <v/>
      </c>
      <c r="H355">
        <f>1-(1-Skills!J26/100)^Skills!K26</f>
        <v/>
      </c>
      <c r="I355" t="inlineStr">
        <is>
          <t>1</t>
        </is>
      </c>
      <c r="J355" t="inlineStr"/>
      <c r="K355" t="inlineStr"/>
      <c r="L355" t="inlineStr"/>
      <c r="M355" t="inlineStr"/>
      <c r="N355" t="inlineStr"/>
      <c r="O355">
        <f>(1-Summary!$B$11)*T355+Summary!$B$11*V355</f>
        <v/>
      </c>
      <c r="P355">
        <f>IF(B369=0,0,O355/B369)</f>
        <v/>
      </c>
      <c r="Q355" t="n">
        <v>0</v>
      </c>
      <c r="R355" t="n">
        <v>0</v>
      </c>
      <c r="S355">
        <f>IFERROR(O355/N355,0)</f>
        <v/>
      </c>
      <c r="T355" t="n">
        <v>0</v>
      </c>
      <c r="V355" t="n">
        <v>0</v>
      </c>
    </row>
    <row r="356">
      <c r="A356">
        <f>Skills!A27</f>
        <v/>
      </c>
      <c r="B356">
        <f>Skills!B27</f>
        <v/>
      </c>
      <c r="C356">
        <f>Inputs!$B$3&gt;=117</f>
        <v/>
      </c>
      <c r="D356">
        <f>IF(Skills!C27=1,60+Inputs!$B$25+Inputs!$B$29,IF(Skills!C27=2,90+Inputs!$B$26+Inputs!$B$29,IF(Skills!C27=3,120+Inputs!$B$27+Inputs!$B$29,MAX(0,(Inputs!$B$3-100)*3)+Inputs!$B$28+Inputs!$B$29)))</f>
        <v/>
      </c>
      <c r="E356">
        <f>INDEX(FactorTable!$B$2:$Y$301, MATCH(ROUND(MIN(300,MAX(1,D356)),0), FactorTable!$A$2:$A$301,0), Skills!M27+1)</f>
        <v/>
      </c>
      <c r="F356">
        <f>IF(Skills!N27=TRUE,(Skills!L27/10)*(E356/1000),Skills!L27/10)+Skills!O27</f>
        <v/>
      </c>
      <c r="G356">
        <f>Skills!G27*IF(Skills!H27&gt;0,Skills!I27/Skills!H27,1)</f>
        <v/>
      </c>
      <c r="H356">
        <f>1-(1-Skills!J27/100)^Skills!K27</f>
        <v/>
      </c>
      <c r="I356" t="inlineStr">
        <is>
          <t>1</t>
        </is>
      </c>
      <c r="J356" t="inlineStr"/>
      <c r="K356" t="inlineStr"/>
      <c r="L356" t="inlineStr"/>
      <c r="M356" t="inlineStr"/>
      <c r="N356" t="inlineStr"/>
      <c r="O356">
        <f>(1-Summary!$B$11)*T356+Summary!$B$11*V356</f>
        <v/>
      </c>
      <c r="P356">
        <f>IF(B369=0,0,O356/B369)</f>
        <v/>
      </c>
      <c r="Q356" t="n">
        <v>0</v>
      </c>
      <c r="R356" t="n">
        <v>0</v>
      </c>
      <c r="S356">
        <f>IFERROR(O356/N356,0)</f>
        <v/>
      </c>
      <c r="T356" t="n">
        <v>0</v>
      </c>
      <c r="V356" t="n">
        <v>0</v>
      </c>
    </row>
    <row r="358">
      <c r="A358" t="inlineStr">
        <is>
          <t>Attack% Bucket Multiplier</t>
        </is>
      </c>
      <c r="B358">
        <f>(1+(((C346=TRUE)*F346)+((C353=TRUE)*(F353-Calc!F24))+(IF(ArtifactsInput!$M$21,CHOOSE(ArtifactsInput!$N$21+1,25,30,35,40,45,50)*(IF(OR(Inputs!$B$4="Chapter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59">
      <c r="A359" t="inlineStr">
        <is>
          <t>Global Crit Rate Bonus %</t>
        </is>
      </c>
      <c r="B359" t="n">
        <v>0</v>
      </c>
    </row>
    <row r="360">
      <c r="A360" t="inlineStr">
        <is>
          <t>Attack Speed Buff Bonus % (unused)</t>
        </is>
      </c>
      <c r="B360" t="n">
        <v>0</v>
      </c>
    </row>
    <row r="361">
      <c r="A361" t="inlineStr">
        <is>
          <t>Actions Per Second</t>
        </is>
      </c>
      <c r="B361">
        <f>1+MIN(150,150*(1-(1-(Inputs!$B$11+((C349=TRUE)*(F349-Calc!F20))+((C350=TRUE)*(F350-Calc!F21)))/150)*(1-B360/150)))/100</f>
        <v/>
      </c>
    </row>
    <row r="362">
      <c r="A362" t="inlineStr">
        <is>
          <t>Skill + Buff Cast Rate</t>
        </is>
      </c>
      <c r="B362">
        <f>IF(AND(Inputs!$B$38&lt;&gt;"pvp",Inputs!$B$43&gt;0),SUMPRODUCT((Skills!E2:E27=TRUE)*(C331:C356=TRUE)*R331:R356*Skills!F2:F27)/Inputs!$B$43,SUMPRODUCT((Skills!E2:E27=TRUE)*(C331:C356=TRUE)*Q331:Q356*Skills!F2:F27))</f>
        <v/>
      </c>
    </row>
    <row r="363">
      <c r="A363" t="inlineStr">
        <is>
          <t>Eight-Legs Easton Casts Per Second</t>
        </is>
      </c>
      <c r="B363">
        <f>MAX(0,B361-B362)</f>
        <v/>
      </c>
    </row>
    <row r="364">
      <c r="A364" t="inlineStr">
        <is>
          <t>Global Critical Damage Bonus % (unused)</t>
        </is>
      </c>
      <c r="B364" t="n">
        <v>0</v>
      </c>
    </row>
    <row r="365">
      <c r="A365" t="inlineStr">
        <is>
          <t>Global Final Damage Bonus % (Jolly Roger only)</t>
        </is>
      </c>
      <c r="B365">
        <f>((C347=TRUE)*F347)</f>
        <v/>
      </c>
    </row>
    <row r="366">
      <c r="A366" t="inlineStr">
        <is>
          <t>Buff-Casting Startup Delay (s, fixed-duration only)</t>
        </is>
      </c>
      <c r="B366">
        <f>IF(AND(Inputs!$B$38&lt;&gt;"pvp",Inputs!$B$43&gt;0),SUMPRODUCT((Skills!T2:T27&gt;0)*(Skills!E2:E27=TRUE)*(C331:C356=TRUE))/B361,0)</f>
        <v/>
      </c>
    </row>
    <row r="367">
      <c r="A367" t="inlineStr">
        <is>
          <t>Boss-Only Total DPS (this block's swept value)</t>
        </is>
      </c>
      <c r="B367">
        <f>SUM(T331:T356)</f>
        <v/>
      </c>
    </row>
    <row r="368">
      <c r="A368" t="inlineStr">
        <is>
          <t>Normal-Only Total DPS (this block's swept value)</t>
        </is>
      </c>
      <c r="B368">
        <f>SUM(V331:V356)</f>
        <v/>
      </c>
    </row>
    <row r="369">
      <c r="A369" s="6" t="inlineStr">
        <is>
          <t>TOTAL DPS</t>
        </is>
      </c>
      <c r="B369" s="6">
        <f>SUM(O331:O356)</f>
        <v/>
      </c>
    </row>
    <row r="372">
      <c r="A372" s="6" t="inlineStr">
        <is>
          <t>Stat: FINAL_DAMAGE % (multiplicative source)</t>
        </is>
      </c>
    </row>
    <row r="373">
      <c r="A373" s="5" t="inlineStr">
        <is>
          <t>Key</t>
        </is>
      </c>
      <c r="B373" s="5" t="inlineStr">
        <is>
          <t>Name</t>
        </is>
      </c>
      <c r="C373" s="5" t="inlineStr">
        <is>
          <t>Unlocked</t>
        </is>
      </c>
      <c r="D373" s="5" t="inlineStr">
        <is>
          <t>InputLevel</t>
        </is>
      </c>
      <c r="E373" s="5" t="inlineStr">
        <is>
          <t>Factor</t>
        </is>
      </c>
      <c r="F373" s="5" t="inlineStr">
        <is>
          <t>CoefficientPercent</t>
        </is>
      </c>
      <c r="G373" s="5" t="inlineStr">
        <is>
          <t>EffectiveHits</t>
        </is>
      </c>
      <c r="H373" s="5" t="inlineStr">
        <is>
          <t>ProcProbability</t>
        </is>
      </c>
      <c r="I373" s="5" t="inlineStr">
        <is>
          <t>MapleHeroMultiplier</t>
        </is>
      </c>
      <c r="J373" s="5" t="inlineStr">
        <is>
          <t>BaseDamage</t>
        </is>
      </c>
      <c r="K373" s="5" t="inlineStr">
        <is>
          <t>BaseHitDamage</t>
        </is>
      </c>
      <c r="L373" s="5" t="inlineStr">
        <is>
          <t>NonCritAvg</t>
        </is>
      </c>
      <c r="M373" s="5" t="inlineStr">
        <is>
          <t>CritAvg</t>
        </is>
      </c>
      <c r="N373" s="5" t="inlineStr">
        <is>
          <t>ExpectedDamage(perHit)</t>
        </is>
      </c>
      <c r="O373" s="5" t="inlineStr">
        <is>
          <t>DPS</t>
        </is>
      </c>
      <c r="P373" s="5" t="inlineStr">
        <is>
          <t>% of Total</t>
        </is>
      </c>
      <c r="Q373" s="5" t="inlineStr">
        <is>
          <t>InvCooldown</t>
        </is>
      </c>
      <c r="R373" s="5" t="inlineStr">
        <is>
          <t>CastsInFight</t>
        </is>
      </c>
      <c r="S373" s="5" t="inlineStr">
        <is>
          <t>HitRate(perSec)</t>
        </is>
      </c>
      <c r="U373" t="inlineStr">
        <is>
          <t>helpers</t>
        </is>
      </c>
    </row>
    <row r="374">
      <c r="A374">
        <f>Skills!A2</f>
        <v/>
      </c>
      <c r="B374">
        <f>Skills!B2</f>
        <v/>
      </c>
      <c r="C374">
        <f>Inputs!$B$3&gt;=100</f>
        <v/>
      </c>
      <c r="D374" t="inlineStr"/>
      <c r="E374" t="inlineStr"/>
      <c r="F374">
        <f>U376+Skills!O2</f>
        <v/>
      </c>
      <c r="G374">
        <f>Skills!G2*IF(Skills!H2&gt;0,Skills!I2/Skills!H2,1)</f>
        <v/>
      </c>
      <c r="H374">
        <f>1-(1-Skills!J2/100)^Skills!K2</f>
        <v/>
      </c>
      <c r="I374" t="inlineStr">
        <is>
          <t>1</t>
        </is>
      </c>
      <c r="J374">
        <f>((Inputs!$B$6*(1+Inputs!$B$7/100))+(((Inputs!$B$12*(1+Inputs!$B$13/100))-(Inputs!$B$12*(1+Inputs!$B$13/100)))+0.25*(Inputs!$B$14-Inputs!$B$14))*(1+Inputs!$B$7/100))*(F374/100)</f>
        <v/>
      </c>
      <c r="K374">
        <f>J374*(1+((Inputs!$B$12*(1+Inputs!$B$13/100))*0.01+Inputs!$B$14*0.0025)/100)*(1+Inputs!$B$15/100)*(1+Inputs!$B$16/100)*(5000/(6000+Inputs!$B$42*(1-(100*(1-(1-(Inputs!$B$19+0)/100)*(1-CHOOSE(ArtifactsInput!$N$40+1,5,6,7,8,9,10)/100)^(ArtifactsInput!$M$40-ArtifactsInput!$M$40)))/100)))*(1+(((((1+Inputs!$B$24/100)*(1.01))-1)*100)+((C398=TRUE)*(F398-Calc!F26))+B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395=TRUE)*(F395-Calc!F23))+((C399=TRUE)*(F399-Calc!F27))+(((IF(AND(ArtifactsInput!$M$42,((Inputs!$B$9+((C391=TRUE)*(F391-Calc!F19))+B402+(ArtifactsInput!$M$24-ArtifactsInput!$M$24)*CHOOSE(ArtifactsInput!$N$24+1,10,12,14,16,18,20)+IF(ArtifactsInput!$M$10,CHOOSE(ArtifactsInput!$N$10+1,15,18,21,24,27,30)*(IF(Inputs!$B$38="pvp",MIN(15,15)/15,IF(AND(Inputs!$B$38&lt;&gt;"pvp",Inputs!$B$43&gt;0),MIN(15,Inputs!$B$43)/(Inputs!$B$43),0))),0)))&gt;=100),MIN(100,((Inputs!$B$9+((C391=TRUE)*(F391-Calc!F19))+B402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19))+B402+(ArtifactsInput!$M$24-ArtifactsInput!$M$24)*CHOOSE(ArtifactsInput!$N$24+1,10,12,14,16,18,20)+IF(ArtifactsInput!$M$10,CHOOSE(ArtifactsInput!$N$10+1,15,18,21,24,27,30)*(IF(Inputs!$B$38="pvp",MIN(15,15)/15,IF(AND(Inputs!$B$38&lt;&gt;"pvp",Inputs!$B$43&gt;0),MIN(15,Inputs!$B$43)/(Inputs!$B$43),0))),0)))&gt;=100),CHOOSE(ArtifactsInput!$N$42+1,40,48,56,64,72,80),0))))/100)*((1+(((C389=TRUE)*F389)+((C396=TRUE)*(F396-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374)</f>
        <v/>
      </c>
      <c r="L374">
        <f>K374*(MIN(Inputs!$B$22+((C394=TRUE)*(F394-Calc!F22)),(Inputs!$B$23+0+(IF(ArtifactsInput!$M$15,CHOOSE(ArtifactsInput!$N$15+1,25,30,35,40,45,50)/100*(Inputs!$B$11-Inputs!$B$11),0))))/100+(Inputs!$B$23+0+(IF(ArtifactsInput!$M$15,CHOOSE(ArtifactsInput!$N$15+1,25,30,35,40,45,50)/100*(Inputs!$B$11-Inputs!$B$11),0)))/100)/2</f>
        <v/>
      </c>
      <c r="M374">
        <f>L374*(1+(Inputs!$B$10+((C397=TRUE)*(F397-Calc!F25))+B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4">
        <f>L374*(1-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374*(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4">
        <f>(1-Summary!$B$11)*T374+Summary!$B$11*V374</f>
        <v/>
      </c>
      <c r="P374">
        <f>IF(B412=0,0,O374/B412)</f>
        <v/>
      </c>
      <c r="Q374" t="n">
        <v>0</v>
      </c>
      <c r="R374" t="n">
        <v>0</v>
      </c>
      <c r="S374">
        <f>IFERROR(O374/N374,0)</f>
        <v/>
      </c>
      <c r="T374">
        <f>IF(C374,(Skills!G2*N374*B406)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374*(1-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374*(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374*(1-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374*(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74">
        <f>MAX(0,(Inputs!$B$3-100)*3)+Inputs!$B$28+Inputs!$B$29</f>
        <v/>
      </c>
      <c r="V374">
        <f>IF(C374,(Skills!G2*N374*B406)*IF(Inputs!$B$38="pvp",1,(1+(Inputs!$B$21+Skills!Q2+(IF(ArtifactsInput!$M$33,CHOOSE(ArtifactsInput!$N$33+1,30,36,42,48,54,60),0))+(IF(AND(ArtifactsInput!$M$35,Inputs!$B$4&lt;&gt;"Chapter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5">
      <c r="A375">
        <f>Skills!A3</f>
        <v/>
      </c>
      <c r="B375">
        <f>Skills!B3</f>
        <v/>
      </c>
      <c r="C375">
        <f>Inputs!$B$3&gt;=35</f>
        <v/>
      </c>
      <c r="D375">
        <f>IF(Skills!C3=1,60+Inputs!$B$25+Inputs!$B$29,IF(Skills!C3=2,90+Inputs!$B$26+Inputs!$B$29,IF(Skills!C3=3,120+Inputs!$B$27+Inputs!$B$29,MAX(0,(Inputs!$B$3-100)*3)+Inputs!$B$28+Inputs!$B$29)))</f>
        <v/>
      </c>
      <c r="E375">
        <f>INDEX(FactorTable!$B$2:$Y$301, MATCH(ROUND(MIN(300,MAX(1,D375)),0), FactorTable!$A$2:$A$301,0), Skills!M3+1)</f>
        <v/>
      </c>
      <c r="F375">
        <f>IF(Skills!N3=TRUE,(Skills!L3/10)*(E375/1000),Skills!L3/10)+Skills!O3</f>
        <v/>
      </c>
      <c r="G375">
        <f>Skills!G3*IF(Skills!H3&gt;0,Skills!I3/Skills!H3,1)</f>
        <v/>
      </c>
      <c r="H375">
        <f>1-(1-Skills!J3/100)^Skills!K3</f>
        <v/>
      </c>
      <c r="I375" t="inlineStr">
        <is>
          <t>1</t>
        </is>
      </c>
      <c r="J375">
        <f>((Inputs!$B$6*(1+Inputs!$B$7/100))+(((Inputs!$B$12*(1+Inputs!$B$13/100))-(Inputs!$B$12*(1+Inputs!$B$13/100)))+0.25*(Inputs!$B$14-Inputs!$B$14))*(1+Inputs!$B$7/100))*(F375/100)</f>
        <v/>
      </c>
      <c r="K375">
        <f>J375*(1+((Inputs!$B$12*(1+Inputs!$B$13/100))*0.01+Inputs!$B$14*0.0025)/100)*(1+Inputs!$B$15/100)*(1+Inputs!$B$16/100)*(5000/(6000+Inputs!$B$42*(1-(100*(1-(1-(Inputs!$B$19+0)/100)*(1-CHOOSE(ArtifactsInput!$N$40+1,5,6,7,8,9,10)/100)^(ArtifactsInput!$M$40-ArtifactsInput!$M$40)))/100)))*(1+(((((1+Inputs!$B$24/100)*(1.01))-1)*100)+((C398=TRUE)*(F398-Calc!F26))+B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387=TRUE,F387,0)/100)*(1+(IF(Skills!A3="EIGHT_LEGS_EASTON",Inputs!$B$17+((C395=TRUE)*(F395-Calc!F23))+((C399=TRUE)*(F399-Calc!F27))+(((IF(AND(ArtifactsInput!$M$42,((Inputs!$B$9+((C391=TRUE)*(F391-Calc!F19))+B402+(ArtifactsInput!$M$24-ArtifactsInput!$M$24)*CHOOSE(ArtifactsInput!$N$24+1,10,12,14,16,18,20)+IF(ArtifactsInput!$M$10,CHOOSE(ArtifactsInput!$N$10+1,15,18,21,24,27,30)*(IF(Inputs!$B$38="pvp",MIN(15,15)/15,IF(AND(Inputs!$B$38&lt;&gt;"pvp",Inputs!$B$43&gt;0),MIN(15,Inputs!$B$43)/(Inputs!$B$43),0))),0)))&gt;=100),MIN(100,((Inputs!$B$9+((C391=TRUE)*(F391-Calc!F19))+B402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19))+B402+(ArtifactsInput!$M$24-ArtifactsInput!$M$24)*CHOOSE(ArtifactsInput!$N$24+1,10,12,14,16,18,20)+IF(ArtifactsInput!$M$10,CHOOSE(ArtifactsInput!$N$10+1,15,18,21,24,27,30)*(IF(Inputs!$B$38="pvp",MIN(15,15)/15,IF(AND(Inputs!$B$38&lt;&gt;"pvp",Inputs!$B$43&gt;0),MIN(15,Inputs!$B$43)/(Inputs!$B$43),0))),0)))&gt;=100),CHOOSE(ArtifactsInput!$N$42+1,40,48,56,64,72,80),0))))/100)*((1+(((C389=TRUE)*F389)+((C396=TRUE)*(F396-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375)</f>
        <v/>
      </c>
      <c r="L375">
        <f>K375*(MIN(Inputs!$B$22+((C394=TRUE)*(F394-Calc!F22)),(Inputs!$B$23+0+(IF(ArtifactsInput!$M$15,CHOOSE(ArtifactsInput!$N$15+1,25,30,35,40,45,50)/100*(Inputs!$B$11-Inputs!$B$11),0))))/100+(Inputs!$B$23+0+(IF(ArtifactsInput!$M$15,CHOOSE(ArtifactsInput!$N$15+1,25,30,35,40,45,50)/100*(Inputs!$B$11-Inputs!$B$11),0)))/100)/2</f>
        <v/>
      </c>
      <c r="M375">
        <f>L375*(1+(Inputs!$B$10+((C397=TRUE)*(F397-Calc!F25))+B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5">
        <f>L375*(1-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375*(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5">
        <f>(1-Summary!$B$11)*T375+Summary!$B$11*V375</f>
        <v/>
      </c>
      <c r="P375">
        <f>IF(B412=0,0,O375/B412)</f>
        <v/>
      </c>
      <c r="Q375">
        <f>IFERROR(1/(IF(Inputs!$B$38="pvp",15,MAX(0.1,Skills!D3-IF(Skills!E3=TRUE,Inputs!$B$32,0)))*(1-IF(AND(ArtifactsInput!$M$27,Inputs!$B$4="Chapter Hunt"),CHOOSE(ArtifactsInput!$N$27+1,20,24,28,32,36,40),0)/100)),0)</f>
        <v/>
      </c>
      <c r="R375">
        <f>IF(AND(Inputs!$B$38&lt;&gt;"pvp",Inputs!$B$43&gt;0),IF(MAX(0,Inputs!$B$43-B409)&lt;=0,0,(INT(MAX(0,Inputs!$B$43-B409)/(IF(Inputs!$B$38="pvp",15,MAX(0.1,Skills!D3-IF(Skills!E3=TRUE,Inputs!$B$32,0)))*(1-IF(AND(ArtifactsInput!$M$27,Inputs!$B$4="Chapter Hunt"),CHOOSE(ArtifactsInput!$N$27+1,20,24,28,32,36,40),0)/100)))+1)),0)</f>
        <v/>
      </c>
      <c r="S375">
        <f>IFERROR(O375/N375,0)</f>
        <v/>
      </c>
      <c r="T375">
        <f>IF(C375,(H375*N375*IF(AND(Inputs!$B$38&lt;&gt;"pvp",Inputs!$B$43&gt;0),((Skills!G3*((R375-1)*IF(Skills!H3&gt;0,Skills!I3/Skills!H3,1)+IF(Skills!H3&gt;0,MIN(Skills!I3,MAX(0,MAX(0,Inputs!$B$43-B409)-((R375-1)*(IF(Inputs!$B$38="pvp",15,MAX(0.1,Skills!D3-IF(Skills!E3=TRUE,Inputs!$B$32,0)))*(1-IF(AND(ArtifactsInput!$M$27,Inputs!$B$4="Chapter Hunt"),CHOOSE(ArtifactsInput!$N$27+1,20,24,28,32,36,40),0)/100)))))/Skills!H3,1)))/Inputs!$B$43),G375*Q375)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375*(1-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375*(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375*(1-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375*(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75">
        <f>INDEX(FactorTable!$B$2:$Y$301, MATCH(ROUND(MIN(300,MAX(1,U374)),0), FactorTable!$A$2:$A$301,0), 22)</f>
        <v/>
      </c>
      <c r="V375">
        <f>IF(C375,(H375*N375*IF(AND(Inputs!$B$38&lt;&gt;"pvp",Inputs!$B$43&gt;0),((Skills!G3*((R375-1)*IF(Skills!H3&gt;0,Skills!I3/Skills!H3,1)+IF(Skills!H3&gt;0,MIN(Skills!I3,MAX(0,MAX(0,Inputs!$B$43-B409)-((R375-1)*(IF(Inputs!$B$38="pvp",15,MAX(0.1,Skills!D3-IF(Skills!E3=TRUE,Inputs!$B$32,0)))*(1-IF(AND(ArtifactsInput!$M$27,Inputs!$B$4="Chapter Hunt"),CHOOSE(ArtifactsInput!$N$27+1,20,24,28,32,36,40),0)/100)))))/Skills!H3,1)))/Inputs!$B$43),G375*Q375))*IF(Inputs!$B$38="pvp",1,(1+(Inputs!$B$21+Skills!Q3+(IF(ArtifactsInput!$M$33,CHOOSE(ArtifactsInput!$N$33+1,30,36,42,48,54,60)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6">
      <c r="A376">
        <f>Skills!A4</f>
        <v/>
      </c>
      <c r="B376">
        <f>Skills!B4</f>
        <v/>
      </c>
      <c r="C376">
        <f>Inputs!$B$3&gt;=40</f>
        <v/>
      </c>
      <c r="D376">
        <f>IF(Skills!C4=1,60+Inputs!$B$25+Inputs!$B$29,IF(Skills!C4=2,90+Inputs!$B$26+Inputs!$B$29,IF(Skills!C4=3,120+Inputs!$B$27+Inputs!$B$29,MAX(0,(Inputs!$B$3-100)*3)+Inputs!$B$28+Inputs!$B$29)))</f>
        <v/>
      </c>
      <c r="E376">
        <f>INDEX(FactorTable!$B$2:$Y$301, MATCH(ROUND(MIN(300,MAX(1,D376)),0), FactorTable!$A$2:$A$301,0), Skills!M4+1)</f>
        <v/>
      </c>
      <c r="F376">
        <f>IF(Skills!N4=TRUE,(Skills!L4/10)*(E376/1000),Skills!L4/10)+Skills!O4</f>
        <v/>
      </c>
      <c r="G376">
        <f>Skills!G4*IF(Skills!H4&gt;0,Skills!I4/Skills!H4,1)</f>
        <v/>
      </c>
      <c r="H376">
        <f>1-(1-Skills!J4/100)^Skills!K4</f>
        <v/>
      </c>
      <c r="I376" t="inlineStr">
        <is>
          <t>1</t>
        </is>
      </c>
      <c r="J376">
        <f>((Inputs!$B$6*(1+Inputs!$B$7/100))+(((Inputs!$B$12*(1+Inputs!$B$13/100))-(Inputs!$B$12*(1+Inputs!$B$13/100)))+0.25*(Inputs!$B$14-Inputs!$B$14))*(1+Inputs!$B$7/100))*(F376/100)</f>
        <v/>
      </c>
      <c r="K376">
        <f>J376*(1+((Inputs!$B$12*(1+Inputs!$B$13/100))*0.01+Inputs!$B$14*0.0025)/100)*(1+Inputs!$B$15/100)*(1+Inputs!$B$16/100)*(5000/(6000+Inputs!$B$42*(1-(100*(1-(1-(Inputs!$B$19+0)/100)*(1-CHOOSE(ArtifactsInput!$N$40+1,5,6,7,8,9,10)/100)^(ArtifactsInput!$M$40-ArtifactsInput!$M$40)))/100)))*(1+(((((1+Inputs!$B$24/100)*(1.01))-1)*100)+((C398=TRUE)*(F398-Calc!F26))+B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388=TRUE,F388,0)/100)*(1+(IF(Skills!A4="EIGHT_LEGS_EASTON",Inputs!$B$17+((C395=TRUE)*(F395-Calc!F23))+((C399=TRUE)*(F399-Calc!F27))+(((IF(AND(ArtifactsInput!$M$42,((Inputs!$B$9+((C391=TRUE)*(F391-Calc!F19))+B402+(ArtifactsInput!$M$24-ArtifactsInput!$M$24)*CHOOSE(ArtifactsInput!$N$24+1,10,12,14,16,18,20)+IF(ArtifactsInput!$M$10,CHOOSE(ArtifactsInput!$N$10+1,15,18,21,24,27,30)*(IF(Inputs!$B$38="pvp",MIN(15,15)/15,IF(AND(Inputs!$B$38&lt;&gt;"pvp",Inputs!$B$43&gt;0),MIN(15,Inputs!$B$43)/(Inputs!$B$43),0))),0)))&gt;=100),MIN(100,((Inputs!$B$9+((C391=TRUE)*(F391-Calc!F19))+B402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19))+B402+(ArtifactsInput!$M$24-ArtifactsInput!$M$24)*CHOOSE(ArtifactsInput!$N$24+1,10,12,14,16,18,20)+IF(ArtifactsInput!$M$10,CHOOSE(ArtifactsInput!$N$10+1,15,18,21,24,27,30)*(IF(Inputs!$B$38="pvp",MIN(15,15)/15,IF(AND(Inputs!$B$38&lt;&gt;"pvp",Inputs!$B$43&gt;0),MIN(15,Inputs!$B$43)/(Inputs!$B$43),0))),0)))&gt;=100),CHOOSE(ArtifactsInput!$N$42+1,40,48,56,64,72,80),0))))/100)*((1+(((C389=TRUE)*F389)+((C396=TRUE)*(F396-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376)</f>
        <v/>
      </c>
      <c r="L376">
        <f>K376*(MIN(Inputs!$B$22+((C394=TRUE)*(F394-Calc!F22)),(Inputs!$B$23+0+(IF(ArtifactsInput!$M$15,CHOOSE(ArtifactsInput!$N$15+1,25,30,35,40,45,50)/100*(Inputs!$B$11-Inputs!$B$11),0))))/100+(Inputs!$B$23+0+(IF(ArtifactsInput!$M$15,CHOOSE(ArtifactsInput!$N$15+1,25,30,35,40,45,50)/100*(Inputs!$B$11-Inputs!$B$11),0)))/100)/2</f>
        <v/>
      </c>
      <c r="M376">
        <f>L376*(1+(Inputs!$B$10+((C397=TRUE)*(F397-Calc!F25))+B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6">
        <f>L376*(1-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376*(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6">
        <f>(1-Summary!$B$11)*T376+Summary!$B$11*V376</f>
        <v/>
      </c>
      <c r="P376">
        <f>IF(B412=0,0,O376/B412)</f>
        <v/>
      </c>
      <c r="Q376">
        <f>IFERROR(1/(IF(Inputs!$B$38="pvp",15,MAX(0.1,Skills!D4-IF(Skills!E4=TRUE,Inputs!$B$32,0)))*(1-IF(AND(ArtifactsInput!$M$27,Inputs!$B$4="Chapter Hunt"),CHOOSE(ArtifactsInput!$N$27+1,20,24,28,32,36,40),0)/100)),0)</f>
        <v/>
      </c>
      <c r="R376">
        <f>IF(AND(Inputs!$B$38&lt;&gt;"pvp",Inputs!$B$43&gt;0),IF(MAX(0,Inputs!$B$43-B409)&lt;=0,0,(INT(MAX(0,Inputs!$B$43-B409)/(IF(Inputs!$B$38="pvp",15,MAX(0.1,Skills!D4-IF(Skills!E4=TRUE,Inputs!$B$32,0)))*(1-IF(AND(ArtifactsInput!$M$27,Inputs!$B$4="Chapter Hunt"),CHOOSE(ArtifactsInput!$N$27+1,20,24,28,32,36,40),0)/100)))+1)),0)</f>
        <v/>
      </c>
      <c r="S376">
        <f>IFERROR(O376/N376,0)</f>
        <v/>
      </c>
      <c r="T376">
        <f>IF(C376,(H376*N376*IF(AND(Inputs!$B$38&lt;&gt;"pvp",Inputs!$B$43&gt;0),((Skills!G4*((R376-1)*IF(Skills!H4&gt;0,Skills!I4/Skills!H4,1)+IF(Skills!H4&gt;0,MIN(Skills!I4,MAX(0,MAX(0,Inputs!$B$43-B409)-((R376-1)*(IF(Inputs!$B$38="pvp",15,MAX(0.1,Skills!D4-IF(Skills!E4=TRUE,Inputs!$B$32,0)))*(1-IF(AND(ArtifactsInput!$M$27,Inputs!$B$4="Chapter Hunt"),CHOOSE(ArtifactsInput!$N$27+1,20,24,28,32,36,40),0)/100)))))/Skills!H4,1)))/Inputs!$B$43),G376*Q376)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376*(1-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376*(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376*(1-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376*(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76">
        <f>290*U375/1000</f>
        <v/>
      </c>
      <c r="V376">
        <f>IF(C376,(H376*N376*IF(AND(Inputs!$B$38&lt;&gt;"pvp",Inputs!$B$43&gt;0),((Skills!G4*((R376-1)*IF(Skills!H4&gt;0,Skills!I4/Skills!H4,1)+IF(Skills!H4&gt;0,MIN(Skills!I4,MAX(0,MAX(0,Inputs!$B$43-B409)-((R376-1)*(IF(Inputs!$B$38="pvp",15,MAX(0.1,Skills!D4-IF(Skills!E4=TRUE,Inputs!$B$32,0)))*(1-IF(AND(ArtifactsInput!$M$27,Inputs!$B$4="Chapter Hunt"),CHOOSE(ArtifactsInput!$N$27+1,20,24,28,32,36,40),0)/100)))))/Skills!H4,1)))/Inputs!$B$43),G376*Q376))*IF(Inputs!$B$38="pvp",1,(1+(Inputs!$B$21+Skills!Q4+(IF(ArtifactsInput!$M$33,CHOOSE(ArtifactsInput!$N$33+1,30,36,42,48,54,60)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7">
      <c r="A377">
        <f>Skills!A5</f>
        <v/>
      </c>
      <c r="B377">
        <f>Skills!B5</f>
        <v/>
      </c>
      <c r="C377">
        <f>Inputs!$B$3&gt;=45</f>
        <v/>
      </c>
      <c r="D377">
        <f>IF(Skills!C5=1,60+Inputs!$B$25+Inputs!$B$29,IF(Skills!C5=2,90+Inputs!$B$26+Inputs!$B$29,IF(Skills!C5=3,120+Inputs!$B$27+Inputs!$B$29,MAX(0,(Inputs!$B$3-100)*3)+Inputs!$B$28+Inputs!$B$29)))</f>
        <v/>
      </c>
      <c r="E377">
        <f>INDEX(FactorTable!$B$2:$Y$301, MATCH(ROUND(MIN(300,MAX(1,D377)),0), FactorTable!$A$2:$A$301,0), Skills!M5+1)</f>
        <v/>
      </c>
      <c r="F377">
        <f>IF(Skills!N5=TRUE,(Skills!L5/10)*(E377/1000),Skills!L5/10)+Skills!O5</f>
        <v/>
      </c>
      <c r="G377">
        <f>Skills!G5*IF(Skills!H5&gt;0,Skills!I5/Skills!H5,1)</f>
        <v/>
      </c>
      <c r="H377">
        <f>1-(1-Skills!J5/100)^Skills!K5</f>
        <v/>
      </c>
      <c r="I377" t="inlineStr">
        <is>
          <t>1</t>
        </is>
      </c>
      <c r="J377">
        <f>((Inputs!$B$6*(1+Inputs!$B$7/100))+(((Inputs!$B$12*(1+Inputs!$B$13/100))-(Inputs!$B$12*(1+Inputs!$B$13/100)))+0.25*(Inputs!$B$14-Inputs!$B$14))*(1+Inputs!$B$7/100))*(F377/100)</f>
        <v/>
      </c>
      <c r="K377">
        <f>J377*(1+((Inputs!$B$12*(1+Inputs!$B$13/100))*0.01+Inputs!$B$14*0.0025)/100)*(1+Inputs!$B$15/100)*(1+Inputs!$B$16/100)*(5000/(6000+Inputs!$B$42*(1-(100*(1-(1-(Inputs!$B$19+0)/100)*(1-CHOOSE(ArtifactsInput!$N$40+1,5,6,7,8,9,10)/100)^(ArtifactsInput!$M$40-ArtifactsInput!$M$40)))/100)))*(1+(((((1+Inputs!$B$24/100)*(1.01))-1)*100)+((C398=TRUE)*(F398-Calc!F26))+B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388=TRUE,F388,0)/100)*(1+(IF(Skills!A5="EIGHT_LEGS_EASTON",Inputs!$B$17+((C395=TRUE)*(F395-Calc!F23))+((C399=TRUE)*(F399-Calc!F27))+(((IF(AND(ArtifactsInput!$M$42,((Inputs!$B$9+((C391=TRUE)*(F391-Calc!F19))+B402+(ArtifactsInput!$M$24-ArtifactsInput!$M$24)*CHOOSE(ArtifactsInput!$N$24+1,10,12,14,16,18,20)+IF(ArtifactsInput!$M$10,CHOOSE(ArtifactsInput!$N$10+1,15,18,21,24,27,30)*(IF(Inputs!$B$38="pvp",MIN(15,15)/15,IF(AND(Inputs!$B$38&lt;&gt;"pvp",Inputs!$B$43&gt;0),MIN(15,Inputs!$B$43)/(Inputs!$B$43),0))),0)))&gt;=100),MIN(100,((Inputs!$B$9+((C391=TRUE)*(F391-Calc!F19))+B402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19))+B402+(ArtifactsInput!$M$24-ArtifactsInput!$M$24)*CHOOSE(ArtifactsInput!$N$24+1,10,12,14,16,18,20)+IF(ArtifactsInput!$M$10,CHOOSE(ArtifactsInput!$N$10+1,15,18,21,24,27,30)*(IF(Inputs!$B$38="pvp",MIN(15,15)/15,IF(AND(Inputs!$B$38&lt;&gt;"pvp",Inputs!$B$43&gt;0),MIN(15,Inputs!$B$43)/(Inputs!$B$43),0))),0)))&gt;=100),CHOOSE(ArtifactsInput!$N$42+1,40,48,56,64,72,80),0))))/100)*((1+(((C389=TRUE)*F389)+((C396=TRUE)*(F396-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377)</f>
        <v/>
      </c>
      <c r="L377">
        <f>K377*(MIN(Inputs!$B$22+((C394=TRUE)*(F394-Calc!F22)),(Inputs!$B$23+0+(IF(ArtifactsInput!$M$15,CHOOSE(ArtifactsInput!$N$15+1,25,30,35,40,45,50)/100*(Inputs!$B$11-Inputs!$B$11),0))))/100+(Inputs!$B$23+0+(IF(ArtifactsInput!$M$15,CHOOSE(ArtifactsInput!$N$15+1,25,30,35,40,45,50)/100*(Inputs!$B$11-Inputs!$B$11),0)))/100)/2</f>
        <v/>
      </c>
      <c r="M377">
        <f>L377*(1+(Inputs!$B$10+((C397=TRUE)*(F397-Calc!F25))+B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7">
        <f>L377*(1-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377*(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7">
        <f>(1-Summary!$B$11)*T377+Summary!$B$11*V377</f>
        <v/>
      </c>
      <c r="P377">
        <f>IF(B412=0,0,O377/B412)</f>
        <v/>
      </c>
      <c r="Q377">
        <f>IFERROR(1/(IF(Inputs!$B$38="pvp",15,MAX(0.1,Skills!D5-IF(Skills!E5=TRUE,Inputs!$B$32,0)))*(1-IF(AND(ArtifactsInput!$M$27,Inputs!$B$4="Chapter Hunt"),CHOOSE(ArtifactsInput!$N$27+1,20,24,28,32,36,40),0)/100)),0)</f>
        <v/>
      </c>
      <c r="R377">
        <f>IF(AND(Inputs!$B$38&lt;&gt;"pvp",Inputs!$B$43&gt;0),IF(MAX(0,Inputs!$B$43-B409)&lt;=0,0,(INT(MAX(0,Inputs!$B$43-B409)/(IF(Inputs!$B$38="pvp",15,MAX(0.1,Skills!D5-IF(Skills!E5=TRUE,Inputs!$B$32,0)))*(1-IF(AND(ArtifactsInput!$M$27,Inputs!$B$4="Chapter Hunt"),CHOOSE(ArtifactsInput!$N$27+1,20,24,28,32,36,40),0)/100)))+1)),0)</f>
        <v/>
      </c>
      <c r="S377">
        <f>IFERROR(O377/N377,0)</f>
        <v/>
      </c>
      <c r="T377">
        <f>IF(C377,(H377*N377*IF(AND(Inputs!$B$38&lt;&gt;"pvp",Inputs!$B$43&gt;0),((Skills!G5*((R377-1)*IF(Skills!H5&gt;0,Skills!I5/Skills!H5,1)+IF(Skills!H5&gt;0,MIN(Skills!I5,MAX(0,MAX(0,Inputs!$B$43-B409)-((R377-1)*(IF(Inputs!$B$38="pvp",15,MAX(0.1,Skills!D5-IF(Skills!E5=TRUE,Inputs!$B$32,0)))*(1-IF(AND(ArtifactsInput!$M$27,Inputs!$B$4="Chapter Hunt"),CHOOSE(ArtifactsInput!$N$27+1,20,24,28,32,36,40),0)/100)))))/Skills!H5,1)))/Inputs!$B$43),G377*Q377)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377*(1-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377*(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377*(1-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377*(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7">
        <f>IF(C377,(H377*N377*IF(AND(Inputs!$B$38&lt;&gt;"pvp",Inputs!$B$43&gt;0),((Skills!G5*((R377-1)*IF(Skills!H5&gt;0,Skills!I5/Skills!H5,1)+IF(Skills!H5&gt;0,MIN(Skills!I5,MAX(0,MAX(0,Inputs!$B$43-B409)-((R377-1)*(IF(Inputs!$B$38="pvp",15,MAX(0.1,Skills!D5-IF(Skills!E5=TRUE,Inputs!$B$32,0)))*(1-IF(AND(ArtifactsInput!$M$27,Inputs!$B$4="Chapter Hunt"),CHOOSE(ArtifactsInput!$N$27+1,20,24,28,32,36,40),0)/100)))))/Skills!H5,1)))/Inputs!$B$43),G377*Q377))*IF(Inputs!$B$38="pvp",1,(1+(Inputs!$B$21+Skills!Q5+(IF(ArtifactsInput!$M$33,CHOOSE(ArtifactsInput!$N$33+1,30,36,42,48,54,60)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8">
      <c r="A378">
        <f>Skills!A6</f>
        <v/>
      </c>
      <c r="B378">
        <f>Skills!B6</f>
        <v/>
      </c>
      <c r="C378">
        <f>Inputs!$B$3&gt;=63</f>
        <v/>
      </c>
      <c r="D378">
        <f>IF(Skills!C6=1,60+Inputs!$B$25+Inputs!$B$29,IF(Skills!C6=2,90+Inputs!$B$26+Inputs!$B$29,IF(Skills!C6=3,120+Inputs!$B$27+Inputs!$B$29,MAX(0,(Inputs!$B$3-100)*3)+Inputs!$B$28+Inputs!$B$29)))</f>
        <v/>
      </c>
      <c r="E378">
        <f>INDEX(FactorTable!$B$2:$Y$301, MATCH(ROUND(MIN(300,MAX(1,D378)),0), FactorTable!$A$2:$A$301,0), Skills!M6+1)</f>
        <v/>
      </c>
      <c r="F378">
        <f>IF(Skills!N6=TRUE,(Skills!L6/10)*(E378/1000),Skills!L6/10)+Skills!O6</f>
        <v/>
      </c>
      <c r="G378">
        <f>Skills!G6*IF(Skills!H6&gt;0,Skills!I6/Skills!H6,1)</f>
        <v/>
      </c>
      <c r="H378">
        <f>1-(1-Skills!J6/100)^Skills!K6</f>
        <v/>
      </c>
      <c r="I378" t="inlineStr">
        <is>
          <t>1</t>
        </is>
      </c>
      <c r="J378">
        <f>((Inputs!$B$6*(1+Inputs!$B$7/100))+(((Inputs!$B$12*(1+Inputs!$B$13/100))-(Inputs!$B$12*(1+Inputs!$B$13/100)))+0.25*(Inputs!$B$14-Inputs!$B$14))*(1+Inputs!$B$7/100))*(F378/100)</f>
        <v/>
      </c>
      <c r="K378">
        <f>J378*(1+((Inputs!$B$12*(1+Inputs!$B$13/100))*0.01+Inputs!$B$14*0.0025)/100)*(1+Inputs!$B$15/100)*(1+Inputs!$B$16/100)*(5000/(6000+Inputs!$B$42*(1-(100*(1-(1-(Inputs!$B$19+0)/100)*(1-CHOOSE(ArtifactsInput!$N$40+1,5,6,7,8,9,10)/100)^(ArtifactsInput!$M$40-ArtifactsInput!$M$40)))/100)))*(1+(((((1+Inputs!$B$24/100)*(1.01))-1)*100)+((C398=TRUE)*(F398-Calc!F26))+B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387=TRUE,F387,0)/100)*(1+(IF(Skills!A6="EIGHT_LEGS_EASTON",Inputs!$B$17+((C395=TRUE)*(F395-Calc!F23))+((C399=TRUE)*(F399-Calc!F27))+(((IF(AND(ArtifactsInput!$M$42,((Inputs!$B$9+((C391=TRUE)*(F391-Calc!F19))+B402+(ArtifactsInput!$M$24-ArtifactsInput!$M$24)*CHOOSE(ArtifactsInput!$N$24+1,10,12,14,16,18,20)+IF(ArtifactsInput!$M$10,CHOOSE(ArtifactsInput!$N$10+1,15,18,21,24,27,30)*(IF(Inputs!$B$38="pvp",MIN(15,15)/15,IF(AND(Inputs!$B$38&lt;&gt;"pvp",Inputs!$B$43&gt;0),MIN(15,Inputs!$B$43)/(Inputs!$B$43),0))),0)))&gt;=100),MIN(100,((Inputs!$B$9+((C391=TRUE)*(F391-Calc!F19))+B402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19))+B402+(ArtifactsInput!$M$24-ArtifactsInput!$M$24)*CHOOSE(ArtifactsInput!$N$24+1,10,12,14,16,18,20)+IF(ArtifactsInput!$M$10,CHOOSE(ArtifactsInput!$N$10+1,15,18,21,24,27,30)*(IF(Inputs!$B$38="pvp",MIN(15,15)/15,IF(AND(Inputs!$B$38&lt;&gt;"pvp",Inputs!$B$43&gt;0),MIN(15,Inputs!$B$43)/(Inputs!$B$43),0))),0)))&gt;=100),CHOOSE(ArtifactsInput!$N$42+1,40,48,56,64,72,80),0))))/100)*((1+(((C389=TRUE)*F389)+((C396=TRUE)*(F396-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378)</f>
        <v/>
      </c>
      <c r="L378">
        <f>K378*(MIN(Inputs!$B$22+((C394=TRUE)*(F394-Calc!F22)),(Inputs!$B$23+0+(IF(ArtifactsInput!$M$15,CHOOSE(ArtifactsInput!$N$15+1,25,30,35,40,45,50)/100*(Inputs!$B$11-Inputs!$B$11),0))))/100+(Inputs!$B$23+0+(IF(ArtifactsInput!$M$15,CHOOSE(ArtifactsInput!$N$15+1,25,30,35,40,45,50)/100*(Inputs!$B$11-Inputs!$B$11),0)))/100)/2</f>
        <v/>
      </c>
      <c r="M378">
        <f>L378*(1+(Inputs!$B$10+((C397=TRUE)*(F397-Calc!F25))+B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8">
        <f>L378*(1-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378*(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8">
        <f>(1-Summary!$B$11)*T378+Summary!$B$11*V378</f>
        <v/>
      </c>
      <c r="P378">
        <f>IF(B412=0,0,O378/B412)</f>
        <v/>
      </c>
      <c r="Q378">
        <f>IFERROR(1/(IF(Inputs!$B$38="pvp",15,MAX(0.1,Skills!D6-IF(Skills!E6=TRUE,Inputs!$B$32,0)))*(1-IF(AND(ArtifactsInput!$M$27,Inputs!$B$4="Chapter Hunt"),CHOOSE(ArtifactsInput!$N$27+1,20,24,28,32,36,40),0)/100)),0)</f>
        <v/>
      </c>
      <c r="R378">
        <f>IF(AND(Inputs!$B$38&lt;&gt;"pvp",Inputs!$B$43&gt;0),IF(MAX(0,Inputs!$B$43-B409)&lt;=0,0,(INT(MAX(0,Inputs!$B$43-B409)/(IF(Inputs!$B$38="pvp",15,MAX(0.1,Skills!D6-IF(Skills!E6=TRUE,Inputs!$B$32,0)))*(1-IF(AND(ArtifactsInput!$M$27,Inputs!$B$4="Chapter Hunt"),CHOOSE(ArtifactsInput!$N$27+1,20,24,28,32,36,40),0)/100)))+1)),0)</f>
        <v/>
      </c>
      <c r="S378">
        <f>IFERROR(O378/N378,0)</f>
        <v/>
      </c>
      <c r="T378">
        <f>IF(C378,(H378*N378*IF(AND(Inputs!$B$38&lt;&gt;"pvp",Inputs!$B$43&gt;0),((Skills!G6*((R378-1)*IF(Skills!H6&gt;0,Skills!I6/Skills!H6,1)+IF(Skills!H6&gt;0,MIN(Skills!I6,MAX(0,MAX(0,Inputs!$B$43-B409)-((R378-1)*(IF(Inputs!$B$38="pvp",15,MAX(0.1,Skills!D6-IF(Skills!E6=TRUE,Inputs!$B$32,0)))*(1-IF(AND(ArtifactsInput!$M$27,Inputs!$B$4="Chapter Hunt"),CHOOSE(ArtifactsInput!$N$27+1,20,24,28,32,36,40),0)/100)))))/Skills!H6,1)))/Inputs!$B$43),G378*Q378)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378*(1-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378*(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378*(1-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378*(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8">
        <f>IF(C378,(H378*N378*IF(AND(Inputs!$B$38&lt;&gt;"pvp",Inputs!$B$43&gt;0),((Skills!G6*((R378-1)*IF(Skills!H6&gt;0,Skills!I6/Skills!H6,1)+IF(Skills!H6&gt;0,MIN(Skills!I6,MAX(0,MAX(0,Inputs!$B$43-B409)-((R378-1)*(IF(Inputs!$B$38="pvp",15,MAX(0.1,Skills!D6-IF(Skills!E6=TRUE,Inputs!$B$32,0)))*(1-IF(AND(ArtifactsInput!$M$27,Inputs!$B$4="Chapter Hunt"),CHOOSE(ArtifactsInput!$N$27+1,20,24,28,32,36,40),0)/100)))))/Skills!H6,1)))/Inputs!$B$43),G378*Q378))*IF(Inputs!$B$38="pvp",1,(1+(Inputs!$B$21+Skills!Q6+(IF(ArtifactsInput!$M$33,CHOOSE(ArtifactsInput!$N$33+1,30,36,42,48,54,60)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9">
      <c r="A379">
        <f>Skills!A7</f>
        <v/>
      </c>
      <c r="B379">
        <f>Skills!B7</f>
        <v/>
      </c>
      <c r="C379">
        <f>Inputs!$B$3&gt;=66</f>
        <v/>
      </c>
      <c r="D379">
        <f>IF(Skills!C7=1,60+Inputs!$B$25+Inputs!$B$29,IF(Skills!C7=2,90+Inputs!$B$26+Inputs!$B$29,IF(Skills!C7=3,120+Inputs!$B$27+Inputs!$B$29,MAX(0,(Inputs!$B$3-100)*3)+Inputs!$B$28+Inputs!$B$29)))</f>
        <v/>
      </c>
      <c r="E379">
        <f>INDEX(FactorTable!$B$2:$Y$301, MATCH(ROUND(MIN(300,MAX(1,D379)),0), FactorTable!$A$2:$A$301,0), Skills!M7+1)</f>
        <v/>
      </c>
      <c r="F379">
        <f>IF(Skills!N7=TRUE,(Skills!L7/10)*(E379/1000),Skills!L7/10)+Skills!O7</f>
        <v/>
      </c>
      <c r="G379">
        <f>Skills!G7*IF(Skills!H7&gt;0,Skills!I7/Skills!H7,1)</f>
        <v/>
      </c>
      <c r="H379">
        <f>1-(1-Skills!J7/100)^Skills!K7</f>
        <v/>
      </c>
      <c r="I379" t="inlineStr">
        <is>
          <t>1</t>
        </is>
      </c>
      <c r="J379">
        <f>((Inputs!$B$6*(1+Inputs!$B$7/100))+(((Inputs!$B$12*(1+Inputs!$B$13/100))-(Inputs!$B$12*(1+Inputs!$B$13/100)))+0.25*(Inputs!$B$14-Inputs!$B$14))*(1+Inputs!$B$7/100))*(F379/100)</f>
        <v/>
      </c>
      <c r="K379">
        <f>J379*(1+((Inputs!$B$12*(1+Inputs!$B$13/100))*0.01+Inputs!$B$14*0.0025)/100)*(1+Inputs!$B$15/100)*(1+Inputs!$B$16/100)*(5000/(6000+Inputs!$B$42*(1-(100*(1-(1-(Inputs!$B$19+0)/100)*(1-CHOOSE(ArtifactsInput!$N$40+1,5,6,7,8,9,10)/100)^(ArtifactsInput!$M$40-ArtifactsInput!$M$40)))/100)))*(1+(((((1+Inputs!$B$24/100)*(1.01))-1)*100)+((C398=TRUE)*(F398-Calc!F26))+B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387=TRUE,F387,0)/100)*(1+(IF(Skills!A7="EIGHT_LEGS_EASTON",Inputs!$B$17+((C395=TRUE)*(F395-Calc!F23))+((C399=TRUE)*(F399-Calc!F27))+(((IF(AND(ArtifactsInput!$M$42,((Inputs!$B$9+((C391=TRUE)*(F391-Calc!F19))+B402+(ArtifactsInput!$M$24-ArtifactsInput!$M$24)*CHOOSE(ArtifactsInput!$N$24+1,10,12,14,16,18,20)+IF(ArtifactsInput!$M$10,CHOOSE(ArtifactsInput!$N$10+1,15,18,21,24,27,30)*(IF(Inputs!$B$38="pvp",MIN(15,15)/15,IF(AND(Inputs!$B$38&lt;&gt;"pvp",Inputs!$B$43&gt;0),MIN(15,Inputs!$B$43)/(Inputs!$B$43),0))),0)))&gt;=100),MIN(100,((Inputs!$B$9+((C391=TRUE)*(F391-Calc!F19))+B402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19))+B402+(ArtifactsInput!$M$24-ArtifactsInput!$M$24)*CHOOSE(ArtifactsInput!$N$24+1,10,12,14,16,18,20)+IF(ArtifactsInput!$M$10,CHOOSE(ArtifactsInput!$N$10+1,15,18,21,24,27,30)*(IF(Inputs!$B$38="pvp",MIN(15,15)/15,IF(AND(Inputs!$B$38&lt;&gt;"pvp",Inputs!$B$43&gt;0),MIN(15,Inputs!$B$43)/(Inputs!$B$43),0))),0)))&gt;=100),CHOOSE(ArtifactsInput!$N$42+1,40,48,56,64,72,80),0))))/100)*((1+(((C389=TRUE)*F389)+((C396=TRUE)*(F396-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379)</f>
        <v/>
      </c>
      <c r="L379">
        <f>K379*(MIN(Inputs!$B$22+((C394=TRUE)*(F394-Calc!F22)),(Inputs!$B$23+0+(IF(ArtifactsInput!$M$15,CHOOSE(ArtifactsInput!$N$15+1,25,30,35,40,45,50)/100*(Inputs!$B$11-Inputs!$B$11),0))))/100+(Inputs!$B$23+0+(IF(ArtifactsInput!$M$15,CHOOSE(ArtifactsInput!$N$15+1,25,30,35,40,45,50)/100*(Inputs!$B$11-Inputs!$B$11),0)))/100)/2</f>
        <v/>
      </c>
      <c r="M379">
        <f>L379*(1+(Inputs!$B$10+((C397=TRUE)*(F397-Calc!F25))+B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9">
        <f>L379*(1-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379*(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9">
        <f>(1-Summary!$B$11)*T379+Summary!$B$11*V379</f>
        <v/>
      </c>
      <c r="P379">
        <f>IF(B412=0,0,O379/B412)</f>
        <v/>
      </c>
      <c r="Q379">
        <f>IFERROR(1/(IF(Inputs!$B$38="pvp",15,MAX(0.1,Skills!D7-IF(Skills!E7=TRUE,Inputs!$B$32,0)))*(1-IF(AND(ArtifactsInput!$M$27,Inputs!$B$4="Chapter Hunt"),CHOOSE(ArtifactsInput!$N$27+1,20,24,28,32,36,40),0)/100)),0)</f>
        <v/>
      </c>
      <c r="R379">
        <f>IF(AND(Inputs!$B$38&lt;&gt;"pvp",Inputs!$B$43&gt;0),IF(MAX(0,Inputs!$B$43-B409)&lt;=0,0,(INT(MAX(0,Inputs!$B$43-B409)/(IF(Inputs!$B$38="pvp",15,MAX(0.1,Skills!D7-IF(Skills!E7=TRUE,Inputs!$B$32,0)))*(1-IF(AND(ArtifactsInput!$M$27,Inputs!$B$4="Chapter Hunt"),CHOOSE(ArtifactsInput!$N$27+1,20,24,28,32,36,40),0)/100)))+1)),0)</f>
        <v/>
      </c>
      <c r="S379">
        <f>IFERROR(O379/N379,0)</f>
        <v/>
      </c>
      <c r="T379">
        <f>IF(C379,(H379*N379*IF(AND(Inputs!$B$38&lt;&gt;"pvp",Inputs!$B$43&gt;0),((Skills!G7*((R379-1)*IF(Skills!H7&gt;0,Skills!I7/Skills!H7,1)+IF(Skills!H7&gt;0,MIN(Skills!I7,MAX(0,MAX(0,Inputs!$B$43-B409)-((R379-1)*(IF(Inputs!$B$38="pvp",15,MAX(0.1,Skills!D7-IF(Skills!E7=TRUE,Inputs!$B$32,0)))*(1-IF(AND(ArtifactsInput!$M$27,Inputs!$B$4="Chapter Hunt"),CHOOSE(ArtifactsInput!$N$27+1,20,24,28,32,36,40),0)/100)))))/Skills!H7,1)))/Inputs!$B$43),G379*Q379)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379*(1-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379*(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379*(1-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379*(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9">
        <f>IF(C379,(H379*N379*IF(AND(Inputs!$B$38&lt;&gt;"pvp",Inputs!$B$43&gt;0),((Skills!G7*((R379-1)*IF(Skills!H7&gt;0,Skills!I7/Skills!H7,1)+IF(Skills!H7&gt;0,MIN(Skills!I7,MAX(0,MAX(0,Inputs!$B$43-B409)-((R379-1)*(IF(Inputs!$B$38="pvp",15,MAX(0.1,Skills!D7-IF(Skills!E7=TRUE,Inputs!$B$32,0)))*(1-IF(AND(ArtifactsInput!$M$27,Inputs!$B$4="Chapter Hunt"),CHOOSE(ArtifactsInput!$N$27+1,20,24,28,32,36,40),0)/100)))))/Skills!H7,1)))/Inputs!$B$43),G379*Q379))*IF(Inputs!$B$38="pvp",1,(1+(Inputs!$B$21+Skills!Q7+(IF(ArtifactsInput!$M$33,CHOOSE(ArtifactsInput!$N$33+1,30,36,42,48,54,60)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0">
      <c r="A380">
        <f>Skills!A8</f>
        <v/>
      </c>
      <c r="B380">
        <f>Skills!B8</f>
        <v/>
      </c>
      <c r="C380">
        <f>Inputs!$B$3&gt;=100</f>
        <v/>
      </c>
      <c r="D380">
        <f>IF(Skills!C8=1,60+Inputs!$B$25+Inputs!$B$29,IF(Skills!C8=2,90+Inputs!$B$26+Inputs!$B$29,IF(Skills!C8=3,120+Inputs!$B$27+Inputs!$B$29,MAX(0,(Inputs!$B$3-100)*3)+Inputs!$B$28+Inputs!$B$29)))</f>
        <v/>
      </c>
      <c r="E380">
        <f>INDEX(FactorTable!$B$2:$Y$301, MATCH(ROUND(MIN(300,MAX(1,D380)),0), FactorTable!$A$2:$A$301,0), Skills!M8+1)</f>
        <v/>
      </c>
      <c r="F380">
        <f>IF(Skills!N8=TRUE,(Skills!L8/10)*(E380/1000),Skills!L8/10)+Skills!O8</f>
        <v/>
      </c>
      <c r="G380">
        <f>Skills!G8*IF(Skills!H8&gt;0,Skills!I8/Skills!H8,1)</f>
        <v/>
      </c>
      <c r="H380">
        <f>1-(1-Skills!J8/100)^Skills!K8</f>
        <v/>
      </c>
      <c r="I380" t="inlineStr">
        <is>
          <t>1</t>
        </is>
      </c>
      <c r="J380">
        <f>((Inputs!$B$6*(1+Inputs!$B$7/100))+(((Inputs!$B$12*(1+Inputs!$B$13/100))-(Inputs!$B$12*(1+Inputs!$B$13/100)))+0.25*(Inputs!$B$14-Inputs!$B$14))*(1+Inputs!$B$7/100))*(F380/100)</f>
        <v/>
      </c>
      <c r="K380">
        <f>J380*(1+((Inputs!$B$12*(1+Inputs!$B$13/100))*0.01+Inputs!$B$14*0.0025)/100)*(1+Inputs!$B$15/100)*(1+Inputs!$B$16/100)*(5000/(6000+Inputs!$B$42*(1-(100*(1-(1-(Inputs!$B$19+0)/100)*(1-CHOOSE(ArtifactsInput!$N$40+1,5,6,7,8,9,10)/100)^(ArtifactsInput!$M$40-ArtifactsInput!$M$40)))/100)))*(1+(((((1+Inputs!$B$24/100)*(1.01))-1)*100)+((C398=TRUE)*(F398-Calc!F26))+B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395=TRUE)*(F395-Calc!F23))+((C399=TRUE)*(F399-Calc!F27))+(((IF(AND(ArtifactsInput!$M$42,((Inputs!$B$9+((C391=TRUE)*(F391-Calc!F19))+B402+(ArtifactsInput!$M$24-ArtifactsInput!$M$24)*CHOOSE(ArtifactsInput!$N$24+1,10,12,14,16,18,20)+IF(ArtifactsInput!$M$10,CHOOSE(ArtifactsInput!$N$10+1,15,18,21,24,27,30)*(IF(Inputs!$B$38="pvp",MIN(15,15)/15,IF(AND(Inputs!$B$38&lt;&gt;"pvp",Inputs!$B$43&gt;0),MIN(15,Inputs!$B$43)/(Inputs!$B$43),0))),0)))&gt;=100),MIN(100,((Inputs!$B$9+((C391=TRUE)*(F391-Calc!F19))+B402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19))+B402+(ArtifactsInput!$M$24-ArtifactsInput!$M$24)*CHOOSE(ArtifactsInput!$N$24+1,10,12,14,16,18,20)+IF(ArtifactsInput!$M$10,CHOOSE(ArtifactsInput!$N$10+1,15,18,21,24,27,30)*(IF(Inputs!$B$38="pvp",MIN(15,15)/15,IF(AND(Inputs!$B$38&lt;&gt;"pvp",Inputs!$B$43&gt;0),MIN(15,Inputs!$B$43)/(Inputs!$B$43),0))),0)))&gt;=100),CHOOSE(ArtifactsInput!$N$42+1,40,48,56,64,72,80),0))))/100)*((1+(((C389=TRUE)*F389)+((C396=TRUE)*(F396-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380)</f>
        <v/>
      </c>
      <c r="L380">
        <f>K380*(MIN(Inputs!$B$22+((C394=TRUE)*(F394-Calc!F22)),(Inputs!$B$23+0+(IF(ArtifactsInput!$M$15,CHOOSE(ArtifactsInput!$N$15+1,25,30,35,40,45,50)/100*(Inputs!$B$11-Inputs!$B$11),0))))/100+(Inputs!$B$23+0+(IF(ArtifactsInput!$M$15,CHOOSE(ArtifactsInput!$N$15+1,25,30,35,40,45,50)/100*(Inputs!$B$11-Inputs!$B$11),0)))/100)/2</f>
        <v/>
      </c>
      <c r="M380">
        <f>L380*(1+(Inputs!$B$10+((C397=TRUE)*(F397-Calc!F25))+B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0">
        <f>L380*(1-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380*(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0">
        <f>(1-Summary!$B$11)*T380+Summary!$B$11*V380</f>
        <v/>
      </c>
      <c r="P380">
        <f>IF(B412=0,0,O380/B412)</f>
        <v/>
      </c>
      <c r="Q380">
        <f>IFERROR(1/(IF(Inputs!$B$38="pvp",15,MAX(0.1,Skills!D8-IF(Skills!E8=TRUE,Inputs!$B$32,0)))*(1-IF(AND(ArtifactsInput!$M$27,Inputs!$B$4="Chapter Hunt"),CHOOSE(ArtifactsInput!$N$27+1,20,24,28,32,36,40),0)/100)),0)</f>
        <v/>
      </c>
      <c r="R380">
        <f>IF(AND(Inputs!$B$38&lt;&gt;"pvp",Inputs!$B$43&gt;0),IF(MAX(0,Inputs!$B$43-B409)&lt;=0,0,(INT(MAX(0,Inputs!$B$43-B409)/(IF(Inputs!$B$38="pvp",15,MAX(0.1,Skills!D8-IF(Skills!E8=TRUE,Inputs!$B$32,0)))*(1-IF(AND(ArtifactsInput!$M$27,Inputs!$B$4="Chapter Hunt"),CHOOSE(ArtifactsInput!$N$27+1,20,24,28,32,36,40),0)/100)))+1)),0)</f>
        <v/>
      </c>
      <c r="S380">
        <f>IFERROR(O380/N380,0)</f>
        <v/>
      </c>
      <c r="T380">
        <f>IF(C380,(H380*N380*IF(AND(Inputs!$B$38&lt;&gt;"pvp",Inputs!$B$43&gt;0),((Skills!G8*((R380-1)*IF(Skills!H8&gt;0,Skills!I8/Skills!H8,1)+IF(Skills!H8&gt;0,MIN(Skills!I8,MAX(0,MAX(0,Inputs!$B$43-B409)-((R380-1)*(IF(Inputs!$B$38="pvp",15,MAX(0.1,Skills!D8-IF(Skills!E8=TRUE,Inputs!$B$32,0)))*(1-IF(AND(ArtifactsInput!$M$27,Inputs!$B$4="Chapter Hunt"),CHOOSE(ArtifactsInput!$N$27+1,20,24,28,32,36,40),0)/100)))))/Skills!H8,1)))/Inputs!$B$43),G380*Q380)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380*(1-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380*(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380*(1-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380*(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0">
        <f>IF(C380,(H380*N380*IF(AND(Inputs!$B$38&lt;&gt;"pvp",Inputs!$B$43&gt;0),((Skills!G8*((R380-1)*IF(Skills!H8&gt;0,Skills!I8/Skills!H8,1)+IF(Skills!H8&gt;0,MIN(Skills!I8,MAX(0,MAX(0,Inputs!$B$43-B409)-((R380-1)*(IF(Inputs!$B$38="pvp",15,MAX(0.1,Skills!D8-IF(Skills!E8=TRUE,Inputs!$B$32,0)))*(1-IF(AND(ArtifactsInput!$M$27,Inputs!$B$4="Chapter Hunt"),CHOOSE(ArtifactsInput!$N$27+1,20,24,28,32,36,40),0)/100)))))/Skills!H8,1)))/Inputs!$B$43),G380*Q380))*IF(Inputs!$B$38="pvp",1,(1+(Inputs!$B$21+Skills!Q8+(IF(ArtifactsInput!$M$33,CHOOSE(ArtifactsInput!$N$33+1,30,36,42,48,54,60)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1">
      <c r="A381">
        <f>Skills!A9</f>
        <v/>
      </c>
      <c r="B381">
        <f>Skills!B9</f>
        <v/>
      </c>
      <c r="C381">
        <f>Inputs!$B$3&gt;=103</f>
        <v/>
      </c>
      <c r="D381">
        <f>IF(Skills!C9=1,60+Inputs!$B$25+Inputs!$B$29,IF(Skills!C9=2,90+Inputs!$B$26+Inputs!$B$29,IF(Skills!C9=3,120+Inputs!$B$27+Inputs!$B$29,MAX(0,(Inputs!$B$3-100)*3)+Inputs!$B$28+Inputs!$B$29)))</f>
        <v/>
      </c>
      <c r="E381">
        <f>INDEX(FactorTable!$B$2:$Y$301, MATCH(ROUND(MIN(300,MAX(1,D381)),0), FactorTable!$A$2:$A$301,0), Skills!M9+1)</f>
        <v/>
      </c>
      <c r="F381">
        <f>IF(Skills!N9=TRUE,(Skills!L9/10)*(E381/1000),Skills!L9/10)+Skills!O9</f>
        <v/>
      </c>
      <c r="G381">
        <f>Skills!G9*IF(Skills!H9&gt;0,Skills!I9/Skills!H9,1)</f>
        <v/>
      </c>
      <c r="H381">
        <f>1-(1-Skills!J9/100)^Skills!K9</f>
        <v/>
      </c>
      <c r="I381" t="inlineStr">
        <is>
          <t>1</t>
        </is>
      </c>
      <c r="J381">
        <f>((Inputs!$B$6*(1+Inputs!$B$7/100))+(((Inputs!$B$12*(1+Inputs!$B$13/100))-(Inputs!$B$12*(1+Inputs!$B$13/100)))+0.25*(Inputs!$B$14-Inputs!$B$14))*(1+Inputs!$B$7/100))*(F381/100)</f>
        <v/>
      </c>
      <c r="K381">
        <f>J381*(1+((Inputs!$B$12*(1+Inputs!$B$13/100))*0.01+Inputs!$B$14*0.0025)/100)*(1+Inputs!$B$15/100)*(1+Inputs!$B$16/100)*(5000/(6000+Inputs!$B$42*(1-(100*(1-(1-(Inputs!$B$19+0)/100)*(1-CHOOSE(ArtifactsInput!$N$40+1,5,6,7,8,9,10)/100)^(ArtifactsInput!$M$40-ArtifactsInput!$M$40)))/100)))*(1+(((((1+Inputs!$B$24/100)*(1.01))-1)*100)+((C398=TRUE)*(F398-Calc!F26))+B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395=TRUE)*(F395-Calc!F23))+((C399=TRUE)*(F399-Calc!F27))+(((IF(AND(ArtifactsInput!$M$42,((Inputs!$B$9+((C391=TRUE)*(F391-Calc!F19))+B402+(ArtifactsInput!$M$24-ArtifactsInput!$M$24)*CHOOSE(ArtifactsInput!$N$24+1,10,12,14,16,18,20)+IF(ArtifactsInput!$M$10,CHOOSE(ArtifactsInput!$N$10+1,15,18,21,24,27,30)*(IF(Inputs!$B$38="pvp",MIN(15,15)/15,IF(AND(Inputs!$B$38&lt;&gt;"pvp",Inputs!$B$43&gt;0),MIN(15,Inputs!$B$43)/(Inputs!$B$43),0))),0)))&gt;=100),MIN(100,((Inputs!$B$9+((C391=TRUE)*(F391-Calc!F19))+B402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19))+B402+(ArtifactsInput!$M$24-ArtifactsInput!$M$24)*CHOOSE(ArtifactsInput!$N$24+1,10,12,14,16,18,20)+IF(ArtifactsInput!$M$10,CHOOSE(ArtifactsInput!$N$10+1,15,18,21,24,27,30)*(IF(Inputs!$B$38="pvp",MIN(15,15)/15,IF(AND(Inputs!$B$38&lt;&gt;"pvp",Inputs!$B$43&gt;0),MIN(15,Inputs!$B$43)/(Inputs!$B$43),0))),0)))&gt;=100),CHOOSE(ArtifactsInput!$N$42+1,40,48,56,64,72,80),0))))/100)*((1+(((C389=TRUE)*F389)+((C396=TRUE)*(F396-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381)</f>
        <v/>
      </c>
      <c r="L381">
        <f>K381*(MIN(Inputs!$B$22+((C394=TRUE)*(F394-Calc!F22)),(Inputs!$B$23+0+(IF(ArtifactsInput!$M$15,CHOOSE(ArtifactsInput!$N$15+1,25,30,35,40,45,50)/100*(Inputs!$B$11-Inputs!$B$11),0))))/100+(Inputs!$B$23+0+(IF(ArtifactsInput!$M$15,CHOOSE(ArtifactsInput!$N$15+1,25,30,35,40,45,50)/100*(Inputs!$B$11-Inputs!$B$11),0)))/100)/2</f>
        <v/>
      </c>
      <c r="M381">
        <f>L381*(1+(Inputs!$B$10+((C397=TRUE)*(F397-Calc!F25))+B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1">
        <f>L381*(1-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381*(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1">
        <f>(1-Summary!$B$11)*T381+Summary!$B$11*V381</f>
        <v/>
      </c>
      <c r="P381">
        <f>IF(B412=0,0,O381/B412)</f>
        <v/>
      </c>
      <c r="Q381">
        <f>IFERROR(1/(IF(Inputs!$B$38="pvp",15,MAX(0.1,Skills!D9-IF(Skills!E9=TRUE,Inputs!$B$32,0)))*(1-IF(AND(ArtifactsInput!$M$27,Inputs!$B$4="Chapter Hunt"),CHOOSE(ArtifactsInput!$N$27+1,20,24,28,32,36,40),0)/100)),0)</f>
        <v/>
      </c>
      <c r="R381">
        <f>IF(AND(Inputs!$B$38&lt;&gt;"pvp",Inputs!$B$43&gt;0),IF(MAX(0,Inputs!$B$43-B409)&lt;=0,0,(INT(MAX(0,Inputs!$B$43-B409)/(IF(Inputs!$B$38="pvp",15,MAX(0.1,Skills!D9-IF(Skills!E9=TRUE,Inputs!$B$32,0)))*(1-IF(AND(ArtifactsInput!$M$27,Inputs!$B$4="Chapter Hunt"),CHOOSE(ArtifactsInput!$N$27+1,20,24,28,32,36,40),0)/100)))+1)),0)</f>
        <v/>
      </c>
      <c r="S381">
        <f>IFERROR(O381/N381,0)</f>
        <v/>
      </c>
      <c r="T381">
        <f>IF(C381,(H381*N381*IF(AND(Inputs!$B$38&lt;&gt;"pvp",Inputs!$B$43&gt;0),((Skills!G9*((R381-1)*IF(Skills!H9&gt;0,Skills!I9/Skills!H9,1)+IF(Skills!H9&gt;0,MIN(Skills!I9,MAX(0,MAX(0,Inputs!$B$43-B409)-((R381-1)*(IF(Inputs!$B$38="pvp",15,MAX(0.1,Skills!D9-IF(Skills!E9=TRUE,Inputs!$B$32,0)))*(1-IF(AND(ArtifactsInput!$M$27,Inputs!$B$4="Chapter Hunt"),CHOOSE(ArtifactsInput!$N$27+1,20,24,28,32,36,40),0)/100)))))/Skills!H9,1)))/Inputs!$B$43),G381*Q381)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381*(1-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381*(1-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1">
        <f>IF(C381,(H381*N381*IF(AND(Inputs!$B$38&lt;&gt;"pvp",Inputs!$B$43&gt;0),((Skills!G9*((R381-1)*IF(Skills!H9&gt;0,Skills!I9/Skills!H9,1)+IF(Skills!H9&gt;0,MIN(Skills!I9,MAX(0,MAX(0,Inputs!$B$43-B409)-((R381-1)*(IF(Inputs!$B$38="pvp",15,MAX(0.1,Skills!D9-IF(Skills!E9=TRUE,Inputs!$B$32,0)))*(1-IF(AND(ArtifactsInput!$M$27,Inputs!$B$4="Chapter Hunt"),CHOOSE(ArtifactsInput!$N$27+1,20,24,28,32,36,40),0)/100)))))/Skills!H9,1)))/Inputs!$B$43),G381*Q381))*IF(Inputs!$B$38="pvp",1,(1+(Inputs!$B$21+Skills!Q9+(IF(ArtifactsInput!$M$33,CHOOSE(ArtifactsInput!$N$33+1,30,36,42,48,54,60)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2">
      <c r="A382">
        <f>Skills!A10</f>
        <v/>
      </c>
      <c r="B382">
        <f>Skills!B10</f>
        <v/>
      </c>
      <c r="C382">
        <f>Inputs!$B$3&gt;=113</f>
        <v/>
      </c>
      <c r="D382">
        <f>IF(Skills!C10=1,60+Inputs!$B$25+Inputs!$B$29,IF(Skills!C10=2,90+Inputs!$B$26+Inputs!$B$29,IF(Skills!C10=3,120+Inputs!$B$27+Inputs!$B$29,MAX(0,(Inputs!$B$3-100)*3)+Inputs!$B$28+Inputs!$B$29)))</f>
        <v/>
      </c>
      <c r="E382">
        <f>INDEX(FactorTable!$B$2:$Y$301, MATCH(ROUND(MIN(300,MAX(1,D382)),0), FactorTable!$A$2:$A$301,0), Skills!M10+1)</f>
        <v/>
      </c>
      <c r="F382">
        <f>IF(Skills!N10=TRUE,(Skills!L10/10)*(E382/1000),Skills!L10/10)+Skills!O10</f>
        <v/>
      </c>
      <c r="G382">
        <f>Skills!G10*IF(Skills!H10&gt;0,Skills!I10/Skills!H10,1)</f>
        <v/>
      </c>
      <c r="H382">
        <f>1-(1-Skills!J10/100)^Skills!K10</f>
        <v/>
      </c>
      <c r="I382" t="inlineStr">
        <is>
          <t>1</t>
        </is>
      </c>
      <c r="J382">
        <f>((Inputs!$B$6*(1+Inputs!$B$7/100))+(((Inputs!$B$12*(1+Inputs!$B$13/100))-(Inputs!$B$12*(1+Inputs!$B$13/100)))+0.25*(Inputs!$B$14-Inputs!$B$14))*(1+Inputs!$B$7/100))*(F382/100)</f>
        <v/>
      </c>
      <c r="K382">
        <f>J382*(1+((Inputs!$B$12*(1+Inputs!$B$13/100))*0.01+Inputs!$B$14*0.0025)/100)*(1+Inputs!$B$15/100)*(1+Inputs!$B$16/100)*(5000/(6000+Inputs!$B$42*(1-(100*(1-(1-(Inputs!$B$19+0)/100)*(1-CHOOSE(ArtifactsInput!$N$40+1,5,6,7,8,9,10)/100)^(ArtifactsInput!$M$40-ArtifactsInput!$M$40)))/100)))*(1+(((((1+Inputs!$B$24/100)*(1.01))-1)*100)+((C398=TRUE)*(F398-Calc!F26))+B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395=TRUE)*(F395-Calc!F23))+((C399=TRUE)*(F399-Calc!F27))+(((IF(AND(ArtifactsInput!$M$42,((Inputs!$B$9+((C391=TRUE)*(F391-Calc!F19))+B402+(ArtifactsInput!$M$24-ArtifactsInput!$M$24)*CHOOSE(ArtifactsInput!$N$24+1,10,12,14,16,18,20)+IF(ArtifactsInput!$M$10,CHOOSE(ArtifactsInput!$N$10+1,15,18,21,24,27,30)*(IF(Inputs!$B$38="pvp",MIN(15,15)/15,IF(AND(Inputs!$B$38&lt;&gt;"pvp",Inputs!$B$43&gt;0),MIN(15,Inputs!$B$43)/(Inputs!$B$43),0))),0)))&gt;=100),MIN(100,((Inputs!$B$9+((C391=TRUE)*(F391-Calc!F19))+B402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19))+B402+(ArtifactsInput!$M$24-ArtifactsInput!$M$24)*CHOOSE(ArtifactsInput!$N$24+1,10,12,14,16,18,20)+IF(ArtifactsInput!$M$10,CHOOSE(ArtifactsInput!$N$10+1,15,18,21,24,27,30)*(IF(Inputs!$B$38="pvp",MIN(15,15)/15,IF(AND(Inputs!$B$38&lt;&gt;"pvp",Inputs!$B$43&gt;0),MIN(15,Inputs!$B$43)/(Inputs!$B$43),0))),0)))&gt;=100),CHOOSE(ArtifactsInput!$N$42+1,40,48,56,64,72,80),0))))/100)*((1+(((C389=TRUE)*F389)+((C396=TRUE)*(F396-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382)</f>
        <v/>
      </c>
      <c r="L382">
        <f>K382*(MIN(Inputs!$B$22+((C394=TRUE)*(F394-Calc!F22)),(Inputs!$B$23+0+(IF(ArtifactsInput!$M$15,CHOOSE(ArtifactsInput!$N$15+1,25,30,35,40,45,50)/100*(Inputs!$B$11-Inputs!$B$11),0))))/100+(Inputs!$B$23+0+(IF(ArtifactsInput!$M$15,CHOOSE(ArtifactsInput!$N$15+1,25,30,35,40,45,50)/100*(Inputs!$B$11-Inputs!$B$11),0)))/100)/2</f>
        <v/>
      </c>
      <c r="M382">
        <f>L382*(1+(Inputs!$B$10+((C397=TRUE)*(F397-Calc!F25))+B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2">
        <f>L382*(1-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382*(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2">
        <f>(1-Summary!$B$11)*T382+Summary!$B$11*V382</f>
        <v/>
      </c>
      <c r="P382">
        <f>IF(B412=0,0,O382/B412)</f>
        <v/>
      </c>
      <c r="Q382">
        <f>IFERROR(1/(IF(Inputs!$B$38="pvp",15,MAX(0.1,Skills!D10-IF(Skills!E10=TRUE,Inputs!$B$32,0)))*(1-IF(AND(ArtifactsInput!$M$27,Inputs!$B$4="Chapter Hunt"),CHOOSE(ArtifactsInput!$N$27+1,20,24,28,32,36,40),0)/100)),0)</f>
        <v/>
      </c>
      <c r="R382">
        <f>IF(AND(Inputs!$B$38&lt;&gt;"pvp",Inputs!$B$43&gt;0),IF(MAX(0,Inputs!$B$43-B409)&lt;=0,0,(INT(MAX(0,Inputs!$B$43-B409)/(IF(Inputs!$B$38="pvp",15,MAX(0.1,Skills!D10-IF(Skills!E10=TRUE,Inputs!$B$32,0)))*(1-IF(AND(ArtifactsInput!$M$27,Inputs!$B$4="Chapter Hunt"),CHOOSE(ArtifactsInput!$N$27+1,20,24,28,32,36,40),0)/100)))+1)),0)</f>
        <v/>
      </c>
      <c r="S382">
        <f>IFERROR(O382/N382,0)</f>
        <v/>
      </c>
      <c r="T382">
        <f>IF(C382,(H382*N382*IF(AND(Inputs!$B$38&lt;&gt;"pvp",Inputs!$B$43&gt;0),((Skills!G10*((R382-1)*IF(Skills!H10&gt;0,Skills!I10/Skills!H10,1)+IF(Skills!H10&gt;0,MIN(Skills!I10,MAX(0,MAX(0,Inputs!$B$43-B409)-((R382-1)*(IF(Inputs!$B$38="pvp",15,MAX(0.1,Skills!D10-IF(Skills!E10=TRUE,Inputs!$B$32,0)))*(1-IF(AND(ArtifactsInput!$M$27,Inputs!$B$4="Chapter Hunt"),CHOOSE(ArtifactsInput!$N$27+1,20,24,28,32,36,40),0)/100)))))/Skills!H10,1)))/Inputs!$B$43),G382*Q382)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382*(1-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382*(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382*(1-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382*(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2">
        <f>IF(C382,(H382*N382*IF(AND(Inputs!$B$38&lt;&gt;"pvp",Inputs!$B$43&gt;0),((Skills!G10*((R382-1)*IF(Skills!H10&gt;0,Skills!I10/Skills!H10,1)+IF(Skills!H10&gt;0,MIN(Skills!I10,MAX(0,MAX(0,Inputs!$B$43-B409)-((R382-1)*(IF(Inputs!$B$38="pvp",15,MAX(0.1,Skills!D10-IF(Skills!E10=TRUE,Inputs!$B$32,0)))*(1-IF(AND(ArtifactsInput!$M$27,Inputs!$B$4="Chapter Hunt"),CHOOSE(ArtifactsInput!$N$27+1,20,24,28,32,36,40),0)/100)))))/Skills!H10,1)))/Inputs!$B$43),G382*Q382))*IF(Inputs!$B$38="pvp",1,(1+(Inputs!$B$21+Skills!Q10+(IF(ArtifactsInput!$M$33,CHOOSE(ArtifactsInput!$N$33+1,30,36,42,48,54,60)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3">
      <c r="A383">
        <f>Skills!A11</f>
        <v/>
      </c>
      <c r="B383">
        <f>Skills!B11</f>
        <v/>
      </c>
      <c r="C383">
        <f>Inputs!$B$3&gt;=107</f>
        <v/>
      </c>
      <c r="D383">
        <f>IF(Skills!C11=1,60+Inputs!$B$25+Inputs!$B$29,IF(Skills!C11=2,90+Inputs!$B$26+Inputs!$B$29,IF(Skills!C11=3,120+Inputs!$B$27+Inputs!$B$29,MAX(0,(Inputs!$B$3-100)*3)+Inputs!$B$28+Inputs!$B$29)))</f>
        <v/>
      </c>
      <c r="E383">
        <f>INDEX(FactorTable!$B$2:$Y$301, MATCH(ROUND(MIN(300,MAX(1,D383)),0), FactorTable!$A$2:$A$301,0), Skills!M11+1)</f>
        <v/>
      </c>
      <c r="F383">
        <f>IF(Skills!N11=TRUE,(Skills!L11/10)*(E383/1000),Skills!L11/10)+Skills!O11</f>
        <v/>
      </c>
      <c r="G383">
        <f>Skills!G11*IF(Skills!H11&gt;0,Skills!I11/Skills!H11,1)</f>
        <v/>
      </c>
      <c r="H383">
        <f>1-(1-Skills!J11/100)^Skills!K11</f>
        <v/>
      </c>
      <c r="I383" t="inlineStr">
        <is>
          <t>1</t>
        </is>
      </c>
      <c r="J383">
        <f>((Inputs!$B$6*(1+Inputs!$B$7/100))+(((Inputs!$B$12*(1+Inputs!$B$13/100))-(Inputs!$B$12*(1+Inputs!$B$13/100)))+0.25*(Inputs!$B$14-Inputs!$B$14))*(1+Inputs!$B$7/100))*(F383/100)</f>
        <v/>
      </c>
      <c r="K383">
        <f>J383*(1+((Inputs!$B$12*(1+Inputs!$B$13/100))*0.01+Inputs!$B$14*0.0025)/100)*(1+Inputs!$B$15/100)*(1+Inputs!$B$16/100)*(5000/(6000+Inputs!$B$42*(1-(100*(1-(1-(Inputs!$B$19+0)/100)*(1-CHOOSE(ArtifactsInput!$N$40+1,5,6,7,8,9,10)/100)^(ArtifactsInput!$M$40-ArtifactsInput!$M$40)))/100)))*(1+(((((1+Inputs!$B$24/100)*(1.01))-1)*100)+((C398=TRUE)*(F398-Calc!F26))+B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395=TRUE)*(F395-Calc!F23))+((C399=TRUE)*(F399-Calc!F27))+(((IF(AND(ArtifactsInput!$M$42,((Inputs!$B$9+((C391=TRUE)*(F391-Calc!F19))+B402+(ArtifactsInput!$M$24-ArtifactsInput!$M$24)*CHOOSE(ArtifactsInput!$N$24+1,10,12,14,16,18,20)+IF(ArtifactsInput!$M$10,CHOOSE(ArtifactsInput!$N$10+1,15,18,21,24,27,30)*(IF(Inputs!$B$38="pvp",MIN(15,15)/15,IF(AND(Inputs!$B$38&lt;&gt;"pvp",Inputs!$B$43&gt;0),MIN(15,Inputs!$B$43)/(Inputs!$B$43),0))),0)))&gt;=100),MIN(100,((Inputs!$B$9+((C391=TRUE)*(F391-Calc!F19))+B402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19))+B402+(ArtifactsInput!$M$24-ArtifactsInput!$M$24)*CHOOSE(ArtifactsInput!$N$24+1,10,12,14,16,18,20)+IF(ArtifactsInput!$M$10,CHOOSE(ArtifactsInput!$N$10+1,15,18,21,24,27,30)*(IF(Inputs!$B$38="pvp",MIN(15,15)/15,IF(AND(Inputs!$B$38&lt;&gt;"pvp",Inputs!$B$43&gt;0),MIN(15,Inputs!$B$43)/(Inputs!$B$43),0))),0)))&gt;=100),CHOOSE(ArtifactsInput!$N$42+1,40,48,56,64,72,80),0))))/100)*((1+(((C389=TRUE)*F389)+((C396=TRUE)*(F396-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383)</f>
        <v/>
      </c>
      <c r="L383">
        <f>K383*(MIN(Inputs!$B$22+((C394=TRUE)*(F394-Calc!F22)),(Inputs!$B$23+0+(IF(ArtifactsInput!$M$15,CHOOSE(ArtifactsInput!$N$15+1,25,30,35,40,45,50)/100*(Inputs!$B$11-Inputs!$B$11),0))))/100+(Inputs!$B$23+0+(IF(ArtifactsInput!$M$15,CHOOSE(ArtifactsInput!$N$15+1,25,30,35,40,45,50)/100*(Inputs!$B$11-Inputs!$B$11),0)))/100)/2</f>
        <v/>
      </c>
      <c r="M383">
        <f>L383*(1+(Inputs!$B$10+((C397=TRUE)*(F397-Calc!F25))+B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3">
        <f>L383*(1-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383*(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3">
        <f>(1-Summary!$B$11)*T383+Summary!$B$11*V383</f>
        <v/>
      </c>
      <c r="P383">
        <f>IF(B412=0,0,O383/B412)</f>
        <v/>
      </c>
      <c r="Q383">
        <f>IFERROR(1/(IF(Inputs!$B$38="pvp",15,MAX(0.1,Skills!D11-IF(Skills!E11=TRUE,Inputs!$B$32,0)))*(1-IF(AND(ArtifactsInput!$M$27,Inputs!$B$4="Chapter Hunt"),CHOOSE(ArtifactsInput!$N$27+1,20,24,28,32,36,40),0)/100)),0)</f>
        <v/>
      </c>
      <c r="R383">
        <f>IF(AND(Inputs!$B$38&lt;&gt;"pvp",Inputs!$B$43&gt;0),IF(MAX(0,Inputs!$B$43-B409)&lt;=0,0,(INT(MAX(0,Inputs!$B$43-B409)/(IF(Inputs!$B$38="pvp",15,MAX(0.1,Skills!D11-IF(Skills!E11=TRUE,Inputs!$B$32,0)))*(1-IF(AND(ArtifactsInput!$M$27,Inputs!$B$4="Chapter Hunt"),CHOOSE(ArtifactsInput!$N$27+1,20,24,28,32,36,40),0)/100)))+1)),0)</f>
        <v/>
      </c>
      <c r="S383">
        <f>IFERROR(O383/N383,0)</f>
        <v/>
      </c>
      <c r="T383">
        <f>IF(C383,(H383*N383*IF(AND(Inputs!$B$38&lt;&gt;"pvp",Inputs!$B$43&gt;0),((Skills!G11*((R383-1)*IF(Skills!H11&gt;0,Skills!I11/Skills!H11,1)+IF(Skills!H11&gt;0,MIN(Skills!I11,MAX(0,MAX(0,Inputs!$B$43-B409)-((R383-1)*(IF(Inputs!$B$38="pvp",15,MAX(0.1,Skills!D11-IF(Skills!E11=TRUE,Inputs!$B$32,0)))*(1-IF(AND(ArtifactsInput!$M$27,Inputs!$B$4="Chapter Hunt"),CHOOSE(ArtifactsInput!$N$27+1,20,24,28,32,36,40),0)/100)))))/Skills!H11,1)))/Inputs!$B$43),G383*Q383)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383*(1-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383*(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383*(1-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383*(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3">
        <f>IF(C383,(H383*N383*IF(AND(Inputs!$B$38&lt;&gt;"pvp",Inputs!$B$43&gt;0),((Skills!G11*((R383-1)*IF(Skills!H11&gt;0,Skills!I11/Skills!H11,1)+IF(Skills!H11&gt;0,MIN(Skills!I11,MAX(0,MAX(0,Inputs!$B$43-B409)-((R383-1)*(IF(Inputs!$B$38="pvp",15,MAX(0.1,Skills!D11-IF(Skills!E11=TRUE,Inputs!$B$32,0)))*(1-IF(AND(ArtifactsInput!$M$27,Inputs!$B$4="Chapter Hunt"),CHOOSE(ArtifactsInput!$N$27+1,20,24,28,32,36,40),0)/100)))))/Skills!H11,1)))/Inputs!$B$43),G383*Q383))*IF(Inputs!$B$38="pvp",1,(1+(Inputs!$B$21+Skills!Q11+(IF(ArtifactsInput!$M$33,CHOOSE(ArtifactsInput!$N$33+1,30,36,42,48,54,60)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4">
      <c r="A384">
        <f>Skills!A12</f>
        <v/>
      </c>
      <c r="B384">
        <f>Skills!B12</f>
        <v/>
      </c>
      <c r="C384">
        <f>Inputs!$B$3&gt;=110</f>
        <v/>
      </c>
      <c r="D384">
        <f>IF(Skills!C12=1,60+Inputs!$B$25+Inputs!$B$29,IF(Skills!C12=2,90+Inputs!$B$26+Inputs!$B$29,IF(Skills!C12=3,120+Inputs!$B$27+Inputs!$B$29,MAX(0,(Inputs!$B$3-100)*3)+Inputs!$B$28+Inputs!$B$29)))</f>
        <v/>
      </c>
      <c r="E384">
        <f>INDEX(FactorTable!$B$2:$Y$301, MATCH(ROUND(MIN(300,MAX(1,D384)),0), FactorTable!$A$2:$A$301,0), Skills!M12+1)</f>
        <v/>
      </c>
      <c r="F384">
        <f>IF(Skills!N12=TRUE,(Skills!L12/10)*(E384/1000),Skills!L12/10)+Skills!O12</f>
        <v/>
      </c>
      <c r="G384">
        <f>Skills!G12*IF(Skills!H12&gt;0,Skills!I12/Skills!H12,1)</f>
        <v/>
      </c>
      <c r="H384">
        <f>1-(1-Skills!J12/100)^Skills!K12</f>
        <v/>
      </c>
      <c r="I384" t="inlineStr">
        <is>
          <t>1</t>
        </is>
      </c>
      <c r="J384">
        <f>((Inputs!$B$6*(1+Inputs!$B$7/100))+(((Inputs!$B$12*(1+Inputs!$B$13/100))-(Inputs!$B$12*(1+Inputs!$B$13/100)))+0.25*(Inputs!$B$14-Inputs!$B$14))*(1+Inputs!$B$7/100))*(F384/100)</f>
        <v/>
      </c>
      <c r="K384">
        <f>J384*(1+((Inputs!$B$12*(1+Inputs!$B$13/100))*0.01+Inputs!$B$14*0.0025)/100)*(1+Inputs!$B$15/100)*(1+Inputs!$B$16/100)*(5000/(6000+Inputs!$B$42*(1-(100*(1-(1-(Inputs!$B$19+0)/100)*(1-CHOOSE(ArtifactsInput!$N$40+1,5,6,7,8,9,10)/100)^(ArtifactsInput!$M$40-ArtifactsInput!$M$40)))/100)))*(1+(((((1+Inputs!$B$24/100)*(1.01))-1)*100)+((C398=TRUE)*(F398-Calc!F26))+B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395=TRUE)*(F395-Calc!F23))+((C399=TRUE)*(F399-Calc!F27))+(((IF(AND(ArtifactsInput!$M$42,((Inputs!$B$9+((C391=TRUE)*(F391-Calc!F19))+B402+(ArtifactsInput!$M$24-ArtifactsInput!$M$24)*CHOOSE(ArtifactsInput!$N$24+1,10,12,14,16,18,20)+IF(ArtifactsInput!$M$10,CHOOSE(ArtifactsInput!$N$10+1,15,18,21,24,27,30)*(IF(Inputs!$B$38="pvp",MIN(15,15)/15,IF(AND(Inputs!$B$38&lt;&gt;"pvp",Inputs!$B$43&gt;0),MIN(15,Inputs!$B$43)/(Inputs!$B$43),0))),0)))&gt;=100),MIN(100,((Inputs!$B$9+((C391=TRUE)*(F391-Calc!F19))+B402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19))+B402+(ArtifactsInput!$M$24-ArtifactsInput!$M$24)*CHOOSE(ArtifactsInput!$N$24+1,10,12,14,16,18,20)+IF(ArtifactsInput!$M$10,CHOOSE(ArtifactsInput!$N$10+1,15,18,21,24,27,30)*(IF(Inputs!$B$38="pvp",MIN(15,15)/15,IF(AND(Inputs!$B$38&lt;&gt;"pvp",Inputs!$B$43&gt;0),MIN(15,Inputs!$B$43)/(Inputs!$B$43),0))),0)))&gt;=100),CHOOSE(ArtifactsInput!$N$42+1,40,48,56,64,72,80),0))))/100)*((1+(((C389=TRUE)*F389)+((C396=TRUE)*(F396-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384)</f>
        <v/>
      </c>
      <c r="L384">
        <f>K384*(MIN(Inputs!$B$22+((C394=TRUE)*(F394-Calc!F22)),(Inputs!$B$23+0+(IF(ArtifactsInput!$M$15,CHOOSE(ArtifactsInput!$N$15+1,25,30,35,40,45,50)/100*(Inputs!$B$11-Inputs!$B$11),0))))/100+(Inputs!$B$23+0+(IF(ArtifactsInput!$M$15,CHOOSE(ArtifactsInput!$N$15+1,25,30,35,40,45,50)/100*(Inputs!$B$11-Inputs!$B$11),0)))/100)/2</f>
        <v/>
      </c>
      <c r="M384">
        <f>L384*(1+(Inputs!$B$10+((C397=TRUE)*(F397-Calc!F25))+B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4">
        <f>L384*(1-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384*(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4">
        <f>(1-Summary!$B$11)*T384+Summary!$B$11*V384</f>
        <v/>
      </c>
      <c r="P384">
        <f>IF(B412=0,0,O384/B412)</f>
        <v/>
      </c>
      <c r="Q384">
        <f>IFERROR(1/(IF(Inputs!$B$38="pvp",15,MAX(0.1,Skills!D12-IF(Skills!E12=TRUE,Inputs!$B$32,0)))*(1-IF(AND(ArtifactsInput!$M$27,Inputs!$B$4="Chapter Hunt"),CHOOSE(ArtifactsInput!$N$27+1,20,24,28,32,36,40),0)/100)),0)</f>
        <v/>
      </c>
      <c r="R384">
        <f>IF(AND(Inputs!$B$38&lt;&gt;"pvp",Inputs!$B$43&gt;0),IF(MAX(0,Inputs!$B$43-B409)&lt;=0,0,(INT(MAX(0,Inputs!$B$43-B409)/(IF(Inputs!$B$38="pvp",15,MAX(0.1,Skills!D12-IF(Skills!E12=TRUE,Inputs!$B$32,0)))*(1-IF(AND(ArtifactsInput!$M$27,Inputs!$B$4="Chapter Hunt"),CHOOSE(ArtifactsInput!$N$27+1,20,24,28,32,36,40),0)/100)))+1)),0)</f>
        <v/>
      </c>
      <c r="S384">
        <f>IFERROR(O384/N384,0)</f>
        <v/>
      </c>
      <c r="T384">
        <f>IF(C384,(H384*N384*IF(AND(Inputs!$B$38&lt;&gt;"pvp",Inputs!$B$43&gt;0),((Skills!G12*((R384-1)*IF(Skills!H12&gt;0,Skills!I12/Skills!H12,1)+IF(Skills!H12&gt;0,MIN(Skills!I12,MAX(0,MAX(0,Inputs!$B$43-B409)-((R384-1)*(IF(Inputs!$B$38="pvp",15,MAX(0.1,Skills!D12-IF(Skills!E12=TRUE,Inputs!$B$32,0)))*(1-IF(AND(ArtifactsInput!$M$27,Inputs!$B$4="Chapter Hunt"),CHOOSE(ArtifactsInput!$N$27+1,20,24,28,32,36,40),0)/100)))))/Skills!H12,1)))/Inputs!$B$43),G384*Q384)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384*(1-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384*(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384*(1-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384*(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4">
        <f>IF(C384,(H384*N384*IF(AND(Inputs!$B$38&lt;&gt;"pvp",Inputs!$B$43&gt;0),((Skills!G12*((R384-1)*IF(Skills!H12&gt;0,Skills!I12/Skills!H12,1)+IF(Skills!H12&gt;0,MIN(Skills!I12,MAX(0,MAX(0,Inputs!$B$43-B409)-((R384-1)*(IF(Inputs!$B$38="pvp",15,MAX(0.1,Skills!D12-IF(Skills!E12=TRUE,Inputs!$B$32,0)))*(1-IF(AND(ArtifactsInput!$M$27,Inputs!$B$4="Chapter Hunt"),CHOOSE(ArtifactsInput!$N$27+1,20,24,28,32,36,40),0)/100)))))/Skills!H12,1)))/Inputs!$B$43),G384*Q384))*IF(Inputs!$B$38="pvp",1,(1+(Inputs!$B$21+Skills!Q12+(IF(ArtifactsInput!$M$33,CHOOSE(ArtifactsInput!$N$33+1,30,36,42,48,54,60)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5">
      <c r="A385">
        <f>Skills!A13</f>
        <v/>
      </c>
      <c r="B385">
        <f>Skills!B13</f>
        <v/>
      </c>
      <c r="C385">
        <f>Inputs!$B$3&gt;=110</f>
        <v/>
      </c>
      <c r="D385">
        <f>IF(Skills!C13=1,60+Inputs!$B$25+Inputs!$B$29,IF(Skills!C13=2,90+Inputs!$B$26+Inputs!$B$29,IF(Skills!C13=3,120+Inputs!$B$27+Inputs!$B$29,MAX(0,(Inputs!$B$3-100)*3)+Inputs!$B$28+Inputs!$B$29)))</f>
        <v/>
      </c>
      <c r="E385">
        <f>INDEX(FactorTable!$B$2:$Y$301, MATCH(ROUND(MIN(300,MAX(1,D385)),0), FactorTable!$A$2:$A$301,0), Skills!M13+1)</f>
        <v/>
      </c>
      <c r="F385">
        <f>IF(Skills!N13=TRUE,(Skills!L13/10)*(E385/1000),Skills!L13/10)+Skills!O13</f>
        <v/>
      </c>
      <c r="G385">
        <f>Skills!G13*IF(Skills!H13&gt;0,Skills!I13/Skills!H13,1)</f>
        <v/>
      </c>
      <c r="H385">
        <f>1-(1-Skills!J13/100)^Skills!K13</f>
        <v/>
      </c>
      <c r="I385" t="inlineStr">
        <is>
          <t>1</t>
        </is>
      </c>
      <c r="J385">
        <f>((Inputs!$B$6*(1+Inputs!$B$7/100))+(((Inputs!$B$12*(1+Inputs!$B$13/100))-(Inputs!$B$12*(1+Inputs!$B$13/100)))+0.25*(Inputs!$B$14-Inputs!$B$14))*(1+Inputs!$B$7/100))*(F385/100)</f>
        <v/>
      </c>
      <c r="K385">
        <f>J385*(1+((Inputs!$B$12*(1+Inputs!$B$13/100))*0.01+Inputs!$B$14*0.0025)/100)*(1+Inputs!$B$15/100)*(1+Inputs!$B$16/100)*(5000/(6000+Inputs!$B$42*(1-(100*(1-(1-(Inputs!$B$19+0)/100)*(1-CHOOSE(ArtifactsInput!$N$40+1,5,6,7,8,9,10)/100)^(ArtifactsInput!$M$40-ArtifactsInput!$M$40)))/100)))*(1+(((((1+Inputs!$B$24/100)*(1.01))-1)*100)+((C398=TRUE)*(F398-Calc!F26))+B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395=TRUE)*(F395-Calc!F23))+((C399=TRUE)*(F399-Calc!F27))+(((IF(AND(ArtifactsInput!$M$42,((Inputs!$B$9+((C391=TRUE)*(F391-Calc!F19))+B402+(ArtifactsInput!$M$24-ArtifactsInput!$M$24)*CHOOSE(ArtifactsInput!$N$24+1,10,12,14,16,18,20)+IF(ArtifactsInput!$M$10,CHOOSE(ArtifactsInput!$N$10+1,15,18,21,24,27,30)*(IF(Inputs!$B$38="pvp",MIN(15,15)/15,IF(AND(Inputs!$B$38&lt;&gt;"pvp",Inputs!$B$43&gt;0),MIN(15,Inputs!$B$43)/(Inputs!$B$43),0))),0)))&gt;=100),MIN(100,((Inputs!$B$9+((C391=TRUE)*(F391-Calc!F19))+B402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19))+B402+(ArtifactsInput!$M$24-ArtifactsInput!$M$24)*CHOOSE(ArtifactsInput!$N$24+1,10,12,14,16,18,20)+IF(ArtifactsInput!$M$10,CHOOSE(ArtifactsInput!$N$10+1,15,18,21,24,27,30)*(IF(Inputs!$B$38="pvp",MIN(15,15)/15,IF(AND(Inputs!$B$38&lt;&gt;"pvp",Inputs!$B$43&gt;0),MIN(15,Inputs!$B$43)/(Inputs!$B$43),0))),0)))&gt;=100),CHOOSE(ArtifactsInput!$N$42+1,40,48,56,64,72,80),0))))/100)*((1+(((C389=TRUE)*F389)+((C396=TRUE)*(F396-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385)</f>
        <v/>
      </c>
      <c r="L385">
        <f>K385*(MIN(Inputs!$B$22+((C394=TRUE)*(F394-Calc!F22)),(Inputs!$B$23+0+(IF(ArtifactsInput!$M$15,CHOOSE(ArtifactsInput!$N$15+1,25,30,35,40,45,50)/100*(Inputs!$B$11-Inputs!$B$11),0))))/100+(Inputs!$B$23+0+(IF(ArtifactsInput!$M$15,CHOOSE(ArtifactsInput!$N$15+1,25,30,35,40,45,50)/100*(Inputs!$B$11-Inputs!$B$11),0)))/100)/2</f>
        <v/>
      </c>
      <c r="M385">
        <f>L385*(1+(Inputs!$B$10+((C397=TRUE)*(F397-Calc!F25))+B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5">
        <f>L385*(1-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385*(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5">
        <f>(1-Summary!$B$11)*T385+Summary!$B$11*V385</f>
        <v/>
      </c>
      <c r="P385">
        <f>IF(B412=0,0,O385/B412)</f>
        <v/>
      </c>
      <c r="Q385">
        <f>IFERROR(1/(IF(Inputs!$B$38="pvp",15,MAX(0.1,Skills!D13-IF(Skills!E13=TRUE,Inputs!$B$32,0)))*(1-IF(AND(ArtifactsInput!$M$27,Inputs!$B$4="Chapter Hunt"),CHOOSE(ArtifactsInput!$N$27+1,20,24,28,32,36,40),0)/100)),0)</f>
        <v/>
      </c>
      <c r="R385">
        <f>IF(AND(Inputs!$B$38&lt;&gt;"pvp",Inputs!$B$43&gt;0),IF(MAX(0,Inputs!$B$43-B409)&lt;=0,0,(INT(MAX(0,Inputs!$B$43-B409)/(IF(Inputs!$B$38="pvp",15,MAX(0.1,Skills!D13-IF(Skills!E13=TRUE,Inputs!$B$32,0)))*(1-IF(AND(ArtifactsInput!$M$27,Inputs!$B$4="Chapter Hunt"),CHOOSE(ArtifactsInput!$N$27+1,20,24,28,32,36,40),0)/100)))+1)),0)</f>
        <v/>
      </c>
      <c r="S385">
        <f>IFERROR(O385/N385,0)</f>
        <v/>
      </c>
      <c r="T385">
        <f>IF(C385,(H385*N385*IF(AND(Inputs!$B$38&lt;&gt;"pvp",Inputs!$B$43&gt;0),((Skills!G13*((R385-1)*IF(Skills!H13&gt;0,Skills!I13/Skills!H13,1)+IF(Skills!H13&gt;0,MIN(Skills!I13,MAX(0,MAX(0,Inputs!$B$43-B409)-((R385-1)*(IF(Inputs!$B$38="pvp",15,MAX(0.1,Skills!D13-IF(Skills!E13=TRUE,Inputs!$B$32,0)))*(1-IF(AND(ArtifactsInput!$M$27,Inputs!$B$4="Chapter Hunt"),CHOOSE(ArtifactsInput!$N$27+1,20,24,28,32,36,40),0)/100)))))/Skills!H13,1)))/Inputs!$B$43),G385*Q385))*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385*(1-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385*(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385*(1-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385*(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5">
        <f>IF(C385,(H385*N385*IF(AND(Inputs!$B$38&lt;&gt;"pvp",Inputs!$B$43&gt;0),((Skills!G13*((R385-1)*IF(Skills!H13&gt;0,Skills!I13/Skills!H13,1)+IF(Skills!H13&gt;0,MIN(Skills!I13,MAX(0,MAX(0,Inputs!$B$43-B409)-((R385-1)*(IF(Inputs!$B$38="pvp",15,MAX(0.1,Skills!D13-IF(Skills!E13=TRUE,Inputs!$B$32,0)))*(1-IF(AND(ArtifactsInput!$M$27,Inputs!$B$4="Chapter Hunt"),CHOOSE(ArtifactsInput!$N$27+1,20,24,28,32,36,40),0)/100)))))/Skills!H13,1)))/Inputs!$B$43),G385*Q385))*IF(Inputs!$B$38="pvp",1,(1+(Inputs!$B$21+Skills!Q13+(IF(ArtifactsInput!$M$33,CHOOSE(ArtifactsInput!$N$33+1,30,36,42,48,54,60)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6">
      <c r="A386">
        <f>Skills!A14</f>
        <v/>
      </c>
      <c r="B386">
        <f>Skills!B14</f>
        <v/>
      </c>
      <c r="C386">
        <f>Inputs!$B$3&gt;=125</f>
        <v/>
      </c>
      <c r="D386">
        <f>IF(Skills!C14=1,60+Inputs!$B$25+Inputs!$B$29,IF(Skills!C14=2,90+Inputs!$B$26+Inputs!$B$29,IF(Skills!C14=3,120+Inputs!$B$27+Inputs!$B$29,MAX(0,(Inputs!$B$3-100)*3)+Inputs!$B$28+Inputs!$B$29)))</f>
        <v/>
      </c>
      <c r="E386">
        <f>INDEX(FactorTable!$B$2:$Y$301, MATCH(ROUND(MIN(300,MAX(1,D386)),0), FactorTable!$A$2:$A$301,0), Skills!M14+1)</f>
        <v/>
      </c>
      <c r="F386">
        <f>IF(Skills!N14=TRUE,(Skills!L14/10)*(E386/1000),Skills!L14/10)+Skills!O14</f>
        <v/>
      </c>
      <c r="G386">
        <f>Skills!G14*IF(Skills!H14&gt;0,Skills!I14/Skills!H14,1)</f>
        <v/>
      </c>
      <c r="H386">
        <f>1-(1-Skills!J14/100)^Skills!K14</f>
        <v/>
      </c>
      <c r="I386" t="inlineStr">
        <is>
          <t>1</t>
        </is>
      </c>
      <c r="J386">
        <f>((Inputs!$B$6*(1+Inputs!$B$7/100))+(((Inputs!$B$12*(1+Inputs!$B$13/100))-(Inputs!$B$12*(1+Inputs!$B$13/100)))+0.25*(Inputs!$B$14-Inputs!$B$14))*(1+Inputs!$B$7/100))*(F386/100)</f>
        <v/>
      </c>
      <c r="K386">
        <f>J386*(1+((Inputs!$B$12*(1+Inputs!$B$13/100))*0.01+Inputs!$B$14*0.0025)/100)*(1+Inputs!$B$15/100)*(1+Inputs!$B$16/100)*(5000/(6000+Inputs!$B$42*(1-(100*(1-(1-(Inputs!$B$19+0)/100)*(1-CHOOSE(ArtifactsInput!$N$40+1,5,6,7,8,9,10)/100)^(ArtifactsInput!$M$40-ArtifactsInput!$M$40)))/100)))*(1+(((((1+Inputs!$B$24/100)*(1.01))-1)*100)+((C398=TRUE)*(F398-Calc!F26))+B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395=TRUE)*(F395-Calc!F23))+((C399=TRUE)*(F399-Calc!F27))+(((IF(AND(ArtifactsInput!$M$42,((Inputs!$B$9+((C391=TRUE)*(F391-Calc!F19))+B402+(ArtifactsInput!$M$24-ArtifactsInput!$M$24)*CHOOSE(ArtifactsInput!$N$24+1,10,12,14,16,18,20)+IF(ArtifactsInput!$M$10,CHOOSE(ArtifactsInput!$N$10+1,15,18,21,24,27,30)*(IF(Inputs!$B$38="pvp",MIN(15,15)/15,IF(AND(Inputs!$B$38&lt;&gt;"pvp",Inputs!$B$43&gt;0),MIN(15,Inputs!$B$43)/(Inputs!$B$43),0))),0)))&gt;=100),MIN(100,((Inputs!$B$9+((C391=TRUE)*(F391-Calc!F19))+B402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19))+B402+(ArtifactsInput!$M$24-ArtifactsInput!$M$24)*CHOOSE(ArtifactsInput!$N$24+1,10,12,14,16,18,20)+IF(ArtifactsInput!$M$10,CHOOSE(ArtifactsInput!$N$10+1,15,18,21,24,27,30)*(IF(Inputs!$B$38="pvp",MIN(15,15)/15,IF(AND(Inputs!$B$38&lt;&gt;"pvp",Inputs!$B$43&gt;0),MIN(15,Inputs!$B$43)/(Inputs!$B$43),0))),0)))&gt;=100),CHOOSE(ArtifactsInput!$N$42+1,40,48,56,64,72,80),0))))/100)*((1+(((C389=TRUE)*F389)+((C396=TRUE)*(F396-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386)</f>
        <v/>
      </c>
      <c r="L386">
        <f>K386*(MIN(Inputs!$B$22+((C394=TRUE)*(F394-Calc!F22)),(Inputs!$B$23+0+(IF(ArtifactsInput!$M$15,CHOOSE(ArtifactsInput!$N$15+1,25,30,35,40,45,50)/100*(Inputs!$B$11-Inputs!$B$11),0))))/100+(Inputs!$B$23+0+(IF(ArtifactsInput!$M$15,CHOOSE(ArtifactsInput!$N$15+1,25,30,35,40,45,50)/100*(Inputs!$B$11-Inputs!$B$11),0)))/100)/2</f>
        <v/>
      </c>
      <c r="M386">
        <f>L386*(1+(Inputs!$B$10+((C397=TRUE)*(F397-Calc!F25))+B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6">
        <f>L386*(1-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386*(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6">
        <f>(1-Summary!$B$11)*T386+Summary!$B$11*V386</f>
        <v/>
      </c>
      <c r="P386">
        <f>IF(B412=0,0,O386/B412)</f>
        <v/>
      </c>
      <c r="Q386" t="n">
        <v>0</v>
      </c>
      <c r="R386" t="n">
        <v>0</v>
      </c>
      <c r="S386">
        <f>IFERROR(O386/N386,0)</f>
        <v/>
      </c>
      <c r="T386">
        <f>IF(C386,(H386*N386*(B406+IF(AND(Inputs!$B$38&lt;&gt;"pvp",Inputs!$B$43&gt;0),((Skills!G8*((R380-1)*IF(Skills!H8&gt;0,Skills!I8/Skills!H8,1)+IF(Skills!H8&gt;0,MIN(Skills!I8,MAX(0,MAX(0,Inputs!$B$43-B409)-((R380-1)*(IF(Inputs!$B$38="pvp",15,MAX(0.1,Skills!D8-IF(Skills!E8=TRUE,Inputs!$B$32,0)))*(1-IF(AND(ArtifactsInput!$M$27,Inputs!$B$4="Chapter Hunt"),CHOOSE(ArtifactsInput!$N$27+1,20,24,28,32,36,40),0)/100)))))/Skills!H8,1)))/Inputs!$B$43),G380*Q380)+IF(AND(Inputs!$B$38&lt;&gt;"pvp",Inputs!$B$43&gt;0),((Skills!G11*((R383-1)*IF(Skills!H11&gt;0,Skills!I11/Skills!H11,1)+IF(Skills!H11&gt;0,MIN(Skills!I11,MAX(0,MAX(0,Inputs!$B$43-B409)-((R383-1)*(IF(Inputs!$B$38="pvp",15,MAX(0.1,Skills!D11-IF(Skills!E11=TRUE,Inputs!$B$32,0)))*(1-IF(AND(ArtifactsInput!$M$27,Inputs!$B$4="Chapter Hunt"),CHOOSE(ArtifactsInput!$N$27+1,20,24,28,32,36,40),0)/100)))))/Skills!H11,1)))/Inputs!$B$43),G383*Q383)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386*(1-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386*(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386*(1-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386*(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6">
        <f>IF(C386,(H386*N386*(B406+IF(AND(Inputs!$B$38&lt;&gt;"pvp",Inputs!$B$43&gt;0),((Skills!G8*((R380-1)*IF(Skills!H8&gt;0,Skills!I8/Skills!H8,1)+IF(Skills!H8&gt;0,MIN(Skills!I8,MAX(0,MAX(0,Inputs!$B$43-B409)-((R380-1)*(IF(Inputs!$B$38="pvp",15,MAX(0.1,Skills!D8-IF(Skills!E8=TRUE,Inputs!$B$32,0)))*(1-IF(AND(ArtifactsInput!$M$27,Inputs!$B$4="Chapter Hunt"),CHOOSE(ArtifactsInput!$N$27+1,20,24,28,32,36,40),0)/100)))))/Skills!H8,1)))/Inputs!$B$43),G380*Q380)+IF(AND(Inputs!$B$38&lt;&gt;"pvp",Inputs!$B$43&gt;0),((Skills!G11*((R383-1)*IF(Skills!H11&gt;0,Skills!I11/Skills!H11,1)+IF(Skills!H11&gt;0,MIN(Skills!I11,MAX(0,MAX(0,Inputs!$B$43-B409)-((R383-1)*(IF(Inputs!$B$38="pvp",15,MAX(0.1,Skills!D11-IF(Skills!E11=TRUE,Inputs!$B$32,0)))*(1-IF(AND(ArtifactsInput!$M$27,Inputs!$B$4="Chapter Hunt"),CHOOSE(ArtifactsInput!$N$27+1,20,24,28,32,36,40),0)/100)))))/Skills!H11,1)))/Inputs!$B$43),G383*Q383)))*IF(Inputs!$B$38="pvp",1,(1+(Inputs!$B$21+Skills!Q14+(IF(ArtifactsInput!$M$33,CHOOSE(ArtifactsInput!$N$33+1,30,36,42,48,54,60)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7">
      <c r="A387">
        <f>Skills!A15</f>
        <v/>
      </c>
      <c r="B387">
        <f>Skills!B15</f>
        <v/>
      </c>
      <c r="C387">
        <f>Inputs!$B$3&gt;=100</f>
        <v/>
      </c>
      <c r="D387">
        <f>IF(Skills!C15=1,60+Inputs!$B$25+Inputs!$B$29,IF(Skills!C15=2,90+Inputs!$B$26+Inputs!$B$29,IF(Skills!C15=3,120+Inputs!$B$27+Inputs!$B$29,MAX(0,(Inputs!$B$3-100)*3)+Inputs!$B$28+Inputs!$B$29)))</f>
        <v/>
      </c>
      <c r="E387">
        <f>INDEX(FactorTable!$B$2:$Y$301, MATCH(ROUND(MIN(300,MAX(1,D387)),0), FactorTable!$A$2:$A$301,0), Skills!M15+1)</f>
        <v/>
      </c>
      <c r="F387">
        <f>IF(Skills!N15=TRUE,(Skills!L15/10)*(E387/1000),Skills!L15/10)+Skills!O15</f>
        <v/>
      </c>
      <c r="G387" t="inlineStr"/>
      <c r="H387" t="inlineStr"/>
      <c r="I387" t="inlineStr">
        <is>
          <t>1</t>
        </is>
      </c>
      <c r="J387" t="inlineStr"/>
      <c r="K387" t="inlineStr"/>
      <c r="L387" t="inlineStr"/>
      <c r="M387" t="inlineStr"/>
      <c r="N387" t="inlineStr"/>
      <c r="O387" t="inlineStr"/>
      <c r="P387" t="inlineStr"/>
      <c r="Q387" t="inlineStr"/>
      <c r="R387" t="inlineStr"/>
      <c r="S387" t="inlineStr"/>
    </row>
    <row r="388">
      <c r="A388">
        <f>Skills!A16</f>
        <v/>
      </c>
      <c r="B388">
        <f>Skills!B16</f>
        <v/>
      </c>
      <c r="C388">
        <f>Inputs!$B$3&gt;=120</f>
        <v/>
      </c>
      <c r="D388">
        <f>IF(Skills!C16=1,60+Inputs!$B$25+Inputs!$B$29,IF(Skills!C16=2,90+Inputs!$B$26+Inputs!$B$29,IF(Skills!C16=3,120+Inputs!$B$27+Inputs!$B$29,MAX(0,(Inputs!$B$3-100)*3)+Inputs!$B$28+Inputs!$B$29)))</f>
        <v/>
      </c>
      <c r="E388">
        <f>INDEX(FactorTable!$B$2:$Y$301, MATCH(ROUND(MIN(300,MAX(1,D388)),0), FactorTable!$A$2:$A$301,0), Skills!M16+1)</f>
        <v/>
      </c>
      <c r="F388">
        <f>IF(Skills!N16=TRUE,(Skills!L16/10)*(E388/1000),Skills!L16/10)+Skills!O16</f>
        <v/>
      </c>
      <c r="G388" t="inlineStr"/>
      <c r="H388" t="inlineStr"/>
      <c r="I388" t="inlineStr">
        <is>
          <t>1</t>
        </is>
      </c>
      <c r="J388" t="inlineStr"/>
      <c r="K388" t="inlineStr"/>
      <c r="L388" t="inlineStr"/>
      <c r="M388" t="inlineStr"/>
      <c r="N388" t="inlineStr"/>
      <c r="O388" t="inlineStr"/>
      <c r="P388" t="inlineStr"/>
      <c r="Q388" t="inlineStr"/>
      <c r="R388" t="inlineStr"/>
      <c r="S388" t="inlineStr"/>
    </row>
    <row r="389">
      <c r="A389">
        <f>Skills!A17</f>
        <v/>
      </c>
      <c r="B389">
        <f>Skills!B17</f>
        <v/>
      </c>
      <c r="C389">
        <f>Inputs!$B$3&gt;=66</f>
        <v/>
      </c>
      <c r="D389">
        <f>IF(Skills!C17=1,60+Inputs!$B$25+Inputs!$B$29,IF(Skills!C17=2,90+Inputs!$B$26+Inputs!$B$29,IF(Skills!C17=3,120+Inputs!$B$27+Inputs!$B$29,MAX(0,(Inputs!$B$3-100)*3)+Inputs!$B$28+Inputs!$B$29)))</f>
        <v/>
      </c>
      <c r="E389">
        <f>INDEX(FactorTable!$B$2:$Y$301, MATCH(ROUND(MIN(300,MAX(1,D389)),0), FactorTable!$A$2:$A$301,0), Skills!M17+1)</f>
        <v/>
      </c>
      <c r="F389">
        <f>IF(Skills!N17=TRUE,(Skills!L17/10)*(E389/1000),Skills!L17/10)+Skills!O17</f>
        <v/>
      </c>
      <c r="G389">
        <f>Skills!G17*IF(Skills!H17&gt;0,Skills!I17/Skills!H17,1)</f>
        <v/>
      </c>
      <c r="H389">
        <f>1-(1-Skills!J17/100)^Skills!K17</f>
        <v/>
      </c>
      <c r="I389" t="inlineStr">
        <is>
          <t>1</t>
        </is>
      </c>
      <c r="J389" t="inlineStr"/>
      <c r="K389" t="inlineStr"/>
      <c r="L389" t="inlineStr"/>
      <c r="M389" t="inlineStr"/>
      <c r="N389" t="inlineStr"/>
      <c r="O389">
        <f>(1-Summary!$B$11)*T389+Summary!$B$11*V389</f>
        <v/>
      </c>
      <c r="P389">
        <f>IF(B412=0,0,O389/B412)</f>
        <v/>
      </c>
      <c r="Q389" t="n">
        <v>0</v>
      </c>
      <c r="R389" t="n">
        <v>0</v>
      </c>
      <c r="S389">
        <f>IFERROR(O389/N389,0)</f>
        <v/>
      </c>
      <c r="T389" t="n">
        <v>0</v>
      </c>
      <c r="V389" t="n">
        <v>0</v>
      </c>
    </row>
    <row r="390">
      <c r="A390">
        <f>Skills!A18</f>
        <v/>
      </c>
      <c r="B390">
        <f>Skills!B18</f>
        <v/>
      </c>
      <c r="C390">
        <f>Inputs!$B$3&gt;=115</f>
        <v/>
      </c>
      <c r="D390">
        <f>IF(Skills!C18=1,60+Inputs!$B$25+Inputs!$B$29,IF(Skills!C18=2,90+Inputs!$B$26+Inputs!$B$29,IF(Skills!C18=3,120+Inputs!$B$27+Inputs!$B$29,MAX(0,(Inputs!$B$3-100)*3)+Inputs!$B$28+Inputs!$B$29)))</f>
        <v/>
      </c>
      <c r="E390">
        <f>INDEX(FactorTable!$B$2:$Y$301, MATCH(ROUND(MIN(300,MAX(1,D390)),0), FactorTable!$A$2:$A$301,0), Skills!M18+1)</f>
        <v/>
      </c>
      <c r="F390">
        <f>IF(Skills!N18=TRUE,(Skills!L18/10)*(E390/1000),Skills!L18/10)+Skills!O18</f>
        <v/>
      </c>
      <c r="G390">
        <f>Skills!G18*IF(Skills!H18&gt;0,Skills!I18/Skills!H18,1)</f>
        <v/>
      </c>
      <c r="H390">
        <f>1-(1-Skills!J18/100)^Skills!K18</f>
        <v/>
      </c>
      <c r="I390" t="inlineStr">
        <is>
          <t>1</t>
        </is>
      </c>
      <c r="J390" t="inlineStr"/>
      <c r="K390" t="inlineStr"/>
      <c r="L390" t="inlineStr"/>
      <c r="M390" t="inlineStr"/>
      <c r="N390" t="inlineStr"/>
      <c r="O390">
        <f>(1-Summary!$B$11)*T390+Summary!$B$11*V390</f>
        <v/>
      </c>
      <c r="P390">
        <f>IF(B412=0,0,O390/B412)</f>
        <v/>
      </c>
      <c r="Q390" t="n">
        <v>0</v>
      </c>
      <c r="R390" t="n">
        <v>0</v>
      </c>
      <c r="S390">
        <f>IFERROR(O390/N390,0)</f>
        <v/>
      </c>
      <c r="T390" t="n">
        <v>0</v>
      </c>
      <c r="V390" t="n">
        <v>0</v>
      </c>
    </row>
    <row r="391">
      <c r="A391">
        <f>Skills!A19</f>
        <v/>
      </c>
      <c r="B391">
        <f>Skills!B19</f>
        <v/>
      </c>
      <c r="C391">
        <f>Inputs!$B$3&gt;=15</f>
        <v/>
      </c>
      <c r="D391">
        <f>IF(Skills!C19=1,60+Inputs!$B$25+Inputs!$B$29,IF(Skills!C19=2,90+Inputs!$B$26+Inputs!$B$29,IF(Skills!C19=3,120+Inputs!$B$27+Inputs!$B$29,MAX(0,(Inputs!$B$3-100)*3)+Inputs!$B$28+Inputs!$B$29)))</f>
        <v/>
      </c>
      <c r="E391">
        <f>INDEX(FactorTable!$B$2:$Y$301, MATCH(ROUND(MIN(300,MAX(1,D391)),0), FactorTable!$A$2:$A$301,0), Skills!M19+1)</f>
        <v/>
      </c>
      <c r="F391">
        <f>IF(Skills!N19=TRUE,(Skills!L19/10)*(E391/1000),Skills!L19/10)+Skills!O19</f>
        <v/>
      </c>
      <c r="G391">
        <f>Skills!G19*IF(Skills!H19&gt;0,Skills!I19/Skills!H19,1)</f>
        <v/>
      </c>
      <c r="H391">
        <f>1-(1-Skills!J19/100)^Skills!K19</f>
        <v/>
      </c>
      <c r="I391" t="inlineStr">
        <is>
          <t>1</t>
        </is>
      </c>
      <c r="J391" t="inlineStr"/>
      <c r="K391" t="inlineStr"/>
      <c r="L391" t="inlineStr"/>
      <c r="M391" t="inlineStr"/>
      <c r="N391" t="inlineStr"/>
      <c r="O391">
        <f>(1-Summary!$B$11)*T391+Summary!$B$11*V391</f>
        <v/>
      </c>
      <c r="P391">
        <f>IF(B412=0,0,O391/B412)</f>
        <v/>
      </c>
      <c r="Q391" t="n">
        <v>0</v>
      </c>
      <c r="R391" t="n">
        <v>0</v>
      </c>
      <c r="S391">
        <f>IFERROR(O391/N391,0)</f>
        <v/>
      </c>
      <c r="T391" t="n">
        <v>0</v>
      </c>
      <c r="V391" t="n">
        <v>0</v>
      </c>
    </row>
    <row r="392">
      <c r="A392">
        <f>Skills!A20</f>
        <v/>
      </c>
      <c r="B392">
        <f>Skills!B20</f>
        <v/>
      </c>
      <c r="C392">
        <f>Inputs!$B$3&gt;=10</f>
        <v/>
      </c>
      <c r="D392">
        <f>IF(Skills!C20=1,60+Inputs!$B$25+Inputs!$B$29,IF(Skills!C20=2,90+Inputs!$B$26+Inputs!$B$29,IF(Skills!C20=3,120+Inputs!$B$27+Inputs!$B$29,MAX(0,(Inputs!$B$3-100)*3)+Inputs!$B$28+Inputs!$B$29)))</f>
        <v/>
      </c>
      <c r="E392">
        <f>INDEX(FactorTable!$B$2:$Y$301, MATCH(ROUND(MIN(300,MAX(1,D392)),0), FactorTable!$A$2:$A$301,0), Skills!M20+1)</f>
        <v/>
      </c>
      <c r="F392">
        <f>IF(Skills!N20=TRUE,(Skills!L20/10)*(E392/1000),Skills!L20/10)+Skills!O20</f>
        <v/>
      </c>
      <c r="G392">
        <f>Skills!G20*IF(Skills!H20&gt;0,Skills!I20/Skills!H20,1)</f>
        <v/>
      </c>
      <c r="H392">
        <f>1-(1-Skills!J20/100)^Skills!K20</f>
        <v/>
      </c>
      <c r="I392" t="inlineStr">
        <is>
          <t>1</t>
        </is>
      </c>
      <c r="J392" t="inlineStr"/>
      <c r="K392" t="inlineStr"/>
      <c r="L392" t="inlineStr"/>
      <c r="M392" t="inlineStr"/>
      <c r="N392" t="inlineStr"/>
      <c r="O392">
        <f>(1-Summary!$B$11)*T392+Summary!$B$11*V392</f>
        <v/>
      </c>
      <c r="P392">
        <f>IF(B412=0,0,O392/B412)</f>
        <v/>
      </c>
      <c r="Q392" t="n">
        <v>0</v>
      </c>
      <c r="R392" t="n">
        <v>0</v>
      </c>
      <c r="S392">
        <f>IFERROR(O392/N392,0)</f>
        <v/>
      </c>
      <c r="T392" t="n">
        <v>0</v>
      </c>
      <c r="V392" t="n">
        <v>0</v>
      </c>
    </row>
    <row r="393">
      <c r="A393">
        <f>Skills!A21</f>
        <v/>
      </c>
      <c r="B393">
        <f>Skills!B21</f>
        <v/>
      </c>
      <c r="C393">
        <f>Inputs!$B$3&gt;=33</f>
        <v/>
      </c>
      <c r="D393">
        <f>IF(Skills!C21=1,60+Inputs!$B$25+Inputs!$B$29,IF(Skills!C21=2,90+Inputs!$B$26+Inputs!$B$29,IF(Skills!C21=3,120+Inputs!$B$27+Inputs!$B$29,MAX(0,(Inputs!$B$3-100)*3)+Inputs!$B$28+Inputs!$B$29)))</f>
        <v/>
      </c>
      <c r="E393">
        <f>INDEX(FactorTable!$B$2:$Y$301, MATCH(ROUND(MIN(300,MAX(1,D393)),0), FactorTable!$A$2:$A$301,0), Skills!M21+1)</f>
        <v/>
      </c>
      <c r="F393">
        <f>IF(Skills!N21=TRUE,(Skills!L21/10)*(E393/1000),Skills!L21/10)+Skills!O21</f>
        <v/>
      </c>
      <c r="G393">
        <f>Skills!G21*IF(Skills!H21&gt;0,Skills!I21/Skills!H21,1)</f>
        <v/>
      </c>
      <c r="H393">
        <f>1-(1-Skills!J21/100)^Skills!K21</f>
        <v/>
      </c>
      <c r="I393" t="inlineStr">
        <is>
          <t>1</t>
        </is>
      </c>
      <c r="J393" t="inlineStr"/>
      <c r="K393" t="inlineStr"/>
      <c r="L393" t="inlineStr"/>
      <c r="M393" t="inlineStr"/>
      <c r="N393" t="inlineStr"/>
      <c r="O393">
        <f>(1-Summary!$B$11)*T393+Summary!$B$11*V393</f>
        <v/>
      </c>
      <c r="P393">
        <f>IF(B412=0,0,O393/B412)</f>
        <v/>
      </c>
      <c r="Q393" t="n">
        <v>0</v>
      </c>
      <c r="R393" t="n">
        <v>0</v>
      </c>
      <c r="S393">
        <f>IFERROR(O393/N393,0)</f>
        <v/>
      </c>
      <c r="T393" t="n">
        <v>0</v>
      </c>
      <c r="V393" t="n">
        <v>0</v>
      </c>
    </row>
    <row r="394">
      <c r="A394">
        <f>Skills!A22</f>
        <v/>
      </c>
      <c r="B394">
        <f>Skills!B22</f>
        <v/>
      </c>
      <c r="C394">
        <f>Inputs!$B$3&gt;=43</f>
        <v/>
      </c>
      <c r="D394">
        <f>IF(Skills!C22=1,60+Inputs!$B$25+Inputs!$B$29,IF(Skills!C22=2,90+Inputs!$B$26+Inputs!$B$29,IF(Skills!C22=3,120+Inputs!$B$27+Inputs!$B$29,MAX(0,(Inputs!$B$3-100)*3)+Inputs!$B$28+Inputs!$B$29)))</f>
        <v/>
      </c>
      <c r="E394">
        <f>INDEX(FactorTable!$B$2:$Y$301, MATCH(ROUND(MIN(300,MAX(1,D394)),0), FactorTable!$A$2:$A$301,0), Skills!M22+1)</f>
        <v/>
      </c>
      <c r="F394">
        <f>IF(Skills!N22=TRUE,(Skills!L22/10)*(E394/1000),Skills!L22/10)+Skills!O22</f>
        <v/>
      </c>
      <c r="G394">
        <f>Skills!G22*IF(Skills!H22&gt;0,Skills!I22/Skills!H22,1)</f>
        <v/>
      </c>
      <c r="H394">
        <f>1-(1-Skills!J22/100)^Skills!K22</f>
        <v/>
      </c>
      <c r="I394" t="inlineStr">
        <is>
          <t>1</t>
        </is>
      </c>
      <c r="J394" t="inlineStr"/>
      <c r="K394" t="inlineStr"/>
      <c r="L394" t="inlineStr"/>
      <c r="M394" t="inlineStr"/>
      <c r="N394" t="inlineStr"/>
      <c r="O394">
        <f>(1-Summary!$B$11)*T394+Summary!$B$11*V394</f>
        <v/>
      </c>
      <c r="P394">
        <f>IF(B412=0,0,O394/B412)</f>
        <v/>
      </c>
      <c r="Q394" t="n">
        <v>0</v>
      </c>
      <c r="R394" t="n">
        <v>0</v>
      </c>
      <c r="S394">
        <f>IFERROR(O394/N394,0)</f>
        <v/>
      </c>
      <c r="T394" t="n">
        <v>0</v>
      </c>
      <c r="V394" t="n">
        <v>0</v>
      </c>
    </row>
    <row r="395">
      <c r="A395">
        <f>Skills!A23</f>
        <v/>
      </c>
      <c r="B395">
        <f>Skills!B23</f>
        <v/>
      </c>
      <c r="C395">
        <f>Inputs!$B$3&gt;=38</f>
        <v/>
      </c>
      <c r="D395">
        <f>IF(Skills!C23=1,60+Inputs!$B$25+Inputs!$B$29,IF(Skills!C23=2,90+Inputs!$B$26+Inputs!$B$29,IF(Skills!C23=3,120+Inputs!$B$27+Inputs!$B$29,MAX(0,(Inputs!$B$3-100)*3)+Inputs!$B$28+Inputs!$B$29)))</f>
        <v/>
      </c>
      <c r="E395">
        <f>INDEX(FactorTable!$B$2:$Y$301, MATCH(ROUND(MIN(300,MAX(1,D395)),0), FactorTable!$A$2:$A$301,0), Skills!M23+1)</f>
        <v/>
      </c>
      <c r="F395">
        <f>IF(Skills!N23=TRUE,(Skills!L23/10)*(E395/1000),Skills!L23/10)+Skills!O23</f>
        <v/>
      </c>
      <c r="G395">
        <f>Skills!G23*IF(Skills!H23&gt;0,Skills!I23/Skills!H23,1)</f>
        <v/>
      </c>
      <c r="H395">
        <f>1-(1-Skills!J23/100)^Skills!K23</f>
        <v/>
      </c>
      <c r="I395" t="inlineStr">
        <is>
          <t>1</t>
        </is>
      </c>
      <c r="J395" t="inlineStr"/>
      <c r="K395" t="inlineStr"/>
      <c r="L395" t="inlineStr"/>
      <c r="M395" t="inlineStr"/>
      <c r="N395" t="inlineStr"/>
      <c r="O395">
        <f>(1-Summary!$B$11)*T395+Summary!$B$11*V395</f>
        <v/>
      </c>
      <c r="P395">
        <f>IF(B412=0,0,O395/B412)</f>
        <v/>
      </c>
      <c r="Q395" t="n">
        <v>0</v>
      </c>
      <c r="R395" t="n">
        <v>0</v>
      </c>
      <c r="S395">
        <f>IFERROR(O395/N395,0)</f>
        <v/>
      </c>
      <c r="T395" t="n">
        <v>0</v>
      </c>
      <c r="V395" t="n">
        <v>0</v>
      </c>
    </row>
    <row r="396">
      <c r="A396">
        <f>Skills!A24</f>
        <v/>
      </c>
      <c r="B396">
        <f>Skills!B24</f>
        <v/>
      </c>
      <c r="C396">
        <f>Inputs!$B$3&gt;=40</f>
        <v/>
      </c>
      <c r="D396">
        <f>IF(Skills!C24=1,60+Inputs!$B$25+Inputs!$B$29,IF(Skills!C24=2,90+Inputs!$B$26+Inputs!$B$29,IF(Skills!C24=3,120+Inputs!$B$27+Inputs!$B$29,MAX(0,(Inputs!$B$3-100)*3)+Inputs!$B$28+Inputs!$B$29)))</f>
        <v/>
      </c>
      <c r="E396">
        <f>INDEX(FactorTable!$B$2:$Y$301, MATCH(ROUND(MIN(300,MAX(1,D396)),0), FactorTable!$A$2:$A$301,0), Skills!M24+1)</f>
        <v/>
      </c>
      <c r="F396">
        <f>IF(Skills!N24=TRUE,(Skills!L24/10)*(E396/1000),Skills!L24/10)+Skills!O24</f>
        <v/>
      </c>
      <c r="G396">
        <f>Skills!G24*IF(Skills!H24&gt;0,Skills!I24/Skills!H24,1)</f>
        <v/>
      </c>
      <c r="H396">
        <f>1-(1-Skills!J24/100)^Skills!K24</f>
        <v/>
      </c>
      <c r="I396" t="inlineStr">
        <is>
          <t>1</t>
        </is>
      </c>
      <c r="J396" t="inlineStr"/>
      <c r="K396" t="inlineStr"/>
      <c r="L396" t="inlineStr"/>
      <c r="M396" t="inlineStr"/>
      <c r="N396" t="inlineStr"/>
      <c r="O396">
        <f>(1-Summary!$B$11)*T396+Summary!$B$11*V396</f>
        <v/>
      </c>
      <c r="P396">
        <f>IF(B412=0,0,O396/B412)</f>
        <v/>
      </c>
      <c r="Q396" t="n">
        <v>0</v>
      </c>
      <c r="R396" t="n">
        <v>0</v>
      </c>
      <c r="S396">
        <f>IFERROR(O396/N396,0)</f>
        <v/>
      </c>
      <c r="T396" t="n">
        <v>0</v>
      </c>
      <c r="V396" t="n">
        <v>0</v>
      </c>
    </row>
    <row r="397">
      <c r="A397">
        <f>Skills!A25</f>
        <v/>
      </c>
      <c r="B397">
        <f>Skills!B25</f>
        <v/>
      </c>
      <c r="C397">
        <f>Inputs!$B$3&gt;=72</f>
        <v/>
      </c>
      <c r="D397">
        <f>IF(Skills!C25=1,60+Inputs!$B$25+Inputs!$B$29,IF(Skills!C25=2,90+Inputs!$B$26+Inputs!$B$29,IF(Skills!C25=3,120+Inputs!$B$27+Inputs!$B$29,MAX(0,(Inputs!$B$3-100)*3)+Inputs!$B$28+Inputs!$B$29)))</f>
        <v/>
      </c>
      <c r="E397">
        <f>INDEX(FactorTable!$B$2:$Y$301, MATCH(ROUND(MIN(300,MAX(1,D397)),0), FactorTable!$A$2:$A$301,0), Skills!M25+1)</f>
        <v/>
      </c>
      <c r="F397">
        <f>IF(Skills!N25=TRUE,(Skills!L25/10)*(E397/1000),Skills!L25/10)+Skills!O25</f>
        <v/>
      </c>
      <c r="G397">
        <f>Skills!G25*IF(Skills!H25&gt;0,Skills!I25/Skills!H25,1)</f>
        <v/>
      </c>
      <c r="H397">
        <f>1-(1-Skills!J25/100)^Skills!K25</f>
        <v/>
      </c>
      <c r="I397" t="inlineStr">
        <is>
          <t>1</t>
        </is>
      </c>
      <c r="J397" t="inlineStr"/>
      <c r="K397" t="inlineStr"/>
      <c r="L397" t="inlineStr"/>
      <c r="M397" t="inlineStr"/>
      <c r="N397" t="inlineStr"/>
      <c r="O397">
        <f>(1-Summary!$B$11)*T397+Summary!$B$11*V397</f>
        <v/>
      </c>
      <c r="P397">
        <f>IF(B412=0,0,O397/B412)</f>
        <v/>
      </c>
      <c r="Q397" t="n">
        <v>0</v>
      </c>
      <c r="R397" t="n">
        <v>0</v>
      </c>
      <c r="S397">
        <f>IFERROR(O397/N397,0)</f>
        <v/>
      </c>
      <c r="T397" t="n">
        <v>0</v>
      </c>
      <c r="V397" t="n">
        <v>0</v>
      </c>
    </row>
    <row r="398">
      <c r="A398">
        <f>Skills!A26</f>
        <v/>
      </c>
      <c r="B398">
        <f>Skills!B26</f>
        <v/>
      </c>
      <c r="C398">
        <f>Inputs!$B$3&gt;=75</f>
        <v/>
      </c>
      <c r="D398">
        <f>IF(Skills!C26=1,60+Inputs!$B$25+Inputs!$B$29,IF(Skills!C26=2,90+Inputs!$B$26+Inputs!$B$29,IF(Skills!C26=3,120+Inputs!$B$27+Inputs!$B$29,MAX(0,(Inputs!$B$3-100)*3)+Inputs!$B$28+Inputs!$B$29)))</f>
        <v/>
      </c>
      <c r="E398">
        <f>INDEX(FactorTable!$B$2:$Y$301, MATCH(ROUND(MIN(300,MAX(1,D398)),0), FactorTable!$A$2:$A$301,0), Skills!M26+1)</f>
        <v/>
      </c>
      <c r="F398">
        <f>IF(Skills!N26=TRUE,(Skills!L26/10)*(E398/1000),Skills!L26/10)+Skills!O26</f>
        <v/>
      </c>
      <c r="G398">
        <f>Skills!G26*IF(Skills!H26&gt;0,Skills!I26/Skills!H26,1)</f>
        <v/>
      </c>
      <c r="H398">
        <f>1-(1-Skills!J26/100)^Skills!K26</f>
        <v/>
      </c>
      <c r="I398" t="inlineStr">
        <is>
          <t>1</t>
        </is>
      </c>
      <c r="J398" t="inlineStr"/>
      <c r="K398" t="inlineStr"/>
      <c r="L398" t="inlineStr"/>
      <c r="M398" t="inlineStr"/>
      <c r="N398" t="inlineStr"/>
      <c r="O398">
        <f>(1-Summary!$B$11)*T398+Summary!$B$11*V398</f>
        <v/>
      </c>
      <c r="P398">
        <f>IF(B412=0,0,O398/B412)</f>
        <v/>
      </c>
      <c r="Q398" t="n">
        <v>0</v>
      </c>
      <c r="R398" t="n">
        <v>0</v>
      </c>
      <c r="S398">
        <f>IFERROR(O398/N398,0)</f>
        <v/>
      </c>
      <c r="T398" t="n">
        <v>0</v>
      </c>
      <c r="V398" t="n">
        <v>0</v>
      </c>
    </row>
    <row r="399">
      <c r="A399">
        <f>Skills!A27</f>
        <v/>
      </c>
      <c r="B399">
        <f>Skills!B27</f>
        <v/>
      </c>
      <c r="C399">
        <f>Inputs!$B$3&gt;=117</f>
        <v/>
      </c>
      <c r="D399">
        <f>IF(Skills!C27=1,60+Inputs!$B$25+Inputs!$B$29,IF(Skills!C27=2,90+Inputs!$B$26+Inputs!$B$29,IF(Skills!C27=3,120+Inputs!$B$27+Inputs!$B$29,MAX(0,(Inputs!$B$3-100)*3)+Inputs!$B$28+Inputs!$B$29)))</f>
        <v/>
      </c>
      <c r="E399">
        <f>INDEX(FactorTable!$B$2:$Y$301, MATCH(ROUND(MIN(300,MAX(1,D399)),0), FactorTable!$A$2:$A$301,0), Skills!M27+1)</f>
        <v/>
      </c>
      <c r="F399">
        <f>IF(Skills!N27=TRUE,(Skills!L27/10)*(E399/1000),Skills!L27/10)+Skills!O27</f>
        <v/>
      </c>
      <c r="G399">
        <f>Skills!G27*IF(Skills!H27&gt;0,Skills!I27/Skills!H27,1)</f>
        <v/>
      </c>
      <c r="H399">
        <f>1-(1-Skills!J27/100)^Skills!K27</f>
        <v/>
      </c>
      <c r="I399" t="inlineStr">
        <is>
          <t>1</t>
        </is>
      </c>
      <c r="J399" t="inlineStr"/>
      <c r="K399" t="inlineStr"/>
      <c r="L399" t="inlineStr"/>
      <c r="M399" t="inlineStr"/>
      <c r="N399" t="inlineStr"/>
      <c r="O399">
        <f>(1-Summary!$B$11)*T399+Summary!$B$11*V399</f>
        <v/>
      </c>
      <c r="P399">
        <f>IF(B412=0,0,O399/B412)</f>
        <v/>
      </c>
      <c r="Q399" t="n">
        <v>0</v>
      </c>
      <c r="R399" t="n">
        <v>0</v>
      </c>
      <c r="S399">
        <f>IFERROR(O399/N399,0)</f>
        <v/>
      </c>
      <c r="T399" t="n">
        <v>0</v>
      </c>
      <c r="V399" t="n">
        <v>0</v>
      </c>
    </row>
    <row r="401">
      <c r="A401" t="inlineStr">
        <is>
          <t>Attack% Bucket Multiplier</t>
        </is>
      </c>
      <c r="B401">
        <f>(1+(((C389=TRUE)*F389)+((C396=TRUE)*(F396-Calc!F24))+(IF(ArtifactsInput!$M$21,CHOOSE(ArtifactsInput!$N$21+1,25,30,35,40,45,50)*(IF(OR(Inputs!$B$4="Chapter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02">
      <c r="A402" t="inlineStr">
        <is>
          <t>Global Crit Rate Bonus %</t>
        </is>
      </c>
      <c r="B402" t="n">
        <v>0</v>
      </c>
    </row>
    <row r="403">
      <c r="A403" t="inlineStr">
        <is>
          <t>Attack Speed Buff Bonus % (unused)</t>
        </is>
      </c>
      <c r="B403" t="n">
        <v>0</v>
      </c>
    </row>
    <row r="404">
      <c r="A404" t="inlineStr">
        <is>
          <t>Actions Per Second</t>
        </is>
      </c>
      <c r="B404">
        <f>1+MIN(150,150*(1-(1-(Inputs!$B$11+((C392=TRUE)*(F392-Calc!F20))+((C393=TRUE)*(F393-Calc!F21)))/150)*(1-B403/150)))/100</f>
        <v/>
      </c>
    </row>
    <row r="405">
      <c r="A405" t="inlineStr">
        <is>
          <t>Skill + Buff Cast Rate</t>
        </is>
      </c>
      <c r="B405">
        <f>IF(AND(Inputs!$B$38&lt;&gt;"pvp",Inputs!$B$43&gt;0),SUMPRODUCT((Skills!E2:E27=TRUE)*(C374:C399=TRUE)*R374:R399*Skills!F2:F27)/Inputs!$B$43,SUMPRODUCT((Skills!E2:E27=TRUE)*(C374:C399=TRUE)*Q374:Q399*Skills!F2:F27))</f>
        <v/>
      </c>
    </row>
    <row r="406">
      <c r="A406" t="inlineStr">
        <is>
          <t>Eight-Legs Easton Casts Per Second</t>
        </is>
      </c>
      <c r="B406">
        <f>MAX(0,B404-B405)</f>
        <v/>
      </c>
    </row>
    <row r="407">
      <c r="A407" t="inlineStr">
        <is>
          <t>Global Critical Damage Bonus % (unused)</t>
        </is>
      </c>
      <c r="B407" t="n">
        <v>0</v>
      </c>
    </row>
    <row r="408">
      <c r="A408" t="inlineStr">
        <is>
          <t>Global Final Damage Bonus % (Jolly Roger only)</t>
        </is>
      </c>
      <c r="B408">
        <f>((C390=TRUE)*F390)</f>
        <v/>
      </c>
    </row>
    <row r="409">
      <c r="A409" t="inlineStr">
        <is>
          <t>Buff-Casting Startup Delay (s, fixed-duration only)</t>
        </is>
      </c>
      <c r="B409">
        <f>IF(AND(Inputs!$B$38&lt;&gt;"pvp",Inputs!$B$43&gt;0),SUMPRODUCT((Skills!T2:T27&gt;0)*(Skills!E2:E27=TRUE)*(C374:C399=TRUE))/B404,0)</f>
        <v/>
      </c>
    </row>
    <row r="410">
      <c r="A410" t="inlineStr">
        <is>
          <t>Boss-Only Total DPS (this block's swept value)</t>
        </is>
      </c>
      <c r="B410">
        <f>SUM(T374:T399)</f>
        <v/>
      </c>
    </row>
    <row r="411">
      <c r="A411" t="inlineStr">
        <is>
          <t>Normal-Only Total DPS (this block's swept value)</t>
        </is>
      </c>
      <c r="B411">
        <f>SUM(V374:V399)</f>
        <v/>
      </c>
    </row>
    <row r="412">
      <c r="A412" s="6" t="inlineStr">
        <is>
          <t>TOTAL DPS</t>
        </is>
      </c>
      <c r="B412" s="6">
        <f>SUM(O374:O399)</f>
        <v/>
      </c>
    </row>
    <row r="415">
      <c r="A415" s="6" t="inlineStr">
        <is>
          <t>Stat: MIN_DAMAGE %</t>
        </is>
      </c>
    </row>
    <row r="416">
      <c r="A416" s="5" t="inlineStr">
        <is>
          <t>Key</t>
        </is>
      </c>
      <c r="B416" s="5" t="inlineStr">
        <is>
          <t>Name</t>
        </is>
      </c>
      <c r="C416" s="5" t="inlineStr">
        <is>
          <t>Unlocked</t>
        </is>
      </c>
      <c r="D416" s="5" t="inlineStr">
        <is>
          <t>InputLevel</t>
        </is>
      </c>
      <c r="E416" s="5" t="inlineStr">
        <is>
          <t>Factor</t>
        </is>
      </c>
      <c r="F416" s="5" t="inlineStr">
        <is>
          <t>CoefficientPercent</t>
        </is>
      </c>
      <c r="G416" s="5" t="inlineStr">
        <is>
          <t>EffectiveHits</t>
        </is>
      </c>
      <c r="H416" s="5" t="inlineStr">
        <is>
          <t>ProcProbability</t>
        </is>
      </c>
      <c r="I416" s="5" t="inlineStr">
        <is>
          <t>MapleHeroMultiplier</t>
        </is>
      </c>
      <c r="J416" s="5" t="inlineStr">
        <is>
          <t>BaseDamage</t>
        </is>
      </c>
      <c r="K416" s="5" t="inlineStr">
        <is>
          <t>BaseHitDamage</t>
        </is>
      </c>
      <c r="L416" s="5" t="inlineStr">
        <is>
          <t>NonCritAvg</t>
        </is>
      </c>
      <c r="M416" s="5" t="inlineStr">
        <is>
          <t>CritAvg</t>
        </is>
      </c>
      <c r="N416" s="5" t="inlineStr">
        <is>
          <t>ExpectedDamage(perHit)</t>
        </is>
      </c>
      <c r="O416" s="5" t="inlineStr">
        <is>
          <t>DPS</t>
        </is>
      </c>
      <c r="P416" s="5" t="inlineStr">
        <is>
          <t>% of Total</t>
        </is>
      </c>
      <c r="Q416" s="5" t="inlineStr">
        <is>
          <t>InvCooldown</t>
        </is>
      </c>
      <c r="R416" s="5" t="inlineStr">
        <is>
          <t>CastsInFight</t>
        </is>
      </c>
      <c r="S416" s="5" t="inlineStr">
        <is>
          <t>HitRate(perSec)</t>
        </is>
      </c>
      <c r="U416" t="inlineStr">
        <is>
          <t>helpers</t>
        </is>
      </c>
    </row>
    <row r="417">
      <c r="A417">
        <f>Skills!A2</f>
        <v/>
      </c>
      <c r="B417">
        <f>Skills!B2</f>
        <v/>
      </c>
      <c r="C417">
        <f>Inputs!$B$3&gt;=100</f>
        <v/>
      </c>
      <c r="D417" t="inlineStr"/>
      <c r="E417" t="inlineStr"/>
      <c r="F417">
        <f>U419+Skills!O2</f>
        <v/>
      </c>
      <c r="G417">
        <f>Skills!G2*IF(Skills!H2&gt;0,Skills!I2/Skills!H2,1)</f>
        <v/>
      </c>
      <c r="H417">
        <f>1-(1-Skills!J2/100)^Skills!K2</f>
        <v/>
      </c>
      <c r="I417" t="inlineStr">
        <is>
          <t>1</t>
        </is>
      </c>
      <c r="J417">
        <f>((Inputs!$B$6*(1+Inputs!$B$7/100))+(((Inputs!$B$12*(1+Inputs!$B$13/100))-(Inputs!$B$12*(1+Inputs!$B$13/100)))+0.25*(Inputs!$B$14-Inputs!$B$14))*(1+Inputs!$B$7/100))*(F417/100)</f>
        <v/>
      </c>
      <c r="K417">
        <f>J417*(1+((Inputs!$B$12*(1+Inputs!$B$13/100))*0.01+Inputs!$B$14*0.0025)/100)*(1+Inputs!$B$15/100)*(1+Inputs!$B$16/100)*(5000/(6000+Inputs!$B$42*(1-(100*(1-(1-(Inputs!$B$19+0)/100)*(1-CHOOSE(ArtifactsInput!$N$40+1,5,6,7,8,9,10)/100)^(ArtifactsInput!$M$40-ArtifactsInput!$M$40)))/100)))*(1+(Inputs!$B$24+((C441=TRUE)*(F441-Calc!F26))+B451)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438=TRUE)*(F438-Calc!F23))+((C442=TRUE)*(F442-Calc!F27))+(((IF(AND(ArtifactsInput!$M$42,((Inputs!$B$9+((C434=TRUE)*(F434-Calc!F19))+B445+(ArtifactsInput!$M$24-ArtifactsInput!$M$24)*CHOOSE(ArtifactsInput!$N$24+1,10,12,14,16,18,20)+IF(ArtifactsInput!$M$10,CHOOSE(ArtifactsInput!$N$10+1,15,18,21,24,27,30)*(IF(Inputs!$B$38="pvp",MIN(15,15)/15,IF(AND(Inputs!$B$38&lt;&gt;"pvp",Inputs!$B$43&gt;0),MIN(15,Inputs!$B$43)/(Inputs!$B$43),0))),0)))&gt;=100),MIN(100,((Inputs!$B$9+((C434=TRUE)*(F434-Calc!F19))+B445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434=TRUE)*(F434-Calc!F19))+B445+(ArtifactsInput!$M$24-ArtifactsInput!$M$24)*CHOOSE(ArtifactsInput!$N$24+1,10,12,14,16,18,20)+IF(ArtifactsInput!$M$10,CHOOSE(ArtifactsInput!$N$10+1,15,18,21,24,27,30)*(IF(Inputs!$B$38="pvp",MIN(15,15)/15,IF(AND(Inputs!$B$38&lt;&gt;"pvp",Inputs!$B$43&gt;0),MIN(15,Inputs!$B$43)/(Inputs!$B$43),0))),0)))&gt;=100),CHOOSE(ArtifactsInput!$N$42+1,40,48,56,64,72,80),0))))/100)*((1+(((C432=TRUE)*F432)+((C439=TRUE)*(F439-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417)</f>
        <v/>
      </c>
      <c r="L417">
        <f>K417*(MIN((Inputs!$B$22+1)+((C437=TRUE)*(F437-Calc!F22)),(Inputs!$B$23+0+(IF(ArtifactsInput!$M$15,CHOOSE(ArtifactsInput!$N$15+1,25,30,35,40,45,50)/100*(Inputs!$B$11-Inputs!$B$11),0))))/100+(Inputs!$B$23+0+(IF(ArtifactsInput!$M$15,CHOOSE(ArtifactsInput!$N$15+1,25,30,35,40,45,50)/100*(Inputs!$B$11-Inputs!$B$11),0)))/100)/2</f>
        <v/>
      </c>
      <c r="M417">
        <f>L417*(1+(Inputs!$B$10+((C440=TRUE)*(F440-Calc!F25))+B450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7">
        <f>L417*(1-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417*(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7">
        <f>(1-Summary!$B$11)*T417+Summary!$B$11*V417</f>
        <v/>
      </c>
      <c r="P417">
        <f>IF(B455=0,0,O417/B455)</f>
        <v/>
      </c>
      <c r="Q417" t="n">
        <v>0</v>
      </c>
      <c r="R417" t="n">
        <v>0</v>
      </c>
      <c r="S417">
        <f>IFERROR(O417/N417,0)</f>
        <v/>
      </c>
      <c r="T417">
        <f>IF(C417,(Skills!G2*N417*B449)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417*(1-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417*(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417*(1-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417*(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17">
        <f>MAX(0,(Inputs!$B$3-100)*3)+Inputs!$B$28+Inputs!$B$29</f>
        <v/>
      </c>
      <c r="V417">
        <f>IF(C417,(Skills!G2*N417*B449)*IF(Inputs!$B$38="pvp",1,(1+(Inputs!$B$21+Skills!Q2+(IF(ArtifactsInput!$M$33,CHOOSE(ArtifactsInput!$N$33+1,30,36,42,48,54,60),0))+(IF(AND(ArtifactsInput!$M$35,Inputs!$B$4&lt;&gt;"Chapter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8">
      <c r="A418">
        <f>Skills!A3</f>
        <v/>
      </c>
      <c r="B418">
        <f>Skills!B3</f>
        <v/>
      </c>
      <c r="C418">
        <f>Inputs!$B$3&gt;=35</f>
        <v/>
      </c>
      <c r="D418">
        <f>IF(Skills!C3=1,60+Inputs!$B$25+Inputs!$B$29,IF(Skills!C3=2,90+Inputs!$B$26+Inputs!$B$29,IF(Skills!C3=3,120+Inputs!$B$27+Inputs!$B$29,MAX(0,(Inputs!$B$3-100)*3)+Inputs!$B$28+Inputs!$B$29)))</f>
        <v/>
      </c>
      <c r="E418">
        <f>INDEX(FactorTable!$B$2:$Y$301, MATCH(ROUND(MIN(300,MAX(1,D418)),0), FactorTable!$A$2:$A$301,0), Skills!M3+1)</f>
        <v/>
      </c>
      <c r="F418">
        <f>IF(Skills!N3=TRUE,(Skills!L3/10)*(E418/1000),Skills!L3/10)+Skills!O3</f>
        <v/>
      </c>
      <c r="G418">
        <f>Skills!G3*IF(Skills!H3&gt;0,Skills!I3/Skills!H3,1)</f>
        <v/>
      </c>
      <c r="H418">
        <f>1-(1-Skills!J3/100)^Skills!K3</f>
        <v/>
      </c>
      <c r="I418" t="inlineStr">
        <is>
          <t>1</t>
        </is>
      </c>
      <c r="J418">
        <f>((Inputs!$B$6*(1+Inputs!$B$7/100))+(((Inputs!$B$12*(1+Inputs!$B$13/100))-(Inputs!$B$12*(1+Inputs!$B$13/100)))+0.25*(Inputs!$B$14-Inputs!$B$14))*(1+Inputs!$B$7/100))*(F418/100)</f>
        <v/>
      </c>
      <c r="K418">
        <f>J418*(1+((Inputs!$B$12*(1+Inputs!$B$13/100))*0.01+Inputs!$B$14*0.0025)/100)*(1+Inputs!$B$15/100)*(1+Inputs!$B$16/100)*(5000/(6000+Inputs!$B$42*(1-(100*(1-(1-(Inputs!$B$19+0)/100)*(1-CHOOSE(ArtifactsInput!$N$40+1,5,6,7,8,9,10)/100)^(ArtifactsInput!$M$40-ArtifactsInput!$M$40)))/100)))*(1+(Inputs!$B$24+((C441=TRUE)*(F441-Calc!F26))+B451)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430=TRUE,F430,0)/100)*(1+(IF(Skills!A3="EIGHT_LEGS_EASTON",Inputs!$B$17+((C438=TRUE)*(F438-Calc!F23))+((C442=TRUE)*(F442-Calc!F27))+(((IF(AND(ArtifactsInput!$M$42,((Inputs!$B$9+((C434=TRUE)*(F434-Calc!F19))+B445+(ArtifactsInput!$M$24-ArtifactsInput!$M$24)*CHOOSE(ArtifactsInput!$N$24+1,10,12,14,16,18,20)+IF(ArtifactsInput!$M$10,CHOOSE(ArtifactsInput!$N$10+1,15,18,21,24,27,30)*(IF(Inputs!$B$38="pvp",MIN(15,15)/15,IF(AND(Inputs!$B$38&lt;&gt;"pvp",Inputs!$B$43&gt;0),MIN(15,Inputs!$B$43)/(Inputs!$B$43),0))),0)))&gt;=100),MIN(100,((Inputs!$B$9+((C434=TRUE)*(F434-Calc!F19))+B445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434=TRUE)*(F434-Calc!F19))+B445+(ArtifactsInput!$M$24-ArtifactsInput!$M$24)*CHOOSE(ArtifactsInput!$N$24+1,10,12,14,16,18,20)+IF(ArtifactsInput!$M$10,CHOOSE(ArtifactsInput!$N$10+1,15,18,21,24,27,30)*(IF(Inputs!$B$38="pvp",MIN(15,15)/15,IF(AND(Inputs!$B$38&lt;&gt;"pvp",Inputs!$B$43&gt;0),MIN(15,Inputs!$B$43)/(Inputs!$B$43),0))),0)))&gt;=100),CHOOSE(ArtifactsInput!$N$42+1,40,48,56,64,72,80),0))))/100)*((1+(((C432=TRUE)*F432)+((C439=TRUE)*(F439-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418)</f>
        <v/>
      </c>
      <c r="L418">
        <f>K418*(MIN((Inputs!$B$22+1)+((C437=TRUE)*(F437-Calc!F22)),(Inputs!$B$23+0+(IF(ArtifactsInput!$M$15,CHOOSE(ArtifactsInput!$N$15+1,25,30,35,40,45,50)/100*(Inputs!$B$11-Inputs!$B$11),0))))/100+(Inputs!$B$23+0+(IF(ArtifactsInput!$M$15,CHOOSE(ArtifactsInput!$N$15+1,25,30,35,40,45,50)/100*(Inputs!$B$11-Inputs!$B$11),0)))/100)/2</f>
        <v/>
      </c>
      <c r="M418">
        <f>L418*(1+(Inputs!$B$10+((C440=TRUE)*(F440-Calc!F25))+B450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8">
        <f>L418*(1-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418*(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8">
        <f>(1-Summary!$B$11)*T418+Summary!$B$11*V418</f>
        <v/>
      </c>
      <c r="P418">
        <f>IF(B455=0,0,O418/B455)</f>
        <v/>
      </c>
      <c r="Q418">
        <f>IFERROR(1/(IF(Inputs!$B$38="pvp",15,MAX(0.1,Skills!D3-IF(Skills!E3=TRUE,Inputs!$B$32,0)))*(1-IF(AND(ArtifactsInput!$M$27,Inputs!$B$4="Chapter Hunt"),CHOOSE(ArtifactsInput!$N$27+1,20,24,28,32,36,40),0)/100)),0)</f>
        <v/>
      </c>
      <c r="R418">
        <f>IF(AND(Inputs!$B$38&lt;&gt;"pvp",Inputs!$B$43&gt;0),IF(MAX(0,Inputs!$B$43-B452)&lt;=0,0,(INT(MAX(0,Inputs!$B$43-B452)/(IF(Inputs!$B$38="pvp",15,MAX(0.1,Skills!D3-IF(Skills!E3=TRUE,Inputs!$B$32,0)))*(1-IF(AND(ArtifactsInput!$M$27,Inputs!$B$4="Chapter Hunt"),CHOOSE(ArtifactsInput!$N$27+1,20,24,28,32,36,40),0)/100)))+1)),0)</f>
        <v/>
      </c>
      <c r="S418">
        <f>IFERROR(O418/N418,0)</f>
        <v/>
      </c>
      <c r="T418">
        <f>IF(C418,(H418*N418*IF(AND(Inputs!$B$38&lt;&gt;"pvp",Inputs!$B$43&gt;0),((Skills!G3*((R418-1)*IF(Skills!H3&gt;0,Skills!I3/Skills!H3,1)+IF(Skills!H3&gt;0,MIN(Skills!I3,MAX(0,MAX(0,Inputs!$B$43-B452)-((R418-1)*(IF(Inputs!$B$38="pvp",15,MAX(0.1,Skills!D3-IF(Skills!E3=TRUE,Inputs!$B$32,0)))*(1-IF(AND(ArtifactsInput!$M$27,Inputs!$B$4="Chapter Hunt"),CHOOSE(ArtifactsInput!$N$27+1,20,24,28,32,36,40),0)/100)))))/Skills!H3,1)))/Inputs!$B$43),G418*Q418)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418*(1-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418*(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418*(1-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418*(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18">
        <f>INDEX(FactorTable!$B$2:$Y$301, MATCH(ROUND(MIN(300,MAX(1,U417)),0), FactorTable!$A$2:$A$301,0), 22)</f>
        <v/>
      </c>
      <c r="V418">
        <f>IF(C418,(H418*N418*IF(AND(Inputs!$B$38&lt;&gt;"pvp",Inputs!$B$43&gt;0),((Skills!G3*((R418-1)*IF(Skills!H3&gt;0,Skills!I3/Skills!H3,1)+IF(Skills!H3&gt;0,MIN(Skills!I3,MAX(0,MAX(0,Inputs!$B$43-B452)-((R418-1)*(IF(Inputs!$B$38="pvp",15,MAX(0.1,Skills!D3-IF(Skills!E3=TRUE,Inputs!$B$32,0)))*(1-IF(AND(ArtifactsInput!$M$27,Inputs!$B$4="Chapter Hunt"),CHOOSE(ArtifactsInput!$N$27+1,20,24,28,32,36,40),0)/100)))))/Skills!H3,1)))/Inputs!$B$43),G418*Q418))*IF(Inputs!$B$38="pvp",1,(1+(Inputs!$B$21+Skills!Q3+(IF(ArtifactsInput!$M$33,CHOOSE(ArtifactsInput!$N$33+1,30,36,42,48,54,60)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9">
      <c r="A419">
        <f>Skills!A4</f>
        <v/>
      </c>
      <c r="B419">
        <f>Skills!B4</f>
        <v/>
      </c>
      <c r="C419">
        <f>Inputs!$B$3&gt;=40</f>
        <v/>
      </c>
      <c r="D419">
        <f>IF(Skills!C4=1,60+Inputs!$B$25+Inputs!$B$29,IF(Skills!C4=2,90+Inputs!$B$26+Inputs!$B$29,IF(Skills!C4=3,120+Inputs!$B$27+Inputs!$B$29,MAX(0,(Inputs!$B$3-100)*3)+Inputs!$B$28+Inputs!$B$29)))</f>
        <v/>
      </c>
      <c r="E419">
        <f>INDEX(FactorTable!$B$2:$Y$301, MATCH(ROUND(MIN(300,MAX(1,D419)),0), FactorTable!$A$2:$A$301,0), Skills!M4+1)</f>
        <v/>
      </c>
      <c r="F419">
        <f>IF(Skills!N4=TRUE,(Skills!L4/10)*(E419/1000),Skills!L4/10)+Skills!O4</f>
        <v/>
      </c>
      <c r="G419">
        <f>Skills!G4*IF(Skills!H4&gt;0,Skills!I4/Skills!H4,1)</f>
        <v/>
      </c>
      <c r="H419">
        <f>1-(1-Skills!J4/100)^Skills!K4</f>
        <v/>
      </c>
      <c r="I419" t="inlineStr">
        <is>
          <t>1</t>
        </is>
      </c>
      <c r="J419">
        <f>((Inputs!$B$6*(1+Inputs!$B$7/100))+(((Inputs!$B$12*(1+Inputs!$B$13/100))-(Inputs!$B$12*(1+Inputs!$B$13/100)))+0.25*(Inputs!$B$14-Inputs!$B$14))*(1+Inputs!$B$7/100))*(F419/100)</f>
        <v/>
      </c>
      <c r="K419">
        <f>J419*(1+((Inputs!$B$12*(1+Inputs!$B$13/100))*0.01+Inputs!$B$14*0.0025)/100)*(1+Inputs!$B$15/100)*(1+Inputs!$B$16/100)*(5000/(6000+Inputs!$B$42*(1-(100*(1-(1-(Inputs!$B$19+0)/100)*(1-CHOOSE(ArtifactsInput!$N$40+1,5,6,7,8,9,10)/100)^(ArtifactsInput!$M$40-ArtifactsInput!$M$40)))/100)))*(1+(Inputs!$B$24+((C441=TRUE)*(F441-Calc!F26))+B451)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431=TRUE,F431,0)/100)*(1+(IF(Skills!A4="EIGHT_LEGS_EASTON",Inputs!$B$17+((C438=TRUE)*(F438-Calc!F23))+((C442=TRUE)*(F442-Calc!F27))+(((IF(AND(ArtifactsInput!$M$42,((Inputs!$B$9+((C434=TRUE)*(F434-Calc!F19))+B445+(ArtifactsInput!$M$24-ArtifactsInput!$M$24)*CHOOSE(ArtifactsInput!$N$24+1,10,12,14,16,18,20)+IF(ArtifactsInput!$M$10,CHOOSE(ArtifactsInput!$N$10+1,15,18,21,24,27,30)*(IF(Inputs!$B$38="pvp",MIN(15,15)/15,IF(AND(Inputs!$B$38&lt;&gt;"pvp",Inputs!$B$43&gt;0),MIN(15,Inputs!$B$43)/(Inputs!$B$43),0))),0)))&gt;=100),MIN(100,((Inputs!$B$9+((C434=TRUE)*(F434-Calc!F19))+B445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434=TRUE)*(F434-Calc!F19))+B445+(ArtifactsInput!$M$24-ArtifactsInput!$M$24)*CHOOSE(ArtifactsInput!$N$24+1,10,12,14,16,18,20)+IF(ArtifactsInput!$M$10,CHOOSE(ArtifactsInput!$N$10+1,15,18,21,24,27,30)*(IF(Inputs!$B$38="pvp",MIN(15,15)/15,IF(AND(Inputs!$B$38&lt;&gt;"pvp",Inputs!$B$43&gt;0),MIN(15,Inputs!$B$43)/(Inputs!$B$43),0))),0)))&gt;=100),CHOOSE(ArtifactsInput!$N$42+1,40,48,56,64,72,80),0))))/100)*((1+(((C432=TRUE)*F432)+((C439=TRUE)*(F439-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419)</f>
        <v/>
      </c>
      <c r="L419">
        <f>K419*(MIN((Inputs!$B$22+1)+((C437=TRUE)*(F437-Calc!F22)),(Inputs!$B$23+0+(IF(ArtifactsInput!$M$15,CHOOSE(ArtifactsInput!$N$15+1,25,30,35,40,45,50)/100*(Inputs!$B$11-Inputs!$B$11),0))))/100+(Inputs!$B$23+0+(IF(ArtifactsInput!$M$15,CHOOSE(ArtifactsInput!$N$15+1,25,30,35,40,45,50)/100*(Inputs!$B$11-Inputs!$B$11),0)))/100)/2</f>
        <v/>
      </c>
      <c r="M419">
        <f>L419*(1+(Inputs!$B$10+((C440=TRUE)*(F440-Calc!F25))+B450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9">
        <f>L419*(1-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419*(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9">
        <f>(1-Summary!$B$11)*T419+Summary!$B$11*V419</f>
        <v/>
      </c>
      <c r="P419">
        <f>IF(B455=0,0,O419/B455)</f>
        <v/>
      </c>
      <c r="Q419">
        <f>IFERROR(1/(IF(Inputs!$B$38="pvp",15,MAX(0.1,Skills!D4-IF(Skills!E4=TRUE,Inputs!$B$32,0)))*(1-IF(AND(ArtifactsInput!$M$27,Inputs!$B$4="Chapter Hunt"),CHOOSE(ArtifactsInput!$N$27+1,20,24,28,32,36,40),0)/100)),0)</f>
        <v/>
      </c>
      <c r="R419">
        <f>IF(AND(Inputs!$B$38&lt;&gt;"pvp",Inputs!$B$43&gt;0),IF(MAX(0,Inputs!$B$43-B452)&lt;=0,0,(INT(MAX(0,Inputs!$B$43-B452)/(IF(Inputs!$B$38="pvp",15,MAX(0.1,Skills!D4-IF(Skills!E4=TRUE,Inputs!$B$32,0)))*(1-IF(AND(ArtifactsInput!$M$27,Inputs!$B$4="Chapter Hunt"),CHOOSE(ArtifactsInput!$N$27+1,20,24,28,32,36,40),0)/100)))+1)),0)</f>
        <v/>
      </c>
      <c r="S419">
        <f>IFERROR(O419/N419,0)</f>
        <v/>
      </c>
      <c r="T419">
        <f>IF(C419,(H419*N419*IF(AND(Inputs!$B$38&lt;&gt;"pvp",Inputs!$B$43&gt;0),((Skills!G4*((R419-1)*IF(Skills!H4&gt;0,Skills!I4/Skills!H4,1)+IF(Skills!H4&gt;0,MIN(Skills!I4,MAX(0,MAX(0,Inputs!$B$43-B452)-((R419-1)*(IF(Inputs!$B$38="pvp",15,MAX(0.1,Skills!D4-IF(Skills!E4=TRUE,Inputs!$B$32,0)))*(1-IF(AND(ArtifactsInput!$M$27,Inputs!$B$4="Chapter Hunt"),CHOOSE(ArtifactsInput!$N$27+1,20,24,28,32,36,40),0)/100)))))/Skills!H4,1)))/Inputs!$B$43),G419*Q419)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419*(1-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419*(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419*(1-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419*(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19">
        <f>290*U418/1000</f>
        <v/>
      </c>
      <c r="V419">
        <f>IF(C419,(H419*N419*IF(AND(Inputs!$B$38&lt;&gt;"pvp",Inputs!$B$43&gt;0),((Skills!G4*((R419-1)*IF(Skills!H4&gt;0,Skills!I4/Skills!H4,1)+IF(Skills!H4&gt;0,MIN(Skills!I4,MAX(0,MAX(0,Inputs!$B$43-B452)-((R419-1)*(IF(Inputs!$B$38="pvp",15,MAX(0.1,Skills!D4-IF(Skills!E4=TRUE,Inputs!$B$32,0)))*(1-IF(AND(ArtifactsInput!$M$27,Inputs!$B$4="Chapter Hunt"),CHOOSE(ArtifactsInput!$N$27+1,20,24,28,32,36,40),0)/100)))))/Skills!H4,1)))/Inputs!$B$43),G419*Q419))*IF(Inputs!$B$38="pvp",1,(1+(Inputs!$B$21+Skills!Q4+(IF(ArtifactsInput!$M$33,CHOOSE(ArtifactsInput!$N$33+1,30,36,42,48,54,60)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0">
      <c r="A420">
        <f>Skills!A5</f>
        <v/>
      </c>
      <c r="B420">
        <f>Skills!B5</f>
        <v/>
      </c>
      <c r="C420">
        <f>Inputs!$B$3&gt;=45</f>
        <v/>
      </c>
      <c r="D420">
        <f>IF(Skills!C5=1,60+Inputs!$B$25+Inputs!$B$29,IF(Skills!C5=2,90+Inputs!$B$26+Inputs!$B$29,IF(Skills!C5=3,120+Inputs!$B$27+Inputs!$B$29,MAX(0,(Inputs!$B$3-100)*3)+Inputs!$B$28+Inputs!$B$29)))</f>
        <v/>
      </c>
      <c r="E420">
        <f>INDEX(FactorTable!$B$2:$Y$301, MATCH(ROUND(MIN(300,MAX(1,D420)),0), FactorTable!$A$2:$A$301,0), Skills!M5+1)</f>
        <v/>
      </c>
      <c r="F420">
        <f>IF(Skills!N5=TRUE,(Skills!L5/10)*(E420/1000),Skills!L5/10)+Skills!O5</f>
        <v/>
      </c>
      <c r="G420">
        <f>Skills!G5*IF(Skills!H5&gt;0,Skills!I5/Skills!H5,1)</f>
        <v/>
      </c>
      <c r="H420">
        <f>1-(1-Skills!J5/100)^Skills!K5</f>
        <v/>
      </c>
      <c r="I420" t="inlineStr">
        <is>
          <t>1</t>
        </is>
      </c>
      <c r="J420">
        <f>((Inputs!$B$6*(1+Inputs!$B$7/100))+(((Inputs!$B$12*(1+Inputs!$B$13/100))-(Inputs!$B$12*(1+Inputs!$B$13/100)))+0.25*(Inputs!$B$14-Inputs!$B$14))*(1+Inputs!$B$7/100))*(F420/100)</f>
        <v/>
      </c>
      <c r="K420">
        <f>J420*(1+((Inputs!$B$12*(1+Inputs!$B$13/100))*0.01+Inputs!$B$14*0.0025)/100)*(1+Inputs!$B$15/100)*(1+Inputs!$B$16/100)*(5000/(6000+Inputs!$B$42*(1-(100*(1-(1-(Inputs!$B$19+0)/100)*(1-CHOOSE(ArtifactsInput!$N$40+1,5,6,7,8,9,10)/100)^(ArtifactsInput!$M$40-ArtifactsInput!$M$40)))/100)))*(1+(Inputs!$B$24+((C441=TRUE)*(F441-Calc!F26))+B451)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431=TRUE,F431,0)/100)*(1+(IF(Skills!A5="EIGHT_LEGS_EASTON",Inputs!$B$17+((C438=TRUE)*(F438-Calc!F23))+((C442=TRUE)*(F442-Calc!F27))+(((IF(AND(ArtifactsInput!$M$42,((Inputs!$B$9+((C434=TRUE)*(F434-Calc!F19))+B445+(ArtifactsInput!$M$24-ArtifactsInput!$M$24)*CHOOSE(ArtifactsInput!$N$24+1,10,12,14,16,18,20)+IF(ArtifactsInput!$M$10,CHOOSE(ArtifactsInput!$N$10+1,15,18,21,24,27,30)*(IF(Inputs!$B$38="pvp",MIN(15,15)/15,IF(AND(Inputs!$B$38&lt;&gt;"pvp",Inputs!$B$43&gt;0),MIN(15,Inputs!$B$43)/(Inputs!$B$43),0))),0)))&gt;=100),MIN(100,((Inputs!$B$9+((C434=TRUE)*(F434-Calc!F19))+B445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434=TRUE)*(F434-Calc!F19))+B445+(ArtifactsInput!$M$24-ArtifactsInput!$M$24)*CHOOSE(ArtifactsInput!$N$24+1,10,12,14,16,18,20)+IF(ArtifactsInput!$M$10,CHOOSE(ArtifactsInput!$N$10+1,15,18,21,24,27,30)*(IF(Inputs!$B$38="pvp",MIN(15,15)/15,IF(AND(Inputs!$B$38&lt;&gt;"pvp",Inputs!$B$43&gt;0),MIN(15,Inputs!$B$43)/(Inputs!$B$43),0))),0)))&gt;=100),CHOOSE(ArtifactsInput!$N$42+1,40,48,56,64,72,80),0))))/100)*((1+(((C432=TRUE)*F432)+((C439=TRUE)*(F439-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420)</f>
        <v/>
      </c>
      <c r="L420">
        <f>K420*(MIN((Inputs!$B$22+1)+((C437=TRUE)*(F437-Calc!F22)),(Inputs!$B$23+0+(IF(ArtifactsInput!$M$15,CHOOSE(ArtifactsInput!$N$15+1,25,30,35,40,45,50)/100*(Inputs!$B$11-Inputs!$B$11),0))))/100+(Inputs!$B$23+0+(IF(ArtifactsInput!$M$15,CHOOSE(ArtifactsInput!$N$15+1,25,30,35,40,45,50)/100*(Inputs!$B$11-Inputs!$B$11),0)))/100)/2</f>
        <v/>
      </c>
      <c r="M420">
        <f>L420*(1+(Inputs!$B$10+((C440=TRUE)*(F440-Calc!F25))+B450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0">
        <f>L420*(1-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420*(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0">
        <f>(1-Summary!$B$11)*T420+Summary!$B$11*V420</f>
        <v/>
      </c>
      <c r="P420">
        <f>IF(B455=0,0,O420/B455)</f>
        <v/>
      </c>
      <c r="Q420">
        <f>IFERROR(1/(IF(Inputs!$B$38="pvp",15,MAX(0.1,Skills!D5-IF(Skills!E5=TRUE,Inputs!$B$32,0)))*(1-IF(AND(ArtifactsInput!$M$27,Inputs!$B$4="Chapter Hunt"),CHOOSE(ArtifactsInput!$N$27+1,20,24,28,32,36,40),0)/100)),0)</f>
        <v/>
      </c>
      <c r="R420">
        <f>IF(AND(Inputs!$B$38&lt;&gt;"pvp",Inputs!$B$43&gt;0),IF(MAX(0,Inputs!$B$43-B452)&lt;=0,0,(INT(MAX(0,Inputs!$B$43-B452)/(IF(Inputs!$B$38="pvp",15,MAX(0.1,Skills!D5-IF(Skills!E5=TRUE,Inputs!$B$32,0)))*(1-IF(AND(ArtifactsInput!$M$27,Inputs!$B$4="Chapter Hunt"),CHOOSE(ArtifactsInput!$N$27+1,20,24,28,32,36,40),0)/100)))+1)),0)</f>
        <v/>
      </c>
      <c r="S420">
        <f>IFERROR(O420/N420,0)</f>
        <v/>
      </c>
      <c r="T420">
        <f>IF(C420,(H420*N420*IF(AND(Inputs!$B$38&lt;&gt;"pvp",Inputs!$B$43&gt;0),((Skills!G5*((R420-1)*IF(Skills!H5&gt;0,Skills!I5/Skills!H5,1)+IF(Skills!H5&gt;0,MIN(Skills!I5,MAX(0,MAX(0,Inputs!$B$43-B452)-((R420-1)*(IF(Inputs!$B$38="pvp",15,MAX(0.1,Skills!D5-IF(Skills!E5=TRUE,Inputs!$B$32,0)))*(1-IF(AND(ArtifactsInput!$M$27,Inputs!$B$4="Chapter Hunt"),CHOOSE(ArtifactsInput!$N$27+1,20,24,28,32,36,40),0)/100)))))/Skills!H5,1)))/Inputs!$B$43),G420*Q420)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420*(1-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420*(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420*(1-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420*(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0">
        <f>IF(C420,(H420*N420*IF(AND(Inputs!$B$38&lt;&gt;"pvp",Inputs!$B$43&gt;0),((Skills!G5*((R420-1)*IF(Skills!H5&gt;0,Skills!I5/Skills!H5,1)+IF(Skills!H5&gt;0,MIN(Skills!I5,MAX(0,MAX(0,Inputs!$B$43-B452)-((R420-1)*(IF(Inputs!$B$38="pvp",15,MAX(0.1,Skills!D5-IF(Skills!E5=TRUE,Inputs!$B$32,0)))*(1-IF(AND(ArtifactsInput!$M$27,Inputs!$B$4="Chapter Hunt"),CHOOSE(ArtifactsInput!$N$27+1,20,24,28,32,36,40),0)/100)))))/Skills!H5,1)))/Inputs!$B$43),G420*Q420))*IF(Inputs!$B$38="pvp",1,(1+(Inputs!$B$21+Skills!Q5+(IF(ArtifactsInput!$M$33,CHOOSE(ArtifactsInput!$N$33+1,30,36,42,48,54,60)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1">
      <c r="A421">
        <f>Skills!A6</f>
        <v/>
      </c>
      <c r="B421">
        <f>Skills!B6</f>
        <v/>
      </c>
      <c r="C421">
        <f>Inputs!$B$3&gt;=63</f>
        <v/>
      </c>
      <c r="D421">
        <f>IF(Skills!C6=1,60+Inputs!$B$25+Inputs!$B$29,IF(Skills!C6=2,90+Inputs!$B$26+Inputs!$B$29,IF(Skills!C6=3,120+Inputs!$B$27+Inputs!$B$29,MAX(0,(Inputs!$B$3-100)*3)+Inputs!$B$28+Inputs!$B$29)))</f>
        <v/>
      </c>
      <c r="E421">
        <f>INDEX(FactorTable!$B$2:$Y$301, MATCH(ROUND(MIN(300,MAX(1,D421)),0), FactorTable!$A$2:$A$301,0), Skills!M6+1)</f>
        <v/>
      </c>
      <c r="F421">
        <f>IF(Skills!N6=TRUE,(Skills!L6/10)*(E421/1000),Skills!L6/10)+Skills!O6</f>
        <v/>
      </c>
      <c r="G421">
        <f>Skills!G6*IF(Skills!H6&gt;0,Skills!I6/Skills!H6,1)</f>
        <v/>
      </c>
      <c r="H421">
        <f>1-(1-Skills!J6/100)^Skills!K6</f>
        <v/>
      </c>
      <c r="I421" t="inlineStr">
        <is>
          <t>1</t>
        </is>
      </c>
      <c r="J421">
        <f>((Inputs!$B$6*(1+Inputs!$B$7/100))+(((Inputs!$B$12*(1+Inputs!$B$13/100))-(Inputs!$B$12*(1+Inputs!$B$13/100)))+0.25*(Inputs!$B$14-Inputs!$B$14))*(1+Inputs!$B$7/100))*(F421/100)</f>
        <v/>
      </c>
      <c r="K421">
        <f>J421*(1+((Inputs!$B$12*(1+Inputs!$B$13/100))*0.01+Inputs!$B$14*0.0025)/100)*(1+Inputs!$B$15/100)*(1+Inputs!$B$16/100)*(5000/(6000+Inputs!$B$42*(1-(100*(1-(1-(Inputs!$B$19+0)/100)*(1-CHOOSE(ArtifactsInput!$N$40+1,5,6,7,8,9,10)/100)^(ArtifactsInput!$M$40-ArtifactsInput!$M$40)))/100)))*(1+(Inputs!$B$24+((C441=TRUE)*(F441-Calc!F26))+B451)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430=TRUE,F430,0)/100)*(1+(IF(Skills!A6="EIGHT_LEGS_EASTON",Inputs!$B$17+((C438=TRUE)*(F438-Calc!F23))+((C442=TRUE)*(F442-Calc!F27))+(((IF(AND(ArtifactsInput!$M$42,((Inputs!$B$9+((C434=TRUE)*(F434-Calc!F19))+B445+(ArtifactsInput!$M$24-ArtifactsInput!$M$24)*CHOOSE(ArtifactsInput!$N$24+1,10,12,14,16,18,20)+IF(ArtifactsInput!$M$10,CHOOSE(ArtifactsInput!$N$10+1,15,18,21,24,27,30)*(IF(Inputs!$B$38="pvp",MIN(15,15)/15,IF(AND(Inputs!$B$38&lt;&gt;"pvp",Inputs!$B$43&gt;0),MIN(15,Inputs!$B$43)/(Inputs!$B$43),0))),0)))&gt;=100),MIN(100,((Inputs!$B$9+((C434=TRUE)*(F434-Calc!F19))+B445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434=TRUE)*(F434-Calc!F19))+B445+(ArtifactsInput!$M$24-ArtifactsInput!$M$24)*CHOOSE(ArtifactsInput!$N$24+1,10,12,14,16,18,20)+IF(ArtifactsInput!$M$10,CHOOSE(ArtifactsInput!$N$10+1,15,18,21,24,27,30)*(IF(Inputs!$B$38="pvp",MIN(15,15)/15,IF(AND(Inputs!$B$38&lt;&gt;"pvp",Inputs!$B$43&gt;0),MIN(15,Inputs!$B$43)/(Inputs!$B$43),0))),0)))&gt;=100),CHOOSE(ArtifactsInput!$N$42+1,40,48,56,64,72,80),0))))/100)*((1+(((C432=TRUE)*F432)+((C439=TRUE)*(F439-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421)</f>
        <v/>
      </c>
      <c r="L421">
        <f>K421*(MIN((Inputs!$B$22+1)+((C437=TRUE)*(F437-Calc!F22)),(Inputs!$B$23+0+(IF(ArtifactsInput!$M$15,CHOOSE(ArtifactsInput!$N$15+1,25,30,35,40,45,50)/100*(Inputs!$B$11-Inputs!$B$11),0))))/100+(Inputs!$B$23+0+(IF(ArtifactsInput!$M$15,CHOOSE(ArtifactsInput!$N$15+1,25,30,35,40,45,50)/100*(Inputs!$B$11-Inputs!$B$11),0)))/100)/2</f>
        <v/>
      </c>
      <c r="M421">
        <f>L421*(1+(Inputs!$B$10+((C440=TRUE)*(F440-Calc!F25))+B450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1">
        <f>L421*(1-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421*(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1">
        <f>(1-Summary!$B$11)*T421+Summary!$B$11*V421</f>
        <v/>
      </c>
      <c r="P421">
        <f>IF(B455=0,0,O421/B455)</f>
        <v/>
      </c>
      <c r="Q421">
        <f>IFERROR(1/(IF(Inputs!$B$38="pvp",15,MAX(0.1,Skills!D6-IF(Skills!E6=TRUE,Inputs!$B$32,0)))*(1-IF(AND(ArtifactsInput!$M$27,Inputs!$B$4="Chapter Hunt"),CHOOSE(ArtifactsInput!$N$27+1,20,24,28,32,36,40),0)/100)),0)</f>
        <v/>
      </c>
      <c r="R421">
        <f>IF(AND(Inputs!$B$38&lt;&gt;"pvp",Inputs!$B$43&gt;0),IF(MAX(0,Inputs!$B$43-B452)&lt;=0,0,(INT(MAX(0,Inputs!$B$43-B452)/(IF(Inputs!$B$38="pvp",15,MAX(0.1,Skills!D6-IF(Skills!E6=TRUE,Inputs!$B$32,0)))*(1-IF(AND(ArtifactsInput!$M$27,Inputs!$B$4="Chapter Hunt"),CHOOSE(ArtifactsInput!$N$27+1,20,24,28,32,36,40),0)/100)))+1)),0)</f>
        <v/>
      </c>
      <c r="S421">
        <f>IFERROR(O421/N421,0)</f>
        <v/>
      </c>
      <c r="T421">
        <f>IF(C421,(H421*N421*IF(AND(Inputs!$B$38&lt;&gt;"pvp",Inputs!$B$43&gt;0),((Skills!G6*((R421-1)*IF(Skills!H6&gt;0,Skills!I6/Skills!H6,1)+IF(Skills!H6&gt;0,MIN(Skills!I6,MAX(0,MAX(0,Inputs!$B$43-B452)-((R421-1)*(IF(Inputs!$B$38="pvp",15,MAX(0.1,Skills!D6-IF(Skills!E6=TRUE,Inputs!$B$32,0)))*(1-IF(AND(ArtifactsInput!$M$27,Inputs!$B$4="Chapter Hunt"),CHOOSE(ArtifactsInput!$N$27+1,20,24,28,32,36,40),0)/100)))))/Skills!H6,1)))/Inputs!$B$43),G421*Q421)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421*(1-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421*(1-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1">
        <f>IF(C421,(H421*N421*IF(AND(Inputs!$B$38&lt;&gt;"pvp",Inputs!$B$43&gt;0),((Skills!G6*((R421-1)*IF(Skills!H6&gt;0,Skills!I6/Skills!H6,1)+IF(Skills!H6&gt;0,MIN(Skills!I6,MAX(0,MAX(0,Inputs!$B$43-B452)-((R421-1)*(IF(Inputs!$B$38="pvp",15,MAX(0.1,Skills!D6-IF(Skills!E6=TRUE,Inputs!$B$32,0)))*(1-IF(AND(ArtifactsInput!$M$27,Inputs!$B$4="Chapter Hunt"),CHOOSE(ArtifactsInput!$N$27+1,20,24,28,32,36,40),0)/100)))))/Skills!H6,1)))/Inputs!$B$43),G421*Q421))*IF(Inputs!$B$38="pvp",1,(1+(Inputs!$B$21+Skills!Q6+(IF(ArtifactsInput!$M$33,CHOOSE(ArtifactsInput!$N$33+1,30,36,42,48,54,60)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2">
      <c r="A422">
        <f>Skills!A7</f>
        <v/>
      </c>
      <c r="B422">
        <f>Skills!B7</f>
        <v/>
      </c>
      <c r="C422">
        <f>Inputs!$B$3&gt;=66</f>
        <v/>
      </c>
      <c r="D422">
        <f>IF(Skills!C7=1,60+Inputs!$B$25+Inputs!$B$29,IF(Skills!C7=2,90+Inputs!$B$26+Inputs!$B$29,IF(Skills!C7=3,120+Inputs!$B$27+Inputs!$B$29,MAX(0,(Inputs!$B$3-100)*3)+Inputs!$B$28+Inputs!$B$29)))</f>
        <v/>
      </c>
      <c r="E422">
        <f>INDEX(FactorTable!$B$2:$Y$301, MATCH(ROUND(MIN(300,MAX(1,D422)),0), FactorTable!$A$2:$A$301,0), Skills!M7+1)</f>
        <v/>
      </c>
      <c r="F422">
        <f>IF(Skills!N7=TRUE,(Skills!L7/10)*(E422/1000),Skills!L7/10)+Skills!O7</f>
        <v/>
      </c>
      <c r="G422">
        <f>Skills!G7*IF(Skills!H7&gt;0,Skills!I7/Skills!H7,1)</f>
        <v/>
      </c>
      <c r="H422">
        <f>1-(1-Skills!J7/100)^Skills!K7</f>
        <v/>
      </c>
      <c r="I422" t="inlineStr">
        <is>
          <t>1</t>
        </is>
      </c>
      <c r="J422">
        <f>((Inputs!$B$6*(1+Inputs!$B$7/100))+(((Inputs!$B$12*(1+Inputs!$B$13/100))-(Inputs!$B$12*(1+Inputs!$B$13/100)))+0.25*(Inputs!$B$14-Inputs!$B$14))*(1+Inputs!$B$7/100))*(F422/100)</f>
        <v/>
      </c>
      <c r="K422">
        <f>J422*(1+((Inputs!$B$12*(1+Inputs!$B$13/100))*0.01+Inputs!$B$14*0.0025)/100)*(1+Inputs!$B$15/100)*(1+Inputs!$B$16/100)*(5000/(6000+Inputs!$B$42*(1-(100*(1-(1-(Inputs!$B$19+0)/100)*(1-CHOOSE(ArtifactsInput!$N$40+1,5,6,7,8,9,10)/100)^(ArtifactsInput!$M$40-ArtifactsInput!$M$40)))/100)))*(1+(Inputs!$B$24+((C441=TRUE)*(F441-Calc!F26))+B451)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430=TRUE,F430,0)/100)*(1+(IF(Skills!A7="EIGHT_LEGS_EASTON",Inputs!$B$17+((C438=TRUE)*(F438-Calc!F23))+((C442=TRUE)*(F442-Calc!F27))+(((IF(AND(ArtifactsInput!$M$42,((Inputs!$B$9+((C434=TRUE)*(F434-Calc!F19))+B445+(ArtifactsInput!$M$24-ArtifactsInput!$M$24)*CHOOSE(ArtifactsInput!$N$24+1,10,12,14,16,18,20)+IF(ArtifactsInput!$M$10,CHOOSE(ArtifactsInput!$N$10+1,15,18,21,24,27,30)*(IF(Inputs!$B$38="pvp",MIN(15,15)/15,IF(AND(Inputs!$B$38&lt;&gt;"pvp",Inputs!$B$43&gt;0),MIN(15,Inputs!$B$43)/(Inputs!$B$43),0))),0)))&gt;=100),MIN(100,((Inputs!$B$9+((C434=TRUE)*(F434-Calc!F19))+B445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434=TRUE)*(F434-Calc!F19))+B445+(ArtifactsInput!$M$24-ArtifactsInput!$M$24)*CHOOSE(ArtifactsInput!$N$24+1,10,12,14,16,18,20)+IF(ArtifactsInput!$M$10,CHOOSE(ArtifactsInput!$N$10+1,15,18,21,24,27,30)*(IF(Inputs!$B$38="pvp",MIN(15,15)/15,IF(AND(Inputs!$B$38&lt;&gt;"pvp",Inputs!$B$43&gt;0),MIN(15,Inputs!$B$43)/(Inputs!$B$43),0))),0)))&gt;=100),CHOOSE(ArtifactsInput!$N$42+1,40,48,56,64,72,80),0))))/100)*((1+(((C432=TRUE)*F432)+((C439=TRUE)*(F439-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422)</f>
        <v/>
      </c>
      <c r="L422">
        <f>K422*(MIN((Inputs!$B$22+1)+((C437=TRUE)*(F437-Calc!F22)),(Inputs!$B$23+0+(IF(ArtifactsInput!$M$15,CHOOSE(ArtifactsInput!$N$15+1,25,30,35,40,45,50)/100*(Inputs!$B$11-Inputs!$B$11),0))))/100+(Inputs!$B$23+0+(IF(ArtifactsInput!$M$15,CHOOSE(ArtifactsInput!$N$15+1,25,30,35,40,45,50)/100*(Inputs!$B$11-Inputs!$B$11),0)))/100)/2</f>
        <v/>
      </c>
      <c r="M422">
        <f>L422*(1+(Inputs!$B$10+((C440=TRUE)*(F440-Calc!F25))+B450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2">
        <f>L422*(1-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422*(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2">
        <f>(1-Summary!$B$11)*T422+Summary!$B$11*V422</f>
        <v/>
      </c>
      <c r="P422">
        <f>IF(B455=0,0,O422/B455)</f>
        <v/>
      </c>
      <c r="Q422">
        <f>IFERROR(1/(IF(Inputs!$B$38="pvp",15,MAX(0.1,Skills!D7-IF(Skills!E7=TRUE,Inputs!$B$32,0)))*(1-IF(AND(ArtifactsInput!$M$27,Inputs!$B$4="Chapter Hunt"),CHOOSE(ArtifactsInput!$N$27+1,20,24,28,32,36,40),0)/100)),0)</f>
        <v/>
      </c>
      <c r="R422">
        <f>IF(AND(Inputs!$B$38&lt;&gt;"pvp",Inputs!$B$43&gt;0),IF(MAX(0,Inputs!$B$43-B452)&lt;=0,0,(INT(MAX(0,Inputs!$B$43-B452)/(IF(Inputs!$B$38="pvp",15,MAX(0.1,Skills!D7-IF(Skills!E7=TRUE,Inputs!$B$32,0)))*(1-IF(AND(ArtifactsInput!$M$27,Inputs!$B$4="Chapter Hunt"),CHOOSE(ArtifactsInput!$N$27+1,20,24,28,32,36,40),0)/100)))+1)),0)</f>
        <v/>
      </c>
      <c r="S422">
        <f>IFERROR(O422/N422,0)</f>
        <v/>
      </c>
      <c r="T422">
        <f>IF(C422,(H422*N422*IF(AND(Inputs!$B$38&lt;&gt;"pvp",Inputs!$B$43&gt;0),((Skills!G7*((R422-1)*IF(Skills!H7&gt;0,Skills!I7/Skills!H7,1)+IF(Skills!H7&gt;0,MIN(Skills!I7,MAX(0,MAX(0,Inputs!$B$43-B452)-((R422-1)*(IF(Inputs!$B$38="pvp",15,MAX(0.1,Skills!D7-IF(Skills!E7=TRUE,Inputs!$B$32,0)))*(1-IF(AND(ArtifactsInput!$M$27,Inputs!$B$4="Chapter Hunt"),CHOOSE(ArtifactsInput!$N$27+1,20,24,28,32,36,40),0)/100)))))/Skills!H7,1)))/Inputs!$B$43),G422*Q422)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422*(1-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422*(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422*(1-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422*(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2">
        <f>IF(C422,(H422*N422*IF(AND(Inputs!$B$38&lt;&gt;"pvp",Inputs!$B$43&gt;0),((Skills!G7*((R422-1)*IF(Skills!H7&gt;0,Skills!I7/Skills!H7,1)+IF(Skills!H7&gt;0,MIN(Skills!I7,MAX(0,MAX(0,Inputs!$B$43-B452)-((R422-1)*(IF(Inputs!$B$38="pvp",15,MAX(0.1,Skills!D7-IF(Skills!E7=TRUE,Inputs!$B$32,0)))*(1-IF(AND(ArtifactsInput!$M$27,Inputs!$B$4="Chapter Hunt"),CHOOSE(ArtifactsInput!$N$27+1,20,24,28,32,36,40),0)/100)))))/Skills!H7,1)))/Inputs!$B$43),G422*Q422))*IF(Inputs!$B$38="pvp",1,(1+(Inputs!$B$21+Skills!Q7+(IF(ArtifactsInput!$M$33,CHOOSE(ArtifactsInput!$N$33+1,30,36,42,48,54,60)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3">
      <c r="A423">
        <f>Skills!A8</f>
        <v/>
      </c>
      <c r="B423">
        <f>Skills!B8</f>
        <v/>
      </c>
      <c r="C423">
        <f>Inputs!$B$3&gt;=100</f>
        <v/>
      </c>
      <c r="D423">
        <f>IF(Skills!C8=1,60+Inputs!$B$25+Inputs!$B$29,IF(Skills!C8=2,90+Inputs!$B$26+Inputs!$B$29,IF(Skills!C8=3,120+Inputs!$B$27+Inputs!$B$29,MAX(0,(Inputs!$B$3-100)*3)+Inputs!$B$28+Inputs!$B$29)))</f>
        <v/>
      </c>
      <c r="E423">
        <f>INDEX(FactorTable!$B$2:$Y$301, MATCH(ROUND(MIN(300,MAX(1,D423)),0), FactorTable!$A$2:$A$301,0), Skills!M8+1)</f>
        <v/>
      </c>
      <c r="F423">
        <f>IF(Skills!N8=TRUE,(Skills!L8/10)*(E423/1000),Skills!L8/10)+Skills!O8</f>
        <v/>
      </c>
      <c r="G423">
        <f>Skills!G8*IF(Skills!H8&gt;0,Skills!I8/Skills!H8,1)</f>
        <v/>
      </c>
      <c r="H423">
        <f>1-(1-Skills!J8/100)^Skills!K8</f>
        <v/>
      </c>
      <c r="I423" t="inlineStr">
        <is>
          <t>1</t>
        </is>
      </c>
      <c r="J423">
        <f>((Inputs!$B$6*(1+Inputs!$B$7/100))+(((Inputs!$B$12*(1+Inputs!$B$13/100))-(Inputs!$B$12*(1+Inputs!$B$13/100)))+0.25*(Inputs!$B$14-Inputs!$B$14))*(1+Inputs!$B$7/100))*(F423/100)</f>
        <v/>
      </c>
      <c r="K423">
        <f>J423*(1+((Inputs!$B$12*(1+Inputs!$B$13/100))*0.01+Inputs!$B$14*0.0025)/100)*(1+Inputs!$B$15/100)*(1+Inputs!$B$16/100)*(5000/(6000+Inputs!$B$42*(1-(100*(1-(1-(Inputs!$B$19+0)/100)*(1-CHOOSE(ArtifactsInput!$N$40+1,5,6,7,8,9,10)/100)^(ArtifactsInput!$M$40-ArtifactsInput!$M$40)))/100)))*(1+(Inputs!$B$24+((C441=TRUE)*(F441-Calc!F26))+B451)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438=TRUE)*(F438-Calc!F23))+((C442=TRUE)*(F442-Calc!F27))+(((IF(AND(ArtifactsInput!$M$42,((Inputs!$B$9+((C434=TRUE)*(F434-Calc!F19))+B445+(ArtifactsInput!$M$24-ArtifactsInput!$M$24)*CHOOSE(ArtifactsInput!$N$24+1,10,12,14,16,18,20)+IF(ArtifactsInput!$M$10,CHOOSE(ArtifactsInput!$N$10+1,15,18,21,24,27,30)*(IF(Inputs!$B$38="pvp",MIN(15,15)/15,IF(AND(Inputs!$B$38&lt;&gt;"pvp",Inputs!$B$43&gt;0),MIN(15,Inputs!$B$43)/(Inputs!$B$43),0))),0)))&gt;=100),MIN(100,((Inputs!$B$9+((C434=TRUE)*(F434-Calc!F19))+B445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434=TRUE)*(F434-Calc!F19))+B445+(ArtifactsInput!$M$24-ArtifactsInput!$M$24)*CHOOSE(ArtifactsInput!$N$24+1,10,12,14,16,18,20)+IF(ArtifactsInput!$M$10,CHOOSE(ArtifactsInput!$N$10+1,15,18,21,24,27,30)*(IF(Inputs!$B$38="pvp",MIN(15,15)/15,IF(AND(Inputs!$B$38&lt;&gt;"pvp",Inputs!$B$43&gt;0),MIN(15,Inputs!$B$43)/(Inputs!$B$43),0))),0)))&gt;=100),CHOOSE(ArtifactsInput!$N$42+1,40,48,56,64,72,80),0))))/100)*((1+(((C432=TRUE)*F432)+((C439=TRUE)*(F439-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423)</f>
        <v/>
      </c>
      <c r="L423">
        <f>K423*(MIN((Inputs!$B$22+1)+((C437=TRUE)*(F437-Calc!F22)),(Inputs!$B$23+0+(IF(ArtifactsInput!$M$15,CHOOSE(ArtifactsInput!$N$15+1,25,30,35,40,45,50)/100*(Inputs!$B$11-Inputs!$B$11),0))))/100+(Inputs!$B$23+0+(IF(ArtifactsInput!$M$15,CHOOSE(ArtifactsInput!$N$15+1,25,30,35,40,45,50)/100*(Inputs!$B$11-Inputs!$B$11),0)))/100)/2</f>
        <v/>
      </c>
      <c r="M423">
        <f>L423*(1+(Inputs!$B$10+((C440=TRUE)*(F440-Calc!F25))+B450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3">
        <f>L423*(1-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423*(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3">
        <f>(1-Summary!$B$11)*T423+Summary!$B$11*V423</f>
        <v/>
      </c>
      <c r="P423">
        <f>IF(B455=0,0,O423/B455)</f>
        <v/>
      </c>
      <c r="Q423">
        <f>IFERROR(1/(IF(Inputs!$B$38="pvp",15,MAX(0.1,Skills!D8-IF(Skills!E8=TRUE,Inputs!$B$32,0)))*(1-IF(AND(ArtifactsInput!$M$27,Inputs!$B$4="Chapter Hunt"),CHOOSE(ArtifactsInput!$N$27+1,20,24,28,32,36,40),0)/100)),0)</f>
        <v/>
      </c>
      <c r="R423">
        <f>IF(AND(Inputs!$B$38&lt;&gt;"pvp",Inputs!$B$43&gt;0),IF(MAX(0,Inputs!$B$43-B452)&lt;=0,0,(INT(MAX(0,Inputs!$B$43-B452)/(IF(Inputs!$B$38="pvp",15,MAX(0.1,Skills!D8-IF(Skills!E8=TRUE,Inputs!$B$32,0)))*(1-IF(AND(ArtifactsInput!$M$27,Inputs!$B$4="Chapter Hunt"),CHOOSE(ArtifactsInput!$N$27+1,20,24,28,32,36,40),0)/100)))+1)),0)</f>
        <v/>
      </c>
      <c r="S423">
        <f>IFERROR(O423/N423,0)</f>
        <v/>
      </c>
      <c r="T423">
        <f>IF(C423,(H423*N423*IF(AND(Inputs!$B$38&lt;&gt;"pvp",Inputs!$B$43&gt;0),((Skills!G8*((R423-1)*IF(Skills!H8&gt;0,Skills!I8/Skills!H8,1)+IF(Skills!H8&gt;0,MIN(Skills!I8,MAX(0,MAX(0,Inputs!$B$43-B452)-((R423-1)*(IF(Inputs!$B$38="pvp",15,MAX(0.1,Skills!D8-IF(Skills!E8=TRUE,Inputs!$B$32,0)))*(1-IF(AND(ArtifactsInput!$M$27,Inputs!$B$4="Chapter Hunt"),CHOOSE(ArtifactsInput!$N$27+1,20,24,28,32,36,40),0)/100)))))/Skills!H8,1)))/Inputs!$B$43),G423*Q423)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423*(1-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423*(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423*(1-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423*(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3">
        <f>IF(C423,(H423*N423*IF(AND(Inputs!$B$38&lt;&gt;"pvp",Inputs!$B$43&gt;0),((Skills!G8*((R423-1)*IF(Skills!H8&gt;0,Skills!I8/Skills!H8,1)+IF(Skills!H8&gt;0,MIN(Skills!I8,MAX(0,MAX(0,Inputs!$B$43-B452)-((R423-1)*(IF(Inputs!$B$38="pvp",15,MAX(0.1,Skills!D8-IF(Skills!E8=TRUE,Inputs!$B$32,0)))*(1-IF(AND(ArtifactsInput!$M$27,Inputs!$B$4="Chapter Hunt"),CHOOSE(ArtifactsInput!$N$27+1,20,24,28,32,36,40),0)/100)))))/Skills!H8,1)))/Inputs!$B$43),G423*Q423))*IF(Inputs!$B$38="pvp",1,(1+(Inputs!$B$21+Skills!Q8+(IF(ArtifactsInput!$M$33,CHOOSE(ArtifactsInput!$N$33+1,30,36,42,48,54,60)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4">
      <c r="A424">
        <f>Skills!A9</f>
        <v/>
      </c>
      <c r="B424">
        <f>Skills!B9</f>
        <v/>
      </c>
      <c r="C424">
        <f>Inputs!$B$3&gt;=103</f>
        <v/>
      </c>
      <c r="D424">
        <f>IF(Skills!C9=1,60+Inputs!$B$25+Inputs!$B$29,IF(Skills!C9=2,90+Inputs!$B$26+Inputs!$B$29,IF(Skills!C9=3,120+Inputs!$B$27+Inputs!$B$29,MAX(0,(Inputs!$B$3-100)*3)+Inputs!$B$28+Inputs!$B$29)))</f>
        <v/>
      </c>
      <c r="E424">
        <f>INDEX(FactorTable!$B$2:$Y$301, MATCH(ROUND(MIN(300,MAX(1,D424)),0), FactorTable!$A$2:$A$301,0), Skills!M9+1)</f>
        <v/>
      </c>
      <c r="F424">
        <f>IF(Skills!N9=TRUE,(Skills!L9/10)*(E424/1000),Skills!L9/10)+Skills!O9</f>
        <v/>
      </c>
      <c r="G424">
        <f>Skills!G9*IF(Skills!H9&gt;0,Skills!I9/Skills!H9,1)</f>
        <v/>
      </c>
      <c r="H424">
        <f>1-(1-Skills!J9/100)^Skills!K9</f>
        <v/>
      </c>
      <c r="I424" t="inlineStr">
        <is>
          <t>1</t>
        </is>
      </c>
      <c r="J424">
        <f>((Inputs!$B$6*(1+Inputs!$B$7/100))+(((Inputs!$B$12*(1+Inputs!$B$13/100))-(Inputs!$B$12*(1+Inputs!$B$13/100)))+0.25*(Inputs!$B$14-Inputs!$B$14))*(1+Inputs!$B$7/100))*(F424/100)</f>
        <v/>
      </c>
      <c r="K424">
        <f>J424*(1+((Inputs!$B$12*(1+Inputs!$B$13/100))*0.01+Inputs!$B$14*0.0025)/100)*(1+Inputs!$B$15/100)*(1+Inputs!$B$16/100)*(5000/(6000+Inputs!$B$42*(1-(100*(1-(1-(Inputs!$B$19+0)/100)*(1-CHOOSE(ArtifactsInput!$N$40+1,5,6,7,8,9,10)/100)^(ArtifactsInput!$M$40-ArtifactsInput!$M$40)))/100)))*(1+(Inputs!$B$24+((C441=TRUE)*(F441-Calc!F26))+B451)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438=TRUE)*(F438-Calc!F23))+((C442=TRUE)*(F442-Calc!F27))+(((IF(AND(ArtifactsInput!$M$42,((Inputs!$B$9+((C434=TRUE)*(F434-Calc!F19))+B445+(ArtifactsInput!$M$24-ArtifactsInput!$M$24)*CHOOSE(ArtifactsInput!$N$24+1,10,12,14,16,18,20)+IF(ArtifactsInput!$M$10,CHOOSE(ArtifactsInput!$N$10+1,15,18,21,24,27,30)*(IF(Inputs!$B$38="pvp",MIN(15,15)/15,IF(AND(Inputs!$B$38&lt;&gt;"pvp",Inputs!$B$43&gt;0),MIN(15,Inputs!$B$43)/(Inputs!$B$43),0))),0)))&gt;=100),MIN(100,((Inputs!$B$9+((C434=TRUE)*(F434-Calc!F19))+B445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434=TRUE)*(F434-Calc!F19))+B445+(ArtifactsInput!$M$24-ArtifactsInput!$M$24)*CHOOSE(ArtifactsInput!$N$24+1,10,12,14,16,18,20)+IF(ArtifactsInput!$M$10,CHOOSE(ArtifactsInput!$N$10+1,15,18,21,24,27,30)*(IF(Inputs!$B$38="pvp",MIN(15,15)/15,IF(AND(Inputs!$B$38&lt;&gt;"pvp",Inputs!$B$43&gt;0),MIN(15,Inputs!$B$43)/(Inputs!$B$43),0))),0)))&gt;=100),CHOOSE(ArtifactsInput!$N$42+1,40,48,56,64,72,80),0))))/100)*((1+(((C432=TRUE)*F432)+((C439=TRUE)*(F439-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424)</f>
        <v/>
      </c>
      <c r="L424">
        <f>K424*(MIN((Inputs!$B$22+1)+((C437=TRUE)*(F437-Calc!F22)),(Inputs!$B$23+0+(IF(ArtifactsInput!$M$15,CHOOSE(ArtifactsInput!$N$15+1,25,30,35,40,45,50)/100*(Inputs!$B$11-Inputs!$B$11),0))))/100+(Inputs!$B$23+0+(IF(ArtifactsInput!$M$15,CHOOSE(ArtifactsInput!$N$15+1,25,30,35,40,45,50)/100*(Inputs!$B$11-Inputs!$B$11),0)))/100)/2</f>
        <v/>
      </c>
      <c r="M424">
        <f>L424*(1+(Inputs!$B$10+((C440=TRUE)*(F440-Calc!F25))+B450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4">
        <f>L424*(1-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424*(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4">
        <f>(1-Summary!$B$11)*T424+Summary!$B$11*V424</f>
        <v/>
      </c>
      <c r="P424">
        <f>IF(B455=0,0,O424/B455)</f>
        <v/>
      </c>
      <c r="Q424">
        <f>IFERROR(1/(IF(Inputs!$B$38="pvp",15,MAX(0.1,Skills!D9-IF(Skills!E9=TRUE,Inputs!$B$32,0)))*(1-IF(AND(ArtifactsInput!$M$27,Inputs!$B$4="Chapter Hunt"),CHOOSE(ArtifactsInput!$N$27+1,20,24,28,32,36,40),0)/100)),0)</f>
        <v/>
      </c>
      <c r="R424">
        <f>IF(AND(Inputs!$B$38&lt;&gt;"pvp",Inputs!$B$43&gt;0),IF(MAX(0,Inputs!$B$43-B452)&lt;=0,0,(INT(MAX(0,Inputs!$B$43-B452)/(IF(Inputs!$B$38="pvp",15,MAX(0.1,Skills!D9-IF(Skills!E9=TRUE,Inputs!$B$32,0)))*(1-IF(AND(ArtifactsInput!$M$27,Inputs!$B$4="Chapter Hunt"),CHOOSE(ArtifactsInput!$N$27+1,20,24,28,32,36,40),0)/100)))+1)),0)</f>
        <v/>
      </c>
      <c r="S424">
        <f>IFERROR(O424/N424,0)</f>
        <v/>
      </c>
      <c r="T424">
        <f>IF(C424,(H424*N424*IF(AND(Inputs!$B$38&lt;&gt;"pvp",Inputs!$B$43&gt;0),((Skills!G9*((R424-1)*IF(Skills!H9&gt;0,Skills!I9/Skills!H9,1)+IF(Skills!H9&gt;0,MIN(Skills!I9,MAX(0,MAX(0,Inputs!$B$43-B452)-((R424-1)*(IF(Inputs!$B$38="pvp",15,MAX(0.1,Skills!D9-IF(Skills!E9=TRUE,Inputs!$B$32,0)))*(1-IF(AND(ArtifactsInput!$M$27,Inputs!$B$4="Chapter Hunt"),CHOOSE(ArtifactsInput!$N$27+1,20,24,28,32,36,40),0)/100)))))/Skills!H9,1)))/Inputs!$B$43),G424*Q424)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424*(1-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424*(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424*(1-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424*(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4">
        <f>IF(C424,(H424*N424*IF(AND(Inputs!$B$38&lt;&gt;"pvp",Inputs!$B$43&gt;0),((Skills!G9*((R424-1)*IF(Skills!H9&gt;0,Skills!I9/Skills!H9,1)+IF(Skills!H9&gt;0,MIN(Skills!I9,MAX(0,MAX(0,Inputs!$B$43-B452)-((R424-1)*(IF(Inputs!$B$38="pvp",15,MAX(0.1,Skills!D9-IF(Skills!E9=TRUE,Inputs!$B$32,0)))*(1-IF(AND(ArtifactsInput!$M$27,Inputs!$B$4="Chapter Hunt"),CHOOSE(ArtifactsInput!$N$27+1,20,24,28,32,36,40),0)/100)))))/Skills!H9,1)))/Inputs!$B$43),G424*Q424))*IF(Inputs!$B$38="pvp",1,(1+(Inputs!$B$21+Skills!Q9+(IF(ArtifactsInput!$M$33,CHOOSE(ArtifactsInput!$N$33+1,30,36,42,48,54,60)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5">
      <c r="A425">
        <f>Skills!A10</f>
        <v/>
      </c>
      <c r="B425">
        <f>Skills!B10</f>
        <v/>
      </c>
      <c r="C425">
        <f>Inputs!$B$3&gt;=113</f>
        <v/>
      </c>
      <c r="D425">
        <f>IF(Skills!C10=1,60+Inputs!$B$25+Inputs!$B$29,IF(Skills!C10=2,90+Inputs!$B$26+Inputs!$B$29,IF(Skills!C10=3,120+Inputs!$B$27+Inputs!$B$29,MAX(0,(Inputs!$B$3-100)*3)+Inputs!$B$28+Inputs!$B$29)))</f>
        <v/>
      </c>
      <c r="E425">
        <f>INDEX(FactorTable!$B$2:$Y$301, MATCH(ROUND(MIN(300,MAX(1,D425)),0), FactorTable!$A$2:$A$301,0), Skills!M10+1)</f>
        <v/>
      </c>
      <c r="F425">
        <f>IF(Skills!N10=TRUE,(Skills!L10/10)*(E425/1000),Skills!L10/10)+Skills!O10</f>
        <v/>
      </c>
      <c r="G425">
        <f>Skills!G10*IF(Skills!H10&gt;0,Skills!I10/Skills!H10,1)</f>
        <v/>
      </c>
      <c r="H425">
        <f>1-(1-Skills!J10/100)^Skills!K10</f>
        <v/>
      </c>
      <c r="I425" t="inlineStr">
        <is>
          <t>1</t>
        </is>
      </c>
      <c r="J425">
        <f>((Inputs!$B$6*(1+Inputs!$B$7/100))+(((Inputs!$B$12*(1+Inputs!$B$13/100))-(Inputs!$B$12*(1+Inputs!$B$13/100)))+0.25*(Inputs!$B$14-Inputs!$B$14))*(1+Inputs!$B$7/100))*(F425/100)</f>
        <v/>
      </c>
      <c r="K425">
        <f>J425*(1+((Inputs!$B$12*(1+Inputs!$B$13/100))*0.01+Inputs!$B$14*0.0025)/100)*(1+Inputs!$B$15/100)*(1+Inputs!$B$16/100)*(5000/(6000+Inputs!$B$42*(1-(100*(1-(1-(Inputs!$B$19+0)/100)*(1-CHOOSE(ArtifactsInput!$N$40+1,5,6,7,8,9,10)/100)^(ArtifactsInput!$M$40-ArtifactsInput!$M$40)))/100)))*(1+(Inputs!$B$24+((C441=TRUE)*(F441-Calc!F26))+B451)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438=TRUE)*(F438-Calc!F23))+((C442=TRUE)*(F442-Calc!F27))+(((IF(AND(ArtifactsInput!$M$42,((Inputs!$B$9+((C434=TRUE)*(F434-Calc!F19))+B445+(ArtifactsInput!$M$24-ArtifactsInput!$M$24)*CHOOSE(ArtifactsInput!$N$24+1,10,12,14,16,18,20)+IF(ArtifactsInput!$M$10,CHOOSE(ArtifactsInput!$N$10+1,15,18,21,24,27,30)*(IF(Inputs!$B$38="pvp",MIN(15,15)/15,IF(AND(Inputs!$B$38&lt;&gt;"pvp",Inputs!$B$43&gt;0),MIN(15,Inputs!$B$43)/(Inputs!$B$43),0))),0)))&gt;=100),MIN(100,((Inputs!$B$9+((C434=TRUE)*(F434-Calc!F19))+B445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434=TRUE)*(F434-Calc!F19))+B445+(ArtifactsInput!$M$24-ArtifactsInput!$M$24)*CHOOSE(ArtifactsInput!$N$24+1,10,12,14,16,18,20)+IF(ArtifactsInput!$M$10,CHOOSE(ArtifactsInput!$N$10+1,15,18,21,24,27,30)*(IF(Inputs!$B$38="pvp",MIN(15,15)/15,IF(AND(Inputs!$B$38&lt;&gt;"pvp",Inputs!$B$43&gt;0),MIN(15,Inputs!$B$43)/(Inputs!$B$43),0))),0)))&gt;=100),CHOOSE(ArtifactsInput!$N$42+1,40,48,56,64,72,80),0))))/100)*((1+(((C432=TRUE)*F432)+((C439=TRUE)*(F439-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425)</f>
        <v/>
      </c>
      <c r="L425">
        <f>K425*(MIN((Inputs!$B$22+1)+((C437=TRUE)*(F437-Calc!F22)),(Inputs!$B$23+0+(IF(ArtifactsInput!$M$15,CHOOSE(ArtifactsInput!$N$15+1,25,30,35,40,45,50)/100*(Inputs!$B$11-Inputs!$B$11),0))))/100+(Inputs!$B$23+0+(IF(ArtifactsInput!$M$15,CHOOSE(ArtifactsInput!$N$15+1,25,30,35,40,45,50)/100*(Inputs!$B$11-Inputs!$B$11),0)))/100)/2</f>
        <v/>
      </c>
      <c r="M425">
        <f>L425*(1+(Inputs!$B$10+((C440=TRUE)*(F440-Calc!F25))+B450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5">
        <f>L425*(1-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425*(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5">
        <f>(1-Summary!$B$11)*T425+Summary!$B$11*V425</f>
        <v/>
      </c>
      <c r="P425">
        <f>IF(B455=0,0,O425/B455)</f>
        <v/>
      </c>
      <c r="Q425">
        <f>IFERROR(1/(IF(Inputs!$B$38="pvp",15,MAX(0.1,Skills!D10-IF(Skills!E10=TRUE,Inputs!$B$32,0)))*(1-IF(AND(ArtifactsInput!$M$27,Inputs!$B$4="Chapter Hunt"),CHOOSE(ArtifactsInput!$N$27+1,20,24,28,32,36,40),0)/100)),0)</f>
        <v/>
      </c>
      <c r="R425">
        <f>IF(AND(Inputs!$B$38&lt;&gt;"pvp",Inputs!$B$43&gt;0),IF(MAX(0,Inputs!$B$43-B452)&lt;=0,0,(INT(MAX(0,Inputs!$B$43-B452)/(IF(Inputs!$B$38="pvp",15,MAX(0.1,Skills!D10-IF(Skills!E10=TRUE,Inputs!$B$32,0)))*(1-IF(AND(ArtifactsInput!$M$27,Inputs!$B$4="Chapter Hunt"),CHOOSE(ArtifactsInput!$N$27+1,20,24,28,32,36,40),0)/100)))+1)),0)</f>
        <v/>
      </c>
      <c r="S425">
        <f>IFERROR(O425/N425,0)</f>
        <v/>
      </c>
      <c r="T425">
        <f>IF(C425,(H425*N425*IF(AND(Inputs!$B$38&lt;&gt;"pvp",Inputs!$B$43&gt;0),((Skills!G10*((R425-1)*IF(Skills!H10&gt;0,Skills!I10/Skills!H10,1)+IF(Skills!H10&gt;0,MIN(Skills!I10,MAX(0,MAX(0,Inputs!$B$43-B452)-((R425-1)*(IF(Inputs!$B$38="pvp",15,MAX(0.1,Skills!D10-IF(Skills!E10=TRUE,Inputs!$B$32,0)))*(1-IF(AND(ArtifactsInput!$M$27,Inputs!$B$4="Chapter Hunt"),CHOOSE(ArtifactsInput!$N$27+1,20,24,28,32,36,40),0)/100)))))/Skills!H10,1)))/Inputs!$B$43),G425*Q425)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425*(1-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425*(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425*(1-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425*(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5">
        <f>IF(C425,(H425*N425*IF(AND(Inputs!$B$38&lt;&gt;"pvp",Inputs!$B$43&gt;0),((Skills!G10*((R425-1)*IF(Skills!H10&gt;0,Skills!I10/Skills!H10,1)+IF(Skills!H10&gt;0,MIN(Skills!I10,MAX(0,MAX(0,Inputs!$B$43-B452)-((R425-1)*(IF(Inputs!$B$38="pvp",15,MAX(0.1,Skills!D10-IF(Skills!E10=TRUE,Inputs!$B$32,0)))*(1-IF(AND(ArtifactsInput!$M$27,Inputs!$B$4="Chapter Hunt"),CHOOSE(ArtifactsInput!$N$27+1,20,24,28,32,36,40),0)/100)))))/Skills!H10,1)))/Inputs!$B$43),G425*Q425))*IF(Inputs!$B$38="pvp",1,(1+(Inputs!$B$21+Skills!Q10+(IF(ArtifactsInput!$M$33,CHOOSE(ArtifactsInput!$N$33+1,30,36,42,48,54,60)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6">
      <c r="A426">
        <f>Skills!A11</f>
        <v/>
      </c>
      <c r="B426">
        <f>Skills!B11</f>
        <v/>
      </c>
      <c r="C426">
        <f>Inputs!$B$3&gt;=107</f>
        <v/>
      </c>
      <c r="D426">
        <f>IF(Skills!C11=1,60+Inputs!$B$25+Inputs!$B$29,IF(Skills!C11=2,90+Inputs!$B$26+Inputs!$B$29,IF(Skills!C11=3,120+Inputs!$B$27+Inputs!$B$29,MAX(0,(Inputs!$B$3-100)*3)+Inputs!$B$28+Inputs!$B$29)))</f>
        <v/>
      </c>
      <c r="E426">
        <f>INDEX(FactorTable!$B$2:$Y$301, MATCH(ROUND(MIN(300,MAX(1,D426)),0), FactorTable!$A$2:$A$301,0), Skills!M11+1)</f>
        <v/>
      </c>
      <c r="F426">
        <f>IF(Skills!N11=TRUE,(Skills!L11/10)*(E426/1000),Skills!L11/10)+Skills!O11</f>
        <v/>
      </c>
      <c r="G426">
        <f>Skills!G11*IF(Skills!H11&gt;0,Skills!I11/Skills!H11,1)</f>
        <v/>
      </c>
      <c r="H426">
        <f>1-(1-Skills!J11/100)^Skills!K11</f>
        <v/>
      </c>
      <c r="I426" t="inlineStr">
        <is>
          <t>1</t>
        </is>
      </c>
      <c r="J426">
        <f>((Inputs!$B$6*(1+Inputs!$B$7/100))+(((Inputs!$B$12*(1+Inputs!$B$13/100))-(Inputs!$B$12*(1+Inputs!$B$13/100)))+0.25*(Inputs!$B$14-Inputs!$B$14))*(1+Inputs!$B$7/100))*(F426/100)</f>
        <v/>
      </c>
      <c r="K426">
        <f>J426*(1+((Inputs!$B$12*(1+Inputs!$B$13/100))*0.01+Inputs!$B$14*0.0025)/100)*(1+Inputs!$B$15/100)*(1+Inputs!$B$16/100)*(5000/(6000+Inputs!$B$42*(1-(100*(1-(1-(Inputs!$B$19+0)/100)*(1-CHOOSE(ArtifactsInput!$N$40+1,5,6,7,8,9,10)/100)^(ArtifactsInput!$M$40-ArtifactsInput!$M$40)))/100)))*(1+(Inputs!$B$24+((C441=TRUE)*(F441-Calc!F26))+B451)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438=TRUE)*(F438-Calc!F23))+((C442=TRUE)*(F442-Calc!F27))+(((IF(AND(ArtifactsInput!$M$42,((Inputs!$B$9+((C434=TRUE)*(F434-Calc!F19))+B445+(ArtifactsInput!$M$24-ArtifactsInput!$M$24)*CHOOSE(ArtifactsInput!$N$24+1,10,12,14,16,18,20)+IF(ArtifactsInput!$M$10,CHOOSE(ArtifactsInput!$N$10+1,15,18,21,24,27,30)*(IF(Inputs!$B$38="pvp",MIN(15,15)/15,IF(AND(Inputs!$B$38&lt;&gt;"pvp",Inputs!$B$43&gt;0),MIN(15,Inputs!$B$43)/(Inputs!$B$43),0))),0)))&gt;=100),MIN(100,((Inputs!$B$9+((C434=TRUE)*(F434-Calc!F19))+B445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434=TRUE)*(F434-Calc!F19))+B445+(ArtifactsInput!$M$24-ArtifactsInput!$M$24)*CHOOSE(ArtifactsInput!$N$24+1,10,12,14,16,18,20)+IF(ArtifactsInput!$M$10,CHOOSE(ArtifactsInput!$N$10+1,15,18,21,24,27,30)*(IF(Inputs!$B$38="pvp",MIN(15,15)/15,IF(AND(Inputs!$B$38&lt;&gt;"pvp",Inputs!$B$43&gt;0),MIN(15,Inputs!$B$43)/(Inputs!$B$43),0))),0)))&gt;=100),CHOOSE(ArtifactsInput!$N$42+1,40,48,56,64,72,80),0))))/100)*((1+(((C432=TRUE)*F432)+((C439=TRUE)*(F439-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426)</f>
        <v/>
      </c>
      <c r="L426">
        <f>K426*(MIN((Inputs!$B$22+1)+((C437=TRUE)*(F437-Calc!F22)),(Inputs!$B$23+0+(IF(ArtifactsInput!$M$15,CHOOSE(ArtifactsInput!$N$15+1,25,30,35,40,45,50)/100*(Inputs!$B$11-Inputs!$B$11),0))))/100+(Inputs!$B$23+0+(IF(ArtifactsInput!$M$15,CHOOSE(ArtifactsInput!$N$15+1,25,30,35,40,45,50)/100*(Inputs!$B$11-Inputs!$B$11),0)))/100)/2</f>
        <v/>
      </c>
      <c r="M426">
        <f>L426*(1+(Inputs!$B$10+((C440=TRUE)*(F440-Calc!F25))+B450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6">
        <f>L426*(1-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426*(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6">
        <f>(1-Summary!$B$11)*T426+Summary!$B$11*V426</f>
        <v/>
      </c>
      <c r="P426">
        <f>IF(B455=0,0,O426/B455)</f>
        <v/>
      </c>
      <c r="Q426">
        <f>IFERROR(1/(IF(Inputs!$B$38="pvp",15,MAX(0.1,Skills!D11-IF(Skills!E11=TRUE,Inputs!$B$32,0)))*(1-IF(AND(ArtifactsInput!$M$27,Inputs!$B$4="Chapter Hunt"),CHOOSE(ArtifactsInput!$N$27+1,20,24,28,32,36,40),0)/100)),0)</f>
        <v/>
      </c>
      <c r="R426">
        <f>IF(AND(Inputs!$B$38&lt;&gt;"pvp",Inputs!$B$43&gt;0),IF(MAX(0,Inputs!$B$43-B452)&lt;=0,0,(INT(MAX(0,Inputs!$B$43-B452)/(IF(Inputs!$B$38="pvp",15,MAX(0.1,Skills!D11-IF(Skills!E11=TRUE,Inputs!$B$32,0)))*(1-IF(AND(ArtifactsInput!$M$27,Inputs!$B$4="Chapter Hunt"),CHOOSE(ArtifactsInput!$N$27+1,20,24,28,32,36,40),0)/100)))+1)),0)</f>
        <v/>
      </c>
      <c r="S426">
        <f>IFERROR(O426/N426,0)</f>
        <v/>
      </c>
      <c r="T426">
        <f>IF(C426,(H426*N426*IF(AND(Inputs!$B$38&lt;&gt;"pvp",Inputs!$B$43&gt;0),((Skills!G11*((R426-1)*IF(Skills!H11&gt;0,Skills!I11/Skills!H11,1)+IF(Skills!H11&gt;0,MIN(Skills!I11,MAX(0,MAX(0,Inputs!$B$43-B452)-((R426-1)*(IF(Inputs!$B$38="pvp",15,MAX(0.1,Skills!D11-IF(Skills!E11=TRUE,Inputs!$B$32,0)))*(1-IF(AND(ArtifactsInput!$M$27,Inputs!$B$4="Chapter Hunt"),CHOOSE(ArtifactsInput!$N$27+1,20,24,28,32,36,40),0)/100)))))/Skills!H11,1)))/Inputs!$B$43),G426*Q426)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426*(1-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426*(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426*(1-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426*(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6">
        <f>IF(C426,(H426*N426*IF(AND(Inputs!$B$38&lt;&gt;"pvp",Inputs!$B$43&gt;0),((Skills!G11*((R426-1)*IF(Skills!H11&gt;0,Skills!I11/Skills!H11,1)+IF(Skills!H11&gt;0,MIN(Skills!I11,MAX(0,MAX(0,Inputs!$B$43-B452)-((R426-1)*(IF(Inputs!$B$38="pvp",15,MAX(0.1,Skills!D11-IF(Skills!E11=TRUE,Inputs!$B$32,0)))*(1-IF(AND(ArtifactsInput!$M$27,Inputs!$B$4="Chapter Hunt"),CHOOSE(ArtifactsInput!$N$27+1,20,24,28,32,36,40),0)/100)))))/Skills!H11,1)))/Inputs!$B$43),G426*Q426))*IF(Inputs!$B$38="pvp",1,(1+(Inputs!$B$21+Skills!Q11+(IF(ArtifactsInput!$M$33,CHOOSE(ArtifactsInput!$N$33+1,30,36,42,48,54,60)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7">
      <c r="A427">
        <f>Skills!A12</f>
        <v/>
      </c>
      <c r="B427">
        <f>Skills!B12</f>
        <v/>
      </c>
      <c r="C427">
        <f>Inputs!$B$3&gt;=110</f>
        <v/>
      </c>
      <c r="D427">
        <f>IF(Skills!C12=1,60+Inputs!$B$25+Inputs!$B$29,IF(Skills!C12=2,90+Inputs!$B$26+Inputs!$B$29,IF(Skills!C12=3,120+Inputs!$B$27+Inputs!$B$29,MAX(0,(Inputs!$B$3-100)*3)+Inputs!$B$28+Inputs!$B$29)))</f>
        <v/>
      </c>
      <c r="E427">
        <f>INDEX(FactorTable!$B$2:$Y$301, MATCH(ROUND(MIN(300,MAX(1,D427)),0), FactorTable!$A$2:$A$301,0), Skills!M12+1)</f>
        <v/>
      </c>
      <c r="F427">
        <f>IF(Skills!N12=TRUE,(Skills!L12/10)*(E427/1000),Skills!L12/10)+Skills!O12</f>
        <v/>
      </c>
      <c r="G427">
        <f>Skills!G12*IF(Skills!H12&gt;0,Skills!I12/Skills!H12,1)</f>
        <v/>
      </c>
      <c r="H427">
        <f>1-(1-Skills!J12/100)^Skills!K12</f>
        <v/>
      </c>
      <c r="I427" t="inlineStr">
        <is>
          <t>1</t>
        </is>
      </c>
      <c r="J427">
        <f>((Inputs!$B$6*(1+Inputs!$B$7/100))+(((Inputs!$B$12*(1+Inputs!$B$13/100))-(Inputs!$B$12*(1+Inputs!$B$13/100)))+0.25*(Inputs!$B$14-Inputs!$B$14))*(1+Inputs!$B$7/100))*(F427/100)</f>
        <v/>
      </c>
      <c r="K427">
        <f>J427*(1+((Inputs!$B$12*(1+Inputs!$B$13/100))*0.01+Inputs!$B$14*0.0025)/100)*(1+Inputs!$B$15/100)*(1+Inputs!$B$16/100)*(5000/(6000+Inputs!$B$42*(1-(100*(1-(1-(Inputs!$B$19+0)/100)*(1-CHOOSE(ArtifactsInput!$N$40+1,5,6,7,8,9,10)/100)^(ArtifactsInput!$M$40-ArtifactsInput!$M$40)))/100)))*(1+(Inputs!$B$24+((C441=TRUE)*(F441-Calc!F26))+B451)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438=TRUE)*(F438-Calc!F23))+((C442=TRUE)*(F442-Calc!F27))+(((IF(AND(ArtifactsInput!$M$42,((Inputs!$B$9+((C434=TRUE)*(F434-Calc!F19))+B445+(ArtifactsInput!$M$24-ArtifactsInput!$M$24)*CHOOSE(ArtifactsInput!$N$24+1,10,12,14,16,18,20)+IF(ArtifactsInput!$M$10,CHOOSE(ArtifactsInput!$N$10+1,15,18,21,24,27,30)*(IF(Inputs!$B$38="pvp",MIN(15,15)/15,IF(AND(Inputs!$B$38&lt;&gt;"pvp",Inputs!$B$43&gt;0),MIN(15,Inputs!$B$43)/(Inputs!$B$43),0))),0)))&gt;=100),MIN(100,((Inputs!$B$9+((C434=TRUE)*(F434-Calc!F19))+B445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434=TRUE)*(F434-Calc!F19))+B445+(ArtifactsInput!$M$24-ArtifactsInput!$M$24)*CHOOSE(ArtifactsInput!$N$24+1,10,12,14,16,18,20)+IF(ArtifactsInput!$M$10,CHOOSE(ArtifactsInput!$N$10+1,15,18,21,24,27,30)*(IF(Inputs!$B$38="pvp",MIN(15,15)/15,IF(AND(Inputs!$B$38&lt;&gt;"pvp",Inputs!$B$43&gt;0),MIN(15,Inputs!$B$43)/(Inputs!$B$43),0))),0)))&gt;=100),CHOOSE(ArtifactsInput!$N$42+1,40,48,56,64,72,80),0))))/100)*((1+(((C432=TRUE)*F432)+((C439=TRUE)*(F439-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427)</f>
        <v/>
      </c>
      <c r="L427">
        <f>K427*(MIN((Inputs!$B$22+1)+((C437=TRUE)*(F437-Calc!F22)),(Inputs!$B$23+0+(IF(ArtifactsInput!$M$15,CHOOSE(ArtifactsInput!$N$15+1,25,30,35,40,45,50)/100*(Inputs!$B$11-Inputs!$B$11),0))))/100+(Inputs!$B$23+0+(IF(ArtifactsInput!$M$15,CHOOSE(ArtifactsInput!$N$15+1,25,30,35,40,45,50)/100*(Inputs!$B$11-Inputs!$B$11),0)))/100)/2</f>
        <v/>
      </c>
      <c r="M427">
        <f>L427*(1+(Inputs!$B$10+((C440=TRUE)*(F440-Calc!F25))+B450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7">
        <f>L427*(1-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427*(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7">
        <f>(1-Summary!$B$11)*T427+Summary!$B$11*V427</f>
        <v/>
      </c>
      <c r="P427">
        <f>IF(B455=0,0,O427/B455)</f>
        <v/>
      </c>
      <c r="Q427">
        <f>IFERROR(1/(IF(Inputs!$B$38="pvp",15,MAX(0.1,Skills!D12-IF(Skills!E12=TRUE,Inputs!$B$32,0)))*(1-IF(AND(ArtifactsInput!$M$27,Inputs!$B$4="Chapter Hunt"),CHOOSE(ArtifactsInput!$N$27+1,20,24,28,32,36,40),0)/100)),0)</f>
        <v/>
      </c>
      <c r="R427">
        <f>IF(AND(Inputs!$B$38&lt;&gt;"pvp",Inputs!$B$43&gt;0),IF(MAX(0,Inputs!$B$43-B452)&lt;=0,0,(INT(MAX(0,Inputs!$B$43-B452)/(IF(Inputs!$B$38="pvp",15,MAX(0.1,Skills!D12-IF(Skills!E12=TRUE,Inputs!$B$32,0)))*(1-IF(AND(ArtifactsInput!$M$27,Inputs!$B$4="Chapter Hunt"),CHOOSE(ArtifactsInput!$N$27+1,20,24,28,32,36,40),0)/100)))+1)),0)</f>
        <v/>
      </c>
      <c r="S427">
        <f>IFERROR(O427/N427,0)</f>
        <v/>
      </c>
      <c r="T427">
        <f>IF(C427,(H427*N427*IF(AND(Inputs!$B$38&lt;&gt;"pvp",Inputs!$B$43&gt;0),((Skills!G12*((R427-1)*IF(Skills!H12&gt;0,Skills!I12/Skills!H12,1)+IF(Skills!H12&gt;0,MIN(Skills!I12,MAX(0,MAX(0,Inputs!$B$43-B452)-((R427-1)*(IF(Inputs!$B$38="pvp",15,MAX(0.1,Skills!D12-IF(Skills!E12=TRUE,Inputs!$B$32,0)))*(1-IF(AND(ArtifactsInput!$M$27,Inputs!$B$4="Chapter Hunt"),CHOOSE(ArtifactsInput!$N$27+1,20,24,28,32,36,40),0)/100)))))/Skills!H12,1)))/Inputs!$B$43),G427*Q427)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427*(1-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427*(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427*(1-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427*(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7">
        <f>IF(C427,(H427*N427*IF(AND(Inputs!$B$38&lt;&gt;"pvp",Inputs!$B$43&gt;0),((Skills!G12*((R427-1)*IF(Skills!H12&gt;0,Skills!I12/Skills!H12,1)+IF(Skills!H12&gt;0,MIN(Skills!I12,MAX(0,MAX(0,Inputs!$B$43-B452)-((R427-1)*(IF(Inputs!$B$38="pvp",15,MAX(0.1,Skills!D12-IF(Skills!E12=TRUE,Inputs!$B$32,0)))*(1-IF(AND(ArtifactsInput!$M$27,Inputs!$B$4="Chapter Hunt"),CHOOSE(ArtifactsInput!$N$27+1,20,24,28,32,36,40),0)/100)))))/Skills!H12,1)))/Inputs!$B$43),G427*Q427))*IF(Inputs!$B$38="pvp",1,(1+(Inputs!$B$21+Skills!Q12+(IF(ArtifactsInput!$M$33,CHOOSE(ArtifactsInput!$N$33+1,30,36,42,48,54,60)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8">
      <c r="A428">
        <f>Skills!A13</f>
        <v/>
      </c>
      <c r="B428">
        <f>Skills!B13</f>
        <v/>
      </c>
      <c r="C428">
        <f>Inputs!$B$3&gt;=110</f>
        <v/>
      </c>
      <c r="D428">
        <f>IF(Skills!C13=1,60+Inputs!$B$25+Inputs!$B$29,IF(Skills!C13=2,90+Inputs!$B$26+Inputs!$B$29,IF(Skills!C13=3,120+Inputs!$B$27+Inputs!$B$29,MAX(0,(Inputs!$B$3-100)*3)+Inputs!$B$28+Inputs!$B$29)))</f>
        <v/>
      </c>
      <c r="E428">
        <f>INDEX(FactorTable!$B$2:$Y$301, MATCH(ROUND(MIN(300,MAX(1,D428)),0), FactorTable!$A$2:$A$301,0), Skills!M13+1)</f>
        <v/>
      </c>
      <c r="F428">
        <f>IF(Skills!N13=TRUE,(Skills!L13/10)*(E428/1000),Skills!L13/10)+Skills!O13</f>
        <v/>
      </c>
      <c r="G428">
        <f>Skills!G13*IF(Skills!H13&gt;0,Skills!I13/Skills!H13,1)</f>
        <v/>
      </c>
      <c r="H428">
        <f>1-(1-Skills!J13/100)^Skills!K13</f>
        <v/>
      </c>
      <c r="I428" t="inlineStr">
        <is>
          <t>1</t>
        </is>
      </c>
      <c r="J428">
        <f>((Inputs!$B$6*(1+Inputs!$B$7/100))+(((Inputs!$B$12*(1+Inputs!$B$13/100))-(Inputs!$B$12*(1+Inputs!$B$13/100)))+0.25*(Inputs!$B$14-Inputs!$B$14))*(1+Inputs!$B$7/100))*(F428/100)</f>
        <v/>
      </c>
      <c r="K428">
        <f>J428*(1+((Inputs!$B$12*(1+Inputs!$B$13/100))*0.01+Inputs!$B$14*0.0025)/100)*(1+Inputs!$B$15/100)*(1+Inputs!$B$16/100)*(5000/(6000+Inputs!$B$42*(1-(100*(1-(1-(Inputs!$B$19+0)/100)*(1-CHOOSE(ArtifactsInput!$N$40+1,5,6,7,8,9,10)/100)^(ArtifactsInput!$M$40-ArtifactsInput!$M$40)))/100)))*(1+(Inputs!$B$24+((C441=TRUE)*(F441-Calc!F26))+B451)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438=TRUE)*(F438-Calc!F23))+((C442=TRUE)*(F442-Calc!F27))+(((IF(AND(ArtifactsInput!$M$42,((Inputs!$B$9+((C434=TRUE)*(F434-Calc!F19))+B445+(ArtifactsInput!$M$24-ArtifactsInput!$M$24)*CHOOSE(ArtifactsInput!$N$24+1,10,12,14,16,18,20)+IF(ArtifactsInput!$M$10,CHOOSE(ArtifactsInput!$N$10+1,15,18,21,24,27,30)*(IF(Inputs!$B$38="pvp",MIN(15,15)/15,IF(AND(Inputs!$B$38&lt;&gt;"pvp",Inputs!$B$43&gt;0),MIN(15,Inputs!$B$43)/(Inputs!$B$43),0))),0)))&gt;=100),MIN(100,((Inputs!$B$9+((C434=TRUE)*(F434-Calc!F19))+B445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434=TRUE)*(F434-Calc!F19))+B445+(ArtifactsInput!$M$24-ArtifactsInput!$M$24)*CHOOSE(ArtifactsInput!$N$24+1,10,12,14,16,18,20)+IF(ArtifactsInput!$M$10,CHOOSE(ArtifactsInput!$N$10+1,15,18,21,24,27,30)*(IF(Inputs!$B$38="pvp",MIN(15,15)/15,IF(AND(Inputs!$B$38&lt;&gt;"pvp",Inputs!$B$43&gt;0),MIN(15,Inputs!$B$43)/(Inputs!$B$43),0))),0)))&gt;=100),CHOOSE(ArtifactsInput!$N$42+1,40,48,56,64,72,80),0))))/100)*((1+(((C432=TRUE)*F432)+((C439=TRUE)*(F439-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428)</f>
        <v/>
      </c>
      <c r="L428">
        <f>K428*(MIN((Inputs!$B$22+1)+((C437=TRUE)*(F437-Calc!F22)),(Inputs!$B$23+0+(IF(ArtifactsInput!$M$15,CHOOSE(ArtifactsInput!$N$15+1,25,30,35,40,45,50)/100*(Inputs!$B$11-Inputs!$B$11),0))))/100+(Inputs!$B$23+0+(IF(ArtifactsInput!$M$15,CHOOSE(ArtifactsInput!$N$15+1,25,30,35,40,45,50)/100*(Inputs!$B$11-Inputs!$B$11),0)))/100)/2</f>
        <v/>
      </c>
      <c r="M428">
        <f>L428*(1+(Inputs!$B$10+((C440=TRUE)*(F440-Calc!F25))+B450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8">
        <f>L428*(1-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428*(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8">
        <f>(1-Summary!$B$11)*T428+Summary!$B$11*V428</f>
        <v/>
      </c>
      <c r="P428">
        <f>IF(B455=0,0,O428/B455)</f>
        <v/>
      </c>
      <c r="Q428">
        <f>IFERROR(1/(IF(Inputs!$B$38="pvp",15,MAX(0.1,Skills!D13-IF(Skills!E13=TRUE,Inputs!$B$32,0)))*(1-IF(AND(ArtifactsInput!$M$27,Inputs!$B$4="Chapter Hunt"),CHOOSE(ArtifactsInput!$N$27+1,20,24,28,32,36,40),0)/100)),0)</f>
        <v/>
      </c>
      <c r="R428">
        <f>IF(AND(Inputs!$B$38&lt;&gt;"pvp",Inputs!$B$43&gt;0),IF(MAX(0,Inputs!$B$43-B452)&lt;=0,0,(INT(MAX(0,Inputs!$B$43-B452)/(IF(Inputs!$B$38="pvp",15,MAX(0.1,Skills!D13-IF(Skills!E13=TRUE,Inputs!$B$32,0)))*(1-IF(AND(ArtifactsInput!$M$27,Inputs!$B$4="Chapter Hunt"),CHOOSE(ArtifactsInput!$N$27+1,20,24,28,32,36,40),0)/100)))+1)),0)</f>
        <v/>
      </c>
      <c r="S428">
        <f>IFERROR(O428/N428,0)</f>
        <v/>
      </c>
      <c r="T428">
        <f>IF(C428,(H428*N428*IF(AND(Inputs!$B$38&lt;&gt;"pvp",Inputs!$B$43&gt;0),((Skills!G13*((R428-1)*IF(Skills!H13&gt;0,Skills!I13/Skills!H13,1)+IF(Skills!H13&gt;0,MIN(Skills!I13,MAX(0,MAX(0,Inputs!$B$43-B452)-((R428-1)*(IF(Inputs!$B$38="pvp",15,MAX(0.1,Skills!D13-IF(Skills!E13=TRUE,Inputs!$B$32,0)))*(1-IF(AND(ArtifactsInput!$M$27,Inputs!$B$4="Chapter Hunt"),CHOOSE(ArtifactsInput!$N$27+1,20,24,28,32,36,40),0)/100)))))/Skills!H13,1)))/Inputs!$B$43),G428*Q428)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428*(1-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428*(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428*(1-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428*(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8">
        <f>IF(C428,(H428*N428*IF(AND(Inputs!$B$38&lt;&gt;"pvp",Inputs!$B$43&gt;0),((Skills!G13*((R428-1)*IF(Skills!H13&gt;0,Skills!I13/Skills!H13,1)+IF(Skills!H13&gt;0,MIN(Skills!I13,MAX(0,MAX(0,Inputs!$B$43-B452)-((R428-1)*(IF(Inputs!$B$38="pvp",15,MAX(0.1,Skills!D13-IF(Skills!E13=TRUE,Inputs!$B$32,0)))*(1-IF(AND(ArtifactsInput!$M$27,Inputs!$B$4="Chapter Hunt"),CHOOSE(ArtifactsInput!$N$27+1,20,24,28,32,36,40),0)/100)))))/Skills!H13,1)))/Inputs!$B$43),G428*Q428))*IF(Inputs!$B$38="pvp",1,(1+(Inputs!$B$21+Skills!Q13+(IF(ArtifactsInput!$M$33,CHOOSE(ArtifactsInput!$N$33+1,30,36,42,48,54,60)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9">
      <c r="A429">
        <f>Skills!A14</f>
        <v/>
      </c>
      <c r="B429">
        <f>Skills!B14</f>
        <v/>
      </c>
      <c r="C429">
        <f>Inputs!$B$3&gt;=125</f>
        <v/>
      </c>
      <c r="D429">
        <f>IF(Skills!C14=1,60+Inputs!$B$25+Inputs!$B$29,IF(Skills!C14=2,90+Inputs!$B$26+Inputs!$B$29,IF(Skills!C14=3,120+Inputs!$B$27+Inputs!$B$29,MAX(0,(Inputs!$B$3-100)*3)+Inputs!$B$28+Inputs!$B$29)))</f>
        <v/>
      </c>
      <c r="E429">
        <f>INDEX(FactorTable!$B$2:$Y$301, MATCH(ROUND(MIN(300,MAX(1,D429)),0), FactorTable!$A$2:$A$301,0), Skills!M14+1)</f>
        <v/>
      </c>
      <c r="F429">
        <f>IF(Skills!N14=TRUE,(Skills!L14/10)*(E429/1000),Skills!L14/10)+Skills!O14</f>
        <v/>
      </c>
      <c r="G429">
        <f>Skills!G14*IF(Skills!H14&gt;0,Skills!I14/Skills!H14,1)</f>
        <v/>
      </c>
      <c r="H429">
        <f>1-(1-Skills!J14/100)^Skills!K14</f>
        <v/>
      </c>
      <c r="I429" t="inlineStr">
        <is>
          <t>1</t>
        </is>
      </c>
      <c r="J429">
        <f>((Inputs!$B$6*(1+Inputs!$B$7/100))+(((Inputs!$B$12*(1+Inputs!$B$13/100))-(Inputs!$B$12*(1+Inputs!$B$13/100)))+0.25*(Inputs!$B$14-Inputs!$B$14))*(1+Inputs!$B$7/100))*(F429/100)</f>
        <v/>
      </c>
      <c r="K429">
        <f>J429*(1+((Inputs!$B$12*(1+Inputs!$B$13/100))*0.01+Inputs!$B$14*0.0025)/100)*(1+Inputs!$B$15/100)*(1+Inputs!$B$16/100)*(5000/(6000+Inputs!$B$42*(1-(100*(1-(1-(Inputs!$B$19+0)/100)*(1-CHOOSE(ArtifactsInput!$N$40+1,5,6,7,8,9,10)/100)^(ArtifactsInput!$M$40-ArtifactsInput!$M$40)))/100)))*(1+(Inputs!$B$24+((C441=TRUE)*(F441-Calc!F26))+B451)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438=TRUE)*(F438-Calc!F23))+((C442=TRUE)*(F442-Calc!F27))+(((IF(AND(ArtifactsInput!$M$42,((Inputs!$B$9+((C434=TRUE)*(F434-Calc!F19))+B445+(ArtifactsInput!$M$24-ArtifactsInput!$M$24)*CHOOSE(ArtifactsInput!$N$24+1,10,12,14,16,18,20)+IF(ArtifactsInput!$M$10,CHOOSE(ArtifactsInput!$N$10+1,15,18,21,24,27,30)*(IF(Inputs!$B$38="pvp",MIN(15,15)/15,IF(AND(Inputs!$B$38&lt;&gt;"pvp",Inputs!$B$43&gt;0),MIN(15,Inputs!$B$43)/(Inputs!$B$43),0))),0)))&gt;=100),MIN(100,((Inputs!$B$9+((C434=TRUE)*(F434-Calc!F19))+B445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434=TRUE)*(F434-Calc!F19))+B445+(ArtifactsInput!$M$24-ArtifactsInput!$M$24)*CHOOSE(ArtifactsInput!$N$24+1,10,12,14,16,18,20)+IF(ArtifactsInput!$M$10,CHOOSE(ArtifactsInput!$N$10+1,15,18,21,24,27,30)*(IF(Inputs!$B$38="pvp",MIN(15,15)/15,IF(AND(Inputs!$B$38&lt;&gt;"pvp",Inputs!$B$43&gt;0),MIN(15,Inputs!$B$43)/(Inputs!$B$43),0))),0)))&gt;=100),CHOOSE(ArtifactsInput!$N$42+1,40,48,56,64,72,80),0))))/100)*((1+(((C432=TRUE)*F432)+((C439=TRUE)*(F439-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429)</f>
        <v/>
      </c>
      <c r="L429">
        <f>K429*(MIN((Inputs!$B$22+1)+((C437=TRUE)*(F437-Calc!F22)),(Inputs!$B$23+0+(IF(ArtifactsInput!$M$15,CHOOSE(ArtifactsInput!$N$15+1,25,30,35,40,45,50)/100*(Inputs!$B$11-Inputs!$B$11),0))))/100+(Inputs!$B$23+0+(IF(ArtifactsInput!$M$15,CHOOSE(ArtifactsInput!$N$15+1,25,30,35,40,45,50)/100*(Inputs!$B$11-Inputs!$B$11),0)))/100)/2</f>
        <v/>
      </c>
      <c r="M429">
        <f>L429*(1+(Inputs!$B$10+((C440=TRUE)*(F440-Calc!F25))+B450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9">
        <f>L429*(1-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429*(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9">
        <f>(1-Summary!$B$11)*T429+Summary!$B$11*V429</f>
        <v/>
      </c>
      <c r="P429">
        <f>IF(B455=0,0,O429/B455)</f>
        <v/>
      </c>
      <c r="Q429" t="n">
        <v>0</v>
      </c>
      <c r="R429" t="n">
        <v>0</v>
      </c>
      <c r="S429">
        <f>IFERROR(O429/N429,0)</f>
        <v/>
      </c>
      <c r="T429">
        <f>IF(C429,(H429*N429*(B449+IF(AND(Inputs!$B$38&lt;&gt;"pvp",Inputs!$B$43&gt;0),((Skills!G8*((R423-1)*IF(Skills!H8&gt;0,Skills!I8/Skills!H8,1)+IF(Skills!H8&gt;0,MIN(Skills!I8,MAX(0,MAX(0,Inputs!$B$43-B452)-((R423-1)*(IF(Inputs!$B$38="pvp",15,MAX(0.1,Skills!D8-IF(Skills!E8=TRUE,Inputs!$B$32,0)))*(1-IF(AND(ArtifactsInput!$M$27,Inputs!$B$4="Chapter Hunt"),CHOOSE(ArtifactsInput!$N$27+1,20,24,28,32,36,40),0)/100)))))/Skills!H8,1)))/Inputs!$B$43),G423*Q423)+IF(AND(Inputs!$B$38&lt;&gt;"pvp",Inputs!$B$43&gt;0),((Skills!G11*((R426-1)*IF(Skills!H11&gt;0,Skills!I11/Skills!H11,1)+IF(Skills!H11&gt;0,MIN(Skills!I11,MAX(0,MAX(0,Inputs!$B$43-B452)-((R426-1)*(IF(Inputs!$B$38="pvp",15,MAX(0.1,Skills!D11-IF(Skills!E11=TRUE,Inputs!$B$32,0)))*(1-IF(AND(ArtifactsInput!$M$27,Inputs!$B$4="Chapter Hunt"),CHOOSE(ArtifactsInput!$N$27+1,20,24,28,32,36,40),0)/100)))))/Skills!H11,1)))/Inputs!$B$43),G426*Q426)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429*(1-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429*(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429*(1-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429*(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9">
        <f>IF(C429,(H429*N429*(B449+IF(AND(Inputs!$B$38&lt;&gt;"pvp",Inputs!$B$43&gt;0),((Skills!G8*((R423-1)*IF(Skills!H8&gt;0,Skills!I8/Skills!H8,1)+IF(Skills!H8&gt;0,MIN(Skills!I8,MAX(0,MAX(0,Inputs!$B$43-B452)-((R423-1)*(IF(Inputs!$B$38="pvp",15,MAX(0.1,Skills!D8-IF(Skills!E8=TRUE,Inputs!$B$32,0)))*(1-IF(AND(ArtifactsInput!$M$27,Inputs!$B$4="Chapter Hunt"),CHOOSE(ArtifactsInput!$N$27+1,20,24,28,32,36,40),0)/100)))))/Skills!H8,1)))/Inputs!$B$43),G423*Q423)+IF(AND(Inputs!$B$38&lt;&gt;"pvp",Inputs!$B$43&gt;0),((Skills!G11*((R426-1)*IF(Skills!H11&gt;0,Skills!I11/Skills!H11,1)+IF(Skills!H11&gt;0,MIN(Skills!I11,MAX(0,MAX(0,Inputs!$B$43-B452)-((R426-1)*(IF(Inputs!$B$38="pvp",15,MAX(0.1,Skills!D11-IF(Skills!E11=TRUE,Inputs!$B$32,0)))*(1-IF(AND(ArtifactsInput!$M$27,Inputs!$B$4="Chapter Hunt"),CHOOSE(ArtifactsInput!$N$27+1,20,24,28,32,36,40),0)/100)))))/Skills!H11,1)))/Inputs!$B$43),G426*Q426)))*IF(Inputs!$B$38="pvp",1,(1+(Inputs!$B$21+Skills!Q14+(IF(ArtifactsInput!$M$33,CHOOSE(ArtifactsInput!$N$33+1,30,36,42,48,54,60)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0">
      <c r="A430">
        <f>Skills!A15</f>
        <v/>
      </c>
      <c r="B430">
        <f>Skills!B15</f>
        <v/>
      </c>
      <c r="C430">
        <f>Inputs!$B$3&gt;=100</f>
        <v/>
      </c>
      <c r="D430">
        <f>IF(Skills!C15=1,60+Inputs!$B$25+Inputs!$B$29,IF(Skills!C15=2,90+Inputs!$B$26+Inputs!$B$29,IF(Skills!C15=3,120+Inputs!$B$27+Inputs!$B$29,MAX(0,(Inputs!$B$3-100)*3)+Inputs!$B$28+Inputs!$B$29)))</f>
        <v/>
      </c>
      <c r="E430">
        <f>INDEX(FactorTable!$B$2:$Y$301, MATCH(ROUND(MIN(300,MAX(1,D430)),0), FactorTable!$A$2:$A$301,0), Skills!M15+1)</f>
        <v/>
      </c>
      <c r="F430">
        <f>IF(Skills!N15=TRUE,(Skills!L15/10)*(E430/1000),Skills!L15/10)+Skills!O15</f>
        <v/>
      </c>
      <c r="G430" t="inlineStr"/>
      <c r="H430" t="inlineStr"/>
      <c r="I430" t="inlineStr">
        <is>
          <t>1</t>
        </is>
      </c>
      <c r="J430" t="inlineStr"/>
      <c r="K430" t="inlineStr"/>
      <c r="L430" t="inlineStr"/>
      <c r="M430" t="inlineStr"/>
      <c r="N430" t="inlineStr"/>
      <c r="O430" t="inlineStr"/>
      <c r="P430" t="inlineStr"/>
      <c r="Q430" t="inlineStr"/>
      <c r="R430" t="inlineStr"/>
      <c r="S430" t="inlineStr"/>
    </row>
    <row r="431">
      <c r="A431">
        <f>Skills!A16</f>
        <v/>
      </c>
      <c r="B431">
        <f>Skills!B16</f>
        <v/>
      </c>
      <c r="C431">
        <f>Inputs!$B$3&gt;=120</f>
        <v/>
      </c>
      <c r="D431">
        <f>IF(Skills!C16=1,60+Inputs!$B$25+Inputs!$B$29,IF(Skills!C16=2,90+Inputs!$B$26+Inputs!$B$29,IF(Skills!C16=3,120+Inputs!$B$27+Inputs!$B$29,MAX(0,(Inputs!$B$3-100)*3)+Inputs!$B$28+Inputs!$B$29)))</f>
        <v/>
      </c>
      <c r="E431">
        <f>INDEX(FactorTable!$B$2:$Y$301, MATCH(ROUND(MIN(300,MAX(1,D431)),0), FactorTable!$A$2:$A$301,0), Skills!M16+1)</f>
        <v/>
      </c>
      <c r="F431">
        <f>IF(Skills!N16=TRUE,(Skills!L16/10)*(E431/1000),Skills!L16/10)+Skills!O16</f>
        <v/>
      </c>
      <c r="G431" t="inlineStr"/>
      <c r="H431" t="inlineStr"/>
      <c r="I431" t="inlineStr">
        <is>
          <t>1</t>
        </is>
      </c>
      <c r="J431" t="inlineStr"/>
      <c r="K431" t="inlineStr"/>
      <c r="L431" t="inlineStr"/>
      <c r="M431" t="inlineStr"/>
      <c r="N431" t="inlineStr"/>
      <c r="O431" t="inlineStr"/>
      <c r="P431" t="inlineStr"/>
      <c r="Q431" t="inlineStr"/>
      <c r="R431" t="inlineStr"/>
      <c r="S431" t="inlineStr"/>
    </row>
    <row r="432">
      <c r="A432">
        <f>Skills!A17</f>
        <v/>
      </c>
      <c r="B432">
        <f>Skills!B17</f>
        <v/>
      </c>
      <c r="C432">
        <f>Inputs!$B$3&gt;=66</f>
        <v/>
      </c>
      <c r="D432">
        <f>IF(Skills!C17=1,60+Inputs!$B$25+Inputs!$B$29,IF(Skills!C17=2,90+Inputs!$B$26+Inputs!$B$29,IF(Skills!C17=3,120+Inputs!$B$27+Inputs!$B$29,MAX(0,(Inputs!$B$3-100)*3)+Inputs!$B$28+Inputs!$B$29)))</f>
        <v/>
      </c>
      <c r="E432">
        <f>INDEX(FactorTable!$B$2:$Y$301, MATCH(ROUND(MIN(300,MAX(1,D432)),0), FactorTable!$A$2:$A$301,0), Skills!M17+1)</f>
        <v/>
      </c>
      <c r="F432">
        <f>IF(Skills!N17=TRUE,(Skills!L17/10)*(E432/1000),Skills!L17/10)+Skills!O17</f>
        <v/>
      </c>
      <c r="G432">
        <f>Skills!G17*IF(Skills!H17&gt;0,Skills!I17/Skills!H17,1)</f>
        <v/>
      </c>
      <c r="H432">
        <f>1-(1-Skills!J17/100)^Skills!K17</f>
        <v/>
      </c>
      <c r="I432" t="inlineStr">
        <is>
          <t>1</t>
        </is>
      </c>
      <c r="J432" t="inlineStr"/>
      <c r="K432" t="inlineStr"/>
      <c r="L432" t="inlineStr"/>
      <c r="M432" t="inlineStr"/>
      <c r="N432" t="inlineStr"/>
      <c r="O432">
        <f>(1-Summary!$B$11)*T432+Summary!$B$11*V432</f>
        <v/>
      </c>
      <c r="P432">
        <f>IF(B455=0,0,O432/B455)</f>
        <v/>
      </c>
      <c r="Q432" t="n">
        <v>0</v>
      </c>
      <c r="R432" t="n">
        <v>0</v>
      </c>
      <c r="S432">
        <f>IFERROR(O432/N432,0)</f>
        <v/>
      </c>
      <c r="T432" t="n">
        <v>0</v>
      </c>
      <c r="V432" t="n">
        <v>0</v>
      </c>
    </row>
    <row r="433">
      <c r="A433">
        <f>Skills!A18</f>
        <v/>
      </c>
      <c r="B433">
        <f>Skills!B18</f>
        <v/>
      </c>
      <c r="C433">
        <f>Inputs!$B$3&gt;=115</f>
        <v/>
      </c>
      <c r="D433">
        <f>IF(Skills!C18=1,60+Inputs!$B$25+Inputs!$B$29,IF(Skills!C18=2,90+Inputs!$B$26+Inputs!$B$29,IF(Skills!C18=3,120+Inputs!$B$27+Inputs!$B$29,MAX(0,(Inputs!$B$3-100)*3)+Inputs!$B$28+Inputs!$B$29)))</f>
        <v/>
      </c>
      <c r="E433">
        <f>INDEX(FactorTable!$B$2:$Y$301, MATCH(ROUND(MIN(300,MAX(1,D433)),0), FactorTable!$A$2:$A$301,0), Skills!M18+1)</f>
        <v/>
      </c>
      <c r="F433">
        <f>IF(Skills!N18=TRUE,(Skills!L18/10)*(E433/1000),Skills!L18/10)+Skills!O18</f>
        <v/>
      </c>
      <c r="G433">
        <f>Skills!G18*IF(Skills!H18&gt;0,Skills!I18/Skills!H18,1)</f>
        <v/>
      </c>
      <c r="H433">
        <f>1-(1-Skills!J18/100)^Skills!K18</f>
        <v/>
      </c>
      <c r="I433" t="inlineStr">
        <is>
          <t>1</t>
        </is>
      </c>
      <c r="J433" t="inlineStr"/>
      <c r="K433" t="inlineStr"/>
      <c r="L433" t="inlineStr"/>
      <c r="M433" t="inlineStr"/>
      <c r="N433" t="inlineStr"/>
      <c r="O433">
        <f>(1-Summary!$B$11)*T433+Summary!$B$11*V433</f>
        <v/>
      </c>
      <c r="P433">
        <f>IF(B455=0,0,O433/B455)</f>
        <v/>
      </c>
      <c r="Q433" t="n">
        <v>0</v>
      </c>
      <c r="R433" t="n">
        <v>0</v>
      </c>
      <c r="S433">
        <f>IFERROR(O433/N433,0)</f>
        <v/>
      </c>
      <c r="T433" t="n">
        <v>0</v>
      </c>
      <c r="V433" t="n">
        <v>0</v>
      </c>
    </row>
    <row r="434">
      <c r="A434">
        <f>Skills!A19</f>
        <v/>
      </c>
      <c r="B434">
        <f>Skills!B19</f>
        <v/>
      </c>
      <c r="C434">
        <f>Inputs!$B$3&gt;=15</f>
        <v/>
      </c>
      <c r="D434">
        <f>IF(Skills!C19=1,60+Inputs!$B$25+Inputs!$B$29,IF(Skills!C19=2,90+Inputs!$B$26+Inputs!$B$29,IF(Skills!C19=3,120+Inputs!$B$27+Inputs!$B$29,MAX(0,(Inputs!$B$3-100)*3)+Inputs!$B$28+Inputs!$B$29)))</f>
        <v/>
      </c>
      <c r="E434">
        <f>INDEX(FactorTable!$B$2:$Y$301, MATCH(ROUND(MIN(300,MAX(1,D434)),0), FactorTable!$A$2:$A$301,0), Skills!M19+1)</f>
        <v/>
      </c>
      <c r="F434">
        <f>IF(Skills!N19=TRUE,(Skills!L19/10)*(E434/1000),Skills!L19/10)+Skills!O19</f>
        <v/>
      </c>
      <c r="G434">
        <f>Skills!G19*IF(Skills!H19&gt;0,Skills!I19/Skills!H19,1)</f>
        <v/>
      </c>
      <c r="H434">
        <f>1-(1-Skills!J19/100)^Skills!K19</f>
        <v/>
      </c>
      <c r="I434" t="inlineStr">
        <is>
          <t>1</t>
        </is>
      </c>
      <c r="J434" t="inlineStr"/>
      <c r="K434" t="inlineStr"/>
      <c r="L434" t="inlineStr"/>
      <c r="M434" t="inlineStr"/>
      <c r="N434" t="inlineStr"/>
      <c r="O434">
        <f>(1-Summary!$B$11)*T434+Summary!$B$11*V434</f>
        <v/>
      </c>
      <c r="P434">
        <f>IF(B455=0,0,O434/B455)</f>
        <v/>
      </c>
      <c r="Q434" t="n">
        <v>0</v>
      </c>
      <c r="R434" t="n">
        <v>0</v>
      </c>
      <c r="S434">
        <f>IFERROR(O434/N434,0)</f>
        <v/>
      </c>
      <c r="T434" t="n">
        <v>0</v>
      </c>
      <c r="V434" t="n">
        <v>0</v>
      </c>
    </row>
    <row r="435">
      <c r="A435">
        <f>Skills!A20</f>
        <v/>
      </c>
      <c r="B435">
        <f>Skills!B20</f>
        <v/>
      </c>
      <c r="C435">
        <f>Inputs!$B$3&gt;=10</f>
        <v/>
      </c>
      <c r="D435">
        <f>IF(Skills!C20=1,60+Inputs!$B$25+Inputs!$B$29,IF(Skills!C20=2,90+Inputs!$B$26+Inputs!$B$29,IF(Skills!C20=3,120+Inputs!$B$27+Inputs!$B$29,MAX(0,(Inputs!$B$3-100)*3)+Inputs!$B$28+Inputs!$B$29)))</f>
        <v/>
      </c>
      <c r="E435">
        <f>INDEX(FactorTable!$B$2:$Y$301, MATCH(ROUND(MIN(300,MAX(1,D435)),0), FactorTable!$A$2:$A$301,0), Skills!M20+1)</f>
        <v/>
      </c>
      <c r="F435">
        <f>IF(Skills!N20=TRUE,(Skills!L20/10)*(E435/1000),Skills!L20/10)+Skills!O20</f>
        <v/>
      </c>
      <c r="G435">
        <f>Skills!G20*IF(Skills!H20&gt;0,Skills!I20/Skills!H20,1)</f>
        <v/>
      </c>
      <c r="H435">
        <f>1-(1-Skills!J20/100)^Skills!K20</f>
        <v/>
      </c>
      <c r="I435" t="inlineStr">
        <is>
          <t>1</t>
        </is>
      </c>
      <c r="J435" t="inlineStr"/>
      <c r="K435" t="inlineStr"/>
      <c r="L435" t="inlineStr"/>
      <c r="M435" t="inlineStr"/>
      <c r="N435" t="inlineStr"/>
      <c r="O435">
        <f>(1-Summary!$B$11)*T435+Summary!$B$11*V435</f>
        <v/>
      </c>
      <c r="P435">
        <f>IF(B455=0,0,O435/B455)</f>
        <v/>
      </c>
      <c r="Q435" t="n">
        <v>0</v>
      </c>
      <c r="R435" t="n">
        <v>0</v>
      </c>
      <c r="S435">
        <f>IFERROR(O435/N435,0)</f>
        <v/>
      </c>
      <c r="T435" t="n">
        <v>0</v>
      </c>
      <c r="V435" t="n">
        <v>0</v>
      </c>
    </row>
    <row r="436">
      <c r="A436">
        <f>Skills!A21</f>
        <v/>
      </c>
      <c r="B436">
        <f>Skills!B21</f>
        <v/>
      </c>
      <c r="C436">
        <f>Inputs!$B$3&gt;=33</f>
        <v/>
      </c>
      <c r="D436">
        <f>IF(Skills!C21=1,60+Inputs!$B$25+Inputs!$B$29,IF(Skills!C21=2,90+Inputs!$B$26+Inputs!$B$29,IF(Skills!C21=3,120+Inputs!$B$27+Inputs!$B$29,MAX(0,(Inputs!$B$3-100)*3)+Inputs!$B$28+Inputs!$B$29)))</f>
        <v/>
      </c>
      <c r="E436">
        <f>INDEX(FactorTable!$B$2:$Y$301, MATCH(ROUND(MIN(300,MAX(1,D436)),0), FactorTable!$A$2:$A$301,0), Skills!M21+1)</f>
        <v/>
      </c>
      <c r="F436">
        <f>IF(Skills!N21=TRUE,(Skills!L21/10)*(E436/1000),Skills!L21/10)+Skills!O21</f>
        <v/>
      </c>
      <c r="G436">
        <f>Skills!G21*IF(Skills!H21&gt;0,Skills!I21/Skills!H21,1)</f>
        <v/>
      </c>
      <c r="H436">
        <f>1-(1-Skills!J21/100)^Skills!K21</f>
        <v/>
      </c>
      <c r="I436" t="inlineStr">
        <is>
          <t>1</t>
        </is>
      </c>
      <c r="J436" t="inlineStr"/>
      <c r="K436" t="inlineStr"/>
      <c r="L436" t="inlineStr"/>
      <c r="M436" t="inlineStr"/>
      <c r="N436" t="inlineStr"/>
      <c r="O436">
        <f>(1-Summary!$B$11)*T436+Summary!$B$11*V436</f>
        <v/>
      </c>
      <c r="P436">
        <f>IF(B455=0,0,O436/B455)</f>
        <v/>
      </c>
      <c r="Q436" t="n">
        <v>0</v>
      </c>
      <c r="R436" t="n">
        <v>0</v>
      </c>
      <c r="S436">
        <f>IFERROR(O436/N436,0)</f>
        <v/>
      </c>
      <c r="T436" t="n">
        <v>0</v>
      </c>
      <c r="V436" t="n">
        <v>0</v>
      </c>
    </row>
    <row r="437">
      <c r="A437">
        <f>Skills!A22</f>
        <v/>
      </c>
      <c r="B437">
        <f>Skills!B22</f>
        <v/>
      </c>
      <c r="C437">
        <f>Inputs!$B$3&gt;=43</f>
        <v/>
      </c>
      <c r="D437">
        <f>IF(Skills!C22=1,60+Inputs!$B$25+Inputs!$B$29,IF(Skills!C22=2,90+Inputs!$B$26+Inputs!$B$29,IF(Skills!C22=3,120+Inputs!$B$27+Inputs!$B$29,MAX(0,(Inputs!$B$3-100)*3)+Inputs!$B$28+Inputs!$B$29)))</f>
        <v/>
      </c>
      <c r="E437">
        <f>INDEX(FactorTable!$B$2:$Y$301, MATCH(ROUND(MIN(300,MAX(1,D437)),0), FactorTable!$A$2:$A$301,0), Skills!M22+1)</f>
        <v/>
      </c>
      <c r="F437">
        <f>IF(Skills!N22=TRUE,(Skills!L22/10)*(E437/1000),Skills!L22/10)+Skills!O22</f>
        <v/>
      </c>
      <c r="G437">
        <f>Skills!G22*IF(Skills!H22&gt;0,Skills!I22/Skills!H22,1)</f>
        <v/>
      </c>
      <c r="H437">
        <f>1-(1-Skills!J22/100)^Skills!K22</f>
        <v/>
      </c>
      <c r="I437" t="inlineStr">
        <is>
          <t>1</t>
        </is>
      </c>
      <c r="J437" t="inlineStr"/>
      <c r="K437" t="inlineStr"/>
      <c r="L437" t="inlineStr"/>
      <c r="M437" t="inlineStr"/>
      <c r="N437" t="inlineStr"/>
      <c r="O437">
        <f>(1-Summary!$B$11)*T437+Summary!$B$11*V437</f>
        <v/>
      </c>
      <c r="P437">
        <f>IF(B455=0,0,O437/B455)</f>
        <v/>
      </c>
      <c r="Q437" t="n">
        <v>0</v>
      </c>
      <c r="R437" t="n">
        <v>0</v>
      </c>
      <c r="S437">
        <f>IFERROR(O437/N437,0)</f>
        <v/>
      </c>
      <c r="T437" t="n">
        <v>0</v>
      </c>
      <c r="V437" t="n">
        <v>0</v>
      </c>
    </row>
    <row r="438">
      <c r="A438">
        <f>Skills!A23</f>
        <v/>
      </c>
      <c r="B438">
        <f>Skills!B23</f>
        <v/>
      </c>
      <c r="C438">
        <f>Inputs!$B$3&gt;=38</f>
        <v/>
      </c>
      <c r="D438">
        <f>IF(Skills!C23=1,60+Inputs!$B$25+Inputs!$B$29,IF(Skills!C23=2,90+Inputs!$B$26+Inputs!$B$29,IF(Skills!C23=3,120+Inputs!$B$27+Inputs!$B$29,MAX(0,(Inputs!$B$3-100)*3)+Inputs!$B$28+Inputs!$B$29)))</f>
        <v/>
      </c>
      <c r="E438">
        <f>INDEX(FactorTable!$B$2:$Y$301, MATCH(ROUND(MIN(300,MAX(1,D438)),0), FactorTable!$A$2:$A$301,0), Skills!M23+1)</f>
        <v/>
      </c>
      <c r="F438">
        <f>IF(Skills!N23=TRUE,(Skills!L23/10)*(E438/1000),Skills!L23/10)+Skills!O23</f>
        <v/>
      </c>
      <c r="G438">
        <f>Skills!G23*IF(Skills!H23&gt;0,Skills!I23/Skills!H23,1)</f>
        <v/>
      </c>
      <c r="H438">
        <f>1-(1-Skills!J23/100)^Skills!K23</f>
        <v/>
      </c>
      <c r="I438" t="inlineStr">
        <is>
          <t>1</t>
        </is>
      </c>
      <c r="J438" t="inlineStr"/>
      <c r="K438" t="inlineStr"/>
      <c r="L438" t="inlineStr"/>
      <c r="M438" t="inlineStr"/>
      <c r="N438" t="inlineStr"/>
      <c r="O438">
        <f>(1-Summary!$B$11)*T438+Summary!$B$11*V438</f>
        <v/>
      </c>
      <c r="P438">
        <f>IF(B455=0,0,O438/B455)</f>
        <v/>
      </c>
      <c r="Q438" t="n">
        <v>0</v>
      </c>
      <c r="R438" t="n">
        <v>0</v>
      </c>
      <c r="S438">
        <f>IFERROR(O438/N438,0)</f>
        <v/>
      </c>
      <c r="T438" t="n">
        <v>0</v>
      </c>
      <c r="V438" t="n">
        <v>0</v>
      </c>
    </row>
    <row r="439">
      <c r="A439">
        <f>Skills!A24</f>
        <v/>
      </c>
      <c r="B439">
        <f>Skills!B24</f>
        <v/>
      </c>
      <c r="C439">
        <f>Inputs!$B$3&gt;=40</f>
        <v/>
      </c>
      <c r="D439">
        <f>IF(Skills!C24=1,60+Inputs!$B$25+Inputs!$B$29,IF(Skills!C24=2,90+Inputs!$B$26+Inputs!$B$29,IF(Skills!C24=3,120+Inputs!$B$27+Inputs!$B$29,MAX(0,(Inputs!$B$3-100)*3)+Inputs!$B$28+Inputs!$B$29)))</f>
        <v/>
      </c>
      <c r="E439">
        <f>INDEX(FactorTable!$B$2:$Y$301, MATCH(ROUND(MIN(300,MAX(1,D439)),0), FactorTable!$A$2:$A$301,0), Skills!M24+1)</f>
        <v/>
      </c>
      <c r="F439">
        <f>IF(Skills!N24=TRUE,(Skills!L24/10)*(E439/1000),Skills!L24/10)+Skills!O24</f>
        <v/>
      </c>
      <c r="G439">
        <f>Skills!G24*IF(Skills!H24&gt;0,Skills!I24/Skills!H24,1)</f>
        <v/>
      </c>
      <c r="H439">
        <f>1-(1-Skills!J24/100)^Skills!K24</f>
        <v/>
      </c>
      <c r="I439" t="inlineStr">
        <is>
          <t>1</t>
        </is>
      </c>
      <c r="J439" t="inlineStr"/>
      <c r="K439" t="inlineStr"/>
      <c r="L439" t="inlineStr"/>
      <c r="M439" t="inlineStr"/>
      <c r="N439" t="inlineStr"/>
      <c r="O439">
        <f>(1-Summary!$B$11)*T439+Summary!$B$11*V439</f>
        <v/>
      </c>
      <c r="P439">
        <f>IF(B455=0,0,O439/B455)</f>
        <v/>
      </c>
      <c r="Q439" t="n">
        <v>0</v>
      </c>
      <c r="R439" t="n">
        <v>0</v>
      </c>
      <c r="S439">
        <f>IFERROR(O439/N439,0)</f>
        <v/>
      </c>
      <c r="T439" t="n">
        <v>0</v>
      </c>
      <c r="V439" t="n">
        <v>0</v>
      </c>
    </row>
    <row r="440">
      <c r="A440">
        <f>Skills!A25</f>
        <v/>
      </c>
      <c r="B440">
        <f>Skills!B25</f>
        <v/>
      </c>
      <c r="C440">
        <f>Inputs!$B$3&gt;=72</f>
        <v/>
      </c>
      <c r="D440">
        <f>IF(Skills!C25=1,60+Inputs!$B$25+Inputs!$B$29,IF(Skills!C25=2,90+Inputs!$B$26+Inputs!$B$29,IF(Skills!C25=3,120+Inputs!$B$27+Inputs!$B$29,MAX(0,(Inputs!$B$3-100)*3)+Inputs!$B$28+Inputs!$B$29)))</f>
        <v/>
      </c>
      <c r="E440">
        <f>INDEX(FactorTable!$B$2:$Y$301, MATCH(ROUND(MIN(300,MAX(1,D440)),0), FactorTable!$A$2:$A$301,0), Skills!M25+1)</f>
        <v/>
      </c>
      <c r="F440">
        <f>IF(Skills!N25=TRUE,(Skills!L25/10)*(E440/1000),Skills!L25/10)+Skills!O25</f>
        <v/>
      </c>
      <c r="G440">
        <f>Skills!G25*IF(Skills!H25&gt;0,Skills!I25/Skills!H25,1)</f>
        <v/>
      </c>
      <c r="H440">
        <f>1-(1-Skills!J25/100)^Skills!K25</f>
        <v/>
      </c>
      <c r="I440" t="inlineStr">
        <is>
          <t>1</t>
        </is>
      </c>
      <c r="J440" t="inlineStr"/>
      <c r="K440" t="inlineStr"/>
      <c r="L440" t="inlineStr"/>
      <c r="M440" t="inlineStr"/>
      <c r="N440" t="inlineStr"/>
      <c r="O440">
        <f>(1-Summary!$B$11)*T440+Summary!$B$11*V440</f>
        <v/>
      </c>
      <c r="P440">
        <f>IF(B455=0,0,O440/B455)</f>
        <v/>
      </c>
      <c r="Q440" t="n">
        <v>0</v>
      </c>
      <c r="R440" t="n">
        <v>0</v>
      </c>
      <c r="S440">
        <f>IFERROR(O440/N440,0)</f>
        <v/>
      </c>
      <c r="T440" t="n">
        <v>0</v>
      </c>
      <c r="V440" t="n">
        <v>0</v>
      </c>
    </row>
    <row r="441">
      <c r="A441">
        <f>Skills!A26</f>
        <v/>
      </c>
      <c r="B441">
        <f>Skills!B26</f>
        <v/>
      </c>
      <c r="C441">
        <f>Inputs!$B$3&gt;=75</f>
        <v/>
      </c>
      <c r="D441">
        <f>IF(Skills!C26=1,60+Inputs!$B$25+Inputs!$B$29,IF(Skills!C26=2,90+Inputs!$B$26+Inputs!$B$29,IF(Skills!C26=3,120+Inputs!$B$27+Inputs!$B$29,MAX(0,(Inputs!$B$3-100)*3)+Inputs!$B$28+Inputs!$B$29)))</f>
        <v/>
      </c>
      <c r="E441">
        <f>INDEX(FactorTable!$B$2:$Y$301, MATCH(ROUND(MIN(300,MAX(1,D441)),0), FactorTable!$A$2:$A$301,0), Skills!M26+1)</f>
        <v/>
      </c>
      <c r="F441">
        <f>IF(Skills!N26=TRUE,(Skills!L26/10)*(E441/1000),Skills!L26/10)+Skills!O26</f>
        <v/>
      </c>
      <c r="G441">
        <f>Skills!G26*IF(Skills!H26&gt;0,Skills!I26/Skills!H26,1)</f>
        <v/>
      </c>
      <c r="H441">
        <f>1-(1-Skills!J26/100)^Skills!K26</f>
        <v/>
      </c>
      <c r="I441" t="inlineStr">
        <is>
          <t>1</t>
        </is>
      </c>
      <c r="J441" t="inlineStr"/>
      <c r="K441" t="inlineStr"/>
      <c r="L441" t="inlineStr"/>
      <c r="M441" t="inlineStr"/>
      <c r="N441" t="inlineStr"/>
      <c r="O441">
        <f>(1-Summary!$B$11)*T441+Summary!$B$11*V441</f>
        <v/>
      </c>
      <c r="P441">
        <f>IF(B455=0,0,O441/B455)</f>
        <v/>
      </c>
      <c r="Q441" t="n">
        <v>0</v>
      </c>
      <c r="R441" t="n">
        <v>0</v>
      </c>
      <c r="S441">
        <f>IFERROR(O441/N441,0)</f>
        <v/>
      </c>
      <c r="T441" t="n">
        <v>0</v>
      </c>
      <c r="V441" t="n">
        <v>0</v>
      </c>
    </row>
    <row r="442">
      <c r="A442">
        <f>Skills!A27</f>
        <v/>
      </c>
      <c r="B442">
        <f>Skills!B27</f>
        <v/>
      </c>
      <c r="C442">
        <f>Inputs!$B$3&gt;=117</f>
        <v/>
      </c>
      <c r="D442">
        <f>IF(Skills!C27=1,60+Inputs!$B$25+Inputs!$B$29,IF(Skills!C27=2,90+Inputs!$B$26+Inputs!$B$29,IF(Skills!C27=3,120+Inputs!$B$27+Inputs!$B$29,MAX(0,(Inputs!$B$3-100)*3)+Inputs!$B$28+Inputs!$B$29)))</f>
        <v/>
      </c>
      <c r="E442">
        <f>INDEX(FactorTable!$B$2:$Y$301, MATCH(ROUND(MIN(300,MAX(1,D442)),0), FactorTable!$A$2:$A$301,0), Skills!M27+1)</f>
        <v/>
      </c>
      <c r="F442">
        <f>IF(Skills!N27=TRUE,(Skills!L27/10)*(E442/1000),Skills!L27/10)+Skills!O27</f>
        <v/>
      </c>
      <c r="G442">
        <f>Skills!G27*IF(Skills!H27&gt;0,Skills!I27/Skills!H27,1)</f>
        <v/>
      </c>
      <c r="H442">
        <f>1-(1-Skills!J27/100)^Skills!K27</f>
        <v/>
      </c>
      <c r="I442" t="inlineStr">
        <is>
          <t>1</t>
        </is>
      </c>
      <c r="J442" t="inlineStr"/>
      <c r="K442" t="inlineStr"/>
      <c r="L442" t="inlineStr"/>
      <c r="M442" t="inlineStr"/>
      <c r="N442" t="inlineStr"/>
      <c r="O442">
        <f>(1-Summary!$B$11)*T442+Summary!$B$11*V442</f>
        <v/>
      </c>
      <c r="P442">
        <f>IF(B455=0,0,O442/B455)</f>
        <v/>
      </c>
      <c r="Q442" t="n">
        <v>0</v>
      </c>
      <c r="R442" t="n">
        <v>0</v>
      </c>
      <c r="S442">
        <f>IFERROR(O442/N442,0)</f>
        <v/>
      </c>
      <c r="T442" t="n">
        <v>0</v>
      </c>
      <c r="V442" t="n">
        <v>0</v>
      </c>
    </row>
    <row r="444">
      <c r="A444" t="inlineStr">
        <is>
          <t>Attack% Bucket Multiplier</t>
        </is>
      </c>
      <c r="B444">
        <f>(1+(((C432=TRUE)*F432)+((C439=TRUE)*(F439-Calc!F24))+(IF(ArtifactsInput!$M$21,CHOOSE(ArtifactsInput!$N$21+1,25,30,35,40,45,50)*(IF(OR(Inputs!$B$4="Chapter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45">
      <c r="A445" t="inlineStr">
        <is>
          <t>Global Crit Rate Bonus %</t>
        </is>
      </c>
      <c r="B445" t="n">
        <v>0</v>
      </c>
    </row>
    <row r="446">
      <c r="A446" t="inlineStr">
        <is>
          <t>Attack Speed Buff Bonus % (unused)</t>
        </is>
      </c>
      <c r="B446" t="n">
        <v>0</v>
      </c>
    </row>
    <row r="447">
      <c r="A447" t="inlineStr">
        <is>
          <t>Actions Per Second</t>
        </is>
      </c>
      <c r="B447">
        <f>1+MIN(150,150*(1-(1-(Inputs!$B$11+((C435=TRUE)*(F435-Calc!F20))+((C436=TRUE)*(F436-Calc!F21)))/150)*(1-B446/150)))/100</f>
        <v/>
      </c>
    </row>
    <row r="448">
      <c r="A448" t="inlineStr">
        <is>
          <t>Skill + Buff Cast Rate</t>
        </is>
      </c>
      <c r="B448">
        <f>IF(AND(Inputs!$B$38&lt;&gt;"pvp",Inputs!$B$43&gt;0),SUMPRODUCT((Skills!E2:E27=TRUE)*(C417:C442=TRUE)*R417:R442*Skills!F2:F27)/Inputs!$B$43,SUMPRODUCT((Skills!E2:E27=TRUE)*(C417:C442=TRUE)*Q417:Q442*Skills!F2:F27))</f>
        <v/>
      </c>
    </row>
    <row r="449">
      <c r="A449" t="inlineStr">
        <is>
          <t>Eight-Legs Easton Casts Per Second</t>
        </is>
      </c>
      <c r="B449">
        <f>MAX(0,B447-B448)</f>
        <v/>
      </c>
    </row>
    <row r="450">
      <c r="A450" t="inlineStr">
        <is>
          <t>Global Critical Damage Bonus % (unused)</t>
        </is>
      </c>
      <c r="B450" t="n">
        <v>0</v>
      </c>
    </row>
    <row r="451">
      <c r="A451" t="inlineStr">
        <is>
          <t>Global Final Damage Bonus % (Jolly Roger only)</t>
        </is>
      </c>
      <c r="B451">
        <f>((C433=TRUE)*F433)</f>
        <v/>
      </c>
    </row>
    <row r="452">
      <c r="A452" t="inlineStr">
        <is>
          <t>Buff-Casting Startup Delay (s, fixed-duration only)</t>
        </is>
      </c>
      <c r="B452">
        <f>IF(AND(Inputs!$B$38&lt;&gt;"pvp",Inputs!$B$43&gt;0),SUMPRODUCT((Skills!T2:T27&gt;0)*(Skills!E2:E27=TRUE)*(C417:C442=TRUE))/B447,0)</f>
        <v/>
      </c>
    </row>
    <row r="453">
      <c r="A453" t="inlineStr">
        <is>
          <t>Boss-Only Total DPS (this block's swept value)</t>
        </is>
      </c>
      <c r="B453">
        <f>SUM(T417:T442)</f>
        <v/>
      </c>
    </row>
    <row r="454">
      <c r="A454" t="inlineStr">
        <is>
          <t>Normal-Only Total DPS (this block's swept value)</t>
        </is>
      </c>
      <c r="B454">
        <f>SUM(V417:V442)</f>
        <v/>
      </c>
    </row>
    <row r="455">
      <c r="A455" s="6" t="inlineStr">
        <is>
          <t>TOTAL DPS</t>
        </is>
      </c>
      <c r="B455" s="6">
        <f>SUM(O417:O442)</f>
        <v/>
      </c>
    </row>
    <row r="458">
      <c r="A458" s="6" t="inlineStr">
        <is>
          <t>Stat: MAX_DAMAGE %</t>
        </is>
      </c>
    </row>
    <row r="459">
      <c r="A459" s="5" t="inlineStr">
        <is>
          <t>Key</t>
        </is>
      </c>
      <c r="B459" s="5" t="inlineStr">
        <is>
          <t>Name</t>
        </is>
      </c>
      <c r="C459" s="5" t="inlineStr">
        <is>
          <t>Unlocked</t>
        </is>
      </c>
      <c r="D459" s="5" t="inlineStr">
        <is>
          <t>InputLevel</t>
        </is>
      </c>
      <c r="E459" s="5" t="inlineStr">
        <is>
          <t>Factor</t>
        </is>
      </c>
      <c r="F459" s="5" t="inlineStr">
        <is>
          <t>CoefficientPercent</t>
        </is>
      </c>
      <c r="G459" s="5" t="inlineStr">
        <is>
          <t>EffectiveHits</t>
        </is>
      </c>
      <c r="H459" s="5" t="inlineStr">
        <is>
          <t>ProcProbability</t>
        </is>
      </c>
      <c r="I459" s="5" t="inlineStr">
        <is>
          <t>MapleHeroMultiplier</t>
        </is>
      </c>
      <c r="J459" s="5" t="inlineStr">
        <is>
          <t>BaseDamage</t>
        </is>
      </c>
      <c r="K459" s="5" t="inlineStr">
        <is>
          <t>BaseHitDamage</t>
        </is>
      </c>
      <c r="L459" s="5" t="inlineStr">
        <is>
          <t>NonCritAvg</t>
        </is>
      </c>
      <c r="M459" s="5" t="inlineStr">
        <is>
          <t>CritAvg</t>
        </is>
      </c>
      <c r="N459" s="5" t="inlineStr">
        <is>
          <t>ExpectedDamage(perHit)</t>
        </is>
      </c>
      <c r="O459" s="5" t="inlineStr">
        <is>
          <t>DPS</t>
        </is>
      </c>
      <c r="P459" s="5" t="inlineStr">
        <is>
          <t>% of Total</t>
        </is>
      </c>
      <c r="Q459" s="5" t="inlineStr">
        <is>
          <t>InvCooldown</t>
        </is>
      </c>
      <c r="R459" s="5" t="inlineStr">
        <is>
          <t>CastsInFight</t>
        </is>
      </c>
      <c r="S459" s="5" t="inlineStr">
        <is>
          <t>HitRate(perSec)</t>
        </is>
      </c>
      <c r="U459" t="inlineStr">
        <is>
          <t>helpers</t>
        </is>
      </c>
    </row>
    <row r="460">
      <c r="A460">
        <f>Skills!A2</f>
        <v/>
      </c>
      <c r="B460">
        <f>Skills!B2</f>
        <v/>
      </c>
      <c r="C460">
        <f>Inputs!$B$3&gt;=100</f>
        <v/>
      </c>
      <c r="D460" t="inlineStr"/>
      <c r="E460" t="inlineStr"/>
      <c r="F460">
        <f>U462+Skills!O2</f>
        <v/>
      </c>
      <c r="G460">
        <f>Skills!G2*IF(Skills!H2&gt;0,Skills!I2/Skills!H2,1)</f>
        <v/>
      </c>
      <c r="H460">
        <f>1-(1-Skills!J2/100)^Skills!K2</f>
        <v/>
      </c>
      <c r="I460" t="inlineStr">
        <is>
          <t>1</t>
        </is>
      </c>
      <c r="J460">
        <f>((Inputs!$B$6*(1+Inputs!$B$7/100))+(((Inputs!$B$12*(1+Inputs!$B$13/100))-(Inputs!$B$12*(1+Inputs!$B$13/100)))+0.25*(Inputs!$B$14-Inputs!$B$14))*(1+Inputs!$B$7/100))*(F460/100)</f>
        <v/>
      </c>
      <c r="K460">
        <f>J460*(1+((Inputs!$B$12*(1+Inputs!$B$13/100))*0.01+Inputs!$B$14*0.0025)/100)*(1+Inputs!$B$15/100)*(1+Inputs!$B$16/100)*(5000/(6000+Inputs!$B$42*(1-(100*(1-(1-(Inputs!$B$19+0)/100)*(1-CHOOSE(ArtifactsInput!$N$40+1,5,6,7,8,9,10)/100)^(ArtifactsInput!$M$40-ArtifactsInput!$M$40)))/100)))*(1+(Inputs!$B$24+((C484=TRUE)*(F484-Calc!F26))+B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481=TRUE)*(F481-Calc!F23))+((C485=TRUE)*(F485-Calc!F27))+(((IF(AND(ArtifactsInput!$M$42,((Inputs!$B$9+((C477=TRUE)*(F477-Calc!F19))+B488+(ArtifactsInput!$M$24-ArtifactsInput!$M$24)*CHOOSE(ArtifactsInput!$N$24+1,10,12,14,16,18,20)+IF(ArtifactsInput!$M$10,CHOOSE(ArtifactsInput!$N$10+1,15,18,21,24,27,30)*(IF(Inputs!$B$38="pvp",MIN(15,15)/15,IF(AND(Inputs!$B$38&lt;&gt;"pvp",Inputs!$B$43&gt;0),MIN(15,Inputs!$B$43)/(Inputs!$B$43),0))),0)))&gt;=100),MIN(100,((Inputs!$B$9+((C477=TRUE)*(F477-Calc!F19))+B488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477=TRUE)*(F477-Calc!F19))+B488+(ArtifactsInput!$M$24-ArtifactsInput!$M$24)*CHOOSE(ArtifactsInput!$N$24+1,10,12,14,16,18,20)+IF(ArtifactsInput!$M$10,CHOOSE(ArtifactsInput!$N$10+1,15,18,21,24,27,30)*(IF(Inputs!$B$38="pvp",MIN(15,15)/15,IF(AND(Inputs!$B$38&lt;&gt;"pvp",Inputs!$B$43&gt;0),MIN(15,Inputs!$B$43)/(Inputs!$B$43),0))),0)))&gt;=100),CHOOSE(ArtifactsInput!$N$42+1,40,48,56,64,72,80),0))))/100)*((1+(((C475=TRUE)*F475)+((C482=TRUE)*(F482-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460)</f>
        <v/>
      </c>
      <c r="L460">
        <f>K460*(MIN(Inputs!$B$22+((C480=TRUE)*(F480-Calc!F22)),((Inputs!$B$23+1)+0+(IF(ArtifactsInput!$M$15,CHOOSE(ArtifactsInput!$N$15+1,25,30,35,40,45,50)/100*(Inputs!$B$11-Inputs!$B$11),0))))/100+((Inputs!$B$23+1)+0+(IF(ArtifactsInput!$M$15,CHOOSE(ArtifactsInput!$N$15+1,25,30,35,40,45,50)/100*(Inputs!$B$11-Inputs!$B$11),0)))/100)/2</f>
        <v/>
      </c>
      <c r="M460">
        <f>L460*(1+(Inputs!$B$10+((C483=TRUE)*(F483-Calc!F25))+B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0">
        <f>L460*(1-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460*(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0">
        <f>(1-Summary!$B$11)*T460+Summary!$B$11*V460</f>
        <v/>
      </c>
      <c r="P460">
        <f>IF(B498=0,0,O460/B498)</f>
        <v/>
      </c>
      <c r="Q460" t="n">
        <v>0</v>
      </c>
      <c r="R460" t="n">
        <v>0</v>
      </c>
      <c r="S460">
        <f>IFERROR(O460/N460,0)</f>
        <v/>
      </c>
      <c r="T460">
        <f>IF(C460,(Skills!G2*N460*B492)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460*(1-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460*(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460*(1-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460*(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60">
        <f>MAX(0,(Inputs!$B$3-100)*3)+Inputs!$B$28+Inputs!$B$29</f>
        <v/>
      </c>
      <c r="V460">
        <f>IF(C460,(Skills!G2*N460*B492)*IF(Inputs!$B$38="pvp",1,(1+(Inputs!$B$21+Skills!Q2+(IF(ArtifactsInput!$M$33,CHOOSE(ArtifactsInput!$N$33+1,30,36,42,48,54,60),0))+(IF(AND(ArtifactsInput!$M$35,Inputs!$B$4&lt;&gt;"Chapter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1">
      <c r="A461">
        <f>Skills!A3</f>
        <v/>
      </c>
      <c r="B461">
        <f>Skills!B3</f>
        <v/>
      </c>
      <c r="C461">
        <f>Inputs!$B$3&gt;=35</f>
        <v/>
      </c>
      <c r="D461">
        <f>IF(Skills!C3=1,60+Inputs!$B$25+Inputs!$B$29,IF(Skills!C3=2,90+Inputs!$B$26+Inputs!$B$29,IF(Skills!C3=3,120+Inputs!$B$27+Inputs!$B$29,MAX(0,(Inputs!$B$3-100)*3)+Inputs!$B$28+Inputs!$B$29)))</f>
        <v/>
      </c>
      <c r="E461">
        <f>INDEX(FactorTable!$B$2:$Y$301, MATCH(ROUND(MIN(300,MAX(1,D461)),0), FactorTable!$A$2:$A$301,0), Skills!M3+1)</f>
        <v/>
      </c>
      <c r="F461">
        <f>IF(Skills!N3=TRUE,(Skills!L3/10)*(E461/1000),Skills!L3/10)+Skills!O3</f>
        <v/>
      </c>
      <c r="G461">
        <f>Skills!G3*IF(Skills!H3&gt;0,Skills!I3/Skills!H3,1)</f>
        <v/>
      </c>
      <c r="H461">
        <f>1-(1-Skills!J3/100)^Skills!K3</f>
        <v/>
      </c>
      <c r="I461" t="inlineStr">
        <is>
          <t>1</t>
        </is>
      </c>
      <c r="J461">
        <f>((Inputs!$B$6*(1+Inputs!$B$7/100))+(((Inputs!$B$12*(1+Inputs!$B$13/100))-(Inputs!$B$12*(1+Inputs!$B$13/100)))+0.25*(Inputs!$B$14-Inputs!$B$14))*(1+Inputs!$B$7/100))*(F461/100)</f>
        <v/>
      </c>
      <c r="K461">
        <f>J461*(1+((Inputs!$B$12*(1+Inputs!$B$13/100))*0.01+Inputs!$B$14*0.0025)/100)*(1+Inputs!$B$15/100)*(1+Inputs!$B$16/100)*(5000/(6000+Inputs!$B$42*(1-(100*(1-(1-(Inputs!$B$19+0)/100)*(1-CHOOSE(ArtifactsInput!$N$40+1,5,6,7,8,9,10)/100)^(ArtifactsInput!$M$40-ArtifactsInput!$M$40)))/100)))*(1+(Inputs!$B$24+((C484=TRUE)*(F484-Calc!F26))+B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473=TRUE,F473,0)/100)*(1+(IF(Skills!A3="EIGHT_LEGS_EASTON",Inputs!$B$17+((C481=TRUE)*(F481-Calc!F23))+((C485=TRUE)*(F485-Calc!F27))+(((IF(AND(ArtifactsInput!$M$42,((Inputs!$B$9+((C477=TRUE)*(F477-Calc!F19))+B488+(ArtifactsInput!$M$24-ArtifactsInput!$M$24)*CHOOSE(ArtifactsInput!$N$24+1,10,12,14,16,18,20)+IF(ArtifactsInput!$M$10,CHOOSE(ArtifactsInput!$N$10+1,15,18,21,24,27,30)*(IF(Inputs!$B$38="pvp",MIN(15,15)/15,IF(AND(Inputs!$B$38&lt;&gt;"pvp",Inputs!$B$43&gt;0),MIN(15,Inputs!$B$43)/(Inputs!$B$43),0))),0)))&gt;=100),MIN(100,((Inputs!$B$9+((C477=TRUE)*(F477-Calc!F19))+B488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477=TRUE)*(F477-Calc!F19))+B488+(ArtifactsInput!$M$24-ArtifactsInput!$M$24)*CHOOSE(ArtifactsInput!$N$24+1,10,12,14,16,18,20)+IF(ArtifactsInput!$M$10,CHOOSE(ArtifactsInput!$N$10+1,15,18,21,24,27,30)*(IF(Inputs!$B$38="pvp",MIN(15,15)/15,IF(AND(Inputs!$B$38&lt;&gt;"pvp",Inputs!$B$43&gt;0),MIN(15,Inputs!$B$43)/(Inputs!$B$43),0))),0)))&gt;=100),CHOOSE(ArtifactsInput!$N$42+1,40,48,56,64,72,80),0))))/100)*((1+(((C475=TRUE)*F475)+((C482=TRUE)*(F482-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461)</f>
        <v/>
      </c>
      <c r="L461">
        <f>K461*(MIN(Inputs!$B$22+((C480=TRUE)*(F480-Calc!F22)),((Inputs!$B$23+1)+0+(IF(ArtifactsInput!$M$15,CHOOSE(ArtifactsInput!$N$15+1,25,30,35,40,45,50)/100*(Inputs!$B$11-Inputs!$B$11),0))))/100+((Inputs!$B$23+1)+0+(IF(ArtifactsInput!$M$15,CHOOSE(ArtifactsInput!$N$15+1,25,30,35,40,45,50)/100*(Inputs!$B$11-Inputs!$B$11),0)))/100)/2</f>
        <v/>
      </c>
      <c r="M461">
        <f>L461*(1+(Inputs!$B$10+((C483=TRUE)*(F483-Calc!F25))+B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1">
        <f>L461*(1-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1">
        <f>(1-Summary!$B$11)*T461+Summary!$B$11*V461</f>
        <v/>
      </c>
      <c r="P461">
        <f>IF(B498=0,0,O461/B498)</f>
        <v/>
      </c>
      <c r="Q461">
        <f>IFERROR(1/(IF(Inputs!$B$38="pvp",15,MAX(0.1,Skills!D3-IF(Skills!E3=TRUE,Inputs!$B$32,0)))*(1-IF(AND(ArtifactsInput!$M$27,Inputs!$B$4="Chapter Hunt"),CHOOSE(ArtifactsInput!$N$27+1,20,24,28,32,36,40),0)/100)),0)</f>
        <v/>
      </c>
      <c r="R461">
        <f>IF(AND(Inputs!$B$38&lt;&gt;"pvp",Inputs!$B$43&gt;0),IF(MAX(0,Inputs!$B$43-B495)&lt;=0,0,(INT(MAX(0,Inputs!$B$43-B495)/(IF(Inputs!$B$38="pvp",15,MAX(0.1,Skills!D3-IF(Skills!E3=TRUE,Inputs!$B$32,0)))*(1-IF(AND(ArtifactsInput!$M$27,Inputs!$B$4="Chapter Hunt"),CHOOSE(ArtifactsInput!$N$27+1,20,24,28,32,36,40),0)/100)))+1)),0)</f>
        <v/>
      </c>
      <c r="S461">
        <f>IFERROR(O461/N461,0)</f>
        <v/>
      </c>
      <c r="T461">
        <f>IF(C461,(H461*N461*IF(AND(Inputs!$B$38&lt;&gt;"pvp",Inputs!$B$43&gt;0),((Skills!G3*((R461-1)*IF(Skills!H3&gt;0,Skills!I3/Skills!H3,1)+IF(Skills!H3&gt;0,MIN(Skills!I3,MAX(0,MAX(0,Inputs!$B$43-B495)-((R461-1)*(IF(Inputs!$B$38="pvp",15,MAX(0.1,Skills!D3-IF(Skills!E3=TRUE,Inputs!$B$32,0)))*(1-IF(AND(ArtifactsInput!$M$27,Inputs!$B$4="Chapter Hunt"),CHOOSE(ArtifactsInput!$N$27+1,20,24,28,32,36,40),0)/100)))))/Skills!H3,1)))/Inputs!$B$43),G461*Q461)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461*(1-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461*(1-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61">
        <f>INDEX(FactorTable!$B$2:$Y$301, MATCH(ROUND(MIN(300,MAX(1,U460)),0), FactorTable!$A$2:$A$301,0), 22)</f>
        <v/>
      </c>
      <c r="V461">
        <f>IF(C461,(H461*N461*IF(AND(Inputs!$B$38&lt;&gt;"pvp",Inputs!$B$43&gt;0),((Skills!G3*((R461-1)*IF(Skills!H3&gt;0,Skills!I3/Skills!H3,1)+IF(Skills!H3&gt;0,MIN(Skills!I3,MAX(0,MAX(0,Inputs!$B$43-B495)-((R461-1)*(IF(Inputs!$B$38="pvp",15,MAX(0.1,Skills!D3-IF(Skills!E3=TRUE,Inputs!$B$32,0)))*(1-IF(AND(ArtifactsInput!$M$27,Inputs!$B$4="Chapter Hunt"),CHOOSE(ArtifactsInput!$N$27+1,20,24,28,32,36,40),0)/100)))))/Skills!H3,1)))/Inputs!$B$43),G461*Q461))*IF(Inputs!$B$38="pvp",1,(1+(Inputs!$B$21+Skills!Q3+(IF(ArtifactsInput!$M$33,CHOOSE(ArtifactsInput!$N$33+1,30,36,42,48,54,60)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2">
      <c r="A462">
        <f>Skills!A4</f>
        <v/>
      </c>
      <c r="B462">
        <f>Skills!B4</f>
        <v/>
      </c>
      <c r="C462">
        <f>Inputs!$B$3&gt;=40</f>
        <v/>
      </c>
      <c r="D462">
        <f>IF(Skills!C4=1,60+Inputs!$B$25+Inputs!$B$29,IF(Skills!C4=2,90+Inputs!$B$26+Inputs!$B$29,IF(Skills!C4=3,120+Inputs!$B$27+Inputs!$B$29,MAX(0,(Inputs!$B$3-100)*3)+Inputs!$B$28+Inputs!$B$29)))</f>
        <v/>
      </c>
      <c r="E462">
        <f>INDEX(FactorTable!$B$2:$Y$301, MATCH(ROUND(MIN(300,MAX(1,D462)),0), FactorTable!$A$2:$A$301,0), Skills!M4+1)</f>
        <v/>
      </c>
      <c r="F462">
        <f>IF(Skills!N4=TRUE,(Skills!L4/10)*(E462/1000),Skills!L4/10)+Skills!O4</f>
        <v/>
      </c>
      <c r="G462">
        <f>Skills!G4*IF(Skills!H4&gt;0,Skills!I4/Skills!H4,1)</f>
        <v/>
      </c>
      <c r="H462">
        <f>1-(1-Skills!J4/100)^Skills!K4</f>
        <v/>
      </c>
      <c r="I462" t="inlineStr">
        <is>
          <t>1</t>
        </is>
      </c>
      <c r="J462">
        <f>((Inputs!$B$6*(1+Inputs!$B$7/100))+(((Inputs!$B$12*(1+Inputs!$B$13/100))-(Inputs!$B$12*(1+Inputs!$B$13/100)))+0.25*(Inputs!$B$14-Inputs!$B$14))*(1+Inputs!$B$7/100))*(F462/100)</f>
        <v/>
      </c>
      <c r="K462">
        <f>J462*(1+((Inputs!$B$12*(1+Inputs!$B$13/100))*0.01+Inputs!$B$14*0.0025)/100)*(1+Inputs!$B$15/100)*(1+Inputs!$B$16/100)*(5000/(6000+Inputs!$B$42*(1-(100*(1-(1-(Inputs!$B$19+0)/100)*(1-CHOOSE(ArtifactsInput!$N$40+1,5,6,7,8,9,10)/100)^(ArtifactsInput!$M$40-ArtifactsInput!$M$40)))/100)))*(1+(Inputs!$B$24+((C484=TRUE)*(F484-Calc!F26))+B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474=TRUE,F474,0)/100)*(1+(IF(Skills!A4="EIGHT_LEGS_EASTON",Inputs!$B$17+((C481=TRUE)*(F481-Calc!F23))+((C485=TRUE)*(F485-Calc!F27))+(((IF(AND(ArtifactsInput!$M$42,((Inputs!$B$9+((C477=TRUE)*(F477-Calc!F19))+B488+(ArtifactsInput!$M$24-ArtifactsInput!$M$24)*CHOOSE(ArtifactsInput!$N$24+1,10,12,14,16,18,20)+IF(ArtifactsInput!$M$10,CHOOSE(ArtifactsInput!$N$10+1,15,18,21,24,27,30)*(IF(Inputs!$B$38="pvp",MIN(15,15)/15,IF(AND(Inputs!$B$38&lt;&gt;"pvp",Inputs!$B$43&gt;0),MIN(15,Inputs!$B$43)/(Inputs!$B$43),0))),0)))&gt;=100),MIN(100,((Inputs!$B$9+((C477=TRUE)*(F477-Calc!F19))+B488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477=TRUE)*(F477-Calc!F19))+B488+(ArtifactsInput!$M$24-ArtifactsInput!$M$24)*CHOOSE(ArtifactsInput!$N$24+1,10,12,14,16,18,20)+IF(ArtifactsInput!$M$10,CHOOSE(ArtifactsInput!$N$10+1,15,18,21,24,27,30)*(IF(Inputs!$B$38="pvp",MIN(15,15)/15,IF(AND(Inputs!$B$38&lt;&gt;"pvp",Inputs!$B$43&gt;0),MIN(15,Inputs!$B$43)/(Inputs!$B$43),0))),0)))&gt;=100),CHOOSE(ArtifactsInput!$N$42+1,40,48,56,64,72,80),0))))/100)*((1+(((C475=TRUE)*F475)+((C482=TRUE)*(F482-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462)</f>
        <v/>
      </c>
      <c r="L462">
        <f>K462*(MIN(Inputs!$B$22+((C480=TRUE)*(F480-Calc!F22)),((Inputs!$B$23+1)+0+(IF(ArtifactsInput!$M$15,CHOOSE(ArtifactsInput!$N$15+1,25,30,35,40,45,50)/100*(Inputs!$B$11-Inputs!$B$11),0))))/100+((Inputs!$B$23+1)+0+(IF(ArtifactsInput!$M$15,CHOOSE(ArtifactsInput!$N$15+1,25,30,35,40,45,50)/100*(Inputs!$B$11-Inputs!$B$11),0)))/100)/2</f>
        <v/>
      </c>
      <c r="M462">
        <f>L462*(1+(Inputs!$B$10+((C483=TRUE)*(F483-Calc!F25))+B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2">
        <f>L462*(1-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462*(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2">
        <f>(1-Summary!$B$11)*T462+Summary!$B$11*V462</f>
        <v/>
      </c>
      <c r="P462">
        <f>IF(B498=0,0,O462/B498)</f>
        <v/>
      </c>
      <c r="Q462">
        <f>IFERROR(1/(IF(Inputs!$B$38="pvp",15,MAX(0.1,Skills!D4-IF(Skills!E4=TRUE,Inputs!$B$32,0)))*(1-IF(AND(ArtifactsInput!$M$27,Inputs!$B$4="Chapter Hunt"),CHOOSE(ArtifactsInput!$N$27+1,20,24,28,32,36,40),0)/100)),0)</f>
        <v/>
      </c>
      <c r="R462">
        <f>IF(AND(Inputs!$B$38&lt;&gt;"pvp",Inputs!$B$43&gt;0),IF(MAX(0,Inputs!$B$43-B495)&lt;=0,0,(INT(MAX(0,Inputs!$B$43-B495)/(IF(Inputs!$B$38="pvp",15,MAX(0.1,Skills!D4-IF(Skills!E4=TRUE,Inputs!$B$32,0)))*(1-IF(AND(ArtifactsInput!$M$27,Inputs!$B$4="Chapter Hunt"),CHOOSE(ArtifactsInput!$N$27+1,20,24,28,32,36,40),0)/100)))+1)),0)</f>
        <v/>
      </c>
      <c r="S462">
        <f>IFERROR(O462/N462,0)</f>
        <v/>
      </c>
      <c r="T462">
        <f>IF(C462,(H462*N462*IF(AND(Inputs!$B$38&lt;&gt;"pvp",Inputs!$B$43&gt;0),((Skills!G4*((R462-1)*IF(Skills!H4&gt;0,Skills!I4/Skills!H4,1)+IF(Skills!H4&gt;0,MIN(Skills!I4,MAX(0,MAX(0,Inputs!$B$43-B495)-((R462-1)*(IF(Inputs!$B$38="pvp",15,MAX(0.1,Skills!D4-IF(Skills!E4=TRUE,Inputs!$B$32,0)))*(1-IF(AND(ArtifactsInput!$M$27,Inputs!$B$4="Chapter Hunt"),CHOOSE(ArtifactsInput!$N$27+1,20,24,28,32,36,40),0)/100)))))/Skills!H4,1)))/Inputs!$B$43),G462*Q462)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462*(1-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462*(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462*(1-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462*(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62">
        <f>290*U461/1000</f>
        <v/>
      </c>
      <c r="V462">
        <f>IF(C462,(H462*N462*IF(AND(Inputs!$B$38&lt;&gt;"pvp",Inputs!$B$43&gt;0),((Skills!G4*((R462-1)*IF(Skills!H4&gt;0,Skills!I4/Skills!H4,1)+IF(Skills!H4&gt;0,MIN(Skills!I4,MAX(0,MAX(0,Inputs!$B$43-B495)-((R462-1)*(IF(Inputs!$B$38="pvp",15,MAX(0.1,Skills!D4-IF(Skills!E4=TRUE,Inputs!$B$32,0)))*(1-IF(AND(ArtifactsInput!$M$27,Inputs!$B$4="Chapter Hunt"),CHOOSE(ArtifactsInput!$N$27+1,20,24,28,32,36,40),0)/100)))))/Skills!H4,1)))/Inputs!$B$43),G462*Q462))*IF(Inputs!$B$38="pvp",1,(1+(Inputs!$B$21+Skills!Q4+(IF(ArtifactsInput!$M$33,CHOOSE(ArtifactsInput!$N$33+1,30,36,42,48,54,60)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3">
      <c r="A463">
        <f>Skills!A5</f>
        <v/>
      </c>
      <c r="B463">
        <f>Skills!B5</f>
        <v/>
      </c>
      <c r="C463">
        <f>Inputs!$B$3&gt;=45</f>
        <v/>
      </c>
      <c r="D463">
        <f>IF(Skills!C5=1,60+Inputs!$B$25+Inputs!$B$29,IF(Skills!C5=2,90+Inputs!$B$26+Inputs!$B$29,IF(Skills!C5=3,120+Inputs!$B$27+Inputs!$B$29,MAX(0,(Inputs!$B$3-100)*3)+Inputs!$B$28+Inputs!$B$29)))</f>
        <v/>
      </c>
      <c r="E463">
        <f>INDEX(FactorTable!$B$2:$Y$301, MATCH(ROUND(MIN(300,MAX(1,D463)),0), FactorTable!$A$2:$A$301,0), Skills!M5+1)</f>
        <v/>
      </c>
      <c r="F463">
        <f>IF(Skills!N5=TRUE,(Skills!L5/10)*(E463/1000),Skills!L5/10)+Skills!O5</f>
        <v/>
      </c>
      <c r="G463">
        <f>Skills!G5*IF(Skills!H5&gt;0,Skills!I5/Skills!H5,1)</f>
        <v/>
      </c>
      <c r="H463">
        <f>1-(1-Skills!J5/100)^Skills!K5</f>
        <v/>
      </c>
      <c r="I463" t="inlineStr">
        <is>
          <t>1</t>
        </is>
      </c>
      <c r="J463">
        <f>((Inputs!$B$6*(1+Inputs!$B$7/100))+(((Inputs!$B$12*(1+Inputs!$B$13/100))-(Inputs!$B$12*(1+Inputs!$B$13/100)))+0.25*(Inputs!$B$14-Inputs!$B$14))*(1+Inputs!$B$7/100))*(F463/100)</f>
        <v/>
      </c>
      <c r="K463">
        <f>J463*(1+((Inputs!$B$12*(1+Inputs!$B$13/100))*0.01+Inputs!$B$14*0.0025)/100)*(1+Inputs!$B$15/100)*(1+Inputs!$B$16/100)*(5000/(6000+Inputs!$B$42*(1-(100*(1-(1-(Inputs!$B$19+0)/100)*(1-CHOOSE(ArtifactsInput!$N$40+1,5,6,7,8,9,10)/100)^(ArtifactsInput!$M$40-ArtifactsInput!$M$40)))/100)))*(1+(Inputs!$B$24+((C484=TRUE)*(F484-Calc!F26))+B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474=TRUE,F474,0)/100)*(1+(IF(Skills!A5="EIGHT_LEGS_EASTON",Inputs!$B$17+((C481=TRUE)*(F481-Calc!F23))+((C485=TRUE)*(F485-Calc!F27))+(((IF(AND(ArtifactsInput!$M$42,((Inputs!$B$9+((C477=TRUE)*(F477-Calc!F19))+B488+(ArtifactsInput!$M$24-ArtifactsInput!$M$24)*CHOOSE(ArtifactsInput!$N$24+1,10,12,14,16,18,20)+IF(ArtifactsInput!$M$10,CHOOSE(ArtifactsInput!$N$10+1,15,18,21,24,27,30)*(IF(Inputs!$B$38="pvp",MIN(15,15)/15,IF(AND(Inputs!$B$38&lt;&gt;"pvp",Inputs!$B$43&gt;0),MIN(15,Inputs!$B$43)/(Inputs!$B$43),0))),0)))&gt;=100),MIN(100,((Inputs!$B$9+((C477=TRUE)*(F477-Calc!F19))+B488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477=TRUE)*(F477-Calc!F19))+B488+(ArtifactsInput!$M$24-ArtifactsInput!$M$24)*CHOOSE(ArtifactsInput!$N$24+1,10,12,14,16,18,20)+IF(ArtifactsInput!$M$10,CHOOSE(ArtifactsInput!$N$10+1,15,18,21,24,27,30)*(IF(Inputs!$B$38="pvp",MIN(15,15)/15,IF(AND(Inputs!$B$38&lt;&gt;"pvp",Inputs!$B$43&gt;0),MIN(15,Inputs!$B$43)/(Inputs!$B$43),0))),0)))&gt;=100),CHOOSE(ArtifactsInput!$N$42+1,40,48,56,64,72,80),0))))/100)*((1+(((C475=TRUE)*F475)+((C482=TRUE)*(F482-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463)</f>
        <v/>
      </c>
      <c r="L463">
        <f>K463*(MIN(Inputs!$B$22+((C480=TRUE)*(F480-Calc!F22)),((Inputs!$B$23+1)+0+(IF(ArtifactsInput!$M$15,CHOOSE(ArtifactsInput!$N$15+1,25,30,35,40,45,50)/100*(Inputs!$B$11-Inputs!$B$11),0))))/100+((Inputs!$B$23+1)+0+(IF(ArtifactsInput!$M$15,CHOOSE(ArtifactsInput!$N$15+1,25,30,35,40,45,50)/100*(Inputs!$B$11-Inputs!$B$11),0)))/100)/2</f>
        <v/>
      </c>
      <c r="M463">
        <f>L463*(1+(Inputs!$B$10+((C483=TRUE)*(F483-Calc!F25))+B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3">
        <f>L463*(1-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463*(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3">
        <f>(1-Summary!$B$11)*T463+Summary!$B$11*V463</f>
        <v/>
      </c>
      <c r="P463">
        <f>IF(B498=0,0,O463/B498)</f>
        <v/>
      </c>
      <c r="Q463">
        <f>IFERROR(1/(IF(Inputs!$B$38="pvp",15,MAX(0.1,Skills!D5-IF(Skills!E5=TRUE,Inputs!$B$32,0)))*(1-IF(AND(ArtifactsInput!$M$27,Inputs!$B$4="Chapter Hunt"),CHOOSE(ArtifactsInput!$N$27+1,20,24,28,32,36,40),0)/100)),0)</f>
        <v/>
      </c>
      <c r="R463">
        <f>IF(AND(Inputs!$B$38&lt;&gt;"pvp",Inputs!$B$43&gt;0),IF(MAX(0,Inputs!$B$43-B495)&lt;=0,0,(INT(MAX(0,Inputs!$B$43-B495)/(IF(Inputs!$B$38="pvp",15,MAX(0.1,Skills!D5-IF(Skills!E5=TRUE,Inputs!$B$32,0)))*(1-IF(AND(ArtifactsInput!$M$27,Inputs!$B$4="Chapter Hunt"),CHOOSE(ArtifactsInput!$N$27+1,20,24,28,32,36,40),0)/100)))+1)),0)</f>
        <v/>
      </c>
      <c r="S463">
        <f>IFERROR(O463/N463,0)</f>
        <v/>
      </c>
      <c r="T463">
        <f>IF(C463,(H463*N463*IF(AND(Inputs!$B$38&lt;&gt;"pvp",Inputs!$B$43&gt;0),((Skills!G5*((R463-1)*IF(Skills!H5&gt;0,Skills!I5/Skills!H5,1)+IF(Skills!H5&gt;0,MIN(Skills!I5,MAX(0,MAX(0,Inputs!$B$43-B495)-((R463-1)*(IF(Inputs!$B$38="pvp",15,MAX(0.1,Skills!D5-IF(Skills!E5=TRUE,Inputs!$B$32,0)))*(1-IF(AND(ArtifactsInput!$M$27,Inputs!$B$4="Chapter Hunt"),CHOOSE(ArtifactsInput!$N$27+1,20,24,28,32,36,40),0)/100)))))/Skills!H5,1)))/Inputs!$B$43),G463*Q463)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463*(1-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463*(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463*(1-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463*(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3">
        <f>IF(C463,(H463*N463*IF(AND(Inputs!$B$38&lt;&gt;"pvp",Inputs!$B$43&gt;0),((Skills!G5*((R463-1)*IF(Skills!H5&gt;0,Skills!I5/Skills!H5,1)+IF(Skills!H5&gt;0,MIN(Skills!I5,MAX(0,MAX(0,Inputs!$B$43-B495)-((R463-1)*(IF(Inputs!$B$38="pvp",15,MAX(0.1,Skills!D5-IF(Skills!E5=TRUE,Inputs!$B$32,0)))*(1-IF(AND(ArtifactsInput!$M$27,Inputs!$B$4="Chapter Hunt"),CHOOSE(ArtifactsInput!$N$27+1,20,24,28,32,36,40),0)/100)))))/Skills!H5,1)))/Inputs!$B$43),G463*Q463))*IF(Inputs!$B$38="pvp",1,(1+(Inputs!$B$21+Skills!Q5+(IF(ArtifactsInput!$M$33,CHOOSE(ArtifactsInput!$N$33+1,30,36,42,48,54,60)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4">
      <c r="A464">
        <f>Skills!A6</f>
        <v/>
      </c>
      <c r="B464">
        <f>Skills!B6</f>
        <v/>
      </c>
      <c r="C464">
        <f>Inputs!$B$3&gt;=63</f>
        <v/>
      </c>
      <c r="D464">
        <f>IF(Skills!C6=1,60+Inputs!$B$25+Inputs!$B$29,IF(Skills!C6=2,90+Inputs!$B$26+Inputs!$B$29,IF(Skills!C6=3,120+Inputs!$B$27+Inputs!$B$29,MAX(0,(Inputs!$B$3-100)*3)+Inputs!$B$28+Inputs!$B$29)))</f>
        <v/>
      </c>
      <c r="E464">
        <f>INDEX(FactorTable!$B$2:$Y$301, MATCH(ROUND(MIN(300,MAX(1,D464)),0), FactorTable!$A$2:$A$301,0), Skills!M6+1)</f>
        <v/>
      </c>
      <c r="F464">
        <f>IF(Skills!N6=TRUE,(Skills!L6/10)*(E464/1000),Skills!L6/10)+Skills!O6</f>
        <v/>
      </c>
      <c r="G464">
        <f>Skills!G6*IF(Skills!H6&gt;0,Skills!I6/Skills!H6,1)</f>
        <v/>
      </c>
      <c r="H464">
        <f>1-(1-Skills!J6/100)^Skills!K6</f>
        <v/>
      </c>
      <c r="I464" t="inlineStr">
        <is>
          <t>1</t>
        </is>
      </c>
      <c r="J464">
        <f>((Inputs!$B$6*(1+Inputs!$B$7/100))+(((Inputs!$B$12*(1+Inputs!$B$13/100))-(Inputs!$B$12*(1+Inputs!$B$13/100)))+0.25*(Inputs!$B$14-Inputs!$B$14))*(1+Inputs!$B$7/100))*(F464/100)</f>
        <v/>
      </c>
      <c r="K464">
        <f>J464*(1+((Inputs!$B$12*(1+Inputs!$B$13/100))*0.01+Inputs!$B$14*0.0025)/100)*(1+Inputs!$B$15/100)*(1+Inputs!$B$16/100)*(5000/(6000+Inputs!$B$42*(1-(100*(1-(1-(Inputs!$B$19+0)/100)*(1-CHOOSE(ArtifactsInput!$N$40+1,5,6,7,8,9,10)/100)^(ArtifactsInput!$M$40-ArtifactsInput!$M$40)))/100)))*(1+(Inputs!$B$24+((C484=TRUE)*(F484-Calc!F26))+B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473=TRUE,F473,0)/100)*(1+(IF(Skills!A6="EIGHT_LEGS_EASTON",Inputs!$B$17+((C481=TRUE)*(F481-Calc!F23))+((C485=TRUE)*(F485-Calc!F27))+(((IF(AND(ArtifactsInput!$M$42,((Inputs!$B$9+((C477=TRUE)*(F477-Calc!F19))+B488+(ArtifactsInput!$M$24-ArtifactsInput!$M$24)*CHOOSE(ArtifactsInput!$N$24+1,10,12,14,16,18,20)+IF(ArtifactsInput!$M$10,CHOOSE(ArtifactsInput!$N$10+1,15,18,21,24,27,30)*(IF(Inputs!$B$38="pvp",MIN(15,15)/15,IF(AND(Inputs!$B$38&lt;&gt;"pvp",Inputs!$B$43&gt;0),MIN(15,Inputs!$B$43)/(Inputs!$B$43),0))),0)))&gt;=100),MIN(100,((Inputs!$B$9+((C477=TRUE)*(F477-Calc!F19))+B488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477=TRUE)*(F477-Calc!F19))+B488+(ArtifactsInput!$M$24-ArtifactsInput!$M$24)*CHOOSE(ArtifactsInput!$N$24+1,10,12,14,16,18,20)+IF(ArtifactsInput!$M$10,CHOOSE(ArtifactsInput!$N$10+1,15,18,21,24,27,30)*(IF(Inputs!$B$38="pvp",MIN(15,15)/15,IF(AND(Inputs!$B$38&lt;&gt;"pvp",Inputs!$B$43&gt;0),MIN(15,Inputs!$B$43)/(Inputs!$B$43),0))),0)))&gt;=100),CHOOSE(ArtifactsInput!$N$42+1,40,48,56,64,72,80),0))))/100)*((1+(((C475=TRUE)*F475)+((C482=TRUE)*(F482-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464)</f>
        <v/>
      </c>
      <c r="L464">
        <f>K464*(MIN(Inputs!$B$22+((C480=TRUE)*(F480-Calc!F22)),((Inputs!$B$23+1)+0+(IF(ArtifactsInput!$M$15,CHOOSE(ArtifactsInput!$N$15+1,25,30,35,40,45,50)/100*(Inputs!$B$11-Inputs!$B$11),0))))/100+((Inputs!$B$23+1)+0+(IF(ArtifactsInput!$M$15,CHOOSE(ArtifactsInput!$N$15+1,25,30,35,40,45,50)/100*(Inputs!$B$11-Inputs!$B$11),0)))/100)/2</f>
        <v/>
      </c>
      <c r="M464">
        <f>L464*(1+(Inputs!$B$10+((C483=TRUE)*(F483-Calc!F25))+B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4">
        <f>L464*(1-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464*(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4">
        <f>(1-Summary!$B$11)*T464+Summary!$B$11*V464</f>
        <v/>
      </c>
      <c r="P464">
        <f>IF(B498=0,0,O464/B498)</f>
        <v/>
      </c>
      <c r="Q464">
        <f>IFERROR(1/(IF(Inputs!$B$38="pvp",15,MAX(0.1,Skills!D6-IF(Skills!E6=TRUE,Inputs!$B$32,0)))*(1-IF(AND(ArtifactsInput!$M$27,Inputs!$B$4="Chapter Hunt"),CHOOSE(ArtifactsInput!$N$27+1,20,24,28,32,36,40),0)/100)),0)</f>
        <v/>
      </c>
      <c r="R464">
        <f>IF(AND(Inputs!$B$38&lt;&gt;"pvp",Inputs!$B$43&gt;0),IF(MAX(0,Inputs!$B$43-B495)&lt;=0,0,(INT(MAX(0,Inputs!$B$43-B495)/(IF(Inputs!$B$38="pvp",15,MAX(0.1,Skills!D6-IF(Skills!E6=TRUE,Inputs!$B$32,0)))*(1-IF(AND(ArtifactsInput!$M$27,Inputs!$B$4="Chapter Hunt"),CHOOSE(ArtifactsInput!$N$27+1,20,24,28,32,36,40),0)/100)))+1)),0)</f>
        <v/>
      </c>
      <c r="S464">
        <f>IFERROR(O464/N464,0)</f>
        <v/>
      </c>
      <c r="T464">
        <f>IF(C464,(H464*N464*IF(AND(Inputs!$B$38&lt;&gt;"pvp",Inputs!$B$43&gt;0),((Skills!G6*((R464-1)*IF(Skills!H6&gt;0,Skills!I6/Skills!H6,1)+IF(Skills!H6&gt;0,MIN(Skills!I6,MAX(0,MAX(0,Inputs!$B$43-B495)-((R464-1)*(IF(Inputs!$B$38="pvp",15,MAX(0.1,Skills!D6-IF(Skills!E6=TRUE,Inputs!$B$32,0)))*(1-IF(AND(ArtifactsInput!$M$27,Inputs!$B$4="Chapter Hunt"),CHOOSE(ArtifactsInput!$N$27+1,20,24,28,32,36,40),0)/100)))))/Skills!H6,1)))/Inputs!$B$43),G464*Q464)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464*(1-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464*(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464*(1-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464*(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4">
        <f>IF(C464,(H464*N464*IF(AND(Inputs!$B$38&lt;&gt;"pvp",Inputs!$B$43&gt;0),((Skills!G6*((R464-1)*IF(Skills!H6&gt;0,Skills!I6/Skills!H6,1)+IF(Skills!H6&gt;0,MIN(Skills!I6,MAX(0,MAX(0,Inputs!$B$43-B495)-((R464-1)*(IF(Inputs!$B$38="pvp",15,MAX(0.1,Skills!D6-IF(Skills!E6=TRUE,Inputs!$B$32,0)))*(1-IF(AND(ArtifactsInput!$M$27,Inputs!$B$4="Chapter Hunt"),CHOOSE(ArtifactsInput!$N$27+1,20,24,28,32,36,40),0)/100)))))/Skills!H6,1)))/Inputs!$B$43),G464*Q464))*IF(Inputs!$B$38="pvp",1,(1+(Inputs!$B$21+Skills!Q6+(IF(ArtifactsInput!$M$33,CHOOSE(ArtifactsInput!$N$33+1,30,36,42,48,54,60)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5">
      <c r="A465">
        <f>Skills!A7</f>
        <v/>
      </c>
      <c r="B465">
        <f>Skills!B7</f>
        <v/>
      </c>
      <c r="C465">
        <f>Inputs!$B$3&gt;=66</f>
        <v/>
      </c>
      <c r="D465">
        <f>IF(Skills!C7=1,60+Inputs!$B$25+Inputs!$B$29,IF(Skills!C7=2,90+Inputs!$B$26+Inputs!$B$29,IF(Skills!C7=3,120+Inputs!$B$27+Inputs!$B$29,MAX(0,(Inputs!$B$3-100)*3)+Inputs!$B$28+Inputs!$B$29)))</f>
        <v/>
      </c>
      <c r="E465">
        <f>INDEX(FactorTable!$B$2:$Y$301, MATCH(ROUND(MIN(300,MAX(1,D465)),0), FactorTable!$A$2:$A$301,0), Skills!M7+1)</f>
        <v/>
      </c>
      <c r="F465">
        <f>IF(Skills!N7=TRUE,(Skills!L7/10)*(E465/1000),Skills!L7/10)+Skills!O7</f>
        <v/>
      </c>
      <c r="G465">
        <f>Skills!G7*IF(Skills!H7&gt;0,Skills!I7/Skills!H7,1)</f>
        <v/>
      </c>
      <c r="H465">
        <f>1-(1-Skills!J7/100)^Skills!K7</f>
        <v/>
      </c>
      <c r="I465" t="inlineStr">
        <is>
          <t>1</t>
        </is>
      </c>
      <c r="J465">
        <f>((Inputs!$B$6*(1+Inputs!$B$7/100))+(((Inputs!$B$12*(1+Inputs!$B$13/100))-(Inputs!$B$12*(1+Inputs!$B$13/100)))+0.25*(Inputs!$B$14-Inputs!$B$14))*(1+Inputs!$B$7/100))*(F465/100)</f>
        <v/>
      </c>
      <c r="K465">
        <f>J465*(1+((Inputs!$B$12*(1+Inputs!$B$13/100))*0.01+Inputs!$B$14*0.0025)/100)*(1+Inputs!$B$15/100)*(1+Inputs!$B$16/100)*(5000/(6000+Inputs!$B$42*(1-(100*(1-(1-(Inputs!$B$19+0)/100)*(1-CHOOSE(ArtifactsInput!$N$40+1,5,6,7,8,9,10)/100)^(ArtifactsInput!$M$40-ArtifactsInput!$M$40)))/100)))*(1+(Inputs!$B$24+((C484=TRUE)*(F484-Calc!F26))+B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473=TRUE,F473,0)/100)*(1+(IF(Skills!A7="EIGHT_LEGS_EASTON",Inputs!$B$17+((C481=TRUE)*(F481-Calc!F23))+((C485=TRUE)*(F485-Calc!F27))+(((IF(AND(ArtifactsInput!$M$42,((Inputs!$B$9+((C477=TRUE)*(F477-Calc!F19))+B488+(ArtifactsInput!$M$24-ArtifactsInput!$M$24)*CHOOSE(ArtifactsInput!$N$24+1,10,12,14,16,18,20)+IF(ArtifactsInput!$M$10,CHOOSE(ArtifactsInput!$N$10+1,15,18,21,24,27,30)*(IF(Inputs!$B$38="pvp",MIN(15,15)/15,IF(AND(Inputs!$B$38&lt;&gt;"pvp",Inputs!$B$43&gt;0),MIN(15,Inputs!$B$43)/(Inputs!$B$43),0))),0)))&gt;=100),MIN(100,((Inputs!$B$9+((C477=TRUE)*(F477-Calc!F19))+B488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477=TRUE)*(F477-Calc!F19))+B488+(ArtifactsInput!$M$24-ArtifactsInput!$M$24)*CHOOSE(ArtifactsInput!$N$24+1,10,12,14,16,18,20)+IF(ArtifactsInput!$M$10,CHOOSE(ArtifactsInput!$N$10+1,15,18,21,24,27,30)*(IF(Inputs!$B$38="pvp",MIN(15,15)/15,IF(AND(Inputs!$B$38&lt;&gt;"pvp",Inputs!$B$43&gt;0),MIN(15,Inputs!$B$43)/(Inputs!$B$43),0))),0)))&gt;=100),CHOOSE(ArtifactsInput!$N$42+1,40,48,56,64,72,80),0))))/100)*((1+(((C475=TRUE)*F475)+((C482=TRUE)*(F482-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465)</f>
        <v/>
      </c>
      <c r="L465">
        <f>K465*(MIN(Inputs!$B$22+((C480=TRUE)*(F480-Calc!F22)),((Inputs!$B$23+1)+0+(IF(ArtifactsInput!$M$15,CHOOSE(ArtifactsInput!$N$15+1,25,30,35,40,45,50)/100*(Inputs!$B$11-Inputs!$B$11),0))))/100+((Inputs!$B$23+1)+0+(IF(ArtifactsInput!$M$15,CHOOSE(ArtifactsInput!$N$15+1,25,30,35,40,45,50)/100*(Inputs!$B$11-Inputs!$B$11),0)))/100)/2</f>
        <v/>
      </c>
      <c r="M465">
        <f>L465*(1+(Inputs!$B$10+((C483=TRUE)*(F483-Calc!F25))+B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5">
        <f>L465*(1-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465*(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5">
        <f>(1-Summary!$B$11)*T465+Summary!$B$11*V465</f>
        <v/>
      </c>
      <c r="P465">
        <f>IF(B498=0,0,O465/B498)</f>
        <v/>
      </c>
      <c r="Q465">
        <f>IFERROR(1/(IF(Inputs!$B$38="pvp",15,MAX(0.1,Skills!D7-IF(Skills!E7=TRUE,Inputs!$B$32,0)))*(1-IF(AND(ArtifactsInput!$M$27,Inputs!$B$4="Chapter Hunt"),CHOOSE(ArtifactsInput!$N$27+1,20,24,28,32,36,40),0)/100)),0)</f>
        <v/>
      </c>
      <c r="R465">
        <f>IF(AND(Inputs!$B$38&lt;&gt;"pvp",Inputs!$B$43&gt;0),IF(MAX(0,Inputs!$B$43-B495)&lt;=0,0,(INT(MAX(0,Inputs!$B$43-B495)/(IF(Inputs!$B$38="pvp",15,MAX(0.1,Skills!D7-IF(Skills!E7=TRUE,Inputs!$B$32,0)))*(1-IF(AND(ArtifactsInput!$M$27,Inputs!$B$4="Chapter Hunt"),CHOOSE(ArtifactsInput!$N$27+1,20,24,28,32,36,40),0)/100)))+1)),0)</f>
        <v/>
      </c>
      <c r="S465">
        <f>IFERROR(O465/N465,0)</f>
        <v/>
      </c>
      <c r="T465">
        <f>IF(C465,(H465*N465*IF(AND(Inputs!$B$38&lt;&gt;"pvp",Inputs!$B$43&gt;0),((Skills!G7*((R465-1)*IF(Skills!H7&gt;0,Skills!I7/Skills!H7,1)+IF(Skills!H7&gt;0,MIN(Skills!I7,MAX(0,MAX(0,Inputs!$B$43-B495)-((R465-1)*(IF(Inputs!$B$38="pvp",15,MAX(0.1,Skills!D7-IF(Skills!E7=TRUE,Inputs!$B$32,0)))*(1-IF(AND(ArtifactsInput!$M$27,Inputs!$B$4="Chapter Hunt"),CHOOSE(ArtifactsInput!$N$27+1,20,24,28,32,36,40),0)/100)))))/Skills!H7,1)))/Inputs!$B$43),G465*Q465)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465*(1-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465*(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465*(1-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465*(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5">
        <f>IF(C465,(H465*N465*IF(AND(Inputs!$B$38&lt;&gt;"pvp",Inputs!$B$43&gt;0),((Skills!G7*((R465-1)*IF(Skills!H7&gt;0,Skills!I7/Skills!H7,1)+IF(Skills!H7&gt;0,MIN(Skills!I7,MAX(0,MAX(0,Inputs!$B$43-B495)-((R465-1)*(IF(Inputs!$B$38="pvp",15,MAX(0.1,Skills!D7-IF(Skills!E7=TRUE,Inputs!$B$32,0)))*(1-IF(AND(ArtifactsInput!$M$27,Inputs!$B$4="Chapter Hunt"),CHOOSE(ArtifactsInput!$N$27+1,20,24,28,32,36,40),0)/100)))))/Skills!H7,1)))/Inputs!$B$43),G465*Q465))*IF(Inputs!$B$38="pvp",1,(1+(Inputs!$B$21+Skills!Q7+(IF(ArtifactsInput!$M$33,CHOOSE(ArtifactsInput!$N$33+1,30,36,42,48,54,60)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6">
      <c r="A466">
        <f>Skills!A8</f>
        <v/>
      </c>
      <c r="B466">
        <f>Skills!B8</f>
        <v/>
      </c>
      <c r="C466">
        <f>Inputs!$B$3&gt;=100</f>
        <v/>
      </c>
      <c r="D466">
        <f>IF(Skills!C8=1,60+Inputs!$B$25+Inputs!$B$29,IF(Skills!C8=2,90+Inputs!$B$26+Inputs!$B$29,IF(Skills!C8=3,120+Inputs!$B$27+Inputs!$B$29,MAX(0,(Inputs!$B$3-100)*3)+Inputs!$B$28+Inputs!$B$29)))</f>
        <v/>
      </c>
      <c r="E466">
        <f>INDEX(FactorTable!$B$2:$Y$301, MATCH(ROUND(MIN(300,MAX(1,D466)),0), FactorTable!$A$2:$A$301,0), Skills!M8+1)</f>
        <v/>
      </c>
      <c r="F466">
        <f>IF(Skills!N8=TRUE,(Skills!L8/10)*(E466/1000),Skills!L8/10)+Skills!O8</f>
        <v/>
      </c>
      <c r="G466">
        <f>Skills!G8*IF(Skills!H8&gt;0,Skills!I8/Skills!H8,1)</f>
        <v/>
      </c>
      <c r="H466">
        <f>1-(1-Skills!J8/100)^Skills!K8</f>
        <v/>
      </c>
      <c r="I466" t="inlineStr">
        <is>
          <t>1</t>
        </is>
      </c>
      <c r="J466">
        <f>((Inputs!$B$6*(1+Inputs!$B$7/100))+(((Inputs!$B$12*(1+Inputs!$B$13/100))-(Inputs!$B$12*(1+Inputs!$B$13/100)))+0.25*(Inputs!$B$14-Inputs!$B$14))*(1+Inputs!$B$7/100))*(F466/100)</f>
        <v/>
      </c>
      <c r="K466">
        <f>J466*(1+((Inputs!$B$12*(1+Inputs!$B$13/100))*0.01+Inputs!$B$14*0.0025)/100)*(1+Inputs!$B$15/100)*(1+Inputs!$B$16/100)*(5000/(6000+Inputs!$B$42*(1-(100*(1-(1-(Inputs!$B$19+0)/100)*(1-CHOOSE(ArtifactsInput!$N$40+1,5,6,7,8,9,10)/100)^(ArtifactsInput!$M$40-ArtifactsInput!$M$40)))/100)))*(1+(Inputs!$B$24+((C484=TRUE)*(F484-Calc!F26))+B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481=TRUE)*(F481-Calc!F23))+((C485=TRUE)*(F485-Calc!F27))+(((IF(AND(ArtifactsInput!$M$42,((Inputs!$B$9+((C477=TRUE)*(F477-Calc!F19))+B488+(ArtifactsInput!$M$24-ArtifactsInput!$M$24)*CHOOSE(ArtifactsInput!$N$24+1,10,12,14,16,18,20)+IF(ArtifactsInput!$M$10,CHOOSE(ArtifactsInput!$N$10+1,15,18,21,24,27,30)*(IF(Inputs!$B$38="pvp",MIN(15,15)/15,IF(AND(Inputs!$B$38&lt;&gt;"pvp",Inputs!$B$43&gt;0),MIN(15,Inputs!$B$43)/(Inputs!$B$43),0))),0)))&gt;=100),MIN(100,((Inputs!$B$9+((C477=TRUE)*(F477-Calc!F19))+B488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477=TRUE)*(F477-Calc!F19))+B488+(ArtifactsInput!$M$24-ArtifactsInput!$M$24)*CHOOSE(ArtifactsInput!$N$24+1,10,12,14,16,18,20)+IF(ArtifactsInput!$M$10,CHOOSE(ArtifactsInput!$N$10+1,15,18,21,24,27,30)*(IF(Inputs!$B$38="pvp",MIN(15,15)/15,IF(AND(Inputs!$B$38&lt;&gt;"pvp",Inputs!$B$43&gt;0),MIN(15,Inputs!$B$43)/(Inputs!$B$43),0))),0)))&gt;=100),CHOOSE(ArtifactsInput!$N$42+1,40,48,56,64,72,80),0))))/100)*((1+(((C475=TRUE)*F475)+((C482=TRUE)*(F482-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466)</f>
        <v/>
      </c>
      <c r="L466">
        <f>K466*(MIN(Inputs!$B$22+((C480=TRUE)*(F480-Calc!F22)),((Inputs!$B$23+1)+0+(IF(ArtifactsInput!$M$15,CHOOSE(ArtifactsInput!$N$15+1,25,30,35,40,45,50)/100*(Inputs!$B$11-Inputs!$B$11),0))))/100+((Inputs!$B$23+1)+0+(IF(ArtifactsInput!$M$15,CHOOSE(ArtifactsInput!$N$15+1,25,30,35,40,45,50)/100*(Inputs!$B$11-Inputs!$B$11),0)))/100)/2</f>
        <v/>
      </c>
      <c r="M466">
        <f>L466*(1+(Inputs!$B$10+((C483=TRUE)*(F483-Calc!F25))+B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6">
        <f>L466*(1-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466*(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6">
        <f>(1-Summary!$B$11)*T466+Summary!$B$11*V466</f>
        <v/>
      </c>
      <c r="P466">
        <f>IF(B498=0,0,O466/B498)</f>
        <v/>
      </c>
      <c r="Q466">
        <f>IFERROR(1/(IF(Inputs!$B$38="pvp",15,MAX(0.1,Skills!D8-IF(Skills!E8=TRUE,Inputs!$B$32,0)))*(1-IF(AND(ArtifactsInput!$M$27,Inputs!$B$4="Chapter Hunt"),CHOOSE(ArtifactsInput!$N$27+1,20,24,28,32,36,40),0)/100)),0)</f>
        <v/>
      </c>
      <c r="R466">
        <f>IF(AND(Inputs!$B$38&lt;&gt;"pvp",Inputs!$B$43&gt;0),IF(MAX(0,Inputs!$B$43-B495)&lt;=0,0,(INT(MAX(0,Inputs!$B$43-B495)/(IF(Inputs!$B$38="pvp",15,MAX(0.1,Skills!D8-IF(Skills!E8=TRUE,Inputs!$B$32,0)))*(1-IF(AND(ArtifactsInput!$M$27,Inputs!$B$4="Chapter Hunt"),CHOOSE(ArtifactsInput!$N$27+1,20,24,28,32,36,40),0)/100)))+1)),0)</f>
        <v/>
      </c>
      <c r="S466">
        <f>IFERROR(O466/N466,0)</f>
        <v/>
      </c>
      <c r="T466">
        <f>IF(C466,(H466*N466*IF(AND(Inputs!$B$38&lt;&gt;"pvp",Inputs!$B$43&gt;0),((Skills!G8*((R466-1)*IF(Skills!H8&gt;0,Skills!I8/Skills!H8,1)+IF(Skills!H8&gt;0,MIN(Skills!I8,MAX(0,MAX(0,Inputs!$B$43-B495)-((R466-1)*(IF(Inputs!$B$38="pvp",15,MAX(0.1,Skills!D8-IF(Skills!E8=TRUE,Inputs!$B$32,0)))*(1-IF(AND(ArtifactsInput!$M$27,Inputs!$B$4="Chapter Hunt"),CHOOSE(ArtifactsInput!$N$27+1,20,24,28,32,36,40),0)/100)))))/Skills!H8,1)))/Inputs!$B$43),G466*Q466)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466*(1-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466*(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466*(1-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466*(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6">
        <f>IF(C466,(H466*N466*IF(AND(Inputs!$B$38&lt;&gt;"pvp",Inputs!$B$43&gt;0),((Skills!G8*((R466-1)*IF(Skills!H8&gt;0,Skills!I8/Skills!H8,1)+IF(Skills!H8&gt;0,MIN(Skills!I8,MAX(0,MAX(0,Inputs!$B$43-B495)-((R466-1)*(IF(Inputs!$B$38="pvp",15,MAX(0.1,Skills!D8-IF(Skills!E8=TRUE,Inputs!$B$32,0)))*(1-IF(AND(ArtifactsInput!$M$27,Inputs!$B$4="Chapter Hunt"),CHOOSE(ArtifactsInput!$N$27+1,20,24,28,32,36,40),0)/100)))))/Skills!H8,1)))/Inputs!$B$43),G466*Q466))*IF(Inputs!$B$38="pvp",1,(1+(Inputs!$B$21+Skills!Q8+(IF(ArtifactsInput!$M$33,CHOOSE(ArtifactsInput!$N$33+1,30,36,42,48,54,60)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7">
      <c r="A467">
        <f>Skills!A9</f>
        <v/>
      </c>
      <c r="B467">
        <f>Skills!B9</f>
        <v/>
      </c>
      <c r="C467">
        <f>Inputs!$B$3&gt;=103</f>
        <v/>
      </c>
      <c r="D467">
        <f>IF(Skills!C9=1,60+Inputs!$B$25+Inputs!$B$29,IF(Skills!C9=2,90+Inputs!$B$26+Inputs!$B$29,IF(Skills!C9=3,120+Inputs!$B$27+Inputs!$B$29,MAX(0,(Inputs!$B$3-100)*3)+Inputs!$B$28+Inputs!$B$29)))</f>
        <v/>
      </c>
      <c r="E467">
        <f>INDEX(FactorTable!$B$2:$Y$301, MATCH(ROUND(MIN(300,MAX(1,D467)),0), FactorTable!$A$2:$A$301,0), Skills!M9+1)</f>
        <v/>
      </c>
      <c r="F467">
        <f>IF(Skills!N9=TRUE,(Skills!L9/10)*(E467/1000),Skills!L9/10)+Skills!O9</f>
        <v/>
      </c>
      <c r="G467">
        <f>Skills!G9*IF(Skills!H9&gt;0,Skills!I9/Skills!H9,1)</f>
        <v/>
      </c>
      <c r="H467">
        <f>1-(1-Skills!J9/100)^Skills!K9</f>
        <v/>
      </c>
      <c r="I467" t="inlineStr">
        <is>
          <t>1</t>
        </is>
      </c>
      <c r="J467">
        <f>((Inputs!$B$6*(1+Inputs!$B$7/100))+(((Inputs!$B$12*(1+Inputs!$B$13/100))-(Inputs!$B$12*(1+Inputs!$B$13/100)))+0.25*(Inputs!$B$14-Inputs!$B$14))*(1+Inputs!$B$7/100))*(F467/100)</f>
        <v/>
      </c>
      <c r="K467">
        <f>J467*(1+((Inputs!$B$12*(1+Inputs!$B$13/100))*0.01+Inputs!$B$14*0.0025)/100)*(1+Inputs!$B$15/100)*(1+Inputs!$B$16/100)*(5000/(6000+Inputs!$B$42*(1-(100*(1-(1-(Inputs!$B$19+0)/100)*(1-CHOOSE(ArtifactsInput!$N$40+1,5,6,7,8,9,10)/100)^(ArtifactsInput!$M$40-ArtifactsInput!$M$40)))/100)))*(1+(Inputs!$B$24+((C484=TRUE)*(F484-Calc!F26))+B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481=TRUE)*(F481-Calc!F23))+((C485=TRUE)*(F485-Calc!F27))+(((IF(AND(ArtifactsInput!$M$42,((Inputs!$B$9+((C477=TRUE)*(F477-Calc!F19))+B488+(ArtifactsInput!$M$24-ArtifactsInput!$M$24)*CHOOSE(ArtifactsInput!$N$24+1,10,12,14,16,18,20)+IF(ArtifactsInput!$M$10,CHOOSE(ArtifactsInput!$N$10+1,15,18,21,24,27,30)*(IF(Inputs!$B$38="pvp",MIN(15,15)/15,IF(AND(Inputs!$B$38&lt;&gt;"pvp",Inputs!$B$43&gt;0),MIN(15,Inputs!$B$43)/(Inputs!$B$43),0))),0)))&gt;=100),MIN(100,((Inputs!$B$9+((C477=TRUE)*(F477-Calc!F19))+B488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477=TRUE)*(F477-Calc!F19))+B488+(ArtifactsInput!$M$24-ArtifactsInput!$M$24)*CHOOSE(ArtifactsInput!$N$24+1,10,12,14,16,18,20)+IF(ArtifactsInput!$M$10,CHOOSE(ArtifactsInput!$N$10+1,15,18,21,24,27,30)*(IF(Inputs!$B$38="pvp",MIN(15,15)/15,IF(AND(Inputs!$B$38&lt;&gt;"pvp",Inputs!$B$43&gt;0),MIN(15,Inputs!$B$43)/(Inputs!$B$43),0))),0)))&gt;=100),CHOOSE(ArtifactsInput!$N$42+1,40,48,56,64,72,80),0))))/100)*((1+(((C475=TRUE)*F475)+((C482=TRUE)*(F482-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467)</f>
        <v/>
      </c>
      <c r="L467">
        <f>K467*(MIN(Inputs!$B$22+((C480=TRUE)*(F480-Calc!F22)),((Inputs!$B$23+1)+0+(IF(ArtifactsInput!$M$15,CHOOSE(ArtifactsInput!$N$15+1,25,30,35,40,45,50)/100*(Inputs!$B$11-Inputs!$B$11),0))))/100+((Inputs!$B$23+1)+0+(IF(ArtifactsInput!$M$15,CHOOSE(ArtifactsInput!$N$15+1,25,30,35,40,45,50)/100*(Inputs!$B$11-Inputs!$B$11),0)))/100)/2</f>
        <v/>
      </c>
      <c r="M467">
        <f>L467*(1+(Inputs!$B$10+((C483=TRUE)*(F483-Calc!F25))+B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7">
        <f>L467*(1-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467*(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7">
        <f>(1-Summary!$B$11)*T467+Summary!$B$11*V467</f>
        <v/>
      </c>
      <c r="P467">
        <f>IF(B498=0,0,O467/B498)</f>
        <v/>
      </c>
      <c r="Q467">
        <f>IFERROR(1/(IF(Inputs!$B$38="pvp",15,MAX(0.1,Skills!D9-IF(Skills!E9=TRUE,Inputs!$B$32,0)))*(1-IF(AND(ArtifactsInput!$M$27,Inputs!$B$4="Chapter Hunt"),CHOOSE(ArtifactsInput!$N$27+1,20,24,28,32,36,40),0)/100)),0)</f>
        <v/>
      </c>
      <c r="R467">
        <f>IF(AND(Inputs!$B$38&lt;&gt;"pvp",Inputs!$B$43&gt;0),IF(MAX(0,Inputs!$B$43-B495)&lt;=0,0,(INT(MAX(0,Inputs!$B$43-B495)/(IF(Inputs!$B$38="pvp",15,MAX(0.1,Skills!D9-IF(Skills!E9=TRUE,Inputs!$B$32,0)))*(1-IF(AND(ArtifactsInput!$M$27,Inputs!$B$4="Chapter Hunt"),CHOOSE(ArtifactsInput!$N$27+1,20,24,28,32,36,40),0)/100)))+1)),0)</f>
        <v/>
      </c>
      <c r="S467">
        <f>IFERROR(O467/N467,0)</f>
        <v/>
      </c>
      <c r="T467">
        <f>IF(C467,(H467*N467*IF(AND(Inputs!$B$38&lt;&gt;"pvp",Inputs!$B$43&gt;0),((Skills!G9*((R467-1)*IF(Skills!H9&gt;0,Skills!I9/Skills!H9,1)+IF(Skills!H9&gt;0,MIN(Skills!I9,MAX(0,MAX(0,Inputs!$B$43-B495)-((R467-1)*(IF(Inputs!$B$38="pvp",15,MAX(0.1,Skills!D9-IF(Skills!E9=TRUE,Inputs!$B$32,0)))*(1-IF(AND(ArtifactsInput!$M$27,Inputs!$B$4="Chapter Hunt"),CHOOSE(ArtifactsInput!$N$27+1,20,24,28,32,36,40),0)/100)))))/Skills!H9,1)))/Inputs!$B$43),G467*Q467)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467*(1-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467*(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467*(1-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467*(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7">
        <f>IF(C467,(H467*N467*IF(AND(Inputs!$B$38&lt;&gt;"pvp",Inputs!$B$43&gt;0),((Skills!G9*((R467-1)*IF(Skills!H9&gt;0,Skills!I9/Skills!H9,1)+IF(Skills!H9&gt;0,MIN(Skills!I9,MAX(0,MAX(0,Inputs!$B$43-B495)-((R467-1)*(IF(Inputs!$B$38="pvp",15,MAX(0.1,Skills!D9-IF(Skills!E9=TRUE,Inputs!$B$32,0)))*(1-IF(AND(ArtifactsInput!$M$27,Inputs!$B$4="Chapter Hunt"),CHOOSE(ArtifactsInput!$N$27+1,20,24,28,32,36,40),0)/100)))))/Skills!H9,1)))/Inputs!$B$43),G467*Q467))*IF(Inputs!$B$38="pvp",1,(1+(Inputs!$B$21+Skills!Q9+(IF(ArtifactsInput!$M$33,CHOOSE(ArtifactsInput!$N$33+1,30,36,42,48,54,60)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8">
      <c r="A468">
        <f>Skills!A10</f>
        <v/>
      </c>
      <c r="B468">
        <f>Skills!B10</f>
        <v/>
      </c>
      <c r="C468">
        <f>Inputs!$B$3&gt;=113</f>
        <v/>
      </c>
      <c r="D468">
        <f>IF(Skills!C10=1,60+Inputs!$B$25+Inputs!$B$29,IF(Skills!C10=2,90+Inputs!$B$26+Inputs!$B$29,IF(Skills!C10=3,120+Inputs!$B$27+Inputs!$B$29,MAX(0,(Inputs!$B$3-100)*3)+Inputs!$B$28+Inputs!$B$29)))</f>
        <v/>
      </c>
      <c r="E468">
        <f>INDEX(FactorTable!$B$2:$Y$301, MATCH(ROUND(MIN(300,MAX(1,D468)),0), FactorTable!$A$2:$A$301,0), Skills!M10+1)</f>
        <v/>
      </c>
      <c r="F468">
        <f>IF(Skills!N10=TRUE,(Skills!L10/10)*(E468/1000),Skills!L10/10)+Skills!O10</f>
        <v/>
      </c>
      <c r="G468">
        <f>Skills!G10*IF(Skills!H10&gt;0,Skills!I10/Skills!H10,1)</f>
        <v/>
      </c>
      <c r="H468">
        <f>1-(1-Skills!J10/100)^Skills!K10</f>
        <v/>
      </c>
      <c r="I468" t="inlineStr">
        <is>
          <t>1</t>
        </is>
      </c>
      <c r="J468">
        <f>((Inputs!$B$6*(1+Inputs!$B$7/100))+(((Inputs!$B$12*(1+Inputs!$B$13/100))-(Inputs!$B$12*(1+Inputs!$B$13/100)))+0.25*(Inputs!$B$14-Inputs!$B$14))*(1+Inputs!$B$7/100))*(F468/100)</f>
        <v/>
      </c>
      <c r="K468">
        <f>J468*(1+((Inputs!$B$12*(1+Inputs!$B$13/100))*0.01+Inputs!$B$14*0.0025)/100)*(1+Inputs!$B$15/100)*(1+Inputs!$B$16/100)*(5000/(6000+Inputs!$B$42*(1-(100*(1-(1-(Inputs!$B$19+0)/100)*(1-CHOOSE(ArtifactsInput!$N$40+1,5,6,7,8,9,10)/100)^(ArtifactsInput!$M$40-ArtifactsInput!$M$40)))/100)))*(1+(Inputs!$B$24+((C484=TRUE)*(F484-Calc!F26))+B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481=TRUE)*(F481-Calc!F23))+((C485=TRUE)*(F485-Calc!F27))+(((IF(AND(ArtifactsInput!$M$42,((Inputs!$B$9+((C477=TRUE)*(F477-Calc!F19))+B488+(ArtifactsInput!$M$24-ArtifactsInput!$M$24)*CHOOSE(ArtifactsInput!$N$24+1,10,12,14,16,18,20)+IF(ArtifactsInput!$M$10,CHOOSE(ArtifactsInput!$N$10+1,15,18,21,24,27,30)*(IF(Inputs!$B$38="pvp",MIN(15,15)/15,IF(AND(Inputs!$B$38&lt;&gt;"pvp",Inputs!$B$43&gt;0),MIN(15,Inputs!$B$43)/(Inputs!$B$43),0))),0)))&gt;=100),MIN(100,((Inputs!$B$9+((C477=TRUE)*(F477-Calc!F19))+B488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477=TRUE)*(F477-Calc!F19))+B488+(ArtifactsInput!$M$24-ArtifactsInput!$M$24)*CHOOSE(ArtifactsInput!$N$24+1,10,12,14,16,18,20)+IF(ArtifactsInput!$M$10,CHOOSE(ArtifactsInput!$N$10+1,15,18,21,24,27,30)*(IF(Inputs!$B$38="pvp",MIN(15,15)/15,IF(AND(Inputs!$B$38&lt;&gt;"pvp",Inputs!$B$43&gt;0),MIN(15,Inputs!$B$43)/(Inputs!$B$43),0))),0)))&gt;=100),CHOOSE(ArtifactsInput!$N$42+1,40,48,56,64,72,80),0))))/100)*((1+(((C475=TRUE)*F475)+((C482=TRUE)*(F482-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468)</f>
        <v/>
      </c>
      <c r="L468">
        <f>K468*(MIN(Inputs!$B$22+((C480=TRUE)*(F480-Calc!F22)),((Inputs!$B$23+1)+0+(IF(ArtifactsInput!$M$15,CHOOSE(ArtifactsInput!$N$15+1,25,30,35,40,45,50)/100*(Inputs!$B$11-Inputs!$B$11),0))))/100+((Inputs!$B$23+1)+0+(IF(ArtifactsInput!$M$15,CHOOSE(ArtifactsInput!$N$15+1,25,30,35,40,45,50)/100*(Inputs!$B$11-Inputs!$B$11),0)))/100)/2</f>
        <v/>
      </c>
      <c r="M468">
        <f>L468*(1+(Inputs!$B$10+((C483=TRUE)*(F483-Calc!F25))+B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8">
        <f>L468*(1-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468*(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8">
        <f>(1-Summary!$B$11)*T468+Summary!$B$11*V468</f>
        <v/>
      </c>
      <c r="P468">
        <f>IF(B498=0,0,O468/B498)</f>
        <v/>
      </c>
      <c r="Q468">
        <f>IFERROR(1/(IF(Inputs!$B$38="pvp",15,MAX(0.1,Skills!D10-IF(Skills!E10=TRUE,Inputs!$B$32,0)))*(1-IF(AND(ArtifactsInput!$M$27,Inputs!$B$4="Chapter Hunt"),CHOOSE(ArtifactsInput!$N$27+1,20,24,28,32,36,40),0)/100)),0)</f>
        <v/>
      </c>
      <c r="R468">
        <f>IF(AND(Inputs!$B$38&lt;&gt;"pvp",Inputs!$B$43&gt;0),IF(MAX(0,Inputs!$B$43-B495)&lt;=0,0,(INT(MAX(0,Inputs!$B$43-B495)/(IF(Inputs!$B$38="pvp",15,MAX(0.1,Skills!D10-IF(Skills!E10=TRUE,Inputs!$B$32,0)))*(1-IF(AND(ArtifactsInput!$M$27,Inputs!$B$4="Chapter Hunt"),CHOOSE(ArtifactsInput!$N$27+1,20,24,28,32,36,40),0)/100)))+1)),0)</f>
        <v/>
      </c>
      <c r="S468">
        <f>IFERROR(O468/N468,0)</f>
        <v/>
      </c>
      <c r="T468">
        <f>IF(C468,(H468*N468*IF(AND(Inputs!$B$38&lt;&gt;"pvp",Inputs!$B$43&gt;0),((Skills!G10*((R468-1)*IF(Skills!H10&gt;0,Skills!I10/Skills!H10,1)+IF(Skills!H10&gt;0,MIN(Skills!I10,MAX(0,MAX(0,Inputs!$B$43-B495)-((R468-1)*(IF(Inputs!$B$38="pvp",15,MAX(0.1,Skills!D10-IF(Skills!E10=TRUE,Inputs!$B$32,0)))*(1-IF(AND(ArtifactsInput!$M$27,Inputs!$B$4="Chapter Hunt"),CHOOSE(ArtifactsInput!$N$27+1,20,24,28,32,36,40),0)/100)))))/Skills!H10,1)))/Inputs!$B$43),G468*Q468)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468*(1-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468*(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468*(1-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468*(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8">
        <f>IF(C468,(H468*N468*IF(AND(Inputs!$B$38&lt;&gt;"pvp",Inputs!$B$43&gt;0),((Skills!G10*((R468-1)*IF(Skills!H10&gt;0,Skills!I10/Skills!H10,1)+IF(Skills!H10&gt;0,MIN(Skills!I10,MAX(0,MAX(0,Inputs!$B$43-B495)-((R468-1)*(IF(Inputs!$B$38="pvp",15,MAX(0.1,Skills!D10-IF(Skills!E10=TRUE,Inputs!$B$32,0)))*(1-IF(AND(ArtifactsInput!$M$27,Inputs!$B$4="Chapter Hunt"),CHOOSE(ArtifactsInput!$N$27+1,20,24,28,32,36,40),0)/100)))))/Skills!H10,1)))/Inputs!$B$43),G468*Q468))*IF(Inputs!$B$38="pvp",1,(1+(Inputs!$B$21+Skills!Q10+(IF(ArtifactsInput!$M$33,CHOOSE(ArtifactsInput!$N$33+1,30,36,42,48,54,60)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9">
      <c r="A469">
        <f>Skills!A11</f>
        <v/>
      </c>
      <c r="B469">
        <f>Skills!B11</f>
        <v/>
      </c>
      <c r="C469">
        <f>Inputs!$B$3&gt;=107</f>
        <v/>
      </c>
      <c r="D469">
        <f>IF(Skills!C11=1,60+Inputs!$B$25+Inputs!$B$29,IF(Skills!C11=2,90+Inputs!$B$26+Inputs!$B$29,IF(Skills!C11=3,120+Inputs!$B$27+Inputs!$B$29,MAX(0,(Inputs!$B$3-100)*3)+Inputs!$B$28+Inputs!$B$29)))</f>
        <v/>
      </c>
      <c r="E469">
        <f>INDEX(FactorTable!$B$2:$Y$301, MATCH(ROUND(MIN(300,MAX(1,D469)),0), FactorTable!$A$2:$A$301,0), Skills!M11+1)</f>
        <v/>
      </c>
      <c r="F469">
        <f>IF(Skills!N11=TRUE,(Skills!L11/10)*(E469/1000),Skills!L11/10)+Skills!O11</f>
        <v/>
      </c>
      <c r="G469">
        <f>Skills!G11*IF(Skills!H11&gt;0,Skills!I11/Skills!H11,1)</f>
        <v/>
      </c>
      <c r="H469">
        <f>1-(1-Skills!J11/100)^Skills!K11</f>
        <v/>
      </c>
      <c r="I469" t="inlineStr">
        <is>
          <t>1</t>
        </is>
      </c>
      <c r="J469">
        <f>((Inputs!$B$6*(1+Inputs!$B$7/100))+(((Inputs!$B$12*(1+Inputs!$B$13/100))-(Inputs!$B$12*(1+Inputs!$B$13/100)))+0.25*(Inputs!$B$14-Inputs!$B$14))*(1+Inputs!$B$7/100))*(F469/100)</f>
        <v/>
      </c>
      <c r="K469">
        <f>J469*(1+((Inputs!$B$12*(1+Inputs!$B$13/100))*0.01+Inputs!$B$14*0.0025)/100)*(1+Inputs!$B$15/100)*(1+Inputs!$B$16/100)*(5000/(6000+Inputs!$B$42*(1-(100*(1-(1-(Inputs!$B$19+0)/100)*(1-CHOOSE(ArtifactsInput!$N$40+1,5,6,7,8,9,10)/100)^(ArtifactsInput!$M$40-ArtifactsInput!$M$40)))/100)))*(1+(Inputs!$B$24+((C484=TRUE)*(F484-Calc!F26))+B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481=TRUE)*(F481-Calc!F23))+((C485=TRUE)*(F485-Calc!F27))+(((IF(AND(ArtifactsInput!$M$42,((Inputs!$B$9+((C477=TRUE)*(F477-Calc!F19))+B488+(ArtifactsInput!$M$24-ArtifactsInput!$M$24)*CHOOSE(ArtifactsInput!$N$24+1,10,12,14,16,18,20)+IF(ArtifactsInput!$M$10,CHOOSE(ArtifactsInput!$N$10+1,15,18,21,24,27,30)*(IF(Inputs!$B$38="pvp",MIN(15,15)/15,IF(AND(Inputs!$B$38&lt;&gt;"pvp",Inputs!$B$43&gt;0),MIN(15,Inputs!$B$43)/(Inputs!$B$43),0))),0)))&gt;=100),MIN(100,((Inputs!$B$9+((C477=TRUE)*(F477-Calc!F19))+B488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477=TRUE)*(F477-Calc!F19))+B488+(ArtifactsInput!$M$24-ArtifactsInput!$M$24)*CHOOSE(ArtifactsInput!$N$24+1,10,12,14,16,18,20)+IF(ArtifactsInput!$M$10,CHOOSE(ArtifactsInput!$N$10+1,15,18,21,24,27,30)*(IF(Inputs!$B$38="pvp",MIN(15,15)/15,IF(AND(Inputs!$B$38&lt;&gt;"pvp",Inputs!$B$43&gt;0),MIN(15,Inputs!$B$43)/(Inputs!$B$43),0))),0)))&gt;=100),CHOOSE(ArtifactsInput!$N$42+1,40,48,56,64,72,80),0))))/100)*((1+(((C475=TRUE)*F475)+((C482=TRUE)*(F482-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469)</f>
        <v/>
      </c>
      <c r="L469">
        <f>K469*(MIN(Inputs!$B$22+((C480=TRUE)*(F480-Calc!F22)),((Inputs!$B$23+1)+0+(IF(ArtifactsInput!$M$15,CHOOSE(ArtifactsInput!$N$15+1,25,30,35,40,45,50)/100*(Inputs!$B$11-Inputs!$B$11),0))))/100+((Inputs!$B$23+1)+0+(IF(ArtifactsInput!$M$15,CHOOSE(ArtifactsInput!$N$15+1,25,30,35,40,45,50)/100*(Inputs!$B$11-Inputs!$B$11),0)))/100)/2</f>
        <v/>
      </c>
      <c r="M469">
        <f>L469*(1+(Inputs!$B$10+((C483=TRUE)*(F483-Calc!F25))+B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9">
        <f>L469*(1-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469*(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9">
        <f>(1-Summary!$B$11)*T469+Summary!$B$11*V469</f>
        <v/>
      </c>
      <c r="P469">
        <f>IF(B498=0,0,O469/B498)</f>
        <v/>
      </c>
      <c r="Q469">
        <f>IFERROR(1/(IF(Inputs!$B$38="pvp",15,MAX(0.1,Skills!D11-IF(Skills!E11=TRUE,Inputs!$B$32,0)))*(1-IF(AND(ArtifactsInput!$M$27,Inputs!$B$4="Chapter Hunt"),CHOOSE(ArtifactsInput!$N$27+1,20,24,28,32,36,40),0)/100)),0)</f>
        <v/>
      </c>
      <c r="R469">
        <f>IF(AND(Inputs!$B$38&lt;&gt;"pvp",Inputs!$B$43&gt;0),IF(MAX(0,Inputs!$B$43-B495)&lt;=0,0,(INT(MAX(0,Inputs!$B$43-B495)/(IF(Inputs!$B$38="pvp",15,MAX(0.1,Skills!D11-IF(Skills!E11=TRUE,Inputs!$B$32,0)))*(1-IF(AND(ArtifactsInput!$M$27,Inputs!$B$4="Chapter Hunt"),CHOOSE(ArtifactsInput!$N$27+1,20,24,28,32,36,40),0)/100)))+1)),0)</f>
        <v/>
      </c>
      <c r="S469">
        <f>IFERROR(O469/N469,0)</f>
        <v/>
      </c>
      <c r="T469">
        <f>IF(C469,(H469*N469*IF(AND(Inputs!$B$38&lt;&gt;"pvp",Inputs!$B$43&gt;0),((Skills!G11*((R469-1)*IF(Skills!H11&gt;0,Skills!I11/Skills!H11,1)+IF(Skills!H11&gt;0,MIN(Skills!I11,MAX(0,MAX(0,Inputs!$B$43-B495)-((R469-1)*(IF(Inputs!$B$38="pvp",15,MAX(0.1,Skills!D11-IF(Skills!E11=TRUE,Inputs!$B$32,0)))*(1-IF(AND(ArtifactsInput!$M$27,Inputs!$B$4="Chapter Hunt"),CHOOSE(ArtifactsInput!$N$27+1,20,24,28,32,36,40),0)/100)))))/Skills!H11,1)))/Inputs!$B$43),G469*Q469)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469*(1-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469*(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469*(1-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469*(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9">
        <f>IF(C469,(H469*N469*IF(AND(Inputs!$B$38&lt;&gt;"pvp",Inputs!$B$43&gt;0),((Skills!G11*((R469-1)*IF(Skills!H11&gt;0,Skills!I11/Skills!H11,1)+IF(Skills!H11&gt;0,MIN(Skills!I11,MAX(0,MAX(0,Inputs!$B$43-B495)-((R469-1)*(IF(Inputs!$B$38="pvp",15,MAX(0.1,Skills!D11-IF(Skills!E11=TRUE,Inputs!$B$32,0)))*(1-IF(AND(ArtifactsInput!$M$27,Inputs!$B$4="Chapter Hunt"),CHOOSE(ArtifactsInput!$N$27+1,20,24,28,32,36,40),0)/100)))))/Skills!H11,1)))/Inputs!$B$43),G469*Q469))*IF(Inputs!$B$38="pvp",1,(1+(Inputs!$B$21+Skills!Q11+(IF(ArtifactsInput!$M$33,CHOOSE(ArtifactsInput!$N$33+1,30,36,42,48,54,60)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0">
      <c r="A470">
        <f>Skills!A12</f>
        <v/>
      </c>
      <c r="B470">
        <f>Skills!B12</f>
        <v/>
      </c>
      <c r="C470">
        <f>Inputs!$B$3&gt;=110</f>
        <v/>
      </c>
      <c r="D470">
        <f>IF(Skills!C12=1,60+Inputs!$B$25+Inputs!$B$29,IF(Skills!C12=2,90+Inputs!$B$26+Inputs!$B$29,IF(Skills!C12=3,120+Inputs!$B$27+Inputs!$B$29,MAX(0,(Inputs!$B$3-100)*3)+Inputs!$B$28+Inputs!$B$29)))</f>
        <v/>
      </c>
      <c r="E470">
        <f>INDEX(FactorTable!$B$2:$Y$301, MATCH(ROUND(MIN(300,MAX(1,D470)),0), FactorTable!$A$2:$A$301,0), Skills!M12+1)</f>
        <v/>
      </c>
      <c r="F470">
        <f>IF(Skills!N12=TRUE,(Skills!L12/10)*(E470/1000),Skills!L12/10)+Skills!O12</f>
        <v/>
      </c>
      <c r="G470">
        <f>Skills!G12*IF(Skills!H12&gt;0,Skills!I12/Skills!H12,1)</f>
        <v/>
      </c>
      <c r="H470">
        <f>1-(1-Skills!J12/100)^Skills!K12</f>
        <v/>
      </c>
      <c r="I470" t="inlineStr">
        <is>
          <t>1</t>
        </is>
      </c>
      <c r="J470">
        <f>((Inputs!$B$6*(1+Inputs!$B$7/100))+(((Inputs!$B$12*(1+Inputs!$B$13/100))-(Inputs!$B$12*(1+Inputs!$B$13/100)))+0.25*(Inputs!$B$14-Inputs!$B$14))*(1+Inputs!$B$7/100))*(F470/100)</f>
        <v/>
      </c>
      <c r="K470">
        <f>J470*(1+((Inputs!$B$12*(1+Inputs!$B$13/100))*0.01+Inputs!$B$14*0.0025)/100)*(1+Inputs!$B$15/100)*(1+Inputs!$B$16/100)*(5000/(6000+Inputs!$B$42*(1-(100*(1-(1-(Inputs!$B$19+0)/100)*(1-CHOOSE(ArtifactsInput!$N$40+1,5,6,7,8,9,10)/100)^(ArtifactsInput!$M$40-ArtifactsInput!$M$40)))/100)))*(1+(Inputs!$B$24+((C484=TRUE)*(F484-Calc!F26))+B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481=TRUE)*(F481-Calc!F23))+((C485=TRUE)*(F485-Calc!F27))+(((IF(AND(ArtifactsInput!$M$42,((Inputs!$B$9+((C477=TRUE)*(F477-Calc!F19))+B488+(ArtifactsInput!$M$24-ArtifactsInput!$M$24)*CHOOSE(ArtifactsInput!$N$24+1,10,12,14,16,18,20)+IF(ArtifactsInput!$M$10,CHOOSE(ArtifactsInput!$N$10+1,15,18,21,24,27,30)*(IF(Inputs!$B$38="pvp",MIN(15,15)/15,IF(AND(Inputs!$B$38&lt;&gt;"pvp",Inputs!$B$43&gt;0),MIN(15,Inputs!$B$43)/(Inputs!$B$43),0))),0)))&gt;=100),MIN(100,((Inputs!$B$9+((C477=TRUE)*(F477-Calc!F19))+B488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477=TRUE)*(F477-Calc!F19))+B488+(ArtifactsInput!$M$24-ArtifactsInput!$M$24)*CHOOSE(ArtifactsInput!$N$24+1,10,12,14,16,18,20)+IF(ArtifactsInput!$M$10,CHOOSE(ArtifactsInput!$N$10+1,15,18,21,24,27,30)*(IF(Inputs!$B$38="pvp",MIN(15,15)/15,IF(AND(Inputs!$B$38&lt;&gt;"pvp",Inputs!$B$43&gt;0),MIN(15,Inputs!$B$43)/(Inputs!$B$43),0))),0)))&gt;=100),CHOOSE(ArtifactsInput!$N$42+1,40,48,56,64,72,80),0))))/100)*((1+(((C475=TRUE)*F475)+((C482=TRUE)*(F482-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470)</f>
        <v/>
      </c>
      <c r="L470">
        <f>K470*(MIN(Inputs!$B$22+((C480=TRUE)*(F480-Calc!F22)),((Inputs!$B$23+1)+0+(IF(ArtifactsInput!$M$15,CHOOSE(ArtifactsInput!$N$15+1,25,30,35,40,45,50)/100*(Inputs!$B$11-Inputs!$B$11),0))))/100+((Inputs!$B$23+1)+0+(IF(ArtifactsInput!$M$15,CHOOSE(ArtifactsInput!$N$15+1,25,30,35,40,45,50)/100*(Inputs!$B$11-Inputs!$B$11),0)))/100)/2</f>
        <v/>
      </c>
      <c r="M470">
        <f>L470*(1+(Inputs!$B$10+((C483=TRUE)*(F483-Calc!F25))+B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0">
        <f>L470*(1-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470*(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0">
        <f>(1-Summary!$B$11)*T470+Summary!$B$11*V470</f>
        <v/>
      </c>
      <c r="P470">
        <f>IF(B498=0,0,O470/B498)</f>
        <v/>
      </c>
      <c r="Q470">
        <f>IFERROR(1/(IF(Inputs!$B$38="pvp",15,MAX(0.1,Skills!D12-IF(Skills!E12=TRUE,Inputs!$B$32,0)))*(1-IF(AND(ArtifactsInput!$M$27,Inputs!$B$4="Chapter Hunt"),CHOOSE(ArtifactsInput!$N$27+1,20,24,28,32,36,40),0)/100)),0)</f>
        <v/>
      </c>
      <c r="R470">
        <f>IF(AND(Inputs!$B$38&lt;&gt;"pvp",Inputs!$B$43&gt;0),IF(MAX(0,Inputs!$B$43-B495)&lt;=0,0,(INT(MAX(0,Inputs!$B$43-B495)/(IF(Inputs!$B$38="pvp",15,MAX(0.1,Skills!D12-IF(Skills!E12=TRUE,Inputs!$B$32,0)))*(1-IF(AND(ArtifactsInput!$M$27,Inputs!$B$4="Chapter Hunt"),CHOOSE(ArtifactsInput!$N$27+1,20,24,28,32,36,40),0)/100)))+1)),0)</f>
        <v/>
      </c>
      <c r="S470">
        <f>IFERROR(O470/N470,0)</f>
        <v/>
      </c>
      <c r="T470">
        <f>IF(C470,(H470*N470*IF(AND(Inputs!$B$38&lt;&gt;"pvp",Inputs!$B$43&gt;0),((Skills!G12*((R470-1)*IF(Skills!H12&gt;0,Skills!I12/Skills!H12,1)+IF(Skills!H12&gt;0,MIN(Skills!I12,MAX(0,MAX(0,Inputs!$B$43-B495)-((R470-1)*(IF(Inputs!$B$38="pvp",15,MAX(0.1,Skills!D12-IF(Skills!E12=TRUE,Inputs!$B$32,0)))*(1-IF(AND(ArtifactsInput!$M$27,Inputs!$B$4="Chapter Hunt"),CHOOSE(ArtifactsInput!$N$27+1,20,24,28,32,36,40),0)/100)))))/Skills!H12,1)))/Inputs!$B$43),G470*Q470)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470*(1-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470*(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470*(1-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470*(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0">
        <f>IF(C470,(H470*N470*IF(AND(Inputs!$B$38&lt;&gt;"pvp",Inputs!$B$43&gt;0),((Skills!G12*((R470-1)*IF(Skills!H12&gt;0,Skills!I12/Skills!H12,1)+IF(Skills!H12&gt;0,MIN(Skills!I12,MAX(0,MAX(0,Inputs!$B$43-B495)-((R470-1)*(IF(Inputs!$B$38="pvp",15,MAX(0.1,Skills!D12-IF(Skills!E12=TRUE,Inputs!$B$32,0)))*(1-IF(AND(ArtifactsInput!$M$27,Inputs!$B$4="Chapter Hunt"),CHOOSE(ArtifactsInput!$N$27+1,20,24,28,32,36,40),0)/100)))))/Skills!H12,1)))/Inputs!$B$43),G470*Q470))*IF(Inputs!$B$38="pvp",1,(1+(Inputs!$B$21+Skills!Q12+(IF(ArtifactsInput!$M$33,CHOOSE(ArtifactsInput!$N$33+1,30,36,42,48,54,60)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1">
      <c r="A471">
        <f>Skills!A13</f>
        <v/>
      </c>
      <c r="B471">
        <f>Skills!B13</f>
        <v/>
      </c>
      <c r="C471">
        <f>Inputs!$B$3&gt;=110</f>
        <v/>
      </c>
      <c r="D471">
        <f>IF(Skills!C13=1,60+Inputs!$B$25+Inputs!$B$29,IF(Skills!C13=2,90+Inputs!$B$26+Inputs!$B$29,IF(Skills!C13=3,120+Inputs!$B$27+Inputs!$B$29,MAX(0,(Inputs!$B$3-100)*3)+Inputs!$B$28+Inputs!$B$29)))</f>
        <v/>
      </c>
      <c r="E471">
        <f>INDEX(FactorTable!$B$2:$Y$301, MATCH(ROUND(MIN(300,MAX(1,D471)),0), FactorTable!$A$2:$A$301,0), Skills!M13+1)</f>
        <v/>
      </c>
      <c r="F471">
        <f>IF(Skills!N13=TRUE,(Skills!L13/10)*(E471/1000),Skills!L13/10)+Skills!O13</f>
        <v/>
      </c>
      <c r="G471">
        <f>Skills!G13*IF(Skills!H13&gt;0,Skills!I13/Skills!H13,1)</f>
        <v/>
      </c>
      <c r="H471">
        <f>1-(1-Skills!J13/100)^Skills!K13</f>
        <v/>
      </c>
      <c r="I471" t="inlineStr">
        <is>
          <t>1</t>
        </is>
      </c>
      <c r="J471">
        <f>((Inputs!$B$6*(1+Inputs!$B$7/100))+(((Inputs!$B$12*(1+Inputs!$B$13/100))-(Inputs!$B$12*(1+Inputs!$B$13/100)))+0.25*(Inputs!$B$14-Inputs!$B$14))*(1+Inputs!$B$7/100))*(F471/100)</f>
        <v/>
      </c>
      <c r="K471">
        <f>J471*(1+((Inputs!$B$12*(1+Inputs!$B$13/100))*0.01+Inputs!$B$14*0.0025)/100)*(1+Inputs!$B$15/100)*(1+Inputs!$B$16/100)*(5000/(6000+Inputs!$B$42*(1-(100*(1-(1-(Inputs!$B$19+0)/100)*(1-CHOOSE(ArtifactsInput!$N$40+1,5,6,7,8,9,10)/100)^(ArtifactsInput!$M$40-ArtifactsInput!$M$40)))/100)))*(1+(Inputs!$B$24+((C484=TRUE)*(F484-Calc!F26))+B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481=TRUE)*(F481-Calc!F23))+((C485=TRUE)*(F485-Calc!F27))+(((IF(AND(ArtifactsInput!$M$42,((Inputs!$B$9+((C477=TRUE)*(F477-Calc!F19))+B488+(ArtifactsInput!$M$24-ArtifactsInput!$M$24)*CHOOSE(ArtifactsInput!$N$24+1,10,12,14,16,18,20)+IF(ArtifactsInput!$M$10,CHOOSE(ArtifactsInput!$N$10+1,15,18,21,24,27,30)*(IF(Inputs!$B$38="pvp",MIN(15,15)/15,IF(AND(Inputs!$B$38&lt;&gt;"pvp",Inputs!$B$43&gt;0),MIN(15,Inputs!$B$43)/(Inputs!$B$43),0))),0)))&gt;=100),MIN(100,((Inputs!$B$9+((C477=TRUE)*(F477-Calc!F19))+B488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477=TRUE)*(F477-Calc!F19))+B488+(ArtifactsInput!$M$24-ArtifactsInput!$M$24)*CHOOSE(ArtifactsInput!$N$24+1,10,12,14,16,18,20)+IF(ArtifactsInput!$M$10,CHOOSE(ArtifactsInput!$N$10+1,15,18,21,24,27,30)*(IF(Inputs!$B$38="pvp",MIN(15,15)/15,IF(AND(Inputs!$B$38&lt;&gt;"pvp",Inputs!$B$43&gt;0),MIN(15,Inputs!$B$43)/(Inputs!$B$43),0))),0)))&gt;=100),CHOOSE(ArtifactsInput!$N$42+1,40,48,56,64,72,80),0))))/100)*((1+(((C475=TRUE)*F475)+((C482=TRUE)*(F482-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471)</f>
        <v/>
      </c>
      <c r="L471">
        <f>K471*(MIN(Inputs!$B$22+((C480=TRUE)*(F480-Calc!F22)),((Inputs!$B$23+1)+0+(IF(ArtifactsInput!$M$15,CHOOSE(ArtifactsInput!$N$15+1,25,30,35,40,45,50)/100*(Inputs!$B$11-Inputs!$B$11),0))))/100+((Inputs!$B$23+1)+0+(IF(ArtifactsInput!$M$15,CHOOSE(ArtifactsInput!$N$15+1,25,30,35,40,45,50)/100*(Inputs!$B$11-Inputs!$B$11),0)))/100)/2</f>
        <v/>
      </c>
      <c r="M471">
        <f>L471*(1+(Inputs!$B$10+((C483=TRUE)*(F483-Calc!F25))+B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1">
        <f>L471*(1-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1">
        <f>(1-Summary!$B$11)*T471+Summary!$B$11*V471</f>
        <v/>
      </c>
      <c r="P471">
        <f>IF(B498=0,0,O471/B498)</f>
        <v/>
      </c>
      <c r="Q471">
        <f>IFERROR(1/(IF(Inputs!$B$38="pvp",15,MAX(0.1,Skills!D13-IF(Skills!E13=TRUE,Inputs!$B$32,0)))*(1-IF(AND(ArtifactsInput!$M$27,Inputs!$B$4="Chapter Hunt"),CHOOSE(ArtifactsInput!$N$27+1,20,24,28,32,36,40),0)/100)),0)</f>
        <v/>
      </c>
      <c r="R471">
        <f>IF(AND(Inputs!$B$38&lt;&gt;"pvp",Inputs!$B$43&gt;0),IF(MAX(0,Inputs!$B$43-B495)&lt;=0,0,(INT(MAX(0,Inputs!$B$43-B495)/(IF(Inputs!$B$38="pvp",15,MAX(0.1,Skills!D13-IF(Skills!E13=TRUE,Inputs!$B$32,0)))*(1-IF(AND(ArtifactsInput!$M$27,Inputs!$B$4="Chapter Hunt"),CHOOSE(ArtifactsInput!$N$27+1,20,24,28,32,36,40),0)/100)))+1)),0)</f>
        <v/>
      </c>
      <c r="S471">
        <f>IFERROR(O471/N471,0)</f>
        <v/>
      </c>
      <c r="T471">
        <f>IF(C471,(H471*N471*IF(AND(Inputs!$B$38&lt;&gt;"pvp",Inputs!$B$43&gt;0),((Skills!G13*((R471-1)*IF(Skills!H13&gt;0,Skills!I13/Skills!H13,1)+IF(Skills!H13&gt;0,MIN(Skills!I13,MAX(0,MAX(0,Inputs!$B$43-B495)-((R471-1)*(IF(Inputs!$B$38="pvp",15,MAX(0.1,Skills!D13-IF(Skills!E13=TRUE,Inputs!$B$32,0)))*(1-IF(AND(ArtifactsInput!$M$27,Inputs!$B$4="Chapter Hunt"),CHOOSE(ArtifactsInput!$N$27+1,20,24,28,32,36,40),0)/100)))))/Skills!H13,1)))/Inputs!$B$43),G471*Q471))*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471*(1-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471*(1-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1">
        <f>IF(C471,(H471*N471*IF(AND(Inputs!$B$38&lt;&gt;"pvp",Inputs!$B$43&gt;0),((Skills!G13*((R471-1)*IF(Skills!H13&gt;0,Skills!I13/Skills!H13,1)+IF(Skills!H13&gt;0,MIN(Skills!I13,MAX(0,MAX(0,Inputs!$B$43-B495)-((R471-1)*(IF(Inputs!$B$38="pvp",15,MAX(0.1,Skills!D13-IF(Skills!E13=TRUE,Inputs!$B$32,0)))*(1-IF(AND(ArtifactsInput!$M$27,Inputs!$B$4="Chapter Hunt"),CHOOSE(ArtifactsInput!$N$27+1,20,24,28,32,36,40),0)/100)))))/Skills!H13,1)))/Inputs!$B$43),G471*Q471))*IF(Inputs!$B$38="pvp",1,(1+(Inputs!$B$21+Skills!Q13+(IF(ArtifactsInput!$M$33,CHOOSE(ArtifactsInput!$N$33+1,30,36,42,48,54,60)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2">
      <c r="A472">
        <f>Skills!A14</f>
        <v/>
      </c>
      <c r="B472">
        <f>Skills!B14</f>
        <v/>
      </c>
      <c r="C472">
        <f>Inputs!$B$3&gt;=125</f>
        <v/>
      </c>
      <c r="D472">
        <f>IF(Skills!C14=1,60+Inputs!$B$25+Inputs!$B$29,IF(Skills!C14=2,90+Inputs!$B$26+Inputs!$B$29,IF(Skills!C14=3,120+Inputs!$B$27+Inputs!$B$29,MAX(0,(Inputs!$B$3-100)*3)+Inputs!$B$28+Inputs!$B$29)))</f>
        <v/>
      </c>
      <c r="E472">
        <f>INDEX(FactorTable!$B$2:$Y$301, MATCH(ROUND(MIN(300,MAX(1,D472)),0), FactorTable!$A$2:$A$301,0), Skills!M14+1)</f>
        <v/>
      </c>
      <c r="F472">
        <f>IF(Skills!N14=TRUE,(Skills!L14/10)*(E472/1000),Skills!L14/10)+Skills!O14</f>
        <v/>
      </c>
      <c r="G472">
        <f>Skills!G14*IF(Skills!H14&gt;0,Skills!I14/Skills!H14,1)</f>
        <v/>
      </c>
      <c r="H472">
        <f>1-(1-Skills!J14/100)^Skills!K14</f>
        <v/>
      </c>
      <c r="I472" t="inlineStr">
        <is>
          <t>1</t>
        </is>
      </c>
      <c r="J472">
        <f>((Inputs!$B$6*(1+Inputs!$B$7/100))+(((Inputs!$B$12*(1+Inputs!$B$13/100))-(Inputs!$B$12*(1+Inputs!$B$13/100)))+0.25*(Inputs!$B$14-Inputs!$B$14))*(1+Inputs!$B$7/100))*(F472/100)</f>
        <v/>
      </c>
      <c r="K472">
        <f>J472*(1+((Inputs!$B$12*(1+Inputs!$B$13/100))*0.01+Inputs!$B$14*0.0025)/100)*(1+Inputs!$B$15/100)*(1+Inputs!$B$16/100)*(5000/(6000+Inputs!$B$42*(1-(100*(1-(1-(Inputs!$B$19+0)/100)*(1-CHOOSE(ArtifactsInput!$N$40+1,5,6,7,8,9,10)/100)^(ArtifactsInput!$M$40-ArtifactsInput!$M$40)))/100)))*(1+(Inputs!$B$24+((C484=TRUE)*(F484-Calc!F26))+B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481=TRUE)*(F481-Calc!F23))+((C485=TRUE)*(F485-Calc!F27))+(((IF(AND(ArtifactsInput!$M$42,((Inputs!$B$9+((C477=TRUE)*(F477-Calc!F19))+B488+(ArtifactsInput!$M$24-ArtifactsInput!$M$24)*CHOOSE(ArtifactsInput!$N$24+1,10,12,14,16,18,20)+IF(ArtifactsInput!$M$10,CHOOSE(ArtifactsInput!$N$10+1,15,18,21,24,27,30)*(IF(Inputs!$B$38="pvp",MIN(15,15)/15,IF(AND(Inputs!$B$38&lt;&gt;"pvp",Inputs!$B$43&gt;0),MIN(15,Inputs!$B$43)/(Inputs!$B$43),0))),0)))&gt;=100),MIN(100,((Inputs!$B$9+((C477=TRUE)*(F477-Calc!F19))+B488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477=TRUE)*(F477-Calc!F19))+B488+(ArtifactsInput!$M$24-ArtifactsInput!$M$24)*CHOOSE(ArtifactsInput!$N$24+1,10,12,14,16,18,20)+IF(ArtifactsInput!$M$10,CHOOSE(ArtifactsInput!$N$10+1,15,18,21,24,27,30)*(IF(Inputs!$B$38="pvp",MIN(15,15)/15,IF(AND(Inputs!$B$38&lt;&gt;"pvp",Inputs!$B$43&gt;0),MIN(15,Inputs!$B$43)/(Inputs!$B$43),0))),0)))&gt;=100),CHOOSE(ArtifactsInput!$N$42+1,40,48,56,64,72,80),0))))/100)*((1+(((C475=TRUE)*F475)+((C482=TRUE)*(F482-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472)</f>
        <v/>
      </c>
      <c r="L472">
        <f>K472*(MIN(Inputs!$B$22+((C480=TRUE)*(F480-Calc!F22)),((Inputs!$B$23+1)+0+(IF(ArtifactsInput!$M$15,CHOOSE(ArtifactsInput!$N$15+1,25,30,35,40,45,50)/100*(Inputs!$B$11-Inputs!$B$11),0))))/100+((Inputs!$B$23+1)+0+(IF(ArtifactsInput!$M$15,CHOOSE(ArtifactsInput!$N$15+1,25,30,35,40,45,50)/100*(Inputs!$B$11-Inputs!$B$11),0)))/100)/2</f>
        <v/>
      </c>
      <c r="M472">
        <f>L472*(1+(Inputs!$B$10+((C483=TRUE)*(F483-Calc!F25))+B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2">
        <f>L472*(1-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472*(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2">
        <f>(1-Summary!$B$11)*T472+Summary!$B$11*V472</f>
        <v/>
      </c>
      <c r="P472">
        <f>IF(B498=0,0,O472/B498)</f>
        <v/>
      </c>
      <c r="Q472" t="n">
        <v>0</v>
      </c>
      <c r="R472" t="n">
        <v>0</v>
      </c>
      <c r="S472">
        <f>IFERROR(O472/N472,0)</f>
        <v/>
      </c>
      <c r="T472">
        <f>IF(C472,(H472*N472*(B492+IF(AND(Inputs!$B$38&lt;&gt;"pvp",Inputs!$B$43&gt;0),((Skills!G8*((R466-1)*IF(Skills!H8&gt;0,Skills!I8/Skills!H8,1)+IF(Skills!H8&gt;0,MIN(Skills!I8,MAX(0,MAX(0,Inputs!$B$43-B495)-((R466-1)*(IF(Inputs!$B$38="pvp",15,MAX(0.1,Skills!D8-IF(Skills!E8=TRUE,Inputs!$B$32,0)))*(1-IF(AND(ArtifactsInput!$M$27,Inputs!$B$4="Chapter Hunt"),CHOOSE(ArtifactsInput!$N$27+1,20,24,28,32,36,40),0)/100)))))/Skills!H8,1)))/Inputs!$B$43),G466*Q466)+IF(AND(Inputs!$B$38&lt;&gt;"pvp",Inputs!$B$43&gt;0),((Skills!G11*((R469-1)*IF(Skills!H11&gt;0,Skills!I11/Skills!H11,1)+IF(Skills!H11&gt;0,MIN(Skills!I11,MAX(0,MAX(0,Inputs!$B$43-B495)-((R469-1)*(IF(Inputs!$B$38="pvp",15,MAX(0.1,Skills!D11-IF(Skills!E11=TRUE,Inputs!$B$32,0)))*(1-IF(AND(ArtifactsInput!$M$27,Inputs!$B$4="Chapter Hunt"),CHOOSE(ArtifactsInput!$N$27+1,20,24,28,32,36,40),0)/100)))))/Skills!H11,1)))/Inputs!$B$43),G469*Q469)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472*(1-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472*(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472*(1-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472*(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2">
        <f>IF(C472,(H472*N472*(B492+IF(AND(Inputs!$B$38&lt;&gt;"pvp",Inputs!$B$43&gt;0),((Skills!G8*((R466-1)*IF(Skills!H8&gt;0,Skills!I8/Skills!H8,1)+IF(Skills!H8&gt;0,MIN(Skills!I8,MAX(0,MAX(0,Inputs!$B$43-B495)-((R466-1)*(IF(Inputs!$B$38="pvp",15,MAX(0.1,Skills!D8-IF(Skills!E8=TRUE,Inputs!$B$32,0)))*(1-IF(AND(ArtifactsInput!$M$27,Inputs!$B$4="Chapter Hunt"),CHOOSE(ArtifactsInput!$N$27+1,20,24,28,32,36,40),0)/100)))))/Skills!H8,1)))/Inputs!$B$43),G466*Q466)+IF(AND(Inputs!$B$38&lt;&gt;"pvp",Inputs!$B$43&gt;0),((Skills!G11*((R469-1)*IF(Skills!H11&gt;0,Skills!I11/Skills!H11,1)+IF(Skills!H11&gt;0,MIN(Skills!I11,MAX(0,MAX(0,Inputs!$B$43-B495)-((R469-1)*(IF(Inputs!$B$38="pvp",15,MAX(0.1,Skills!D11-IF(Skills!E11=TRUE,Inputs!$B$32,0)))*(1-IF(AND(ArtifactsInput!$M$27,Inputs!$B$4="Chapter Hunt"),CHOOSE(ArtifactsInput!$N$27+1,20,24,28,32,36,40),0)/100)))))/Skills!H11,1)))/Inputs!$B$43),G469*Q469)))*IF(Inputs!$B$38="pvp",1,(1+(Inputs!$B$21+Skills!Q14+(IF(ArtifactsInput!$M$33,CHOOSE(ArtifactsInput!$N$33+1,30,36,42,48,54,60)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3">
      <c r="A473">
        <f>Skills!A15</f>
        <v/>
      </c>
      <c r="B473">
        <f>Skills!B15</f>
        <v/>
      </c>
      <c r="C473">
        <f>Inputs!$B$3&gt;=100</f>
        <v/>
      </c>
      <c r="D473">
        <f>IF(Skills!C15=1,60+Inputs!$B$25+Inputs!$B$29,IF(Skills!C15=2,90+Inputs!$B$26+Inputs!$B$29,IF(Skills!C15=3,120+Inputs!$B$27+Inputs!$B$29,MAX(0,(Inputs!$B$3-100)*3)+Inputs!$B$28+Inputs!$B$29)))</f>
        <v/>
      </c>
      <c r="E473">
        <f>INDEX(FactorTable!$B$2:$Y$301, MATCH(ROUND(MIN(300,MAX(1,D473)),0), FactorTable!$A$2:$A$301,0), Skills!M15+1)</f>
        <v/>
      </c>
      <c r="F473">
        <f>IF(Skills!N15=TRUE,(Skills!L15/10)*(E473/1000),Skills!L15/10)+Skills!O15</f>
        <v/>
      </c>
      <c r="G473" t="inlineStr"/>
      <c r="H473" t="inlineStr"/>
      <c r="I473" t="inlineStr">
        <is>
          <t>1</t>
        </is>
      </c>
      <c r="J473" t="inlineStr"/>
      <c r="K473" t="inlineStr"/>
      <c r="L473" t="inlineStr"/>
      <c r="M473" t="inlineStr"/>
      <c r="N473" t="inlineStr"/>
      <c r="O473" t="inlineStr"/>
      <c r="P473" t="inlineStr"/>
      <c r="Q473" t="inlineStr"/>
      <c r="R473" t="inlineStr"/>
      <c r="S473" t="inlineStr"/>
    </row>
    <row r="474">
      <c r="A474">
        <f>Skills!A16</f>
        <v/>
      </c>
      <c r="B474">
        <f>Skills!B16</f>
        <v/>
      </c>
      <c r="C474">
        <f>Inputs!$B$3&gt;=120</f>
        <v/>
      </c>
      <c r="D474">
        <f>IF(Skills!C16=1,60+Inputs!$B$25+Inputs!$B$29,IF(Skills!C16=2,90+Inputs!$B$26+Inputs!$B$29,IF(Skills!C16=3,120+Inputs!$B$27+Inputs!$B$29,MAX(0,(Inputs!$B$3-100)*3)+Inputs!$B$28+Inputs!$B$29)))</f>
        <v/>
      </c>
      <c r="E474">
        <f>INDEX(FactorTable!$B$2:$Y$301, MATCH(ROUND(MIN(300,MAX(1,D474)),0), FactorTable!$A$2:$A$301,0), Skills!M16+1)</f>
        <v/>
      </c>
      <c r="F474">
        <f>IF(Skills!N16=TRUE,(Skills!L16/10)*(E474/1000),Skills!L16/10)+Skills!O16</f>
        <v/>
      </c>
      <c r="G474" t="inlineStr"/>
      <c r="H474" t="inlineStr"/>
      <c r="I474" t="inlineStr">
        <is>
          <t>1</t>
        </is>
      </c>
      <c r="J474" t="inlineStr"/>
      <c r="K474" t="inlineStr"/>
      <c r="L474" t="inlineStr"/>
      <c r="M474" t="inlineStr"/>
      <c r="N474" t="inlineStr"/>
      <c r="O474" t="inlineStr"/>
      <c r="P474" t="inlineStr"/>
      <c r="Q474" t="inlineStr"/>
      <c r="R474" t="inlineStr"/>
      <c r="S474" t="inlineStr"/>
    </row>
    <row r="475">
      <c r="A475">
        <f>Skills!A17</f>
        <v/>
      </c>
      <c r="B475">
        <f>Skills!B17</f>
        <v/>
      </c>
      <c r="C475">
        <f>Inputs!$B$3&gt;=66</f>
        <v/>
      </c>
      <c r="D475">
        <f>IF(Skills!C17=1,60+Inputs!$B$25+Inputs!$B$29,IF(Skills!C17=2,90+Inputs!$B$26+Inputs!$B$29,IF(Skills!C17=3,120+Inputs!$B$27+Inputs!$B$29,MAX(0,(Inputs!$B$3-100)*3)+Inputs!$B$28+Inputs!$B$29)))</f>
        <v/>
      </c>
      <c r="E475">
        <f>INDEX(FactorTable!$B$2:$Y$301, MATCH(ROUND(MIN(300,MAX(1,D475)),0), FactorTable!$A$2:$A$301,0), Skills!M17+1)</f>
        <v/>
      </c>
      <c r="F475">
        <f>IF(Skills!N17=TRUE,(Skills!L17/10)*(E475/1000),Skills!L17/10)+Skills!O17</f>
        <v/>
      </c>
      <c r="G475">
        <f>Skills!G17*IF(Skills!H17&gt;0,Skills!I17/Skills!H17,1)</f>
        <v/>
      </c>
      <c r="H475">
        <f>1-(1-Skills!J17/100)^Skills!K17</f>
        <v/>
      </c>
      <c r="I475" t="inlineStr">
        <is>
          <t>1</t>
        </is>
      </c>
      <c r="J475" t="inlineStr"/>
      <c r="K475" t="inlineStr"/>
      <c r="L475" t="inlineStr"/>
      <c r="M475" t="inlineStr"/>
      <c r="N475" t="inlineStr"/>
      <c r="O475">
        <f>(1-Summary!$B$11)*T475+Summary!$B$11*V475</f>
        <v/>
      </c>
      <c r="P475">
        <f>IF(B498=0,0,O475/B498)</f>
        <v/>
      </c>
      <c r="Q475" t="n">
        <v>0</v>
      </c>
      <c r="R475" t="n">
        <v>0</v>
      </c>
      <c r="S475">
        <f>IFERROR(O475/N475,0)</f>
        <v/>
      </c>
      <c r="T475" t="n">
        <v>0</v>
      </c>
      <c r="V475" t="n">
        <v>0</v>
      </c>
    </row>
    <row r="476">
      <c r="A476">
        <f>Skills!A18</f>
        <v/>
      </c>
      <c r="B476">
        <f>Skills!B18</f>
        <v/>
      </c>
      <c r="C476">
        <f>Inputs!$B$3&gt;=115</f>
        <v/>
      </c>
      <c r="D476">
        <f>IF(Skills!C18=1,60+Inputs!$B$25+Inputs!$B$29,IF(Skills!C18=2,90+Inputs!$B$26+Inputs!$B$29,IF(Skills!C18=3,120+Inputs!$B$27+Inputs!$B$29,MAX(0,(Inputs!$B$3-100)*3)+Inputs!$B$28+Inputs!$B$29)))</f>
        <v/>
      </c>
      <c r="E476">
        <f>INDEX(FactorTable!$B$2:$Y$301, MATCH(ROUND(MIN(300,MAX(1,D476)),0), FactorTable!$A$2:$A$301,0), Skills!M18+1)</f>
        <v/>
      </c>
      <c r="F476">
        <f>IF(Skills!N18=TRUE,(Skills!L18/10)*(E476/1000),Skills!L18/10)+Skills!O18</f>
        <v/>
      </c>
      <c r="G476">
        <f>Skills!G18*IF(Skills!H18&gt;0,Skills!I18/Skills!H18,1)</f>
        <v/>
      </c>
      <c r="H476">
        <f>1-(1-Skills!J18/100)^Skills!K18</f>
        <v/>
      </c>
      <c r="I476" t="inlineStr">
        <is>
          <t>1</t>
        </is>
      </c>
      <c r="J476" t="inlineStr"/>
      <c r="K476" t="inlineStr"/>
      <c r="L476" t="inlineStr"/>
      <c r="M476" t="inlineStr"/>
      <c r="N476" t="inlineStr"/>
      <c r="O476">
        <f>(1-Summary!$B$11)*T476+Summary!$B$11*V476</f>
        <v/>
      </c>
      <c r="P476">
        <f>IF(B498=0,0,O476/B498)</f>
        <v/>
      </c>
      <c r="Q476" t="n">
        <v>0</v>
      </c>
      <c r="R476" t="n">
        <v>0</v>
      </c>
      <c r="S476">
        <f>IFERROR(O476/N476,0)</f>
        <v/>
      </c>
      <c r="T476" t="n">
        <v>0</v>
      </c>
      <c r="V476" t="n">
        <v>0</v>
      </c>
    </row>
    <row r="477">
      <c r="A477">
        <f>Skills!A19</f>
        <v/>
      </c>
      <c r="B477">
        <f>Skills!B19</f>
        <v/>
      </c>
      <c r="C477">
        <f>Inputs!$B$3&gt;=15</f>
        <v/>
      </c>
      <c r="D477">
        <f>IF(Skills!C19=1,60+Inputs!$B$25+Inputs!$B$29,IF(Skills!C19=2,90+Inputs!$B$26+Inputs!$B$29,IF(Skills!C19=3,120+Inputs!$B$27+Inputs!$B$29,MAX(0,(Inputs!$B$3-100)*3)+Inputs!$B$28+Inputs!$B$29)))</f>
        <v/>
      </c>
      <c r="E477">
        <f>INDEX(FactorTable!$B$2:$Y$301, MATCH(ROUND(MIN(300,MAX(1,D477)),0), FactorTable!$A$2:$A$301,0), Skills!M19+1)</f>
        <v/>
      </c>
      <c r="F477">
        <f>IF(Skills!N19=TRUE,(Skills!L19/10)*(E477/1000),Skills!L19/10)+Skills!O19</f>
        <v/>
      </c>
      <c r="G477">
        <f>Skills!G19*IF(Skills!H19&gt;0,Skills!I19/Skills!H19,1)</f>
        <v/>
      </c>
      <c r="H477">
        <f>1-(1-Skills!J19/100)^Skills!K19</f>
        <v/>
      </c>
      <c r="I477" t="inlineStr">
        <is>
          <t>1</t>
        </is>
      </c>
      <c r="J477" t="inlineStr"/>
      <c r="K477" t="inlineStr"/>
      <c r="L477" t="inlineStr"/>
      <c r="M477" t="inlineStr"/>
      <c r="N477" t="inlineStr"/>
      <c r="O477">
        <f>(1-Summary!$B$11)*T477+Summary!$B$11*V477</f>
        <v/>
      </c>
      <c r="P477">
        <f>IF(B498=0,0,O477/B498)</f>
        <v/>
      </c>
      <c r="Q477" t="n">
        <v>0</v>
      </c>
      <c r="R477" t="n">
        <v>0</v>
      </c>
      <c r="S477">
        <f>IFERROR(O477/N477,0)</f>
        <v/>
      </c>
      <c r="T477" t="n">
        <v>0</v>
      </c>
      <c r="V477" t="n">
        <v>0</v>
      </c>
    </row>
    <row r="478">
      <c r="A478">
        <f>Skills!A20</f>
        <v/>
      </c>
      <c r="B478">
        <f>Skills!B20</f>
        <v/>
      </c>
      <c r="C478">
        <f>Inputs!$B$3&gt;=10</f>
        <v/>
      </c>
      <c r="D478">
        <f>IF(Skills!C20=1,60+Inputs!$B$25+Inputs!$B$29,IF(Skills!C20=2,90+Inputs!$B$26+Inputs!$B$29,IF(Skills!C20=3,120+Inputs!$B$27+Inputs!$B$29,MAX(0,(Inputs!$B$3-100)*3)+Inputs!$B$28+Inputs!$B$29)))</f>
        <v/>
      </c>
      <c r="E478">
        <f>INDEX(FactorTable!$B$2:$Y$301, MATCH(ROUND(MIN(300,MAX(1,D478)),0), FactorTable!$A$2:$A$301,0), Skills!M20+1)</f>
        <v/>
      </c>
      <c r="F478">
        <f>IF(Skills!N20=TRUE,(Skills!L20/10)*(E478/1000),Skills!L20/10)+Skills!O20</f>
        <v/>
      </c>
      <c r="G478">
        <f>Skills!G20*IF(Skills!H20&gt;0,Skills!I20/Skills!H20,1)</f>
        <v/>
      </c>
      <c r="H478">
        <f>1-(1-Skills!J20/100)^Skills!K20</f>
        <v/>
      </c>
      <c r="I478" t="inlineStr">
        <is>
          <t>1</t>
        </is>
      </c>
      <c r="J478" t="inlineStr"/>
      <c r="K478" t="inlineStr"/>
      <c r="L478" t="inlineStr"/>
      <c r="M478" t="inlineStr"/>
      <c r="N478" t="inlineStr"/>
      <c r="O478">
        <f>(1-Summary!$B$11)*T478+Summary!$B$11*V478</f>
        <v/>
      </c>
      <c r="P478">
        <f>IF(B498=0,0,O478/B498)</f>
        <v/>
      </c>
      <c r="Q478" t="n">
        <v>0</v>
      </c>
      <c r="R478" t="n">
        <v>0</v>
      </c>
      <c r="S478">
        <f>IFERROR(O478/N478,0)</f>
        <v/>
      </c>
      <c r="T478" t="n">
        <v>0</v>
      </c>
      <c r="V478" t="n">
        <v>0</v>
      </c>
    </row>
    <row r="479">
      <c r="A479">
        <f>Skills!A21</f>
        <v/>
      </c>
      <c r="B479">
        <f>Skills!B21</f>
        <v/>
      </c>
      <c r="C479">
        <f>Inputs!$B$3&gt;=33</f>
        <v/>
      </c>
      <c r="D479">
        <f>IF(Skills!C21=1,60+Inputs!$B$25+Inputs!$B$29,IF(Skills!C21=2,90+Inputs!$B$26+Inputs!$B$29,IF(Skills!C21=3,120+Inputs!$B$27+Inputs!$B$29,MAX(0,(Inputs!$B$3-100)*3)+Inputs!$B$28+Inputs!$B$29)))</f>
        <v/>
      </c>
      <c r="E479">
        <f>INDEX(FactorTable!$B$2:$Y$301, MATCH(ROUND(MIN(300,MAX(1,D479)),0), FactorTable!$A$2:$A$301,0), Skills!M21+1)</f>
        <v/>
      </c>
      <c r="F479">
        <f>IF(Skills!N21=TRUE,(Skills!L21/10)*(E479/1000),Skills!L21/10)+Skills!O21</f>
        <v/>
      </c>
      <c r="G479">
        <f>Skills!G21*IF(Skills!H21&gt;0,Skills!I21/Skills!H21,1)</f>
        <v/>
      </c>
      <c r="H479">
        <f>1-(1-Skills!J21/100)^Skills!K21</f>
        <v/>
      </c>
      <c r="I479" t="inlineStr">
        <is>
          <t>1</t>
        </is>
      </c>
      <c r="J479" t="inlineStr"/>
      <c r="K479" t="inlineStr"/>
      <c r="L479" t="inlineStr"/>
      <c r="M479" t="inlineStr"/>
      <c r="N479" t="inlineStr"/>
      <c r="O479">
        <f>(1-Summary!$B$11)*T479+Summary!$B$11*V479</f>
        <v/>
      </c>
      <c r="P479">
        <f>IF(B498=0,0,O479/B498)</f>
        <v/>
      </c>
      <c r="Q479" t="n">
        <v>0</v>
      </c>
      <c r="R479" t="n">
        <v>0</v>
      </c>
      <c r="S479">
        <f>IFERROR(O479/N479,0)</f>
        <v/>
      </c>
      <c r="T479" t="n">
        <v>0</v>
      </c>
      <c r="V479" t="n">
        <v>0</v>
      </c>
    </row>
    <row r="480">
      <c r="A480">
        <f>Skills!A22</f>
        <v/>
      </c>
      <c r="B480">
        <f>Skills!B22</f>
        <v/>
      </c>
      <c r="C480">
        <f>Inputs!$B$3&gt;=43</f>
        <v/>
      </c>
      <c r="D480">
        <f>IF(Skills!C22=1,60+Inputs!$B$25+Inputs!$B$29,IF(Skills!C22=2,90+Inputs!$B$26+Inputs!$B$29,IF(Skills!C22=3,120+Inputs!$B$27+Inputs!$B$29,MAX(0,(Inputs!$B$3-100)*3)+Inputs!$B$28+Inputs!$B$29)))</f>
        <v/>
      </c>
      <c r="E480">
        <f>INDEX(FactorTable!$B$2:$Y$301, MATCH(ROUND(MIN(300,MAX(1,D480)),0), FactorTable!$A$2:$A$301,0), Skills!M22+1)</f>
        <v/>
      </c>
      <c r="F480">
        <f>IF(Skills!N22=TRUE,(Skills!L22/10)*(E480/1000),Skills!L22/10)+Skills!O22</f>
        <v/>
      </c>
      <c r="G480">
        <f>Skills!G22*IF(Skills!H22&gt;0,Skills!I22/Skills!H22,1)</f>
        <v/>
      </c>
      <c r="H480">
        <f>1-(1-Skills!J22/100)^Skills!K22</f>
        <v/>
      </c>
      <c r="I480" t="inlineStr">
        <is>
          <t>1</t>
        </is>
      </c>
      <c r="J480" t="inlineStr"/>
      <c r="K480" t="inlineStr"/>
      <c r="L480" t="inlineStr"/>
      <c r="M480" t="inlineStr"/>
      <c r="N480" t="inlineStr"/>
      <c r="O480">
        <f>(1-Summary!$B$11)*T480+Summary!$B$11*V480</f>
        <v/>
      </c>
      <c r="P480">
        <f>IF(B498=0,0,O480/B498)</f>
        <v/>
      </c>
      <c r="Q480" t="n">
        <v>0</v>
      </c>
      <c r="R480" t="n">
        <v>0</v>
      </c>
      <c r="S480">
        <f>IFERROR(O480/N480,0)</f>
        <v/>
      </c>
      <c r="T480" t="n">
        <v>0</v>
      </c>
      <c r="V480" t="n">
        <v>0</v>
      </c>
    </row>
    <row r="481">
      <c r="A481">
        <f>Skills!A23</f>
        <v/>
      </c>
      <c r="B481">
        <f>Skills!B23</f>
        <v/>
      </c>
      <c r="C481">
        <f>Inputs!$B$3&gt;=38</f>
        <v/>
      </c>
      <c r="D481">
        <f>IF(Skills!C23=1,60+Inputs!$B$25+Inputs!$B$29,IF(Skills!C23=2,90+Inputs!$B$26+Inputs!$B$29,IF(Skills!C23=3,120+Inputs!$B$27+Inputs!$B$29,MAX(0,(Inputs!$B$3-100)*3)+Inputs!$B$28+Inputs!$B$29)))</f>
        <v/>
      </c>
      <c r="E481">
        <f>INDEX(FactorTable!$B$2:$Y$301, MATCH(ROUND(MIN(300,MAX(1,D481)),0), FactorTable!$A$2:$A$301,0), Skills!M23+1)</f>
        <v/>
      </c>
      <c r="F481">
        <f>IF(Skills!N23=TRUE,(Skills!L23/10)*(E481/1000),Skills!L23/10)+Skills!O23</f>
        <v/>
      </c>
      <c r="G481">
        <f>Skills!G23*IF(Skills!H23&gt;0,Skills!I23/Skills!H23,1)</f>
        <v/>
      </c>
      <c r="H481">
        <f>1-(1-Skills!J23/100)^Skills!K23</f>
        <v/>
      </c>
      <c r="I481" t="inlineStr">
        <is>
          <t>1</t>
        </is>
      </c>
      <c r="J481" t="inlineStr"/>
      <c r="K481" t="inlineStr"/>
      <c r="L481" t="inlineStr"/>
      <c r="M481" t="inlineStr"/>
      <c r="N481" t="inlineStr"/>
      <c r="O481">
        <f>(1-Summary!$B$11)*T481+Summary!$B$11*V481</f>
        <v/>
      </c>
      <c r="P481">
        <f>IF(B498=0,0,O481/B498)</f>
        <v/>
      </c>
      <c r="Q481" t="n">
        <v>0</v>
      </c>
      <c r="R481" t="n">
        <v>0</v>
      </c>
      <c r="S481">
        <f>IFERROR(O481/N481,0)</f>
        <v/>
      </c>
      <c r="T481" t="n">
        <v>0</v>
      </c>
      <c r="V481" t="n">
        <v>0</v>
      </c>
    </row>
    <row r="482">
      <c r="A482">
        <f>Skills!A24</f>
        <v/>
      </c>
      <c r="B482">
        <f>Skills!B24</f>
        <v/>
      </c>
      <c r="C482">
        <f>Inputs!$B$3&gt;=40</f>
        <v/>
      </c>
      <c r="D482">
        <f>IF(Skills!C24=1,60+Inputs!$B$25+Inputs!$B$29,IF(Skills!C24=2,90+Inputs!$B$26+Inputs!$B$29,IF(Skills!C24=3,120+Inputs!$B$27+Inputs!$B$29,MAX(0,(Inputs!$B$3-100)*3)+Inputs!$B$28+Inputs!$B$29)))</f>
        <v/>
      </c>
      <c r="E482">
        <f>INDEX(FactorTable!$B$2:$Y$301, MATCH(ROUND(MIN(300,MAX(1,D482)),0), FactorTable!$A$2:$A$301,0), Skills!M24+1)</f>
        <v/>
      </c>
      <c r="F482">
        <f>IF(Skills!N24=TRUE,(Skills!L24/10)*(E482/1000),Skills!L24/10)+Skills!O24</f>
        <v/>
      </c>
      <c r="G482">
        <f>Skills!G24*IF(Skills!H24&gt;0,Skills!I24/Skills!H24,1)</f>
        <v/>
      </c>
      <c r="H482">
        <f>1-(1-Skills!J24/100)^Skills!K24</f>
        <v/>
      </c>
      <c r="I482" t="inlineStr">
        <is>
          <t>1</t>
        </is>
      </c>
      <c r="J482" t="inlineStr"/>
      <c r="K482" t="inlineStr"/>
      <c r="L482" t="inlineStr"/>
      <c r="M482" t="inlineStr"/>
      <c r="N482" t="inlineStr"/>
      <c r="O482">
        <f>(1-Summary!$B$11)*T482+Summary!$B$11*V482</f>
        <v/>
      </c>
      <c r="P482">
        <f>IF(B498=0,0,O482/B498)</f>
        <v/>
      </c>
      <c r="Q482" t="n">
        <v>0</v>
      </c>
      <c r="R482" t="n">
        <v>0</v>
      </c>
      <c r="S482">
        <f>IFERROR(O482/N482,0)</f>
        <v/>
      </c>
      <c r="T482" t="n">
        <v>0</v>
      </c>
      <c r="V482" t="n">
        <v>0</v>
      </c>
    </row>
    <row r="483">
      <c r="A483">
        <f>Skills!A25</f>
        <v/>
      </c>
      <c r="B483">
        <f>Skills!B25</f>
        <v/>
      </c>
      <c r="C483">
        <f>Inputs!$B$3&gt;=72</f>
        <v/>
      </c>
      <c r="D483">
        <f>IF(Skills!C25=1,60+Inputs!$B$25+Inputs!$B$29,IF(Skills!C25=2,90+Inputs!$B$26+Inputs!$B$29,IF(Skills!C25=3,120+Inputs!$B$27+Inputs!$B$29,MAX(0,(Inputs!$B$3-100)*3)+Inputs!$B$28+Inputs!$B$29)))</f>
        <v/>
      </c>
      <c r="E483">
        <f>INDEX(FactorTable!$B$2:$Y$301, MATCH(ROUND(MIN(300,MAX(1,D483)),0), FactorTable!$A$2:$A$301,0), Skills!M25+1)</f>
        <v/>
      </c>
      <c r="F483">
        <f>IF(Skills!N25=TRUE,(Skills!L25/10)*(E483/1000),Skills!L25/10)+Skills!O25</f>
        <v/>
      </c>
      <c r="G483">
        <f>Skills!G25*IF(Skills!H25&gt;0,Skills!I25/Skills!H25,1)</f>
        <v/>
      </c>
      <c r="H483">
        <f>1-(1-Skills!J25/100)^Skills!K25</f>
        <v/>
      </c>
      <c r="I483" t="inlineStr">
        <is>
          <t>1</t>
        </is>
      </c>
      <c r="J483" t="inlineStr"/>
      <c r="K483" t="inlineStr"/>
      <c r="L483" t="inlineStr"/>
      <c r="M483" t="inlineStr"/>
      <c r="N483" t="inlineStr"/>
      <c r="O483">
        <f>(1-Summary!$B$11)*T483+Summary!$B$11*V483</f>
        <v/>
      </c>
      <c r="P483">
        <f>IF(B498=0,0,O483/B498)</f>
        <v/>
      </c>
      <c r="Q483" t="n">
        <v>0</v>
      </c>
      <c r="R483" t="n">
        <v>0</v>
      </c>
      <c r="S483">
        <f>IFERROR(O483/N483,0)</f>
        <v/>
      </c>
      <c r="T483" t="n">
        <v>0</v>
      </c>
      <c r="V483" t="n">
        <v>0</v>
      </c>
    </row>
    <row r="484">
      <c r="A484">
        <f>Skills!A26</f>
        <v/>
      </c>
      <c r="B484">
        <f>Skills!B26</f>
        <v/>
      </c>
      <c r="C484">
        <f>Inputs!$B$3&gt;=75</f>
        <v/>
      </c>
      <c r="D484">
        <f>IF(Skills!C26=1,60+Inputs!$B$25+Inputs!$B$29,IF(Skills!C26=2,90+Inputs!$B$26+Inputs!$B$29,IF(Skills!C26=3,120+Inputs!$B$27+Inputs!$B$29,MAX(0,(Inputs!$B$3-100)*3)+Inputs!$B$28+Inputs!$B$29)))</f>
        <v/>
      </c>
      <c r="E484">
        <f>INDEX(FactorTable!$B$2:$Y$301, MATCH(ROUND(MIN(300,MAX(1,D484)),0), FactorTable!$A$2:$A$301,0), Skills!M26+1)</f>
        <v/>
      </c>
      <c r="F484">
        <f>IF(Skills!N26=TRUE,(Skills!L26/10)*(E484/1000),Skills!L26/10)+Skills!O26</f>
        <v/>
      </c>
      <c r="G484">
        <f>Skills!G26*IF(Skills!H26&gt;0,Skills!I26/Skills!H26,1)</f>
        <v/>
      </c>
      <c r="H484">
        <f>1-(1-Skills!J26/100)^Skills!K26</f>
        <v/>
      </c>
      <c r="I484" t="inlineStr">
        <is>
          <t>1</t>
        </is>
      </c>
      <c r="J484" t="inlineStr"/>
      <c r="K484" t="inlineStr"/>
      <c r="L484" t="inlineStr"/>
      <c r="M484" t="inlineStr"/>
      <c r="N484" t="inlineStr"/>
      <c r="O484">
        <f>(1-Summary!$B$11)*T484+Summary!$B$11*V484</f>
        <v/>
      </c>
      <c r="P484">
        <f>IF(B498=0,0,O484/B498)</f>
        <v/>
      </c>
      <c r="Q484" t="n">
        <v>0</v>
      </c>
      <c r="R484" t="n">
        <v>0</v>
      </c>
      <c r="S484">
        <f>IFERROR(O484/N484,0)</f>
        <v/>
      </c>
      <c r="T484" t="n">
        <v>0</v>
      </c>
      <c r="V484" t="n">
        <v>0</v>
      </c>
    </row>
    <row r="485">
      <c r="A485">
        <f>Skills!A27</f>
        <v/>
      </c>
      <c r="B485">
        <f>Skills!B27</f>
        <v/>
      </c>
      <c r="C485">
        <f>Inputs!$B$3&gt;=117</f>
        <v/>
      </c>
      <c r="D485">
        <f>IF(Skills!C27=1,60+Inputs!$B$25+Inputs!$B$29,IF(Skills!C27=2,90+Inputs!$B$26+Inputs!$B$29,IF(Skills!C27=3,120+Inputs!$B$27+Inputs!$B$29,MAX(0,(Inputs!$B$3-100)*3)+Inputs!$B$28+Inputs!$B$29)))</f>
        <v/>
      </c>
      <c r="E485">
        <f>INDEX(FactorTable!$B$2:$Y$301, MATCH(ROUND(MIN(300,MAX(1,D485)),0), FactorTable!$A$2:$A$301,0), Skills!M27+1)</f>
        <v/>
      </c>
      <c r="F485">
        <f>IF(Skills!N27=TRUE,(Skills!L27/10)*(E485/1000),Skills!L27/10)+Skills!O27</f>
        <v/>
      </c>
      <c r="G485">
        <f>Skills!G27*IF(Skills!H27&gt;0,Skills!I27/Skills!H27,1)</f>
        <v/>
      </c>
      <c r="H485">
        <f>1-(1-Skills!J27/100)^Skills!K27</f>
        <v/>
      </c>
      <c r="I485" t="inlineStr">
        <is>
          <t>1</t>
        </is>
      </c>
      <c r="J485" t="inlineStr"/>
      <c r="K485" t="inlineStr"/>
      <c r="L485" t="inlineStr"/>
      <c r="M485" t="inlineStr"/>
      <c r="N485" t="inlineStr"/>
      <c r="O485">
        <f>(1-Summary!$B$11)*T485+Summary!$B$11*V485</f>
        <v/>
      </c>
      <c r="P485">
        <f>IF(B498=0,0,O485/B498)</f>
        <v/>
      </c>
      <c r="Q485" t="n">
        <v>0</v>
      </c>
      <c r="R485" t="n">
        <v>0</v>
      </c>
      <c r="S485">
        <f>IFERROR(O485/N485,0)</f>
        <v/>
      </c>
      <c r="T485" t="n">
        <v>0</v>
      </c>
      <c r="V485" t="n">
        <v>0</v>
      </c>
    </row>
    <row r="487">
      <c r="A487" t="inlineStr">
        <is>
          <t>Attack% Bucket Multiplier</t>
        </is>
      </c>
      <c r="B487">
        <f>(1+(((C475=TRUE)*F475)+((C482=TRUE)*(F482-Calc!F24))+(IF(ArtifactsInput!$M$21,CHOOSE(ArtifactsInput!$N$21+1,25,30,35,40,45,50)*(IF(OR(Inputs!$B$4="Chapter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88">
      <c r="A488" t="inlineStr">
        <is>
          <t>Global Crit Rate Bonus %</t>
        </is>
      </c>
      <c r="B488" t="n">
        <v>0</v>
      </c>
    </row>
    <row r="489">
      <c r="A489" t="inlineStr">
        <is>
          <t>Attack Speed Buff Bonus % (unused)</t>
        </is>
      </c>
      <c r="B489" t="n">
        <v>0</v>
      </c>
    </row>
    <row r="490">
      <c r="A490" t="inlineStr">
        <is>
          <t>Actions Per Second</t>
        </is>
      </c>
      <c r="B490">
        <f>1+MIN(150,150*(1-(1-(Inputs!$B$11+((C478=TRUE)*(F478-Calc!F20))+((C479=TRUE)*(F479-Calc!F21)))/150)*(1-B489/150)))/100</f>
        <v/>
      </c>
    </row>
    <row r="491">
      <c r="A491" t="inlineStr">
        <is>
          <t>Skill + Buff Cast Rate</t>
        </is>
      </c>
      <c r="B491">
        <f>IF(AND(Inputs!$B$38&lt;&gt;"pvp",Inputs!$B$43&gt;0),SUMPRODUCT((Skills!E2:E27=TRUE)*(C460:C485=TRUE)*R460:R485*Skills!F2:F27)/Inputs!$B$43,SUMPRODUCT((Skills!E2:E27=TRUE)*(C460:C485=TRUE)*Q460:Q485*Skills!F2:F27))</f>
        <v/>
      </c>
    </row>
    <row r="492">
      <c r="A492" t="inlineStr">
        <is>
          <t>Eight-Legs Easton Casts Per Second</t>
        </is>
      </c>
      <c r="B492">
        <f>MAX(0,B490-B491)</f>
        <v/>
      </c>
    </row>
    <row r="493">
      <c r="A493" t="inlineStr">
        <is>
          <t>Global Critical Damage Bonus % (unused)</t>
        </is>
      </c>
      <c r="B493" t="n">
        <v>0</v>
      </c>
    </row>
    <row r="494">
      <c r="A494" t="inlineStr">
        <is>
          <t>Global Final Damage Bonus % (Jolly Roger only)</t>
        </is>
      </c>
      <c r="B494">
        <f>((C476=TRUE)*F476)</f>
        <v/>
      </c>
    </row>
    <row r="495">
      <c r="A495" t="inlineStr">
        <is>
          <t>Buff-Casting Startup Delay (s, fixed-duration only)</t>
        </is>
      </c>
      <c r="B495">
        <f>IF(AND(Inputs!$B$38&lt;&gt;"pvp",Inputs!$B$43&gt;0),SUMPRODUCT((Skills!T2:T27&gt;0)*(Skills!E2:E27=TRUE)*(C460:C485=TRUE))/B490,0)</f>
        <v/>
      </c>
    </row>
    <row r="496">
      <c r="A496" t="inlineStr">
        <is>
          <t>Boss-Only Total DPS (this block's swept value)</t>
        </is>
      </c>
      <c r="B496">
        <f>SUM(T460:T485)</f>
        <v/>
      </c>
    </row>
    <row r="497">
      <c r="A497" t="inlineStr">
        <is>
          <t>Normal-Only Total DPS (this block's swept value)</t>
        </is>
      </c>
      <c r="B497">
        <f>SUM(V460:V485)</f>
        <v/>
      </c>
    </row>
    <row r="498">
      <c r="A498" s="6" t="inlineStr">
        <is>
          <t>TOTAL DPS</t>
        </is>
      </c>
      <c r="B498" s="6">
        <f>SUM(O460:O485)</f>
        <v/>
      </c>
    </row>
    <row r="501">
      <c r="A501" s="6" t="inlineStr">
        <is>
          <t>Stat: CRIT_RATE %</t>
        </is>
      </c>
    </row>
    <row r="502">
      <c r="A502" s="5" t="inlineStr">
        <is>
          <t>Key</t>
        </is>
      </c>
      <c r="B502" s="5" t="inlineStr">
        <is>
          <t>Name</t>
        </is>
      </c>
      <c r="C502" s="5" t="inlineStr">
        <is>
          <t>Unlocked</t>
        </is>
      </c>
      <c r="D502" s="5" t="inlineStr">
        <is>
          <t>InputLevel</t>
        </is>
      </c>
      <c r="E502" s="5" t="inlineStr">
        <is>
          <t>Factor</t>
        </is>
      </c>
      <c r="F502" s="5" t="inlineStr">
        <is>
          <t>CoefficientPercent</t>
        </is>
      </c>
      <c r="G502" s="5" t="inlineStr">
        <is>
          <t>EffectiveHits</t>
        </is>
      </c>
      <c r="H502" s="5" t="inlineStr">
        <is>
          <t>ProcProbability</t>
        </is>
      </c>
      <c r="I502" s="5" t="inlineStr">
        <is>
          <t>MapleHeroMultiplier</t>
        </is>
      </c>
      <c r="J502" s="5" t="inlineStr">
        <is>
          <t>BaseDamage</t>
        </is>
      </c>
      <c r="K502" s="5" t="inlineStr">
        <is>
          <t>BaseHitDamage</t>
        </is>
      </c>
      <c r="L502" s="5" t="inlineStr">
        <is>
          <t>NonCritAvg</t>
        </is>
      </c>
      <c r="M502" s="5" t="inlineStr">
        <is>
          <t>CritAvg</t>
        </is>
      </c>
      <c r="N502" s="5" t="inlineStr">
        <is>
          <t>ExpectedDamage(perHit)</t>
        </is>
      </c>
      <c r="O502" s="5" t="inlineStr">
        <is>
          <t>DPS</t>
        </is>
      </c>
      <c r="P502" s="5" t="inlineStr">
        <is>
          <t>% of Total</t>
        </is>
      </c>
      <c r="Q502" s="5" t="inlineStr">
        <is>
          <t>InvCooldown</t>
        </is>
      </c>
      <c r="R502" s="5" t="inlineStr">
        <is>
          <t>CastsInFight</t>
        </is>
      </c>
      <c r="S502" s="5" t="inlineStr">
        <is>
          <t>HitRate(perSec)</t>
        </is>
      </c>
      <c r="U502" t="inlineStr">
        <is>
          <t>helpers</t>
        </is>
      </c>
    </row>
    <row r="503">
      <c r="A503">
        <f>Skills!A2</f>
        <v/>
      </c>
      <c r="B503">
        <f>Skills!B2</f>
        <v/>
      </c>
      <c r="C503">
        <f>Inputs!$B$3&gt;=100</f>
        <v/>
      </c>
      <c r="D503" t="inlineStr"/>
      <c r="E503" t="inlineStr"/>
      <c r="F503">
        <f>U505+Skills!O2</f>
        <v/>
      </c>
      <c r="G503">
        <f>Skills!G2*IF(Skills!H2&gt;0,Skills!I2/Skills!H2,1)</f>
        <v/>
      </c>
      <c r="H503">
        <f>1-(1-Skills!J2/100)^Skills!K2</f>
        <v/>
      </c>
      <c r="I503" t="inlineStr">
        <is>
          <t>1</t>
        </is>
      </c>
      <c r="J503">
        <f>((Inputs!$B$6*(1+Inputs!$B$7/100))+(((Inputs!$B$12*(1+Inputs!$B$13/100))-(Inputs!$B$12*(1+Inputs!$B$13/100)))+0.25*(Inputs!$B$14-Inputs!$B$14))*(1+Inputs!$B$7/100))*(F503/100)</f>
        <v/>
      </c>
      <c r="K503">
        <f>J503*(1+((Inputs!$B$12*(1+Inputs!$B$13/100))*0.01+Inputs!$B$14*0.0025)/100)*(1+Inputs!$B$15/100)*(1+Inputs!$B$16/100)*(5000/(6000+Inputs!$B$42*(1-(100*(1-(1-(Inputs!$B$19+0)/100)*(1-CHOOSE(ArtifactsInput!$N$40+1,5,6,7,8,9,10)/100)^(ArtifactsInput!$M$40-ArtifactsInput!$M$40)))/100)))*(1+(Inputs!$B$24+((C527=TRUE)*(F527-Calc!F26))+B537)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524=TRUE)*(F524-Calc!F23))+((C528=TRUE)*(F528-Calc!F27))+(((IF(AND(ArtifactsInput!$M$42,(((Inputs!$B$9+1)+((C520=TRUE)*(F520-Calc!F19))+B531+(ArtifactsInput!$M$24-ArtifactsInput!$M$24)*CHOOSE(ArtifactsInput!$N$24+1,10,12,14,16,18,20)+IF(ArtifactsInput!$M$10,CHOOSE(ArtifactsInput!$N$10+1,15,18,21,24,27,30)*(IF(Inputs!$B$38="pvp",MIN(15,15)/15,IF(AND(Inputs!$B$38&lt;&gt;"pvp",Inputs!$B$43&gt;0),MIN(15,Inputs!$B$43)/(Inputs!$B$43),0))),0)))&gt;=100),MIN(100,(((Inputs!$B$9+1)+((C520=TRUE)*(F520-Calc!F19))+B531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520=TRUE)*(F520-Calc!F19))+B531+(ArtifactsInput!$M$24-ArtifactsInput!$M$24)*CHOOSE(ArtifactsInput!$N$24+1,10,12,14,16,18,20)+IF(ArtifactsInput!$M$10,CHOOSE(ArtifactsInput!$N$10+1,15,18,21,24,27,30)*(IF(Inputs!$B$38="pvp",MIN(15,15)/15,IF(AND(Inputs!$B$38&lt;&gt;"pvp",Inputs!$B$43&gt;0),MIN(15,Inputs!$B$43)/(Inputs!$B$43),0))),0)))&gt;=100),CHOOSE(ArtifactsInput!$N$42+1,40,48,56,64,72,80),0))))/100)*((1+(((C518=TRUE)*F518)+((C525=TRUE)*(F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503)</f>
        <v/>
      </c>
      <c r="L503">
        <f>K503*(MIN(Inputs!$B$22+((C523=TRUE)*(F523-Calc!F22)),(Inputs!$B$23+0+(IF(ArtifactsInput!$M$15,CHOOSE(ArtifactsInput!$N$15+1,25,30,35,40,45,50)/100*(Inputs!$B$11-Inputs!$B$11),0))))/100+(Inputs!$B$23+0+(IF(ArtifactsInput!$M$15,CHOOSE(ArtifactsInput!$N$15+1,25,30,35,40,45,50)/100*(Inputs!$B$11-Inputs!$B$11),0)))/100)/2</f>
        <v/>
      </c>
      <c r="M503">
        <f>L503*(1+(Inputs!$B$10+((C526=TRUE)*(F526-Calc!F25))+B536+(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3">
        <f>L503*(1-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503*(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3">
        <f>(1-Summary!$B$11)*T503+Summary!$B$11*V503</f>
        <v/>
      </c>
      <c r="P503">
        <f>IF(B541=0,0,O503/B541)</f>
        <v/>
      </c>
      <c r="Q503" t="n">
        <v>0</v>
      </c>
      <c r="R503" t="n">
        <v>0</v>
      </c>
      <c r="S503">
        <f>IFERROR(O503/N503,0)</f>
        <v/>
      </c>
      <c r="T503">
        <f>IF(C503,(Skills!G2*N503*B535)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503*(1-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503*(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503*(1-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503*(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03">
        <f>MAX(0,(Inputs!$B$3-100)*3)+Inputs!$B$28+Inputs!$B$29</f>
        <v/>
      </c>
      <c r="V503">
        <f>IF(C503,(Skills!G2*N503*B535)*IF(Inputs!$B$38="pvp",1,(1+(Inputs!$B$21+Skills!Q2+(IF(ArtifactsInput!$M$33,CHOOSE(ArtifactsInput!$N$33+1,30,36,42,48,54,60),0))+(IF(AND(ArtifactsInput!$M$35,Inputs!$B$4&lt;&gt;"Chapter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4">
      <c r="A504">
        <f>Skills!A3</f>
        <v/>
      </c>
      <c r="B504">
        <f>Skills!B3</f>
        <v/>
      </c>
      <c r="C504">
        <f>Inputs!$B$3&gt;=35</f>
        <v/>
      </c>
      <c r="D504">
        <f>IF(Skills!C3=1,60+Inputs!$B$25+Inputs!$B$29,IF(Skills!C3=2,90+Inputs!$B$26+Inputs!$B$29,IF(Skills!C3=3,120+Inputs!$B$27+Inputs!$B$29,MAX(0,(Inputs!$B$3-100)*3)+Inputs!$B$28+Inputs!$B$29)))</f>
        <v/>
      </c>
      <c r="E504">
        <f>INDEX(FactorTable!$B$2:$Y$301, MATCH(ROUND(MIN(300,MAX(1,D504)),0), FactorTable!$A$2:$A$301,0), Skills!M3+1)</f>
        <v/>
      </c>
      <c r="F504">
        <f>IF(Skills!N3=TRUE,(Skills!L3/10)*(E504/1000),Skills!L3/10)+Skills!O3</f>
        <v/>
      </c>
      <c r="G504">
        <f>Skills!G3*IF(Skills!H3&gt;0,Skills!I3/Skills!H3,1)</f>
        <v/>
      </c>
      <c r="H504">
        <f>1-(1-Skills!J3/100)^Skills!K3</f>
        <v/>
      </c>
      <c r="I504" t="inlineStr">
        <is>
          <t>1</t>
        </is>
      </c>
      <c r="J504">
        <f>((Inputs!$B$6*(1+Inputs!$B$7/100))+(((Inputs!$B$12*(1+Inputs!$B$13/100))-(Inputs!$B$12*(1+Inputs!$B$13/100)))+0.25*(Inputs!$B$14-Inputs!$B$14))*(1+Inputs!$B$7/100))*(F504/100)</f>
        <v/>
      </c>
      <c r="K504">
        <f>J504*(1+((Inputs!$B$12*(1+Inputs!$B$13/100))*0.01+Inputs!$B$14*0.0025)/100)*(1+Inputs!$B$15/100)*(1+Inputs!$B$16/100)*(5000/(6000+Inputs!$B$42*(1-(100*(1-(1-(Inputs!$B$19+0)/100)*(1-CHOOSE(ArtifactsInput!$N$40+1,5,6,7,8,9,10)/100)^(ArtifactsInput!$M$40-ArtifactsInput!$M$40)))/100)))*(1+(Inputs!$B$24+((C527=TRUE)*(F527-Calc!F26))+B537)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516=TRUE,F516,0)/100)*(1+(IF(Skills!A3="EIGHT_LEGS_EASTON",Inputs!$B$17+((C524=TRUE)*(F524-Calc!F23))+((C528=TRUE)*(F528-Calc!F27))+(((IF(AND(ArtifactsInput!$M$42,(((Inputs!$B$9+1)+((C520=TRUE)*(F520-Calc!F19))+B531+(ArtifactsInput!$M$24-ArtifactsInput!$M$24)*CHOOSE(ArtifactsInput!$N$24+1,10,12,14,16,18,20)+IF(ArtifactsInput!$M$10,CHOOSE(ArtifactsInput!$N$10+1,15,18,21,24,27,30)*(IF(Inputs!$B$38="pvp",MIN(15,15)/15,IF(AND(Inputs!$B$38&lt;&gt;"pvp",Inputs!$B$43&gt;0),MIN(15,Inputs!$B$43)/(Inputs!$B$43),0))),0)))&gt;=100),MIN(100,(((Inputs!$B$9+1)+((C520=TRUE)*(F520-Calc!F19))+B531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520=TRUE)*(F520-Calc!F19))+B531+(ArtifactsInput!$M$24-ArtifactsInput!$M$24)*CHOOSE(ArtifactsInput!$N$24+1,10,12,14,16,18,20)+IF(ArtifactsInput!$M$10,CHOOSE(ArtifactsInput!$N$10+1,15,18,21,24,27,30)*(IF(Inputs!$B$38="pvp",MIN(15,15)/15,IF(AND(Inputs!$B$38&lt;&gt;"pvp",Inputs!$B$43&gt;0),MIN(15,Inputs!$B$43)/(Inputs!$B$43),0))),0)))&gt;=100),CHOOSE(ArtifactsInput!$N$42+1,40,48,56,64,72,80),0))))/100)*((1+(((C518=TRUE)*F518)+((C525=TRUE)*(F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504)</f>
        <v/>
      </c>
      <c r="L504">
        <f>K504*(MIN(Inputs!$B$22+((C523=TRUE)*(F523-Calc!F22)),(Inputs!$B$23+0+(IF(ArtifactsInput!$M$15,CHOOSE(ArtifactsInput!$N$15+1,25,30,35,40,45,50)/100*(Inputs!$B$11-Inputs!$B$11),0))))/100+(Inputs!$B$23+0+(IF(ArtifactsInput!$M$15,CHOOSE(ArtifactsInput!$N$15+1,25,30,35,40,45,50)/100*(Inputs!$B$11-Inputs!$B$11),0)))/100)/2</f>
        <v/>
      </c>
      <c r="M504">
        <f>L504*(1+(Inputs!$B$10+((C526=TRUE)*(F526-Calc!F25))+B536+(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4">
        <f>L504*(1-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504*(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4">
        <f>(1-Summary!$B$11)*T504+Summary!$B$11*V504</f>
        <v/>
      </c>
      <c r="P504">
        <f>IF(B541=0,0,O504/B541)</f>
        <v/>
      </c>
      <c r="Q504">
        <f>IFERROR(1/(IF(Inputs!$B$38="pvp",15,MAX(0.1,Skills!D3-IF(Skills!E3=TRUE,Inputs!$B$32,0)))*(1-IF(AND(ArtifactsInput!$M$27,Inputs!$B$4="Chapter Hunt"),CHOOSE(ArtifactsInput!$N$27+1,20,24,28,32,36,40),0)/100)),0)</f>
        <v/>
      </c>
      <c r="R504">
        <f>IF(AND(Inputs!$B$38&lt;&gt;"pvp",Inputs!$B$43&gt;0),IF(MAX(0,Inputs!$B$43-B538)&lt;=0,0,(INT(MAX(0,Inputs!$B$43-B538)/(IF(Inputs!$B$38="pvp",15,MAX(0.1,Skills!D3-IF(Skills!E3=TRUE,Inputs!$B$32,0)))*(1-IF(AND(ArtifactsInput!$M$27,Inputs!$B$4="Chapter Hunt"),CHOOSE(ArtifactsInput!$N$27+1,20,24,28,32,36,40),0)/100)))+1)),0)</f>
        <v/>
      </c>
      <c r="S504">
        <f>IFERROR(O504/N504,0)</f>
        <v/>
      </c>
      <c r="T504">
        <f>IF(C504,(H504*N504*IF(AND(Inputs!$B$38&lt;&gt;"pvp",Inputs!$B$43&gt;0),((Skills!G3*((R504-1)*IF(Skills!H3&gt;0,Skills!I3/Skills!H3,1)+IF(Skills!H3&gt;0,MIN(Skills!I3,MAX(0,MAX(0,Inputs!$B$43-B538)-((R504-1)*(IF(Inputs!$B$38="pvp",15,MAX(0.1,Skills!D3-IF(Skills!E3=TRUE,Inputs!$B$32,0)))*(1-IF(AND(ArtifactsInput!$M$27,Inputs!$B$4="Chapter Hunt"),CHOOSE(ArtifactsInput!$N$27+1,20,24,28,32,36,40),0)/100)))))/Skills!H3,1)))/Inputs!$B$43),G504*Q504)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504*(1-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504*(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504*(1-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504*(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04">
        <f>INDEX(FactorTable!$B$2:$Y$301, MATCH(ROUND(MIN(300,MAX(1,U503)),0), FactorTable!$A$2:$A$301,0), 22)</f>
        <v/>
      </c>
      <c r="V504">
        <f>IF(C504,(H504*N504*IF(AND(Inputs!$B$38&lt;&gt;"pvp",Inputs!$B$43&gt;0),((Skills!G3*((R504-1)*IF(Skills!H3&gt;0,Skills!I3/Skills!H3,1)+IF(Skills!H3&gt;0,MIN(Skills!I3,MAX(0,MAX(0,Inputs!$B$43-B538)-((R504-1)*(IF(Inputs!$B$38="pvp",15,MAX(0.1,Skills!D3-IF(Skills!E3=TRUE,Inputs!$B$32,0)))*(1-IF(AND(ArtifactsInput!$M$27,Inputs!$B$4="Chapter Hunt"),CHOOSE(ArtifactsInput!$N$27+1,20,24,28,32,36,40),0)/100)))))/Skills!H3,1)))/Inputs!$B$43),G504*Q504))*IF(Inputs!$B$38="pvp",1,(1+(Inputs!$B$21+Skills!Q3+(IF(ArtifactsInput!$M$33,CHOOSE(ArtifactsInput!$N$33+1,30,36,42,48,54,60)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5">
      <c r="A505">
        <f>Skills!A4</f>
        <v/>
      </c>
      <c r="B505">
        <f>Skills!B4</f>
        <v/>
      </c>
      <c r="C505">
        <f>Inputs!$B$3&gt;=40</f>
        <v/>
      </c>
      <c r="D505">
        <f>IF(Skills!C4=1,60+Inputs!$B$25+Inputs!$B$29,IF(Skills!C4=2,90+Inputs!$B$26+Inputs!$B$29,IF(Skills!C4=3,120+Inputs!$B$27+Inputs!$B$29,MAX(0,(Inputs!$B$3-100)*3)+Inputs!$B$28+Inputs!$B$29)))</f>
        <v/>
      </c>
      <c r="E505">
        <f>INDEX(FactorTable!$B$2:$Y$301, MATCH(ROUND(MIN(300,MAX(1,D505)),0), FactorTable!$A$2:$A$301,0), Skills!M4+1)</f>
        <v/>
      </c>
      <c r="F505">
        <f>IF(Skills!N4=TRUE,(Skills!L4/10)*(E505/1000),Skills!L4/10)+Skills!O4</f>
        <v/>
      </c>
      <c r="G505">
        <f>Skills!G4*IF(Skills!H4&gt;0,Skills!I4/Skills!H4,1)</f>
        <v/>
      </c>
      <c r="H505">
        <f>1-(1-Skills!J4/100)^Skills!K4</f>
        <v/>
      </c>
      <c r="I505" t="inlineStr">
        <is>
          <t>1</t>
        </is>
      </c>
      <c r="J505">
        <f>((Inputs!$B$6*(1+Inputs!$B$7/100))+(((Inputs!$B$12*(1+Inputs!$B$13/100))-(Inputs!$B$12*(1+Inputs!$B$13/100)))+0.25*(Inputs!$B$14-Inputs!$B$14))*(1+Inputs!$B$7/100))*(F505/100)</f>
        <v/>
      </c>
      <c r="K505">
        <f>J505*(1+((Inputs!$B$12*(1+Inputs!$B$13/100))*0.01+Inputs!$B$14*0.0025)/100)*(1+Inputs!$B$15/100)*(1+Inputs!$B$16/100)*(5000/(6000+Inputs!$B$42*(1-(100*(1-(1-(Inputs!$B$19+0)/100)*(1-CHOOSE(ArtifactsInput!$N$40+1,5,6,7,8,9,10)/100)^(ArtifactsInput!$M$40-ArtifactsInput!$M$40)))/100)))*(1+(Inputs!$B$24+((C527=TRUE)*(F527-Calc!F26))+B537)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517=TRUE,F517,0)/100)*(1+(IF(Skills!A4="EIGHT_LEGS_EASTON",Inputs!$B$17+((C524=TRUE)*(F524-Calc!F23))+((C528=TRUE)*(F528-Calc!F27))+(((IF(AND(ArtifactsInput!$M$42,(((Inputs!$B$9+1)+((C520=TRUE)*(F520-Calc!F19))+B531+(ArtifactsInput!$M$24-ArtifactsInput!$M$24)*CHOOSE(ArtifactsInput!$N$24+1,10,12,14,16,18,20)+IF(ArtifactsInput!$M$10,CHOOSE(ArtifactsInput!$N$10+1,15,18,21,24,27,30)*(IF(Inputs!$B$38="pvp",MIN(15,15)/15,IF(AND(Inputs!$B$38&lt;&gt;"pvp",Inputs!$B$43&gt;0),MIN(15,Inputs!$B$43)/(Inputs!$B$43),0))),0)))&gt;=100),MIN(100,(((Inputs!$B$9+1)+((C520=TRUE)*(F520-Calc!F19))+B531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520=TRUE)*(F520-Calc!F19))+B531+(ArtifactsInput!$M$24-ArtifactsInput!$M$24)*CHOOSE(ArtifactsInput!$N$24+1,10,12,14,16,18,20)+IF(ArtifactsInput!$M$10,CHOOSE(ArtifactsInput!$N$10+1,15,18,21,24,27,30)*(IF(Inputs!$B$38="pvp",MIN(15,15)/15,IF(AND(Inputs!$B$38&lt;&gt;"pvp",Inputs!$B$43&gt;0),MIN(15,Inputs!$B$43)/(Inputs!$B$43),0))),0)))&gt;=100),CHOOSE(ArtifactsInput!$N$42+1,40,48,56,64,72,80),0))))/100)*((1+(((C518=TRUE)*F518)+((C525=TRUE)*(F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505)</f>
        <v/>
      </c>
      <c r="L505">
        <f>K505*(MIN(Inputs!$B$22+((C523=TRUE)*(F523-Calc!F22)),(Inputs!$B$23+0+(IF(ArtifactsInput!$M$15,CHOOSE(ArtifactsInput!$N$15+1,25,30,35,40,45,50)/100*(Inputs!$B$11-Inputs!$B$11),0))))/100+(Inputs!$B$23+0+(IF(ArtifactsInput!$M$15,CHOOSE(ArtifactsInput!$N$15+1,25,30,35,40,45,50)/100*(Inputs!$B$11-Inputs!$B$11),0)))/100)/2</f>
        <v/>
      </c>
      <c r="M505">
        <f>L505*(1+(Inputs!$B$10+((C526=TRUE)*(F526-Calc!F25))+B536+(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5">
        <f>L505*(1-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505*(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5">
        <f>(1-Summary!$B$11)*T505+Summary!$B$11*V505</f>
        <v/>
      </c>
      <c r="P505">
        <f>IF(B541=0,0,O505/B541)</f>
        <v/>
      </c>
      <c r="Q505">
        <f>IFERROR(1/(IF(Inputs!$B$38="pvp",15,MAX(0.1,Skills!D4-IF(Skills!E4=TRUE,Inputs!$B$32,0)))*(1-IF(AND(ArtifactsInput!$M$27,Inputs!$B$4="Chapter Hunt"),CHOOSE(ArtifactsInput!$N$27+1,20,24,28,32,36,40),0)/100)),0)</f>
        <v/>
      </c>
      <c r="R505">
        <f>IF(AND(Inputs!$B$38&lt;&gt;"pvp",Inputs!$B$43&gt;0),IF(MAX(0,Inputs!$B$43-B538)&lt;=0,0,(INT(MAX(0,Inputs!$B$43-B538)/(IF(Inputs!$B$38="pvp",15,MAX(0.1,Skills!D4-IF(Skills!E4=TRUE,Inputs!$B$32,0)))*(1-IF(AND(ArtifactsInput!$M$27,Inputs!$B$4="Chapter Hunt"),CHOOSE(ArtifactsInput!$N$27+1,20,24,28,32,36,40),0)/100)))+1)),0)</f>
        <v/>
      </c>
      <c r="S505">
        <f>IFERROR(O505/N505,0)</f>
        <v/>
      </c>
      <c r="T505">
        <f>IF(C505,(H505*N505*IF(AND(Inputs!$B$38&lt;&gt;"pvp",Inputs!$B$43&gt;0),((Skills!G4*((R505-1)*IF(Skills!H4&gt;0,Skills!I4/Skills!H4,1)+IF(Skills!H4&gt;0,MIN(Skills!I4,MAX(0,MAX(0,Inputs!$B$43-B538)-((R505-1)*(IF(Inputs!$B$38="pvp",15,MAX(0.1,Skills!D4-IF(Skills!E4=TRUE,Inputs!$B$32,0)))*(1-IF(AND(ArtifactsInput!$M$27,Inputs!$B$4="Chapter Hunt"),CHOOSE(ArtifactsInput!$N$27+1,20,24,28,32,36,40),0)/100)))))/Skills!H4,1)))/Inputs!$B$43),G505*Q505)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505*(1-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505*(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505*(1-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505*(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05">
        <f>290*U504/1000</f>
        <v/>
      </c>
      <c r="V505">
        <f>IF(C505,(H505*N505*IF(AND(Inputs!$B$38&lt;&gt;"pvp",Inputs!$B$43&gt;0),((Skills!G4*((R505-1)*IF(Skills!H4&gt;0,Skills!I4/Skills!H4,1)+IF(Skills!H4&gt;0,MIN(Skills!I4,MAX(0,MAX(0,Inputs!$B$43-B538)-((R505-1)*(IF(Inputs!$B$38="pvp",15,MAX(0.1,Skills!D4-IF(Skills!E4=TRUE,Inputs!$B$32,0)))*(1-IF(AND(ArtifactsInput!$M$27,Inputs!$B$4="Chapter Hunt"),CHOOSE(ArtifactsInput!$N$27+1,20,24,28,32,36,40),0)/100)))))/Skills!H4,1)))/Inputs!$B$43),G505*Q505))*IF(Inputs!$B$38="pvp",1,(1+(Inputs!$B$21+Skills!Q4+(IF(ArtifactsInput!$M$33,CHOOSE(ArtifactsInput!$N$33+1,30,36,42,48,54,60)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6">
      <c r="A506">
        <f>Skills!A5</f>
        <v/>
      </c>
      <c r="B506">
        <f>Skills!B5</f>
        <v/>
      </c>
      <c r="C506">
        <f>Inputs!$B$3&gt;=45</f>
        <v/>
      </c>
      <c r="D506">
        <f>IF(Skills!C5=1,60+Inputs!$B$25+Inputs!$B$29,IF(Skills!C5=2,90+Inputs!$B$26+Inputs!$B$29,IF(Skills!C5=3,120+Inputs!$B$27+Inputs!$B$29,MAX(0,(Inputs!$B$3-100)*3)+Inputs!$B$28+Inputs!$B$29)))</f>
        <v/>
      </c>
      <c r="E506">
        <f>INDEX(FactorTable!$B$2:$Y$301, MATCH(ROUND(MIN(300,MAX(1,D506)),0), FactorTable!$A$2:$A$301,0), Skills!M5+1)</f>
        <v/>
      </c>
      <c r="F506">
        <f>IF(Skills!N5=TRUE,(Skills!L5/10)*(E506/1000),Skills!L5/10)+Skills!O5</f>
        <v/>
      </c>
      <c r="G506">
        <f>Skills!G5*IF(Skills!H5&gt;0,Skills!I5/Skills!H5,1)</f>
        <v/>
      </c>
      <c r="H506">
        <f>1-(1-Skills!J5/100)^Skills!K5</f>
        <v/>
      </c>
      <c r="I506" t="inlineStr">
        <is>
          <t>1</t>
        </is>
      </c>
      <c r="J506">
        <f>((Inputs!$B$6*(1+Inputs!$B$7/100))+(((Inputs!$B$12*(1+Inputs!$B$13/100))-(Inputs!$B$12*(1+Inputs!$B$13/100)))+0.25*(Inputs!$B$14-Inputs!$B$14))*(1+Inputs!$B$7/100))*(F506/100)</f>
        <v/>
      </c>
      <c r="K506">
        <f>J506*(1+((Inputs!$B$12*(1+Inputs!$B$13/100))*0.01+Inputs!$B$14*0.0025)/100)*(1+Inputs!$B$15/100)*(1+Inputs!$B$16/100)*(5000/(6000+Inputs!$B$42*(1-(100*(1-(1-(Inputs!$B$19+0)/100)*(1-CHOOSE(ArtifactsInput!$N$40+1,5,6,7,8,9,10)/100)^(ArtifactsInput!$M$40-ArtifactsInput!$M$40)))/100)))*(1+(Inputs!$B$24+((C527=TRUE)*(F527-Calc!F26))+B537)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517=TRUE,F517,0)/100)*(1+(IF(Skills!A5="EIGHT_LEGS_EASTON",Inputs!$B$17+((C524=TRUE)*(F524-Calc!F23))+((C528=TRUE)*(F528-Calc!F27))+(((IF(AND(ArtifactsInput!$M$42,(((Inputs!$B$9+1)+((C520=TRUE)*(F520-Calc!F19))+B531+(ArtifactsInput!$M$24-ArtifactsInput!$M$24)*CHOOSE(ArtifactsInput!$N$24+1,10,12,14,16,18,20)+IF(ArtifactsInput!$M$10,CHOOSE(ArtifactsInput!$N$10+1,15,18,21,24,27,30)*(IF(Inputs!$B$38="pvp",MIN(15,15)/15,IF(AND(Inputs!$B$38&lt;&gt;"pvp",Inputs!$B$43&gt;0),MIN(15,Inputs!$B$43)/(Inputs!$B$43),0))),0)))&gt;=100),MIN(100,(((Inputs!$B$9+1)+((C520=TRUE)*(F520-Calc!F19))+B531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520=TRUE)*(F520-Calc!F19))+B531+(ArtifactsInput!$M$24-ArtifactsInput!$M$24)*CHOOSE(ArtifactsInput!$N$24+1,10,12,14,16,18,20)+IF(ArtifactsInput!$M$10,CHOOSE(ArtifactsInput!$N$10+1,15,18,21,24,27,30)*(IF(Inputs!$B$38="pvp",MIN(15,15)/15,IF(AND(Inputs!$B$38&lt;&gt;"pvp",Inputs!$B$43&gt;0),MIN(15,Inputs!$B$43)/(Inputs!$B$43),0))),0)))&gt;=100),CHOOSE(ArtifactsInput!$N$42+1,40,48,56,64,72,80),0))))/100)*((1+(((C518=TRUE)*F518)+((C525=TRUE)*(F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506)</f>
        <v/>
      </c>
      <c r="L506">
        <f>K506*(MIN(Inputs!$B$22+((C523=TRUE)*(F523-Calc!F22)),(Inputs!$B$23+0+(IF(ArtifactsInput!$M$15,CHOOSE(ArtifactsInput!$N$15+1,25,30,35,40,45,50)/100*(Inputs!$B$11-Inputs!$B$11),0))))/100+(Inputs!$B$23+0+(IF(ArtifactsInput!$M$15,CHOOSE(ArtifactsInput!$N$15+1,25,30,35,40,45,50)/100*(Inputs!$B$11-Inputs!$B$11),0)))/100)/2</f>
        <v/>
      </c>
      <c r="M506">
        <f>L506*(1+(Inputs!$B$10+((C526=TRUE)*(F526-Calc!F25))+B536+(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6">
        <f>L506*(1-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506*(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6">
        <f>(1-Summary!$B$11)*T506+Summary!$B$11*V506</f>
        <v/>
      </c>
      <c r="P506">
        <f>IF(B541=0,0,O506/B541)</f>
        <v/>
      </c>
      <c r="Q506">
        <f>IFERROR(1/(IF(Inputs!$B$38="pvp",15,MAX(0.1,Skills!D5-IF(Skills!E5=TRUE,Inputs!$B$32,0)))*(1-IF(AND(ArtifactsInput!$M$27,Inputs!$B$4="Chapter Hunt"),CHOOSE(ArtifactsInput!$N$27+1,20,24,28,32,36,40),0)/100)),0)</f>
        <v/>
      </c>
      <c r="R506">
        <f>IF(AND(Inputs!$B$38&lt;&gt;"pvp",Inputs!$B$43&gt;0),IF(MAX(0,Inputs!$B$43-B538)&lt;=0,0,(INT(MAX(0,Inputs!$B$43-B538)/(IF(Inputs!$B$38="pvp",15,MAX(0.1,Skills!D5-IF(Skills!E5=TRUE,Inputs!$B$32,0)))*(1-IF(AND(ArtifactsInput!$M$27,Inputs!$B$4="Chapter Hunt"),CHOOSE(ArtifactsInput!$N$27+1,20,24,28,32,36,40),0)/100)))+1)),0)</f>
        <v/>
      </c>
      <c r="S506">
        <f>IFERROR(O506/N506,0)</f>
        <v/>
      </c>
      <c r="T506">
        <f>IF(C506,(H506*N506*IF(AND(Inputs!$B$38&lt;&gt;"pvp",Inputs!$B$43&gt;0),((Skills!G5*((R506-1)*IF(Skills!H5&gt;0,Skills!I5/Skills!H5,1)+IF(Skills!H5&gt;0,MIN(Skills!I5,MAX(0,MAX(0,Inputs!$B$43-B538)-((R506-1)*(IF(Inputs!$B$38="pvp",15,MAX(0.1,Skills!D5-IF(Skills!E5=TRUE,Inputs!$B$32,0)))*(1-IF(AND(ArtifactsInput!$M$27,Inputs!$B$4="Chapter Hunt"),CHOOSE(ArtifactsInput!$N$27+1,20,24,28,32,36,40),0)/100)))))/Skills!H5,1)))/Inputs!$B$43),G506*Q506)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506*(1-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506*(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506*(1-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506*(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6">
        <f>IF(C506,(H506*N506*IF(AND(Inputs!$B$38&lt;&gt;"pvp",Inputs!$B$43&gt;0),((Skills!G5*((R506-1)*IF(Skills!H5&gt;0,Skills!I5/Skills!H5,1)+IF(Skills!H5&gt;0,MIN(Skills!I5,MAX(0,MAX(0,Inputs!$B$43-B538)-((R506-1)*(IF(Inputs!$B$38="pvp",15,MAX(0.1,Skills!D5-IF(Skills!E5=TRUE,Inputs!$B$32,0)))*(1-IF(AND(ArtifactsInput!$M$27,Inputs!$B$4="Chapter Hunt"),CHOOSE(ArtifactsInput!$N$27+1,20,24,28,32,36,40),0)/100)))))/Skills!H5,1)))/Inputs!$B$43),G506*Q506))*IF(Inputs!$B$38="pvp",1,(1+(Inputs!$B$21+Skills!Q5+(IF(ArtifactsInput!$M$33,CHOOSE(ArtifactsInput!$N$33+1,30,36,42,48,54,60)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7">
      <c r="A507">
        <f>Skills!A6</f>
        <v/>
      </c>
      <c r="B507">
        <f>Skills!B6</f>
        <v/>
      </c>
      <c r="C507">
        <f>Inputs!$B$3&gt;=63</f>
        <v/>
      </c>
      <c r="D507">
        <f>IF(Skills!C6=1,60+Inputs!$B$25+Inputs!$B$29,IF(Skills!C6=2,90+Inputs!$B$26+Inputs!$B$29,IF(Skills!C6=3,120+Inputs!$B$27+Inputs!$B$29,MAX(0,(Inputs!$B$3-100)*3)+Inputs!$B$28+Inputs!$B$29)))</f>
        <v/>
      </c>
      <c r="E507">
        <f>INDEX(FactorTable!$B$2:$Y$301, MATCH(ROUND(MIN(300,MAX(1,D507)),0), FactorTable!$A$2:$A$301,0), Skills!M6+1)</f>
        <v/>
      </c>
      <c r="F507">
        <f>IF(Skills!N6=TRUE,(Skills!L6/10)*(E507/1000),Skills!L6/10)+Skills!O6</f>
        <v/>
      </c>
      <c r="G507">
        <f>Skills!G6*IF(Skills!H6&gt;0,Skills!I6/Skills!H6,1)</f>
        <v/>
      </c>
      <c r="H507">
        <f>1-(1-Skills!J6/100)^Skills!K6</f>
        <v/>
      </c>
      <c r="I507" t="inlineStr">
        <is>
          <t>1</t>
        </is>
      </c>
      <c r="J507">
        <f>((Inputs!$B$6*(1+Inputs!$B$7/100))+(((Inputs!$B$12*(1+Inputs!$B$13/100))-(Inputs!$B$12*(1+Inputs!$B$13/100)))+0.25*(Inputs!$B$14-Inputs!$B$14))*(1+Inputs!$B$7/100))*(F507/100)</f>
        <v/>
      </c>
      <c r="K507">
        <f>J507*(1+((Inputs!$B$12*(1+Inputs!$B$13/100))*0.01+Inputs!$B$14*0.0025)/100)*(1+Inputs!$B$15/100)*(1+Inputs!$B$16/100)*(5000/(6000+Inputs!$B$42*(1-(100*(1-(1-(Inputs!$B$19+0)/100)*(1-CHOOSE(ArtifactsInput!$N$40+1,5,6,7,8,9,10)/100)^(ArtifactsInput!$M$40-ArtifactsInput!$M$40)))/100)))*(1+(Inputs!$B$24+((C527=TRUE)*(F527-Calc!F26))+B537)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516=TRUE,F516,0)/100)*(1+(IF(Skills!A6="EIGHT_LEGS_EASTON",Inputs!$B$17+((C524=TRUE)*(F524-Calc!F23))+((C528=TRUE)*(F528-Calc!F27))+(((IF(AND(ArtifactsInput!$M$42,(((Inputs!$B$9+1)+((C520=TRUE)*(F520-Calc!F19))+B531+(ArtifactsInput!$M$24-ArtifactsInput!$M$24)*CHOOSE(ArtifactsInput!$N$24+1,10,12,14,16,18,20)+IF(ArtifactsInput!$M$10,CHOOSE(ArtifactsInput!$N$10+1,15,18,21,24,27,30)*(IF(Inputs!$B$38="pvp",MIN(15,15)/15,IF(AND(Inputs!$B$38&lt;&gt;"pvp",Inputs!$B$43&gt;0),MIN(15,Inputs!$B$43)/(Inputs!$B$43),0))),0)))&gt;=100),MIN(100,(((Inputs!$B$9+1)+((C520=TRUE)*(F520-Calc!F19))+B531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520=TRUE)*(F520-Calc!F19))+B531+(ArtifactsInput!$M$24-ArtifactsInput!$M$24)*CHOOSE(ArtifactsInput!$N$24+1,10,12,14,16,18,20)+IF(ArtifactsInput!$M$10,CHOOSE(ArtifactsInput!$N$10+1,15,18,21,24,27,30)*(IF(Inputs!$B$38="pvp",MIN(15,15)/15,IF(AND(Inputs!$B$38&lt;&gt;"pvp",Inputs!$B$43&gt;0),MIN(15,Inputs!$B$43)/(Inputs!$B$43),0))),0)))&gt;=100),CHOOSE(ArtifactsInput!$N$42+1,40,48,56,64,72,80),0))))/100)*((1+(((C518=TRUE)*F518)+((C525=TRUE)*(F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507)</f>
        <v/>
      </c>
      <c r="L507">
        <f>K507*(MIN(Inputs!$B$22+((C523=TRUE)*(F523-Calc!F22)),(Inputs!$B$23+0+(IF(ArtifactsInput!$M$15,CHOOSE(ArtifactsInput!$N$15+1,25,30,35,40,45,50)/100*(Inputs!$B$11-Inputs!$B$11),0))))/100+(Inputs!$B$23+0+(IF(ArtifactsInput!$M$15,CHOOSE(ArtifactsInput!$N$15+1,25,30,35,40,45,50)/100*(Inputs!$B$11-Inputs!$B$11),0)))/100)/2</f>
        <v/>
      </c>
      <c r="M507">
        <f>L507*(1+(Inputs!$B$10+((C526=TRUE)*(F526-Calc!F25))+B536+(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7">
        <f>L507*(1-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507*(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7">
        <f>(1-Summary!$B$11)*T507+Summary!$B$11*V507</f>
        <v/>
      </c>
      <c r="P507">
        <f>IF(B541=0,0,O507/B541)</f>
        <v/>
      </c>
      <c r="Q507">
        <f>IFERROR(1/(IF(Inputs!$B$38="pvp",15,MAX(0.1,Skills!D6-IF(Skills!E6=TRUE,Inputs!$B$32,0)))*(1-IF(AND(ArtifactsInput!$M$27,Inputs!$B$4="Chapter Hunt"),CHOOSE(ArtifactsInput!$N$27+1,20,24,28,32,36,40),0)/100)),0)</f>
        <v/>
      </c>
      <c r="R507">
        <f>IF(AND(Inputs!$B$38&lt;&gt;"pvp",Inputs!$B$43&gt;0),IF(MAX(0,Inputs!$B$43-B538)&lt;=0,0,(INT(MAX(0,Inputs!$B$43-B538)/(IF(Inputs!$B$38="pvp",15,MAX(0.1,Skills!D6-IF(Skills!E6=TRUE,Inputs!$B$32,0)))*(1-IF(AND(ArtifactsInput!$M$27,Inputs!$B$4="Chapter Hunt"),CHOOSE(ArtifactsInput!$N$27+1,20,24,28,32,36,40),0)/100)))+1)),0)</f>
        <v/>
      </c>
      <c r="S507">
        <f>IFERROR(O507/N507,0)</f>
        <v/>
      </c>
      <c r="T507">
        <f>IF(C507,(H507*N507*IF(AND(Inputs!$B$38&lt;&gt;"pvp",Inputs!$B$43&gt;0),((Skills!G6*((R507-1)*IF(Skills!H6&gt;0,Skills!I6/Skills!H6,1)+IF(Skills!H6&gt;0,MIN(Skills!I6,MAX(0,MAX(0,Inputs!$B$43-B538)-((R507-1)*(IF(Inputs!$B$38="pvp",15,MAX(0.1,Skills!D6-IF(Skills!E6=TRUE,Inputs!$B$32,0)))*(1-IF(AND(ArtifactsInput!$M$27,Inputs!$B$4="Chapter Hunt"),CHOOSE(ArtifactsInput!$N$27+1,20,24,28,32,36,40),0)/100)))))/Skills!H6,1)))/Inputs!$B$43),G507*Q507)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507*(1-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507*(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507*(1-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507*(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7">
        <f>IF(C507,(H507*N507*IF(AND(Inputs!$B$38&lt;&gt;"pvp",Inputs!$B$43&gt;0),((Skills!G6*((R507-1)*IF(Skills!H6&gt;0,Skills!I6/Skills!H6,1)+IF(Skills!H6&gt;0,MIN(Skills!I6,MAX(0,MAX(0,Inputs!$B$43-B538)-((R507-1)*(IF(Inputs!$B$38="pvp",15,MAX(0.1,Skills!D6-IF(Skills!E6=TRUE,Inputs!$B$32,0)))*(1-IF(AND(ArtifactsInput!$M$27,Inputs!$B$4="Chapter Hunt"),CHOOSE(ArtifactsInput!$N$27+1,20,24,28,32,36,40),0)/100)))))/Skills!H6,1)))/Inputs!$B$43),G507*Q507))*IF(Inputs!$B$38="pvp",1,(1+(Inputs!$B$21+Skills!Q6+(IF(ArtifactsInput!$M$33,CHOOSE(ArtifactsInput!$N$33+1,30,36,42,48,54,60)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8">
      <c r="A508">
        <f>Skills!A7</f>
        <v/>
      </c>
      <c r="B508">
        <f>Skills!B7</f>
        <v/>
      </c>
      <c r="C508">
        <f>Inputs!$B$3&gt;=66</f>
        <v/>
      </c>
      <c r="D508">
        <f>IF(Skills!C7=1,60+Inputs!$B$25+Inputs!$B$29,IF(Skills!C7=2,90+Inputs!$B$26+Inputs!$B$29,IF(Skills!C7=3,120+Inputs!$B$27+Inputs!$B$29,MAX(0,(Inputs!$B$3-100)*3)+Inputs!$B$28+Inputs!$B$29)))</f>
        <v/>
      </c>
      <c r="E508">
        <f>INDEX(FactorTable!$B$2:$Y$301, MATCH(ROUND(MIN(300,MAX(1,D508)),0), FactorTable!$A$2:$A$301,0), Skills!M7+1)</f>
        <v/>
      </c>
      <c r="F508">
        <f>IF(Skills!N7=TRUE,(Skills!L7/10)*(E508/1000),Skills!L7/10)+Skills!O7</f>
        <v/>
      </c>
      <c r="G508">
        <f>Skills!G7*IF(Skills!H7&gt;0,Skills!I7/Skills!H7,1)</f>
        <v/>
      </c>
      <c r="H508">
        <f>1-(1-Skills!J7/100)^Skills!K7</f>
        <v/>
      </c>
      <c r="I508" t="inlineStr">
        <is>
          <t>1</t>
        </is>
      </c>
      <c r="J508">
        <f>((Inputs!$B$6*(1+Inputs!$B$7/100))+(((Inputs!$B$12*(1+Inputs!$B$13/100))-(Inputs!$B$12*(1+Inputs!$B$13/100)))+0.25*(Inputs!$B$14-Inputs!$B$14))*(1+Inputs!$B$7/100))*(F508/100)</f>
        <v/>
      </c>
      <c r="K508">
        <f>J508*(1+((Inputs!$B$12*(1+Inputs!$B$13/100))*0.01+Inputs!$B$14*0.0025)/100)*(1+Inputs!$B$15/100)*(1+Inputs!$B$16/100)*(5000/(6000+Inputs!$B$42*(1-(100*(1-(1-(Inputs!$B$19+0)/100)*(1-CHOOSE(ArtifactsInput!$N$40+1,5,6,7,8,9,10)/100)^(ArtifactsInput!$M$40-ArtifactsInput!$M$40)))/100)))*(1+(Inputs!$B$24+((C527=TRUE)*(F527-Calc!F26))+B537)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516=TRUE,F516,0)/100)*(1+(IF(Skills!A7="EIGHT_LEGS_EASTON",Inputs!$B$17+((C524=TRUE)*(F524-Calc!F23))+((C528=TRUE)*(F528-Calc!F27))+(((IF(AND(ArtifactsInput!$M$42,(((Inputs!$B$9+1)+((C520=TRUE)*(F520-Calc!F19))+B531+(ArtifactsInput!$M$24-ArtifactsInput!$M$24)*CHOOSE(ArtifactsInput!$N$24+1,10,12,14,16,18,20)+IF(ArtifactsInput!$M$10,CHOOSE(ArtifactsInput!$N$10+1,15,18,21,24,27,30)*(IF(Inputs!$B$38="pvp",MIN(15,15)/15,IF(AND(Inputs!$B$38&lt;&gt;"pvp",Inputs!$B$43&gt;0),MIN(15,Inputs!$B$43)/(Inputs!$B$43),0))),0)))&gt;=100),MIN(100,(((Inputs!$B$9+1)+((C520=TRUE)*(F520-Calc!F19))+B531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520=TRUE)*(F520-Calc!F19))+B531+(ArtifactsInput!$M$24-ArtifactsInput!$M$24)*CHOOSE(ArtifactsInput!$N$24+1,10,12,14,16,18,20)+IF(ArtifactsInput!$M$10,CHOOSE(ArtifactsInput!$N$10+1,15,18,21,24,27,30)*(IF(Inputs!$B$38="pvp",MIN(15,15)/15,IF(AND(Inputs!$B$38&lt;&gt;"pvp",Inputs!$B$43&gt;0),MIN(15,Inputs!$B$43)/(Inputs!$B$43),0))),0)))&gt;=100),CHOOSE(ArtifactsInput!$N$42+1,40,48,56,64,72,80),0))))/100)*((1+(((C518=TRUE)*F518)+((C525=TRUE)*(F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508)</f>
        <v/>
      </c>
      <c r="L508">
        <f>K508*(MIN(Inputs!$B$22+((C523=TRUE)*(F523-Calc!F22)),(Inputs!$B$23+0+(IF(ArtifactsInput!$M$15,CHOOSE(ArtifactsInput!$N$15+1,25,30,35,40,45,50)/100*(Inputs!$B$11-Inputs!$B$11),0))))/100+(Inputs!$B$23+0+(IF(ArtifactsInput!$M$15,CHOOSE(ArtifactsInput!$N$15+1,25,30,35,40,45,50)/100*(Inputs!$B$11-Inputs!$B$11),0)))/100)/2</f>
        <v/>
      </c>
      <c r="M508">
        <f>L508*(1+(Inputs!$B$10+((C526=TRUE)*(F526-Calc!F25))+B536+(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8">
        <f>L508*(1-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508*(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8">
        <f>(1-Summary!$B$11)*T508+Summary!$B$11*V508</f>
        <v/>
      </c>
      <c r="P508">
        <f>IF(B541=0,0,O508/B541)</f>
        <v/>
      </c>
      <c r="Q508">
        <f>IFERROR(1/(IF(Inputs!$B$38="pvp",15,MAX(0.1,Skills!D7-IF(Skills!E7=TRUE,Inputs!$B$32,0)))*(1-IF(AND(ArtifactsInput!$M$27,Inputs!$B$4="Chapter Hunt"),CHOOSE(ArtifactsInput!$N$27+1,20,24,28,32,36,40),0)/100)),0)</f>
        <v/>
      </c>
      <c r="R508">
        <f>IF(AND(Inputs!$B$38&lt;&gt;"pvp",Inputs!$B$43&gt;0),IF(MAX(0,Inputs!$B$43-B538)&lt;=0,0,(INT(MAX(0,Inputs!$B$43-B538)/(IF(Inputs!$B$38="pvp",15,MAX(0.1,Skills!D7-IF(Skills!E7=TRUE,Inputs!$B$32,0)))*(1-IF(AND(ArtifactsInput!$M$27,Inputs!$B$4="Chapter Hunt"),CHOOSE(ArtifactsInput!$N$27+1,20,24,28,32,36,40),0)/100)))+1)),0)</f>
        <v/>
      </c>
      <c r="S508">
        <f>IFERROR(O508/N508,0)</f>
        <v/>
      </c>
      <c r="T508">
        <f>IF(C508,(H508*N508*IF(AND(Inputs!$B$38&lt;&gt;"pvp",Inputs!$B$43&gt;0),((Skills!G7*((R508-1)*IF(Skills!H7&gt;0,Skills!I7/Skills!H7,1)+IF(Skills!H7&gt;0,MIN(Skills!I7,MAX(0,MAX(0,Inputs!$B$43-B538)-((R508-1)*(IF(Inputs!$B$38="pvp",15,MAX(0.1,Skills!D7-IF(Skills!E7=TRUE,Inputs!$B$32,0)))*(1-IF(AND(ArtifactsInput!$M$27,Inputs!$B$4="Chapter Hunt"),CHOOSE(ArtifactsInput!$N$27+1,20,24,28,32,36,40),0)/100)))))/Skills!H7,1)))/Inputs!$B$43),G508*Q508)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508*(1-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508*(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508*(1-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508*(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8">
        <f>IF(C508,(H508*N508*IF(AND(Inputs!$B$38&lt;&gt;"pvp",Inputs!$B$43&gt;0),((Skills!G7*((R508-1)*IF(Skills!H7&gt;0,Skills!I7/Skills!H7,1)+IF(Skills!H7&gt;0,MIN(Skills!I7,MAX(0,MAX(0,Inputs!$B$43-B538)-((R508-1)*(IF(Inputs!$B$38="pvp",15,MAX(0.1,Skills!D7-IF(Skills!E7=TRUE,Inputs!$B$32,0)))*(1-IF(AND(ArtifactsInput!$M$27,Inputs!$B$4="Chapter Hunt"),CHOOSE(ArtifactsInput!$N$27+1,20,24,28,32,36,40),0)/100)))))/Skills!H7,1)))/Inputs!$B$43),G508*Q508))*IF(Inputs!$B$38="pvp",1,(1+(Inputs!$B$21+Skills!Q7+(IF(ArtifactsInput!$M$33,CHOOSE(ArtifactsInput!$N$33+1,30,36,42,48,54,60)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9">
      <c r="A509">
        <f>Skills!A8</f>
        <v/>
      </c>
      <c r="B509">
        <f>Skills!B8</f>
        <v/>
      </c>
      <c r="C509">
        <f>Inputs!$B$3&gt;=100</f>
        <v/>
      </c>
      <c r="D509">
        <f>IF(Skills!C8=1,60+Inputs!$B$25+Inputs!$B$29,IF(Skills!C8=2,90+Inputs!$B$26+Inputs!$B$29,IF(Skills!C8=3,120+Inputs!$B$27+Inputs!$B$29,MAX(0,(Inputs!$B$3-100)*3)+Inputs!$B$28+Inputs!$B$29)))</f>
        <v/>
      </c>
      <c r="E509">
        <f>INDEX(FactorTable!$B$2:$Y$301, MATCH(ROUND(MIN(300,MAX(1,D509)),0), FactorTable!$A$2:$A$301,0), Skills!M8+1)</f>
        <v/>
      </c>
      <c r="F509">
        <f>IF(Skills!N8=TRUE,(Skills!L8/10)*(E509/1000),Skills!L8/10)+Skills!O8</f>
        <v/>
      </c>
      <c r="G509">
        <f>Skills!G8*IF(Skills!H8&gt;0,Skills!I8/Skills!H8,1)</f>
        <v/>
      </c>
      <c r="H509">
        <f>1-(1-Skills!J8/100)^Skills!K8</f>
        <v/>
      </c>
      <c r="I509" t="inlineStr">
        <is>
          <t>1</t>
        </is>
      </c>
      <c r="J509">
        <f>((Inputs!$B$6*(1+Inputs!$B$7/100))+(((Inputs!$B$12*(1+Inputs!$B$13/100))-(Inputs!$B$12*(1+Inputs!$B$13/100)))+0.25*(Inputs!$B$14-Inputs!$B$14))*(1+Inputs!$B$7/100))*(F509/100)</f>
        <v/>
      </c>
      <c r="K509">
        <f>J509*(1+((Inputs!$B$12*(1+Inputs!$B$13/100))*0.01+Inputs!$B$14*0.0025)/100)*(1+Inputs!$B$15/100)*(1+Inputs!$B$16/100)*(5000/(6000+Inputs!$B$42*(1-(100*(1-(1-(Inputs!$B$19+0)/100)*(1-CHOOSE(ArtifactsInput!$N$40+1,5,6,7,8,9,10)/100)^(ArtifactsInput!$M$40-ArtifactsInput!$M$40)))/100)))*(1+(Inputs!$B$24+((C527=TRUE)*(F527-Calc!F26))+B537)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524=TRUE)*(F524-Calc!F23))+((C528=TRUE)*(F528-Calc!F27))+(((IF(AND(ArtifactsInput!$M$42,(((Inputs!$B$9+1)+((C520=TRUE)*(F520-Calc!F19))+B531+(ArtifactsInput!$M$24-ArtifactsInput!$M$24)*CHOOSE(ArtifactsInput!$N$24+1,10,12,14,16,18,20)+IF(ArtifactsInput!$M$10,CHOOSE(ArtifactsInput!$N$10+1,15,18,21,24,27,30)*(IF(Inputs!$B$38="pvp",MIN(15,15)/15,IF(AND(Inputs!$B$38&lt;&gt;"pvp",Inputs!$B$43&gt;0),MIN(15,Inputs!$B$43)/(Inputs!$B$43),0))),0)))&gt;=100),MIN(100,(((Inputs!$B$9+1)+((C520=TRUE)*(F520-Calc!F19))+B531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520=TRUE)*(F520-Calc!F19))+B531+(ArtifactsInput!$M$24-ArtifactsInput!$M$24)*CHOOSE(ArtifactsInput!$N$24+1,10,12,14,16,18,20)+IF(ArtifactsInput!$M$10,CHOOSE(ArtifactsInput!$N$10+1,15,18,21,24,27,30)*(IF(Inputs!$B$38="pvp",MIN(15,15)/15,IF(AND(Inputs!$B$38&lt;&gt;"pvp",Inputs!$B$43&gt;0),MIN(15,Inputs!$B$43)/(Inputs!$B$43),0))),0)))&gt;=100),CHOOSE(ArtifactsInput!$N$42+1,40,48,56,64,72,80),0))))/100)*((1+(((C518=TRUE)*F518)+((C525=TRUE)*(F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509)</f>
        <v/>
      </c>
      <c r="L509">
        <f>K509*(MIN(Inputs!$B$22+((C523=TRUE)*(F523-Calc!F22)),(Inputs!$B$23+0+(IF(ArtifactsInput!$M$15,CHOOSE(ArtifactsInput!$N$15+1,25,30,35,40,45,50)/100*(Inputs!$B$11-Inputs!$B$11),0))))/100+(Inputs!$B$23+0+(IF(ArtifactsInput!$M$15,CHOOSE(ArtifactsInput!$N$15+1,25,30,35,40,45,50)/100*(Inputs!$B$11-Inputs!$B$11),0)))/100)/2</f>
        <v/>
      </c>
      <c r="M509">
        <f>L509*(1+(Inputs!$B$10+((C526=TRUE)*(F526-Calc!F25))+B536+(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9">
        <f>L509*(1-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509*(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9">
        <f>(1-Summary!$B$11)*T509+Summary!$B$11*V509</f>
        <v/>
      </c>
      <c r="P509">
        <f>IF(B541=0,0,O509/B541)</f>
        <v/>
      </c>
      <c r="Q509">
        <f>IFERROR(1/(IF(Inputs!$B$38="pvp",15,MAX(0.1,Skills!D8-IF(Skills!E8=TRUE,Inputs!$B$32,0)))*(1-IF(AND(ArtifactsInput!$M$27,Inputs!$B$4="Chapter Hunt"),CHOOSE(ArtifactsInput!$N$27+1,20,24,28,32,36,40),0)/100)),0)</f>
        <v/>
      </c>
      <c r="R509">
        <f>IF(AND(Inputs!$B$38&lt;&gt;"pvp",Inputs!$B$43&gt;0),IF(MAX(0,Inputs!$B$43-B538)&lt;=0,0,(INT(MAX(0,Inputs!$B$43-B538)/(IF(Inputs!$B$38="pvp",15,MAX(0.1,Skills!D8-IF(Skills!E8=TRUE,Inputs!$B$32,0)))*(1-IF(AND(ArtifactsInput!$M$27,Inputs!$B$4="Chapter Hunt"),CHOOSE(ArtifactsInput!$N$27+1,20,24,28,32,36,40),0)/100)))+1)),0)</f>
        <v/>
      </c>
      <c r="S509">
        <f>IFERROR(O509/N509,0)</f>
        <v/>
      </c>
      <c r="T509">
        <f>IF(C509,(H509*N509*IF(AND(Inputs!$B$38&lt;&gt;"pvp",Inputs!$B$43&gt;0),((Skills!G8*((R509-1)*IF(Skills!H8&gt;0,Skills!I8/Skills!H8,1)+IF(Skills!H8&gt;0,MIN(Skills!I8,MAX(0,MAX(0,Inputs!$B$43-B538)-((R509-1)*(IF(Inputs!$B$38="pvp",15,MAX(0.1,Skills!D8-IF(Skills!E8=TRUE,Inputs!$B$32,0)))*(1-IF(AND(ArtifactsInput!$M$27,Inputs!$B$4="Chapter Hunt"),CHOOSE(ArtifactsInput!$N$27+1,20,24,28,32,36,40),0)/100)))))/Skills!H8,1)))/Inputs!$B$43),G509*Q509)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509*(1-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509*(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509*(1-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509*(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9">
        <f>IF(C509,(H509*N509*IF(AND(Inputs!$B$38&lt;&gt;"pvp",Inputs!$B$43&gt;0),((Skills!G8*((R509-1)*IF(Skills!H8&gt;0,Skills!I8/Skills!H8,1)+IF(Skills!H8&gt;0,MIN(Skills!I8,MAX(0,MAX(0,Inputs!$B$43-B538)-((R509-1)*(IF(Inputs!$B$38="pvp",15,MAX(0.1,Skills!D8-IF(Skills!E8=TRUE,Inputs!$B$32,0)))*(1-IF(AND(ArtifactsInput!$M$27,Inputs!$B$4="Chapter Hunt"),CHOOSE(ArtifactsInput!$N$27+1,20,24,28,32,36,40),0)/100)))))/Skills!H8,1)))/Inputs!$B$43),G509*Q509))*IF(Inputs!$B$38="pvp",1,(1+(Inputs!$B$21+Skills!Q8+(IF(ArtifactsInput!$M$33,CHOOSE(ArtifactsInput!$N$33+1,30,36,42,48,54,60)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0">
      <c r="A510">
        <f>Skills!A9</f>
        <v/>
      </c>
      <c r="B510">
        <f>Skills!B9</f>
        <v/>
      </c>
      <c r="C510">
        <f>Inputs!$B$3&gt;=103</f>
        <v/>
      </c>
      <c r="D510">
        <f>IF(Skills!C9=1,60+Inputs!$B$25+Inputs!$B$29,IF(Skills!C9=2,90+Inputs!$B$26+Inputs!$B$29,IF(Skills!C9=3,120+Inputs!$B$27+Inputs!$B$29,MAX(0,(Inputs!$B$3-100)*3)+Inputs!$B$28+Inputs!$B$29)))</f>
        <v/>
      </c>
      <c r="E510">
        <f>INDEX(FactorTable!$B$2:$Y$301, MATCH(ROUND(MIN(300,MAX(1,D510)),0), FactorTable!$A$2:$A$301,0), Skills!M9+1)</f>
        <v/>
      </c>
      <c r="F510">
        <f>IF(Skills!N9=TRUE,(Skills!L9/10)*(E510/1000),Skills!L9/10)+Skills!O9</f>
        <v/>
      </c>
      <c r="G510">
        <f>Skills!G9*IF(Skills!H9&gt;0,Skills!I9/Skills!H9,1)</f>
        <v/>
      </c>
      <c r="H510">
        <f>1-(1-Skills!J9/100)^Skills!K9</f>
        <v/>
      </c>
      <c r="I510" t="inlineStr">
        <is>
          <t>1</t>
        </is>
      </c>
      <c r="J510">
        <f>((Inputs!$B$6*(1+Inputs!$B$7/100))+(((Inputs!$B$12*(1+Inputs!$B$13/100))-(Inputs!$B$12*(1+Inputs!$B$13/100)))+0.25*(Inputs!$B$14-Inputs!$B$14))*(1+Inputs!$B$7/100))*(F510/100)</f>
        <v/>
      </c>
      <c r="K510">
        <f>J510*(1+((Inputs!$B$12*(1+Inputs!$B$13/100))*0.01+Inputs!$B$14*0.0025)/100)*(1+Inputs!$B$15/100)*(1+Inputs!$B$16/100)*(5000/(6000+Inputs!$B$42*(1-(100*(1-(1-(Inputs!$B$19+0)/100)*(1-CHOOSE(ArtifactsInput!$N$40+1,5,6,7,8,9,10)/100)^(ArtifactsInput!$M$40-ArtifactsInput!$M$40)))/100)))*(1+(Inputs!$B$24+((C527=TRUE)*(F527-Calc!F26))+B537)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524=TRUE)*(F524-Calc!F23))+((C528=TRUE)*(F528-Calc!F27))+(((IF(AND(ArtifactsInput!$M$42,(((Inputs!$B$9+1)+((C520=TRUE)*(F520-Calc!F19))+B531+(ArtifactsInput!$M$24-ArtifactsInput!$M$24)*CHOOSE(ArtifactsInput!$N$24+1,10,12,14,16,18,20)+IF(ArtifactsInput!$M$10,CHOOSE(ArtifactsInput!$N$10+1,15,18,21,24,27,30)*(IF(Inputs!$B$38="pvp",MIN(15,15)/15,IF(AND(Inputs!$B$38&lt;&gt;"pvp",Inputs!$B$43&gt;0),MIN(15,Inputs!$B$43)/(Inputs!$B$43),0))),0)))&gt;=100),MIN(100,(((Inputs!$B$9+1)+((C520=TRUE)*(F520-Calc!F19))+B531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520=TRUE)*(F520-Calc!F19))+B531+(ArtifactsInput!$M$24-ArtifactsInput!$M$24)*CHOOSE(ArtifactsInput!$N$24+1,10,12,14,16,18,20)+IF(ArtifactsInput!$M$10,CHOOSE(ArtifactsInput!$N$10+1,15,18,21,24,27,30)*(IF(Inputs!$B$38="pvp",MIN(15,15)/15,IF(AND(Inputs!$B$38&lt;&gt;"pvp",Inputs!$B$43&gt;0),MIN(15,Inputs!$B$43)/(Inputs!$B$43),0))),0)))&gt;=100),CHOOSE(ArtifactsInput!$N$42+1,40,48,56,64,72,80),0))))/100)*((1+(((C518=TRUE)*F518)+((C525=TRUE)*(F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510)</f>
        <v/>
      </c>
      <c r="L510">
        <f>K510*(MIN(Inputs!$B$22+((C523=TRUE)*(F523-Calc!F22)),(Inputs!$B$23+0+(IF(ArtifactsInput!$M$15,CHOOSE(ArtifactsInput!$N$15+1,25,30,35,40,45,50)/100*(Inputs!$B$11-Inputs!$B$11),0))))/100+(Inputs!$B$23+0+(IF(ArtifactsInput!$M$15,CHOOSE(ArtifactsInput!$N$15+1,25,30,35,40,45,50)/100*(Inputs!$B$11-Inputs!$B$11),0)))/100)/2</f>
        <v/>
      </c>
      <c r="M510">
        <f>L510*(1+(Inputs!$B$10+((C526=TRUE)*(F526-Calc!F25))+B536+(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0">
        <f>L510*(1-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510*(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0">
        <f>(1-Summary!$B$11)*T510+Summary!$B$11*V510</f>
        <v/>
      </c>
      <c r="P510">
        <f>IF(B541=0,0,O510/B541)</f>
        <v/>
      </c>
      <c r="Q510">
        <f>IFERROR(1/(IF(Inputs!$B$38="pvp",15,MAX(0.1,Skills!D9-IF(Skills!E9=TRUE,Inputs!$B$32,0)))*(1-IF(AND(ArtifactsInput!$M$27,Inputs!$B$4="Chapter Hunt"),CHOOSE(ArtifactsInput!$N$27+1,20,24,28,32,36,40),0)/100)),0)</f>
        <v/>
      </c>
      <c r="R510">
        <f>IF(AND(Inputs!$B$38&lt;&gt;"pvp",Inputs!$B$43&gt;0),IF(MAX(0,Inputs!$B$43-B538)&lt;=0,0,(INT(MAX(0,Inputs!$B$43-B538)/(IF(Inputs!$B$38="pvp",15,MAX(0.1,Skills!D9-IF(Skills!E9=TRUE,Inputs!$B$32,0)))*(1-IF(AND(ArtifactsInput!$M$27,Inputs!$B$4="Chapter Hunt"),CHOOSE(ArtifactsInput!$N$27+1,20,24,28,32,36,40),0)/100)))+1)),0)</f>
        <v/>
      </c>
      <c r="S510">
        <f>IFERROR(O510/N510,0)</f>
        <v/>
      </c>
      <c r="T510">
        <f>IF(C510,(H510*N510*IF(AND(Inputs!$B$38&lt;&gt;"pvp",Inputs!$B$43&gt;0),((Skills!G9*((R510-1)*IF(Skills!H9&gt;0,Skills!I9/Skills!H9,1)+IF(Skills!H9&gt;0,MIN(Skills!I9,MAX(0,MAX(0,Inputs!$B$43-B538)-((R510-1)*(IF(Inputs!$B$38="pvp",15,MAX(0.1,Skills!D9-IF(Skills!E9=TRUE,Inputs!$B$32,0)))*(1-IF(AND(ArtifactsInput!$M$27,Inputs!$B$4="Chapter Hunt"),CHOOSE(ArtifactsInput!$N$27+1,20,24,28,32,36,40),0)/100)))))/Skills!H9,1)))/Inputs!$B$43),G510*Q510)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510*(1-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510*(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510*(1-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510*(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0">
        <f>IF(C510,(H510*N510*IF(AND(Inputs!$B$38&lt;&gt;"pvp",Inputs!$B$43&gt;0),((Skills!G9*((R510-1)*IF(Skills!H9&gt;0,Skills!I9/Skills!H9,1)+IF(Skills!H9&gt;0,MIN(Skills!I9,MAX(0,MAX(0,Inputs!$B$43-B538)-((R510-1)*(IF(Inputs!$B$38="pvp",15,MAX(0.1,Skills!D9-IF(Skills!E9=TRUE,Inputs!$B$32,0)))*(1-IF(AND(ArtifactsInput!$M$27,Inputs!$B$4="Chapter Hunt"),CHOOSE(ArtifactsInput!$N$27+1,20,24,28,32,36,40),0)/100)))))/Skills!H9,1)))/Inputs!$B$43),G510*Q510))*IF(Inputs!$B$38="pvp",1,(1+(Inputs!$B$21+Skills!Q9+(IF(ArtifactsInput!$M$33,CHOOSE(ArtifactsInput!$N$33+1,30,36,42,48,54,60)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1">
      <c r="A511">
        <f>Skills!A10</f>
        <v/>
      </c>
      <c r="B511">
        <f>Skills!B10</f>
        <v/>
      </c>
      <c r="C511">
        <f>Inputs!$B$3&gt;=113</f>
        <v/>
      </c>
      <c r="D511">
        <f>IF(Skills!C10=1,60+Inputs!$B$25+Inputs!$B$29,IF(Skills!C10=2,90+Inputs!$B$26+Inputs!$B$29,IF(Skills!C10=3,120+Inputs!$B$27+Inputs!$B$29,MAX(0,(Inputs!$B$3-100)*3)+Inputs!$B$28+Inputs!$B$29)))</f>
        <v/>
      </c>
      <c r="E511">
        <f>INDEX(FactorTable!$B$2:$Y$301, MATCH(ROUND(MIN(300,MAX(1,D511)),0), FactorTable!$A$2:$A$301,0), Skills!M10+1)</f>
        <v/>
      </c>
      <c r="F511">
        <f>IF(Skills!N10=TRUE,(Skills!L10/10)*(E511/1000),Skills!L10/10)+Skills!O10</f>
        <v/>
      </c>
      <c r="G511">
        <f>Skills!G10*IF(Skills!H10&gt;0,Skills!I10/Skills!H10,1)</f>
        <v/>
      </c>
      <c r="H511">
        <f>1-(1-Skills!J10/100)^Skills!K10</f>
        <v/>
      </c>
      <c r="I511" t="inlineStr">
        <is>
          <t>1</t>
        </is>
      </c>
      <c r="J511">
        <f>((Inputs!$B$6*(1+Inputs!$B$7/100))+(((Inputs!$B$12*(1+Inputs!$B$13/100))-(Inputs!$B$12*(1+Inputs!$B$13/100)))+0.25*(Inputs!$B$14-Inputs!$B$14))*(1+Inputs!$B$7/100))*(F511/100)</f>
        <v/>
      </c>
      <c r="K511">
        <f>J511*(1+((Inputs!$B$12*(1+Inputs!$B$13/100))*0.01+Inputs!$B$14*0.0025)/100)*(1+Inputs!$B$15/100)*(1+Inputs!$B$16/100)*(5000/(6000+Inputs!$B$42*(1-(100*(1-(1-(Inputs!$B$19+0)/100)*(1-CHOOSE(ArtifactsInput!$N$40+1,5,6,7,8,9,10)/100)^(ArtifactsInput!$M$40-ArtifactsInput!$M$40)))/100)))*(1+(Inputs!$B$24+((C527=TRUE)*(F527-Calc!F26))+B537)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524=TRUE)*(F524-Calc!F23))+((C528=TRUE)*(F528-Calc!F27))+(((IF(AND(ArtifactsInput!$M$42,(((Inputs!$B$9+1)+((C520=TRUE)*(F520-Calc!F19))+B531+(ArtifactsInput!$M$24-ArtifactsInput!$M$24)*CHOOSE(ArtifactsInput!$N$24+1,10,12,14,16,18,20)+IF(ArtifactsInput!$M$10,CHOOSE(ArtifactsInput!$N$10+1,15,18,21,24,27,30)*(IF(Inputs!$B$38="pvp",MIN(15,15)/15,IF(AND(Inputs!$B$38&lt;&gt;"pvp",Inputs!$B$43&gt;0),MIN(15,Inputs!$B$43)/(Inputs!$B$43),0))),0)))&gt;=100),MIN(100,(((Inputs!$B$9+1)+((C520=TRUE)*(F520-Calc!F19))+B531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520=TRUE)*(F520-Calc!F19))+B531+(ArtifactsInput!$M$24-ArtifactsInput!$M$24)*CHOOSE(ArtifactsInput!$N$24+1,10,12,14,16,18,20)+IF(ArtifactsInput!$M$10,CHOOSE(ArtifactsInput!$N$10+1,15,18,21,24,27,30)*(IF(Inputs!$B$38="pvp",MIN(15,15)/15,IF(AND(Inputs!$B$38&lt;&gt;"pvp",Inputs!$B$43&gt;0),MIN(15,Inputs!$B$43)/(Inputs!$B$43),0))),0)))&gt;=100),CHOOSE(ArtifactsInput!$N$42+1,40,48,56,64,72,80),0))))/100)*((1+(((C518=TRUE)*F518)+((C525=TRUE)*(F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511)</f>
        <v/>
      </c>
      <c r="L511">
        <f>K511*(MIN(Inputs!$B$22+((C523=TRUE)*(F523-Calc!F22)),(Inputs!$B$23+0+(IF(ArtifactsInput!$M$15,CHOOSE(ArtifactsInput!$N$15+1,25,30,35,40,45,50)/100*(Inputs!$B$11-Inputs!$B$11),0))))/100+(Inputs!$B$23+0+(IF(ArtifactsInput!$M$15,CHOOSE(ArtifactsInput!$N$15+1,25,30,35,40,45,50)/100*(Inputs!$B$11-Inputs!$B$11),0)))/100)/2</f>
        <v/>
      </c>
      <c r="M511">
        <f>L511*(1+(Inputs!$B$10+((C526=TRUE)*(F526-Calc!F25))+B536+(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1">
        <f>L511*(1-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511*(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1">
        <f>(1-Summary!$B$11)*T511+Summary!$B$11*V511</f>
        <v/>
      </c>
      <c r="P511">
        <f>IF(B541=0,0,O511/B541)</f>
        <v/>
      </c>
      <c r="Q511">
        <f>IFERROR(1/(IF(Inputs!$B$38="pvp",15,MAX(0.1,Skills!D10-IF(Skills!E10=TRUE,Inputs!$B$32,0)))*(1-IF(AND(ArtifactsInput!$M$27,Inputs!$B$4="Chapter Hunt"),CHOOSE(ArtifactsInput!$N$27+1,20,24,28,32,36,40),0)/100)),0)</f>
        <v/>
      </c>
      <c r="R511">
        <f>IF(AND(Inputs!$B$38&lt;&gt;"pvp",Inputs!$B$43&gt;0),IF(MAX(0,Inputs!$B$43-B538)&lt;=0,0,(INT(MAX(0,Inputs!$B$43-B538)/(IF(Inputs!$B$38="pvp",15,MAX(0.1,Skills!D10-IF(Skills!E10=TRUE,Inputs!$B$32,0)))*(1-IF(AND(ArtifactsInput!$M$27,Inputs!$B$4="Chapter Hunt"),CHOOSE(ArtifactsInput!$N$27+1,20,24,28,32,36,40),0)/100)))+1)),0)</f>
        <v/>
      </c>
      <c r="S511">
        <f>IFERROR(O511/N511,0)</f>
        <v/>
      </c>
      <c r="T511">
        <f>IF(C511,(H511*N511*IF(AND(Inputs!$B$38&lt;&gt;"pvp",Inputs!$B$43&gt;0),((Skills!G10*((R511-1)*IF(Skills!H10&gt;0,Skills!I10/Skills!H10,1)+IF(Skills!H10&gt;0,MIN(Skills!I10,MAX(0,MAX(0,Inputs!$B$43-B538)-((R511-1)*(IF(Inputs!$B$38="pvp",15,MAX(0.1,Skills!D10-IF(Skills!E10=TRUE,Inputs!$B$32,0)))*(1-IF(AND(ArtifactsInput!$M$27,Inputs!$B$4="Chapter Hunt"),CHOOSE(ArtifactsInput!$N$27+1,20,24,28,32,36,40),0)/100)))))/Skills!H10,1)))/Inputs!$B$43),G511*Q511)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511*(1-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511*(1-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1">
        <f>IF(C511,(H511*N511*IF(AND(Inputs!$B$38&lt;&gt;"pvp",Inputs!$B$43&gt;0),((Skills!G10*((R511-1)*IF(Skills!H10&gt;0,Skills!I10/Skills!H10,1)+IF(Skills!H10&gt;0,MIN(Skills!I10,MAX(0,MAX(0,Inputs!$B$43-B538)-((R511-1)*(IF(Inputs!$B$38="pvp",15,MAX(0.1,Skills!D10-IF(Skills!E10=TRUE,Inputs!$B$32,0)))*(1-IF(AND(ArtifactsInput!$M$27,Inputs!$B$4="Chapter Hunt"),CHOOSE(ArtifactsInput!$N$27+1,20,24,28,32,36,40),0)/100)))))/Skills!H10,1)))/Inputs!$B$43),G511*Q511))*IF(Inputs!$B$38="pvp",1,(1+(Inputs!$B$21+Skills!Q10+(IF(ArtifactsInput!$M$33,CHOOSE(ArtifactsInput!$N$33+1,30,36,42,48,54,60)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2">
      <c r="A512">
        <f>Skills!A11</f>
        <v/>
      </c>
      <c r="B512">
        <f>Skills!B11</f>
        <v/>
      </c>
      <c r="C512">
        <f>Inputs!$B$3&gt;=107</f>
        <v/>
      </c>
      <c r="D512">
        <f>IF(Skills!C11=1,60+Inputs!$B$25+Inputs!$B$29,IF(Skills!C11=2,90+Inputs!$B$26+Inputs!$B$29,IF(Skills!C11=3,120+Inputs!$B$27+Inputs!$B$29,MAX(0,(Inputs!$B$3-100)*3)+Inputs!$B$28+Inputs!$B$29)))</f>
        <v/>
      </c>
      <c r="E512">
        <f>INDEX(FactorTable!$B$2:$Y$301, MATCH(ROUND(MIN(300,MAX(1,D512)),0), FactorTable!$A$2:$A$301,0), Skills!M11+1)</f>
        <v/>
      </c>
      <c r="F512">
        <f>IF(Skills!N11=TRUE,(Skills!L11/10)*(E512/1000),Skills!L11/10)+Skills!O11</f>
        <v/>
      </c>
      <c r="G512">
        <f>Skills!G11*IF(Skills!H11&gt;0,Skills!I11/Skills!H11,1)</f>
        <v/>
      </c>
      <c r="H512">
        <f>1-(1-Skills!J11/100)^Skills!K11</f>
        <v/>
      </c>
      <c r="I512" t="inlineStr">
        <is>
          <t>1</t>
        </is>
      </c>
      <c r="J512">
        <f>((Inputs!$B$6*(1+Inputs!$B$7/100))+(((Inputs!$B$12*(1+Inputs!$B$13/100))-(Inputs!$B$12*(1+Inputs!$B$13/100)))+0.25*(Inputs!$B$14-Inputs!$B$14))*(1+Inputs!$B$7/100))*(F512/100)</f>
        <v/>
      </c>
      <c r="K512">
        <f>J512*(1+((Inputs!$B$12*(1+Inputs!$B$13/100))*0.01+Inputs!$B$14*0.0025)/100)*(1+Inputs!$B$15/100)*(1+Inputs!$B$16/100)*(5000/(6000+Inputs!$B$42*(1-(100*(1-(1-(Inputs!$B$19+0)/100)*(1-CHOOSE(ArtifactsInput!$N$40+1,5,6,7,8,9,10)/100)^(ArtifactsInput!$M$40-ArtifactsInput!$M$40)))/100)))*(1+(Inputs!$B$24+((C527=TRUE)*(F527-Calc!F26))+B537)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524=TRUE)*(F524-Calc!F23))+((C528=TRUE)*(F528-Calc!F27))+(((IF(AND(ArtifactsInput!$M$42,(((Inputs!$B$9+1)+((C520=TRUE)*(F520-Calc!F19))+B531+(ArtifactsInput!$M$24-ArtifactsInput!$M$24)*CHOOSE(ArtifactsInput!$N$24+1,10,12,14,16,18,20)+IF(ArtifactsInput!$M$10,CHOOSE(ArtifactsInput!$N$10+1,15,18,21,24,27,30)*(IF(Inputs!$B$38="pvp",MIN(15,15)/15,IF(AND(Inputs!$B$38&lt;&gt;"pvp",Inputs!$B$43&gt;0),MIN(15,Inputs!$B$43)/(Inputs!$B$43),0))),0)))&gt;=100),MIN(100,(((Inputs!$B$9+1)+((C520=TRUE)*(F520-Calc!F19))+B531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520=TRUE)*(F520-Calc!F19))+B531+(ArtifactsInput!$M$24-ArtifactsInput!$M$24)*CHOOSE(ArtifactsInput!$N$24+1,10,12,14,16,18,20)+IF(ArtifactsInput!$M$10,CHOOSE(ArtifactsInput!$N$10+1,15,18,21,24,27,30)*(IF(Inputs!$B$38="pvp",MIN(15,15)/15,IF(AND(Inputs!$B$38&lt;&gt;"pvp",Inputs!$B$43&gt;0),MIN(15,Inputs!$B$43)/(Inputs!$B$43),0))),0)))&gt;=100),CHOOSE(ArtifactsInput!$N$42+1,40,48,56,64,72,80),0))))/100)*((1+(((C518=TRUE)*F518)+((C525=TRUE)*(F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512)</f>
        <v/>
      </c>
      <c r="L512">
        <f>K512*(MIN(Inputs!$B$22+((C523=TRUE)*(F523-Calc!F22)),(Inputs!$B$23+0+(IF(ArtifactsInput!$M$15,CHOOSE(ArtifactsInput!$N$15+1,25,30,35,40,45,50)/100*(Inputs!$B$11-Inputs!$B$11),0))))/100+(Inputs!$B$23+0+(IF(ArtifactsInput!$M$15,CHOOSE(ArtifactsInput!$N$15+1,25,30,35,40,45,50)/100*(Inputs!$B$11-Inputs!$B$11),0)))/100)/2</f>
        <v/>
      </c>
      <c r="M512">
        <f>L512*(1+(Inputs!$B$10+((C526=TRUE)*(F526-Calc!F25))+B536+(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2">
        <f>L512*(1-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512*(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2">
        <f>(1-Summary!$B$11)*T512+Summary!$B$11*V512</f>
        <v/>
      </c>
      <c r="P512">
        <f>IF(B541=0,0,O512/B541)</f>
        <v/>
      </c>
      <c r="Q512">
        <f>IFERROR(1/(IF(Inputs!$B$38="pvp",15,MAX(0.1,Skills!D11-IF(Skills!E11=TRUE,Inputs!$B$32,0)))*(1-IF(AND(ArtifactsInput!$M$27,Inputs!$B$4="Chapter Hunt"),CHOOSE(ArtifactsInput!$N$27+1,20,24,28,32,36,40),0)/100)),0)</f>
        <v/>
      </c>
      <c r="R512">
        <f>IF(AND(Inputs!$B$38&lt;&gt;"pvp",Inputs!$B$43&gt;0),IF(MAX(0,Inputs!$B$43-B538)&lt;=0,0,(INT(MAX(0,Inputs!$B$43-B538)/(IF(Inputs!$B$38="pvp",15,MAX(0.1,Skills!D11-IF(Skills!E11=TRUE,Inputs!$B$32,0)))*(1-IF(AND(ArtifactsInput!$M$27,Inputs!$B$4="Chapter Hunt"),CHOOSE(ArtifactsInput!$N$27+1,20,24,28,32,36,40),0)/100)))+1)),0)</f>
        <v/>
      </c>
      <c r="S512">
        <f>IFERROR(O512/N512,0)</f>
        <v/>
      </c>
      <c r="T512">
        <f>IF(C512,(H512*N512*IF(AND(Inputs!$B$38&lt;&gt;"pvp",Inputs!$B$43&gt;0),((Skills!G11*((R512-1)*IF(Skills!H11&gt;0,Skills!I11/Skills!H11,1)+IF(Skills!H11&gt;0,MIN(Skills!I11,MAX(0,MAX(0,Inputs!$B$43-B538)-((R512-1)*(IF(Inputs!$B$38="pvp",15,MAX(0.1,Skills!D11-IF(Skills!E11=TRUE,Inputs!$B$32,0)))*(1-IF(AND(ArtifactsInput!$M$27,Inputs!$B$4="Chapter Hunt"),CHOOSE(ArtifactsInput!$N$27+1,20,24,28,32,36,40),0)/100)))))/Skills!H11,1)))/Inputs!$B$43),G512*Q512)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512*(1-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512*(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512*(1-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512*(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2">
        <f>IF(C512,(H512*N512*IF(AND(Inputs!$B$38&lt;&gt;"pvp",Inputs!$B$43&gt;0),((Skills!G11*((R512-1)*IF(Skills!H11&gt;0,Skills!I11/Skills!H11,1)+IF(Skills!H11&gt;0,MIN(Skills!I11,MAX(0,MAX(0,Inputs!$B$43-B538)-((R512-1)*(IF(Inputs!$B$38="pvp",15,MAX(0.1,Skills!D11-IF(Skills!E11=TRUE,Inputs!$B$32,0)))*(1-IF(AND(ArtifactsInput!$M$27,Inputs!$B$4="Chapter Hunt"),CHOOSE(ArtifactsInput!$N$27+1,20,24,28,32,36,40),0)/100)))))/Skills!H11,1)))/Inputs!$B$43),G512*Q512))*IF(Inputs!$B$38="pvp",1,(1+(Inputs!$B$21+Skills!Q11+(IF(ArtifactsInput!$M$33,CHOOSE(ArtifactsInput!$N$33+1,30,36,42,48,54,60)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3">
      <c r="A513">
        <f>Skills!A12</f>
        <v/>
      </c>
      <c r="B513">
        <f>Skills!B12</f>
        <v/>
      </c>
      <c r="C513">
        <f>Inputs!$B$3&gt;=110</f>
        <v/>
      </c>
      <c r="D513">
        <f>IF(Skills!C12=1,60+Inputs!$B$25+Inputs!$B$29,IF(Skills!C12=2,90+Inputs!$B$26+Inputs!$B$29,IF(Skills!C12=3,120+Inputs!$B$27+Inputs!$B$29,MAX(0,(Inputs!$B$3-100)*3)+Inputs!$B$28+Inputs!$B$29)))</f>
        <v/>
      </c>
      <c r="E513">
        <f>INDEX(FactorTable!$B$2:$Y$301, MATCH(ROUND(MIN(300,MAX(1,D513)),0), FactorTable!$A$2:$A$301,0), Skills!M12+1)</f>
        <v/>
      </c>
      <c r="F513">
        <f>IF(Skills!N12=TRUE,(Skills!L12/10)*(E513/1000),Skills!L12/10)+Skills!O12</f>
        <v/>
      </c>
      <c r="G513">
        <f>Skills!G12*IF(Skills!H12&gt;0,Skills!I12/Skills!H12,1)</f>
        <v/>
      </c>
      <c r="H513">
        <f>1-(1-Skills!J12/100)^Skills!K12</f>
        <v/>
      </c>
      <c r="I513" t="inlineStr">
        <is>
          <t>1</t>
        </is>
      </c>
      <c r="J513">
        <f>((Inputs!$B$6*(1+Inputs!$B$7/100))+(((Inputs!$B$12*(1+Inputs!$B$13/100))-(Inputs!$B$12*(1+Inputs!$B$13/100)))+0.25*(Inputs!$B$14-Inputs!$B$14))*(1+Inputs!$B$7/100))*(F513/100)</f>
        <v/>
      </c>
      <c r="K513">
        <f>J513*(1+((Inputs!$B$12*(1+Inputs!$B$13/100))*0.01+Inputs!$B$14*0.0025)/100)*(1+Inputs!$B$15/100)*(1+Inputs!$B$16/100)*(5000/(6000+Inputs!$B$42*(1-(100*(1-(1-(Inputs!$B$19+0)/100)*(1-CHOOSE(ArtifactsInput!$N$40+1,5,6,7,8,9,10)/100)^(ArtifactsInput!$M$40-ArtifactsInput!$M$40)))/100)))*(1+(Inputs!$B$24+((C527=TRUE)*(F527-Calc!F26))+B537)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524=TRUE)*(F524-Calc!F23))+((C528=TRUE)*(F528-Calc!F27))+(((IF(AND(ArtifactsInput!$M$42,(((Inputs!$B$9+1)+((C520=TRUE)*(F520-Calc!F19))+B531+(ArtifactsInput!$M$24-ArtifactsInput!$M$24)*CHOOSE(ArtifactsInput!$N$24+1,10,12,14,16,18,20)+IF(ArtifactsInput!$M$10,CHOOSE(ArtifactsInput!$N$10+1,15,18,21,24,27,30)*(IF(Inputs!$B$38="pvp",MIN(15,15)/15,IF(AND(Inputs!$B$38&lt;&gt;"pvp",Inputs!$B$43&gt;0),MIN(15,Inputs!$B$43)/(Inputs!$B$43),0))),0)))&gt;=100),MIN(100,(((Inputs!$B$9+1)+((C520=TRUE)*(F520-Calc!F19))+B531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520=TRUE)*(F520-Calc!F19))+B531+(ArtifactsInput!$M$24-ArtifactsInput!$M$24)*CHOOSE(ArtifactsInput!$N$24+1,10,12,14,16,18,20)+IF(ArtifactsInput!$M$10,CHOOSE(ArtifactsInput!$N$10+1,15,18,21,24,27,30)*(IF(Inputs!$B$38="pvp",MIN(15,15)/15,IF(AND(Inputs!$B$38&lt;&gt;"pvp",Inputs!$B$43&gt;0),MIN(15,Inputs!$B$43)/(Inputs!$B$43),0))),0)))&gt;=100),CHOOSE(ArtifactsInput!$N$42+1,40,48,56,64,72,80),0))))/100)*((1+(((C518=TRUE)*F518)+((C525=TRUE)*(F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513)</f>
        <v/>
      </c>
      <c r="L513">
        <f>K513*(MIN(Inputs!$B$22+((C523=TRUE)*(F523-Calc!F22)),(Inputs!$B$23+0+(IF(ArtifactsInput!$M$15,CHOOSE(ArtifactsInput!$N$15+1,25,30,35,40,45,50)/100*(Inputs!$B$11-Inputs!$B$11),0))))/100+(Inputs!$B$23+0+(IF(ArtifactsInput!$M$15,CHOOSE(ArtifactsInput!$N$15+1,25,30,35,40,45,50)/100*(Inputs!$B$11-Inputs!$B$11),0)))/100)/2</f>
        <v/>
      </c>
      <c r="M513">
        <f>L513*(1+(Inputs!$B$10+((C526=TRUE)*(F526-Calc!F25))+B536+(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3">
        <f>L513*(1-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513*(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3">
        <f>(1-Summary!$B$11)*T513+Summary!$B$11*V513</f>
        <v/>
      </c>
      <c r="P513">
        <f>IF(B541=0,0,O513/B541)</f>
        <v/>
      </c>
      <c r="Q513">
        <f>IFERROR(1/(IF(Inputs!$B$38="pvp",15,MAX(0.1,Skills!D12-IF(Skills!E12=TRUE,Inputs!$B$32,0)))*(1-IF(AND(ArtifactsInput!$M$27,Inputs!$B$4="Chapter Hunt"),CHOOSE(ArtifactsInput!$N$27+1,20,24,28,32,36,40),0)/100)),0)</f>
        <v/>
      </c>
      <c r="R513">
        <f>IF(AND(Inputs!$B$38&lt;&gt;"pvp",Inputs!$B$43&gt;0),IF(MAX(0,Inputs!$B$43-B538)&lt;=0,0,(INT(MAX(0,Inputs!$B$43-B538)/(IF(Inputs!$B$38="pvp",15,MAX(0.1,Skills!D12-IF(Skills!E12=TRUE,Inputs!$B$32,0)))*(1-IF(AND(ArtifactsInput!$M$27,Inputs!$B$4="Chapter Hunt"),CHOOSE(ArtifactsInput!$N$27+1,20,24,28,32,36,40),0)/100)))+1)),0)</f>
        <v/>
      </c>
      <c r="S513">
        <f>IFERROR(O513/N513,0)</f>
        <v/>
      </c>
      <c r="T513">
        <f>IF(C513,(H513*N513*IF(AND(Inputs!$B$38&lt;&gt;"pvp",Inputs!$B$43&gt;0),((Skills!G12*((R513-1)*IF(Skills!H12&gt;0,Skills!I12/Skills!H12,1)+IF(Skills!H12&gt;0,MIN(Skills!I12,MAX(0,MAX(0,Inputs!$B$43-B538)-((R513-1)*(IF(Inputs!$B$38="pvp",15,MAX(0.1,Skills!D12-IF(Skills!E12=TRUE,Inputs!$B$32,0)))*(1-IF(AND(ArtifactsInput!$M$27,Inputs!$B$4="Chapter Hunt"),CHOOSE(ArtifactsInput!$N$27+1,20,24,28,32,36,40),0)/100)))))/Skills!H12,1)))/Inputs!$B$43),G513*Q513)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513*(1-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513*(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513*(1-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513*(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3">
        <f>IF(C513,(H513*N513*IF(AND(Inputs!$B$38&lt;&gt;"pvp",Inputs!$B$43&gt;0),((Skills!G12*((R513-1)*IF(Skills!H12&gt;0,Skills!I12/Skills!H12,1)+IF(Skills!H12&gt;0,MIN(Skills!I12,MAX(0,MAX(0,Inputs!$B$43-B538)-((R513-1)*(IF(Inputs!$B$38="pvp",15,MAX(0.1,Skills!D12-IF(Skills!E12=TRUE,Inputs!$B$32,0)))*(1-IF(AND(ArtifactsInput!$M$27,Inputs!$B$4="Chapter Hunt"),CHOOSE(ArtifactsInput!$N$27+1,20,24,28,32,36,40),0)/100)))))/Skills!H12,1)))/Inputs!$B$43),G513*Q513))*IF(Inputs!$B$38="pvp",1,(1+(Inputs!$B$21+Skills!Q12+(IF(ArtifactsInput!$M$33,CHOOSE(ArtifactsInput!$N$33+1,30,36,42,48,54,60)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4">
      <c r="A514">
        <f>Skills!A13</f>
        <v/>
      </c>
      <c r="B514">
        <f>Skills!B13</f>
        <v/>
      </c>
      <c r="C514">
        <f>Inputs!$B$3&gt;=110</f>
        <v/>
      </c>
      <c r="D514">
        <f>IF(Skills!C13=1,60+Inputs!$B$25+Inputs!$B$29,IF(Skills!C13=2,90+Inputs!$B$26+Inputs!$B$29,IF(Skills!C13=3,120+Inputs!$B$27+Inputs!$B$29,MAX(0,(Inputs!$B$3-100)*3)+Inputs!$B$28+Inputs!$B$29)))</f>
        <v/>
      </c>
      <c r="E514">
        <f>INDEX(FactorTable!$B$2:$Y$301, MATCH(ROUND(MIN(300,MAX(1,D514)),0), FactorTable!$A$2:$A$301,0), Skills!M13+1)</f>
        <v/>
      </c>
      <c r="F514">
        <f>IF(Skills!N13=TRUE,(Skills!L13/10)*(E514/1000),Skills!L13/10)+Skills!O13</f>
        <v/>
      </c>
      <c r="G514">
        <f>Skills!G13*IF(Skills!H13&gt;0,Skills!I13/Skills!H13,1)</f>
        <v/>
      </c>
      <c r="H514">
        <f>1-(1-Skills!J13/100)^Skills!K13</f>
        <v/>
      </c>
      <c r="I514" t="inlineStr">
        <is>
          <t>1</t>
        </is>
      </c>
      <c r="J514">
        <f>((Inputs!$B$6*(1+Inputs!$B$7/100))+(((Inputs!$B$12*(1+Inputs!$B$13/100))-(Inputs!$B$12*(1+Inputs!$B$13/100)))+0.25*(Inputs!$B$14-Inputs!$B$14))*(1+Inputs!$B$7/100))*(F514/100)</f>
        <v/>
      </c>
      <c r="K514">
        <f>J514*(1+((Inputs!$B$12*(1+Inputs!$B$13/100))*0.01+Inputs!$B$14*0.0025)/100)*(1+Inputs!$B$15/100)*(1+Inputs!$B$16/100)*(5000/(6000+Inputs!$B$42*(1-(100*(1-(1-(Inputs!$B$19+0)/100)*(1-CHOOSE(ArtifactsInput!$N$40+1,5,6,7,8,9,10)/100)^(ArtifactsInput!$M$40-ArtifactsInput!$M$40)))/100)))*(1+(Inputs!$B$24+((C527=TRUE)*(F527-Calc!F26))+B537)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524=TRUE)*(F524-Calc!F23))+((C528=TRUE)*(F528-Calc!F27))+(((IF(AND(ArtifactsInput!$M$42,(((Inputs!$B$9+1)+((C520=TRUE)*(F520-Calc!F19))+B531+(ArtifactsInput!$M$24-ArtifactsInput!$M$24)*CHOOSE(ArtifactsInput!$N$24+1,10,12,14,16,18,20)+IF(ArtifactsInput!$M$10,CHOOSE(ArtifactsInput!$N$10+1,15,18,21,24,27,30)*(IF(Inputs!$B$38="pvp",MIN(15,15)/15,IF(AND(Inputs!$B$38&lt;&gt;"pvp",Inputs!$B$43&gt;0),MIN(15,Inputs!$B$43)/(Inputs!$B$43),0))),0)))&gt;=100),MIN(100,(((Inputs!$B$9+1)+((C520=TRUE)*(F520-Calc!F19))+B531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520=TRUE)*(F520-Calc!F19))+B531+(ArtifactsInput!$M$24-ArtifactsInput!$M$24)*CHOOSE(ArtifactsInput!$N$24+1,10,12,14,16,18,20)+IF(ArtifactsInput!$M$10,CHOOSE(ArtifactsInput!$N$10+1,15,18,21,24,27,30)*(IF(Inputs!$B$38="pvp",MIN(15,15)/15,IF(AND(Inputs!$B$38&lt;&gt;"pvp",Inputs!$B$43&gt;0),MIN(15,Inputs!$B$43)/(Inputs!$B$43),0))),0)))&gt;=100),CHOOSE(ArtifactsInput!$N$42+1,40,48,56,64,72,80),0))))/100)*((1+(((C518=TRUE)*F518)+((C525=TRUE)*(F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514)</f>
        <v/>
      </c>
      <c r="L514">
        <f>K514*(MIN(Inputs!$B$22+((C523=TRUE)*(F523-Calc!F22)),(Inputs!$B$23+0+(IF(ArtifactsInput!$M$15,CHOOSE(ArtifactsInput!$N$15+1,25,30,35,40,45,50)/100*(Inputs!$B$11-Inputs!$B$11),0))))/100+(Inputs!$B$23+0+(IF(ArtifactsInput!$M$15,CHOOSE(ArtifactsInput!$N$15+1,25,30,35,40,45,50)/100*(Inputs!$B$11-Inputs!$B$11),0)))/100)/2</f>
        <v/>
      </c>
      <c r="M514">
        <f>L514*(1+(Inputs!$B$10+((C526=TRUE)*(F526-Calc!F25))+B536+(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4">
        <f>L514*(1-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514*(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4">
        <f>(1-Summary!$B$11)*T514+Summary!$B$11*V514</f>
        <v/>
      </c>
      <c r="P514">
        <f>IF(B541=0,0,O514/B541)</f>
        <v/>
      </c>
      <c r="Q514">
        <f>IFERROR(1/(IF(Inputs!$B$38="pvp",15,MAX(0.1,Skills!D13-IF(Skills!E13=TRUE,Inputs!$B$32,0)))*(1-IF(AND(ArtifactsInput!$M$27,Inputs!$B$4="Chapter Hunt"),CHOOSE(ArtifactsInput!$N$27+1,20,24,28,32,36,40),0)/100)),0)</f>
        <v/>
      </c>
      <c r="R514">
        <f>IF(AND(Inputs!$B$38&lt;&gt;"pvp",Inputs!$B$43&gt;0),IF(MAX(0,Inputs!$B$43-B538)&lt;=0,0,(INT(MAX(0,Inputs!$B$43-B538)/(IF(Inputs!$B$38="pvp",15,MAX(0.1,Skills!D13-IF(Skills!E13=TRUE,Inputs!$B$32,0)))*(1-IF(AND(ArtifactsInput!$M$27,Inputs!$B$4="Chapter Hunt"),CHOOSE(ArtifactsInput!$N$27+1,20,24,28,32,36,40),0)/100)))+1)),0)</f>
        <v/>
      </c>
      <c r="S514">
        <f>IFERROR(O514/N514,0)</f>
        <v/>
      </c>
      <c r="T514">
        <f>IF(C514,(H514*N514*IF(AND(Inputs!$B$38&lt;&gt;"pvp",Inputs!$B$43&gt;0),((Skills!G13*((R514-1)*IF(Skills!H13&gt;0,Skills!I13/Skills!H13,1)+IF(Skills!H13&gt;0,MIN(Skills!I13,MAX(0,MAX(0,Inputs!$B$43-B538)-((R514-1)*(IF(Inputs!$B$38="pvp",15,MAX(0.1,Skills!D13-IF(Skills!E13=TRUE,Inputs!$B$32,0)))*(1-IF(AND(ArtifactsInput!$M$27,Inputs!$B$4="Chapter Hunt"),CHOOSE(ArtifactsInput!$N$27+1,20,24,28,32,36,40),0)/100)))))/Skills!H13,1)))/Inputs!$B$43),G514*Q514)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514*(1-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514*(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514*(1-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514*(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4">
        <f>IF(C514,(H514*N514*IF(AND(Inputs!$B$38&lt;&gt;"pvp",Inputs!$B$43&gt;0),((Skills!G13*((R514-1)*IF(Skills!H13&gt;0,Skills!I13/Skills!H13,1)+IF(Skills!H13&gt;0,MIN(Skills!I13,MAX(0,MAX(0,Inputs!$B$43-B538)-((R514-1)*(IF(Inputs!$B$38="pvp",15,MAX(0.1,Skills!D13-IF(Skills!E13=TRUE,Inputs!$B$32,0)))*(1-IF(AND(ArtifactsInput!$M$27,Inputs!$B$4="Chapter Hunt"),CHOOSE(ArtifactsInput!$N$27+1,20,24,28,32,36,40),0)/100)))))/Skills!H13,1)))/Inputs!$B$43),G514*Q514))*IF(Inputs!$B$38="pvp",1,(1+(Inputs!$B$21+Skills!Q13+(IF(ArtifactsInput!$M$33,CHOOSE(ArtifactsInput!$N$33+1,30,36,42,48,54,60)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5">
      <c r="A515">
        <f>Skills!A14</f>
        <v/>
      </c>
      <c r="B515">
        <f>Skills!B14</f>
        <v/>
      </c>
      <c r="C515">
        <f>Inputs!$B$3&gt;=125</f>
        <v/>
      </c>
      <c r="D515">
        <f>IF(Skills!C14=1,60+Inputs!$B$25+Inputs!$B$29,IF(Skills!C14=2,90+Inputs!$B$26+Inputs!$B$29,IF(Skills!C14=3,120+Inputs!$B$27+Inputs!$B$29,MAX(0,(Inputs!$B$3-100)*3)+Inputs!$B$28+Inputs!$B$29)))</f>
        <v/>
      </c>
      <c r="E515">
        <f>INDEX(FactorTable!$B$2:$Y$301, MATCH(ROUND(MIN(300,MAX(1,D515)),0), FactorTable!$A$2:$A$301,0), Skills!M14+1)</f>
        <v/>
      </c>
      <c r="F515">
        <f>IF(Skills!N14=TRUE,(Skills!L14/10)*(E515/1000),Skills!L14/10)+Skills!O14</f>
        <v/>
      </c>
      <c r="G515">
        <f>Skills!G14*IF(Skills!H14&gt;0,Skills!I14/Skills!H14,1)</f>
        <v/>
      </c>
      <c r="H515">
        <f>1-(1-Skills!J14/100)^Skills!K14</f>
        <v/>
      </c>
      <c r="I515" t="inlineStr">
        <is>
          <t>1</t>
        </is>
      </c>
      <c r="J515">
        <f>((Inputs!$B$6*(1+Inputs!$B$7/100))+(((Inputs!$B$12*(1+Inputs!$B$13/100))-(Inputs!$B$12*(1+Inputs!$B$13/100)))+0.25*(Inputs!$B$14-Inputs!$B$14))*(1+Inputs!$B$7/100))*(F515/100)</f>
        <v/>
      </c>
      <c r="K515">
        <f>J515*(1+((Inputs!$B$12*(1+Inputs!$B$13/100))*0.01+Inputs!$B$14*0.0025)/100)*(1+Inputs!$B$15/100)*(1+Inputs!$B$16/100)*(5000/(6000+Inputs!$B$42*(1-(100*(1-(1-(Inputs!$B$19+0)/100)*(1-CHOOSE(ArtifactsInput!$N$40+1,5,6,7,8,9,10)/100)^(ArtifactsInput!$M$40-ArtifactsInput!$M$40)))/100)))*(1+(Inputs!$B$24+((C527=TRUE)*(F527-Calc!F26))+B537)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524=TRUE)*(F524-Calc!F23))+((C528=TRUE)*(F528-Calc!F27))+(((IF(AND(ArtifactsInput!$M$42,(((Inputs!$B$9+1)+((C520=TRUE)*(F520-Calc!F19))+B531+(ArtifactsInput!$M$24-ArtifactsInput!$M$24)*CHOOSE(ArtifactsInput!$N$24+1,10,12,14,16,18,20)+IF(ArtifactsInput!$M$10,CHOOSE(ArtifactsInput!$N$10+1,15,18,21,24,27,30)*(IF(Inputs!$B$38="pvp",MIN(15,15)/15,IF(AND(Inputs!$B$38&lt;&gt;"pvp",Inputs!$B$43&gt;0),MIN(15,Inputs!$B$43)/(Inputs!$B$43),0))),0)))&gt;=100),MIN(100,(((Inputs!$B$9+1)+((C520=TRUE)*(F520-Calc!F19))+B531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520=TRUE)*(F520-Calc!F19))+B531+(ArtifactsInput!$M$24-ArtifactsInput!$M$24)*CHOOSE(ArtifactsInput!$N$24+1,10,12,14,16,18,20)+IF(ArtifactsInput!$M$10,CHOOSE(ArtifactsInput!$N$10+1,15,18,21,24,27,30)*(IF(Inputs!$B$38="pvp",MIN(15,15)/15,IF(AND(Inputs!$B$38&lt;&gt;"pvp",Inputs!$B$43&gt;0),MIN(15,Inputs!$B$43)/(Inputs!$B$43),0))),0)))&gt;=100),CHOOSE(ArtifactsInput!$N$42+1,40,48,56,64,72,80),0))))/100)*((1+(((C518=TRUE)*F518)+((C525=TRUE)*(F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515)</f>
        <v/>
      </c>
      <c r="L515">
        <f>K515*(MIN(Inputs!$B$22+((C523=TRUE)*(F523-Calc!F22)),(Inputs!$B$23+0+(IF(ArtifactsInput!$M$15,CHOOSE(ArtifactsInput!$N$15+1,25,30,35,40,45,50)/100*(Inputs!$B$11-Inputs!$B$11),0))))/100+(Inputs!$B$23+0+(IF(ArtifactsInput!$M$15,CHOOSE(ArtifactsInput!$N$15+1,25,30,35,40,45,50)/100*(Inputs!$B$11-Inputs!$B$11),0)))/100)/2</f>
        <v/>
      </c>
      <c r="M515">
        <f>L515*(1+(Inputs!$B$10+((C526=TRUE)*(F526-Calc!F25))+B536+(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5">
        <f>L515*(1-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515*(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5">
        <f>(1-Summary!$B$11)*T515+Summary!$B$11*V515</f>
        <v/>
      </c>
      <c r="P515">
        <f>IF(B541=0,0,O515/B541)</f>
        <v/>
      </c>
      <c r="Q515" t="n">
        <v>0</v>
      </c>
      <c r="R515" t="n">
        <v>0</v>
      </c>
      <c r="S515">
        <f>IFERROR(O515/N515,0)</f>
        <v/>
      </c>
      <c r="T515">
        <f>IF(C515,(H515*N515*(B535+IF(AND(Inputs!$B$38&lt;&gt;"pvp",Inputs!$B$43&gt;0),((Skills!G8*((R509-1)*IF(Skills!H8&gt;0,Skills!I8/Skills!H8,1)+IF(Skills!H8&gt;0,MIN(Skills!I8,MAX(0,MAX(0,Inputs!$B$43-B538)-((R509-1)*(IF(Inputs!$B$38="pvp",15,MAX(0.1,Skills!D8-IF(Skills!E8=TRUE,Inputs!$B$32,0)))*(1-IF(AND(ArtifactsInput!$M$27,Inputs!$B$4="Chapter Hunt"),CHOOSE(ArtifactsInput!$N$27+1,20,24,28,32,36,40),0)/100)))))/Skills!H8,1)))/Inputs!$B$43),G509*Q509)+IF(AND(Inputs!$B$38&lt;&gt;"pvp",Inputs!$B$43&gt;0),((Skills!G11*((R512-1)*IF(Skills!H11&gt;0,Skills!I11/Skills!H11,1)+IF(Skills!H11&gt;0,MIN(Skills!I11,MAX(0,MAX(0,Inputs!$B$43-B538)-((R512-1)*(IF(Inputs!$B$38="pvp",15,MAX(0.1,Skills!D11-IF(Skills!E11=TRUE,Inputs!$B$32,0)))*(1-IF(AND(ArtifactsInput!$M$27,Inputs!$B$4="Chapter Hunt"),CHOOSE(ArtifactsInput!$N$27+1,20,24,28,32,36,40),0)/100)))))/Skills!H11,1)))/Inputs!$B$43),G512*Q512)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515*(1-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515*(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515*(1-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515*(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5">
        <f>IF(C515,(H515*N515*(B535+IF(AND(Inputs!$B$38&lt;&gt;"pvp",Inputs!$B$43&gt;0),((Skills!G8*((R509-1)*IF(Skills!H8&gt;0,Skills!I8/Skills!H8,1)+IF(Skills!H8&gt;0,MIN(Skills!I8,MAX(0,MAX(0,Inputs!$B$43-B538)-((R509-1)*(IF(Inputs!$B$38="pvp",15,MAX(0.1,Skills!D8-IF(Skills!E8=TRUE,Inputs!$B$32,0)))*(1-IF(AND(ArtifactsInput!$M$27,Inputs!$B$4="Chapter Hunt"),CHOOSE(ArtifactsInput!$N$27+1,20,24,28,32,36,40),0)/100)))))/Skills!H8,1)))/Inputs!$B$43),G509*Q509)+IF(AND(Inputs!$B$38&lt;&gt;"pvp",Inputs!$B$43&gt;0),((Skills!G11*((R512-1)*IF(Skills!H11&gt;0,Skills!I11/Skills!H11,1)+IF(Skills!H11&gt;0,MIN(Skills!I11,MAX(0,MAX(0,Inputs!$B$43-B538)-((R512-1)*(IF(Inputs!$B$38="pvp",15,MAX(0.1,Skills!D11-IF(Skills!E11=TRUE,Inputs!$B$32,0)))*(1-IF(AND(ArtifactsInput!$M$27,Inputs!$B$4="Chapter Hunt"),CHOOSE(ArtifactsInput!$N$27+1,20,24,28,32,36,40),0)/100)))))/Skills!H11,1)))/Inputs!$B$43),G512*Q512)))*IF(Inputs!$B$38="pvp",1,(1+(Inputs!$B$21+Skills!Q14+(IF(ArtifactsInput!$M$33,CHOOSE(ArtifactsInput!$N$33+1,30,36,42,48,54,60)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6">
      <c r="A516">
        <f>Skills!A15</f>
        <v/>
      </c>
      <c r="B516">
        <f>Skills!B15</f>
        <v/>
      </c>
      <c r="C516">
        <f>Inputs!$B$3&gt;=100</f>
        <v/>
      </c>
      <c r="D516">
        <f>IF(Skills!C15=1,60+Inputs!$B$25+Inputs!$B$29,IF(Skills!C15=2,90+Inputs!$B$26+Inputs!$B$29,IF(Skills!C15=3,120+Inputs!$B$27+Inputs!$B$29,MAX(0,(Inputs!$B$3-100)*3)+Inputs!$B$28+Inputs!$B$29)))</f>
        <v/>
      </c>
      <c r="E516">
        <f>INDEX(FactorTable!$B$2:$Y$301, MATCH(ROUND(MIN(300,MAX(1,D516)),0), FactorTable!$A$2:$A$301,0), Skills!M15+1)</f>
        <v/>
      </c>
      <c r="F516">
        <f>IF(Skills!N15=TRUE,(Skills!L15/10)*(E516/1000),Skills!L15/10)+Skills!O15</f>
        <v/>
      </c>
      <c r="G516" t="inlineStr"/>
      <c r="H516" t="inlineStr"/>
      <c r="I516" t="inlineStr">
        <is>
          <t>1</t>
        </is>
      </c>
      <c r="J516" t="inlineStr"/>
      <c r="K516" t="inlineStr"/>
      <c r="L516" t="inlineStr"/>
      <c r="M516" t="inlineStr"/>
      <c r="N516" t="inlineStr"/>
      <c r="O516" t="inlineStr"/>
      <c r="P516" t="inlineStr"/>
      <c r="Q516" t="inlineStr"/>
      <c r="R516" t="inlineStr"/>
      <c r="S516" t="inlineStr"/>
    </row>
    <row r="517">
      <c r="A517">
        <f>Skills!A16</f>
        <v/>
      </c>
      <c r="B517">
        <f>Skills!B16</f>
        <v/>
      </c>
      <c r="C517">
        <f>Inputs!$B$3&gt;=120</f>
        <v/>
      </c>
      <c r="D517">
        <f>IF(Skills!C16=1,60+Inputs!$B$25+Inputs!$B$29,IF(Skills!C16=2,90+Inputs!$B$26+Inputs!$B$29,IF(Skills!C16=3,120+Inputs!$B$27+Inputs!$B$29,MAX(0,(Inputs!$B$3-100)*3)+Inputs!$B$28+Inputs!$B$29)))</f>
        <v/>
      </c>
      <c r="E517">
        <f>INDEX(FactorTable!$B$2:$Y$301, MATCH(ROUND(MIN(300,MAX(1,D517)),0), FactorTable!$A$2:$A$301,0), Skills!M16+1)</f>
        <v/>
      </c>
      <c r="F517">
        <f>IF(Skills!N16=TRUE,(Skills!L16/10)*(E517/1000),Skills!L16/10)+Skills!O16</f>
        <v/>
      </c>
      <c r="G517" t="inlineStr"/>
      <c r="H517" t="inlineStr"/>
      <c r="I517" t="inlineStr">
        <is>
          <t>1</t>
        </is>
      </c>
      <c r="J517" t="inlineStr"/>
      <c r="K517" t="inlineStr"/>
      <c r="L517" t="inlineStr"/>
      <c r="M517" t="inlineStr"/>
      <c r="N517" t="inlineStr"/>
      <c r="O517" t="inlineStr"/>
      <c r="P517" t="inlineStr"/>
      <c r="Q517" t="inlineStr"/>
      <c r="R517" t="inlineStr"/>
      <c r="S517" t="inlineStr"/>
    </row>
    <row r="518">
      <c r="A518">
        <f>Skills!A17</f>
        <v/>
      </c>
      <c r="B518">
        <f>Skills!B17</f>
        <v/>
      </c>
      <c r="C518">
        <f>Inputs!$B$3&gt;=66</f>
        <v/>
      </c>
      <c r="D518">
        <f>IF(Skills!C17=1,60+Inputs!$B$25+Inputs!$B$29,IF(Skills!C17=2,90+Inputs!$B$26+Inputs!$B$29,IF(Skills!C17=3,120+Inputs!$B$27+Inputs!$B$29,MAX(0,(Inputs!$B$3-100)*3)+Inputs!$B$28+Inputs!$B$29)))</f>
        <v/>
      </c>
      <c r="E518">
        <f>INDEX(FactorTable!$B$2:$Y$301, MATCH(ROUND(MIN(300,MAX(1,D518)),0), FactorTable!$A$2:$A$301,0), Skills!M17+1)</f>
        <v/>
      </c>
      <c r="F518">
        <f>IF(Skills!N17=TRUE,(Skills!L17/10)*(E518/1000),Skills!L17/10)+Skills!O17</f>
        <v/>
      </c>
      <c r="G518">
        <f>Skills!G17*IF(Skills!H17&gt;0,Skills!I17/Skills!H17,1)</f>
        <v/>
      </c>
      <c r="H518">
        <f>1-(1-Skills!J17/100)^Skills!K17</f>
        <v/>
      </c>
      <c r="I518" t="inlineStr">
        <is>
          <t>1</t>
        </is>
      </c>
      <c r="J518" t="inlineStr"/>
      <c r="K518" t="inlineStr"/>
      <c r="L518" t="inlineStr"/>
      <c r="M518" t="inlineStr"/>
      <c r="N518" t="inlineStr"/>
      <c r="O518">
        <f>(1-Summary!$B$11)*T518+Summary!$B$11*V518</f>
        <v/>
      </c>
      <c r="P518">
        <f>IF(B541=0,0,O518/B541)</f>
        <v/>
      </c>
      <c r="Q518" t="n">
        <v>0</v>
      </c>
      <c r="R518" t="n">
        <v>0</v>
      </c>
      <c r="S518">
        <f>IFERROR(O518/N518,0)</f>
        <v/>
      </c>
      <c r="T518" t="n">
        <v>0</v>
      </c>
      <c r="V518" t="n">
        <v>0</v>
      </c>
    </row>
    <row r="519">
      <c r="A519">
        <f>Skills!A18</f>
        <v/>
      </c>
      <c r="B519">
        <f>Skills!B18</f>
        <v/>
      </c>
      <c r="C519">
        <f>Inputs!$B$3&gt;=115</f>
        <v/>
      </c>
      <c r="D519">
        <f>IF(Skills!C18=1,60+Inputs!$B$25+Inputs!$B$29,IF(Skills!C18=2,90+Inputs!$B$26+Inputs!$B$29,IF(Skills!C18=3,120+Inputs!$B$27+Inputs!$B$29,MAX(0,(Inputs!$B$3-100)*3)+Inputs!$B$28+Inputs!$B$29)))</f>
        <v/>
      </c>
      <c r="E519">
        <f>INDEX(FactorTable!$B$2:$Y$301, MATCH(ROUND(MIN(300,MAX(1,D519)),0), FactorTable!$A$2:$A$301,0), Skills!M18+1)</f>
        <v/>
      </c>
      <c r="F519">
        <f>IF(Skills!N18=TRUE,(Skills!L18/10)*(E519/1000),Skills!L18/10)+Skills!O18</f>
        <v/>
      </c>
      <c r="G519">
        <f>Skills!G18*IF(Skills!H18&gt;0,Skills!I18/Skills!H18,1)</f>
        <v/>
      </c>
      <c r="H519">
        <f>1-(1-Skills!J18/100)^Skills!K18</f>
        <v/>
      </c>
      <c r="I519" t="inlineStr">
        <is>
          <t>1</t>
        </is>
      </c>
      <c r="J519" t="inlineStr"/>
      <c r="K519" t="inlineStr"/>
      <c r="L519" t="inlineStr"/>
      <c r="M519" t="inlineStr"/>
      <c r="N519" t="inlineStr"/>
      <c r="O519">
        <f>(1-Summary!$B$11)*T519+Summary!$B$11*V519</f>
        <v/>
      </c>
      <c r="P519">
        <f>IF(B541=0,0,O519/B541)</f>
        <v/>
      </c>
      <c r="Q519" t="n">
        <v>0</v>
      </c>
      <c r="R519" t="n">
        <v>0</v>
      </c>
      <c r="S519">
        <f>IFERROR(O519/N519,0)</f>
        <v/>
      </c>
      <c r="T519" t="n">
        <v>0</v>
      </c>
      <c r="V519" t="n">
        <v>0</v>
      </c>
    </row>
    <row r="520">
      <c r="A520">
        <f>Skills!A19</f>
        <v/>
      </c>
      <c r="B520">
        <f>Skills!B19</f>
        <v/>
      </c>
      <c r="C520">
        <f>Inputs!$B$3&gt;=15</f>
        <v/>
      </c>
      <c r="D520">
        <f>IF(Skills!C19=1,60+Inputs!$B$25+Inputs!$B$29,IF(Skills!C19=2,90+Inputs!$B$26+Inputs!$B$29,IF(Skills!C19=3,120+Inputs!$B$27+Inputs!$B$29,MAX(0,(Inputs!$B$3-100)*3)+Inputs!$B$28+Inputs!$B$29)))</f>
        <v/>
      </c>
      <c r="E520">
        <f>INDEX(FactorTable!$B$2:$Y$301, MATCH(ROUND(MIN(300,MAX(1,D520)),0), FactorTable!$A$2:$A$301,0), Skills!M19+1)</f>
        <v/>
      </c>
      <c r="F520">
        <f>IF(Skills!N19=TRUE,(Skills!L19/10)*(E520/1000),Skills!L19/10)+Skills!O19</f>
        <v/>
      </c>
      <c r="G520">
        <f>Skills!G19*IF(Skills!H19&gt;0,Skills!I19/Skills!H19,1)</f>
        <v/>
      </c>
      <c r="H520">
        <f>1-(1-Skills!J19/100)^Skills!K19</f>
        <v/>
      </c>
      <c r="I520" t="inlineStr">
        <is>
          <t>1</t>
        </is>
      </c>
      <c r="J520" t="inlineStr"/>
      <c r="K520" t="inlineStr"/>
      <c r="L520" t="inlineStr"/>
      <c r="M520" t="inlineStr"/>
      <c r="N520" t="inlineStr"/>
      <c r="O520">
        <f>(1-Summary!$B$11)*T520+Summary!$B$11*V520</f>
        <v/>
      </c>
      <c r="P520">
        <f>IF(B541=0,0,O520/B541)</f>
        <v/>
      </c>
      <c r="Q520" t="n">
        <v>0</v>
      </c>
      <c r="R520" t="n">
        <v>0</v>
      </c>
      <c r="S520">
        <f>IFERROR(O520/N520,0)</f>
        <v/>
      </c>
      <c r="T520" t="n">
        <v>0</v>
      </c>
      <c r="V520" t="n">
        <v>0</v>
      </c>
    </row>
    <row r="521">
      <c r="A521">
        <f>Skills!A20</f>
        <v/>
      </c>
      <c r="B521">
        <f>Skills!B20</f>
        <v/>
      </c>
      <c r="C521">
        <f>Inputs!$B$3&gt;=10</f>
        <v/>
      </c>
      <c r="D521">
        <f>IF(Skills!C20=1,60+Inputs!$B$25+Inputs!$B$29,IF(Skills!C20=2,90+Inputs!$B$26+Inputs!$B$29,IF(Skills!C20=3,120+Inputs!$B$27+Inputs!$B$29,MAX(0,(Inputs!$B$3-100)*3)+Inputs!$B$28+Inputs!$B$29)))</f>
        <v/>
      </c>
      <c r="E521">
        <f>INDEX(FactorTable!$B$2:$Y$301, MATCH(ROUND(MIN(300,MAX(1,D521)),0), FactorTable!$A$2:$A$301,0), Skills!M20+1)</f>
        <v/>
      </c>
      <c r="F521">
        <f>IF(Skills!N20=TRUE,(Skills!L20/10)*(E521/1000),Skills!L20/10)+Skills!O20</f>
        <v/>
      </c>
      <c r="G521">
        <f>Skills!G20*IF(Skills!H20&gt;0,Skills!I20/Skills!H20,1)</f>
        <v/>
      </c>
      <c r="H521">
        <f>1-(1-Skills!J20/100)^Skills!K20</f>
        <v/>
      </c>
      <c r="I521" t="inlineStr">
        <is>
          <t>1</t>
        </is>
      </c>
      <c r="J521" t="inlineStr"/>
      <c r="K521" t="inlineStr"/>
      <c r="L521" t="inlineStr"/>
      <c r="M521" t="inlineStr"/>
      <c r="N521" t="inlineStr"/>
      <c r="O521">
        <f>(1-Summary!$B$11)*T521+Summary!$B$11*V521</f>
        <v/>
      </c>
      <c r="P521">
        <f>IF(B541=0,0,O521/B541)</f>
        <v/>
      </c>
      <c r="Q521" t="n">
        <v>0</v>
      </c>
      <c r="R521" t="n">
        <v>0</v>
      </c>
      <c r="S521">
        <f>IFERROR(O521/N521,0)</f>
        <v/>
      </c>
      <c r="T521" t="n">
        <v>0</v>
      </c>
      <c r="V521" t="n">
        <v>0</v>
      </c>
    </row>
    <row r="522">
      <c r="A522">
        <f>Skills!A21</f>
        <v/>
      </c>
      <c r="B522">
        <f>Skills!B21</f>
        <v/>
      </c>
      <c r="C522">
        <f>Inputs!$B$3&gt;=33</f>
        <v/>
      </c>
      <c r="D522">
        <f>IF(Skills!C21=1,60+Inputs!$B$25+Inputs!$B$29,IF(Skills!C21=2,90+Inputs!$B$26+Inputs!$B$29,IF(Skills!C21=3,120+Inputs!$B$27+Inputs!$B$29,MAX(0,(Inputs!$B$3-100)*3)+Inputs!$B$28+Inputs!$B$29)))</f>
        <v/>
      </c>
      <c r="E522">
        <f>INDEX(FactorTable!$B$2:$Y$301, MATCH(ROUND(MIN(300,MAX(1,D522)),0), FactorTable!$A$2:$A$301,0), Skills!M21+1)</f>
        <v/>
      </c>
      <c r="F522">
        <f>IF(Skills!N21=TRUE,(Skills!L21/10)*(E522/1000),Skills!L21/10)+Skills!O21</f>
        <v/>
      </c>
      <c r="G522">
        <f>Skills!G21*IF(Skills!H21&gt;0,Skills!I21/Skills!H21,1)</f>
        <v/>
      </c>
      <c r="H522">
        <f>1-(1-Skills!J21/100)^Skills!K21</f>
        <v/>
      </c>
      <c r="I522" t="inlineStr">
        <is>
          <t>1</t>
        </is>
      </c>
      <c r="J522" t="inlineStr"/>
      <c r="K522" t="inlineStr"/>
      <c r="L522" t="inlineStr"/>
      <c r="M522" t="inlineStr"/>
      <c r="N522" t="inlineStr"/>
      <c r="O522">
        <f>(1-Summary!$B$11)*T522+Summary!$B$11*V522</f>
        <v/>
      </c>
      <c r="P522">
        <f>IF(B541=0,0,O522/B541)</f>
        <v/>
      </c>
      <c r="Q522" t="n">
        <v>0</v>
      </c>
      <c r="R522" t="n">
        <v>0</v>
      </c>
      <c r="S522">
        <f>IFERROR(O522/N522,0)</f>
        <v/>
      </c>
      <c r="T522" t="n">
        <v>0</v>
      </c>
      <c r="V522" t="n">
        <v>0</v>
      </c>
    </row>
    <row r="523">
      <c r="A523">
        <f>Skills!A22</f>
        <v/>
      </c>
      <c r="B523">
        <f>Skills!B22</f>
        <v/>
      </c>
      <c r="C523">
        <f>Inputs!$B$3&gt;=43</f>
        <v/>
      </c>
      <c r="D523">
        <f>IF(Skills!C22=1,60+Inputs!$B$25+Inputs!$B$29,IF(Skills!C22=2,90+Inputs!$B$26+Inputs!$B$29,IF(Skills!C22=3,120+Inputs!$B$27+Inputs!$B$29,MAX(0,(Inputs!$B$3-100)*3)+Inputs!$B$28+Inputs!$B$29)))</f>
        <v/>
      </c>
      <c r="E523">
        <f>INDEX(FactorTable!$B$2:$Y$301, MATCH(ROUND(MIN(300,MAX(1,D523)),0), FactorTable!$A$2:$A$301,0), Skills!M22+1)</f>
        <v/>
      </c>
      <c r="F523">
        <f>IF(Skills!N22=TRUE,(Skills!L22/10)*(E523/1000),Skills!L22/10)+Skills!O22</f>
        <v/>
      </c>
      <c r="G523">
        <f>Skills!G22*IF(Skills!H22&gt;0,Skills!I22/Skills!H22,1)</f>
        <v/>
      </c>
      <c r="H523">
        <f>1-(1-Skills!J22/100)^Skills!K22</f>
        <v/>
      </c>
      <c r="I523" t="inlineStr">
        <is>
          <t>1</t>
        </is>
      </c>
      <c r="J523" t="inlineStr"/>
      <c r="K523" t="inlineStr"/>
      <c r="L523" t="inlineStr"/>
      <c r="M523" t="inlineStr"/>
      <c r="N523" t="inlineStr"/>
      <c r="O523">
        <f>(1-Summary!$B$11)*T523+Summary!$B$11*V523</f>
        <v/>
      </c>
      <c r="P523">
        <f>IF(B541=0,0,O523/B541)</f>
        <v/>
      </c>
      <c r="Q523" t="n">
        <v>0</v>
      </c>
      <c r="R523" t="n">
        <v>0</v>
      </c>
      <c r="S523">
        <f>IFERROR(O523/N523,0)</f>
        <v/>
      </c>
      <c r="T523" t="n">
        <v>0</v>
      </c>
      <c r="V523" t="n">
        <v>0</v>
      </c>
    </row>
    <row r="524">
      <c r="A524">
        <f>Skills!A23</f>
        <v/>
      </c>
      <c r="B524">
        <f>Skills!B23</f>
        <v/>
      </c>
      <c r="C524">
        <f>Inputs!$B$3&gt;=38</f>
        <v/>
      </c>
      <c r="D524">
        <f>IF(Skills!C23=1,60+Inputs!$B$25+Inputs!$B$29,IF(Skills!C23=2,90+Inputs!$B$26+Inputs!$B$29,IF(Skills!C23=3,120+Inputs!$B$27+Inputs!$B$29,MAX(0,(Inputs!$B$3-100)*3)+Inputs!$B$28+Inputs!$B$29)))</f>
        <v/>
      </c>
      <c r="E524">
        <f>INDEX(FactorTable!$B$2:$Y$301, MATCH(ROUND(MIN(300,MAX(1,D524)),0), FactorTable!$A$2:$A$301,0), Skills!M23+1)</f>
        <v/>
      </c>
      <c r="F524">
        <f>IF(Skills!N23=TRUE,(Skills!L23/10)*(E524/1000),Skills!L23/10)+Skills!O23</f>
        <v/>
      </c>
      <c r="G524">
        <f>Skills!G23*IF(Skills!H23&gt;0,Skills!I23/Skills!H23,1)</f>
        <v/>
      </c>
      <c r="H524">
        <f>1-(1-Skills!J23/100)^Skills!K23</f>
        <v/>
      </c>
      <c r="I524" t="inlineStr">
        <is>
          <t>1</t>
        </is>
      </c>
      <c r="J524" t="inlineStr"/>
      <c r="K524" t="inlineStr"/>
      <c r="L524" t="inlineStr"/>
      <c r="M524" t="inlineStr"/>
      <c r="N524" t="inlineStr"/>
      <c r="O524">
        <f>(1-Summary!$B$11)*T524+Summary!$B$11*V524</f>
        <v/>
      </c>
      <c r="P524">
        <f>IF(B541=0,0,O524/B541)</f>
        <v/>
      </c>
      <c r="Q524" t="n">
        <v>0</v>
      </c>
      <c r="R524" t="n">
        <v>0</v>
      </c>
      <c r="S524">
        <f>IFERROR(O524/N524,0)</f>
        <v/>
      </c>
      <c r="T524" t="n">
        <v>0</v>
      </c>
      <c r="V524" t="n">
        <v>0</v>
      </c>
    </row>
    <row r="525">
      <c r="A525">
        <f>Skills!A24</f>
        <v/>
      </c>
      <c r="B525">
        <f>Skills!B24</f>
        <v/>
      </c>
      <c r="C525">
        <f>Inputs!$B$3&gt;=40</f>
        <v/>
      </c>
      <c r="D525">
        <f>IF(Skills!C24=1,60+Inputs!$B$25+Inputs!$B$29,IF(Skills!C24=2,90+Inputs!$B$26+Inputs!$B$29,IF(Skills!C24=3,120+Inputs!$B$27+Inputs!$B$29,MAX(0,(Inputs!$B$3-100)*3)+Inputs!$B$28+Inputs!$B$29)))</f>
        <v/>
      </c>
      <c r="E525">
        <f>INDEX(FactorTable!$B$2:$Y$301, MATCH(ROUND(MIN(300,MAX(1,D525)),0), FactorTable!$A$2:$A$301,0), Skills!M24+1)</f>
        <v/>
      </c>
      <c r="F525">
        <f>IF(Skills!N24=TRUE,(Skills!L24/10)*(E525/1000),Skills!L24/10)+Skills!O24</f>
        <v/>
      </c>
      <c r="G525">
        <f>Skills!G24*IF(Skills!H24&gt;0,Skills!I24/Skills!H24,1)</f>
        <v/>
      </c>
      <c r="H525">
        <f>1-(1-Skills!J24/100)^Skills!K24</f>
        <v/>
      </c>
      <c r="I525" t="inlineStr">
        <is>
          <t>1</t>
        </is>
      </c>
      <c r="J525" t="inlineStr"/>
      <c r="K525" t="inlineStr"/>
      <c r="L525" t="inlineStr"/>
      <c r="M525" t="inlineStr"/>
      <c r="N525" t="inlineStr"/>
      <c r="O525">
        <f>(1-Summary!$B$11)*T525+Summary!$B$11*V525</f>
        <v/>
      </c>
      <c r="P525">
        <f>IF(B541=0,0,O525/B541)</f>
        <v/>
      </c>
      <c r="Q525" t="n">
        <v>0</v>
      </c>
      <c r="R525" t="n">
        <v>0</v>
      </c>
      <c r="S525">
        <f>IFERROR(O525/N525,0)</f>
        <v/>
      </c>
      <c r="T525" t="n">
        <v>0</v>
      </c>
      <c r="V525" t="n">
        <v>0</v>
      </c>
    </row>
    <row r="526">
      <c r="A526">
        <f>Skills!A25</f>
        <v/>
      </c>
      <c r="B526">
        <f>Skills!B25</f>
        <v/>
      </c>
      <c r="C526">
        <f>Inputs!$B$3&gt;=72</f>
        <v/>
      </c>
      <c r="D526">
        <f>IF(Skills!C25=1,60+Inputs!$B$25+Inputs!$B$29,IF(Skills!C25=2,90+Inputs!$B$26+Inputs!$B$29,IF(Skills!C25=3,120+Inputs!$B$27+Inputs!$B$29,MAX(0,(Inputs!$B$3-100)*3)+Inputs!$B$28+Inputs!$B$29)))</f>
        <v/>
      </c>
      <c r="E526">
        <f>INDEX(FactorTable!$B$2:$Y$301, MATCH(ROUND(MIN(300,MAX(1,D526)),0), FactorTable!$A$2:$A$301,0), Skills!M25+1)</f>
        <v/>
      </c>
      <c r="F526">
        <f>IF(Skills!N25=TRUE,(Skills!L25/10)*(E526/1000),Skills!L25/10)+Skills!O25</f>
        <v/>
      </c>
      <c r="G526">
        <f>Skills!G25*IF(Skills!H25&gt;0,Skills!I25/Skills!H25,1)</f>
        <v/>
      </c>
      <c r="H526">
        <f>1-(1-Skills!J25/100)^Skills!K25</f>
        <v/>
      </c>
      <c r="I526" t="inlineStr">
        <is>
          <t>1</t>
        </is>
      </c>
      <c r="J526" t="inlineStr"/>
      <c r="K526" t="inlineStr"/>
      <c r="L526" t="inlineStr"/>
      <c r="M526" t="inlineStr"/>
      <c r="N526" t="inlineStr"/>
      <c r="O526">
        <f>(1-Summary!$B$11)*T526+Summary!$B$11*V526</f>
        <v/>
      </c>
      <c r="P526">
        <f>IF(B541=0,0,O526/B541)</f>
        <v/>
      </c>
      <c r="Q526" t="n">
        <v>0</v>
      </c>
      <c r="R526" t="n">
        <v>0</v>
      </c>
      <c r="S526">
        <f>IFERROR(O526/N526,0)</f>
        <v/>
      </c>
      <c r="T526" t="n">
        <v>0</v>
      </c>
      <c r="V526" t="n">
        <v>0</v>
      </c>
    </row>
    <row r="527">
      <c r="A527">
        <f>Skills!A26</f>
        <v/>
      </c>
      <c r="B527">
        <f>Skills!B26</f>
        <v/>
      </c>
      <c r="C527">
        <f>Inputs!$B$3&gt;=75</f>
        <v/>
      </c>
      <c r="D527">
        <f>IF(Skills!C26=1,60+Inputs!$B$25+Inputs!$B$29,IF(Skills!C26=2,90+Inputs!$B$26+Inputs!$B$29,IF(Skills!C26=3,120+Inputs!$B$27+Inputs!$B$29,MAX(0,(Inputs!$B$3-100)*3)+Inputs!$B$28+Inputs!$B$29)))</f>
        <v/>
      </c>
      <c r="E527">
        <f>INDEX(FactorTable!$B$2:$Y$301, MATCH(ROUND(MIN(300,MAX(1,D527)),0), FactorTable!$A$2:$A$301,0), Skills!M26+1)</f>
        <v/>
      </c>
      <c r="F527">
        <f>IF(Skills!N26=TRUE,(Skills!L26/10)*(E527/1000),Skills!L26/10)+Skills!O26</f>
        <v/>
      </c>
      <c r="G527">
        <f>Skills!G26*IF(Skills!H26&gt;0,Skills!I26/Skills!H26,1)</f>
        <v/>
      </c>
      <c r="H527">
        <f>1-(1-Skills!J26/100)^Skills!K26</f>
        <v/>
      </c>
      <c r="I527" t="inlineStr">
        <is>
          <t>1</t>
        </is>
      </c>
      <c r="J527" t="inlineStr"/>
      <c r="K527" t="inlineStr"/>
      <c r="L527" t="inlineStr"/>
      <c r="M527" t="inlineStr"/>
      <c r="N527" t="inlineStr"/>
      <c r="O527">
        <f>(1-Summary!$B$11)*T527+Summary!$B$11*V527</f>
        <v/>
      </c>
      <c r="P527">
        <f>IF(B541=0,0,O527/B541)</f>
        <v/>
      </c>
      <c r="Q527" t="n">
        <v>0</v>
      </c>
      <c r="R527" t="n">
        <v>0</v>
      </c>
      <c r="S527">
        <f>IFERROR(O527/N527,0)</f>
        <v/>
      </c>
      <c r="T527" t="n">
        <v>0</v>
      </c>
      <c r="V527" t="n">
        <v>0</v>
      </c>
    </row>
    <row r="528">
      <c r="A528">
        <f>Skills!A27</f>
        <v/>
      </c>
      <c r="B528">
        <f>Skills!B27</f>
        <v/>
      </c>
      <c r="C528">
        <f>Inputs!$B$3&gt;=117</f>
        <v/>
      </c>
      <c r="D528">
        <f>IF(Skills!C27=1,60+Inputs!$B$25+Inputs!$B$29,IF(Skills!C27=2,90+Inputs!$B$26+Inputs!$B$29,IF(Skills!C27=3,120+Inputs!$B$27+Inputs!$B$29,MAX(0,(Inputs!$B$3-100)*3)+Inputs!$B$28+Inputs!$B$29)))</f>
        <v/>
      </c>
      <c r="E528">
        <f>INDEX(FactorTable!$B$2:$Y$301, MATCH(ROUND(MIN(300,MAX(1,D528)),0), FactorTable!$A$2:$A$301,0), Skills!M27+1)</f>
        <v/>
      </c>
      <c r="F528">
        <f>IF(Skills!N27=TRUE,(Skills!L27/10)*(E528/1000),Skills!L27/10)+Skills!O27</f>
        <v/>
      </c>
      <c r="G528">
        <f>Skills!G27*IF(Skills!H27&gt;0,Skills!I27/Skills!H27,1)</f>
        <v/>
      </c>
      <c r="H528">
        <f>1-(1-Skills!J27/100)^Skills!K27</f>
        <v/>
      </c>
      <c r="I528" t="inlineStr">
        <is>
          <t>1</t>
        </is>
      </c>
      <c r="J528" t="inlineStr"/>
      <c r="K528" t="inlineStr"/>
      <c r="L528" t="inlineStr"/>
      <c r="M528" t="inlineStr"/>
      <c r="N528" t="inlineStr"/>
      <c r="O528">
        <f>(1-Summary!$B$11)*T528+Summary!$B$11*V528</f>
        <v/>
      </c>
      <c r="P528">
        <f>IF(B541=0,0,O528/B541)</f>
        <v/>
      </c>
      <c r="Q528" t="n">
        <v>0</v>
      </c>
      <c r="R528" t="n">
        <v>0</v>
      </c>
      <c r="S528">
        <f>IFERROR(O528/N528,0)</f>
        <v/>
      </c>
      <c r="T528" t="n">
        <v>0</v>
      </c>
      <c r="V528" t="n">
        <v>0</v>
      </c>
    </row>
    <row r="530">
      <c r="A530" t="inlineStr">
        <is>
          <t>Attack% Bucket Multiplier</t>
        </is>
      </c>
      <c r="B530">
        <f>(1+(((C518=TRUE)*F518)+((C525=TRUE)*(F525-Calc!F24))+(IF(ArtifactsInput!$M$21,CHOOSE(ArtifactsInput!$N$21+1,25,30,35,40,45,50)*(IF(OR(Inputs!$B$4="Chapter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31">
      <c r="A531" t="inlineStr">
        <is>
          <t>Global Crit Rate Bonus %</t>
        </is>
      </c>
      <c r="B531" t="n">
        <v>0</v>
      </c>
    </row>
    <row r="532">
      <c r="A532" t="inlineStr">
        <is>
          <t>Attack Speed Buff Bonus % (unused)</t>
        </is>
      </c>
      <c r="B532" t="n">
        <v>0</v>
      </c>
    </row>
    <row r="533">
      <c r="A533" t="inlineStr">
        <is>
          <t>Actions Per Second</t>
        </is>
      </c>
      <c r="B533">
        <f>1+MIN(150,150*(1-(1-(Inputs!$B$11+((C521=TRUE)*(F521-Calc!F20))+((C522=TRUE)*(F522-Calc!F21)))/150)*(1-B532/150)))/100</f>
        <v/>
      </c>
    </row>
    <row r="534">
      <c r="A534" t="inlineStr">
        <is>
          <t>Skill + Buff Cast Rate</t>
        </is>
      </c>
      <c r="B534">
        <f>IF(AND(Inputs!$B$38&lt;&gt;"pvp",Inputs!$B$43&gt;0),SUMPRODUCT((Skills!E2:E27=TRUE)*(C503:C528=TRUE)*R503:R528*Skills!F2:F27)/Inputs!$B$43,SUMPRODUCT((Skills!E2:E27=TRUE)*(C503:C528=TRUE)*Q503:Q528*Skills!F2:F27))</f>
        <v/>
      </c>
    </row>
    <row r="535">
      <c r="A535" t="inlineStr">
        <is>
          <t>Eight-Legs Easton Casts Per Second</t>
        </is>
      </c>
      <c r="B535">
        <f>MAX(0,B533-B534)</f>
        <v/>
      </c>
    </row>
    <row r="536">
      <c r="A536" t="inlineStr">
        <is>
          <t>Global Critical Damage Bonus % (unused)</t>
        </is>
      </c>
      <c r="B536" t="n">
        <v>0</v>
      </c>
    </row>
    <row r="537">
      <c r="A537" t="inlineStr">
        <is>
          <t>Global Final Damage Bonus % (Jolly Roger only)</t>
        </is>
      </c>
      <c r="B537">
        <f>((C519=TRUE)*F519)</f>
        <v/>
      </c>
    </row>
    <row r="538">
      <c r="A538" t="inlineStr">
        <is>
          <t>Buff-Casting Startup Delay (s, fixed-duration only)</t>
        </is>
      </c>
      <c r="B538">
        <f>IF(AND(Inputs!$B$38&lt;&gt;"pvp",Inputs!$B$43&gt;0),SUMPRODUCT((Skills!T2:T27&gt;0)*(Skills!E2:E27=TRUE)*(C503:C528=TRUE))/B533,0)</f>
        <v/>
      </c>
    </row>
    <row r="539">
      <c r="A539" t="inlineStr">
        <is>
          <t>Boss-Only Total DPS (this block's swept value)</t>
        </is>
      </c>
      <c r="B539">
        <f>SUM(T503:T528)</f>
        <v/>
      </c>
    </row>
    <row r="540">
      <c r="A540" t="inlineStr">
        <is>
          <t>Normal-Only Total DPS (this block's swept value)</t>
        </is>
      </c>
      <c r="B540">
        <f>SUM(V503:V528)</f>
        <v/>
      </c>
    </row>
    <row r="541">
      <c r="A541" s="6" t="inlineStr">
        <is>
          <t>TOTAL DPS</t>
        </is>
      </c>
      <c r="B541" s="6">
        <f>SUM(O503:O528)</f>
        <v/>
      </c>
    </row>
    <row r="544">
      <c r="A544" s="6" t="inlineStr">
        <is>
          <t>Stat: CRIT_DAMAGE %</t>
        </is>
      </c>
    </row>
    <row r="545">
      <c r="A545" s="5" t="inlineStr">
        <is>
          <t>Key</t>
        </is>
      </c>
      <c r="B545" s="5" t="inlineStr">
        <is>
          <t>Name</t>
        </is>
      </c>
      <c r="C545" s="5" t="inlineStr">
        <is>
          <t>Unlocked</t>
        </is>
      </c>
      <c r="D545" s="5" t="inlineStr">
        <is>
          <t>InputLevel</t>
        </is>
      </c>
      <c r="E545" s="5" t="inlineStr">
        <is>
          <t>Factor</t>
        </is>
      </c>
      <c r="F545" s="5" t="inlineStr">
        <is>
          <t>CoefficientPercent</t>
        </is>
      </c>
      <c r="G545" s="5" t="inlineStr">
        <is>
          <t>EffectiveHits</t>
        </is>
      </c>
      <c r="H545" s="5" t="inlineStr">
        <is>
          <t>ProcProbability</t>
        </is>
      </c>
      <c r="I545" s="5" t="inlineStr">
        <is>
          <t>MapleHeroMultiplier</t>
        </is>
      </c>
      <c r="J545" s="5" t="inlineStr">
        <is>
          <t>BaseDamage</t>
        </is>
      </c>
      <c r="K545" s="5" t="inlineStr">
        <is>
          <t>BaseHitDamage</t>
        </is>
      </c>
      <c r="L545" s="5" t="inlineStr">
        <is>
          <t>NonCritAvg</t>
        </is>
      </c>
      <c r="M545" s="5" t="inlineStr">
        <is>
          <t>CritAvg</t>
        </is>
      </c>
      <c r="N545" s="5" t="inlineStr">
        <is>
          <t>ExpectedDamage(perHit)</t>
        </is>
      </c>
      <c r="O545" s="5" t="inlineStr">
        <is>
          <t>DPS</t>
        </is>
      </c>
      <c r="P545" s="5" t="inlineStr">
        <is>
          <t>% of Total</t>
        </is>
      </c>
      <c r="Q545" s="5" t="inlineStr">
        <is>
          <t>InvCooldown</t>
        </is>
      </c>
      <c r="R545" s="5" t="inlineStr">
        <is>
          <t>CastsInFight</t>
        </is>
      </c>
      <c r="S545" s="5" t="inlineStr">
        <is>
          <t>HitRate(perSec)</t>
        </is>
      </c>
      <c r="U545" t="inlineStr">
        <is>
          <t>helpers</t>
        </is>
      </c>
    </row>
    <row r="546">
      <c r="A546">
        <f>Skills!A2</f>
        <v/>
      </c>
      <c r="B546">
        <f>Skills!B2</f>
        <v/>
      </c>
      <c r="C546">
        <f>Inputs!$B$3&gt;=100</f>
        <v/>
      </c>
      <c r="D546" t="inlineStr"/>
      <c r="E546" t="inlineStr"/>
      <c r="F546">
        <f>U548+Skills!O2</f>
        <v/>
      </c>
      <c r="G546">
        <f>Skills!G2*IF(Skills!H2&gt;0,Skills!I2/Skills!H2,1)</f>
        <v/>
      </c>
      <c r="H546">
        <f>1-(1-Skills!J2/100)^Skills!K2</f>
        <v/>
      </c>
      <c r="I546" t="inlineStr">
        <is>
          <t>1</t>
        </is>
      </c>
      <c r="J546">
        <f>((Inputs!$B$6*(1+Inputs!$B$7/100))+(((Inputs!$B$12*(1+Inputs!$B$13/100))-(Inputs!$B$12*(1+Inputs!$B$13/100)))+0.25*(Inputs!$B$14-Inputs!$B$14))*(1+Inputs!$B$7/100))*(F546/100)</f>
        <v/>
      </c>
      <c r="K546">
        <f>J546*(1+((Inputs!$B$12*(1+Inputs!$B$13/100))*0.01+Inputs!$B$14*0.0025)/100)*(1+Inputs!$B$15/100)*(1+Inputs!$B$16/100)*(5000/(6000+Inputs!$B$42*(1-(100*(1-(1-(Inputs!$B$19+0)/100)*(1-CHOOSE(ArtifactsInput!$N$40+1,5,6,7,8,9,10)/100)^(ArtifactsInput!$M$40-ArtifactsInput!$M$40)))/100)))*(1+(Inputs!$B$24+((C570=TRUE)*(F570-Calc!F26))+B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567=TRUE)*(F567-Calc!F23))+((C571=TRUE)*(F571-Calc!F27))+(((IF(AND(ArtifactsInput!$M$42,((Inputs!$B$9+((C563=TRUE)*(F563-Calc!F19))+B574+(ArtifactsInput!$M$24-ArtifactsInput!$M$24)*CHOOSE(ArtifactsInput!$N$24+1,10,12,14,16,18,20)+IF(ArtifactsInput!$M$10,CHOOSE(ArtifactsInput!$N$10+1,15,18,21,24,27,30)*(IF(Inputs!$B$38="pvp",MIN(15,15)/15,IF(AND(Inputs!$B$38&lt;&gt;"pvp",Inputs!$B$43&gt;0),MIN(15,Inputs!$B$43)/(Inputs!$B$43),0))),0)))&gt;=100),MIN(100,((Inputs!$B$9+((C563=TRUE)*(F563-Calc!F19))+B574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563=TRUE)*(F563-Calc!F19))+B574+(ArtifactsInput!$M$24-ArtifactsInput!$M$24)*CHOOSE(ArtifactsInput!$N$24+1,10,12,14,16,18,20)+IF(ArtifactsInput!$M$10,CHOOSE(ArtifactsInput!$N$10+1,15,18,21,24,27,30)*(IF(Inputs!$B$38="pvp",MIN(15,15)/15,IF(AND(Inputs!$B$38&lt;&gt;"pvp",Inputs!$B$43&gt;0),MIN(15,Inputs!$B$43)/(Inputs!$B$43),0))),0)))&gt;=100),CHOOSE(ArtifactsInput!$N$42+1,40,48,56,64,72,80),0))))/100)*((1+(((C561=TRUE)*F561)+((C568=TRUE)*(F568-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546)</f>
        <v/>
      </c>
      <c r="L546">
        <f>K546*(MIN(Inputs!$B$22+((C566=TRUE)*(F566-Calc!F22)),(Inputs!$B$23+0+(IF(ArtifactsInput!$M$15,CHOOSE(ArtifactsInput!$N$15+1,25,30,35,40,45,50)/100*(Inputs!$B$11-Inputs!$B$11),0))))/100+(Inputs!$B$23+0+(IF(ArtifactsInput!$M$15,CHOOSE(ArtifactsInput!$N$15+1,25,30,35,40,45,50)/100*(Inputs!$B$11-Inputs!$B$11),0)))/100)/2</f>
        <v/>
      </c>
      <c r="M546">
        <f>L546*(1+((Inputs!$B$10+1)+((C569=TRUE)*(F569-Calc!F25))+B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6">
        <f>L546*(1-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546*(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6">
        <f>(1-Summary!$B$11)*T546+Summary!$B$11*V546</f>
        <v/>
      </c>
      <c r="P546">
        <f>IF(B584=0,0,O546/B584)</f>
        <v/>
      </c>
      <c r="Q546" t="n">
        <v>0</v>
      </c>
      <c r="R546" t="n">
        <v>0</v>
      </c>
      <c r="S546">
        <f>IFERROR(O546/N546,0)</f>
        <v/>
      </c>
      <c r="T546">
        <f>IF(C546,(Skills!G2*N546*B578)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546*(1-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546*(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546*(1-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546*(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6">
        <f>MAX(0,(Inputs!$B$3-100)*3)+Inputs!$B$28+Inputs!$B$29</f>
        <v/>
      </c>
      <c r="V546">
        <f>IF(C546,(Skills!G2*N546*B578)*IF(Inputs!$B$38="pvp",1,(1+(Inputs!$B$21+Skills!Q2+(IF(ArtifactsInput!$M$33,CHOOSE(ArtifactsInput!$N$33+1,30,36,42,48,54,60),0))+(IF(AND(ArtifactsInput!$M$35,Inputs!$B$4&lt;&gt;"Chapter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7">
      <c r="A547">
        <f>Skills!A3</f>
        <v/>
      </c>
      <c r="B547">
        <f>Skills!B3</f>
        <v/>
      </c>
      <c r="C547">
        <f>Inputs!$B$3&gt;=35</f>
        <v/>
      </c>
      <c r="D547">
        <f>IF(Skills!C3=1,60+Inputs!$B$25+Inputs!$B$29,IF(Skills!C3=2,90+Inputs!$B$26+Inputs!$B$29,IF(Skills!C3=3,120+Inputs!$B$27+Inputs!$B$29,MAX(0,(Inputs!$B$3-100)*3)+Inputs!$B$28+Inputs!$B$29)))</f>
        <v/>
      </c>
      <c r="E547">
        <f>INDEX(FactorTable!$B$2:$Y$301, MATCH(ROUND(MIN(300,MAX(1,D547)),0), FactorTable!$A$2:$A$301,0), Skills!M3+1)</f>
        <v/>
      </c>
      <c r="F547">
        <f>IF(Skills!N3=TRUE,(Skills!L3/10)*(E547/1000),Skills!L3/10)+Skills!O3</f>
        <v/>
      </c>
      <c r="G547">
        <f>Skills!G3*IF(Skills!H3&gt;0,Skills!I3/Skills!H3,1)</f>
        <v/>
      </c>
      <c r="H547">
        <f>1-(1-Skills!J3/100)^Skills!K3</f>
        <v/>
      </c>
      <c r="I547" t="inlineStr">
        <is>
          <t>1</t>
        </is>
      </c>
      <c r="J547">
        <f>((Inputs!$B$6*(1+Inputs!$B$7/100))+(((Inputs!$B$12*(1+Inputs!$B$13/100))-(Inputs!$B$12*(1+Inputs!$B$13/100)))+0.25*(Inputs!$B$14-Inputs!$B$14))*(1+Inputs!$B$7/100))*(F547/100)</f>
        <v/>
      </c>
      <c r="K547">
        <f>J547*(1+((Inputs!$B$12*(1+Inputs!$B$13/100))*0.01+Inputs!$B$14*0.0025)/100)*(1+Inputs!$B$15/100)*(1+Inputs!$B$16/100)*(5000/(6000+Inputs!$B$42*(1-(100*(1-(1-(Inputs!$B$19+0)/100)*(1-CHOOSE(ArtifactsInput!$N$40+1,5,6,7,8,9,10)/100)^(ArtifactsInput!$M$40-ArtifactsInput!$M$40)))/100)))*(1+(Inputs!$B$24+((C570=TRUE)*(F570-Calc!F26))+B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559=TRUE,F559,0)/100)*(1+(IF(Skills!A3="EIGHT_LEGS_EASTON",Inputs!$B$17+((C567=TRUE)*(F567-Calc!F23))+((C571=TRUE)*(F571-Calc!F27))+(((IF(AND(ArtifactsInput!$M$42,((Inputs!$B$9+((C563=TRUE)*(F563-Calc!F19))+B574+(ArtifactsInput!$M$24-ArtifactsInput!$M$24)*CHOOSE(ArtifactsInput!$N$24+1,10,12,14,16,18,20)+IF(ArtifactsInput!$M$10,CHOOSE(ArtifactsInput!$N$10+1,15,18,21,24,27,30)*(IF(Inputs!$B$38="pvp",MIN(15,15)/15,IF(AND(Inputs!$B$38&lt;&gt;"pvp",Inputs!$B$43&gt;0),MIN(15,Inputs!$B$43)/(Inputs!$B$43),0))),0)))&gt;=100),MIN(100,((Inputs!$B$9+((C563=TRUE)*(F563-Calc!F19))+B574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563=TRUE)*(F563-Calc!F19))+B574+(ArtifactsInput!$M$24-ArtifactsInput!$M$24)*CHOOSE(ArtifactsInput!$N$24+1,10,12,14,16,18,20)+IF(ArtifactsInput!$M$10,CHOOSE(ArtifactsInput!$N$10+1,15,18,21,24,27,30)*(IF(Inputs!$B$38="pvp",MIN(15,15)/15,IF(AND(Inputs!$B$38&lt;&gt;"pvp",Inputs!$B$43&gt;0),MIN(15,Inputs!$B$43)/(Inputs!$B$43),0))),0)))&gt;=100),CHOOSE(ArtifactsInput!$N$42+1,40,48,56,64,72,80),0))))/100)*((1+(((C561=TRUE)*F561)+((C568=TRUE)*(F568-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547)</f>
        <v/>
      </c>
      <c r="L547">
        <f>K547*(MIN(Inputs!$B$22+((C566=TRUE)*(F566-Calc!F22)),(Inputs!$B$23+0+(IF(ArtifactsInput!$M$15,CHOOSE(ArtifactsInput!$N$15+1,25,30,35,40,45,50)/100*(Inputs!$B$11-Inputs!$B$11),0))))/100+(Inputs!$B$23+0+(IF(ArtifactsInput!$M$15,CHOOSE(ArtifactsInput!$N$15+1,25,30,35,40,45,50)/100*(Inputs!$B$11-Inputs!$B$11),0)))/100)/2</f>
        <v/>
      </c>
      <c r="M547">
        <f>L547*(1+((Inputs!$B$10+1)+((C569=TRUE)*(F569-Calc!F25))+B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7">
        <f>L547*(1-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547*(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7">
        <f>(1-Summary!$B$11)*T547+Summary!$B$11*V547</f>
        <v/>
      </c>
      <c r="P547">
        <f>IF(B584=0,0,O547/B584)</f>
        <v/>
      </c>
      <c r="Q547">
        <f>IFERROR(1/(IF(Inputs!$B$38="pvp",15,MAX(0.1,Skills!D3-IF(Skills!E3=TRUE,Inputs!$B$32,0)))*(1-IF(AND(ArtifactsInput!$M$27,Inputs!$B$4="Chapter Hunt"),CHOOSE(ArtifactsInput!$N$27+1,20,24,28,32,36,40),0)/100)),0)</f>
        <v/>
      </c>
      <c r="R547">
        <f>IF(AND(Inputs!$B$38&lt;&gt;"pvp",Inputs!$B$43&gt;0),IF(MAX(0,Inputs!$B$43-B581)&lt;=0,0,(INT(MAX(0,Inputs!$B$43-B581)/(IF(Inputs!$B$38="pvp",15,MAX(0.1,Skills!D3-IF(Skills!E3=TRUE,Inputs!$B$32,0)))*(1-IF(AND(ArtifactsInput!$M$27,Inputs!$B$4="Chapter Hunt"),CHOOSE(ArtifactsInput!$N$27+1,20,24,28,32,36,40),0)/100)))+1)),0)</f>
        <v/>
      </c>
      <c r="S547">
        <f>IFERROR(O547/N547,0)</f>
        <v/>
      </c>
      <c r="T547">
        <f>IF(C547,(H547*N547*IF(AND(Inputs!$B$38&lt;&gt;"pvp",Inputs!$B$43&gt;0),((Skills!G3*((R547-1)*IF(Skills!H3&gt;0,Skills!I3/Skills!H3,1)+IF(Skills!H3&gt;0,MIN(Skills!I3,MAX(0,MAX(0,Inputs!$B$43-B581)-((R547-1)*(IF(Inputs!$B$38="pvp",15,MAX(0.1,Skills!D3-IF(Skills!E3=TRUE,Inputs!$B$32,0)))*(1-IF(AND(ArtifactsInput!$M$27,Inputs!$B$4="Chapter Hunt"),CHOOSE(ArtifactsInput!$N$27+1,20,24,28,32,36,40),0)/100)))))/Skills!H3,1)))/Inputs!$B$43),G547*Q547)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547*(1-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547*(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547*(1-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547*(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7">
        <f>INDEX(FactorTable!$B$2:$Y$301, MATCH(ROUND(MIN(300,MAX(1,U546)),0), FactorTable!$A$2:$A$301,0), 22)</f>
        <v/>
      </c>
      <c r="V547">
        <f>IF(C547,(H547*N547*IF(AND(Inputs!$B$38&lt;&gt;"pvp",Inputs!$B$43&gt;0),((Skills!G3*((R547-1)*IF(Skills!H3&gt;0,Skills!I3/Skills!H3,1)+IF(Skills!H3&gt;0,MIN(Skills!I3,MAX(0,MAX(0,Inputs!$B$43-B581)-((R547-1)*(IF(Inputs!$B$38="pvp",15,MAX(0.1,Skills!D3-IF(Skills!E3=TRUE,Inputs!$B$32,0)))*(1-IF(AND(ArtifactsInput!$M$27,Inputs!$B$4="Chapter Hunt"),CHOOSE(ArtifactsInput!$N$27+1,20,24,28,32,36,40),0)/100)))))/Skills!H3,1)))/Inputs!$B$43),G547*Q547))*IF(Inputs!$B$38="pvp",1,(1+(Inputs!$B$21+Skills!Q3+(IF(ArtifactsInput!$M$33,CHOOSE(ArtifactsInput!$N$33+1,30,36,42,48,54,60)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8">
      <c r="A548">
        <f>Skills!A4</f>
        <v/>
      </c>
      <c r="B548">
        <f>Skills!B4</f>
        <v/>
      </c>
      <c r="C548">
        <f>Inputs!$B$3&gt;=40</f>
        <v/>
      </c>
      <c r="D548">
        <f>IF(Skills!C4=1,60+Inputs!$B$25+Inputs!$B$29,IF(Skills!C4=2,90+Inputs!$B$26+Inputs!$B$29,IF(Skills!C4=3,120+Inputs!$B$27+Inputs!$B$29,MAX(0,(Inputs!$B$3-100)*3)+Inputs!$B$28+Inputs!$B$29)))</f>
        <v/>
      </c>
      <c r="E548">
        <f>INDEX(FactorTable!$B$2:$Y$301, MATCH(ROUND(MIN(300,MAX(1,D548)),0), FactorTable!$A$2:$A$301,0), Skills!M4+1)</f>
        <v/>
      </c>
      <c r="F548">
        <f>IF(Skills!N4=TRUE,(Skills!L4/10)*(E548/1000),Skills!L4/10)+Skills!O4</f>
        <v/>
      </c>
      <c r="G548">
        <f>Skills!G4*IF(Skills!H4&gt;0,Skills!I4/Skills!H4,1)</f>
        <v/>
      </c>
      <c r="H548">
        <f>1-(1-Skills!J4/100)^Skills!K4</f>
        <v/>
      </c>
      <c r="I548" t="inlineStr">
        <is>
          <t>1</t>
        </is>
      </c>
      <c r="J548">
        <f>((Inputs!$B$6*(1+Inputs!$B$7/100))+(((Inputs!$B$12*(1+Inputs!$B$13/100))-(Inputs!$B$12*(1+Inputs!$B$13/100)))+0.25*(Inputs!$B$14-Inputs!$B$14))*(1+Inputs!$B$7/100))*(F548/100)</f>
        <v/>
      </c>
      <c r="K548">
        <f>J548*(1+((Inputs!$B$12*(1+Inputs!$B$13/100))*0.01+Inputs!$B$14*0.0025)/100)*(1+Inputs!$B$15/100)*(1+Inputs!$B$16/100)*(5000/(6000+Inputs!$B$42*(1-(100*(1-(1-(Inputs!$B$19+0)/100)*(1-CHOOSE(ArtifactsInput!$N$40+1,5,6,7,8,9,10)/100)^(ArtifactsInput!$M$40-ArtifactsInput!$M$40)))/100)))*(1+(Inputs!$B$24+((C570=TRUE)*(F570-Calc!F26))+B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560=TRUE,F560,0)/100)*(1+(IF(Skills!A4="EIGHT_LEGS_EASTON",Inputs!$B$17+((C567=TRUE)*(F567-Calc!F23))+((C571=TRUE)*(F571-Calc!F27))+(((IF(AND(ArtifactsInput!$M$42,((Inputs!$B$9+((C563=TRUE)*(F563-Calc!F19))+B574+(ArtifactsInput!$M$24-ArtifactsInput!$M$24)*CHOOSE(ArtifactsInput!$N$24+1,10,12,14,16,18,20)+IF(ArtifactsInput!$M$10,CHOOSE(ArtifactsInput!$N$10+1,15,18,21,24,27,30)*(IF(Inputs!$B$38="pvp",MIN(15,15)/15,IF(AND(Inputs!$B$38&lt;&gt;"pvp",Inputs!$B$43&gt;0),MIN(15,Inputs!$B$43)/(Inputs!$B$43),0))),0)))&gt;=100),MIN(100,((Inputs!$B$9+((C563=TRUE)*(F563-Calc!F19))+B574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563=TRUE)*(F563-Calc!F19))+B574+(ArtifactsInput!$M$24-ArtifactsInput!$M$24)*CHOOSE(ArtifactsInput!$N$24+1,10,12,14,16,18,20)+IF(ArtifactsInput!$M$10,CHOOSE(ArtifactsInput!$N$10+1,15,18,21,24,27,30)*(IF(Inputs!$B$38="pvp",MIN(15,15)/15,IF(AND(Inputs!$B$38&lt;&gt;"pvp",Inputs!$B$43&gt;0),MIN(15,Inputs!$B$43)/(Inputs!$B$43),0))),0)))&gt;=100),CHOOSE(ArtifactsInput!$N$42+1,40,48,56,64,72,80),0))))/100)*((1+(((C561=TRUE)*F561)+((C568=TRUE)*(F568-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548)</f>
        <v/>
      </c>
      <c r="L548">
        <f>K548*(MIN(Inputs!$B$22+((C566=TRUE)*(F566-Calc!F22)),(Inputs!$B$23+0+(IF(ArtifactsInput!$M$15,CHOOSE(ArtifactsInput!$N$15+1,25,30,35,40,45,50)/100*(Inputs!$B$11-Inputs!$B$11),0))))/100+(Inputs!$B$23+0+(IF(ArtifactsInput!$M$15,CHOOSE(ArtifactsInput!$N$15+1,25,30,35,40,45,50)/100*(Inputs!$B$11-Inputs!$B$11),0)))/100)/2</f>
        <v/>
      </c>
      <c r="M548">
        <f>L548*(1+((Inputs!$B$10+1)+((C569=TRUE)*(F569-Calc!F25))+B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8">
        <f>L548*(1-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548*(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8">
        <f>(1-Summary!$B$11)*T548+Summary!$B$11*V548</f>
        <v/>
      </c>
      <c r="P548">
        <f>IF(B584=0,0,O548/B584)</f>
        <v/>
      </c>
      <c r="Q548">
        <f>IFERROR(1/(IF(Inputs!$B$38="pvp",15,MAX(0.1,Skills!D4-IF(Skills!E4=TRUE,Inputs!$B$32,0)))*(1-IF(AND(ArtifactsInput!$M$27,Inputs!$B$4="Chapter Hunt"),CHOOSE(ArtifactsInput!$N$27+1,20,24,28,32,36,40),0)/100)),0)</f>
        <v/>
      </c>
      <c r="R548">
        <f>IF(AND(Inputs!$B$38&lt;&gt;"pvp",Inputs!$B$43&gt;0),IF(MAX(0,Inputs!$B$43-B581)&lt;=0,0,(INT(MAX(0,Inputs!$B$43-B581)/(IF(Inputs!$B$38="pvp",15,MAX(0.1,Skills!D4-IF(Skills!E4=TRUE,Inputs!$B$32,0)))*(1-IF(AND(ArtifactsInput!$M$27,Inputs!$B$4="Chapter Hunt"),CHOOSE(ArtifactsInput!$N$27+1,20,24,28,32,36,40),0)/100)))+1)),0)</f>
        <v/>
      </c>
      <c r="S548">
        <f>IFERROR(O548/N548,0)</f>
        <v/>
      </c>
      <c r="T548">
        <f>IF(C548,(H548*N548*IF(AND(Inputs!$B$38&lt;&gt;"pvp",Inputs!$B$43&gt;0),((Skills!G4*((R548-1)*IF(Skills!H4&gt;0,Skills!I4/Skills!H4,1)+IF(Skills!H4&gt;0,MIN(Skills!I4,MAX(0,MAX(0,Inputs!$B$43-B581)-((R548-1)*(IF(Inputs!$B$38="pvp",15,MAX(0.1,Skills!D4-IF(Skills!E4=TRUE,Inputs!$B$32,0)))*(1-IF(AND(ArtifactsInput!$M$27,Inputs!$B$4="Chapter Hunt"),CHOOSE(ArtifactsInput!$N$27+1,20,24,28,32,36,40),0)/100)))))/Skills!H4,1)))/Inputs!$B$43),G548*Q548)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548*(1-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548*(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548*(1-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548*(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8">
        <f>290*U547/1000</f>
        <v/>
      </c>
      <c r="V548">
        <f>IF(C548,(H548*N548*IF(AND(Inputs!$B$38&lt;&gt;"pvp",Inputs!$B$43&gt;0),((Skills!G4*((R548-1)*IF(Skills!H4&gt;0,Skills!I4/Skills!H4,1)+IF(Skills!H4&gt;0,MIN(Skills!I4,MAX(0,MAX(0,Inputs!$B$43-B581)-((R548-1)*(IF(Inputs!$B$38="pvp",15,MAX(0.1,Skills!D4-IF(Skills!E4=TRUE,Inputs!$B$32,0)))*(1-IF(AND(ArtifactsInput!$M$27,Inputs!$B$4="Chapter Hunt"),CHOOSE(ArtifactsInput!$N$27+1,20,24,28,32,36,40),0)/100)))))/Skills!H4,1)))/Inputs!$B$43),G548*Q548))*IF(Inputs!$B$38="pvp",1,(1+(Inputs!$B$21+Skills!Q4+(IF(ArtifactsInput!$M$33,CHOOSE(ArtifactsInput!$N$33+1,30,36,42,48,54,60)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9">
      <c r="A549">
        <f>Skills!A5</f>
        <v/>
      </c>
      <c r="B549">
        <f>Skills!B5</f>
        <v/>
      </c>
      <c r="C549">
        <f>Inputs!$B$3&gt;=45</f>
        <v/>
      </c>
      <c r="D549">
        <f>IF(Skills!C5=1,60+Inputs!$B$25+Inputs!$B$29,IF(Skills!C5=2,90+Inputs!$B$26+Inputs!$B$29,IF(Skills!C5=3,120+Inputs!$B$27+Inputs!$B$29,MAX(0,(Inputs!$B$3-100)*3)+Inputs!$B$28+Inputs!$B$29)))</f>
        <v/>
      </c>
      <c r="E549">
        <f>INDEX(FactorTable!$B$2:$Y$301, MATCH(ROUND(MIN(300,MAX(1,D549)),0), FactorTable!$A$2:$A$301,0), Skills!M5+1)</f>
        <v/>
      </c>
      <c r="F549">
        <f>IF(Skills!N5=TRUE,(Skills!L5/10)*(E549/1000),Skills!L5/10)+Skills!O5</f>
        <v/>
      </c>
      <c r="G549">
        <f>Skills!G5*IF(Skills!H5&gt;0,Skills!I5/Skills!H5,1)</f>
        <v/>
      </c>
      <c r="H549">
        <f>1-(1-Skills!J5/100)^Skills!K5</f>
        <v/>
      </c>
      <c r="I549" t="inlineStr">
        <is>
          <t>1</t>
        </is>
      </c>
      <c r="J549">
        <f>((Inputs!$B$6*(1+Inputs!$B$7/100))+(((Inputs!$B$12*(1+Inputs!$B$13/100))-(Inputs!$B$12*(1+Inputs!$B$13/100)))+0.25*(Inputs!$B$14-Inputs!$B$14))*(1+Inputs!$B$7/100))*(F549/100)</f>
        <v/>
      </c>
      <c r="K549">
        <f>J549*(1+((Inputs!$B$12*(1+Inputs!$B$13/100))*0.01+Inputs!$B$14*0.0025)/100)*(1+Inputs!$B$15/100)*(1+Inputs!$B$16/100)*(5000/(6000+Inputs!$B$42*(1-(100*(1-(1-(Inputs!$B$19+0)/100)*(1-CHOOSE(ArtifactsInput!$N$40+1,5,6,7,8,9,10)/100)^(ArtifactsInput!$M$40-ArtifactsInput!$M$40)))/100)))*(1+(Inputs!$B$24+((C570=TRUE)*(F570-Calc!F26))+B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560=TRUE,F560,0)/100)*(1+(IF(Skills!A5="EIGHT_LEGS_EASTON",Inputs!$B$17+((C567=TRUE)*(F567-Calc!F23))+((C571=TRUE)*(F571-Calc!F27))+(((IF(AND(ArtifactsInput!$M$42,((Inputs!$B$9+((C563=TRUE)*(F563-Calc!F19))+B574+(ArtifactsInput!$M$24-ArtifactsInput!$M$24)*CHOOSE(ArtifactsInput!$N$24+1,10,12,14,16,18,20)+IF(ArtifactsInput!$M$10,CHOOSE(ArtifactsInput!$N$10+1,15,18,21,24,27,30)*(IF(Inputs!$B$38="pvp",MIN(15,15)/15,IF(AND(Inputs!$B$38&lt;&gt;"pvp",Inputs!$B$43&gt;0),MIN(15,Inputs!$B$43)/(Inputs!$B$43),0))),0)))&gt;=100),MIN(100,((Inputs!$B$9+((C563=TRUE)*(F563-Calc!F19))+B574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563=TRUE)*(F563-Calc!F19))+B574+(ArtifactsInput!$M$24-ArtifactsInput!$M$24)*CHOOSE(ArtifactsInput!$N$24+1,10,12,14,16,18,20)+IF(ArtifactsInput!$M$10,CHOOSE(ArtifactsInput!$N$10+1,15,18,21,24,27,30)*(IF(Inputs!$B$38="pvp",MIN(15,15)/15,IF(AND(Inputs!$B$38&lt;&gt;"pvp",Inputs!$B$43&gt;0),MIN(15,Inputs!$B$43)/(Inputs!$B$43),0))),0)))&gt;=100),CHOOSE(ArtifactsInput!$N$42+1,40,48,56,64,72,80),0))))/100)*((1+(((C561=TRUE)*F561)+((C568=TRUE)*(F568-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549)</f>
        <v/>
      </c>
      <c r="L549">
        <f>K549*(MIN(Inputs!$B$22+((C566=TRUE)*(F566-Calc!F22)),(Inputs!$B$23+0+(IF(ArtifactsInput!$M$15,CHOOSE(ArtifactsInput!$N$15+1,25,30,35,40,45,50)/100*(Inputs!$B$11-Inputs!$B$11),0))))/100+(Inputs!$B$23+0+(IF(ArtifactsInput!$M$15,CHOOSE(ArtifactsInput!$N$15+1,25,30,35,40,45,50)/100*(Inputs!$B$11-Inputs!$B$11),0)))/100)/2</f>
        <v/>
      </c>
      <c r="M549">
        <f>L549*(1+((Inputs!$B$10+1)+((C569=TRUE)*(F569-Calc!F25))+B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9">
        <f>L549*(1-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549*(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9">
        <f>(1-Summary!$B$11)*T549+Summary!$B$11*V549</f>
        <v/>
      </c>
      <c r="P549">
        <f>IF(B584=0,0,O549/B584)</f>
        <v/>
      </c>
      <c r="Q549">
        <f>IFERROR(1/(IF(Inputs!$B$38="pvp",15,MAX(0.1,Skills!D5-IF(Skills!E5=TRUE,Inputs!$B$32,0)))*(1-IF(AND(ArtifactsInput!$M$27,Inputs!$B$4="Chapter Hunt"),CHOOSE(ArtifactsInput!$N$27+1,20,24,28,32,36,40),0)/100)),0)</f>
        <v/>
      </c>
      <c r="R549">
        <f>IF(AND(Inputs!$B$38&lt;&gt;"pvp",Inputs!$B$43&gt;0),IF(MAX(0,Inputs!$B$43-B581)&lt;=0,0,(INT(MAX(0,Inputs!$B$43-B581)/(IF(Inputs!$B$38="pvp",15,MAX(0.1,Skills!D5-IF(Skills!E5=TRUE,Inputs!$B$32,0)))*(1-IF(AND(ArtifactsInput!$M$27,Inputs!$B$4="Chapter Hunt"),CHOOSE(ArtifactsInput!$N$27+1,20,24,28,32,36,40),0)/100)))+1)),0)</f>
        <v/>
      </c>
      <c r="S549">
        <f>IFERROR(O549/N549,0)</f>
        <v/>
      </c>
      <c r="T549">
        <f>IF(C549,(H549*N549*IF(AND(Inputs!$B$38&lt;&gt;"pvp",Inputs!$B$43&gt;0),((Skills!G5*((R549-1)*IF(Skills!H5&gt;0,Skills!I5/Skills!H5,1)+IF(Skills!H5&gt;0,MIN(Skills!I5,MAX(0,MAX(0,Inputs!$B$43-B581)-((R549-1)*(IF(Inputs!$B$38="pvp",15,MAX(0.1,Skills!D5-IF(Skills!E5=TRUE,Inputs!$B$32,0)))*(1-IF(AND(ArtifactsInput!$M$27,Inputs!$B$4="Chapter Hunt"),CHOOSE(ArtifactsInput!$N$27+1,20,24,28,32,36,40),0)/100)))))/Skills!H5,1)))/Inputs!$B$43),G549*Q549)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549*(1-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549*(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549*(1-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549*(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9">
        <f>IF(C549,(H549*N549*IF(AND(Inputs!$B$38&lt;&gt;"pvp",Inputs!$B$43&gt;0),((Skills!G5*((R549-1)*IF(Skills!H5&gt;0,Skills!I5/Skills!H5,1)+IF(Skills!H5&gt;0,MIN(Skills!I5,MAX(0,MAX(0,Inputs!$B$43-B581)-((R549-1)*(IF(Inputs!$B$38="pvp",15,MAX(0.1,Skills!D5-IF(Skills!E5=TRUE,Inputs!$B$32,0)))*(1-IF(AND(ArtifactsInput!$M$27,Inputs!$B$4="Chapter Hunt"),CHOOSE(ArtifactsInput!$N$27+1,20,24,28,32,36,40),0)/100)))))/Skills!H5,1)))/Inputs!$B$43),G549*Q549))*IF(Inputs!$B$38="pvp",1,(1+(Inputs!$B$21+Skills!Q5+(IF(ArtifactsInput!$M$33,CHOOSE(ArtifactsInput!$N$33+1,30,36,42,48,54,60)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0">
      <c r="A550">
        <f>Skills!A6</f>
        <v/>
      </c>
      <c r="B550">
        <f>Skills!B6</f>
        <v/>
      </c>
      <c r="C550">
        <f>Inputs!$B$3&gt;=63</f>
        <v/>
      </c>
      <c r="D550">
        <f>IF(Skills!C6=1,60+Inputs!$B$25+Inputs!$B$29,IF(Skills!C6=2,90+Inputs!$B$26+Inputs!$B$29,IF(Skills!C6=3,120+Inputs!$B$27+Inputs!$B$29,MAX(0,(Inputs!$B$3-100)*3)+Inputs!$B$28+Inputs!$B$29)))</f>
        <v/>
      </c>
      <c r="E550">
        <f>INDEX(FactorTable!$B$2:$Y$301, MATCH(ROUND(MIN(300,MAX(1,D550)),0), FactorTable!$A$2:$A$301,0), Skills!M6+1)</f>
        <v/>
      </c>
      <c r="F550">
        <f>IF(Skills!N6=TRUE,(Skills!L6/10)*(E550/1000),Skills!L6/10)+Skills!O6</f>
        <v/>
      </c>
      <c r="G550">
        <f>Skills!G6*IF(Skills!H6&gt;0,Skills!I6/Skills!H6,1)</f>
        <v/>
      </c>
      <c r="H550">
        <f>1-(1-Skills!J6/100)^Skills!K6</f>
        <v/>
      </c>
      <c r="I550" t="inlineStr">
        <is>
          <t>1</t>
        </is>
      </c>
      <c r="J550">
        <f>((Inputs!$B$6*(1+Inputs!$B$7/100))+(((Inputs!$B$12*(1+Inputs!$B$13/100))-(Inputs!$B$12*(1+Inputs!$B$13/100)))+0.25*(Inputs!$B$14-Inputs!$B$14))*(1+Inputs!$B$7/100))*(F550/100)</f>
        <v/>
      </c>
      <c r="K550">
        <f>J550*(1+((Inputs!$B$12*(1+Inputs!$B$13/100))*0.01+Inputs!$B$14*0.0025)/100)*(1+Inputs!$B$15/100)*(1+Inputs!$B$16/100)*(5000/(6000+Inputs!$B$42*(1-(100*(1-(1-(Inputs!$B$19+0)/100)*(1-CHOOSE(ArtifactsInput!$N$40+1,5,6,7,8,9,10)/100)^(ArtifactsInput!$M$40-ArtifactsInput!$M$40)))/100)))*(1+(Inputs!$B$24+((C570=TRUE)*(F570-Calc!F26))+B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559=TRUE,F559,0)/100)*(1+(IF(Skills!A6="EIGHT_LEGS_EASTON",Inputs!$B$17+((C567=TRUE)*(F567-Calc!F23))+((C571=TRUE)*(F571-Calc!F27))+(((IF(AND(ArtifactsInput!$M$42,((Inputs!$B$9+((C563=TRUE)*(F563-Calc!F19))+B574+(ArtifactsInput!$M$24-ArtifactsInput!$M$24)*CHOOSE(ArtifactsInput!$N$24+1,10,12,14,16,18,20)+IF(ArtifactsInput!$M$10,CHOOSE(ArtifactsInput!$N$10+1,15,18,21,24,27,30)*(IF(Inputs!$B$38="pvp",MIN(15,15)/15,IF(AND(Inputs!$B$38&lt;&gt;"pvp",Inputs!$B$43&gt;0),MIN(15,Inputs!$B$43)/(Inputs!$B$43),0))),0)))&gt;=100),MIN(100,((Inputs!$B$9+((C563=TRUE)*(F563-Calc!F19))+B574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563=TRUE)*(F563-Calc!F19))+B574+(ArtifactsInput!$M$24-ArtifactsInput!$M$24)*CHOOSE(ArtifactsInput!$N$24+1,10,12,14,16,18,20)+IF(ArtifactsInput!$M$10,CHOOSE(ArtifactsInput!$N$10+1,15,18,21,24,27,30)*(IF(Inputs!$B$38="pvp",MIN(15,15)/15,IF(AND(Inputs!$B$38&lt;&gt;"pvp",Inputs!$B$43&gt;0),MIN(15,Inputs!$B$43)/(Inputs!$B$43),0))),0)))&gt;=100),CHOOSE(ArtifactsInput!$N$42+1,40,48,56,64,72,80),0))))/100)*((1+(((C561=TRUE)*F561)+((C568=TRUE)*(F568-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550)</f>
        <v/>
      </c>
      <c r="L550">
        <f>K550*(MIN(Inputs!$B$22+((C566=TRUE)*(F566-Calc!F22)),(Inputs!$B$23+0+(IF(ArtifactsInput!$M$15,CHOOSE(ArtifactsInput!$N$15+1,25,30,35,40,45,50)/100*(Inputs!$B$11-Inputs!$B$11),0))))/100+(Inputs!$B$23+0+(IF(ArtifactsInput!$M$15,CHOOSE(ArtifactsInput!$N$15+1,25,30,35,40,45,50)/100*(Inputs!$B$11-Inputs!$B$11),0)))/100)/2</f>
        <v/>
      </c>
      <c r="M550">
        <f>L550*(1+((Inputs!$B$10+1)+((C569=TRUE)*(F569-Calc!F25))+B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0">
        <f>L550*(1-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550*(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0">
        <f>(1-Summary!$B$11)*T550+Summary!$B$11*V550</f>
        <v/>
      </c>
      <c r="P550">
        <f>IF(B584=0,0,O550/B584)</f>
        <v/>
      </c>
      <c r="Q550">
        <f>IFERROR(1/(IF(Inputs!$B$38="pvp",15,MAX(0.1,Skills!D6-IF(Skills!E6=TRUE,Inputs!$B$32,0)))*(1-IF(AND(ArtifactsInput!$M$27,Inputs!$B$4="Chapter Hunt"),CHOOSE(ArtifactsInput!$N$27+1,20,24,28,32,36,40),0)/100)),0)</f>
        <v/>
      </c>
      <c r="R550">
        <f>IF(AND(Inputs!$B$38&lt;&gt;"pvp",Inputs!$B$43&gt;0),IF(MAX(0,Inputs!$B$43-B581)&lt;=0,0,(INT(MAX(0,Inputs!$B$43-B581)/(IF(Inputs!$B$38="pvp",15,MAX(0.1,Skills!D6-IF(Skills!E6=TRUE,Inputs!$B$32,0)))*(1-IF(AND(ArtifactsInput!$M$27,Inputs!$B$4="Chapter Hunt"),CHOOSE(ArtifactsInput!$N$27+1,20,24,28,32,36,40),0)/100)))+1)),0)</f>
        <v/>
      </c>
      <c r="S550">
        <f>IFERROR(O550/N550,0)</f>
        <v/>
      </c>
      <c r="T550">
        <f>IF(C550,(H550*N550*IF(AND(Inputs!$B$38&lt;&gt;"pvp",Inputs!$B$43&gt;0),((Skills!G6*((R550-1)*IF(Skills!H6&gt;0,Skills!I6/Skills!H6,1)+IF(Skills!H6&gt;0,MIN(Skills!I6,MAX(0,MAX(0,Inputs!$B$43-B581)-((R550-1)*(IF(Inputs!$B$38="pvp",15,MAX(0.1,Skills!D6-IF(Skills!E6=TRUE,Inputs!$B$32,0)))*(1-IF(AND(ArtifactsInput!$M$27,Inputs!$B$4="Chapter Hunt"),CHOOSE(ArtifactsInput!$N$27+1,20,24,28,32,36,40),0)/100)))))/Skills!H6,1)))/Inputs!$B$43),G550*Q550)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550*(1-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550*(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550*(1-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550*(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0">
        <f>IF(C550,(H550*N550*IF(AND(Inputs!$B$38&lt;&gt;"pvp",Inputs!$B$43&gt;0),((Skills!G6*((R550-1)*IF(Skills!H6&gt;0,Skills!I6/Skills!H6,1)+IF(Skills!H6&gt;0,MIN(Skills!I6,MAX(0,MAX(0,Inputs!$B$43-B581)-((R550-1)*(IF(Inputs!$B$38="pvp",15,MAX(0.1,Skills!D6-IF(Skills!E6=TRUE,Inputs!$B$32,0)))*(1-IF(AND(ArtifactsInput!$M$27,Inputs!$B$4="Chapter Hunt"),CHOOSE(ArtifactsInput!$N$27+1,20,24,28,32,36,40),0)/100)))))/Skills!H6,1)))/Inputs!$B$43),G550*Q550))*IF(Inputs!$B$38="pvp",1,(1+(Inputs!$B$21+Skills!Q6+(IF(ArtifactsInput!$M$33,CHOOSE(ArtifactsInput!$N$33+1,30,36,42,48,54,60)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1">
      <c r="A551">
        <f>Skills!A7</f>
        <v/>
      </c>
      <c r="B551">
        <f>Skills!B7</f>
        <v/>
      </c>
      <c r="C551">
        <f>Inputs!$B$3&gt;=66</f>
        <v/>
      </c>
      <c r="D551">
        <f>IF(Skills!C7=1,60+Inputs!$B$25+Inputs!$B$29,IF(Skills!C7=2,90+Inputs!$B$26+Inputs!$B$29,IF(Skills!C7=3,120+Inputs!$B$27+Inputs!$B$29,MAX(0,(Inputs!$B$3-100)*3)+Inputs!$B$28+Inputs!$B$29)))</f>
        <v/>
      </c>
      <c r="E551">
        <f>INDEX(FactorTable!$B$2:$Y$301, MATCH(ROUND(MIN(300,MAX(1,D551)),0), FactorTable!$A$2:$A$301,0), Skills!M7+1)</f>
        <v/>
      </c>
      <c r="F551">
        <f>IF(Skills!N7=TRUE,(Skills!L7/10)*(E551/1000),Skills!L7/10)+Skills!O7</f>
        <v/>
      </c>
      <c r="G551">
        <f>Skills!G7*IF(Skills!H7&gt;0,Skills!I7/Skills!H7,1)</f>
        <v/>
      </c>
      <c r="H551">
        <f>1-(1-Skills!J7/100)^Skills!K7</f>
        <v/>
      </c>
      <c r="I551" t="inlineStr">
        <is>
          <t>1</t>
        </is>
      </c>
      <c r="J551">
        <f>((Inputs!$B$6*(1+Inputs!$B$7/100))+(((Inputs!$B$12*(1+Inputs!$B$13/100))-(Inputs!$B$12*(1+Inputs!$B$13/100)))+0.25*(Inputs!$B$14-Inputs!$B$14))*(1+Inputs!$B$7/100))*(F551/100)</f>
        <v/>
      </c>
      <c r="K551">
        <f>J551*(1+((Inputs!$B$12*(1+Inputs!$B$13/100))*0.01+Inputs!$B$14*0.0025)/100)*(1+Inputs!$B$15/100)*(1+Inputs!$B$16/100)*(5000/(6000+Inputs!$B$42*(1-(100*(1-(1-(Inputs!$B$19+0)/100)*(1-CHOOSE(ArtifactsInput!$N$40+1,5,6,7,8,9,10)/100)^(ArtifactsInput!$M$40-ArtifactsInput!$M$40)))/100)))*(1+(Inputs!$B$24+((C570=TRUE)*(F570-Calc!F26))+B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559=TRUE,F559,0)/100)*(1+(IF(Skills!A7="EIGHT_LEGS_EASTON",Inputs!$B$17+((C567=TRUE)*(F567-Calc!F23))+((C571=TRUE)*(F571-Calc!F27))+(((IF(AND(ArtifactsInput!$M$42,((Inputs!$B$9+((C563=TRUE)*(F563-Calc!F19))+B574+(ArtifactsInput!$M$24-ArtifactsInput!$M$24)*CHOOSE(ArtifactsInput!$N$24+1,10,12,14,16,18,20)+IF(ArtifactsInput!$M$10,CHOOSE(ArtifactsInput!$N$10+1,15,18,21,24,27,30)*(IF(Inputs!$B$38="pvp",MIN(15,15)/15,IF(AND(Inputs!$B$38&lt;&gt;"pvp",Inputs!$B$43&gt;0),MIN(15,Inputs!$B$43)/(Inputs!$B$43),0))),0)))&gt;=100),MIN(100,((Inputs!$B$9+((C563=TRUE)*(F563-Calc!F19))+B574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563=TRUE)*(F563-Calc!F19))+B574+(ArtifactsInput!$M$24-ArtifactsInput!$M$24)*CHOOSE(ArtifactsInput!$N$24+1,10,12,14,16,18,20)+IF(ArtifactsInput!$M$10,CHOOSE(ArtifactsInput!$N$10+1,15,18,21,24,27,30)*(IF(Inputs!$B$38="pvp",MIN(15,15)/15,IF(AND(Inputs!$B$38&lt;&gt;"pvp",Inputs!$B$43&gt;0),MIN(15,Inputs!$B$43)/(Inputs!$B$43),0))),0)))&gt;=100),CHOOSE(ArtifactsInput!$N$42+1,40,48,56,64,72,80),0))))/100)*((1+(((C561=TRUE)*F561)+((C568=TRUE)*(F568-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551)</f>
        <v/>
      </c>
      <c r="L551">
        <f>K551*(MIN(Inputs!$B$22+((C566=TRUE)*(F566-Calc!F22)),(Inputs!$B$23+0+(IF(ArtifactsInput!$M$15,CHOOSE(ArtifactsInput!$N$15+1,25,30,35,40,45,50)/100*(Inputs!$B$11-Inputs!$B$11),0))))/100+(Inputs!$B$23+0+(IF(ArtifactsInput!$M$15,CHOOSE(ArtifactsInput!$N$15+1,25,30,35,40,45,50)/100*(Inputs!$B$11-Inputs!$B$11),0)))/100)/2</f>
        <v/>
      </c>
      <c r="M551">
        <f>L551*(1+((Inputs!$B$10+1)+((C569=TRUE)*(F569-Calc!F25))+B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1">
        <f>L551*(1-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551*(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1">
        <f>(1-Summary!$B$11)*T551+Summary!$B$11*V551</f>
        <v/>
      </c>
      <c r="P551">
        <f>IF(B584=0,0,O551/B584)</f>
        <v/>
      </c>
      <c r="Q551">
        <f>IFERROR(1/(IF(Inputs!$B$38="pvp",15,MAX(0.1,Skills!D7-IF(Skills!E7=TRUE,Inputs!$B$32,0)))*(1-IF(AND(ArtifactsInput!$M$27,Inputs!$B$4="Chapter Hunt"),CHOOSE(ArtifactsInput!$N$27+1,20,24,28,32,36,40),0)/100)),0)</f>
        <v/>
      </c>
      <c r="R551">
        <f>IF(AND(Inputs!$B$38&lt;&gt;"pvp",Inputs!$B$43&gt;0),IF(MAX(0,Inputs!$B$43-B581)&lt;=0,0,(INT(MAX(0,Inputs!$B$43-B581)/(IF(Inputs!$B$38="pvp",15,MAX(0.1,Skills!D7-IF(Skills!E7=TRUE,Inputs!$B$32,0)))*(1-IF(AND(ArtifactsInput!$M$27,Inputs!$B$4="Chapter Hunt"),CHOOSE(ArtifactsInput!$N$27+1,20,24,28,32,36,40),0)/100)))+1)),0)</f>
        <v/>
      </c>
      <c r="S551">
        <f>IFERROR(O551/N551,0)</f>
        <v/>
      </c>
      <c r="T551">
        <f>IF(C551,(H551*N551*IF(AND(Inputs!$B$38&lt;&gt;"pvp",Inputs!$B$43&gt;0),((Skills!G7*((R551-1)*IF(Skills!H7&gt;0,Skills!I7/Skills!H7,1)+IF(Skills!H7&gt;0,MIN(Skills!I7,MAX(0,MAX(0,Inputs!$B$43-B581)-((R551-1)*(IF(Inputs!$B$38="pvp",15,MAX(0.1,Skills!D7-IF(Skills!E7=TRUE,Inputs!$B$32,0)))*(1-IF(AND(ArtifactsInput!$M$27,Inputs!$B$4="Chapter Hunt"),CHOOSE(ArtifactsInput!$N$27+1,20,24,28,32,36,40),0)/100)))))/Skills!H7,1)))/Inputs!$B$43),G551*Q551)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551*(1-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551*(1-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1">
        <f>IF(C551,(H551*N551*IF(AND(Inputs!$B$38&lt;&gt;"pvp",Inputs!$B$43&gt;0),((Skills!G7*((R551-1)*IF(Skills!H7&gt;0,Skills!I7/Skills!H7,1)+IF(Skills!H7&gt;0,MIN(Skills!I7,MAX(0,MAX(0,Inputs!$B$43-B581)-((R551-1)*(IF(Inputs!$B$38="pvp",15,MAX(0.1,Skills!D7-IF(Skills!E7=TRUE,Inputs!$B$32,0)))*(1-IF(AND(ArtifactsInput!$M$27,Inputs!$B$4="Chapter Hunt"),CHOOSE(ArtifactsInput!$N$27+1,20,24,28,32,36,40),0)/100)))))/Skills!H7,1)))/Inputs!$B$43),G551*Q551))*IF(Inputs!$B$38="pvp",1,(1+(Inputs!$B$21+Skills!Q7+(IF(ArtifactsInput!$M$33,CHOOSE(ArtifactsInput!$N$33+1,30,36,42,48,54,60)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2">
      <c r="A552">
        <f>Skills!A8</f>
        <v/>
      </c>
      <c r="B552">
        <f>Skills!B8</f>
        <v/>
      </c>
      <c r="C552">
        <f>Inputs!$B$3&gt;=100</f>
        <v/>
      </c>
      <c r="D552">
        <f>IF(Skills!C8=1,60+Inputs!$B$25+Inputs!$B$29,IF(Skills!C8=2,90+Inputs!$B$26+Inputs!$B$29,IF(Skills!C8=3,120+Inputs!$B$27+Inputs!$B$29,MAX(0,(Inputs!$B$3-100)*3)+Inputs!$B$28+Inputs!$B$29)))</f>
        <v/>
      </c>
      <c r="E552">
        <f>INDEX(FactorTable!$B$2:$Y$301, MATCH(ROUND(MIN(300,MAX(1,D552)),0), FactorTable!$A$2:$A$301,0), Skills!M8+1)</f>
        <v/>
      </c>
      <c r="F552">
        <f>IF(Skills!N8=TRUE,(Skills!L8/10)*(E552/1000),Skills!L8/10)+Skills!O8</f>
        <v/>
      </c>
      <c r="G552">
        <f>Skills!G8*IF(Skills!H8&gt;0,Skills!I8/Skills!H8,1)</f>
        <v/>
      </c>
      <c r="H552">
        <f>1-(1-Skills!J8/100)^Skills!K8</f>
        <v/>
      </c>
      <c r="I552" t="inlineStr">
        <is>
          <t>1</t>
        </is>
      </c>
      <c r="J552">
        <f>((Inputs!$B$6*(1+Inputs!$B$7/100))+(((Inputs!$B$12*(1+Inputs!$B$13/100))-(Inputs!$B$12*(1+Inputs!$B$13/100)))+0.25*(Inputs!$B$14-Inputs!$B$14))*(1+Inputs!$B$7/100))*(F552/100)</f>
        <v/>
      </c>
      <c r="K552">
        <f>J552*(1+((Inputs!$B$12*(1+Inputs!$B$13/100))*0.01+Inputs!$B$14*0.0025)/100)*(1+Inputs!$B$15/100)*(1+Inputs!$B$16/100)*(5000/(6000+Inputs!$B$42*(1-(100*(1-(1-(Inputs!$B$19+0)/100)*(1-CHOOSE(ArtifactsInput!$N$40+1,5,6,7,8,9,10)/100)^(ArtifactsInput!$M$40-ArtifactsInput!$M$40)))/100)))*(1+(Inputs!$B$24+((C570=TRUE)*(F570-Calc!F26))+B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567=TRUE)*(F567-Calc!F23))+((C571=TRUE)*(F571-Calc!F27))+(((IF(AND(ArtifactsInput!$M$42,((Inputs!$B$9+((C563=TRUE)*(F563-Calc!F19))+B574+(ArtifactsInput!$M$24-ArtifactsInput!$M$24)*CHOOSE(ArtifactsInput!$N$24+1,10,12,14,16,18,20)+IF(ArtifactsInput!$M$10,CHOOSE(ArtifactsInput!$N$10+1,15,18,21,24,27,30)*(IF(Inputs!$B$38="pvp",MIN(15,15)/15,IF(AND(Inputs!$B$38&lt;&gt;"pvp",Inputs!$B$43&gt;0),MIN(15,Inputs!$B$43)/(Inputs!$B$43),0))),0)))&gt;=100),MIN(100,((Inputs!$B$9+((C563=TRUE)*(F563-Calc!F19))+B574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563=TRUE)*(F563-Calc!F19))+B574+(ArtifactsInput!$M$24-ArtifactsInput!$M$24)*CHOOSE(ArtifactsInput!$N$24+1,10,12,14,16,18,20)+IF(ArtifactsInput!$M$10,CHOOSE(ArtifactsInput!$N$10+1,15,18,21,24,27,30)*(IF(Inputs!$B$38="pvp",MIN(15,15)/15,IF(AND(Inputs!$B$38&lt;&gt;"pvp",Inputs!$B$43&gt;0),MIN(15,Inputs!$B$43)/(Inputs!$B$43),0))),0)))&gt;=100),CHOOSE(ArtifactsInput!$N$42+1,40,48,56,64,72,80),0))))/100)*((1+(((C561=TRUE)*F561)+((C568=TRUE)*(F568-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552)</f>
        <v/>
      </c>
      <c r="L552">
        <f>K552*(MIN(Inputs!$B$22+((C566=TRUE)*(F566-Calc!F22)),(Inputs!$B$23+0+(IF(ArtifactsInput!$M$15,CHOOSE(ArtifactsInput!$N$15+1,25,30,35,40,45,50)/100*(Inputs!$B$11-Inputs!$B$11),0))))/100+(Inputs!$B$23+0+(IF(ArtifactsInput!$M$15,CHOOSE(ArtifactsInput!$N$15+1,25,30,35,40,45,50)/100*(Inputs!$B$11-Inputs!$B$11),0)))/100)/2</f>
        <v/>
      </c>
      <c r="M552">
        <f>L552*(1+((Inputs!$B$10+1)+((C569=TRUE)*(F569-Calc!F25))+B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2">
        <f>L552*(1-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552*(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2">
        <f>(1-Summary!$B$11)*T552+Summary!$B$11*V552</f>
        <v/>
      </c>
      <c r="P552">
        <f>IF(B584=0,0,O552/B584)</f>
        <v/>
      </c>
      <c r="Q552">
        <f>IFERROR(1/(IF(Inputs!$B$38="pvp",15,MAX(0.1,Skills!D8-IF(Skills!E8=TRUE,Inputs!$B$32,0)))*(1-IF(AND(ArtifactsInput!$M$27,Inputs!$B$4="Chapter Hunt"),CHOOSE(ArtifactsInput!$N$27+1,20,24,28,32,36,40),0)/100)),0)</f>
        <v/>
      </c>
      <c r="R552">
        <f>IF(AND(Inputs!$B$38&lt;&gt;"pvp",Inputs!$B$43&gt;0),IF(MAX(0,Inputs!$B$43-B581)&lt;=0,0,(INT(MAX(0,Inputs!$B$43-B581)/(IF(Inputs!$B$38="pvp",15,MAX(0.1,Skills!D8-IF(Skills!E8=TRUE,Inputs!$B$32,0)))*(1-IF(AND(ArtifactsInput!$M$27,Inputs!$B$4="Chapter Hunt"),CHOOSE(ArtifactsInput!$N$27+1,20,24,28,32,36,40),0)/100)))+1)),0)</f>
        <v/>
      </c>
      <c r="S552">
        <f>IFERROR(O552/N552,0)</f>
        <v/>
      </c>
      <c r="T552">
        <f>IF(C552,(H552*N552*IF(AND(Inputs!$B$38&lt;&gt;"pvp",Inputs!$B$43&gt;0),((Skills!G8*((R552-1)*IF(Skills!H8&gt;0,Skills!I8/Skills!H8,1)+IF(Skills!H8&gt;0,MIN(Skills!I8,MAX(0,MAX(0,Inputs!$B$43-B581)-((R552-1)*(IF(Inputs!$B$38="pvp",15,MAX(0.1,Skills!D8-IF(Skills!E8=TRUE,Inputs!$B$32,0)))*(1-IF(AND(ArtifactsInput!$M$27,Inputs!$B$4="Chapter Hunt"),CHOOSE(ArtifactsInput!$N$27+1,20,24,28,32,36,40),0)/100)))))/Skills!H8,1)))/Inputs!$B$43),G552*Q552)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552*(1-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552*(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552*(1-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552*(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2">
        <f>IF(C552,(H552*N552*IF(AND(Inputs!$B$38&lt;&gt;"pvp",Inputs!$B$43&gt;0),((Skills!G8*((R552-1)*IF(Skills!H8&gt;0,Skills!I8/Skills!H8,1)+IF(Skills!H8&gt;0,MIN(Skills!I8,MAX(0,MAX(0,Inputs!$B$43-B581)-((R552-1)*(IF(Inputs!$B$38="pvp",15,MAX(0.1,Skills!D8-IF(Skills!E8=TRUE,Inputs!$B$32,0)))*(1-IF(AND(ArtifactsInput!$M$27,Inputs!$B$4="Chapter Hunt"),CHOOSE(ArtifactsInput!$N$27+1,20,24,28,32,36,40),0)/100)))))/Skills!H8,1)))/Inputs!$B$43),G552*Q552))*IF(Inputs!$B$38="pvp",1,(1+(Inputs!$B$21+Skills!Q8+(IF(ArtifactsInput!$M$33,CHOOSE(ArtifactsInput!$N$33+1,30,36,42,48,54,60)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3">
      <c r="A553">
        <f>Skills!A9</f>
        <v/>
      </c>
      <c r="B553">
        <f>Skills!B9</f>
        <v/>
      </c>
      <c r="C553">
        <f>Inputs!$B$3&gt;=103</f>
        <v/>
      </c>
      <c r="D553">
        <f>IF(Skills!C9=1,60+Inputs!$B$25+Inputs!$B$29,IF(Skills!C9=2,90+Inputs!$B$26+Inputs!$B$29,IF(Skills!C9=3,120+Inputs!$B$27+Inputs!$B$29,MAX(0,(Inputs!$B$3-100)*3)+Inputs!$B$28+Inputs!$B$29)))</f>
        <v/>
      </c>
      <c r="E553">
        <f>INDEX(FactorTable!$B$2:$Y$301, MATCH(ROUND(MIN(300,MAX(1,D553)),0), FactorTable!$A$2:$A$301,0), Skills!M9+1)</f>
        <v/>
      </c>
      <c r="F553">
        <f>IF(Skills!N9=TRUE,(Skills!L9/10)*(E553/1000),Skills!L9/10)+Skills!O9</f>
        <v/>
      </c>
      <c r="G553">
        <f>Skills!G9*IF(Skills!H9&gt;0,Skills!I9/Skills!H9,1)</f>
        <v/>
      </c>
      <c r="H553">
        <f>1-(1-Skills!J9/100)^Skills!K9</f>
        <v/>
      </c>
      <c r="I553" t="inlineStr">
        <is>
          <t>1</t>
        </is>
      </c>
      <c r="J553">
        <f>((Inputs!$B$6*(1+Inputs!$B$7/100))+(((Inputs!$B$12*(1+Inputs!$B$13/100))-(Inputs!$B$12*(1+Inputs!$B$13/100)))+0.25*(Inputs!$B$14-Inputs!$B$14))*(1+Inputs!$B$7/100))*(F553/100)</f>
        <v/>
      </c>
      <c r="K553">
        <f>J553*(1+((Inputs!$B$12*(1+Inputs!$B$13/100))*0.01+Inputs!$B$14*0.0025)/100)*(1+Inputs!$B$15/100)*(1+Inputs!$B$16/100)*(5000/(6000+Inputs!$B$42*(1-(100*(1-(1-(Inputs!$B$19+0)/100)*(1-CHOOSE(ArtifactsInput!$N$40+1,5,6,7,8,9,10)/100)^(ArtifactsInput!$M$40-ArtifactsInput!$M$40)))/100)))*(1+(Inputs!$B$24+((C570=TRUE)*(F570-Calc!F26))+B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567=TRUE)*(F567-Calc!F23))+((C571=TRUE)*(F571-Calc!F27))+(((IF(AND(ArtifactsInput!$M$42,((Inputs!$B$9+((C563=TRUE)*(F563-Calc!F19))+B574+(ArtifactsInput!$M$24-ArtifactsInput!$M$24)*CHOOSE(ArtifactsInput!$N$24+1,10,12,14,16,18,20)+IF(ArtifactsInput!$M$10,CHOOSE(ArtifactsInput!$N$10+1,15,18,21,24,27,30)*(IF(Inputs!$B$38="pvp",MIN(15,15)/15,IF(AND(Inputs!$B$38&lt;&gt;"pvp",Inputs!$B$43&gt;0),MIN(15,Inputs!$B$43)/(Inputs!$B$43),0))),0)))&gt;=100),MIN(100,((Inputs!$B$9+((C563=TRUE)*(F563-Calc!F19))+B574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563=TRUE)*(F563-Calc!F19))+B574+(ArtifactsInput!$M$24-ArtifactsInput!$M$24)*CHOOSE(ArtifactsInput!$N$24+1,10,12,14,16,18,20)+IF(ArtifactsInput!$M$10,CHOOSE(ArtifactsInput!$N$10+1,15,18,21,24,27,30)*(IF(Inputs!$B$38="pvp",MIN(15,15)/15,IF(AND(Inputs!$B$38&lt;&gt;"pvp",Inputs!$B$43&gt;0),MIN(15,Inputs!$B$43)/(Inputs!$B$43),0))),0)))&gt;=100),CHOOSE(ArtifactsInput!$N$42+1,40,48,56,64,72,80),0))))/100)*((1+(((C561=TRUE)*F561)+((C568=TRUE)*(F568-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553)</f>
        <v/>
      </c>
      <c r="L553">
        <f>K553*(MIN(Inputs!$B$22+((C566=TRUE)*(F566-Calc!F22)),(Inputs!$B$23+0+(IF(ArtifactsInput!$M$15,CHOOSE(ArtifactsInput!$N$15+1,25,30,35,40,45,50)/100*(Inputs!$B$11-Inputs!$B$11),0))))/100+(Inputs!$B$23+0+(IF(ArtifactsInput!$M$15,CHOOSE(ArtifactsInput!$N$15+1,25,30,35,40,45,50)/100*(Inputs!$B$11-Inputs!$B$11),0)))/100)/2</f>
        <v/>
      </c>
      <c r="M553">
        <f>L553*(1+((Inputs!$B$10+1)+((C569=TRUE)*(F569-Calc!F25))+B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3">
        <f>L553*(1-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553*(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3">
        <f>(1-Summary!$B$11)*T553+Summary!$B$11*V553</f>
        <v/>
      </c>
      <c r="P553">
        <f>IF(B584=0,0,O553/B584)</f>
        <v/>
      </c>
      <c r="Q553">
        <f>IFERROR(1/(IF(Inputs!$B$38="pvp",15,MAX(0.1,Skills!D9-IF(Skills!E9=TRUE,Inputs!$B$32,0)))*(1-IF(AND(ArtifactsInput!$M$27,Inputs!$B$4="Chapter Hunt"),CHOOSE(ArtifactsInput!$N$27+1,20,24,28,32,36,40),0)/100)),0)</f>
        <v/>
      </c>
      <c r="R553">
        <f>IF(AND(Inputs!$B$38&lt;&gt;"pvp",Inputs!$B$43&gt;0),IF(MAX(0,Inputs!$B$43-B581)&lt;=0,0,(INT(MAX(0,Inputs!$B$43-B581)/(IF(Inputs!$B$38="pvp",15,MAX(0.1,Skills!D9-IF(Skills!E9=TRUE,Inputs!$B$32,0)))*(1-IF(AND(ArtifactsInput!$M$27,Inputs!$B$4="Chapter Hunt"),CHOOSE(ArtifactsInput!$N$27+1,20,24,28,32,36,40),0)/100)))+1)),0)</f>
        <v/>
      </c>
      <c r="S553">
        <f>IFERROR(O553/N553,0)</f>
        <v/>
      </c>
      <c r="T553">
        <f>IF(C553,(H553*N553*IF(AND(Inputs!$B$38&lt;&gt;"pvp",Inputs!$B$43&gt;0),((Skills!G9*((R553-1)*IF(Skills!H9&gt;0,Skills!I9/Skills!H9,1)+IF(Skills!H9&gt;0,MIN(Skills!I9,MAX(0,MAX(0,Inputs!$B$43-B581)-((R553-1)*(IF(Inputs!$B$38="pvp",15,MAX(0.1,Skills!D9-IF(Skills!E9=TRUE,Inputs!$B$32,0)))*(1-IF(AND(ArtifactsInput!$M$27,Inputs!$B$4="Chapter Hunt"),CHOOSE(ArtifactsInput!$N$27+1,20,24,28,32,36,40),0)/100)))))/Skills!H9,1)))/Inputs!$B$43),G553*Q553)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553*(1-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553*(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553*(1-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553*(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3">
        <f>IF(C553,(H553*N553*IF(AND(Inputs!$B$38&lt;&gt;"pvp",Inputs!$B$43&gt;0),((Skills!G9*((R553-1)*IF(Skills!H9&gt;0,Skills!I9/Skills!H9,1)+IF(Skills!H9&gt;0,MIN(Skills!I9,MAX(0,MAX(0,Inputs!$B$43-B581)-((R553-1)*(IF(Inputs!$B$38="pvp",15,MAX(0.1,Skills!D9-IF(Skills!E9=TRUE,Inputs!$B$32,0)))*(1-IF(AND(ArtifactsInput!$M$27,Inputs!$B$4="Chapter Hunt"),CHOOSE(ArtifactsInput!$N$27+1,20,24,28,32,36,40),0)/100)))))/Skills!H9,1)))/Inputs!$B$43),G553*Q553))*IF(Inputs!$B$38="pvp",1,(1+(Inputs!$B$21+Skills!Q9+(IF(ArtifactsInput!$M$33,CHOOSE(ArtifactsInput!$N$33+1,30,36,42,48,54,60)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4">
      <c r="A554">
        <f>Skills!A10</f>
        <v/>
      </c>
      <c r="B554">
        <f>Skills!B10</f>
        <v/>
      </c>
      <c r="C554">
        <f>Inputs!$B$3&gt;=113</f>
        <v/>
      </c>
      <c r="D554">
        <f>IF(Skills!C10=1,60+Inputs!$B$25+Inputs!$B$29,IF(Skills!C10=2,90+Inputs!$B$26+Inputs!$B$29,IF(Skills!C10=3,120+Inputs!$B$27+Inputs!$B$29,MAX(0,(Inputs!$B$3-100)*3)+Inputs!$B$28+Inputs!$B$29)))</f>
        <v/>
      </c>
      <c r="E554">
        <f>INDEX(FactorTable!$B$2:$Y$301, MATCH(ROUND(MIN(300,MAX(1,D554)),0), FactorTable!$A$2:$A$301,0), Skills!M10+1)</f>
        <v/>
      </c>
      <c r="F554">
        <f>IF(Skills!N10=TRUE,(Skills!L10/10)*(E554/1000),Skills!L10/10)+Skills!O10</f>
        <v/>
      </c>
      <c r="G554">
        <f>Skills!G10*IF(Skills!H10&gt;0,Skills!I10/Skills!H10,1)</f>
        <v/>
      </c>
      <c r="H554">
        <f>1-(1-Skills!J10/100)^Skills!K10</f>
        <v/>
      </c>
      <c r="I554" t="inlineStr">
        <is>
          <t>1</t>
        </is>
      </c>
      <c r="J554">
        <f>((Inputs!$B$6*(1+Inputs!$B$7/100))+(((Inputs!$B$12*(1+Inputs!$B$13/100))-(Inputs!$B$12*(1+Inputs!$B$13/100)))+0.25*(Inputs!$B$14-Inputs!$B$14))*(1+Inputs!$B$7/100))*(F554/100)</f>
        <v/>
      </c>
      <c r="K554">
        <f>J554*(1+((Inputs!$B$12*(1+Inputs!$B$13/100))*0.01+Inputs!$B$14*0.0025)/100)*(1+Inputs!$B$15/100)*(1+Inputs!$B$16/100)*(5000/(6000+Inputs!$B$42*(1-(100*(1-(1-(Inputs!$B$19+0)/100)*(1-CHOOSE(ArtifactsInput!$N$40+1,5,6,7,8,9,10)/100)^(ArtifactsInput!$M$40-ArtifactsInput!$M$40)))/100)))*(1+(Inputs!$B$24+((C570=TRUE)*(F570-Calc!F26))+B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567=TRUE)*(F567-Calc!F23))+((C571=TRUE)*(F571-Calc!F27))+(((IF(AND(ArtifactsInput!$M$42,((Inputs!$B$9+((C563=TRUE)*(F563-Calc!F19))+B574+(ArtifactsInput!$M$24-ArtifactsInput!$M$24)*CHOOSE(ArtifactsInput!$N$24+1,10,12,14,16,18,20)+IF(ArtifactsInput!$M$10,CHOOSE(ArtifactsInput!$N$10+1,15,18,21,24,27,30)*(IF(Inputs!$B$38="pvp",MIN(15,15)/15,IF(AND(Inputs!$B$38&lt;&gt;"pvp",Inputs!$B$43&gt;0),MIN(15,Inputs!$B$43)/(Inputs!$B$43),0))),0)))&gt;=100),MIN(100,((Inputs!$B$9+((C563=TRUE)*(F563-Calc!F19))+B574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563=TRUE)*(F563-Calc!F19))+B574+(ArtifactsInput!$M$24-ArtifactsInput!$M$24)*CHOOSE(ArtifactsInput!$N$24+1,10,12,14,16,18,20)+IF(ArtifactsInput!$M$10,CHOOSE(ArtifactsInput!$N$10+1,15,18,21,24,27,30)*(IF(Inputs!$B$38="pvp",MIN(15,15)/15,IF(AND(Inputs!$B$38&lt;&gt;"pvp",Inputs!$B$43&gt;0),MIN(15,Inputs!$B$43)/(Inputs!$B$43),0))),0)))&gt;=100),CHOOSE(ArtifactsInput!$N$42+1,40,48,56,64,72,80),0))))/100)*((1+(((C561=TRUE)*F561)+((C568=TRUE)*(F568-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554)</f>
        <v/>
      </c>
      <c r="L554">
        <f>K554*(MIN(Inputs!$B$22+((C566=TRUE)*(F566-Calc!F22)),(Inputs!$B$23+0+(IF(ArtifactsInput!$M$15,CHOOSE(ArtifactsInput!$N$15+1,25,30,35,40,45,50)/100*(Inputs!$B$11-Inputs!$B$11),0))))/100+(Inputs!$B$23+0+(IF(ArtifactsInput!$M$15,CHOOSE(ArtifactsInput!$N$15+1,25,30,35,40,45,50)/100*(Inputs!$B$11-Inputs!$B$11),0)))/100)/2</f>
        <v/>
      </c>
      <c r="M554">
        <f>L554*(1+((Inputs!$B$10+1)+((C569=TRUE)*(F569-Calc!F25))+B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4">
        <f>L554*(1-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554*(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4">
        <f>(1-Summary!$B$11)*T554+Summary!$B$11*V554</f>
        <v/>
      </c>
      <c r="P554">
        <f>IF(B584=0,0,O554/B584)</f>
        <v/>
      </c>
      <c r="Q554">
        <f>IFERROR(1/(IF(Inputs!$B$38="pvp",15,MAX(0.1,Skills!D10-IF(Skills!E10=TRUE,Inputs!$B$32,0)))*(1-IF(AND(ArtifactsInput!$M$27,Inputs!$B$4="Chapter Hunt"),CHOOSE(ArtifactsInput!$N$27+1,20,24,28,32,36,40),0)/100)),0)</f>
        <v/>
      </c>
      <c r="R554">
        <f>IF(AND(Inputs!$B$38&lt;&gt;"pvp",Inputs!$B$43&gt;0),IF(MAX(0,Inputs!$B$43-B581)&lt;=0,0,(INT(MAX(0,Inputs!$B$43-B581)/(IF(Inputs!$B$38="pvp",15,MAX(0.1,Skills!D10-IF(Skills!E10=TRUE,Inputs!$B$32,0)))*(1-IF(AND(ArtifactsInput!$M$27,Inputs!$B$4="Chapter Hunt"),CHOOSE(ArtifactsInput!$N$27+1,20,24,28,32,36,40),0)/100)))+1)),0)</f>
        <v/>
      </c>
      <c r="S554">
        <f>IFERROR(O554/N554,0)</f>
        <v/>
      </c>
      <c r="T554">
        <f>IF(C554,(H554*N554*IF(AND(Inputs!$B$38&lt;&gt;"pvp",Inputs!$B$43&gt;0),((Skills!G10*((R554-1)*IF(Skills!H10&gt;0,Skills!I10/Skills!H10,1)+IF(Skills!H10&gt;0,MIN(Skills!I10,MAX(0,MAX(0,Inputs!$B$43-B581)-((R554-1)*(IF(Inputs!$B$38="pvp",15,MAX(0.1,Skills!D10-IF(Skills!E10=TRUE,Inputs!$B$32,0)))*(1-IF(AND(ArtifactsInput!$M$27,Inputs!$B$4="Chapter Hunt"),CHOOSE(ArtifactsInput!$N$27+1,20,24,28,32,36,40),0)/100)))))/Skills!H10,1)))/Inputs!$B$43),G554*Q554)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554*(1-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554*(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554*(1-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554*(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4">
        <f>IF(C554,(H554*N554*IF(AND(Inputs!$B$38&lt;&gt;"pvp",Inputs!$B$43&gt;0),((Skills!G10*((R554-1)*IF(Skills!H10&gt;0,Skills!I10/Skills!H10,1)+IF(Skills!H10&gt;0,MIN(Skills!I10,MAX(0,MAX(0,Inputs!$B$43-B581)-((R554-1)*(IF(Inputs!$B$38="pvp",15,MAX(0.1,Skills!D10-IF(Skills!E10=TRUE,Inputs!$B$32,0)))*(1-IF(AND(ArtifactsInput!$M$27,Inputs!$B$4="Chapter Hunt"),CHOOSE(ArtifactsInput!$N$27+1,20,24,28,32,36,40),0)/100)))))/Skills!H10,1)))/Inputs!$B$43),G554*Q554))*IF(Inputs!$B$38="pvp",1,(1+(Inputs!$B$21+Skills!Q10+(IF(ArtifactsInput!$M$33,CHOOSE(ArtifactsInput!$N$33+1,30,36,42,48,54,60)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5">
      <c r="A555">
        <f>Skills!A11</f>
        <v/>
      </c>
      <c r="B555">
        <f>Skills!B11</f>
        <v/>
      </c>
      <c r="C555">
        <f>Inputs!$B$3&gt;=107</f>
        <v/>
      </c>
      <c r="D555">
        <f>IF(Skills!C11=1,60+Inputs!$B$25+Inputs!$B$29,IF(Skills!C11=2,90+Inputs!$B$26+Inputs!$B$29,IF(Skills!C11=3,120+Inputs!$B$27+Inputs!$B$29,MAX(0,(Inputs!$B$3-100)*3)+Inputs!$B$28+Inputs!$B$29)))</f>
        <v/>
      </c>
      <c r="E555">
        <f>INDEX(FactorTable!$B$2:$Y$301, MATCH(ROUND(MIN(300,MAX(1,D555)),0), FactorTable!$A$2:$A$301,0), Skills!M11+1)</f>
        <v/>
      </c>
      <c r="F555">
        <f>IF(Skills!N11=TRUE,(Skills!L11/10)*(E555/1000),Skills!L11/10)+Skills!O11</f>
        <v/>
      </c>
      <c r="G555">
        <f>Skills!G11*IF(Skills!H11&gt;0,Skills!I11/Skills!H11,1)</f>
        <v/>
      </c>
      <c r="H555">
        <f>1-(1-Skills!J11/100)^Skills!K11</f>
        <v/>
      </c>
      <c r="I555" t="inlineStr">
        <is>
          <t>1</t>
        </is>
      </c>
      <c r="J555">
        <f>((Inputs!$B$6*(1+Inputs!$B$7/100))+(((Inputs!$B$12*(1+Inputs!$B$13/100))-(Inputs!$B$12*(1+Inputs!$B$13/100)))+0.25*(Inputs!$B$14-Inputs!$B$14))*(1+Inputs!$B$7/100))*(F555/100)</f>
        <v/>
      </c>
      <c r="K555">
        <f>J555*(1+((Inputs!$B$12*(1+Inputs!$B$13/100))*0.01+Inputs!$B$14*0.0025)/100)*(1+Inputs!$B$15/100)*(1+Inputs!$B$16/100)*(5000/(6000+Inputs!$B$42*(1-(100*(1-(1-(Inputs!$B$19+0)/100)*(1-CHOOSE(ArtifactsInput!$N$40+1,5,6,7,8,9,10)/100)^(ArtifactsInput!$M$40-ArtifactsInput!$M$40)))/100)))*(1+(Inputs!$B$24+((C570=TRUE)*(F570-Calc!F26))+B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567=TRUE)*(F567-Calc!F23))+((C571=TRUE)*(F571-Calc!F27))+(((IF(AND(ArtifactsInput!$M$42,((Inputs!$B$9+((C563=TRUE)*(F563-Calc!F19))+B574+(ArtifactsInput!$M$24-ArtifactsInput!$M$24)*CHOOSE(ArtifactsInput!$N$24+1,10,12,14,16,18,20)+IF(ArtifactsInput!$M$10,CHOOSE(ArtifactsInput!$N$10+1,15,18,21,24,27,30)*(IF(Inputs!$B$38="pvp",MIN(15,15)/15,IF(AND(Inputs!$B$38&lt;&gt;"pvp",Inputs!$B$43&gt;0),MIN(15,Inputs!$B$43)/(Inputs!$B$43),0))),0)))&gt;=100),MIN(100,((Inputs!$B$9+((C563=TRUE)*(F563-Calc!F19))+B574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563=TRUE)*(F563-Calc!F19))+B574+(ArtifactsInput!$M$24-ArtifactsInput!$M$24)*CHOOSE(ArtifactsInput!$N$24+1,10,12,14,16,18,20)+IF(ArtifactsInput!$M$10,CHOOSE(ArtifactsInput!$N$10+1,15,18,21,24,27,30)*(IF(Inputs!$B$38="pvp",MIN(15,15)/15,IF(AND(Inputs!$B$38&lt;&gt;"pvp",Inputs!$B$43&gt;0),MIN(15,Inputs!$B$43)/(Inputs!$B$43),0))),0)))&gt;=100),CHOOSE(ArtifactsInput!$N$42+1,40,48,56,64,72,80),0))))/100)*((1+(((C561=TRUE)*F561)+((C568=TRUE)*(F568-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555)</f>
        <v/>
      </c>
      <c r="L555">
        <f>K555*(MIN(Inputs!$B$22+((C566=TRUE)*(F566-Calc!F22)),(Inputs!$B$23+0+(IF(ArtifactsInput!$M$15,CHOOSE(ArtifactsInput!$N$15+1,25,30,35,40,45,50)/100*(Inputs!$B$11-Inputs!$B$11),0))))/100+(Inputs!$B$23+0+(IF(ArtifactsInput!$M$15,CHOOSE(ArtifactsInput!$N$15+1,25,30,35,40,45,50)/100*(Inputs!$B$11-Inputs!$B$11),0)))/100)/2</f>
        <v/>
      </c>
      <c r="M555">
        <f>L555*(1+((Inputs!$B$10+1)+((C569=TRUE)*(F569-Calc!F25))+B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5">
        <f>L555*(1-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555*(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5">
        <f>(1-Summary!$B$11)*T555+Summary!$B$11*V555</f>
        <v/>
      </c>
      <c r="P555">
        <f>IF(B584=0,0,O555/B584)</f>
        <v/>
      </c>
      <c r="Q555">
        <f>IFERROR(1/(IF(Inputs!$B$38="pvp",15,MAX(0.1,Skills!D11-IF(Skills!E11=TRUE,Inputs!$B$32,0)))*(1-IF(AND(ArtifactsInput!$M$27,Inputs!$B$4="Chapter Hunt"),CHOOSE(ArtifactsInput!$N$27+1,20,24,28,32,36,40),0)/100)),0)</f>
        <v/>
      </c>
      <c r="R555">
        <f>IF(AND(Inputs!$B$38&lt;&gt;"pvp",Inputs!$B$43&gt;0),IF(MAX(0,Inputs!$B$43-B581)&lt;=0,0,(INT(MAX(0,Inputs!$B$43-B581)/(IF(Inputs!$B$38="pvp",15,MAX(0.1,Skills!D11-IF(Skills!E11=TRUE,Inputs!$B$32,0)))*(1-IF(AND(ArtifactsInput!$M$27,Inputs!$B$4="Chapter Hunt"),CHOOSE(ArtifactsInput!$N$27+1,20,24,28,32,36,40),0)/100)))+1)),0)</f>
        <v/>
      </c>
      <c r="S555">
        <f>IFERROR(O555/N555,0)</f>
        <v/>
      </c>
      <c r="T555">
        <f>IF(C555,(H555*N555*IF(AND(Inputs!$B$38&lt;&gt;"pvp",Inputs!$B$43&gt;0),((Skills!G11*((R555-1)*IF(Skills!H11&gt;0,Skills!I11/Skills!H11,1)+IF(Skills!H11&gt;0,MIN(Skills!I11,MAX(0,MAX(0,Inputs!$B$43-B581)-((R555-1)*(IF(Inputs!$B$38="pvp",15,MAX(0.1,Skills!D11-IF(Skills!E11=TRUE,Inputs!$B$32,0)))*(1-IF(AND(ArtifactsInput!$M$27,Inputs!$B$4="Chapter Hunt"),CHOOSE(ArtifactsInput!$N$27+1,20,24,28,32,36,40),0)/100)))))/Skills!H11,1)))/Inputs!$B$43),G555*Q555)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555*(1-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555*(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555*(1-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555*(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5">
        <f>IF(C555,(H555*N555*IF(AND(Inputs!$B$38&lt;&gt;"pvp",Inputs!$B$43&gt;0),((Skills!G11*((R555-1)*IF(Skills!H11&gt;0,Skills!I11/Skills!H11,1)+IF(Skills!H11&gt;0,MIN(Skills!I11,MAX(0,MAX(0,Inputs!$B$43-B581)-((R555-1)*(IF(Inputs!$B$38="pvp",15,MAX(0.1,Skills!D11-IF(Skills!E11=TRUE,Inputs!$B$32,0)))*(1-IF(AND(ArtifactsInput!$M$27,Inputs!$B$4="Chapter Hunt"),CHOOSE(ArtifactsInput!$N$27+1,20,24,28,32,36,40),0)/100)))))/Skills!H11,1)))/Inputs!$B$43),G555*Q555))*IF(Inputs!$B$38="pvp",1,(1+(Inputs!$B$21+Skills!Q11+(IF(ArtifactsInput!$M$33,CHOOSE(ArtifactsInput!$N$33+1,30,36,42,48,54,60)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6">
      <c r="A556">
        <f>Skills!A12</f>
        <v/>
      </c>
      <c r="B556">
        <f>Skills!B12</f>
        <v/>
      </c>
      <c r="C556">
        <f>Inputs!$B$3&gt;=110</f>
        <v/>
      </c>
      <c r="D556">
        <f>IF(Skills!C12=1,60+Inputs!$B$25+Inputs!$B$29,IF(Skills!C12=2,90+Inputs!$B$26+Inputs!$B$29,IF(Skills!C12=3,120+Inputs!$B$27+Inputs!$B$29,MAX(0,(Inputs!$B$3-100)*3)+Inputs!$B$28+Inputs!$B$29)))</f>
        <v/>
      </c>
      <c r="E556">
        <f>INDEX(FactorTable!$B$2:$Y$301, MATCH(ROUND(MIN(300,MAX(1,D556)),0), FactorTable!$A$2:$A$301,0), Skills!M12+1)</f>
        <v/>
      </c>
      <c r="F556">
        <f>IF(Skills!N12=TRUE,(Skills!L12/10)*(E556/1000),Skills!L12/10)+Skills!O12</f>
        <v/>
      </c>
      <c r="G556">
        <f>Skills!G12*IF(Skills!H12&gt;0,Skills!I12/Skills!H12,1)</f>
        <v/>
      </c>
      <c r="H556">
        <f>1-(1-Skills!J12/100)^Skills!K12</f>
        <v/>
      </c>
      <c r="I556" t="inlineStr">
        <is>
          <t>1</t>
        </is>
      </c>
      <c r="J556">
        <f>((Inputs!$B$6*(1+Inputs!$B$7/100))+(((Inputs!$B$12*(1+Inputs!$B$13/100))-(Inputs!$B$12*(1+Inputs!$B$13/100)))+0.25*(Inputs!$B$14-Inputs!$B$14))*(1+Inputs!$B$7/100))*(F556/100)</f>
        <v/>
      </c>
      <c r="K556">
        <f>J556*(1+((Inputs!$B$12*(1+Inputs!$B$13/100))*0.01+Inputs!$B$14*0.0025)/100)*(1+Inputs!$B$15/100)*(1+Inputs!$B$16/100)*(5000/(6000+Inputs!$B$42*(1-(100*(1-(1-(Inputs!$B$19+0)/100)*(1-CHOOSE(ArtifactsInput!$N$40+1,5,6,7,8,9,10)/100)^(ArtifactsInput!$M$40-ArtifactsInput!$M$40)))/100)))*(1+(Inputs!$B$24+((C570=TRUE)*(F570-Calc!F26))+B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567=TRUE)*(F567-Calc!F23))+((C571=TRUE)*(F571-Calc!F27))+(((IF(AND(ArtifactsInput!$M$42,((Inputs!$B$9+((C563=TRUE)*(F563-Calc!F19))+B574+(ArtifactsInput!$M$24-ArtifactsInput!$M$24)*CHOOSE(ArtifactsInput!$N$24+1,10,12,14,16,18,20)+IF(ArtifactsInput!$M$10,CHOOSE(ArtifactsInput!$N$10+1,15,18,21,24,27,30)*(IF(Inputs!$B$38="pvp",MIN(15,15)/15,IF(AND(Inputs!$B$38&lt;&gt;"pvp",Inputs!$B$43&gt;0),MIN(15,Inputs!$B$43)/(Inputs!$B$43),0))),0)))&gt;=100),MIN(100,((Inputs!$B$9+((C563=TRUE)*(F563-Calc!F19))+B574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563=TRUE)*(F563-Calc!F19))+B574+(ArtifactsInput!$M$24-ArtifactsInput!$M$24)*CHOOSE(ArtifactsInput!$N$24+1,10,12,14,16,18,20)+IF(ArtifactsInput!$M$10,CHOOSE(ArtifactsInput!$N$10+1,15,18,21,24,27,30)*(IF(Inputs!$B$38="pvp",MIN(15,15)/15,IF(AND(Inputs!$B$38&lt;&gt;"pvp",Inputs!$B$43&gt;0),MIN(15,Inputs!$B$43)/(Inputs!$B$43),0))),0)))&gt;=100),CHOOSE(ArtifactsInput!$N$42+1,40,48,56,64,72,80),0))))/100)*((1+(((C561=TRUE)*F561)+((C568=TRUE)*(F568-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556)</f>
        <v/>
      </c>
      <c r="L556">
        <f>K556*(MIN(Inputs!$B$22+((C566=TRUE)*(F566-Calc!F22)),(Inputs!$B$23+0+(IF(ArtifactsInput!$M$15,CHOOSE(ArtifactsInput!$N$15+1,25,30,35,40,45,50)/100*(Inputs!$B$11-Inputs!$B$11),0))))/100+(Inputs!$B$23+0+(IF(ArtifactsInput!$M$15,CHOOSE(ArtifactsInput!$N$15+1,25,30,35,40,45,50)/100*(Inputs!$B$11-Inputs!$B$11),0)))/100)/2</f>
        <v/>
      </c>
      <c r="M556">
        <f>L556*(1+((Inputs!$B$10+1)+((C569=TRUE)*(F569-Calc!F25))+B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6">
        <f>L556*(1-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556*(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6">
        <f>(1-Summary!$B$11)*T556+Summary!$B$11*V556</f>
        <v/>
      </c>
      <c r="P556">
        <f>IF(B584=0,0,O556/B584)</f>
        <v/>
      </c>
      <c r="Q556">
        <f>IFERROR(1/(IF(Inputs!$B$38="pvp",15,MAX(0.1,Skills!D12-IF(Skills!E12=TRUE,Inputs!$B$32,0)))*(1-IF(AND(ArtifactsInput!$M$27,Inputs!$B$4="Chapter Hunt"),CHOOSE(ArtifactsInput!$N$27+1,20,24,28,32,36,40),0)/100)),0)</f>
        <v/>
      </c>
      <c r="R556">
        <f>IF(AND(Inputs!$B$38&lt;&gt;"pvp",Inputs!$B$43&gt;0),IF(MAX(0,Inputs!$B$43-B581)&lt;=0,0,(INT(MAX(0,Inputs!$B$43-B581)/(IF(Inputs!$B$38="pvp",15,MAX(0.1,Skills!D12-IF(Skills!E12=TRUE,Inputs!$B$32,0)))*(1-IF(AND(ArtifactsInput!$M$27,Inputs!$B$4="Chapter Hunt"),CHOOSE(ArtifactsInput!$N$27+1,20,24,28,32,36,40),0)/100)))+1)),0)</f>
        <v/>
      </c>
      <c r="S556">
        <f>IFERROR(O556/N556,0)</f>
        <v/>
      </c>
      <c r="T556">
        <f>IF(C556,(H556*N556*IF(AND(Inputs!$B$38&lt;&gt;"pvp",Inputs!$B$43&gt;0),((Skills!G12*((R556-1)*IF(Skills!H12&gt;0,Skills!I12/Skills!H12,1)+IF(Skills!H12&gt;0,MIN(Skills!I12,MAX(0,MAX(0,Inputs!$B$43-B581)-((R556-1)*(IF(Inputs!$B$38="pvp",15,MAX(0.1,Skills!D12-IF(Skills!E12=TRUE,Inputs!$B$32,0)))*(1-IF(AND(ArtifactsInput!$M$27,Inputs!$B$4="Chapter Hunt"),CHOOSE(ArtifactsInput!$N$27+1,20,24,28,32,36,40),0)/100)))))/Skills!H12,1)))/Inputs!$B$43),G556*Q556)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556*(1-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556*(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556*(1-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556*(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6">
        <f>IF(C556,(H556*N556*IF(AND(Inputs!$B$38&lt;&gt;"pvp",Inputs!$B$43&gt;0),((Skills!G12*((R556-1)*IF(Skills!H12&gt;0,Skills!I12/Skills!H12,1)+IF(Skills!H12&gt;0,MIN(Skills!I12,MAX(0,MAX(0,Inputs!$B$43-B581)-((R556-1)*(IF(Inputs!$B$38="pvp",15,MAX(0.1,Skills!D12-IF(Skills!E12=TRUE,Inputs!$B$32,0)))*(1-IF(AND(ArtifactsInput!$M$27,Inputs!$B$4="Chapter Hunt"),CHOOSE(ArtifactsInput!$N$27+1,20,24,28,32,36,40),0)/100)))))/Skills!H12,1)))/Inputs!$B$43),G556*Q556))*IF(Inputs!$B$38="pvp",1,(1+(Inputs!$B$21+Skills!Q12+(IF(ArtifactsInput!$M$33,CHOOSE(ArtifactsInput!$N$33+1,30,36,42,48,54,60)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7">
      <c r="A557">
        <f>Skills!A13</f>
        <v/>
      </c>
      <c r="B557">
        <f>Skills!B13</f>
        <v/>
      </c>
      <c r="C557">
        <f>Inputs!$B$3&gt;=110</f>
        <v/>
      </c>
      <c r="D557">
        <f>IF(Skills!C13=1,60+Inputs!$B$25+Inputs!$B$29,IF(Skills!C13=2,90+Inputs!$B$26+Inputs!$B$29,IF(Skills!C13=3,120+Inputs!$B$27+Inputs!$B$29,MAX(0,(Inputs!$B$3-100)*3)+Inputs!$B$28+Inputs!$B$29)))</f>
        <v/>
      </c>
      <c r="E557">
        <f>INDEX(FactorTable!$B$2:$Y$301, MATCH(ROUND(MIN(300,MAX(1,D557)),0), FactorTable!$A$2:$A$301,0), Skills!M13+1)</f>
        <v/>
      </c>
      <c r="F557">
        <f>IF(Skills!N13=TRUE,(Skills!L13/10)*(E557/1000),Skills!L13/10)+Skills!O13</f>
        <v/>
      </c>
      <c r="G557">
        <f>Skills!G13*IF(Skills!H13&gt;0,Skills!I13/Skills!H13,1)</f>
        <v/>
      </c>
      <c r="H557">
        <f>1-(1-Skills!J13/100)^Skills!K13</f>
        <v/>
      </c>
      <c r="I557" t="inlineStr">
        <is>
          <t>1</t>
        </is>
      </c>
      <c r="J557">
        <f>((Inputs!$B$6*(1+Inputs!$B$7/100))+(((Inputs!$B$12*(1+Inputs!$B$13/100))-(Inputs!$B$12*(1+Inputs!$B$13/100)))+0.25*(Inputs!$B$14-Inputs!$B$14))*(1+Inputs!$B$7/100))*(F557/100)</f>
        <v/>
      </c>
      <c r="K557">
        <f>J557*(1+((Inputs!$B$12*(1+Inputs!$B$13/100))*0.01+Inputs!$B$14*0.0025)/100)*(1+Inputs!$B$15/100)*(1+Inputs!$B$16/100)*(5000/(6000+Inputs!$B$42*(1-(100*(1-(1-(Inputs!$B$19+0)/100)*(1-CHOOSE(ArtifactsInput!$N$40+1,5,6,7,8,9,10)/100)^(ArtifactsInput!$M$40-ArtifactsInput!$M$40)))/100)))*(1+(Inputs!$B$24+((C570=TRUE)*(F570-Calc!F26))+B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567=TRUE)*(F567-Calc!F23))+((C571=TRUE)*(F571-Calc!F27))+(((IF(AND(ArtifactsInput!$M$42,((Inputs!$B$9+((C563=TRUE)*(F563-Calc!F19))+B574+(ArtifactsInput!$M$24-ArtifactsInput!$M$24)*CHOOSE(ArtifactsInput!$N$24+1,10,12,14,16,18,20)+IF(ArtifactsInput!$M$10,CHOOSE(ArtifactsInput!$N$10+1,15,18,21,24,27,30)*(IF(Inputs!$B$38="pvp",MIN(15,15)/15,IF(AND(Inputs!$B$38&lt;&gt;"pvp",Inputs!$B$43&gt;0),MIN(15,Inputs!$B$43)/(Inputs!$B$43),0))),0)))&gt;=100),MIN(100,((Inputs!$B$9+((C563=TRUE)*(F563-Calc!F19))+B574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563=TRUE)*(F563-Calc!F19))+B574+(ArtifactsInput!$M$24-ArtifactsInput!$M$24)*CHOOSE(ArtifactsInput!$N$24+1,10,12,14,16,18,20)+IF(ArtifactsInput!$M$10,CHOOSE(ArtifactsInput!$N$10+1,15,18,21,24,27,30)*(IF(Inputs!$B$38="pvp",MIN(15,15)/15,IF(AND(Inputs!$B$38&lt;&gt;"pvp",Inputs!$B$43&gt;0),MIN(15,Inputs!$B$43)/(Inputs!$B$43),0))),0)))&gt;=100),CHOOSE(ArtifactsInput!$N$42+1,40,48,56,64,72,80),0))))/100)*((1+(((C561=TRUE)*F561)+((C568=TRUE)*(F568-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557)</f>
        <v/>
      </c>
      <c r="L557">
        <f>K557*(MIN(Inputs!$B$22+((C566=TRUE)*(F566-Calc!F22)),(Inputs!$B$23+0+(IF(ArtifactsInput!$M$15,CHOOSE(ArtifactsInput!$N$15+1,25,30,35,40,45,50)/100*(Inputs!$B$11-Inputs!$B$11),0))))/100+(Inputs!$B$23+0+(IF(ArtifactsInput!$M$15,CHOOSE(ArtifactsInput!$N$15+1,25,30,35,40,45,50)/100*(Inputs!$B$11-Inputs!$B$11),0)))/100)/2</f>
        <v/>
      </c>
      <c r="M557">
        <f>L557*(1+((Inputs!$B$10+1)+((C569=TRUE)*(F569-Calc!F25))+B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7">
        <f>L557*(1-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557*(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7">
        <f>(1-Summary!$B$11)*T557+Summary!$B$11*V557</f>
        <v/>
      </c>
      <c r="P557">
        <f>IF(B584=0,0,O557/B584)</f>
        <v/>
      </c>
      <c r="Q557">
        <f>IFERROR(1/(IF(Inputs!$B$38="pvp",15,MAX(0.1,Skills!D13-IF(Skills!E13=TRUE,Inputs!$B$32,0)))*(1-IF(AND(ArtifactsInput!$M$27,Inputs!$B$4="Chapter Hunt"),CHOOSE(ArtifactsInput!$N$27+1,20,24,28,32,36,40),0)/100)),0)</f>
        <v/>
      </c>
      <c r="R557">
        <f>IF(AND(Inputs!$B$38&lt;&gt;"pvp",Inputs!$B$43&gt;0),IF(MAX(0,Inputs!$B$43-B581)&lt;=0,0,(INT(MAX(0,Inputs!$B$43-B581)/(IF(Inputs!$B$38="pvp",15,MAX(0.1,Skills!D13-IF(Skills!E13=TRUE,Inputs!$B$32,0)))*(1-IF(AND(ArtifactsInput!$M$27,Inputs!$B$4="Chapter Hunt"),CHOOSE(ArtifactsInput!$N$27+1,20,24,28,32,36,40),0)/100)))+1)),0)</f>
        <v/>
      </c>
      <c r="S557">
        <f>IFERROR(O557/N557,0)</f>
        <v/>
      </c>
      <c r="T557">
        <f>IF(C557,(H557*N557*IF(AND(Inputs!$B$38&lt;&gt;"pvp",Inputs!$B$43&gt;0),((Skills!G13*((R557-1)*IF(Skills!H13&gt;0,Skills!I13/Skills!H13,1)+IF(Skills!H13&gt;0,MIN(Skills!I13,MAX(0,MAX(0,Inputs!$B$43-B581)-((R557-1)*(IF(Inputs!$B$38="pvp",15,MAX(0.1,Skills!D13-IF(Skills!E13=TRUE,Inputs!$B$32,0)))*(1-IF(AND(ArtifactsInput!$M$27,Inputs!$B$4="Chapter Hunt"),CHOOSE(ArtifactsInput!$N$27+1,20,24,28,32,36,40),0)/100)))))/Skills!H13,1)))/Inputs!$B$43),G557*Q557))*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557*(1-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557*(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557*(1-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557*(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7">
        <f>IF(C557,(H557*N557*IF(AND(Inputs!$B$38&lt;&gt;"pvp",Inputs!$B$43&gt;0),((Skills!G13*((R557-1)*IF(Skills!H13&gt;0,Skills!I13/Skills!H13,1)+IF(Skills!H13&gt;0,MIN(Skills!I13,MAX(0,MAX(0,Inputs!$B$43-B581)-((R557-1)*(IF(Inputs!$B$38="pvp",15,MAX(0.1,Skills!D13-IF(Skills!E13=TRUE,Inputs!$B$32,0)))*(1-IF(AND(ArtifactsInput!$M$27,Inputs!$B$4="Chapter Hunt"),CHOOSE(ArtifactsInput!$N$27+1,20,24,28,32,36,40),0)/100)))))/Skills!H13,1)))/Inputs!$B$43),G557*Q557))*IF(Inputs!$B$38="pvp",1,(1+(Inputs!$B$21+Skills!Q13+(IF(ArtifactsInput!$M$33,CHOOSE(ArtifactsInput!$N$33+1,30,36,42,48,54,60)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8">
      <c r="A558">
        <f>Skills!A14</f>
        <v/>
      </c>
      <c r="B558">
        <f>Skills!B14</f>
        <v/>
      </c>
      <c r="C558">
        <f>Inputs!$B$3&gt;=125</f>
        <v/>
      </c>
      <c r="D558">
        <f>IF(Skills!C14=1,60+Inputs!$B$25+Inputs!$B$29,IF(Skills!C14=2,90+Inputs!$B$26+Inputs!$B$29,IF(Skills!C14=3,120+Inputs!$B$27+Inputs!$B$29,MAX(0,(Inputs!$B$3-100)*3)+Inputs!$B$28+Inputs!$B$29)))</f>
        <v/>
      </c>
      <c r="E558">
        <f>INDEX(FactorTable!$B$2:$Y$301, MATCH(ROUND(MIN(300,MAX(1,D558)),0), FactorTable!$A$2:$A$301,0), Skills!M14+1)</f>
        <v/>
      </c>
      <c r="F558">
        <f>IF(Skills!N14=TRUE,(Skills!L14/10)*(E558/1000),Skills!L14/10)+Skills!O14</f>
        <v/>
      </c>
      <c r="G558">
        <f>Skills!G14*IF(Skills!H14&gt;0,Skills!I14/Skills!H14,1)</f>
        <v/>
      </c>
      <c r="H558">
        <f>1-(1-Skills!J14/100)^Skills!K14</f>
        <v/>
      </c>
      <c r="I558" t="inlineStr">
        <is>
          <t>1</t>
        </is>
      </c>
      <c r="J558">
        <f>((Inputs!$B$6*(1+Inputs!$B$7/100))+(((Inputs!$B$12*(1+Inputs!$B$13/100))-(Inputs!$B$12*(1+Inputs!$B$13/100)))+0.25*(Inputs!$B$14-Inputs!$B$14))*(1+Inputs!$B$7/100))*(F558/100)</f>
        <v/>
      </c>
      <c r="K558">
        <f>J558*(1+((Inputs!$B$12*(1+Inputs!$B$13/100))*0.01+Inputs!$B$14*0.0025)/100)*(1+Inputs!$B$15/100)*(1+Inputs!$B$16/100)*(5000/(6000+Inputs!$B$42*(1-(100*(1-(1-(Inputs!$B$19+0)/100)*(1-CHOOSE(ArtifactsInput!$N$40+1,5,6,7,8,9,10)/100)^(ArtifactsInput!$M$40-ArtifactsInput!$M$40)))/100)))*(1+(Inputs!$B$24+((C570=TRUE)*(F570-Calc!F26))+B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567=TRUE)*(F567-Calc!F23))+((C571=TRUE)*(F571-Calc!F27))+(((IF(AND(ArtifactsInput!$M$42,((Inputs!$B$9+((C563=TRUE)*(F563-Calc!F19))+B574+(ArtifactsInput!$M$24-ArtifactsInput!$M$24)*CHOOSE(ArtifactsInput!$N$24+1,10,12,14,16,18,20)+IF(ArtifactsInput!$M$10,CHOOSE(ArtifactsInput!$N$10+1,15,18,21,24,27,30)*(IF(Inputs!$B$38="pvp",MIN(15,15)/15,IF(AND(Inputs!$B$38&lt;&gt;"pvp",Inputs!$B$43&gt;0),MIN(15,Inputs!$B$43)/(Inputs!$B$43),0))),0)))&gt;=100),MIN(100,((Inputs!$B$9+((C563=TRUE)*(F563-Calc!F19))+B574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563=TRUE)*(F563-Calc!F19))+B574+(ArtifactsInput!$M$24-ArtifactsInput!$M$24)*CHOOSE(ArtifactsInput!$N$24+1,10,12,14,16,18,20)+IF(ArtifactsInput!$M$10,CHOOSE(ArtifactsInput!$N$10+1,15,18,21,24,27,30)*(IF(Inputs!$B$38="pvp",MIN(15,15)/15,IF(AND(Inputs!$B$38&lt;&gt;"pvp",Inputs!$B$43&gt;0),MIN(15,Inputs!$B$43)/(Inputs!$B$43),0))),0)))&gt;=100),CHOOSE(ArtifactsInput!$N$42+1,40,48,56,64,72,80),0))))/100)*((1+(((C561=TRUE)*F561)+((C568=TRUE)*(F568-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558)</f>
        <v/>
      </c>
      <c r="L558">
        <f>K558*(MIN(Inputs!$B$22+((C566=TRUE)*(F566-Calc!F22)),(Inputs!$B$23+0+(IF(ArtifactsInput!$M$15,CHOOSE(ArtifactsInput!$N$15+1,25,30,35,40,45,50)/100*(Inputs!$B$11-Inputs!$B$11),0))))/100+(Inputs!$B$23+0+(IF(ArtifactsInput!$M$15,CHOOSE(ArtifactsInput!$N$15+1,25,30,35,40,45,50)/100*(Inputs!$B$11-Inputs!$B$11),0)))/100)/2</f>
        <v/>
      </c>
      <c r="M558">
        <f>L558*(1+((Inputs!$B$10+1)+((C569=TRUE)*(F569-Calc!F25))+B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8">
        <f>L558*(1-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558*(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8">
        <f>(1-Summary!$B$11)*T558+Summary!$B$11*V558</f>
        <v/>
      </c>
      <c r="P558">
        <f>IF(B584=0,0,O558/B584)</f>
        <v/>
      </c>
      <c r="Q558" t="n">
        <v>0</v>
      </c>
      <c r="R558" t="n">
        <v>0</v>
      </c>
      <c r="S558">
        <f>IFERROR(O558/N558,0)</f>
        <v/>
      </c>
      <c r="T558">
        <f>IF(C558,(H558*N558*(B578+IF(AND(Inputs!$B$38&lt;&gt;"pvp",Inputs!$B$43&gt;0),((Skills!G8*((R552-1)*IF(Skills!H8&gt;0,Skills!I8/Skills!H8,1)+IF(Skills!H8&gt;0,MIN(Skills!I8,MAX(0,MAX(0,Inputs!$B$43-B581)-((R552-1)*(IF(Inputs!$B$38="pvp",15,MAX(0.1,Skills!D8-IF(Skills!E8=TRUE,Inputs!$B$32,0)))*(1-IF(AND(ArtifactsInput!$M$27,Inputs!$B$4="Chapter Hunt"),CHOOSE(ArtifactsInput!$N$27+1,20,24,28,32,36,40),0)/100)))))/Skills!H8,1)))/Inputs!$B$43),G552*Q552)+IF(AND(Inputs!$B$38&lt;&gt;"pvp",Inputs!$B$43&gt;0),((Skills!G11*((R555-1)*IF(Skills!H11&gt;0,Skills!I11/Skills!H11,1)+IF(Skills!H11&gt;0,MIN(Skills!I11,MAX(0,MAX(0,Inputs!$B$43-B581)-((R555-1)*(IF(Inputs!$B$38="pvp",15,MAX(0.1,Skills!D11-IF(Skills!E11=TRUE,Inputs!$B$32,0)))*(1-IF(AND(ArtifactsInput!$M$27,Inputs!$B$4="Chapter Hunt"),CHOOSE(ArtifactsInput!$N$27+1,20,24,28,32,36,40),0)/100)))))/Skills!H11,1)))/Inputs!$B$43),G555*Q555)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558*(1-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558*(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558*(1-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558*(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8">
        <f>IF(C558,(H558*N558*(B578+IF(AND(Inputs!$B$38&lt;&gt;"pvp",Inputs!$B$43&gt;0),((Skills!G8*((R552-1)*IF(Skills!H8&gt;0,Skills!I8/Skills!H8,1)+IF(Skills!H8&gt;0,MIN(Skills!I8,MAX(0,MAX(0,Inputs!$B$43-B581)-((R552-1)*(IF(Inputs!$B$38="pvp",15,MAX(0.1,Skills!D8-IF(Skills!E8=TRUE,Inputs!$B$32,0)))*(1-IF(AND(ArtifactsInput!$M$27,Inputs!$B$4="Chapter Hunt"),CHOOSE(ArtifactsInput!$N$27+1,20,24,28,32,36,40),0)/100)))))/Skills!H8,1)))/Inputs!$B$43),G552*Q552)+IF(AND(Inputs!$B$38&lt;&gt;"pvp",Inputs!$B$43&gt;0),((Skills!G11*((R555-1)*IF(Skills!H11&gt;0,Skills!I11/Skills!H11,1)+IF(Skills!H11&gt;0,MIN(Skills!I11,MAX(0,MAX(0,Inputs!$B$43-B581)-((R555-1)*(IF(Inputs!$B$38="pvp",15,MAX(0.1,Skills!D11-IF(Skills!E11=TRUE,Inputs!$B$32,0)))*(1-IF(AND(ArtifactsInput!$M$27,Inputs!$B$4="Chapter Hunt"),CHOOSE(ArtifactsInput!$N$27+1,20,24,28,32,36,40),0)/100)))))/Skills!H11,1)))/Inputs!$B$43),G555*Q555)))*IF(Inputs!$B$38="pvp",1,(1+(Inputs!$B$21+Skills!Q14+(IF(ArtifactsInput!$M$33,CHOOSE(ArtifactsInput!$N$33+1,30,36,42,48,54,60)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9">
      <c r="A559">
        <f>Skills!A15</f>
        <v/>
      </c>
      <c r="B559">
        <f>Skills!B15</f>
        <v/>
      </c>
      <c r="C559">
        <f>Inputs!$B$3&gt;=100</f>
        <v/>
      </c>
      <c r="D559">
        <f>IF(Skills!C15=1,60+Inputs!$B$25+Inputs!$B$29,IF(Skills!C15=2,90+Inputs!$B$26+Inputs!$B$29,IF(Skills!C15=3,120+Inputs!$B$27+Inputs!$B$29,MAX(0,(Inputs!$B$3-100)*3)+Inputs!$B$28+Inputs!$B$29)))</f>
        <v/>
      </c>
      <c r="E559">
        <f>INDEX(FactorTable!$B$2:$Y$301, MATCH(ROUND(MIN(300,MAX(1,D559)),0), FactorTable!$A$2:$A$301,0), Skills!M15+1)</f>
        <v/>
      </c>
      <c r="F559">
        <f>IF(Skills!N15=TRUE,(Skills!L15/10)*(E559/1000),Skills!L15/10)+Skills!O15</f>
        <v/>
      </c>
      <c r="G559" t="inlineStr"/>
      <c r="H559" t="inlineStr"/>
      <c r="I559" t="inlineStr">
        <is>
          <t>1</t>
        </is>
      </c>
      <c r="J559" t="inlineStr"/>
      <c r="K559" t="inlineStr"/>
      <c r="L559" t="inlineStr"/>
      <c r="M559" t="inlineStr"/>
      <c r="N559" t="inlineStr"/>
      <c r="O559" t="inlineStr"/>
      <c r="P559" t="inlineStr"/>
      <c r="Q559" t="inlineStr"/>
      <c r="R559" t="inlineStr"/>
      <c r="S559" t="inlineStr"/>
    </row>
    <row r="560">
      <c r="A560">
        <f>Skills!A16</f>
        <v/>
      </c>
      <c r="B560">
        <f>Skills!B16</f>
        <v/>
      </c>
      <c r="C560">
        <f>Inputs!$B$3&gt;=120</f>
        <v/>
      </c>
      <c r="D560">
        <f>IF(Skills!C16=1,60+Inputs!$B$25+Inputs!$B$29,IF(Skills!C16=2,90+Inputs!$B$26+Inputs!$B$29,IF(Skills!C16=3,120+Inputs!$B$27+Inputs!$B$29,MAX(0,(Inputs!$B$3-100)*3)+Inputs!$B$28+Inputs!$B$29)))</f>
        <v/>
      </c>
      <c r="E560">
        <f>INDEX(FactorTable!$B$2:$Y$301, MATCH(ROUND(MIN(300,MAX(1,D560)),0), FactorTable!$A$2:$A$301,0), Skills!M16+1)</f>
        <v/>
      </c>
      <c r="F560">
        <f>IF(Skills!N16=TRUE,(Skills!L16/10)*(E560/1000),Skills!L16/10)+Skills!O16</f>
        <v/>
      </c>
      <c r="G560" t="inlineStr"/>
      <c r="H560" t="inlineStr"/>
      <c r="I560" t="inlineStr">
        <is>
          <t>1</t>
        </is>
      </c>
      <c r="J560" t="inlineStr"/>
      <c r="K560" t="inlineStr"/>
      <c r="L560" t="inlineStr"/>
      <c r="M560" t="inlineStr"/>
      <c r="N560" t="inlineStr"/>
      <c r="O560" t="inlineStr"/>
      <c r="P560" t="inlineStr"/>
      <c r="Q560" t="inlineStr"/>
      <c r="R560" t="inlineStr"/>
      <c r="S560" t="inlineStr"/>
    </row>
    <row r="561">
      <c r="A561">
        <f>Skills!A17</f>
        <v/>
      </c>
      <c r="B561">
        <f>Skills!B17</f>
        <v/>
      </c>
      <c r="C561">
        <f>Inputs!$B$3&gt;=66</f>
        <v/>
      </c>
      <c r="D561">
        <f>IF(Skills!C17=1,60+Inputs!$B$25+Inputs!$B$29,IF(Skills!C17=2,90+Inputs!$B$26+Inputs!$B$29,IF(Skills!C17=3,120+Inputs!$B$27+Inputs!$B$29,MAX(0,(Inputs!$B$3-100)*3)+Inputs!$B$28+Inputs!$B$29)))</f>
        <v/>
      </c>
      <c r="E561">
        <f>INDEX(FactorTable!$B$2:$Y$301, MATCH(ROUND(MIN(300,MAX(1,D561)),0), FactorTable!$A$2:$A$301,0), Skills!M17+1)</f>
        <v/>
      </c>
      <c r="F561">
        <f>IF(Skills!N17=TRUE,(Skills!L17/10)*(E561/1000),Skills!L17/10)+Skills!O17</f>
        <v/>
      </c>
      <c r="G561">
        <f>Skills!G17*IF(Skills!H17&gt;0,Skills!I17/Skills!H17,1)</f>
        <v/>
      </c>
      <c r="H561">
        <f>1-(1-Skills!J17/100)^Skills!K17</f>
        <v/>
      </c>
      <c r="I561" t="inlineStr">
        <is>
          <t>1</t>
        </is>
      </c>
      <c r="J561" t="inlineStr"/>
      <c r="K561" t="inlineStr"/>
      <c r="L561" t="inlineStr"/>
      <c r="M561" t="inlineStr"/>
      <c r="N561" t="inlineStr"/>
      <c r="O561">
        <f>(1-Summary!$B$11)*T561+Summary!$B$11*V561</f>
        <v/>
      </c>
      <c r="P561">
        <f>IF(B584=0,0,O561/B584)</f>
        <v/>
      </c>
      <c r="Q561" t="n">
        <v>0</v>
      </c>
      <c r="R561" t="n">
        <v>0</v>
      </c>
      <c r="S561">
        <f>IFERROR(O561/N561,0)</f>
        <v/>
      </c>
      <c r="T561" t="n">
        <v>0</v>
      </c>
      <c r="V561" t="n">
        <v>0</v>
      </c>
    </row>
    <row r="562">
      <c r="A562">
        <f>Skills!A18</f>
        <v/>
      </c>
      <c r="B562">
        <f>Skills!B18</f>
        <v/>
      </c>
      <c r="C562">
        <f>Inputs!$B$3&gt;=115</f>
        <v/>
      </c>
      <c r="D562">
        <f>IF(Skills!C18=1,60+Inputs!$B$25+Inputs!$B$29,IF(Skills!C18=2,90+Inputs!$B$26+Inputs!$B$29,IF(Skills!C18=3,120+Inputs!$B$27+Inputs!$B$29,MAX(0,(Inputs!$B$3-100)*3)+Inputs!$B$28+Inputs!$B$29)))</f>
        <v/>
      </c>
      <c r="E562">
        <f>INDEX(FactorTable!$B$2:$Y$301, MATCH(ROUND(MIN(300,MAX(1,D562)),0), FactorTable!$A$2:$A$301,0), Skills!M18+1)</f>
        <v/>
      </c>
      <c r="F562">
        <f>IF(Skills!N18=TRUE,(Skills!L18/10)*(E562/1000),Skills!L18/10)+Skills!O18</f>
        <v/>
      </c>
      <c r="G562">
        <f>Skills!G18*IF(Skills!H18&gt;0,Skills!I18/Skills!H18,1)</f>
        <v/>
      </c>
      <c r="H562">
        <f>1-(1-Skills!J18/100)^Skills!K18</f>
        <v/>
      </c>
      <c r="I562" t="inlineStr">
        <is>
          <t>1</t>
        </is>
      </c>
      <c r="J562" t="inlineStr"/>
      <c r="K562" t="inlineStr"/>
      <c r="L562" t="inlineStr"/>
      <c r="M562" t="inlineStr"/>
      <c r="N562" t="inlineStr"/>
      <c r="O562">
        <f>(1-Summary!$B$11)*T562+Summary!$B$11*V562</f>
        <v/>
      </c>
      <c r="P562">
        <f>IF(B584=0,0,O562/B584)</f>
        <v/>
      </c>
      <c r="Q562" t="n">
        <v>0</v>
      </c>
      <c r="R562" t="n">
        <v>0</v>
      </c>
      <c r="S562">
        <f>IFERROR(O562/N562,0)</f>
        <v/>
      </c>
      <c r="T562" t="n">
        <v>0</v>
      </c>
      <c r="V562" t="n">
        <v>0</v>
      </c>
    </row>
    <row r="563">
      <c r="A563">
        <f>Skills!A19</f>
        <v/>
      </c>
      <c r="B563">
        <f>Skills!B19</f>
        <v/>
      </c>
      <c r="C563">
        <f>Inputs!$B$3&gt;=15</f>
        <v/>
      </c>
      <c r="D563">
        <f>IF(Skills!C19=1,60+Inputs!$B$25+Inputs!$B$29,IF(Skills!C19=2,90+Inputs!$B$26+Inputs!$B$29,IF(Skills!C19=3,120+Inputs!$B$27+Inputs!$B$29,MAX(0,(Inputs!$B$3-100)*3)+Inputs!$B$28+Inputs!$B$29)))</f>
        <v/>
      </c>
      <c r="E563">
        <f>INDEX(FactorTable!$B$2:$Y$301, MATCH(ROUND(MIN(300,MAX(1,D563)),0), FactorTable!$A$2:$A$301,0), Skills!M19+1)</f>
        <v/>
      </c>
      <c r="F563">
        <f>IF(Skills!N19=TRUE,(Skills!L19/10)*(E563/1000),Skills!L19/10)+Skills!O19</f>
        <v/>
      </c>
      <c r="G563">
        <f>Skills!G19*IF(Skills!H19&gt;0,Skills!I19/Skills!H19,1)</f>
        <v/>
      </c>
      <c r="H563">
        <f>1-(1-Skills!J19/100)^Skills!K19</f>
        <v/>
      </c>
      <c r="I563" t="inlineStr">
        <is>
          <t>1</t>
        </is>
      </c>
      <c r="J563" t="inlineStr"/>
      <c r="K563" t="inlineStr"/>
      <c r="L563" t="inlineStr"/>
      <c r="M563" t="inlineStr"/>
      <c r="N563" t="inlineStr"/>
      <c r="O563">
        <f>(1-Summary!$B$11)*T563+Summary!$B$11*V563</f>
        <v/>
      </c>
      <c r="P563">
        <f>IF(B584=0,0,O563/B584)</f>
        <v/>
      </c>
      <c r="Q563" t="n">
        <v>0</v>
      </c>
      <c r="R563" t="n">
        <v>0</v>
      </c>
      <c r="S563">
        <f>IFERROR(O563/N563,0)</f>
        <v/>
      </c>
      <c r="T563" t="n">
        <v>0</v>
      </c>
      <c r="V563" t="n">
        <v>0</v>
      </c>
    </row>
    <row r="564">
      <c r="A564">
        <f>Skills!A20</f>
        <v/>
      </c>
      <c r="B564">
        <f>Skills!B20</f>
        <v/>
      </c>
      <c r="C564">
        <f>Inputs!$B$3&gt;=10</f>
        <v/>
      </c>
      <c r="D564">
        <f>IF(Skills!C20=1,60+Inputs!$B$25+Inputs!$B$29,IF(Skills!C20=2,90+Inputs!$B$26+Inputs!$B$29,IF(Skills!C20=3,120+Inputs!$B$27+Inputs!$B$29,MAX(0,(Inputs!$B$3-100)*3)+Inputs!$B$28+Inputs!$B$29)))</f>
        <v/>
      </c>
      <c r="E564">
        <f>INDEX(FactorTable!$B$2:$Y$301, MATCH(ROUND(MIN(300,MAX(1,D564)),0), FactorTable!$A$2:$A$301,0), Skills!M20+1)</f>
        <v/>
      </c>
      <c r="F564">
        <f>IF(Skills!N20=TRUE,(Skills!L20/10)*(E564/1000),Skills!L20/10)+Skills!O20</f>
        <v/>
      </c>
      <c r="G564">
        <f>Skills!G20*IF(Skills!H20&gt;0,Skills!I20/Skills!H20,1)</f>
        <v/>
      </c>
      <c r="H564">
        <f>1-(1-Skills!J20/100)^Skills!K20</f>
        <v/>
      </c>
      <c r="I564" t="inlineStr">
        <is>
          <t>1</t>
        </is>
      </c>
      <c r="J564" t="inlineStr"/>
      <c r="K564" t="inlineStr"/>
      <c r="L564" t="inlineStr"/>
      <c r="M564" t="inlineStr"/>
      <c r="N564" t="inlineStr"/>
      <c r="O564">
        <f>(1-Summary!$B$11)*T564+Summary!$B$11*V564</f>
        <v/>
      </c>
      <c r="P564">
        <f>IF(B584=0,0,O564/B584)</f>
        <v/>
      </c>
      <c r="Q564" t="n">
        <v>0</v>
      </c>
      <c r="R564" t="n">
        <v>0</v>
      </c>
      <c r="S564">
        <f>IFERROR(O564/N564,0)</f>
        <v/>
      </c>
      <c r="T564" t="n">
        <v>0</v>
      </c>
      <c r="V564" t="n">
        <v>0</v>
      </c>
    </row>
    <row r="565">
      <c r="A565">
        <f>Skills!A21</f>
        <v/>
      </c>
      <c r="B565">
        <f>Skills!B21</f>
        <v/>
      </c>
      <c r="C565">
        <f>Inputs!$B$3&gt;=33</f>
        <v/>
      </c>
      <c r="D565">
        <f>IF(Skills!C21=1,60+Inputs!$B$25+Inputs!$B$29,IF(Skills!C21=2,90+Inputs!$B$26+Inputs!$B$29,IF(Skills!C21=3,120+Inputs!$B$27+Inputs!$B$29,MAX(0,(Inputs!$B$3-100)*3)+Inputs!$B$28+Inputs!$B$29)))</f>
        <v/>
      </c>
      <c r="E565">
        <f>INDEX(FactorTable!$B$2:$Y$301, MATCH(ROUND(MIN(300,MAX(1,D565)),0), FactorTable!$A$2:$A$301,0), Skills!M21+1)</f>
        <v/>
      </c>
      <c r="F565">
        <f>IF(Skills!N21=TRUE,(Skills!L21/10)*(E565/1000),Skills!L21/10)+Skills!O21</f>
        <v/>
      </c>
      <c r="G565">
        <f>Skills!G21*IF(Skills!H21&gt;0,Skills!I21/Skills!H21,1)</f>
        <v/>
      </c>
      <c r="H565">
        <f>1-(1-Skills!J21/100)^Skills!K21</f>
        <v/>
      </c>
      <c r="I565" t="inlineStr">
        <is>
          <t>1</t>
        </is>
      </c>
      <c r="J565" t="inlineStr"/>
      <c r="K565" t="inlineStr"/>
      <c r="L565" t="inlineStr"/>
      <c r="M565" t="inlineStr"/>
      <c r="N565" t="inlineStr"/>
      <c r="O565">
        <f>(1-Summary!$B$11)*T565+Summary!$B$11*V565</f>
        <v/>
      </c>
      <c r="P565">
        <f>IF(B584=0,0,O565/B584)</f>
        <v/>
      </c>
      <c r="Q565" t="n">
        <v>0</v>
      </c>
      <c r="R565" t="n">
        <v>0</v>
      </c>
      <c r="S565">
        <f>IFERROR(O565/N565,0)</f>
        <v/>
      </c>
      <c r="T565" t="n">
        <v>0</v>
      </c>
      <c r="V565" t="n">
        <v>0</v>
      </c>
    </row>
    <row r="566">
      <c r="A566">
        <f>Skills!A22</f>
        <v/>
      </c>
      <c r="B566">
        <f>Skills!B22</f>
        <v/>
      </c>
      <c r="C566">
        <f>Inputs!$B$3&gt;=43</f>
        <v/>
      </c>
      <c r="D566">
        <f>IF(Skills!C22=1,60+Inputs!$B$25+Inputs!$B$29,IF(Skills!C22=2,90+Inputs!$B$26+Inputs!$B$29,IF(Skills!C22=3,120+Inputs!$B$27+Inputs!$B$29,MAX(0,(Inputs!$B$3-100)*3)+Inputs!$B$28+Inputs!$B$29)))</f>
        <v/>
      </c>
      <c r="E566">
        <f>INDEX(FactorTable!$B$2:$Y$301, MATCH(ROUND(MIN(300,MAX(1,D566)),0), FactorTable!$A$2:$A$301,0), Skills!M22+1)</f>
        <v/>
      </c>
      <c r="F566">
        <f>IF(Skills!N22=TRUE,(Skills!L22/10)*(E566/1000),Skills!L22/10)+Skills!O22</f>
        <v/>
      </c>
      <c r="G566">
        <f>Skills!G22*IF(Skills!H22&gt;0,Skills!I22/Skills!H22,1)</f>
        <v/>
      </c>
      <c r="H566">
        <f>1-(1-Skills!J22/100)^Skills!K22</f>
        <v/>
      </c>
      <c r="I566" t="inlineStr">
        <is>
          <t>1</t>
        </is>
      </c>
      <c r="J566" t="inlineStr"/>
      <c r="K566" t="inlineStr"/>
      <c r="L566" t="inlineStr"/>
      <c r="M566" t="inlineStr"/>
      <c r="N566" t="inlineStr"/>
      <c r="O566">
        <f>(1-Summary!$B$11)*T566+Summary!$B$11*V566</f>
        <v/>
      </c>
      <c r="P566">
        <f>IF(B584=0,0,O566/B584)</f>
        <v/>
      </c>
      <c r="Q566" t="n">
        <v>0</v>
      </c>
      <c r="R566" t="n">
        <v>0</v>
      </c>
      <c r="S566">
        <f>IFERROR(O566/N566,0)</f>
        <v/>
      </c>
      <c r="T566" t="n">
        <v>0</v>
      </c>
      <c r="V566" t="n">
        <v>0</v>
      </c>
    </row>
    <row r="567">
      <c r="A567">
        <f>Skills!A23</f>
        <v/>
      </c>
      <c r="B567">
        <f>Skills!B23</f>
        <v/>
      </c>
      <c r="C567">
        <f>Inputs!$B$3&gt;=38</f>
        <v/>
      </c>
      <c r="D567">
        <f>IF(Skills!C23=1,60+Inputs!$B$25+Inputs!$B$29,IF(Skills!C23=2,90+Inputs!$B$26+Inputs!$B$29,IF(Skills!C23=3,120+Inputs!$B$27+Inputs!$B$29,MAX(0,(Inputs!$B$3-100)*3)+Inputs!$B$28+Inputs!$B$29)))</f>
        <v/>
      </c>
      <c r="E567">
        <f>INDEX(FactorTable!$B$2:$Y$301, MATCH(ROUND(MIN(300,MAX(1,D567)),0), FactorTable!$A$2:$A$301,0), Skills!M23+1)</f>
        <v/>
      </c>
      <c r="F567">
        <f>IF(Skills!N23=TRUE,(Skills!L23/10)*(E567/1000),Skills!L23/10)+Skills!O23</f>
        <v/>
      </c>
      <c r="G567">
        <f>Skills!G23*IF(Skills!H23&gt;0,Skills!I23/Skills!H23,1)</f>
        <v/>
      </c>
      <c r="H567">
        <f>1-(1-Skills!J23/100)^Skills!K23</f>
        <v/>
      </c>
      <c r="I567" t="inlineStr">
        <is>
          <t>1</t>
        </is>
      </c>
      <c r="J567" t="inlineStr"/>
      <c r="K567" t="inlineStr"/>
      <c r="L567" t="inlineStr"/>
      <c r="M567" t="inlineStr"/>
      <c r="N567" t="inlineStr"/>
      <c r="O567">
        <f>(1-Summary!$B$11)*T567+Summary!$B$11*V567</f>
        <v/>
      </c>
      <c r="P567">
        <f>IF(B584=0,0,O567/B584)</f>
        <v/>
      </c>
      <c r="Q567" t="n">
        <v>0</v>
      </c>
      <c r="R567" t="n">
        <v>0</v>
      </c>
      <c r="S567">
        <f>IFERROR(O567/N567,0)</f>
        <v/>
      </c>
      <c r="T567" t="n">
        <v>0</v>
      </c>
      <c r="V567" t="n">
        <v>0</v>
      </c>
    </row>
    <row r="568">
      <c r="A568">
        <f>Skills!A24</f>
        <v/>
      </c>
      <c r="B568">
        <f>Skills!B24</f>
        <v/>
      </c>
      <c r="C568">
        <f>Inputs!$B$3&gt;=40</f>
        <v/>
      </c>
      <c r="D568">
        <f>IF(Skills!C24=1,60+Inputs!$B$25+Inputs!$B$29,IF(Skills!C24=2,90+Inputs!$B$26+Inputs!$B$29,IF(Skills!C24=3,120+Inputs!$B$27+Inputs!$B$29,MAX(0,(Inputs!$B$3-100)*3)+Inputs!$B$28+Inputs!$B$29)))</f>
        <v/>
      </c>
      <c r="E568">
        <f>INDEX(FactorTable!$B$2:$Y$301, MATCH(ROUND(MIN(300,MAX(1,D568)),0), FactorTable!$A$2:$A$301,0), Skills!M24+1)</f>
        <v/>
      </c>
      <c r="F568">
        <f>IF(Skills!N24=TRUE,(Skills!L24/10)*(E568/1000),Skills!L24/10)+Skills!O24</f>
        <v/>
      </c>
      <c r="G568">
        <f>Skills!G24*IF(Skills!H24&gt;0,Skills!I24/Skills!H24,1)</f>
        <v/>
      </c>
      <c r="H568">
        <f>1-(1-Skills!J24/100)^Skills!K24</f>
        <v/>
      </c>
      <c r="I568" t="inlineStr">
        <is>
          <t>1</t>
        </is>
      </c>
      <c r="J568" t="inlineStr"/>
      <c r="K568" t="inlineStr"/>
      <c r="L568" t="inlineStr"/>
      <c r="M568" t="inlineStr"/>
      <c r="N568" t="inlineStr"/>
      <c r="O568">
        <f>(1-Summary!$B$11)*T568+Summary!$B$11*V568</f>
        <v/>
      </c>
      <c r="P568">
        <f>IF(B584=0,0,O568/B584)</f>
        <v/>
      </c>
      <c r="Q568" t="n">
        <v>0</v>
      </c>
      <c r="R568" t="n">
        <v>0</v>
      </c>
      <c r="S568">
        <f>IFERROR(O568/N568,0)</f>
        <v/>
      </c>
      <c r="T568" t="n">
        <v>0</v>
      </c>
      <c r="V568" t="n">
        <v>0</v>
      </c>
    </row>
    <row r="569">
      <c r="A569">
        <f>Skills!A25</f>
        <v/>
      </c>
      <c r="B569">
        <f>Skills!B25</f>
        <v/>
      </c>
      <c r="C569">
        <f>Inputs!$B$3&gt;=72</f>
        <v/>
      </c>
      <c r="D569">
        <f>IF(Skills!C25=1,60+Inputs!$B$25+Inputs!$B$29,IF(Skills!C25=2,90+Inputs!$B$26+Inputs!$B$29,IF(Skills!C25=3,120+Inputs!$B$27+Inputs!$B$29,MAX(0,(Inputs!$B$3-100)*3)+Inputs!$B$28+Inputs!$B$29)))</f>
        <v/>
      </c>
      <c r="E569">
        <f>INDEX(FactorTable!$B$2:$Y$301, MATCH(ROUND(MIN(300,MAX(1,D569)),0), FactorTable!$A$2:$A$301,0), Skills!M25+1)</f>
        <v/>
      </c>
      <c r="F569">
        <f>IF(Skills!N25=TRUE,(Skills!L25/10)*(E569/1000),Skills!L25/10)+Skills!O25</f>
        <v/>
      </c>
      <c r="G569">
        <f>Skills!G25*IF(Skills!H25&gt;0,Skills!I25/Skills!H25,1)</f>
        <v/>
      </c>
      <c r="H569">
        <f>1-(1-Skills!J25/100)^Skills!K25</f>
        <v/>
      </c>
      <c r="I569" t="inlineStr">
        <is>
          <t>1</t>
        </is>
      </c>
      <c r="J569" t="inlineStr"/>
      <c r="K569" t="inlineStr"/>
      <c r="L569" t="inlineStr"/>
      <c r="M569" t="inlineStr"/>
      <c r="N569" t="inlineStr"/>
      <c r="O569">
        <f>(1-Summary!$B$11)*T569+Summary!$B$11*V569</f>
        <v/>
      </c>
      <c r="P569">
        <f>IF(B584=0,0,O569/B584)</f>
        <v/>
      </c>
      <c r="Q569" t="n">
        <v>0</v>
      </c>
      <c r="R569" t="n">
        <v>0</v>
      </c>
      <c r="S569">
        <f>IFERROR(O569/N569,0)</f>
        <v/>
      </c>
      <c r="T569" t="n">
        <v>0</v>
      </c>
      <c r="V569" t="n">
        <v>0</v>
      </c>
    </row>
    <row r="570">
      <c r="A570">
        <f>Skills!A26</f>
        <v/>
      </c>
      <c r="B570">
        <f>Skills!B26</f>
        <v/>
      </c>
      <c r="C570">
        <f>Inputs!$B$3&gt;=75</f>
        <v/>
      </c>
      <c r="D570">
        <f>IF(Skills!C26=1,60+Inputs!$B$25+Inputs!$B$29,IF(Skills!C26=2,90+Inputs!$B$26+Inputs!$B$29,IF(Skills!C26=3,120+Inputs!$B$27+Inputs!$B$29,MAX(0,(Inputs!$B$3-100)*3)+Inputs!$B$28+Inputs!$B$29)))</f>
        <v/>
      </c>
      <c r="E570">
        <f>INDEX(FactorTable!$B$2:$Y$301, MATCH(ROUND(MIN(300,MAX(1,D570)),0), FactorTable!$A$2:$A$301,0), Skills!M26+1)</f>
        <v/>
      </c>
      <c r="F570">
        <f>IF(Skills!N26=TRUE,(Skills!L26/10)*(E570/1000),Skills!L26/10)+Skills!O26</f>
        <v/>
      </c>
      <c r="G570">
        <f>Skills!G26*IF(Skills!H26&gt;0,Skills!I26/Skills!H26,1)</f>
        <v/>
      </c>
      <c r="H570">
        <f>1-(1-Skills!J26/100)^Skills!K26</f>
        <v/>
      </c>
      <c r="I570" t="inlineStr">
        <is>
          <t>1</t>
        </is>
      </c>
      <c r="J570" t="inlineStr"/>
      <c r="K570" t="inlineStr"/>
      <c r="L570" t="inlineStr"/>
      <c r="M570" t="inlineStr"/>
      <c r="N570" t="inlineStr"/>
      <c r="O570">
        <f>(1-Summary!$B$11)*T570+Summary!$B$11*V570</f>
        <v/>
      </c>
      <c r="P570">
        <f>IF(B584=0,0,O570/B584)</f>
        <v/>
      </c>
      <c r="Q570" t="n">
        <v>0</v>
      </c>
      <c r="R570" t="n">
        <v>0</v>
      </c>
      <c r="S570">
        <f>IFERROR(O570/N570,0)</f>
        <v/>
      </c>
      <c r="T570" t="n">
        <v>0</v>
      </c>
      <c r="V570" t="n">
        <v>0</v>
      </c>
    </row>
    <row r="571">
      <c r="A571">
        <f>Skills!A27</f>
        <v/>
      </c>
      <c r="B571">
        <f>Skills!B27</f>
        <v/>
      </c>
      <c r="C571">
        <f>Inputs!$B$3&gt;=117</f>
        <v/>
      </c>
      <c r="D571">
        <f>IF(Skills!C27=1,60+Inputs!$B$25+Inputs!$B$29,IF(Skills!C27=2,90+Inputs!$B$26+Inputs!$B$29,IF(Skills!C27=3,120+Inputs!$B$27+Inputs!$B$29,MAX(0,(Inputs!$B$3-100)*3)+Inputs!$B$28+Inputs!$B$29)))</f>
        <v/>
      </c>
      <c r="E571">
        <f>INDEX(FactorTable!$B$2:$Y$301, MATCH(ROUND(MIN(300,MAX(1,D571)),0), FactorTable!$A$2:$A$301,0), Skills!M27+1)</f>
        <v/>
      </c>
      <c r="F571">
        <f>IF(Skills!N27=TRUE,(Skills!L27/10)*(E571/1000),Skills!L27/10)+Skills!O27</f>
        <v/>
      </c>
      <c r="G571">
        <f>Skills!G27*IF(Skills!H27&gt;0,Skills!I27/Skills!H27,1)</f>
        <v/>
      </c>
      <c r="H571">
        <f>1-(1-Skills!J27/100)^Skills!K27</f>
        <v/>
      </c>
      <c r="I571" t="inlineStr">
        <is>
          <t>1</t>
        </is>
      </c>
      <c r="J571" t="inlineStr"/>
      <c r="K571" t="inlineStr"/>
      <c r="L571" t="inlineStr"/>
      <c r="M571" t="inlineStr"/>
      <c r="N571" t="inlineStr"/>
      <c r="O571">
        <f>(1-Summary!$B$11)*T571+Summary!$B$11*V571</f>
        <v/>
      </c>
      <c r="P571">
        <f>IF(B584=0,0,O571/B584)</f>
        <v/>
      </c>
      <c r="Q571" t="n">
        <v>0</v>
      </c>
      <c r="R571" t="n">
        <v>0</v>
      </c>
      <c r="S571">
        <f>IFERROR(O571/N571,0)</f>
        <v/>
      </c>
      <c r="T571" t="n">
        <v>0</v>
      </c>
      <c r="V571" t="n">
        <v>0</v>
      </c>
    </row>
    <row r="573">
      <c r="A573" t="inlineStr">
        <is>
          <t>Attack% Bucket Multiplier</t>
        </is>
      </c>
      <c r="B573">
        <f>(1+(((C561=TRUE)*F561)+((C568=TRUE)*(F568-Calc!F24))+(IF(ArtifactsInput!$M$21,CHOOSE(ArtifactsInput!$N$21+1,25,30,35,40,45,50)*(IF(OR(Inputs!$B$4="Chapter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74">
      <c r="A574" t="inlineStr">
        <is>
          <t>Global Crit Rate Bonus %</t>
        </is>
      </c>
      <c r="B574" t="n">
        <v>0</v>
      </c>
    </row>
    <row r="575">
      <c r="A575" t="inlineStr">
        <is>
          <t>Attack Speed Buff Bonus % (unused)</t>
        </is>
      </c>
      <c r="B575" t="n">
        <v>0</v>
      </c>
    </row>
    <row r="576">
      <c r="A576" t="inlineStr">
        <is>
          <t>Actions Per Second</t>
        </is>
      </c>
      <c r="B576">
        <f>1+MIN(150,150*(1-(1-(Inputs!$B$11+((C564=TRUE)*(F564-Calc!F20))+((C565=TRUE)*(F565-Calc!F21)))/150)*(1-B575/150)))/100</f>
        <v/>
      </c>
    </row>
    <row r="577">
      <c r="A577" t="inlineStr">
        <is>
          <t>Skill + Buff Cast Rate</t>
        </is>
      </c>
      <c r="B577">
        <f>IF(AND(Inputs!$B$38&lt;&gt;"pvp",Inputs!$B$43&gt;0),SUMPRODUCT((Skills!E2:E27=TRUE)*(C546:C571=TRUE)*R546:R571*Skills!F2:F27)/Inputs!$B$43,SUMPRODUCT((Skills!E2:E27=TRUE)*(C546:C571=TRUE)*Q546:Q571*Skills!F2:F27))</f>
        <v/>
      </c>
    </row>
    <row r="578">
      <c r="A578" t="inlineStr">
        <is>
          <t>Eight-Legs Easton Casts Per Second</t>
        </is>
      </c>
      <c r="B578">
        <f>MAX(0,B576-B577)</f>
        <v/>
      </c>
    </row>
    <row r="579">
      <c r="A579" t="inlineStr">
        <is>
          <t>Global Critical Damage Bonus % (unused)</t>
        </is>
      </c>
      <c r="B579" t="n">
        <v>0</v>
      </c>
    </row>
    <row r="580">
      <c r="A580" t="inlineStr">
        <is>
          <t>Global Final Damage Bonus % (Jolly Roger only)</t>
        </is>
      </c>
      <c r="B580">
        <f>((C562=TRUE)*F562)</f>
        <v/>
      </c>
    </row>
    <row r="581">
      <c r="A581" t="inlineStr">
        <is>
          <t>Buff-Casting Startup Delay (s, fixed-duration only)</t>
        </is>
      </c>
      <c r="B581">
        <f>IF(AND(Inputs!$B$38&lt;&gt;"pvp",Inputs!$B$43&gt;0),SUMPRODUCT((Skills!T2:T27&gt;0)*(Skills!E2:E27=TRUE)*(C546:C571=TRUE))/B576,0)</f>
        <v/>
      </c>
    </row>
    <row r="582">
      <c r="A582" t="inlineStr">
        <is>
          <t>Boss-Only Total DPS (this block's swept value)</t>
        </is>
      </c>
      <c r="B582">
        <f>SUM(T546:T571)</f>
        <v/>
      </c>
    </row>
    <row r="583">
      <c r="A583" t="inlineStr">
        <is>
          <t>Normal-Only Total DPS (this block's swept value)</t>
        </is>
      </c>
      <c r="B583">
        <f>SUM(V546:V571)</f>
        <v/>
      </c>
    </row>
    <row r="584">
      <c r="A584" s="6" t="inlineStr">
        <is>
          <t>TOTAL DPS</t>
        </is>
      </c>
      <c r="B584" s="6">
        <f>SUM(O546:O571)</f>
        <v/>
      </c>
    </row>
    <row r="587">
      <c r="A587" s="6" t="inlineStr">
        <is>
          <t>Stat: ATTACK_SPEED % (diminishing returns, factor 150)</t>
        </is>
      </c>
    </row>
    <row r="588">
      <c r="A588" s="5" t="inlineStr">
        <is>
          <t>Key</t>
        </is>
      </c>
      <c r="B588" s="5" t="inlineStr">
        <is>
          <t>Name</t>
        </is>
      </c>
      <c r="C588" s="5" t="inlineStr">
        <is>
          <t>Unlocked</t>
        </is>
      </c>
      <c r="D588" s="5" t="inlineStr">
        <is>
          <t>InputLevel</t>
        </is>
      </c>
      <c r="E588" s="5" t="inlineStr">
        <is>
          <t>Factor</t>
        </is>
      </c>
      <c r="F588" s="5" t="inlineStr">
        <is>
          <t>CoefficientPercent</t>
        </is>
      </c>
      <c r="G588" s="5" t="inlineStr">
        <is>
          <t>EffectiveHits</t>
        </is>
      </c>
      <c r="H588" s="5" t="inlineStr">
        <is>
          <t>ProcProbability</t>
        </is>
      </c>
      <c r="I588" s="5" t="inlineStr">
        <is>
          <t>MapleHeroMultiplier</t>
        </is>
      </c>
      <c r="J588" s="5" t="inlineStr">
        <is>
          <t>BaseDamage</t>
        </is>
      </c>
      <c r="K588" s="5" t="inlineStr">
        <is>
          <t>BaseHitDamage</t>
        </is>
      </c>
      <c r="L588" s="5" t="inlineStr">
        <is>
          <t>NonCritAvg</t>
        </is>
      </c>
      <c r="M588" s="5" t="inlineStr">
        <is>
          <t>CritAvg</t>
        </is>
      </c>
      <c r="N588" s="5" t="inlineStr">
        <is>
          <t>ExpectedDamage(perHit)</t>
        </is>
      </c>
      <c r="O588" s="5" t="inlineStr">
        <is>
          <t>DPS</t>
        </is>
      </c>
      <c r="P588" s="5" t="inlineStr">
        <is>
          <t>% of Total</t>
        </is>
      </c>
      <c r="Q588" s="5" t="inlineStr">
        <is>
          <t>InvCooldown</t>
        </is>
      </c>
      <c r="R588" s="5" t="inlineStr">
        <is>
          <t>CastsInFight</t>
        </is>
      </c>
      <c r="S588" s="5" t="inlineStr">
        <is>
          <t>HitRate(perSec)</t>
        </is>
      </c>
      <c r="U588" t="inlineStr">
        <is>
          <t>helpers</t>
        </is>
      </c>
    </row>
    <row r="589">
      <c r="A589">
        <f>Skills!A2</f>
        <v/>
      </c>
      <c r="B589">
        <f>Skills!B2</f>
        <v/>
      </c>
      <c r="C589">
        <f>Inputs!$B$3&gt;=100</f>
        <v/>
      </c>
      <c r="D589" t="inlineStr"/>
      <c r="E589" t="inlineStr"/>
      <c r="F589">
        <f>U591+Skills!O2</f>
        <v/>
      </c>
      <c r="G589">
        <f>Skills!G2*IF(Skills!H2&gt;0,Skills!I2/Skills!H2,1)</f>
        <v/>
      </c>
      <c r="H589">
        <f>1-(1-Skills!J2/100)^Skills!K2</f>
        <v/>
      </c>
      <c r="I589" t="inlineStr">
        <is>
          <t>1</t>
        </is>
      </c>
      <c r="J589">
        <f>((Inputs!$B$6*(1+Inputs!$B$7/100))+(((Inputs!$B$12*(1+Inputs!$B$13/100))-(Inputs!$B$12*(1+Inputs!$B$13/100)))+0.25*(Inputs!$B$14-Inputs!$B$14))*(1+Inputs!$B$7/100))*(F589/100)</f>
        <v/>
      </c>
      <c r="K589">
        <f>J589*(1+((Inputs!$B$12*(1+Inputs!$B$13/100))*0.01+Inputs!$B$14*0.0025)/100)*(1+Inputs!$B$15/100)*(1+Inputs!$B$16/100)*(5000/(6000+Inputs!$B$42*(1-(100*(1-(1-(Inputs!$B$19+0)/100)*(1-CHOOSE(ArtifactsInput!$N$40+1,5,6,7,8,9,10)/100)^(ArtifactsInput!$M$40-ArtifactsInput!$M$40)))/100)))*(1+(Inputs!$B$24+((C613=TRUE)*(F613-Calc!F26))+B623)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EIGHT_LEGS_EASTON",Inputs!$B$17+((C610=TRUE)*(F610-Calc!F23))+((C614=TRUE)*(F614-Calc!F27))+(((IF(AND(ArtifactsInput!$M$42,((Inputs!$B$9+((C606=TRUE)*(F606-Calc!F19))+B617+(ArtifactsInput!$M$24-ArtifactsInput!$M$24)*CHOOSE(ArtifactsInput!$N$24+1,10,12,14,16,18,20)+IF(ArtifactsInput!$M$10,CHOOSE(ArtifactsInput!$N$10+1,15,18,21,24,27,30)*(IF(Inputs!$B$38="pvp",MIN(15,15)/15,IF(AND(Inputs!$B$38&lt;&gt;"pvp",Inputs!$B$43&gt;0),MIN(15,Inputs!$B$43)/(Inputs!$B$43),0))),0)))&gt;=100),MIN(100,((Inputs!$B$9+((C606=TRUE)*(F606-Calc!F19))+B617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606=TRUE)*(F606-Calc!F19))+B617+(ArtifactsInput!$M$24-ArtifactsInput!$M$24)*CHOOSE(ArtifactsInput!$N$24+1,10,12,14,16,18,20)+IF(ArtifactsInput!$M$10,CHOOSE(ArtifactsInput!$N$10+1,15,18,21,24,27,30)*(IF(Inputs!$B$38="pvp",MIN(15,15)/15,IF(AND(Inputs!$B$38&lt;&gt;"pvp",Inputs!$B$43&gt;0),MIN(15,Inputs!$B$43)/(Inputs!$B$43),0))),0)))&gt;=100),CHOOSE(ArtifactsInput!$N$42+1,40,48,56,64,72,80),0))))/100)*((1+(((C604=TRUE)*F604)+((C611=TRUE)*(F611-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589)</f>
        <v/>
      </c>
      <c r="L589">
        <f>K589*(MIN(Inputs!$B$22+((C609=TRUE)*(F609-Calc!F22)),(Inputs!$B$23+0+(IF(ArtifactsInput!$M$15,CHOOSE(ArtifactsInput!$N$15+1,25,30,35,40,45,50)/100*(((1-(1-Inputs!$B$11/150)*(1-1/150))*150)-Inputs!$B$11),0))))/100+(Inputs!$B$23+0+(IF(ArtifactsInput!$M$15,CHOOSE(ArtifactsInput!$N$15+1,25,30,35,40,45,50)/100*(((1-(1-Inputs!$B$11/150)*(1-1/150))*150)-Inputs!$B$11),0)))/100)/2</f>
        <v/>
      </c>
      <c r="M589">
        <f>L589*(1+(Inputs!$B$10+((C612=TRUE)*(F612-Calc!F25))+B622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9">
        <f>L589*(1-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589*(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9">
        <f>(1-Summary!$B$11)*T589+Summary!$B$11*V589</f>
        <v/>
      </c>
      <c r="P589">
        <f>IF(B627=0,0,O589/B627)</f>
        <v/>
      </c>
      <c r="Q589" t="n">
        <v>0</v>
      </c>
      <c r="R589" t="n">
        <v>0</v>
      </c>
      <c r="S589">
        <f>IFERROR(O589/N589,0)</f>
        <v/>
      </c>
      <c r="T589">
        <f>IF(C589,(Skills!G2*N589*B621)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589*(1-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589*(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589*(1-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589*(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89">
        <f>MAX(0,(Inputs!$B$3-100)*3)+Inputs!$B$28+Inputs!$B$29</f>
        <v/>
      </c>
      <c r="V589">
        <f>IF(C589,(Skills!G2*N589*B621)*IF(Inputs!$B$38="pvp",1,(1+(Inputs!$B$21+Skills!Q2+(IF(ArtifactsInput!$M$33,CHOOSE(ArtifactsInput!$N$33+1,30,36,42,48,54,60),0))+(IF(AND(ArtifactsInput!$M$35,Inputs!$B$4&lt;&gt;"Chapter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0">
      <c r="A590">
        <f>Skills!A3</f>
        <v/>
      </c>
      <c r="B590">
        <f>Skills!B3</f>
        <v/>
      </c>
      <c r="C590">
        <f>Inputs!$B$3&gt;=35</f>
        <v/>
      </c>
      <c r="D590">
        <f>IF(Skills!C3=1,60+Inputs!$B$25+Inputs!$B$29,IF(Skills!C3=2,90+Inputs!$B$26+Inputs!$B$29,IF(Skills!C3=3,120+Inputs!$B$27+Inputs!$B$29,MAX(0,(Inputs!$B$3-100)*3)+Inputs!$B$28+Inputs!$B$29)))</f>
        <v/>
      </c>
      <c r="E590">
        <f>INDEX(FactorTable!$B$2:$Y$301, MATCH(ROUND(MIN(300,MAX(1,D590)),0), FactorTable!$A$2:$A$301,0), Skills!M3+1)</f>
        <v/>
      </c>
      <c r="F590">
        <f>IF(Skills!N3=TRUE,(Skills!L3/10)*(E590/1000),Skills!L3/10)+Skills!O3</f>
        <v/>
      </c>
      <c r="G590">
        <f>Skills!G3*IF(Skills!H3&gt;0,Skills!I3/Skills!H3,1)</f>
        <v/>
      </c>
      <c r="H590">
        <f>1-(1-Skills!J3/100)^Skills!K3</f>
        <v/>
      </c>
      <c r="I590" t="inlineStr">
        <is>
          <t>1</t>
        </is>
      </c>
      <c r="J590">
        <f>((Inputs!$B$6*(1+Inputs!$B$7/100))+(((Inputs!$B$12*(1+Inputs!$B$13/100))-(Inputs!$B$12*(1+Inputs!$B$13/100)))+0.25*(Inputs!$B$14-Inputs!$B$14))*(1+Inputs!$B$7/100))*(F590/100)</f>
        <v/>
      </c>
      <c r="K590">
        <f>J590*(1+((Inputs!$B$12*(1+Inputs!$B$13/100))*0.01+Inputs!$B$14*0.0025)/100)*(1+Inputs!$B$15/100)*(1+Inputs!$B$16/100)*(5000/(6000+Inputs!$B$42*(1-(100*(1-(1-(Inputs!$B$19+0)/100)*(1-CHOOSE(ArtifactsInput!$N$40+1,5,6,7,8,9,10)/100)^(ArtifactsInput!$M$40-ArtifactsInput!$M$40)))/100)))*(1+(Inputs!$B$24+((C613=TRUE)*(F613-Calc!F26))+B623)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602=TRUE,F602,0)/100)*(1+(IF(Skills!A3="EIGHT_LEGS_EASTON",Inputs!$B$17+((C610=TRUE)*(F610-Calc!F23))+((C614=TRUE)*(F614-Calc!F27))+(((IF(AND(ArtifactsInput!$M$42,((Inputs!$B$9+((C606=TRUE)*(F606-Calc!F19))+B617+(ArtifactsInput!$M$24-ArtifactsInput!$M$24)*CHOOSE(ArtifactsInput!$N$24+1,10,12,14,16,18,20)+IF(ArtifactsInput!$M$10,CHOOSE(ArtifactsInput!$N$10+1,15,18,21,24,27,30)*(IF(Inputs!$B$38="pvp",MIN(15,15)/15,IF(AND(Inputs!$B$38&lt;&gt;"pvp",Inputs!$B$43&gt;0),MIN(15,Inputs!$B$43)/(Inputs!$B$43),0))),0)))&gt;=100),MIN(100,((Inputs!$B$9+((C606=TRUE)*(F606-Calc!F19))+B617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606=TRUE)*(F606-Calc!F19))+B617+(ArtifactsInput!$M$24-ArtifactsInput!$M$24)*CHOOSE(ArtifactsInput!$N$24+1,10,12,14,16,18,20)+IF(ArtifactsInput!$M$10,CHOOSE(ArtifactsInput!$N$10+1,15,18,21,24,27,30)*(IF(Inputs!$B$38="pvp",MIN(15,15)/15,IF(AND(Inputs!$B$38&lt;&gt;"pvp",Inputs!$B$43&gt;0),MIN(15,Inputs!$B$43)/(Inputs!$B$43),0))),0)))&gt;=100),CHOOSE(ArtifactsInput!$N$42+1,40,48,56,64,72,80),0))))/100)*((1+(((C604=TRUE)*F604)+((C611=TRUE)*(F611-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590)</f>
        <v/>
      </c>
      <c r="L590">
        <f>K590*(MIN(Inputs!$B$22+((C609=TRUE)*(F609-Calc!F22)),(Inputs!$B$23+0+(IF(ArtifactsInput!$M$15,CHOOSE(ArtifactsInput!$N$15+1,25,30,35,40,45,50)/100*(((1-(1-Inputs!$B$11/150)*(1-1/150))*150)-Inputs!$B$11),0))))/100+(Inputs!$B$23+0+(IF(ArtifactsInput!$M$15,CHOOSE(ArtifactsInput!$N$15+1,25,30,35,40,45,50)/100*(((1-(1-Inputs!$B$11/150)*(1-1/150))*150)-Inputs!$B$11),0)))/100)/2</f>
        <v/>
      </c>
      <c r="M590">
        <f>L590*(1+(Inputs!$B$10+((C612=TRUE)*(F612-Calc!F25))+B622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0">
        <f>L590*(1-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590*(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0">
        <f>(1-Summary!$B$11)*T590+Summary!$B$11*V590</f>
        <v/>
      </c>
      <c r="P590">
        <f>IF(B627=0,0,O590/B627)</f>
        <v/>
      </c>
      <c r="Q590">
        <f>IFERROR(1/(IF(Inputs!$B$38="pvp",15,MAX(0.1,Skills!D3-IF(Skills!E3=TRUE,Inputs!$B$32,0)))*(1-IF(AND(ArtifactsInput!$M$27,Inputs!$B$4="Chapter Hunt"),CHOOSE(ArtifactsInput!$N$27+1,20,24,28,32,36,40),0)/100)),0)</f>
        <v/>
      </c>
      <c r="R590">
        <f>IF(AND(Inputs!$B$38&lt;&gt;"pvp",Inputs!$B$43&gt;0),IF(MAX(0,Inputs!$B$43-B624)&lt;=0,0,(INT(MAX(0,Inputs!$B$43-B624)/(IF(Inputs!$B$38="pvp",15,MAX(0.1,Skills!D3-IF(Skills!E3=TRUE,Inputs!$B$32,0)))*(1-IF(AND(ArtifactsInput!$M$27,Inputs!$B$4="Chapter Hunt"),CHOOSE(ArtifactsInput!$N$27+1,20,24,28,32,36,40),0)/100)))+1)),0)</f>
        <v/>
      </c>
      <c r="S590">
        <f>IFERROR(O590/N590,0)</f>
        <v/>
      </c>
      <c r="T590">
        <f>IF(C590,(H590*N590*IF(AND(Inputs!$B$38&lt;&gt;"pvp",Inputs!$B$43&gt;0),((Skills!G3*((R590-1)*IF(Skills!H3&gt;0,Skills!I3/Skills!H3,1)+IF(Skills!H3&gt;0,MIN(Skills!I3,MAX(0,MAX(0,Inputs!$B$43-B624)-((R590-1)*(IF(Inputs!$B$38="pvp",15,MAX(0.1,Skills!D3-IF(Skills!E3=TRUE,Inputs!$B$32,0)))*(1-IF(AND(ArtifactsInput!$M$27,Inputs!$B$4="Chapter Hunt"),CHOOSE(ArtifactsInput!$N$27+1,20,24,28,32,36,40),0)/100)))))/Skills!H3,1)))/Inputs!$B$43),G590*Q590)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590*(1-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590*(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590*(1-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590*(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0">
        <f>INDEX(FactorTable!$B$2:$Y$301, MATCH(ROUND(MIN(300,MAX(1,U589)),0), FactorTable!$A$2:$A$301,0), 22)</f>
        <v/>
      </c>
      <c r="V590">
        <f>IF(C590,(H590*N590*IF(AND(Inputs!$B$38&lt;&gt;"pvp",Inputs!$B$43&gt;0),((Skills!G3*((R590-1)*IF(Skills!H3&gt;0,Skills!I3/Skills!H3,1)+IF(Skills!H3&gt;0,MIN(Skills!I3,MAX(0,MAX(0,Inputs!$B$43-B624)-((R590-1)*(IF(Inputs!$B$38="pvp",15,MAX(0.1,Skills!D3-IF(Skills!E3=TRUE,Inputs!$B$32,0)))*(1-IF(AND(ArtifactsInput!$M$27,Inputs!$B$4="Chapter Hunt"),CHOOSE(ArtifactsInput!$N$27+1,20,24,28,32,36,40),0)/100)))))/Skills!H3,1)))/Inputs!$B$43),G590*Q590))*IF(Inputs!$B$38="pvp",1,(1+(Inputs!$B$21+Skills!Q3+(IF(ArtifactsInput!$M$33,CHOOSE(ArtifactsInput!$N$33+1,30,36,42,48,54,60)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1">
      <c r="A591">
        <f>Skills!A4</f>
        <v/>
      </c>
      <c r="B591">
        <f>Skills!B4</f>
        <v/>
      </c>
      <c r="C591">
        <f>Inputs!$B$3&gt;=40</f>
        <v/>
      </c>
      <c r="D591">
        <f>IF(Skills!C4=1,60+Inputs!$B$25+Inputs!$B$29,IF(Skills!C4=2,90+Inputs!$B$26+Inputs!$B$29,IF(Skills!C4=3,120+Inputs!$B$27+Inputs!$B$29,MAX(0,(Inputs!$B$3-100)*3)+Inputs!$B$28+Inputs!$B$29)))</f>
        <v/>
      </c>
      <c r="E591">
        <f>INDEX(FactorTable!$B$2:$Y$301, MATCH(ROUND(MIN(300,MAX(1,D591)),0), FactorTable!$A$2:$A$301,0), Skills!M4+1)</f>
        <v/>
      </c>
      <c r="F591">
        <f>IF(Skills!N4=TRUE,(Skills!L4/10)*(E591/1000),Skills!L4/10)+Skills!O4</f>
        <v/>
      </c>
      <c r="G591">
        <f>Skills!G4*IF(Skills!H4&gt;0,Skills!I4/Skills!H4,1)</f>
        <v/>
      </c>
      <c r="H591">
        <f>1-(1-Skills!J4/100)^Skills!K4</f>
        <v/>
      </c>
      <c r="I591" t="inlineStr">
        <is>
          <t>1</t>
        </is>
      </c>
      <c r="J591">
        <f>((Inputs!$B$6*(1+Inputs!$B$7/100))+(((Inputs!$B$12*(1+Inputs!$B$13/100))-(Inputs!$B$12*(1+Inputs!$B$13/100)))+0.25*(Inputs!$B$14-Inputs!$B$14))*(1+Inputs!$B$7/100))*(F591/100)</f>
        <v/>
      </c>
      <c r="K591">
        <f>J591*(1+((Inputs!$B$12*(1+Inputs!$B$13/100))*0.01+Inputs!$B$14*0.0025)/100)*(1+Inputs!$B$15/100)*(1+Inputs!$B$16/100)*(5000/(6000+Inputs!$B$42*(1-(100*(1-(1-(Inputs!$B$19+0)/100)*(1-CHOOSE(ArtifactsInput!$N$40+1,5,6,7,8,9,10)/100)^(ArtifactsInput!$M$40-ArtifactsInput!$M$40)))/100)))*(1+(Inputs!$B$24+((C613=TRUE)*(F613-Calc!F26))+B623)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603=TRUE,F603,0)/100)*(1+(IF(Skills!A4="EIGHT_LEGS_EASTON",Inputs!$B$17+((C610=TRUE)*(F610-Calc!F23))+((C614=TRUE)*(F614-Calc!F27))+(((IF(AND(ArtifactsInput!$M$42,((Inputs!$B$9+((C606=TRUE)*(F606-Calc!F19))+B617+(ArtifactsInput!$M$24-ArtifactsInput!$M$24)*CHOOSE(ArtifactsInput!$N$24+1,10,12,14,16,18,20)+IF(ArtifactsInput!$M$10,CHOOSE(ArtifactsInput!$N$10+1,15,18,21,24,27,30)*(IF(Inputs!$B$38="pvp",MIN(15,15)/15,IF(AND(Inputs!$B$38&lt;&gt;"pvp",Inputs!$B$43&gt;0),MIN(15,Inputs!$B$43)/(Inputs!$B$43),0))),0)))&gt;=100),MIN(100,((Inputs!$B$9+((C606=TRUE)*(F606-Calc!F19))+B617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606=TRUE)*(F606-Calc!F19))+B617+(ArtifactsInput!$M$24-ArtifactsInput!$M$24)*CHOOSE(ArtifactsInput!$N$24+1,10,12,14,16,18,20)+IF(ArtifactsInput!$M$10,CHOOSE(ArtifactsInput!$N$10+1,15,18,21,24,27,30)*(IF(Inputs!$B$38="pvp",MIN(15,15)/15,IF(AND(Inputs!$B$38&lt;&gt;"pvp",Inputs!$B$43&gt;0),MIN(15,Inputs!$B$43)/(Inputs!$B$43),0))),0)))&gt;=100),CHOOSE(ArtifactsInput!$N$42+1,40,48,56,64,72,80),0))))/100)*((1+(((C604=TRUE)*F604)+((C611=TRUE)*(F611-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591)</f>
        <v/>
      </c>
      <c r="L591">
        <f>K591*(MIN(Inputs!$B$22+((C609=TRUE)*(F609-Calc!F22)),(Inputs!$B$23+0+(IF(ArtifactsInput!$M$15,CHOOSE(ArtifactsInput!$N$15+1,25,30,35,40,45,50)/100*(((1-(1-Inputs!$B$11/150)*(1-1/150))*150)-Inputs!$B$11),0))))/100+(Inputs!$B$23+0+(IF(ArtifactsInput!$M$15,CHOOSE(ArtifactsInput!$N$15+1,25,30,35,40,45,50)/100*(((1-(1-Inputs!$B$11/150)*(1-1/150))*150)-Inputs!$B$11),0)))/100)/2</f>
        <v/>
      </c>
      <c r="M591">
        <f>L591*(1+(Inputs!$B$10+((C612=TRUE)*(F612-Calc!F25))+B622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1">
        <f>L591*(1-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1">
        <f>(1-Summary!$B$11)*T591+Summary!$B$11*V591</f>
        <v/>
      </c>
      <c r="P591">
        <f>IF(B627=0,0,O591/B627)</f>
        <v/>
      </c>
      <c r="Q591">
        <f>IFERROR(1/(IF(Inputs!$B$38="pvp",15,MAX(0.1,Skills!D4-IF(Skills!E4=TRUE,Inputs!$B$32,0)))*(1-IF(AND(ArtifactsInput!$M$27,Inputs!$B$4="Chapter Hunt"),CHOOSE(ArtifactsInput!$N$27+1,20,24,28,32,36,40),0)/100)),0)</f>
        <v/>
      </c>
      <c r="R591">
        <f>IF(AND(Inputs!$B$38&lt;&gt;"pvp",Inputs!$B$43&gt;0),IF(MAX(0,Inputs!$B$43-B624)&lt;=0,0,(INT(MAX(0,Inputs!$B$43-B624)/(IF(Inputs!$B$38="pvp",15,MAX(0.1,Skills!D4-IF(Skills!E4=TRUE,Inputs!$B$32,0)))*(1-IF(AND(ArtifactsInput!$M$27,Inputs!$B$4="Chapter Hunt"),CHOOSE(ArtifactsInput!$N$27+1,20,24,28,32,36,40),0)/100)))+1)),0)</f>
        <v/>
      </c>
      <c r="S591">
        <f>IFERROR(O591/N591,0)</f>
        <v/>
      </c>
      <c r="T591">
        <f>IF(C591,(H591*N591*IF(AND(Inputs!$B$38&lt;&gt;"pvp",Inputs!$B$43&gt;0),((Skills!G4*((R591-1)*IF(Skills!H4&gt;0,Skills!I4/Skills!H4,1)+IF(Skills!H4&gt;0,MIN(Skills!I4,MAX(0,MAX(0,Inputs!$B$43-B624)-((R591-1)*(IF(Inputs!$B$38="pvp",15,MAX(0.1,Skills!D4-IF(Skills!E4=TRUE,Inputs!$B$32,0)))*(1-IF(AND(ArtifactsInput!$M$27,Inputs!$B$4="Chapter Hunt"),CHOOSE(ArtifactsInput!$N$27+1,20,24,28,32,36,40),0)/100)))))/Skills!H4,1)))/Inputs!$B$43),G591*Q591)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591*(1-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591*(1-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1">
        <f>290*U590/1000</f>
        <v/>
      </c>
      <c r="V591">
        <f>IF(C591,(H591*N591*IF(AND(Inputs!$B$38&lt;&gt;"pvp",Inputs!$B$43&gt;0),((Skills!G4*((R591-1)*IF(Skills!H4&gt;0,Skills!I4/Skills!H4,1)+IF(Skills!H4&gt;0,MIN(Skills!I4,MAX(0,MAX(0,Inputs!$B$43-B624)-((R591-1)*(IF(Inputs!$B$38="pvp",15,MAX(0.1,Skills!D4-IF(Skills!E4=TRUE,Inputs!$B$32,0)))*(1-IF(AND(ArtifactsInput!$M$27,Inputs!$B$4="Chapter Hunt"),CHOOSE(ArtifactsInput!$N$27+1,20,24,28,32,36,40),0)/100)))))/Skills!H4,1)))/Inputs!$B$43),G591*Q591))*IF(Inputs!$B$38="pvp",1,(1+(Inputs!$B$21+Skills!Q4+(IF(ArtifactsInput!$M$33,CHOOSE(ArtifactsInput!$N$33+1,30,36,42,48,54,60)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2">
      <c r="A592">
        <f>Skills!A5</f>
        <v/>
      </c>
      <c r="B592">
        <f>Skills!B5</f>
        <v/>
      </c>
      <c r="C592">
        <f>Inputs!$B$3&gt;=45</f>
        <v/>
      </c>
      <c r="D592">
        <f>IF(Skills!C5=1,60+Inputs!$B$25+Inputs!$B$29,IF(Skills!C5=2,90+Inputs!$B$26+Inputs!$B$29,IF(Skills!C5=3,120+Inputs!$B$27+Inputs!$B$29,MAX(0,(Inputs!$B$3-100)*3)+Inputs!$B$28+Inputs!$B$29)))</f>
        <v/>
      </c>
      <c r="E592">
        <f>INDEX(FactorTable!$B$2:$Y$301, MATCH(ROUND(MIN(300,MAX(1,D592)),0), FactorTable!$A$2:$A$301,0), Skills!M5+1)</f>
        <v/>
      </c>
      <c r="F592">
        <f>IF(Skills!N5=TRUE,(Skills!L5/10)*(E592/1000),Skills!L5/10)+Skills!O5</f>
        <v/>
      </c>
      <c r="G592">
        <f>Skills!G5*IF(Skills!H5&gt;0,Skills!I5/Skills!H5,1)</f>
        <v/>
      </c>
      <c r="H592">
        <f>1-(1-Skills!J5/100)^Skills!K5</f>
        <v/>
      </c>
      <c r="I592" t="inlineStr">
        <is>
          <t>1</t>
        </is>
      </c>
      <c r="J592">
        <f>((Inputs!$B$6*(1+Inputs!$B$7/100))+(((Inputs!$B$12*(1+Inputs!$B$13/100))-(Inputs!$B$12*(1+Inputs!$B$13/100)))+0.25*(Inputs!$B$14-Inputs!$B$14))*(1+Inputs!$B$7/100))*(F592/100)</f>
        <v/>
      </c>
      <c r="K592">
        <f>J592*(1+((Inputs!$B$12*(1+Inputs!$B$13/100))*0.01+Inputs!$B$14*0.0025)/100)*(1+Inputs!$B$15/100)*(1+Inputs!$B$16/100)*(5000/(6000+Inputs!$B$42*(1-(100*(1-(1-(Inputs!$B$19+0)/100)*(1-CHOOSE(ArtifactsInput!$N$40+1,5,6,7,8,9,10)/100)^(ArtifactsInput!$M$40-ArtifactsInput!$M$40)))/100)))*(1+(Inputs!$B$24+((C613=TRUE)*(F613-Calc!F26))+B623)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+0.4*IF(C603=TRUE,F603,0)/100)*(1+(IF(Skills!A5="EIGHT_LEGS_EASTON",Inputs!$B$17+((C610=TRUE)*(F610-Calc!F23))+((C614=TRUE)*(F614-Calc!F27))+(((IF(AND(ArtifactsInput!$M$42,((Inputs!$B$9+((C606=TRUE)*(F606-Calc!F19))+B617+(ArtifactsInput!$M$24-ArtifactsInput!$M$24)*CHOOSE(ArtifactsInput!$N$24+1,10,12,14,16,18,20)+IF(ArtifactsInput!$M$10,CHOOSE(ArtifactsInput!$N$10+1,15,18,21,24,27,30)*(IF(Inputs!$B$38="pvp",MIN(15,15)/15,IF(AND(Inputs!$B$38&lt;&gt;"pvp",Inputs!$B$43&gt;0),MIN(15,Inputs!$B$43)/(Inputs!$B$43),0))),0)))&gt;=100),MIN(100,((Inputs!$B$9+((C606=TRUE)*(F606-Calc!F19))+B617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606=TRUE)*(F606-Calc!F19))+B617+(ArtifactsInput!$M$24-ArtifactsInput!$M$24)*CHOOSE(ArtifactsInput!$N$24+1,10,12,14,16,18,20)+IF(ArtifactsInput!$M$10,CHOOSE(ArtifactsInput!$N$10+1,15,18,21,24,27,30)*(IF(Inputs!$B$38="pvp",MIN(15,15)/15,IF(AND(Inputs!$B$38&lt;&gt;"pvp",Inputs!$B$43&gt;0),MIN(15,Inputs!$B$43)/(Inputs!$B$43),0))),0)))&gt;=100),CHOOSE(ArtifactsInput!$N$42+1,40,48,56,64,72,80),0))))/100)*((1+(((C604=TRUE)*F604)+((C611=TRUE)*(F611-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592)</f>
        <v/>
      </c>
      <c r="L592">
        <f>K592*(MIN(Inputs!$B$22+((C609=TRUE)*(F609-Calc!F22)),(Inputs!$B$23+0+(IF(ArtifactsInput!$M$15,CHOOSE(ArtifactsInput!$N$15+1,25,30,35,40,45,50)/100*(((1-(1-Inputs!$B$11/150)*(1-1/150))*150)-Inputs!$B$11),0))))/100+(Inputs!$B$23+0+(IF(ArtifactsInput!$M$15,CHOOSE(ArtifactsInput!$N$15+1,25,30,35,40,45,50)/100*(((1-(1-Inputs!$B$11/150)*(1-1/150))*150)-Inputs!$B$11),0)))/100)/2</f>
        <v/>
      </c>
      <c r="M592">
        <f>L592*(1+(Inputs!$B$10+((C612=TRUE)*(F612-Calc!F25))+B622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2">
        <f>L592*(1-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592*(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2">
        <f>(1-Summary!$B$11)*T592+Summary!$B$11*V592</f>
        <v/>
      </c>
      <c r="P592">
        <f>IF(B627=0,0,O592/B627)</f>
        <v/>
      </c>
      <c r="Q592">
        <f>IFERROR(1/(IF(Inputs!$B$38="pvp",15,MAX(0.1,Skills!D5-IF(Skills!E5=TRUE,Inputs!$B$32,0)))*(1-IF(AND(ArtifactsInput!$M$27,Inputs!$B$4="Chapter Hunt"),CHOOSE(ArtifactsInput!$N$27+1,20,24,28,32,36,40),0)/100)),0)</f>
        <v/>
      </c>
      <c r="R592">
        <f>IF(AND(Inputs!$B$38&lt;&gt;"pvp",Inputs!$B$43&gt;0),IF(MAX(0,Inputs!$B$43-B624)&lt;=0,0,(INT(MAX(0,Inputs!$B$43-B624)/(IF(Inputs!$B$38="pvp",15,MAX(0.1,Skills!D5-IF(Skills!E5=TRUE,Inputs!$B$32,0)))*(1-IF(AND(ArtifactsInput!$M$27,Inputs!$B$4="Chapter Hunt"),CHOOSE(ArtifactsInput!$N$27+1,20,24,28,32,36,40),0)/100)))+1)),0)</f>
        <v/>
      </c>
      <c r="S592">
        <f>IFERROR(O592/N592,0)</f>
        <v/>
      </c>
      <c r="T592">
        <f>IF(C592,(H592*N592*IF(AND(Inputs!$B$38&lt;&gt;"pvp",Inputs!$B$43&gt;0),((Skills!G5*((R592-1)*IF(Skills!H5&gt;0,Skills!I5/Skills!H5,1)+IF(Skills!H5&gt;0,MIN(Skills!I5,MAX(0,MAX(0,Inputs!$B$43-B624)-((R592-1)*(IF(Inputs!$B$38="pvp",15,MAX(0.1,Skills!D5-IF(Skills!E5=TRUE,Inputs!$B$32,0)))*(1-IF(AND(ArtifactsInput!$M$27,Inputs!$B$4="Chapter Hunt"),CHOOSE(ArtifactsInput!$N$27+1,20,24,28,32,36,40),0)/100)))))/Skills!H5,1)))/Inputs!$B$43),G592*Q592)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592*(1-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592*(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592*(1-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592*(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2">
        <f>IF(C592,(H592*N592*IF(AND(Inputs!$B$38&lt;&gt;"pvp",Inputs!$B$43&gt;0),((Skills!G5*((R592-1)*IF(Skills!H5&gt;0,Skills!I5/Skills!H5,1)+IF(Skills!H5&gt;0,MIN(Skills!I5,MAX(0,MAX(0,Inputs!$B$43-B624)-((R592-1)*(IF(Inputs!$B$38="pvp",15,MAX(0.1,Skills!D5-IF(Skills!E5=TRUE,Inputs!$B$32,0)))*(1-IF(AND(ArtifactsInput!$M$27,Inputs!$B$4="Chapter Hunt"),CHOOSE(ArtifactsInput!$N$27+1,20,24,28,32,36,40),0)/100)))))/Skills!H5,1)))/Inputs!$B$43),G592*Q592))*IF(Inputs!$B$38="pvp",1,(1+(Inputs!$B$21+Skills!Q5+(IF(ArtifactsInput!$M$33,CHOOSE(ArtifactsInput!$N$33+1,30,36,42,48,54,60)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3">
      <c r="A593">
        <f>Skills!A6</f>
        <v/>
      </c>
      <c r="B593">
        <f>Skills!B6</f>
        <v/>
      </c>
      <c r="C593">
        <f>Inputs!$B$3&gt;=63</f>
        <v/>
      </c>
      <c r="D593">
        <f>IF(Skills!C6=1,60+Inputs!$B$25+Inputs!$B$29,IF(Skills!C6=2,90+Inputs!$B$26+Inputs!$B$29,IF(Skills!C6=3,120+Inputs!$B$27+Inputs!$B$29,MAX(0,(Inputs!$B$3-100)*3)+Inputs!$B$28+Inputs!$B$29)))</f>
        <v/>
      </c>
      <c r="E593">
        <f>INDEX(FactorTable!$B$2:$Y$301, MATCH(ROUND(MIN(300,MAX(1,D593)),0), FactorTable!$A$2:$A$301,0), Skills!M6+1)</f>
        <v/>
      </c>
      <c r="F593">
        <f>IF(Skills!N6=TRUE,(Skills!L6/10)*(E593/1000),Skills!L6/10)+Skills!O6</f>
        <v/>
      </c>
      <c r="G593">
        <f>Skills!G6*IF(Skills!H6&gt;0,Skills!I6/Skills!H6,1)</f>
        <v/>
      </c>
      <c r="H593">
        <f>1-(1-Skills!J6/100)^Skills!K6</f>
        <v/>
      </c>
      <c r="I593" t="inlineStr">
        <is>
          <t>1</t>
        </is>
      </c>
      <c r="J593">
        <f>((Inputs!$B$6*(1+Inputs!$B$7/100))+(((Inputs!$B$12*(1+Inputs!$B$13/100))-(Inputs!$B$12*(1+Inputs!$B$13/100)))+0.25*(Inputs!$B$14-Inputs!$B$14))*(1+Inputs!$B$7/100))*(F593/100)</f>
        <v/>
      </c>
      <c r="K593">
        <f>J593*(1+((Inputs!$B$12*(1+Inputs!$B$13/100))*0.01+Inputs!$B$14*0.0025)/100)*(1+Inputs!$B$15/100)*(1+Inputs!$B$16/100)*(5000/(6000+Inputs!$B$42*(1-(100*(1-(1-(Inputs!$B$19+0)/100)*(1-CHOOSE(ArtifactsInput!$N$40+1,5,6,7,8,9,10)/100)^(ArtifactsInput!$M$40-ArtifactsInput!$M$40)))/100)))*(1+(Inputs!$B$24+((C613=TRUE)*(F613-Calc!F26))+B623)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+2.0*IF(C602=TRUE,F602,0)/100)*(1+(IF(Skills!A6="EIGHT_LEGS_EASTON",Inputs!$B$17+((C610=TRUE)*(F610-Calc!F23))+((C614=TRUE)*(F614-Calc!F27))+(((IF(AND(ArtifactsInput!$M$42,((Inputs!$B$9+((C606=TRUE)*(F606-Calc!F19))+B617+(ArtifactsInput!$M$24-ArtifactsInput!$M$24)*CHOOSE(ArtifactsInput!$N$24+1,10,12,14,16,18,20)+IF(ArtifactsInput!$M$10,CHOOSE(ArtifactsInput!$N$10+1,15,18,21,24,27,30)*(IF(Inputs!$B$38="pvp",MIN(15,15)/15,IF(AND(Inputs!$B$38&lt;&gt;"pvp",Inputs!$B$43&gt;0),MIN(15,Inputs!$B$43)/(Inputs!$B$43),0))),0)))&gt;=100),MIN(100,((Inputs!$B$9+((C606=TRUE)*(F606-Calc!F19))+B617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606=TRUE)*(F606-Calc!F19))+B617+(ArtifactsInput!$M$24-ArtifactsInput!$M$24)*CHOOSE(ArtifactsInput!$N$24+1,10,12,14,16,18,20)+IF(ArtifactsInput!$M$10,CHOOSE(ArtifactsInput!$N$10+1,15,18,21,24,27,30)*(IF(Inputs!$B$38="pvp",MIN(15,15)/15,IF(AND(Inputs!$B$38&lt;&gt;"pvp",Inputs!$B$43&gt;0),MIN(15,Inputs!$B$43)/(Inputs!$B$43),0))),0)))&gt;=100),CHOOSE(ArtifactsInput!$N$42+1,40,48,56,64,72,80),0))))/100)*((1+(((C604=TRUE)*F604)+((C611=TRUE)*(F611-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593)</f>
        <v/>
      </c>
      <c r="L593">
        <f>K593*(MIN(Inputs!$B$22+((C609=TRUE)*(F609-Calc!F22)),(Inputs!$B$23+0+(IF(ArtifactsInput!$M$15,CHOOSE(ArtifactsInput!$N$15+1,25,30,35,40,45,50)/100*(((1-(1-Inputs!$B$11/150)*(1-1/150))*150)-Inputs!$B$11),0))))/100+(Inputs!$B$23+0+(IF(ArtifactsInput!$M$15,CHOOSE(ArtifactsInput!$N$15+1,25,30,35,40,45,50)/100*(((1-(1-Inputs!$B$11/150)*(1-1/150))*150)-Inputs!$B$11),0)))/100)/2</f>
        <v/>
      </c>
      <c r="M593">
        <f>L593*(1+(Inputs!$B$10+((C612=TRUE)*(F612-Calc!F25))+B622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3">
        <f>L593*(1-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593*(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3">
        <f>(1-Summary!$B$11)*T593+Summary!$B$11*V593</f>
        <v/>
      </c>
      <c r="P593">
        <f>IF(B627=0,0,O593/B627)</f>
        <v/>
      </c>
      <c r="Q593">
        <f>IFERROR(1/(IF(Inputs!$B$38="pvp",15,MAX(0.1,Skills!D6-IF(Skills!E6=TRUE,Inputs!$B$32,0)))*(1-IF(AND(ArtifactsInput!$M$27,Inputs!$B$4="Chapter Hunt"),CHOOSE(ArtifactsInput!$N$27+1,20,24,28,32,36,40),0)/100)),0)</f>
        <v/>
      </c>
      <c r="R593">
        <f>IF(AND(Inputs!$B$38&lt;&gt;"pvp",Inputs!$B$43&gt;0),IF(MAX(0,Inputs!$B$43-B624)&lt;=0,0,(INT(MAX(0,Inputs!$B$43-B624)/(IF(Inputs!$B$38="pvp",15,MAX(0.1,Skills!D6-IF(Skills!E6=TRUE,Inputs!$B$32,0)))*(1-IF(AND(ArtifactsInput!$M$27,Inputs!$B$4="Chapter Hunt"),CHOOSE(ArtifactsInput!$N$27+1,20,24,28,32,36,40),0)/100)))+1)),0)</f>
        <v/>
      </c>
      <c r="S593">
        <f>IFERROR(O593/N593,0)</f>
        <v/>
      </c>
      <c r="T593">
        <f>IF(C593,(H593*N593*IF(AND(Inputs!$B$38&lt;&gt;"pvp",Inputs!$B$43&gt;0),((Skills!G6*((R593-1)*IF(Skills!H6&gt;0,Skills!I6/Skills!H6,1)+IF(Skills!H6&gt;0,MIN(Skills!I6,MAX(0,MAX(0,Inputs!$B$43-B624)-((R593-1)*(IF(Inputs!$B$38="pvp",15,MAX(0.1,Skills!D6-IF(Skills!E6=TRUE,Inputs!$B$32,0)))*(1-IF(AND(ArtifactsInput!$M$27,Inputs!$B$4="Chapter Hunt"),CHOOSE(ArtifactsInput!$N$27+1,20,24,28,32,36,40),0)/100)))))/Skills!H6,1)))/Inputs!$B$43),G593*Q593)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593*(1-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593*(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593*(1-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593*(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3">
        <f>IF(C593,(H593*N593*IF(AND(Inputs!$B$38&lt;&gt;"pvp",Inputs!$B$43&gt;0),((Skills!G6*((R593-1)*IF(Skills!H6&gt;0,Skills!I6/Skills!H6,1)+IF(Skills!H6&gt;0,MIN(Skills!I6,MAX(0,MAX(0,Inputs!$B$43-B624)-((R593-1)*(IF(Inputs!$B$38="pvp",15,MAX(0.1,Skills!D6-IF(Skills!E6=TRUE,Inputs!$B$32,0)))*(1-IF(AND(ArtifactsInput!$M$27,Inputs!$B$4="Chapter Hunt"),CHOOSE(ArtifactsInput!$N$27+1,20,24,28,32,36,40),0)/100)))))/Skills!H6,1)))/Inputs!$B$43),G593*Q593))*IF(Inputs!$B$38="pvp",1,(1+(Inputs!$B$21+Skills!Q6+(IF(ArtifactsInput!$M$33,CHOOSE(ArtifactsInput!$N$33+1,30,36,42,48,54,60)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4">
      <c r="A594">
        <f>Skills!A7</f>
        <v/>
      </c>
      <c r="B594">
        <f>Skills!B7</f>
        <v/>
      </c>
      <c r="C594">
        <f>Inputs!$B$3&gt;=66</f>
        <v/>
      </c>
      <c r="D594">
        <f>IF(Skills!C7=1,60+Inputs!$B$25+Inputs!$B$29,IF(Skills!C7=2,90+Inputs!$B$26+Inputs!$B$29,IF(Skills!C7=3,120+Inputs!$B$27+Inputs!$B$29,MAX(0,(Inputs!$B$3-100)*3)+Inputs!$B$28+Inputs!$B$29)))</f>
        <v/>
      </c>
      <c r="E594">
        <f>INDEX(FactorTable!$B$2:$Y$301, MATCH(ROUND(MIN(300,MAX(1,D594)),0), FactorTable!$A$2:$A$301,0), Skills!M7+1)</f>
        <v/>
      </c>
      <c r="F594">
        <f>IF(Skills!N7=TRUE,(Skills!L7/10)*(E594/1000),Skills!L7/10)+Skills!O7</f>
        <v/>
      </c>
      <c r="G594">
        <f>Skills!G7*IF(Skills!H7&gt;0,Skills!I7/Skills!H7,1)</f>
        <v/>
      </c>
      <c r="H594">
        <f>1-(1-Skills!J7/100)^Skills!K7</f>
        <v/>
      </c>
      <c r="I594" t="inlineStr">
        <is>
          <t>1</t>
        </is>
      </c>
      <c r="J594">
        <f>((Inputs!$B$6*(1+Inputs!$B$7/100))+(((Inputs!$B$12*(1+Inputs!$B$13/100))-(Inputs!$B$12*(1+Inputs!$B$13/100)))+0.25*(Inputs!$B$14-Inputs!$B$14))*(1+Inputs!$B$7/100))*(F594/100)</f>
        <v/>
      </c>
      <c r="K594">
        <f>J594*(1+((Inputs!$B$12*(1+Inputs!$B$13/100))*0.01+Inputs!$B$14*0.0025)/100)*(1+Inputs!$B$15/100)*(1+Inputs!$B$16/100)*(5000/(6000+Inputs!$B$42*(1-(100*(1-(1-(Inputs!$B$19+0)/100)*(1-CHOOSE(ArtifactsInput!$N$40+1,5,6,7,8,9,10)/100)^(ArtifactsInput!$M$40-ArtifactsInput!$M$40)))/100)))*(1+(Inputs!$B$24+((C613=TRUE)*(F613-Calc!F26))+B623)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602=TRUE,F602,0)/100)*(1+(IF(Skills!A7="EIGHT_LEGS_EASTON",Inputs!$B$17+((C610=TRUE)*(F610-Calc!F23))+((C614=TRUE)*(F614-Calc!F27))+(((IF(AND(ArtifactsInput!$M$42,((Inputs!$B$9+((C606=TRUE)*(F606-Calc!F19))+B617+(ArtifactsInput!$M$24-ArtifactsInput!$M$24)*CHOOSE(ArtifactsInput!$N$24+1,10,12,14,16,18,20)+IF(ArtifactsInput!$M$10,CHOOSE(ArtifactsInput!$N$10+1,15,18,21,24,27,30)*(IF(Inputs!$B$38="pvp",MIN(15,15)/15,IF(AND(Inputs!$B$38&lt;&gt;"pvp",Inputs!$B$43&gt;0),MIN(15,Inputs!$B$43)/(Inputs!$B$43),0))),0)))&gt;=100),MIN(100,((Inputs!$B$9+((C606=TRUE)*(F606-Calc!F19))+B617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606=TRUE)*(F606-Calc!F19))+B617+(ArtifactsInput!$M$24-ArtifactsInput!$M$24)*CHOOSE(ArtifactsInput!$N$24+1,10,12,14,16,18,20)+IF(ArtifactsInput!$M$10,CHOOSE(ArtifactsInput!$N$10+1,15,18,21,24,27,30)*(IF(Inputs!$B$38="pvp",MIN(15,15)/15,IF(AND(Inputs!$B$38&lt;&gt;"pvp",Inputs!$B$43&gt;0),MIN(15,Inputs!$B$43)/(Inputs!$B$43),0))),0)))&gt;=100),CHOOSE(ArtifactsInput!$N$42+1,40,48,56,64,72,80),0))))/100)*((1+(((C604=TRUE)*F604)+((C611=TRUE)*(F611-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594)</f>
        <v/>
      </c>
      <c r="L594">
        <f>K594*(MIN(Inputs!$B$22+((C609=TRUE)*(F609-Calc!F22)),(Inputs!$B$23+0+(IF(ArtifactsInput!$M$15,CHOOSE(ArtifactsInput!$N$15+1,25,30,35,40,45,50)/100*(((1-(1-Inputs!$B$11/150)*(1-1/150))*150)-Inputs!$B$11),0))))/100+(Inputs!$B$23+0+(IF(ArtifactsInput!$M$15,CHOOSE(ArtifactsInput!$N$15+1,25,30,35,40,45,50)/100*(((1-(1-Inputs!$B$11/150)*(1-1/150))*150)-Inputs!$B$11),0)))/100)/2</f>
        <v/>
      </c>
      <c r="M594">
        <f>L594*(1+(Inputs!$B$10+((C612=TRUE)*(F612-Calc!F25))+B622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4">
        <f>L594*(1-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594*(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4">
        <f>(1-Summary!$B$11)*T594+Summary!$B$11*V594</f>
        <v/>
      </c>
      <c r="P594">
        <f>IF(B627=0,0,O594/B627)</f>
        <v/>
      </c>
      <c r="Q594">
        <f>IFERROR(1/(IF(Inputs!$B$38="pvp",15,MAX(0.1,Skills!D7-IF(Skills!E7=TRUE,Inputs!$B$32,0)))*(1-IF(AND(ArtifactsInput!$M$27,Inputs!$B$4="Chapter Hunt"),CHOOSE(ArtifactsInput!$N$27+1,20,24,28,32,36,40),0)/100)),0)</f>
        <v/>
      </c>
      <c r="R594">
        <f>IF(AND(Inputs!$B$38&lt;&gt;"pvp",Inputs!$B$43&gt;0),IF(MAX(0,Inputs!$B$43-B624)&lt;=0,0,(INT(MAX(0,Inputs!$B$43-B624)/(IF(Inputs!$B$38="pvp",15,MAX(0.1,Skills!D7-IF(Skills!E7=TRUE,Inputs!$B$32,0)))*(1-IF(AND(ArtifactsInput!$M$27,Inputs!$B$4="Chapter Hunt"),CHOOSE(ArtifactsInput!$N$27+1,20,24,28,32,36,40),0)/100)))+1)),0)</f>
        <v/>
      </c>
      <c r="S594">
        <f>IFERROR(O594/N594,0)</f>
        <v/>
      </c>
      <c r="T594">
        <f>IF(C594,(H594*N594*IF(AND(Inputs!$B$38&lt;&gt;"pvp",Inputs!$B$43&gt;0),((Skills!G7*((R594-1)*IF(Skills!H7&gt;0,Skills!I7/Skills!H7,1)+IF(Skills!H7&gt;0,MIN(Skills!I7,MAX(0,MAX(0,Inputs!$B$43-B624)-((R594-1)*(IF(Inputs!$B$38="pvp",15,MAX(0.1,Skills!D7-IF(Skills!E7=TRUE,Inputs!$B$32,0)))*(1-IF(AND(ArtifactsInput!$M$27,Inputs!$B$4="Chapter Hunt"),CHOOSE(ArtifactsInput!$N$27+1,20,24,28,32,36,40),0)/100)))))/Skills!H7,1)))/Inputs!$B$43),G594*Q594)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594*(1-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594*(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594*(1-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594*(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4">
        <f>IF(C594,(H594*N594*IF(AND(Inputs!$B$38&lt;&gt;"pvp",Inputs!$B$43&gt;0),((Skills!G7*((R594-1)*IF(Skills!H7&gt;0,Skills!I7/Skills!H7,1)+IF(Skills!H7&gt;0,MIN(Skills!I7,MAX(0,MAX(0,Inputs!$B$43-B624)-((R594-1)*(IF(Inputs!$B$38="pvp",15,MAX(0.1,Skills!D7-IF(Skills!E7=TRUE,Inputs!$B$32,0)))*(1-IF(AND(ArtifactsInput!$M$27,Inputs!$B$4="Chapter Hunt"),CHOOSE(ArtifactsInput!$N$27+1,20,24,28,32,36,40),0)/100)))))/Skills!H7,1)))/Inputs!$B$43),G594*Q594))*IF(Inputs!$B$38="pvp",1,(1+(Inputs!$B$21+Skills!Q7+(IF(ArtifactsInput!$M$33,CHOOSE(ArtifactsInput!$N$33+1,30,36,42,48,54,60)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5">
      <c r="A595">
        <f>Skills!A8</f>
        <v/>
      </c>
      <c r="B595">
        <f>Skills!B8</f>
        <v/>
      </c>
      <c r="C595">
        <f>Inputs!$B$3&gt;=100</f>
        <v/>
      </c>
      <c r="D595">
        <f>IF(Skills!C8=1,60+Inputs!$B$25+Inputs!$B$29,IF(Skills!C8=2,90+Inputs!$B$26+Inputs!$B$29,IF(Skills!C8=3,120+Inputs!$B$27+Inputs!$B$29,MAX(0,(Inputs!$B$3-100)*3)+Inputs!$B$28+Inputs!$B$29)))</f>
        <v/>
      </c>
      <c r="E595">
        <f>INDEX(FactorTable!$B$2:$Y$301, MATCH(ROUND(MIN(300,MAX(1,D595)),0), FactorTable!$A$2:$A$301,0), Skills!M8+1)</f>
        <v/>
      </c>
      <c r="F595">
        <f>IF(Skills!N8=TRUE,(Skills!L8/10)*(E595/1000),Skills!L8/10)+Skills!O8</f>
        <v/>
      </c>
      <c r="G595">
        <f>Skills!G8*IF(Skills!H8&gt;0,Skills!I8/Skills!H8,1)</f>
        <v/>
      </c>
      <c r="H595">
        <f>1-(1-Skills!J8/100)^Skills!K8</f>
        <v/>
      </c>
      <c r="I595" t="inlineStr">
        <is>
          <t>1</t>
        </is>
      </c>
      <c r="J595">
        <f>((Inputs!$B$6*(1+Inputs!$B$7/100))+(((Inputs!$B$12*(1+Inputs!$B$13/100))-(Inputs!$B$12*(1+Inputs!$B$13/100)))+0.25*(Inputs!$B$14-Inputs!$B$14))*(1+Inputs!$B$7/100))*(F595/100)</f>
        <v/>
      </c>
      <c r="K595">
        <f>J595*(1+((Inputs!$B$12*(1+Inputs!$B$13/100))*0.01+Inputs!$B$14*0.0025)/100)*(1+Inputs!$B$15/100)*(1+Inputs!$B$16/100)*(5000/(6000+Inputs!$B$42*(1-(100*(1-(1-(Inputs!$B$19+0)/100)*(1-CHOOSE(ArtifactsInput!$N$40+1,5,6,7,8,9,10)/100)^(ArtifactsInput!$M$40-ArtifactsInput!$M$40)))/100)))*(1+(Inputs!$B$24+((C613=TRUE)*(F613-Calc!F26))+B623)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EIGHT_LEGS_EASTON",Inputs!$B$17+((C610=TRUE)*(F610-Calc!F23))+((C614=TRUE)*(F614-Calc!F27))+(((IF(AND(ArtifactsInput!$M$42,((Inputs!$B$9+((C606=TRUE)*(F606-Calc!F19))+B617+(ArtifactsInput!$M$24-ArtifactsInput!$M$24)*CHOOSE(ArtifactsInput!$N$24+1,10,12,14,16,18,20)+IF(ArtifactsInput!$M$10,CHOOSE(ArtifactsInput!$N$10+1,15,18,21,24,27,30)*(IF(Inputs!$B$38="pvp",MIN(15,15)/15,IF(AND(Inputs!$B$38&lt;&gt;"pvp",Inputs!$B$43&gt;0),MIN(15,Inputs!$B$43)/(Inputs!$B$43),0))),0)))&gt;=100),MIN(100,((Inputs!$B$9+((C606=TRUE)*(F606-Calc!F19))+B617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606=TRUE)*(F606-Calc!F19))+B617+(ArtifactsInput!$M$24-ArtifactsInput!$M$24)*CHOOSE(ArtifactsInput!$N$24+1,10,12,14,16,18,20)+IF(ArtifactsInput!$M$10,CHOOSE(ArtifactsInput!$N$10+1,15,18,21,24,27,30)*(IF(Inputs!$B$38="pvp",MIN(15,15)/15,IF(AND(Inputs!$B$38&lt;&gt;"pvp",Inputs!$B$43&gt;0),MIN(15,Inputs!$B$43)/(Inputs!$B$43),0))),0)))&gt;=100),CHOOSE(ArtifactsInput!$N$42+1,40,48,56,64,72,80),0))))/100)*((1+(((C604=TRUE)*F604)+((C611=TRUE)*(F611-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595)</f>
        <v/>
      </c>
      <c r="L595">
        <f>K595*(MIN(Inputs!$B$22+((C609=TRUE)*(F609-Calc!F22)),(Inputs!$B$23+0+(IF(ArtifactsInput!$M$15,CHOOSE(ArtifactsInput!$N$15+1,25,30,35,40,45,50)/100*(((1-(1-Inputs!$B$11/150)*(1-1/150))*150)-Inputs!$B$11),0))))/100+(Inputs!$B$23+0+(IF(ArtifactsInput!$M$15,CHOOSE(ArtifactsInput!$N$15+1,25,30,35,40,45,50)/100*(((1-(1-Inputs!$B$11/150)*(1-1/150))*150)-Inputs!$B$11),0)))/100)/2</f>
        <v/>
      </c>
      <c r="M595">
        <f>L595*(1+(Inputs!$B$10+((C612=TRUE)*(F612-Calc!F25))+B622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5">
        <f>L595*(1-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595*(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5">
        <f>(1-Summary!$B$11)*T595+Summary!$B$11*V595</f>
        <v/>
      </c>
      <c r="P595">
        <f>IF(B627=0,0,O595/B627)</f>
        <v/>
      </c>
      <c r="Q595">
        <f>IFERROR(1/(IF(Inputs!$B$38="pvp",15,MAX(0.1,Skills!D8-IF(Skills!E8=TRUE,Inputs!$B$32,0)))*(1-IF(AND(ArtifactsInput!$M$27,Inputs!$B$4="Chapter Hunt"),CHOOSE(ArtifactsInput!$N$27+1,20,24,28,32,36,40),0)/100)),0)</f>
        <v/>
      </c>
      <c r="R595">
        <f>IF(AND(Inputs!$B$38&lt;&gt;"pvp",Inputs!$B$43&gt;0),IF(MAX(0,Inputs!$B$43-B624)&lt;=0,0,(INT(MAX(0,Inputs!$B$43-B624)/(IF(Inputs!$B$38="pvp",15,MAX(0.1,Skills!D8-IF(Skills!E8=TRUE,Inputs!$B$32,0)))*(1-IF(AND(ArtifactsInput!$M$27,Inputs!$B$4="Chapter Hunt"),CHOOSE(ArtifactsInput!$N$27+1,20,24,28,32,36,40),0)/100)))+1)),0)</f>
        <v/>
      </c>
      <c r="S595">
        <f>IFERROR(O595/N595,0)</f>
        <v/>
      </c>
      <c r="T595">
        <f>IF(C595,(H595*N595*IF(AND(Inputs!$B$38&lt;&gt;"pvp",Inputs!$B$43&gt;0),((Skills!G8*((R595-1)*IF(Skills!H8&gt;0,Skills!I8/Skills!H8,1)+IF(Skills!H8&gt;0,MIN(Skills!I8,MAX(0,MAX(0,Inputs!$B$43-B624)-((R595-1)*(IF(Inputs!$B$38="pvp",15,MAX(0.1,Skills!D8-IF(Skills!E8=TRUE,Inputs!$B$32,0)))*(1-IF(AND(ArtifactsInput!$M$27,Inputs!$B$4="Chapter Hunt"),CHOOSE(ArtifactsInput!$N$27+1,20,24,28,32,36,40),0)/100)))))/Skills!H8,1)))/Inputs!$B$43),G595*Q595)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595*(1-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595*(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595*(1-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595*(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5">
        <f>IF(C595,(H595*N595*IF(AND(Inputs!$B$38&lt;&gt;"pvp",Inputs!$B$43&gt;0),((Skills!G8*((R595-1)*IF(Skills!H8&gt;0,Skills!I8/Skills!H8,1)+IF(Skills!H8&gt;0,MIN(Skills!I8,MAX(0,MAX(0,Inputs!$B$43-B624)-((R595-1)*(IF(Inputs!$B$38="pvp",15,MAX(0.1,Skills!D8-IF(Skills!E8=TRUE,Inputs!$B$32,0)))*(1-IF(AND(ArtifactsInput!$M$27,Inputs!$B$4="Chapter Hunt"),CHOOSE(ArtifactsInput!$N$27+1,20,24,28,32,36,40),0)/100)))))/Skills!H8,1)))/Inputs!$B$43),G595*Q595))*IF(Inputs!$B$38="pvp",1,(1+(Inputs!$B$21+Skills!Q8+(IF(ArtifactsInput!$M$33,CHOOSE(ArtifactsInput!$N$33+1,30,36,42,48,54,60)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6">
      <c r="A596">
        <f>Skills!A9</f>
        <v/>
      </c>
      <c r="B596">
        <f>Skills!B9</f>
        <v/>
      </c>
      <c r="C596">
        <f>Inputs!$B$3&gt;=103</f>
        <v/>
      </c>
      <c r="D596">
        <f>IF(Skills!C9=1,60+Inputs!$B$25+Inputs!$B$29,IF(Skills!C9=2,90+Inputs!$B$26+Inputs!$B$29,IF(Skills!C9=3,120+Inputs!$B$27+Inputs!$B$29,MAX(0,(Inputs!$B$3-100)*3)+Inputs!$B$28+Inputs!$B$29)))</f>
        <v/>
      </c>
      <c r="E596">
        <f>INDEX(FactorTable!$B$2:$Y$301, MATCH(ROUND(MIN(300,MAX(1,D596)),0), FactorTable!$A$2:$A$301,0), Skills!M9+1)</f>
        <v/>
      </c>
      <c r="F596">
        <f>IF(Skills!N9=TRUE,(Skills!L9/10)*(E596/1000),Skills!L9/10)+Skills!O9</f>
        <v/>
      </c>
      <c r="G596">
        <f>Skills!G9*IF(Skills!H9&gt;0,Skills!I9/Skills!H9,1)</f>
        <v/>
      </c>
      <c r="H596">
        <f>1-(1-Skills!J9/100)^Skills!K9</f>
        <v/>
      </c>
      <c r="I596" t="inlineStr">
        <is>
          <t>1</t>
        </is>
      </c>
      <c r="J596">
        <f>((Inputs!$B$6*(1+Inputs!$B$7/100))+(((Inputs!$B$12*(1+Inputs!$B$13/100))-(Inputs!$B$12*(1+Inputs!$B$13/100)))+0.25*(Inputs!$B$14-Inputs!$B$14))*(1+Inputs!$B$7/100))*(F596/100)</f>
        <v/>
      </c>
      <c r="K596">
        <f>J596*(1+((Inputs!$B$12*(1+Inputs!$B$13/100))*0.01+Inputs!$B$14*0.0025)/100)*(1+Inputs!$B$15/100)*(1+Inputs!$B$16/100)*(5000/(6000+Inputs!$B$42*(1-(100*(1-(1-(Inputs!$B$19+0)/100)*(1-CHOOSE(ArtifactsInput!$N$40+1,5,6,7,8,9,10)/100)^(ArtifactsInput!$M$40-ArtifactsInput!$M$40)))/100)))*(1+(Inputs!$B$24+((C613=TRUE)*(F613-Calc!F26))+B623)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EIGHT_LEGS_EASTON",Inputs!$B$17+((C610=TRUE)*(F610-Calc!F23))+((C614=TRUE)*(F614-Calc!F27))+(((IF(AND(ArtifactsInput!$M$42,((Inputs!$B$9+((C606=TRUE)*(F606-Calc!F19))+B617+(ArtifactsInput!$M$24-ArtifactsInput!$M$24)*CHOOSE(ArtifactsInput!$N$24+1,10,12,14,16,18,20)+IF(ArtifactsInput!$M$10,CHOOSE(ArtifactsInput!$N$10+1,15,18,21,24,27,30)*(IF(Inputs!$B$38="pvp",MIN(15,15)/15,IF(AND(Inputs!$B$38&lt;&gt;"pvp",Inputs!$B$43&gt;0),MIN(15,Inputs!$B$43)/(Inputs!$B$43),0))),0)))&gt;=100),MIN(100,((Inputs!$B$9+((C606=TRUE)*(F606-Calc!F19))+B617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606=TRUE)*(F606-Calc!F19))+B617+(ArtifactsInput!$M$24-ArtifactsInput!$M$24)*CHOOSE(ArtifactsInput!$N$24+1,10,12,14,16,18,20)+IF(ArtifactsInput!$M$10,CHOOSE(ArtifactsInput!$N$10+1,15,18,21,24,27,30)*(IF(Inputs!$B$38="pvp",MIN(15,15)/15,IF(AND(Inputs!$B$38&lt;&gt;"pvp",Inputs!$B$43&gt;0),MIN(15,Inputs!$B$43)/(Inputs!$B$43),0))),0)))&gt;=100),CHOOSE(ArtifactsInput!$N$42+1,40,48,56,64,72,80),0))))/100)*((1+(((C604=TRUE)*F604)+((C611=TRUE)*(F611-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596)</f>
        <v/>
      </c>
      <c r="L596">
        <f>K596*(MIN(Inputs!$B$22+((C609=TRUE)*(F609-Calc!F22)),(Inputs!$B$23+0+(IF(ArtifactsInput!$M$15,CHOOSE(ArtifactsInput!$N$15+1,25,30,35,40,45,50)/100*(((1-(1-Inputs!$B$11/150)*(1-1/150))*150)-Inputs!$B$11),0))))/100+(Inputs!$B$23+0+(IF(ArtifactsInput!$M$15,CHOOSE(ArtifactsInput!$N$15+1,25,30,35,40,45,50)/100*(((1-(1-Inputs!$B$11/150)*(1-1/150))*150)-Inputs!$B$11),0)))/100)/2</f>
        <v/>
      </c>
      <c r="M596">
        <f>L596*(1+(Inputs!$B$10+((C612=TRUE)*(F612-Calc!F25))+B622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6">
        <f>L596*(1-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596*(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6">
        <f>(1-Summary!$B$11)*T596+Summary!$B$11*V596</f>
        <v/>
      </c>
      <c r="P596">
        <f>IF(B627=0,0,O596/B627)</f>
        <v/>
      </c>
      <c r="Q596">
        <f>IFERROR(1/(IF(Inputs!$B$38="pvp",15,MAX(0.1,Skills!D9-IF(Skills!E9=TRUE,Inputs!$B$32,0)))*(1-IF(AND(ArtifactsInput!$M$27,Inputs!$B$4="Chapter Hunt"),CHOOSE(ArtifactsInput!$N$27+1,20,24,28,32,36,40),0)/100)),0)</f>
        <v/>
      </c>
      <c r="R596">
        <f>IF(AND(Inputs!$B$38&lt;&gt;"pvp",Inputs!$B$43&gt;0),IF(MAX(0,Inputs!$B$43-B624)&lt;=0,0,(INT(MAX(0,Inputs!$B$43-B624)/(IF(Inputs!$B$38="pvp",15,MAX(0.1,Skills!D9-IF(Skills!E9=TRUE,Inputs!$B$32,0)))*(1-IF(AND(ArtifactsInput!$M$27,Inputs!$B$4="Chapter Hunt"),CHOOSE(ArtifactsInput!$N$27+1,20,24,28,32,36,40),0)/100)))+1)),0)</f>
        <v/>
      </c>
      <c r="S596">
        <f>IFERROR(O596/N596,0)</f>
        <v/>
      </c>
      <c r="T596">
        <f>IF(C596,(H596*N596*IF(AND(Inputs!$B$38&lt;&gt;"pvp",Inputs!$B$43&gt;0),((Skills!G9*((R596-1)*IF(Skills!H9&gt;0,Skills!I9/Skills!H9,1)+IF(Skills!H9&gt;0,MIN(Skills!I9,MAX(0,MAX(0,Inputs!$B$43-B624)-((R596-1)*(IF(Inputs!$B$38="pvp",15,MAX(0.1,Skills!D9-IF(Skills!E9=TRUE,Inputs!$B$32,0)))*(1-IF(AND(ArtifactsInput!$M$27,Inputs!$B$4="Chapter Hunt"),CHOOSE(ArtifactsInput!$N$27+1,20,24,28,32,36,40),0)/100)))))/Skills!H9,1)))/Inputs!$B$43),G596*Q596)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596*(1-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596*(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596*(1-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596*(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6">
        <f>IF(C596,(H596*N596*IF(AND(Inputs!$B$38&lt;&gt;"pvp",Inputs!$B$43&gt;0),((Skills!G9*((R596-1)*IF(Skills!H9&gt;0,Skills!I9/Skills!H9,1)+IF(Skills!H9&gt;0,MIN(Skills!I9,MAX(0,MAX(0,Inputs!$B$43-B624)-((R596-1)*(IF(Inputs!$B$38="pvp",15,MAX(0.1,Skills!D9-IF(Skills!E9=TRUE,Inputs!$B$32,0)))*(1-IF(AND(ArtifactsInput!$M$27,Inputs!$B$4="Chapter Hunt"),CHOOSE(ArtifactsInput!$N$27+1,20,24,28,32,36,40),0)/100)))))/Skills!H9,1)))/Inputs!$B$43),G596*Q596))*IF(Inputs!$B$38="pvp",1,(1+(Inputs!$B$21+Skills!Q9+(IF(ArtifactsInput!$M$33,CHOOSE(ArtifactsInput!$N$33+1,30,36,42,48,54,60)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7">
      <c r="A597">
        <f>Skills!A10</f>
        <v/>
      </c>
      <c r="B597">
        <f>Skills!B10</f>
        <v/>
      </c>
      <c r="C597">
        <f>Inputs!$B$3&gt;=113</f>
        <v/>
      </c>
      <c r="D597">
        <f>IF(Skills!C10=1,60+Inputs!$B$25+Inputs!$B$29,IF(Skills!C10=2,90+Inputs!$B$26+Inputs!$B$29,IF(Skills!C10=3,120+Inputs!$B$27+Inputs!$B$29,MAX(0,(Inputs!$B$3-100)*3)+Inputs!$B$28+Inputs!$B$29)))</f>
        <v/>
      </c>
      <c r="E597">
        <f>INDEX(FactorTable!$B$2:$Y$301, MATCH(ROUND(MIN(300,MAX(1,D597)),0), FactorTable!$A$2:$A$301,0), Skills!M10+1)</f>
        <v/>
      </c>
      <c r="F597">
        <f>IF(Skills!N10=TRUE,(Skills!L10/10)*(E597/1000),Skills!L10/10)+Skills!O10</f>
        <v/>
      </c>
      <c r="G597">
        <f>Skills!G10*IF(Skills!H10&gt;0,Skills!I10/Skills!H10,1)</f>
        <v/>
      </c>
      <c r="H597">
        <f>1-(1-Skills!J10/100)^Skills!K10</f>
        <v/>
      </c>
      <c r="I597" t="inlineStr">
        <is>
          <t>1</t>
        </is>
      </c>
      <c r="J597">
        <f>((Inputs!$B$6*(1+Inputs!$B$7/100))+(((Inputs!$B$12*(1+Inputs!$B$13/100))-(Inputs!$B$12*(1+Inputs!$B$13/100)))+0.25*(Inputs!$B$14-Inputs!$B$14))*(1+Inputs!$B$7/100))*(F597/100)</f>
        <v/>
      </c>
      <c r="K597">
        <f>J597*(1+((Inputs!$B$12*(1+Inputs!$B$13/100))*0.01+Inputs!$B$14*0.0025)/100)*(1+Inputs!$B$15/100)*(1+Inputs!$B$16/100)*(5000/(6000+Inputs!$B$42*(1-(100*(1-(1-(Inputs!$B$19+0)/100)*(1-CHOOSE(ArtifactsInput!$N$40+1,5,6,7,8,9,10)/100)^(ArtifactsInput!$M$40-ArtifactsInput!$M$40)))/100)))*(1+(Inputs!$B$24+((C613=TRUE)*(F613-Calc!F26))+B623)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EIGHT_LEGS_EASTON",Inputs!$B$17+((C610=TRUE)*(F610-Calc!F23))+((C614=TRUE)*(F614-Calc!F27))+(((IF(AND(ArtifactsInput!$M$42,((Inputs!$B$9+((C606=TRUE)*(F606-Calc!F19))+B617+(ArtifactsInput!$M$24-ArtifactsInput!$M$24)*CHOOSE(ArtifactsInput!$N$24+1,10,12,14,16,18,20)+IF(ArtifactsInput!$M$10,CHOOSE(ArtifactsInput!$N$10+1,15,18,21,24,27,30)*(IF(Inputs!$B$38="pvp",MIN(15,15)/15,IF(AND(Inputs!$B$38&lt;&gt;"pvp",Inputs!$B$43&gt;0),MIN(15,Inputs!$B$43)/(Inputs!$B$43),0))),0)))&gt;=100),MIN(100,((Inputs!$B$9+((C606=TRUE)*(F606-Calc!F19))+B617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606=TRUE)*(F606-Calc!F19))+B617+(ArtifactsInput!$M$24-ArtifactsInput!$M$24)*CHOOSE(ArtifactsInput!$N$24+1,10,12,14,16,18,20)+IF(ArtifactsInput!$M$10,CHOOSE(ArtifactsInput!$N$10+1,15,18,21,24,27,30)*(IF(Inputs!$B$38="pvp",MIN(15,15)/15,IF(AND(Inputs!$B$38&lt;&gt;"pvp",Inputs!$B$43&gt;0),MIN(15,Inputs!$B$43)/(Inputs!$B$43),0))),0)))&gt;=100),CHOOSE(ArtifactsInput!$N$42+1,40,48,56,64,72,80),0))))/100)*((1+(((C604=TRUE)*F604)+((C611=TRUE)*(F611-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597)</f>
        <v/>
      </c>
      <c r="L597">
        <f>K597*(MIN(Inputs!$B$22+((C609=TRUE)*(F609-Calc!F22)),(Inputs!$B$23+0+(IF(ArtifactsInput!$M$15,CHOOSE(ArtifactsInput!$N$15+1,25,30,35,40,45,50)/100*(((1-(1-Inputs!$B$11/150)*(1-1/150))*150)-Inputs!$B$11),0))))/100+(Inputs!$B$23+0+(IF(ArtifactsInput!$M$15,CHOOSE(ArtifactsInput!$N$15+1,25,30,35,40,45,50)/100*(((1-(1-Inputs!$B$11/150)*(1-1/150))*150)-Inputs!$B$11),0)))/100)/2</f>
        <v/>
      </c>
      <c r="M597">
        <f>L597*(1+(Inputs!$B$10+((C612=TRUE)*(F612-Calc!F25))+B622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7">
        <f>L597*(1-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597*(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7">
        <f>(1-Summary!$B$11)*T597+Summary!$B$11*V597</f>
        <v/>
      </c>
      <c r="P597">
        <f>IF(B627=0,0,O597/B627)</f>
        <v/>
      </c>
      <c r="Q597">
        <f>IFERROR(1/(IF(Inputs!$B$38="pvp",15,MAX(0.1,Skills!D10-IF(Skills!E10=TRUE,Inputs!$B$32,0)))*(1-IF(AND(ArtifactsInput!$M$27,Inputs!$B$4="Chapter Hunt"),CHOOSE(ArtifactsInput!$N$27+1,20,24,28,32,36,40),0)/100)),0)</f>
        <v/>
      </c>
      <c r="R597">
        <f>IF(AND(Inputs!$B$38&lt;&gt;"pvp",Inputs!$B$43&gt;0),IF(MAX(0,Inputs!$B$43-B624)&lt;=0,0,(INT(MAX(0,Inputs!$B$43-B624)/(IF(Inputs!$B$38="pvp",15,MAX(0.1,Skills!D10-IF(Skills!E10=TRUE,Inputs!$B$32,0)))*(1-IF(AND(ArtifactsInput!$M$27,Inputs!$B$4="Chapter Hunt"),CHOOSE(ArtifactsInput!$N$27+1,20,24,28,32,36,40),0)/100)))+1)),0)</f>
        <v/>
      </c>
      <c r="S597">
        <f>IFERROR(O597/N597,0)</f>
        <v/>
      </c>
      <c r="T597">
        <f>IF(C597,(H597*N597*IF(AND(Inputs!$B$38&lt;&gt;"pvp",Inputs!$B$43&gt;0),((Skills!G10*((R597-1)*IF(Skills!H10&gt;0,Skills!I10/Skills!H10,1)+IF(Skills!H10&gt;0,MIN(Skills!I10,MAX(0,MAX(0,Inputs!$B$43-B624)-((R597-1)*(IF(Inputs!$B$38="pvp",15,MAX(0.1,Skills!D10-IF(Skills!E10=TRUE,Inputs!$B$32,0)))*(1-IF(AND(ArtifactsInput!$M$27,Inputs!$B$4="Chapter Hunt"),CHOOSE(ArtifactsInput!$N$27+1,20,24,28,32,36,40),0)/100)))))/Skills!H10,1)))/Inputs!$B$43),G597*Q597)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597*(1-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597*(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597*(1-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597*(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7">
        <f>IF(C597,(H597*N597*IF(AND(Inputs!$B$38&lt;&gt;"pvp",Inputs!$B$43&gt;0),((Skills!G10*((R597-1)*IF(Skills!H10&gt;0,Skills!I10/Skills!H10,1)+IF(Skills!H10&gt;0,MIN(Skills!I10,MAX(0,MAX(0,Inputs!$B$43-B624)-((R597-1)*(IF(Inputs!$B$38="pvp",15,MAX(0.1,Skills!D10-IF(Skills!E10=TRUE,Inputs!$B$32,0)))*(1-IF(AND(ArtifactsInput!$M$27,Inputs!$B$4="Chapter Hunt"),CHOOSE(ArtifactsInput!$N$27+1,20,24,28,32,36,40),0)/100)))))/Skills!H10,1)))/Inputs!$B$43),G597*Q597))*IF(Inputs!$B$38="pvp",1,(1+(Inputs!$B$21+Skills!Q10+(IF(ArtifactsInput!$M$33,CHOOSE(ArtifactsInput!$N$33+1,30,36,42,48,54,60)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8">
      <c r="A598">
        <f>Skills!A11</f>
        <v/>
      </c>
      <c r="B598">
        <f>Skills!B11</f>
        <v/>
      </c>
      <c r="C598">
        <f>Inputs!$B$3&gt;=107</f>
        <v/>
      </c>
      <c r="D598">
        <f>IF(Skills!C11=1,60+Inputs!$B$25+Inputs!$B$29,IF(Skills!C11=2,90+Inputs!$B$26+Inputs!$B$29,IF(Skills!C11=3,120+Inputs!$B$27+Inputs!$B$29,MAX(0,(Inputs!$B$3-100)*3)+Inputs!$B$28+Inputs!$B$29)))</f>
        <v/>
      </c>
      <c r="E598">
        <f>INDEX(FactorTable!$B$2:$Y$301, MATCH(ROUND(MIN(300,MAX(1,D598)),0), FactorTable!$A$2:$A$301,0), Skills!M11+1)</f>
        <v/>
      </c>
      <c r="F598">
        <f>IF(Skills!N11=TRUE,(Skills!L11/10)*(E598/1000),Skills!L11/10)+Skills!O11</f>
        <v/>
      </c>
      <c r="G598">
        <f>Skills!G11*IF(Skills!H11&gt;0,Skills!I11/Skills!H11,1)</f>
        <v/>
      </c>
      <c r="H598">
        <f>1-(1-Skills!J11/100)^Skills!K11</f>
        <v/>
      </c>
      <c r="I598" t="inlineStr">
        <is>
          <t>1</t>
        </is>
      </c>
      <c r="J598">
        <f>((Inputs!$B$6*(1+Inputs!$B$7/100))+(((Inputs!$B$12*(1+Inputs!$B$13/100))-(Inputs!$B$12*(1+Inputs!$B$13/100)))+0.25*(Inputs!$B$14-Inputs!$B$14))*(1+Inputs!$B$7/100))*(F598/100)</f>
        <v/>
      </c>
      <c r="K598">
        <f>J598*(1+((Inputs!$B$12*(1+Inputs!$B$13/100))*0.01+Inputs!$B$14*0.0025)/100)*(1+Inputs!$B$15/100)*(1+Inputs!$B$16/100)*(5000/(6000+Inputs!$B$42*(1-(100*(1-(1-(Inputs!$B$19+0)/100)*(1-CHOOSE(ArtifactsInput!$N$40+1,5,6,7,8,9,10)/100)^(ArtifactsInput!$M$40-ArtifactsInput!$M$40)))/100)))*(1+(Inputs!$B$24+((C613=TRUE)*(F613-Calc!F26))+B623)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11="EIGHT_LEGS_EASTON",Inputs!$B$17+((C610=TRUE)*(F610-Calc!F23))+((C614=TRUE)*(F614-Calc!F27))+(((IF(AND(ArtifactsInput!$M$42,((Inputs!$B$9+((C606=TRUE)*(F606-Calc!F19))+B617+(ArtifactsInput!$M$24-ArtifactsInput!$M$24)*CHOOSE(ArtifactsInput!$N$24+1,10,12,14,16,18,20)+IF(ArtifactsInput!$M$10,CHOOSE(ArtifactsInput!$N$10+1,15,18,21,24,27,30)*(IF(Inputs!$B$38="pvp",MIN(15,15)/15,IF(AND(Inputs!$B$38&lt;&gt;"pvp",Inputs!$B$43&gt;0),MIN(15,Inputs!$B$43)/(Inputs!$B$43),0))),0)))&gt;=100),MIN(100,((Inputs!$B$9+((C606=TRUE)*(F606-Calc!F19))+B617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606=TRUE)*(F606-Calc!F19))+B617+(ArtifactsInput!$M$24-ArtifactsInput!$M$24)*CHOOSE(ArtifactsInput!$N$24+1,10,12,14,16,18,20)+IF(ArtifactsInput!$M$10,CHOOSE(ArtifactsInput!$N$10+1,15,18,21,24,27,30)*(IF(Inputs!$B$38="pvp",MIN(15,15)/15,IF(AND(Inputs!$B$38&lt;&gt;"pvp",Inputs!$B$43&gt;0),MIN(15,Inputs!$B$43)/(Inputs!$B$43),0))),0)))&gt;=100),CHOOSE(ArtifactsInput!$N$42+1,40,48,56,64,72,80),0))))/100)*((1+(((C604=TRUE)*F604)+((C611=TRUE)*(F611-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598)</f>
        <v/>
      </c>
      <c r="L598">
        <f>K598*(MIN(Inputs!$B$22+((C609=TRUE)*(F609-Calc!F22)),(Inputs!$B$23+0+(IF(ArtifactsInput!$M$15,CHOOSE(ArtifactsInput!$N$15+1,25,30,35,40,45,50)/100*(((1-(1-Inputs!$B$11/150)*(1-1/150))*150)-Inputs!$B$11),0))))/100+(Inputs!$B$23+0+(IF(ArtifactsInput!$M$15,CHOOSE(ArtifactsInput!$N$15+1,25,30,35,40,45,50)/100*(((1-(1-Inputs!$B$11/150)*(1-1/150))*150)-Inputs!$B$11),0)))/100)/2</f>
        <v/>
      </c>
      <c r="M598">
        <f>L598*(1+(Inputs!$B$10+((C612=TRUE)*(F612-Calc!F25))+B622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8">
        <f>L598*(1-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598*(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8">
        <f>(1-Summary!$B$11)*T598+Summary!$B$11*V598</f>
        <v/>
      </c>
      <c r="P598">
        <f>IF(B627=0,0,O598/B627)</f>
        <v/>
      </c>
      <c r="Q598">
        <f>IFERROR(1/(IF(Inputs!$B$38="pvp",15,MAX(0.1,Skills!D11-IF(Skills!E11=TRUE,Inputs!$B$32,0)))*(1-IF(AND(ArtifactsInput!$M$27,Inputs!$B$4="Chapter Hunt"),CHOOSE(ArtifactsInput!$N$27+1,20,24,28,32,36,40),0)/100)),0)</f>
        <v/>
      </c>
      <c r="R598">
        <f>IF(AND(Inputs!$B$38&lt;&gt;"pvp",Inputs!$B$43&gt;0),IF(MAX(0,Inputs!$B$43-B624)&lt;=0,0,(INT(MAX(0,Inputs!$B$43-B624)/(IF(Inputs!$B$38="pvp",15,MAX(0.1,Skills!D11-IF(Skills!E11=TRUE,Inputs!$B$32,0)))*(1-IF(AND(ArtifactsInput!$M$27,Inputs!$B$4="Chapter Hunt"),CHOOSE(ArtifactsInput!$N$27+1,20,24,28,32,36,40),0)/100)))+1)),0)</f>
        <v/>
      </c>
      <c r="S598">
        <f>IFERROR(O598/N598,0)</f>
        <v/>
      </c>
      <c r="T598">
        <f>IF(C598,(H598*N598*IF(AND(Inputs!$B$38&lt;&gt;"pvp",Inputs!$B$43&gt;0),((Skills!G11*((R598-1)*IF(Skills!H11&gt;0,Skills!I11/Skills!H11,1)+IF(Skills!H11&gt;0,MIN(Skills!I11,MAX(0,MAX(0,Inputs!$B$43-B624)-((R598-1)*(IF(Inputs!$B$38="pvp",15,MAX(0.1,Skills!D11-IF(Skills!E11=TRUE,Inputs!$B$32,0)))*(1-IF(AND(ArtifactsInput!$M$27,Inputs!$B$4="Chapter Hunt"),CHOOSE(ArtifactsInput!$N$27+1,20,24,28,32,36,40),0)/100)))))/Skills!H11,1)))/Inputs!$B$43),G598*Q598)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598*(1-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598*(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598*(1-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598*(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8">
        <f>IF(C598,(H598*N598*IF(AND(Inputs!$B$38&lt;&gt;"pvp",Inputs!$B$43&gt;0),((Skills!G11*((R598-1)*IF(Skills!H11&gt;0,Skills!I11/Skills!H11,1)+IF(Skills!H11&gt;0,MIN(Skills!I11,MAX(0,MAX(0,Inputs!$B$43-B624)-((R598-1)*(IF(Inputs!$B$38="pvp",15,MAX(0.1,Skills!D11-IF(Skills!E11=TRUE,Inputs!$B$32,0)))*(1-IF(AND(ArtifactsInput!$M$27,Inputs!$B$4="Chapter Hunt"),CHOOSE(ArtifactsInput!$N$27+1,20,24,28,32,36,40),0)/100)))))/Skills!H11,1)))/Inputs!$B$43),G598*Q598))*IF(Inputs!$B$38="pvp",1,(1+(Inputs!$B$21+Skills!Q11+(IF(ArtifactsInput!$M$33,CHOOSE(ArtifactsInput!$N$33+1,30,36,42,48,54,60)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9">
      <c r="A599">
        <f>Skills!A12</f>
        <v/>
      </c>
      <c r="B599">
        <f>Skills!B12</f>
        <v/>
      </c>
      <c r="C599">
        <f>Inputs!$B$3&gt;=110</f>
        <v/>
      </c>
      <c r="D599">
        <f>IF(Skills!C12=1,60+Inputs!$B$25+Inputs!$B$29,IF(Skills!C12=2,90+Inputs!$B$26+Inputs!$B$29,IF(Skills!C12=3,120+Inputs!$B$27+Inputs!$B$29,MAX(0,(Inputs!$B$3-100)*3)+Inputs!$B$28+Inputs!$B$29)))</f>
        <v/>
      </c>
      <c r="E599">
        <f>INDEX(FactorTable!$B$2:$Y$301, MATCH(ROUND(MIN(300,MAX(1,D599)),0), FactorTable!$A$2:$A$301,0), Skills!M12+1)</f>
        <v/>
      </c>
      <c r="F599">
        <f>IF(Skills!N12=TRUE,(Skills!L12/10)*(E599/1000),Skills!L12/10)+Skills!O12</f>
        <v/>
      </c>
      <c r="G599">
        <f>Skills!G12*IF(Skills!H12&gt;0,Skills!I12/Skills!H12,1)</f>
        <v/>
      </c>
      <c r="H599">
        <f>1-(1-Skills!J12/100)^Skills!K12</f>
        <v/>
      </c>
      <c r="I599" t="inlineStr">
        <is>
          <t>1</t>
        </is>
      </c>
      <c r="J599">
        <f>((Inputs!$B$6*(1+Inputs!$B$7/100))+(((Inputs!$B$12*(1+Inputs!$B$13/100))-(Inputs!$B$12*(1+Inputs!$B$13/100)))+0.25*(Inputs!$B$14-Inputs!$B$14))*(1+Inputs!$B$7/100))*(F599/100)</f>
        <v/>
      </c>
      <c r="K599">
        <f>J599*(1+((Inputs!$B$12*(1+Inputs!$B$13/100))*0.01+Inputs!$B$14*0.0025)/100)*(1+Inputs!$B$15/100)*(1+Inputs!$B$16/100)*(5000/(6000+Inputs!$B$42*(1-(100*(1-(1-(Inputs!$B$19+0)/100)*(1-CHOOSE(ArtifactsInput!$N$40+1,5,6,7,8,9,10)/100)^(ArtifactsInput!$M$40-ArtifactsInput!$M$40)))/100)))*(1+(Inputs!$B$24+((C613=TRUE)*(F613-Calc!F26))+B623)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12="EIGHT_LEGS_EASTON",Inputs!$B$17+((C610=TRUE)*(F610-Calc!F23))+((C614=TRUE)*(F614-Calc!F27))+(((IF(AND(ArtifactsInput!$M$42,((Inputs!$B$9+((C606=TRUE)*(F606-Calc!F19))+B617+(ArtifactsInput!$M$24-ArtifactsInput!$M$24)*CHOOSE(ArtifactsInput!$N$24+1,10,12,14,16,18,20)+IF(ArtifactsInput!$M$10,CHOOSE(ArtifactsInput!$N$10+1,15,18,21,24,27,30)*(IF(Inputs!$B$38="pvp",MIN(15,15)/15,IF(AND(Inputs!$B$38&lt;&gt;"pvp",Inputs!$B$43&gt;0),MIN(15,Inputs!$B$43)/(Inputs!$B$43),0))),0)))&gt;=100),MIN(100,((Inputs!$B$9+((C606=TRUE)*(F606-Calc!F19))+B617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606=TRUE)*(F606-Calc!F19))+B617+(ArtifactsInput!$M$24-ArtifactsInput!$M$24)*CHOOSE(ArtifactsInput!$N$24+1,10,12,14,16,18,20)+IF(ArtifactsInput!$M$10,CHOOSE(ArtifactsInput!$N$10+1,15,18,21,24,27,30)*(IF(Inputs!$B$38="pvp",MIN(15,15)/15,IF(AND(Inputs!$B$38&lt;&gt;"pvp",Inputs!$B$43&gt;0),MIN(15,Inputs!$B$43)/(Inputs!$B$43),0))),0)))&gt;=100),CHOOSE(ArtifactsInput!$N$42+1,40,48,56,64,72,80),0))))/100)*((1+(((C604=TRUE)*F604)+((C611=TRUE)*(F611-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599)</f>
        <v/>
      </c>
      <c r="L599">
        <f>K599*(MIN(Inputs!$B$22+((C609=TRUE)*(F609-Calc!F22)),(Inputs!$B$23+0+(IF(ArtifactsInput!$M$15,CHOOSE(ArtifactsInput!$N$15+1,25,30,35,40,45,50)/100*(((1-(1-Inputs!$B$11/150)*(1-1/150))*150)-Inputs!$B$11),0))))/100+(Inputs!$B$23+0+(IF(ArtifactsInput!$M$15,CHOOSE(ArtifactsInput!$N$15+1,25,30,35,40,45,50)/100*(((1-(1-Inputs!$B$11/150)*(1-1/150))*150)-Inputs!$B$11),0)))/100)/2</f>
        <v/>
      </c>
      <c r="M599">
        <f>L599*(1+(Inputs!$B$10+((C612=TRUE)*(F612-Calc!F25))+B622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9">
        <f>L599*(1-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599*(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9">
        <f>(1-Summary!$B$11)*T599+Summary!$B$11*V599</f>
        <v/>
      </c>
      <c r="P599">
        <f>IF(B627=0,0,O599/B627)</f>
        <v/>
      </c>
      <c r="Q599">
        <f>IFERROR(1/(IF(Inputs!$B$38="pvp",15,MAX(0.1,Skills!D12-IF(Skills!E12=TRUE,Inputs!$B$32,0)))*(1-IF(AND(ArtifactsInput!$M$27,Inputs!$B$4="Chapter Hunt"),CHOOSE(ArtifactsInput!$N$27+1,20,24,28,32,36,40),0)/100)),0)</f>
        <v/>
      </c>
      <c r="R599">
        <f>IF(AND(Inputs!$B$38&lt;&gt;"pvp",Inputs!$B$43&gt;0),IF(MAX(0,Inputs!$B$43-B624)&lt;=0,0,(INT(MAX(0,Inputs!$B$43-B624)/(IF(Inputs!$B$38="pvp",15,MAX(0.1,Skills!D12-IF(Skills!E12=TRUE,Inputs!$B$32,0)))*(1-IF(AND(ArtifactsInput!$M$27,Inputs!$B$4="Chapter Hunt"),CHOOSE(ArtifactsInput!$N$27+1,20,24,28,32,36,40),0)/100)))+1)),0)</f>
        <v/>
      </c>
      <c r="S599">
        <f>IFERROR(O599/N599,0)</f>
        <v/>
      </c>
      <c r="T599">
        <f>IF(C599,(H599*N599*IF(AND(Inputs!$B$38&lt;&gt;"pvp",Inputs!$B$43&gt;0),((Skills!G12*((R599-1)*IF(Skills!H12&gt;0,Skills!I12/Skills!H12,1)+IF(Skills!H12&gt;0,MIN(Skills!I12,MAX(0,MAX(0,Inputs!$B$43-B624)-((R599-1)*(IF(Inputs!$B$38="pvp",15,MAX(0.1,Skills!D12-IF(Skills!E12=TRUE,Inputs!$B$32,0)))*(1-IF(AND(ArtifactsInput!$M$27,Inputs!$B$4="Chapter Hunt"),CHOOSE(ArtifactsInput!$N$27+1,20,24,28,32,36,40),0)/100)))))/Skills!H12,1)))/Inputs!$B$43),G599*Q599)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599*(1-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599*(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599*(1-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599*(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9">
        <f>IF(C599,(H599*N599*IF(AND(Inputs!$B$38&lt;&gt;"pvp",Inputs!$B$43&gt;0),((Skills!G12*((R599-1)*IF(Skills!H12&gt;0,Skills!I12/Skills!H12,1)+IF(Skills!H12&gt;0,MIN(Skills!I12,MAX(0,MAX(0,Inputs!$B$43-B624)-((R599-1)*(IF(Inputs!$B$38="pvp",15,MAX(0.1,Skills!D12-IF(Skills!E12=TRUE,Inputs!$B$32,0)))*(1-IF(AND(ArtifactsInput!$M$27,Inputs!$B$4="Chapter Hunt"),CHOOSE(ArtifactsInput!$N$27+1,20,24,28,32,36,40),0)/100)))))/Skills!H12,1)))/Inputs!$B$43),G599*Q599))*IF(Inputs!$B$38="pvp",1,(1+(Inputs!$B$21+Skills!Q12+(IF(ArtifactsInput!$M$33,CHOOSE(ArtifactsInput!$N$33+1,30,36,42,48,54,60)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0">
      <c r="A600">
        <f>Skills!A13</f>
        <v/>
      </c>
      <c r="B600">
        <f>Skills!B13</f>
        <v/>
      </c>
      <c r="C600">
        <f>Inputs!$B$3&gt;=110</f>
        <v/>
      </c>
      <c r="D600">
        <f>IF(Skills!C13=1,60+Inputs!$B$25+Inputs!$B$29,IF(Skills!C13=2,90+Inputs!$B$26+Inputs!$B$29,IF(Skills!C13=3,120+Inputs!$B$27+Inputs!$B$29,MAX(0,(Inputs!$B$3-100)*3)+Inputs!$B$28+Inputs!$B$29)))</f>
        <v/>
      </c>
      <c r="E600">
        <f>INDEX(FactorTable!$B$2:$Y$301, MATCH(ROUND(MIN(300,MAX(1,D600)),0), FactorTable!$A$2:$A$301,0), Skills!M13+1)</f>
        <v/>
      </c>
      <c r="F600">
        <f>IF(Skills!N13=TRUE,(Skills!L13/10)*(E600/1000),Skills!L13/10)+Skills!O13</f>
        <v/>
      </c>
      <c r="G600">
        <f>Skills!G13*IF(Skills!H13&gt;0,Skills!I13/Skills!H13,1)</f>
        <v/>
      </c>
      <c r="H600">
        <f>1-(1-Skills!J13/100)^Skills!K13</f>
        <v/>
      </c>
      <c r="I600" t="inlineStr">
        <is>
          <t>1</t>
        </is>
      </c>
      <c r="J600">
        <f>((Inputs!$B$6*(1+Inputs!$B$7/100))+(((Inputs!$B$12*(1+Inputs!$B$13/100))-(Inputs!$B$12*(1+Inputs!$B$13/100)))+0.25*(Inputs!$B$14-Inputs!$B$14))*(1+Inputs!$B$7/100))*(F600/100)</f>
        <v/>
      </c>
      <c r="K600">
        <f>J600*(1+((Inputs!$B$12*(1+Inputs!$B$13/100))*0.01+Inputs!$B$14*0.0025)/100)*(1+Inputs!$B$15/100)*(1+Inputs!$B$16/100)*(5000/(6000+Inputs!$B$42*(1-(100*(1-(1-(Inputs!$B$19+0)/100)*(1-CHOOSE(ArtifactsInput!$N$40+1,5,6,7,8,9,10)/100)^(ArtifactsInput!$M$40-ArtifactsInput!$M$40)))/100)))*(1+(Inputs!$B$24+((C613=TRUE)*(F613-Calc!F26))+B623)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13="EIGHT_LEGS_EASTON",Inputs!$B$17+((C610=TRUE)*(F610-Calc!F23))+((C614=TRUE)*(F614-Calc!F27))+(((IF(AND(ArtifactsInput!$M$42,((Inputs!$B$9+((C606=TRUE)*(F606-Calc!F19))+B617+(ArtifactsInput!$M$24-ArtifactsInput!$M$24)*CHOOSE(ArtifactsInput!$N$24+1,10,12,14,16,18,20)+IF(ArtifactsInput!$M$10,CHOOSE(ArtifactsInput!$N$10+1,15,18,21,24,27,30)*(IF(Inputs!$B$38="pvp",MIN(15,15)/15,IF(AND(Inputs!$B$38&lt;&gt;"pvp",Inputs!$B$43&gt;0),MIN(15,Inputs!$B$43)/(Inputs!$B$43),0))),0)))&gt;=100),MIN(100,((Inputs!$B$9+((C606=TRUE)*(F606-Calc!F19))+B617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606=TRUE)*(F606-Calc!F19))+B617+(ArtifactsInput!$M$24-ArtifactsInput!$M$24)*CHOOSE(ArtifactsInput!$N$24+1,10,12,14,16,18,20)+IF(ArtifactsInput!$M$10,CHOOSE(ArtifactsInput!$N$10+1,15,18,21,24,27,30)*(IF(Inputs!$B$38="pvp",MIN(15,15)/15,IF(AND(Inputs!$B$38&lt;&gt;"pvp",Inputs!$B$43&gt;0),MIN(15,Inputs!$B$43)/(Inputs!$B$43),0))),0)))&gt;=100),CHOOSE(ArtifactsInput!$N$42+1,40,48,56,64,72,80),0))))/100)*((1+(((C604=TRUE)*F604)+((C611=TRUE)*(F611-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600)</f>
        <v/>
      </c>
      <c r="L600">
        <f>K600*(MIN(Inputs!$B$22+((C609=TRUE)*(F609-Calc!F22)),(Inputs!$B$23+0+(IF(ArtifactsInput!$M$15,CHOOSE(ArtifactsInput!$N$15+1,25,30,35,40,45,50)/100*(((1-(1-Inputs!$B$11/150)*(1-1/150))*150)-Inputs!$B$11),0))))/100+(Inputs!$B$23+0+(IF(ArtifactsInput!$M$15,CHOOSE(ArtifactsInput!$N$15+1,25,30,35,40,45,50)/100*(((1-(1-Inputs!$B$11/150)*(1-1/150))*150)-Inputs!$B$11),0)))/100)/2</f>
        <v/>
      </c>
      <c r="M600">
        <f>L600*(1+(Inputs!$B$10+((C612=TRUE)*(F612-Calc!F25))+B622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0">
        <f>L600*(1-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600*(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0">
        <f>(1-Summary!$B$11)*T600+Summary!$B$11*V600</f>
        <v/>
      </c>
      <c r="P600">
        <f>IF(B627=0,0,O600/B627)</f>
        <v/>
      </c>
      <c r="Q600">
        <f>IFERROR(1/(IF(Inputs!$B$38="pvp",15,MAX(0.1,Skills!D13-IF(Skills!E13=TRUE,Inputs!$B$32,0)))*(1-IF(AND(ArtifactsInput!$M$27,Inputs!$B$4="Chapter Hunt"),CHOOSE(ArtifactsInput!$N$27+1,20,24,28,32,36,40),0)/100)),0)</f>
        <v/>
      </c>
      <c r="R600">
        <f>IF(AND(Inputs!$B$38&lt;&gt;"pvp",Inputs!$B$43&gt;0),IF(MAX(0,Inputs!$B$43-B624)&lt;=0,0,(INT(MAX(0,Inputs!$B$43-B624)/(IF(Inputs!$B$38="pvp",15,MAX(0.1,Skills!D13-IF(Skills!E13=TRUE,Inputs!$B$32,0)))*(1-IF(AND(ArtifactsInput!$M$27,Inputs!$B$4="Chapter Hunt"),CHOOSE(ArtifactsInput!$N$27+1,20,24,28,32,36,40),0)/100)))+1)),0)</f>
        <v/>
      </c>
      <c r="S600">
        <f>IFERROR(O600/N600,0)</f>
        <v/>
      </c>
      <c r="T600">
        <f>IF(C600,(H600*N600*IF(AND(Inputs!$B$38&lt;&gt;"pvp",Inputs!$B$43&gt;0),((Skills!G13*((R600-1)*IF(Skills!H13&gt;0,Skills!I13/Skills!H13,1)+IF(Skills!H13&gt;0,MIN(Skills!I13,MAX(0,MAX(0,Inputs!$B$43-B624)-((R600-1)*(IF(Inputs!$B$38="pvp",15,MAX(0.1,Skills!D13-IF(Skills!E13=TRUE,Inputs!$B$32,0)))*(1-IF(AND(ArtifactsInput!$M$27,Inputs!$B$4="Chapter Hunt"),CHOOSE(ArtifactsInput!$N$27+1,20,24,28,32,36,40),0)/100)))))/Skills!H13,1)))/Inputs!$B$43),G600*Q600)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600*(1-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600*(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600*(1-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600*(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0">
        <f>IF(C600,(H600*N600*IF(AND(Inputs!$B$38&lt;&gt;"pvp",Inputs!$B$43&gt;0),((Skills!G13*((R600-1)*IF(Skills!H13&gt;0,Skills!I13/Skills!H13,1)+IF(Skills!H13&gt;0,MIN(Skills!I13,MAX(0,MAX(0,Inputs!$B$43-B624)-((R600-1)*(IF(Inputs!$B$38="pvp",15,MAX(0.1,Skills!D13-IF(Skills!E13=TRUE,Inputs!$B$32,0)))*(1-IF(AND(ArtifactsInput!$M$27,Inputs!$B$4="Chapter Hunt"),CHOOSE(ArtifactsInput!$N$27+1,20,24,28,32,36,40),0)/100)))))/Skills!H13,1)))/Inputs!$B$43),G600*Q600))*IF(Inputs!$B$38="pvp",1,(1+(Inputs!$B$21+Skills!Q13+(IF(ArtifactsInput!$M$33,CHOOSE(ArtifactsInput!$N$33+1,30,36,42,48,54,60)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1">
      <c r="A601">
        <f>Skills!A14</f>
        <v/>
      </c>
      <c r="B601">
        <f>Skills!B14</f>
        <v/>
      </c>
      <c r="C601">
        <f>Inputs!$B$3&gt;=125</f>
        <v/>
      </c>
      <c r="D601">
        <f>IF(Skills!C14=1,60+Inputs!$B$25+Inputs!$B$29,IF(Skills!C14=2,90+Inputs!$B$26+Inputs!$B$29,IF(Skills!C14=3,120+Inputs!$B$27+Inputs!$B$29,MAX(0,(Inputs!$B$3-100)*3)+Inputs!$B$28+Inputs!$B$29)))</f>
        <v/>
      </c>
      <c r="E601">
        <f>INDEX(FactorTable!$B$2:$Y$301, MATCH(ROUND(MIN(300,MAX(1,D601)),0), FactorTable!$A$2:$A$301,0), Skills!M14+1)</f>
        <v/>
      </c>
      <c r="F601">
        <f>IF(Skills!N14=TRUE,(Skills!L14/10)*(E601/1000),Skills!L14/10)+Skills!O14</f>
        <v/>
      </c>
      <c r="G601">
        <f>Skills!G14*IF(Skills!H14&gt;0,Skills!I14/Skills!H14,1)</f>
        <v/>
      </c>
      <c r="H601">
        <f>1-(1-Skills!J14/100)^Skills!K14</f>
        <v/>
      </c>
      <c r="I601" t="inlineStr">
        <is>
          <t>1</t>
        </is>
      </c>
      <c r="J601">
        <f>((Inputs!$B$6*(1+Inputs!$B$7/100))+(((Inputs!$B$12*(1+Inputs!$B$13/100))-(Inputs!$B$12*(1+Inputs!$B$13/100)))+0.25*(Inputs!$B$14-Inputs!$B$14))*(1+Inputs!$B$7/100))*(F601/100)</f>
        <v/>
      </c>
      <c r="K601">
        <f>J601*(1+((Inputs!$B$12*(1+Inputs!$B$13/100))*0.01+Inputs!$B$14*0.0025)/100)*(1+Inputs!$B$15/100)*(1+Inputs!$B$16/100)*(5000/(6000+Inputs!$B$42*(1-(100*(1-(1-(Inputs!$B$19+0)/100)*(1-CHOOSE(ArtifactsInput!$N$40+1,5,6,7,8,9,10)/100)^(ArtifactsInput!$M$40-ArtifactsInput!$M$40)))/100)))*(1+(Inputs!$B$24+((C613=TRUE)*(F613-Calc!F26))+B623)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14="EIGHT_LEGS_EASTON",Inputs!$B$17+((C610=TRUE)*(F610-Calc!F23))+((C614=TRUE)*(F614-Calc!F27))+(((IF(AND(ArtifactsInput!$M$42,((Inputs!$B$9+((C606=TRUE)*(F606-Calc!F19))+B617+(ArtifactsInput!$M$24-ArtifactsInput!$M$24)*CHOOSE(ArtifactsInput!$N$24+1,10,12,14,16,18,20)+IF(ArtifactsInput!$M$10,CHOOSE(ArtifactsInput!$N$10+1,15,18,21,24,27,30)*(IF(Inputs!$B$38="pvp",MIN(15,15)/15,IF(AND(Inputs!$B$38&lt;&gt;"pvp",Inputs!$B$43&gt;0),MIN(15,Inputs!$B$43)/(Inputs!$B$43),0))),0)))&gt;=100),MIN(100,((Inputs!$B$9+((C606=TRUE)*(F606-Calc!F19))+B617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606=TRUE)*(F606-Calc!F19))+B617+(ArtifactsInput!$M$24-ArtifactsInput!$M$24)*CHOOSE(ArtifactsInput!$N$24+1,10,12,14,16,18,20)+IF(ArtifactsInput!$M$10,CHOOSE(ArtifactsInput!$N$10+1,15,18,21,24,27,30)*(IF(Inputs!$B$38="pvp",MIN(15,15)/15,IF(AND(Inputs!$B$38&lt;&gt;"pvp",Inputs!$B$43&gt;0),MIN(15,Inputs!$B$43)/(Inputs!$B$43),0))),0)))&gt;=100),CHOOSE(ArtifactsInput!$N$42+1,40,48,56,64,72,80),0))))/100)*((1+(((C604=TRUE)*F604)+((C611=TRUE)*(F611-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601)</f>
        <v/>
      </c>
      <c r="L601">
        <f>K601*(MIN(Inputs!$B$22+((C609=TRUE)*(F609-Calc!F22)),(Inputs!$B$23+0+(IF(ArtifactsInput!$M$15,CHOOSE(ArtifactsInput!$N$15+1,25,30,35,40,45,50)/100*(((1-(1-Inputs!$B$11/150)*(1-1/150))*150)-Inputs!$B$11),0))))/100+(Inputs!$B$23+0+(IF(ArtifactsInput!$M$15,CHOOSE(ArtifactsInput!$N$15+1,25,30,35,40,45,50)/100*(((1-(1-Inputs!$B$11/150)*(1-1/150))*150)-Inputs!$B$11),0)))/100)/2</f>
        <v/>
      </c>
      <c r="M601">
        <f>L601*(1+(Inputs!$B$10+((C612=TRUE)*(F612-Calc!F25))+B622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1">
        <f>L601*(1-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1">
        <f>(1-Summary!$B$11)*T601+Summary!$B$11*V601</f>
        <v/>
      </c>
      <c r="P601">
        <f>IF(B627=0,0,O601/B627)</f>
        <v/>
      </c>
      <c r="Q601" t="n">
        <v>0</v>
      </c>
      <c r="R601" t="n">
        <v>0</v>
      </c>
      <c r="S601">
        <f>IFERROR(O601/N601,0)</f>
        <v/>
      </c>
      <c r="T601">
        <f>IF(C601,(H601*N601*(B621+IF(AND(Inputs!$B$38&lt;&gt;"pvp",Inputs!$B$43&gt;0),((Skills!G8*((R595-1)*IF(Skills!H8&gt;0,Skills!I8/Skills!H8,1)+IF(Skills!H8&gt;0,MIN(Skills!I8,MAX(0,MAX(0,Inputs!$B$43-B624)-((R595-1)*(IF(Inputs!$B$38="pvp",15,MAX(0.1,Skills!D8-IF(Skills!E8=TRUE,Inputs!$B$32,0)))*(1-IF(AND(ArtifactsInput!$M$27,Inputs!$B$4="Chapter Hunt"),CHOOSE(ArtifactsInput!$N$27+1,20,24,28,32,36,40),0)/100)))))/Skills!H8,1)))/Inputs!$B$43),G595*Q595)+IF(AND(Inputs!$B$38&lt;&gt;"pvp",Inputs!$B$43&gt;0),((Skills!G11*((R598-1)*IF(Skills!H11&gt;0,Skills!I11/Skills!H11,1)+IF(Skills!H11&gt;0,MIN(Skills!I11,MAX(0,MAX(0,Inputs!$B$43-B624)-((R598-1)*(IF(Inputs!$B$38="pvp",15,MAX(0.1,Skills!D11-IF(Skills!E11=TRUE,Inputs!$B$32,0)))*(1-IF(AND(ArtifactsInput!$M$27,Inputs!$B$4="Chapter Hunt"),CHOOSE(ArtifactsInput!$N$27+1,20,24,28,32,36,40),0)/100)))))/Skills!H11,1)))/Inputs!$B$43),G598*Q598)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601*(1-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601*(1-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1">
        <f>IF(C601,(H601*N601*(B621+IF(AND(Inputs!$B$38&lt;&gt;"pvp",Inputs!$B$43&gt;0),((Skills!G8*((R595-1)*IF(Skills!H8&gt;0,Skills!I8/Skills!H8,1)+IF(Skills!H8&gt;0,MIN(Skills!I8,MAX(0,MAX(0,Inputs!$B$43-B624)-((R595-1)*(IF(Inputs!$B$38="pvp",15,MAX(0.1,Skills!D8-IF(Skills!E8=TRUE,Inputs!$B$32,0)))*(1-IF(AND(ArtifactsInput!$M$27,Inputs!$B$4="Chapter Hunt"),CHOOSE(ArtifactsInput!$N$27+1,20,24,28,32,36,40),0)/100)))))/Skills!H8,1)))/Inputs!$B$43),G595*Q595)+IF(AND(Inputs!$B$38&lt;&gt;"pvp",Inputs!$B$43&gt;0),((Skills!G11*((R598-1)*IF(Skills!H11&gt;0,Skills!I11/Skills!H11,1)+IF(Skills!H11&gt;0,MIN(Skills!I11,MAX(0,MAX(0,Inputs!$B$43-B624)-((R598-1)*(IF(Inputs!$B$38="pvp",15,MAX(0.1,Skills!D11-IF(Skills!E11=TRUE,Inputs!$B$32,0)))*(1-IF(AND(ArtifactsInput!$M$27,Inputs!$B$4="Chapter Hunt"),CHOOSE(ArtifactsInput!$N$27+1,20,24,28,32,36,40),0)/100)))))/Skills!H11,1)))/Inputs!$B$43),G598*Q598)))*IF(Inputs!$B$38="pvp",1,(1+(Inputs!$B$21+Skills!Q14+(IF(ArtifactsInput!$M$33,CHOOSE(ArtifactsInput!$N$33+1,30,36,42,48,54,60)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2">
      <c r="A602">
        <f>Skills!A15</f>
        <v/>
      </c>
      <c r="B602">
        <f>Skills!B15</f>
        <v/>
      </c>
      <c r="C602">
        <f>Inputs!$B$3&gt;=100</f>
        <v/>
      </c>
      <c r="D602">
        <f>IF(Skills!C15=1,60+Inputs!$B$25+Inputs!$B$29,IF(Skills!C15=2,90+Inputs!$B$26+Inputs!$B$29,IF(Skills!C15=3,120+Inputs!$B$27+Inputs!$B$29,MAX(0,(Inputs!$B$3-100)*3)+Inputs!$B$28+Inputs!$B$29)))</f>
        <v/>
      </c>
      <c r="E602">
        <f>INDEX(FactorTable!$B$2:$Y$301, MATCH(ROUND(MIN(300,MAX(1,D602)),0), FactorTable!$A$2:$A$301,0), Skills!M15+1)</f>
        <v/>
      </c>
      <c r="F602">
        <f>IF(Skills!N15=TRUE,(Skills!L15/10)*(E602/1000),Skills!L15/10)+Skills!O15</f>
        <v/>
      </c>
      <c r="G602" t="inlineStr"/>
      <c r="H602" t="inlineStr"/>
      <c r="I602" t="inlineStr">
        <is>
          <t>1</t>
        </is>
      </c>
      <c r="J602" t="inlineStr"/>
      <c r="K602" t="inlineStr"/>
      <c r="L602" t="inlineStr"/>
      <c r="M602" t="inlineStr"/>
      <c r="N602" t="inlineStr"/>
      <c r="O602" t="inlineStr"/>
      <c r="P602" t="inlineStr"/>
      <c r="Q602" t="inlineStr"/>
      <c r="R602" t="inlineStr"/>
      <c r="S602" t="inlineStr"/>
    </row>
    <row r="603">
      <c r="A603">
        <f>Skills!A16</f>
        <v/>
      </c>
      <c r="B603">
        <f>Skills!B16</f>
        <v/>
      </c>
      <c r="C603">
        <f>Inputs!$B$3&gt;=120</f>
        <v/>
      </c>
      <c r="D603">
        <f>IF(Skills!C16=1,60+Inputs!$B$25+Inputs!$B$29,IF(Skills!C16=2,90+Inputs!$B$26+Inputs!$B$29,IF(Skills!C16=3,120+Inputs!$B$27+Inputs!$B$29,MAX(0,(Inputs!$B$3-100)*3)+Inputs!$B$28+Inputs!$B$29)))</f>
        <v/>
      </c>
      <c r="E603">
        <f>INDEX(FactorTable!$B$2:$Y$301, MATCH(ROUND(MIN(300,MAX(1,D603)),0), FactorTable!$A$2:$A$301,0), Skills!M16+1)</f>
        <v/>
      </c>
      <c r="F603">
        <f>IF(Skills!N16=TRUE,(Skills!L16/10)*(E603/1000),Skills!L16/10)+Skills!O16</f>
        <v/>
      </c>
      <c r="G603" t="inlineStr"/>
      <c r="H603" t="inlineStr"/>
      <c r="I603" t="inlineStr">
        <is>
          <t>1</t>
        </is>
      </c>
      <c r="J603" t="inlineStr"/>
      <c r="K603" t="inlineStr"/>
      <c r="L603" t="inlineStr"/>
      <c r="M603" t="inlineStr"/>
      <c r="N603" t="inlineStr"/>
      <c r="O603" t="inlineStr"/>
      <c r="P603" t="inlineStr"/>
      <c r="Q603" t="inlineStr"/>
      <c r="R603" t="inlineStr"/>
      <c r="S603" t="inlineStr"/>
    </row>
    <row r="604">
      <c r="A604">
        <f>Skills!A17</f>
        <v/>
      </c>
      <c r="B604">
        <f>Skills!B17</f>
        <v/>
      </c>
      <c r="C604">
        <f>Inputs!$B$3&gt;=66</f>
        <v/>
      </c>
      <c r="D604">
        <f>IF(Skills!C17=1,60+Inputs!$B$25+Inputs!$B$29,IF(Skills!C17=2,90+Inputs!$B$26+Inputs!$B$29,IF(Skills!C17=3,120+Inputs!$B$27+Inputs!$B$29,MAX(0,(Inputs!$B$3-100)*3)+Inputs!$B$28+Inputs!$B$29)))</f>
        <v/>
      </c>
      <c r="E604">
        <f>INDEX(FactorTable!$B$2:$Y$301, MATCH(ROUND(MIN(300,MAX(1,D604)),0), FactorTable!$A$2:$A$301,0), Skills!M17+1)</f>
        <v/>
      </c>
      <c r="F604">
        <f>IF(Skills!N17=TRUE,(Skills!L17/10)*(E604/1000),Skills!L17/10)+Skills!O17</f>
        <v/>
      </c>
      <c r="G604">
        <f>Skills!G17*IF(Skills!H17&gt;0,Skills!I17/Skills!H17,1)</f>
        <v/>
      </c>
      <c r="H604">
        <f>1-(1-Skills!J17/100)^Skills!K17</f>
        <v/>
      </c>
      <c r="I604" t="inlineStr">
        <is>
          <t>1</t>
        </is>
      </c>
      <c r="J604" t="inlineStr"/>
      <c r="K604" t="inlineStr"/>
      <c r="L604" t="inlineStr"/>
      <c r="M604" t="inlineStr"/>
      <c r="N604" t="inlineStr"/>
      <c r="O604">
        <f>(1-Summary!$B$11)*T604+Summary!$B$11*V604</f>
        <v/>
      </c>
      <c r="P604">
        <f>IF(B627=0,0,O604/B627)</f>
        <v/>
      </c>
      <c r="Q604" t="n">
        <v>0</v>
      </c>
      <c r="R604" t="n">
        <v>0</v>
      </c>
      <c r="S604">
        <f>IFERROR(O604/N604,0)</f>
        <v/>
      </c>
      <c r="T604" t="n">
        <v>0</v>
      </c>
      <c r="V604" t="n">
        <v>0</v>
      </c>
    </row>
    <row r="605">
      <c r="A605">
        <f>Skills!A18</f>
        <v/>
      </c>
      <c r="B605">
        <f>Skills!B18</f>
        <v/>
      </c>
      <c r="C605">
        <f>Inputs!$B$3&gt;=115</f>
        <v/>
      </c>
      <c r="D605">
        <f>IF(Skills!C18=1,60+Inputs!$B$25+Inputs!$B$29,IF(Skills!C18=2,90+Inputs!$B$26+Inputs!$B$29,IF(Skills!C18=3,120+Inputs!$B$27+Inputs!$B$29,MAX(0,(Inputs!$B$3-100)*3)+Inputs!$B$28+Inputs!$B$29)))</f>
        <v/>
      </c>
      <c r="E605">
        <f>INDEX(FactorTable!$B$2:$Y$301, MATCH(ROUND(MIN(300,MAX(1,D605)),0), FactorTable!$A$2:$A$301,0), Skills!M18+1)</f>
        <v/>
      </c>
      <c r="F605">
        <f>IF(Skills!N18=TRUE,(Skills!L18/10)*(E605/1000),Skills!L18/10)+Skills!O18</f>
        <v/>
      </c>
      <c r="G605">
        <f>Skills!G18*IF(Skills!H18&gt;0,Skills!I18/Skills!H18,1)</f>
        <v/>
      </c>
      <c r="H605">
        <f>1-(1-Skills!J18/100)^Skills!K18</f>
        <v/>
      </c>
      <c r="I605" t="inlineStr">
        <is>
          <t>1</t>
        </is>
      </c>
      <c r="J605" t="inlineStr"/>
      <c r="K605" t="inlineStr"/>
      <c r="L605" t="inlineStr"/>
      <c r="M605" t="inlineStr"/>
      <c r="N605" t="inlineStr"/>
      <c r="O605">
        <f>(1-Summary!$B$11)*T605+Summary!$B$11*V605</f>
        <v/>
      </c>
      <c r="P605">
        <f>IF(B627=0,0,O605/B627)</f>
        <v/>
      </c>
      <c r="Q605" t="n">
        <v>0</v>
      </c>
      <c r="R605" t="n">
        <v>0</v>
      </c>
      <c r="S605">
        <f>IFERROR(O605/N605,0)</f>
        <v/>
      </c>
      <c r="T605" t="n">
        <v>0</v>
      </c>
      <c r="V605" t="n">
        <v>0</v>
      </c>
    </row>
    <row r="606">
      <c r="A606">
        <f>Skills!A19</f>
        <v/>
      </c>
      <c r="B606">
        <f>Skills!B19</f>
        <v/>
      </c>
      <c r="C606">
        <f>Inputs!$B$3&gt;=15</f>
        <v/>
      </c>
      <c r="D606">
        <f>IF(Skills!C19=1,60+Inputs!$B$25+Inputs!$B$29,IF(Skills!C19=2,90+Inputs!$B$26+Inputs!$B$29,IF(Skills!C19=3,120+Inputs!$B$27+Inputs!$B$29,MAX(0,(Inputs!$B$3-100)*3)+Inputs!$B$28+Inputs!$B$29)))</f>
        <v/>
      </c>
      <c r="E606">
        <f>INDEX(FactorTable!$B$2:$Y$301, MATCH(ROUND(MIN(300,MAX(1,D606)),0), FactorTable!$A$2:$A$301,0), Skills!M19+1)</f>
        <v/>
      </c>
      <c r="F606">
        <f>IF(Skills!N19=TRUE,(Skills!L19/10)*(E606/1000),Skills!L19/10)+Skills!O19</f>
        <v/>
      </c>
      <c r="G606">
        <f>Skills!G19*IF(Skills!H19&gt;0,Skills!I19/Skills!H19,1)</f>
        <v/>
      </c>
      <c r="H606">
        <f>1-(1-Skills!J19/100)^Skills!K19</f>
        <v/>
      </c>
      <c r="I606" t="inlineStr">
        <is>
          <t>1</t>
        </is>
      </c>
      <c r="J606" t="inlineStr"/>
      <c r="K606" t="inlineStr"/>
      <c r="L606" t="inlineStr"/>
      <c r="M606" t="inlineStr"/>
      <c r="N606" t="inlineStr"/>
      <c r="O606">
        <f>(1-Summary!$B$11)*T606+Summary!$B$11*V606</f>
        <v/>
      </c>
      <c r="P606">
        <f>IF(B627=0,0,O606/B627)</f>
        <v/>
      </c>
      <c r="Q606" t="n">
        <v>0</v>
      </c>
      <c r="R606" t="n">
        <v>0</v>
      </c>
      <c r="S606">
        <f>IFERROR(O606/N606,0)</f>
        <v/>
      </c>
      <c r="T606" t="n">
        <v>0</v>
      </c>
      <c r="V606" t="n">
        <v>0</v>
      </c>
    </row>
    <row r="607">
      <c r="A607">
        <f>Skills!A20</f>
        <v/>
      </c>
      <c r="B607">
        <f>Skills!B20</f>
        <v/>
      </c>
      <c r="C607">
        <f>Inputs!$B$3&gt;=10</f>
        <v/>
      </c>
      <c r="D607">
        <f>IF(Skills!C20=1,60+Inputs!$B$25+Inputs!$B$29,IF(Skills!C20=2,90+Inputs!$B$26+Inputs!$B$29,IF(Skills!C20=3,120+Inputs!$B$27+Inputs!$B$29,MAX(0,(Inputs!$B$3-100)*3)+Inputs!$B$28+Inputs!$B$29)))</f>
        <v/>
      </c>
      <c r="E607">
        <f>INDEX(FactorTable!$B$2:$Y$301, MATCH(ROUND(MIN(300,MAX(1,D607)),0), FactorTable!$A$2:$A$301,0), Skills!M20+1)</f>
        <v/>
      </c>
      <c r="F607">
        <f>IF(Skills!N20=TRUE,(Skills!L20/10)*(E607/1000),Skills!L20/10)+Skills!O20</f>
        <v/>
      </c>
      <c r="G607">
        <f>Skills!G20*IF(Skills!H20&gt;0,Skills!I20/Skills!H20,1)</f>
        <v/>
      </c>
      <c r="H607">
        <f>1-(1-Skills!J20/100)^Skills!K20</f>
        <v/>
      </c>
      <c r="I607" t="inlineStr">
        <is>
          <t>1</t>
        </is>
      </c>
      <c r="J607" t="inlineStr"/>
      <c r="K607" t="inlineStr"/>
      <c r="L607" t="inlineStr"/>
      <c r="M607" t="inlineStr"/>
      <c r="N607" t="inlineStr"/>
      <c r="O607">
        <f>(1-Summary!$B$11)*T607+Summary!$B$11*V607</f>
        <v/>
      </c>
      <c r="P607">
        <f>IF(B627=0,0,O607/B627)</f>
        <v/>
      </c>
      <c r="Q607" t="n">
        <v>0</v>
      </c>
      <c r="R607" t="n">
        <v>0</v>
      </c>
      <c r="S607">
        <f>IFERROR(O607/N607,0)</f>
        <v/>
      </c>
      <c r="T607" t="n">
        <v>0</v>
      </c>
      <c r="V607" t="n">
        <v>0</v>
      </c>
    </row>
    <row r="608">
      <c r="A608">
        <f>Skills!A21</f>
        <v/>
      </c>
      <c r="B608">
        <f>Skills!B21</f>
        <v/>
      </c>
      <c r="C608">
        <f>Inputs!$B$3&gt;=33</f>
        <v/>
      </c>
      <c r="D608">
        <f>IF(Skills!C21=1,60+Inputs!$B$25+Inputs!$B$29,IF(Skills!C21=2,90+Inputs!$B$26+Inputs!$B$29,IF(Skills!C21=3,120+Inputs!$B$27+Inputs!$B$29,MAX(0,(Inputs!$B$3-100)*3)+Inputs!$B$28+Inputs!$B$29)))</f>
        <v/>
      </c>
      <c r="E608">
        <f>INDEX(FactorTable!$B$2:$Y$301, MATCH(ROUND(MIN(300,MAX(1,D608)),0), FactorTable!$A$2:$A$301,0), Skills!M21+1)</f>
        <v/>
      </c>
      <c r="F608">
        <f>IF(Skills!N21=TRUE,(Skills!L21/10)*(E608/1000),Skills!L21/10)+Skills!O21</f>
        <v/>
      </c>
      <c r="G608">
        <f>Skills!G21*IF(Skills!H21&gt;0,Skills!I21/Skills!H21,1)</f>
        <v/>
      </c>
      <c r="H608">
        <f>1-(1-Skills!J21/100)^Skills!K21</f>
        <v/>
      </c>
      <c r="I608" t="inlineStr">
        <is>
          <t>1</t>
        </is>
      </c>
      <c r="J608" t="inlineStr"/>
      <c r="K608" t="inlineStr"/>
      <c r="L608" t="inlineStr"/>
      <c r="M608" t="inlineStr"/>
      <c r="N608" t="inlineStr"/>
      <c r="O608">
        <f>(1-Summary!$B$11)*T608+Summary!$B$11*V608</f>
        <v/>
      </c>
      <c r="P608">
        <f>IF(B627=0,0,O608/B627)</f>
        <v/>
      </c>
      <c r="Q608" t="n">
        <v>0</v>
      </c>
      <c r="R608" t="n">
        <v>0</v>
      </c>
      <c r="S608">
        <f>IFERROR(O608/N608,0)</f>
        <v/>
      </c>
      <c r="T608" t="n">
        <v>0</v>
      </c>
      <c r="V608" t="n">
        <v>0</v>
      </c>
    </row>
    <row r="609">
      <c r="A609">
        <f>Skills!A22</f>
        <v/>
      </c>
      <c r="B609">
        <f>Skills!B22</f>
        <v/>
      </c>
      <c r="C609">
        <f>Inputs!$B$3&gt;=43</f>
        <v/>
      </c>
      <c r="D609">
        <f>IF(Skills!C22=1,60+Inputs!$B$25+Inputs!$B$29,IF(Skills!C22=2,90+Inputs!$B$26+Inputs!$B$29,IF(Skills!C22=3,120+Inputs!$B$27+Inputs!$B$29,MAX(0,(Inputs!$B$3-100)*3)+Inputs!$B$28+Inputs!$B$29)))</f>
        <v/>
      </c>
      <c r="E609">
        <f>INDEX(FactorTable!$B$2:$Y$301, MATCH(ROUND(MIN(300,MAX(1,D609)),0), FactorTable!$A$2:$A$301,0), Skills!M22+1)</f>
        <v/>
      </c>
      <c r="F609">
        <f>IF(Skills!N22=TRUE,(Skills!L22/10)*(E609/1000),Skills!L22/10)+Skills!O22</f>
        <v/>
      </c>
      <c r="G609">
        <f>Skills!G22*IF(Skills!H22&gt;0,Skills!I22/Skills!H22,1)</f>
        <v/>
      </c>
      <c r="H609">
        <f>1-(1-Skills!J22/100)^Skills!K22</f>
        <v/>
      </c>
      <c r="I609" t="inlineStr">
        <is>
          <t>1</t>
        </is>
      </c>
      <c r="J609" t="inlineStr"/>
      <c r="K609" t="inlineStr"/>
      <c r="L609" t="inlineStr"/>
      <c r="M609" t="inlineStr"/>
      <c r="N609" t="inlineStr"/>
      <c r="O609">
        <f>(1-Summary!$B$11)*T609+Summary!$B$11*V609</f>
        <v/>
      </c>
      <c r="P609">
        <f>IF(B627=0,0,O609/B627)</f>
        <v/>
      </c>
      <c r="Q609" t="n">
        <v>0</v>
      </c>
      <c r="R609" t="n">
        <v>0</v>
      </c>
      <c r="S609">
        <f>IFERROR(O609/N609,0)</f>
        <v/>
      </c>
      <c r="T609" t="n">
        <v>0</v>
      </c>
      <c r="V609" t="n">
        <v>0</v>
      </c>
    </row>
    <row r="610">
      <c r="A610">
        <f>Skills!A23</f>
        <v/>
      </c>
      <c r="B610">
        <f>Skills!B23</f>
        <v/>
      </c>
      <c r="C610">
        <f>Inputs!$B$3&gt;=38</f>
        <v/>
      </c>
      <c r="D610">
        <f>IF(Skills!C23=1,60+Inputs!$B$25+Inputs!$B$29,IF(Skills!C23=2,90+Inputs!$B$26+Inputs!$B$29,IF(Skills!C23=3,120+Inputs!$B$27+Inputs!$B$29,MAX(0,(Inputs!$B$3-100)*3)+Inputs!$B$28+Inputs!$B$29)))</f>
        <v/>
      </c>
      <c r="E610">
        <f>INDEX(FactorTable!$B$2:$Y$301, MATCH(ROUND(MIN(300,MAX(1,D610)),0), FactorTable!$A$2:$A$301,0), Skills!M23+1)</f>
        <v/>
      </c>
      <c r="F610">
        <f>IF(Skills!N23=TRUE,(Skills!L23/10)*(E610/1000),Skills!L23/10)+Skills!O23</f>
        <v/>
      </c>
      <c r="G610">
        <f>Skills!G23*IF(Skills!H23&gt;0,Skills!I23/Skills!H23,1)</f>
        <v/>
      </c>
      <c r="H610">
        <f>1-(1-Skills!J23/100)^Skills!K23</f>
        <v/>
      </c>
      <c r="I610" t="inlineStr">
        <is>
          <t>1</t>
        </is>
      </c>
      <c r="J610" t="inlineStr"/>
      <c r="K610" t="inlineStr"/>
      <c r="L610" t="inlineStr"/>
      <c r="M610" t="inlineStr"/>
      <c r="N610" t="inlineStr"/>
      <c r="O610">
        <f>(1-Summary!$B$11)*T610+Summary!$B$11*V610</f>
        <v/>
      </c>
      <c r="P610">
        <f>IF(B627=0,0,O610/B627)</f>
        <v/>
      </c>
      <c r="Q610" t="n">
        <v>0</v>
      </c>
      <c r="R610" t="n">
        <v>0</v>
      </c>
      <c r="S610">
        <f>IFERROR(O610/N610,0)</f>
        <v/>
      </c>
      <c r="T610" t="n">
        <v>0</v>
      </c>
      <c r="V610" t="n">
        <v>0</v>
      </c>
    </row>
    <row r="611">
      <c r="A611">
        <f>Skills!A24</f>
        <v/>
      </c>
      <c r="B611">
        <f>Skills!B24</f>
        <v/>
      </c>
      <c r="C611">
        <f>Inputs!$B$3&gt;=40</f>
        <v/>
      </c>
      <c r="D611">
        <f>IF(Skills!C24=1,60+Inputs!$B$25+Inputs!$B$29,IF(Skills!C24=2,90+Inputs!$B$26+Inputs!$B$29,IF(Skills!C24=3,120+Inputs!$B$27+Inputs!$B$29,MAX(0,(Inputs!$B$3-100)*3)+Inputs!$B$28+Inputs!$B$29)))</f>
        <v/>
      </c>
      <c r="E611">
        <f>INDEX(FactorTable!$B$2:$Y$301, MATCH(ROUND(MIN(300,MAX(1,D611)),0), FactorTable!$A$2:$A$301,0), Skills!M24+1)</f>
        <v/>
      </c>
      <c r="F611">
        <f>IF(Skills!N24=TRUE,(Skills!L24/10)*(E611/1000),Skills!L24/10)+Skills!O24</f>
        <v/>
      </c>
      <c r="G611">
        <f>Skills!G24*IF(Skills!H24&gt;0,Skills!I24/Skills!H24,1)</f>
        <v/>
      </c>
      <c r="H611">
        <f>1-(1-Skills!J24/100)^Skills!K24</f>
        <v/>
      </c>
      <c r="I611" t="inlineStr">
        <is>
          <t>1</t>
        </is>
      </c>
      <c r="J611" t="inlineStr"/>
      <c r="K611" t="inlineStr"/>
      <c r="L611" t="inlineStr"/>
      <c r="M611" t="inlineStr"/>
      <c r="N611" t="inlineStr"/>
      <c r="O611">
        <f>(1-Summary!$B$11)*T611+Summary!$B$11*V611</f>
        <v/>
      </c>
      <c r="P611">
        <f>IF(B627=0,0,O611/B627)</f>
        <v/>
      </c>
      <c r="Q611" t="n">
        <v>0</v>
      </c>
      <c r="R611" t="n">
        <v>0</v>
      </c>
      <c r="S611">
        <f>IFERROR(O611/N611,0)</f>
        <v/>
      </c>
      <c r="T611" t="n">
        <v>0</v>
      </c>
      <c r="V611" t="n">
        <v>0</v>
      </c>
    </row>
    <row r="612">
      <c r="A612">
        <f>Skills!A25</f>
        <v/>
      </c>
      <c r="B612">
        <f>Skills!B25</f>
        <v/>
      </c>
      <c r="C612">
        <f>Inputs!$B$3&gt;=72</f>
        <v/>
      </c>
      <c r="D612">
        <f>IF(Skills!C25=1,60+Inputs!$B$25+Inputs!$B$29,IF(Skills!C25=2,90+Inputs!$B$26+Inputs!$B$29,IF(Skills!C25=3,120+Inputs!$B$27+Inputs!$B$29,MAX(0,(Inputs!$B$3-100)*3)+Inputs!$B$28+Inputs!$B$29)))</f>
        <v/>
      </c>
      <c r="E612">
        <f>INDEX(FactorTable!$B$2:$Y$301, MATCH(ROUND(MIN(300,MAX(1,D612)),0), FactorTable!$A$2:$A$301,0), Skills!M25+1)</f>
        <v/>
      </c>
      <c r="F612">
        <f>IF(Skills!N25=TRUE,(Skills!L25/10)*(E612/1000),Skills!L25/10)+Skills!O25</f>
        <v/>
      </c>
      <c r="G612">
        <f>Skills!G25*IF(Skills!H25&gt;0,Skills!I25/Skills!H25,1)</f>
        <v/>
      </c>
      <c r="H612">
        <f>1-(1-Skills!J25/100)^Skills!K25</f>
        <v/>
      </c>
      <c r="I612" t="inlineStr">
        <is>
          <t>1</t>
        </is>
      </c>
      <c r="J612" t="inlineStr"/>
      <c r="K612" t="inlineStr"/>
      <c r="L612" t="inlineStr"/>
      <c r="M612" t="inlineStr"/>
      <c r="N612" t="inlineStr"/>
      <c r="O612">
        <f>(1-Summary!$B$11)*T612+Summary!$B$11*V612</f>
        <v/>
      </c>
      <c r="P612">
        <f>IF(B627=0,0,O612/B627)</f>
        <v/>
      </c>
      <c r="Q612" t="n">
        <v>0</v>
      </c>
      <c r="R612" t="n">
        <v>0</v>
      </c>
      <c r="S612">
        <f>IFERROR(O612/N612,0)</f>
        <v/>
      </c>
      <c r="T612" t="n">
        <v>0</v>
      </c>
      <c r="V612" t="n">
        <v>0</v>
      </c>
    </row>
    <row r="613">
      <c r="A613">
        <f>Skills!A26</f>
        <v/>
      </c>
      <c r="B613">
        <f>Skills!B26</f>
        <v/>
      </c>
      <c r="C613">
        <f>Inputs!$B$3&gt;=75</f>
        <v/>
      </c>
      <c r="D613">
        <f>IF(Skills!C26=1,60+Inputs!$B$25+Inputs!$B$29,IF(Skills!C26=2,90+Inputs!$B$26+Inputs!$B$29,IF(Skills!C26=3,120+Inputs!$B$27+Inputs!$B$29,MAX(0,(Inputs!$B$3-100)*3)+Inputs!$B$28+Inputs!$B$29)))</f>
        <v/>
      </c>
      <c r="E613">
        <f>INDEX(FactorTable!$B$2:$Y$301, MATCH(ROUND(MIN(300,MAX(1,D613)),0), FactorTable!$A$2:$A$301,0), Skills!M26+1)</f>
        <v/>
      </c>
      <c r="F613">
        <f>IF(Skills!N26=TRUE,(Skills!L26/10)*(E613/1000),Skills!L26/10)+Skills!O26</f>
        <v/>
      </c>
      <c r="G613">
        <f>Skills!G26*IF(Skills!H26&gt;0,Skills!I26/Skills!H26,1)</f>
        <v/>
      </c>
      <c r="H613">
        <f>1-(1-Skills!J26/100)^Skills!K26</f>
        <v/>
      </c>
      <c r="I613" t="inlineStr">
        <is>
          <t>1</t>
        </is>
      </c>
      <c r="J613" t="inlineStr"/>
      <c r="K613" t="inlineStr"/>
      <c r="L613" t="inlineStr"/>
      <c r="M613" t="inlineStr"/>
      <c r="N613" t="inlineStr"/>
      <c r="O613">
        <f>(1-Summary!$B$11)*T613+Summary!$B$11*V613</f>
        <v/>
      </c>
      <c r="P613">
        <f>IF(B627=0,0,O613/B627)</f>
        <v/>
      </c>
      <c r="Q613" t="n">
        <v>0</v>
      </c>
      <c r="R613" t="n">
        <v>0</v>
      </c>
      <c r="S613">
        <f>IFERROR(O613/N613,0)</f>
        <v/>
      </c>
      <c r="T613" t="n">
        <v>0</v>
      </c>
      <c r="V613" t="n">
        <v>0</v>
      </c>
    </row>
    <row r="614">
      <c r="A614">
        <f>Skills!A27</f>
        <v/>
      </c>
      <c r="B614">
        <f>Skills!B27</f>
        <v/>
      </c>
      <c r="C614">
        <f>Inputs!$B$3&gt;=117</f>
        <v/>
      </c>
      <c r="D614">
        <f>IF(Skills!C27=1,60+Inputs!$B$25+Inputs!$B$29,IF(Skills!C27=2,90+Inputs!$B$26+Inputs!$B$29,IF(Skills!C27=3,120+Inputs!$B$27+Inputs!$B$29,MAX(0,(Inputs!$B$3-100)*3)+Inputs!$B$28+Inputs!$B$29)))</f>
        <v/>
      </c>
      <c r="E614">
        <f>INDEX(FactorTable!$B$2:$Y$301, MATCH(ROUND(MIN(300,MAX(1,D614)),0), FactorTable!$A$2:$A$301,0), Skills!M27+1)</f>
        <v/>
      </c>
      <c r="F614">
        <f>IF(Skills!N27=TRUE,(Skills!L27/10)*(E614/1000),Skills!L27/10)+Skills!O27</f>
        <v/>
      </c>
      <c r="G614">
        <f>Skills!G27*IF(Skills!H27&gt;0,Skills!I27/Skills!H27,1)</f>
        <v/>
      </c>
      <c r="H614">
        <f>1-(1-Skills!J27/100)^Skills!K27</f>
        <v/>
      </c>
      <c r="I614" t="inlineStr">
        <is>
          <t>1</t>
        </is>
      </c>
      <c r="J614" t="inlineStr"/>
      <c r="K614" t="inlineStr"/>
      <c r="L614" t="inlineStr"/>
      <c r="M614" t="inlineStr"/>
      <c r="N614" t="inlineStr"/>
      <c r="O614">
        <f>(1-Summary!$B$11)*T614+Summary!$B$11*V614</f>
        <v/>
      </c>
      <c r="P614">
        <f>IF(B627=0,0,O614/B627)</f>
        <v/>
      </c>
      <c r="Q614" t="n">
        <v>0</v>
      </c>
      <c r="R614" t="n">
        <v>0</v>
      </c>
      <c r="S614">
        <f>IFERROR(O614/N614,0)</f>
        <v/>
      </c>
      <c r="T614" t="n">
        <v>0</v>
      </c>
      <c r="V614" t="n">
        <v>0</v>
      </c>
    </row>
    <row r="616">
      <c r="A616" t="inlineStr">
        <is>
          <t>Attack% Bucket Multiplier</t>
        </is>
      </c>
      <c r="B616">
        <f>(1+(((C604=TRUE)*F604)+((C611=TRUE)*(F611-Calc!F24))+(IF(ArtifactsInput!$M$21,CHOOSE(ArtifactsInput!$N$21+1,25,30,35,40,45,50)*(IF(OR(Inputs!$B$4="Chapter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17">
      <c r="A617" t="inlineStr">
        <is>
          <t>Global Crit Rate Bonus %</t>
        </is>
      </c>
      <c r="B617" t="n">
        <v>0</v>
      </c>
    </row>
    <row r="618">
      <c r="A618" t="inlineStr">
        <is>
          <t>Attack Speed Buff Bonus % (unused)</t>
        </is>
      </c>
      <c r="B618" t="n">
        <v>0</v>
      </c>
    </row>
    <row r="619">
      <c r="A619" t="inlineStr">
        <is>
          <t>Actions Per Second</t>
        </is>
      </c>
      <c r="B619">
        <f>1+MIN(150,150*(1-(1-(((1-(1-Inputs!$B$11/150)*(1-1/150))*150)+((C607=TRUE)*(F607-Calc!F20))+((C608=TRUE)*(F608-Calc!F21)))/150)*(1-B618/150)))/100</f>
        <v/>
      </c>
    </row>
    <row r="620">
      <c r="A620" t="inlineStr">
        <is>
          <t>Skill + Buff Cast Rate</t>
        </is>
      </c>
      <c r="B620">
        <f>IF(AND(Inputs!$B$38&lt;&gt;"pvp",Inputs!$B$43&gt;0),SUMPRODUCT((Skills!E2:E27=TRUE)*(C589:C614=TRUE)*R589:R614*Skills!F2:F27)/Inputs!$B$43,SUMPRODUCT((Skills!E2:E27=TRUE)*(C589:C614=TRUE)*Q589:Q614*Skills!F2:F27))</f>
        <v/>
      </c>
    </row>
    <row r="621">
      <c r="A621" t="inlineStr">
        <is>
          <t>Eight-Legs Easton Casts Per Second</t>
        </is>
      </c>
      <c r="B621">
        <f>MAX(0,B619-B620)</f>
        <v/>
      </c>
    </row>
    <row r="622">
      <c r="A622" t="inlineStr">
        <is>
          <t>Global Critical Damage Bonus % (unused)</t>
        </is>
      </c>
      <c r="B622" t="n">
        <v>0</v>
      </c>
    </row>
    <row r="623">
      <c r="A623" t="inlineStr">
        <is>
          <t>Global Final Damage Bonus % (Jolly Roger only)</t>
        </is>
      </c>
      <c r="B623">
        <f>((C605=TRUE)*F605)</f>
        <v/>
      </c>
    </row>
    <row r="624">
      <c r="A624" t="inlineStr">
        <is>
          <t>Buff-Casting Startup Delay (s, fixed-duration only)</t>
        </is>
      </c>
      <c r="B624">
        <f>IF(AND(Inputs!$B$38&lt;&gt;"pvp",Inputs!$B$43&gt;0),SUMPRODUCT((Skills!T2:T27&gt;0)*(Skills!E2:E27=TRUE)*(C589:C614=TRUE))/B619,0)</f>
        <v/>
      </c>
    </row>
    <row r="625">
      <c r="A625" t="inlineStr">
        <is>
          <t>Boss-Only Total DPS (this block's swept value)</t>
        </is>
      </c>
      <c r="B625">
        <f>SUM(T589:T614)</f>
        <v/>
      </c>
    </row>
    <row r="626">
      <c r="A626" t="inlineStr">
        <is>
          <t>Normal-Only Total DPS (this block's swept value)</t>
        </is>
      </c>
      <c r="B626">
        <f>SUM(V589:V614)</f>
        <v/>
      </c>
    </row>
    <row r="627">
      <c r="A627" s="6" t="inlineStr">
        <is>
          <t>TOTAL DPS</t>
        </is>
      </c>
      <c r="B627" s="6">
        <f>SUM(O589:O614)</f>
        <v/>
      </c>
    </row>
    <row r="630">
      <c r="A630" s="6" t="inlineStr">
        <is>
          <t>Stat: DEF_PEN % (diminishing returns, factor 100)</t>
        </is>
      </c>
    </row>
    <row r="631">
      <c r="A631" s="5" t="inlineStr">
        <is>
          <t>Key</t>
        </is>
      </c>
      <c r="B631" s="5" t="inlineStr">
        <is>
          <t>Name</t>
        </is>
      </c>
      <c r="C631" s="5" t="inlineStr">
        <is>
          <t>Unlocked</t>
        </is>
      </c>
      <c r="D631" s="5" t="inlineStr">
        <is>
          <t>InputLevel</t>
        </is>
      </c>
      <c r="E631" s="5" t="inlineStr">
        <is>
          <t>Factor</t>
        </is>
      </c>
      <c r="F631" s="5" t="inlineStr">
        <is>
          <t>CoefficientPercent</t>
        </is>
      </c>
      <c r="G631" s="5" t="inlineStr">
        <is>
          <t>EffectiveHits</t>
        </is>
      </c>
      <c r="H631" s="5" t="inlineStr">
        <is>
          <t>ProcProbability</t>
        </is>
      </c>
      <c r="I631" s="5" t="inlineStr">
        <is>
          <t>MapleHeroMultiplier</t>
        </is>
      </c>
      <c r="J631" s="5" t="inlineStr">
        <is>
          <t>BaseDamage</t>
        </is>
      </c>
      <c r="K631" s="5" t="inlineStr">
        <is>
          <t>BaseHitDamage</t>
        </is>
      </c>
      <c r="L631" s="5" t="inlineStr">
        <is>
          <t>NonCritAvg</t>
        </is>
      </c>
      <c r="M631" s="5" t="inlineStr">
        <is>
          <t>CritAvg</t>
        </is>
      </c>
      <c r="N631" s="5" t="inlineStr">
        <is>
          <t>ExpectedDamage(perHit)</t>
        </is>
      </c>
      <c r="O631" s="5" t="inlineStr">
        <is>
          <t>DPS</t>
        </is>
      </c>
      <c r="P631" s="5" t="inlineStr">
        <is>
          <t>% of Total</t>
        </is>
      </c>
      <c r="Q631" s="5" t="inlineStr">
        <is>
          <t>InvCooldown</t>
        </is>
      </c>
      <c r="R631" s="5" t="inlineStr">
        <is>
          <t>CastsInFight</t>
        </is>
      </c>
      <c r="S631" s="5" t="inlineStr">
        <is>
          <t>HitRate(perSec)</t>
        </is>
      </c>
      <c r="U631" t="inlineStr">
        <is>
          <t>helpers</t>
        </is>
      </c>
    </row>
    <row r="632">
      <c r="A632">
        <f>Skills!A2</f>
        <v/>
      </c>
      <c r="B632">
        <f>Skills!B2</f>
        <v/>
      </c>
      <c r="C632">
        <f>Inputs!$B$3&gt;=100</f>
        <v/>
      </c>
      <c r="D632" t="inlineStr"/>
      <c r="E632" t="inlineStr"/>
      <c r="F632">
        <f>U634+Skills!O2</f>
        <v/>
      </c>
      <c r="G632">
        <f>Skills!G2*IF(Skills!H2&gt;0,Skills!I2/Skills!H2,1)</f>
        <v/>
      </c>
      <c r="H632">
        <f>1-(1-Skills!J2/100)^Skills!K2</f>
        <v/>
      </c>
      <c r="I632" t="inlineStr">
        <is>
          <t>1</t>
        </is>
      </c>
      <c r="J632">
        <f>((Inputs!$B$6*(1+Inputs!$B$7/100))+(((Inputs!$B$12*(1+Inputs!$B$13/100))-(Inputs!$B$12*(1+Inputs!$B$13/100)))+0.25*(Inputs!$B$14-Inputs!$B$14))*(1+Inputs!$B$7/100))*(F632/100)</f>
        <v/>
      </c>
      <c r="K632">
        <f>J632*(1+((Inputs!$B$12*(1+Inputs!$B$13/100))*0.01+Inputs!$B$14*0.0025)/100)*(1+Inputs!$B$15/100)*(1+Inputs!$B$16/100)*(5000/(6000+Inputs!$B$42*(1-(100*(1-(1-(((1-(1-Inputs!$B$19/100)*(1-1/100))*100)+0)/100)*(1-CHOOSE(ArtifactsInput!$N$40+1,5,6,7,8,9,10)/100)^(ArtifactsInput!$M$40-ArtifactsInput!$M$40)))/100)))*(1+(Inputs!$B$24+((C656=TRUE)*(F656-Calc!F26))+B666)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653=TRUE)*(F653-Calc!F23))+((C657=TRUE)*(F657-Calc!F27))+(((IF(AND(ArtifactsInput!$M$42,((Inputs!$B$9+((C649=TRUE)*(F649-Calc!F19))+B660+(ArtifactsInput!$M$24-ArtifactsInput!$M$24)*CHOOSE(ArtifactsInput!$N$24+1,10,12,14,16,18,20)+IF(ArtifactsInput!$M$10,CHOOSE(ArtifactsInput!$N$10+1,15,18,21,24,27,30)*(IF(Inputs!$B$38="pvp",MIN(15,15)/15,IF(AND(Inputs!$B$38&lt;&gt;"pvp",Inputs!$B$43&gt;0),MIN(15,Inputs!$B$43)/(Inputs!$B$43),0))),0)))&gt;=100),MIN(100,((Inputs!$B$9+((C649=TRUE)*(F649-Calc!F19))+B660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649=TRUE)*(F649-Calc!F19))+B660+(ArtifactsInput!$M$24-ArtifactsInput!$M$24)*CHOOSE(ArtifactsInput!$N$24+1,10,12,14,16,18,20)+IF(ArtifactsInput!$M$10,CHOOSE(ArtifactsInput!$N$10+1,15,18,21,24,27,30)*(IF(Inputs!$B$38="pvp",MIN(15,15)/15,IF(AND(Inputs!$B$38&lt;&gt;"pvp",Inputs!$B$43&gt;0),MIN(15,Inputs!$B$43)/(Inputs!$B$43),0))),0)))&gt;=100),CHOOSE(ArtifactsInput!$N$42+1,40,48,56,64,72,80),0))))/100)*((1+(((C647=TRUE)*F647)+((C654=TRUE)*(F654-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632)</f>
        <v/>
      </c>
      <c r="L632">
        <f>K632*(MIN(Inputs!$B$22+((C652=TRUE)*(F652-Calc!F22)),(Inputs!$B$23+0+(IF(ArtifactsInput!$M$15,CHOOSE(ArtifactsInput!$N$15+1,25,30,35,40,45,50)/100*(Inputs!$B$11-Inputs!$B$11),0))))/100+(Inputs!$B$23+0+(IF(ArtifactsInput!$M$15,CHOOSE(ArtifactsInput!$N$15+1,25,30,35,40,45,50)/100*(Inputs!$B$11-Inputs!$B$11),0)))/100)/2</f>
        <v/>
      </c>
      <c r="M632">
        <f>L632*(1+(Inputs!$B$10+((C655=TRUE)*(F655-Calc!F25))+B665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2">
        <f>L632*(1-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632*(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2">
        <f>(1-Summary!$B$11)*T632+Summary!$B$11*V632</f>
        <v/>
      </c>
      <c r="P632">
        <f>IF(B670=0,0,O632/B670)</f>
        <v/>
      </c>
      <c r="Q632" t="n">
        <v>0</v>
      </c>
      <c r="R632" t="n">
        <v>0</v>
      </c>
      <c r="S632">
        <f>IFERROR(O632/N632,0)</f>
        <v/>
      </c>
      <c r="T632">
        <f>IF(C632,(Skills!G2*N632*B664)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632*(1-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632*(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632*(1-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632*(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2">
        <f>MAX(0,(Inputs!$B$3-100)*3)+Inputs!$B$28+Inputs!$B$29</f>
        <v/>
      </c>
      <c r="V632">
        <f>IF(C632,(Skills!G2*N632*B664)*IF(Inputs!$B$38="pvp",1,(1+(Inputs!$B$21+Skills!Q2+(IF(ArtifactsInput!$M$33,CHOOSE(ArtifactsInput!$N$33+1,30,36,42,48,54,60),0))+(IF(AND(ArtifactsInput!$M$35,Inputs!$B$4&lt;&gt;"Chapter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3">
      <c r="A633">
        <f>Skills!A3</f>
        <v/>
      </c>
      <c r="B633">
        <f>Skills!B3</f>
        <v/>
      </c>
      <c r="C633">
        <f>Inputs!$B$3&gt;=35</f>
        <v/>
      </c>
      <c r="D633">
        <f>IF(Skills!C3=1,60+Inputs!$B$25+Inputs!$B$29,IF(Skills!C3=2,90+Inputs!$B$26+Inputs!$B$29,IF(Skills!C3=3,120+Inputs!$B$27+Inputs!$B$29,MAX(0,(Inputs!$B$3-100)*3)+Inputs!$B$28+Inputs!$B$29)))</f>
        <v/>
      </c>
      <c r="E633">
        <f>INDEX(FactorTable!$B$2:$Y$301, MATCH(ROUND(MIN(300,MAX(1,D633)),0), FactorTable!$A$2:$A$301,0), Skills!M3+1)</f>
        <v/>
      </c>
      <c r="F633">
        <f>IF(Skills!N3=TRUE,(Skills!L3/10)*(E633/1000),Skills!L3/10)+Skills!O3</f>
        <v/>
      </c>
      <c r="G633">
        <f>Skills!G3*IF(Skills!H3&gt;0,Skills!I3/Skills!H3,1)</f>
        <v/>
      </c>
      <c r="H633">
        <f>1-(1-Skills!J3/100)^Skills!K3</f>
        <v/>
      </c>
      <c r="I633" t="inlineStr">
        <is>
          <t>1</t>
        </is>
      </c>
      <c r="J633">
        <f>((Inputs!$B$6*(1+Inputs!$B$7/100))+(((Inputs!$B$12*(1+Inputs!$B$13/100))-(Inputs!$B$12*(1+Inputs!$B$13/100)))+0.25*(Inputs!$B$14-Inputs!$B$14))*(1+Inputs!$B$7/100))*(F633/100)</f>
        <v/>
      </c>
      <c r="K633">
        <f>J633*(1+((Inputs!$B$12*(1+Inputs!$B$13/100))*0.01+Inputs!$B$14*0.0025)/100)*(1+Inputs!$B$15/100)*(1+Inputs!$B$16/100)*(5000/(6000+Inputs!$B$42*(1-(100*(1-(1-(((1-(1-Inputs!$B$19/100)*(1-1/100))*100)+0)/100)*(1-CHOOSE(ArtifactsInput!$N$40+1,5,6,7,8,9,10)/100)^(ArtifactsInput!$M$40-ArtifactsInput!$M$40)))/100)))*(1+(Inputs!$B$24+((C656=TRUE)*(F656-Calc!F26))+B666)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645=TRUE,F645,0)/100)*(1+(IF(Skills!A3="EIGHT_LEGS_EASTON",Inputs!$B$17+((C653=TRUE)*(F653-Calc!F23))+((C657=TRUE)*(F657-Calc!F27))+(((IF(AND(ArtifactsInput!$M$42,((Inputs!$B$9+((C649=TRUE)*(F649-Calc!F19))+B660+(ArtifactsInput!$M$24-ArtifactsInput!$M$24)*CHOOSE(ArtifactsInput!$N$24+1,10,12,14,16,18,20)+IF(ArtifactsInput!$M$10,CHOOSE(ArtifactsInput!$N$10+1,15,18,21,24,27,30)*(IF(Inputs!$B$38="pvp",MIN(15,15)/15,IF(AND(Inputs!$B$38&lt;&gt;"pvp",Inputs!$B$43&gt;0),MIN(15,Inputs!$B$43)/(Inputs!$B$43),0))),0)))&gt;=100),MIN(100,((Inputs!$B$9+((C649=TRUE)*(F649-Calc!F19))+B660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649=TRUE)*(F649-Calc!F19))+B660+(ArtifactsInput!$M$24-ArtifactsInput!$M$24)*CHOOSE(ArtifactsInput!$N$24+1,10,12,14,16,18,20)+IF(ArtifactsInput!$M$10,CHOOSE(ArtifactsInput!$N$10+1,15,18,21,24,27,30)*(IF(Inputs!$B$38="pvp",MIN(15,15)/15,IF(AND(Inputs!$B$38&lt;&gt;"pvp",Inputs!$B$43&gt;0),MIN(15,Inputs!$B$43)/(Inputs!$B$43),0))),0)))&gt;=100),CHOOSE(ArtifactsInput!$N$42+1,40,48,56,64,72,80),0))))/100)*((1+(((C647=TRUE)*F647)+((C654=TRUE)*(F654-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633)</f>
        <v/>
      </c>
      <c r="L633">
        <f>K633*(MIN(Inputs!$B$22+((C652=TRUE)*(F652-Calc!F22)),(Inputs!$B$23+0+(IF(ArtifactsInput!$M$15,CHOOSE(ArtifactsInput!$N$15+1,25,30,35,40,45,50)/100*(Inputs!$B$11-Inputs!$B$11),0))))/100+(Inputs!$B$23+0+(IF(ArtifactsInput!$M$15,CHOOSE(ArtifactsInput!$N$15+1,25,30,35,40,45,50)/100*(Inputs!$B$11-Inputs!$B$11),0)))/100)/2</f>
        <v/>
      </c>
      <c r="M633">
        <f>L633*(1+(Inputs!$B$10+((C655=TRUE)*(F655-Calc!F25))+B665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3">
        <f>L633*(1-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633*(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3">
        <f>(1-Summary!$B$11)*T633+Summary!$B$11*V633</f>
        <v/>
      </c>
      <c r="P633">
        <f>IF(B670=0,0,O633/B670)</f>
        <v/>
      </c>
      <c r="Q633">
        <f>IFERROR(1/(IF(Inputs!$B$38="pvp",15,MAX(0.1,Skills!D3-IF(Skills!E3=TRUE,Inputs!$B$32,0)))*(1-IF(AND(ArtifactsInput!$M$27,Inputs!$B$4="Chapter Hunt"),CHOOSE(ArtifactsInput!$N$27+1,20,24,28,32,36,40),0)/100)),0)</f>
        <v/>
      </c>
      <c r="R633">
        <f>IF(AND(Inputs!$B$38&lt;&gt;"pvp",Inputs!$B$43&gt;0),IF(MAX(0,Inputs!$B$43-B667)&lt;=0,0,(INT(MAX(0,Inputs!$B$43-B667)/(IF(Inputs!$B$38="pvp",15,MAX(0.1,Skills!D3-IF(Skills!E3=TRUE,Inputs!$B$32,0)))*(1-IF(AND(ArtifactsInput!$M$27,Inputs!$B$4="Chapter Hunt"),CHOOSE(ArtifactsInput!$N$27+1,20,24,28,32,36,40),0)/100)))+1)),0)</f>
        <v/>
      </c>
      <c r="S633">
        <f>IFERROR(O633/N633,0)</f>
        <v/>
      </c>
      <c r="T633">
        <f>IF(C633,(H633*N633*IF(AND(Inputs!$B$38&lt;&gt;"pvp",Inputs!$B$43&gt;0),((Skills!G3*((R633-1)*IF(Skills!H3&gt;0,Skills!I3/Skills!H3,1)+IF(Skills!H3&gt;0,MIN(Skills!I3,MAX(0,MAX(0,Inputs!$B$43-B667)-((R633-1)*(IF(Inputs!$B$38="pvp",15,MAX(0.1,Skills!D3-IF(Skills!E3=TRUE,Inputs!$B$32,0)))*(1-IF(AND(ArtifactsInput!$M$27,Inputs!$B$4="Chapter Hunt"),CHOOSE(ArtifactsInput!$N$27+1,20,24,28,32,36,40),0)/100)))))/Skills!H3,1)))/Inputs!$B$43),G633*Q633)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633*(1-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633*(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633*(1-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633*(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3">
        <f>INDEX(FactorTable!$B$2:$Y$301, MATCH(ROUND(MIN(300,MAX(1,U632)),0), FactorTable!$A$2:$A$301,0), 22)</f>
        <v/>
      </c>
      <c r="V633">
        <f>IF(C633,(H633*N633*IF(AND(Inputs!$B$38&lt;&gt;"pvp",Inputs!$B$43&gt;0),((Skills!G3*((R633-1)*IF(Skills!H3&gt;0,Skills!I3/Skills!H3,1)+IF(Skills!H3&gt;0,MIN(Skills!I3,MAX(0,MAX(0,Inputs!$B$43-B667)-((R633-1)*(IF(Inputs!$B$38="pvp",15,MAX(0.1,Skills!D3-IF(Skills!E3=TRUE,Inputs!$B$32,0)))*(1-IF(AND(ArtifactsInput!$M$27,Inputs!$B$4="Chapter Hunt"),CHOOSE(ArtifactsInput!$N$27+1,20,24,28,32,36,40),0)/100)))))/Skills!H3,1)))/Inputs!$B$43),G633*Q633))*IF(Inputs!$B$38="pvp",1,(1+(Inputs!$B$21+Skills!Q3+(IF(ArtifactsInput!$M$33,CHOOSE(ArtifactsInput!$N$33+1,30,36,42,48,54,60)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4">
      <c r="A634">
        <f>Skills!A4</f>
        <v/>
      </c>
      <c r="B634">
        <f>Skills!B4</f>
        <v/>
      </c>
      <c r="C634">
        <f>Inputs!$B$3&gt;=40</f>
        <v/>
      </c>
      <c r="D634">
        <f>IF(Skills!C4=1,60+Inputs!$B$25+Inputs!$B$29,IF(Skills!C4=2,90+Inputs!$B$26+Inputs!$B$29,IF(Skills!C4=3,120+Inputs!$B$27+Inputs!$B$29,MAX(0,(Inputs!$B$3-100)*3)+Inputs!$B$28+Inputs!$B$29)))</f>
        <v/>
      </c>
      <c r="E634">
        <f>INDEX(FactorTable!$B$2:$Y$301, MATCH(ROUND(MIN(300,MAX(1,D634)),0), FactorTable!$A$2:$A$301,0), Skills!M4+1)</f>
        <v/>
      </c>
      <c r="F634">
        <f>IF(Skills!N4=TRUE,(Skills!L4/10)*(E634/1000),Skills!L4/10)+Skills!O4</f>
        <v/>
      </c>
      <c r="G634">
        <f>Skills!G4*IF(Skills!H4&gt;0,Skills!I4/Skills!H4,1)</f>
        <v/>
      </c>
      <c r="H634">
        <f>1-(1-Skills!J4/100)^Skills!K4</f>
        <v/>
      </c>
      <c r="I634" t="inlineStr">
        <is>
          <t>1</t>
        </is>
      </c>
      <c r="J634">
        <f>((Inputs!$B$6*(1+Inputs!$B$7/100))+(((Inputs!$B$12*(1+Inputs!$B$13/100))-(Inputs!$B$12*(1+Inputs!$B$13/100)))+0.25*(Inputs!$B$14-Inputs!$B$14))*(1+Inputs!$B$7/100))*(F634/100)</f>
        <v/>
      </c>
      <c r="K634">
        <f>J634*(1+((Inputs!$B$12*(1+Inputs!$B$13/100))*0.01+Inputs!$B$14*0.0025)/100)*(1+Inputs!$B$15/100)*(1+Inputs!$B$16/100)*(5000/(6000+Inputs!$B$42*(1-(100*(1-(1-(((1-(1-Inputs!$B$19/100)*(1-1/100))*100)+0)/100)*(1-CHOOSE(ArtifactsInput!$N$40+1,5,6,7,8,9,10)/100)^(ArtifactsInput!$M$40-ArtifactsInput!$M$40)))/100)))*(1+(Inputs!$B$24+((C656=TRUE)*(F656-Calc!F26))+B666)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646=TRUE,F646,0)/100)*(1+(IF(Skills!A4="EIGHT_LEGS_EASTON",Inputs!$B$17+((C653=TRUE)*(F653-Calc!F23))+((C657=TRUE)*(F657-Calc!F27))+(((IF(AND(ArtifactsInput!$M$42,((Inputs!$B$9+((C649=TRUE)*(F649-Calc!F19))+B660+(ArtifactsInput!$M$24-ArtifactsInput!$M$24)*CHOOSE(ArtifactsInput!$N$24+1,10,12,14,16,18,20)+IF(ArtifactsInput!$M$10,CHOOSE(ArtifactsInput!$N$10+1,15,18,21,24,27,30)*(IF(Inputs!$B$38="pvp",MIN(15,15)/15,IF(AND(Inputs!$B$38&lt;&gt;"pvp",Inputs!$B$43&gt;0),MIN(15,Inputs!$B$43)/(Inputs!$B$43),0))),0)))&gt;=100),MIN(100,((Inputs!$B$9+((C649=TRUE)*(F649-Calc!F19))+B660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649=TRUE)*(F649-Calc!F19))+B660+(ArtifactsInput!$M$24-ArtifactsInput!$M$24)*CHOOSE(ArtifactsInput!$N$24+1,10,12,14,16,18,20)+IF(ArtifactsInput!$M$10,CHOOSE(ArtifactsInput!$N$10+1,15,18,21,24,27,30)*(IF(Inputs!$B$38="pvp",MIN(15,15)/15,IF(AND(Inputs!$B$38&lt;&gt;"pvp",Inputs!$B$43&gt;0),MIN(15,Inputs!$B$43)/(Inputs!$B$43),0))),0)))&gt;=100),CHOOSE(ArtifactsInput!$N$42+1,40,48,56,64,72,80),0))))/100)*((1+(((C647=TRUE)*F647)+((C654=TRUE)*(F654-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634)</f>
        <v/>
      </c>
      <c r="L634">
        <f>K634*(MIN(Inputs!$B$22+((C652=TRUE)*(F652-Calc!F22)),(Inputs!$B$23+0+(IF(ArtifactsInput!$M$15,CHOOSE(ArtifactsInput!$N$15+1,25,30,35,40,45,50)/100*(Inputs!$B$11-Inputs!$B$11),0))))/100+(Inputs!$B$23+0+(IF(ArtifactsInput!$M$15,CHOOSE(ArtifactsInput!$N$15+1,25,30,35,40,45,50)/100*(Inputs!$B$11-Inputs!$B$11),0)))/100)/2</f>
        <v/>
      </c>
      <c r="M634">
        <f>L634*(1+(Inputs!$B$10+((C655=TRUE)*(F655-Calc!F25))+B665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4">
        <f>L634*(1-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634*(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4">
        <f>(1-Summary!$B$11)*T634+Summary!$B$11*V634</f>
        <v/>
      </c>
      <c r="P634">
        <f>IF(B670=0,0,O634/B670)</f>
        <v/>
      </c>
      <c r="Q634">
        <f>IFERROR(1/(IF(Inputs!$B$38="pvp",15,MAX(0.1,Skills!D4-IF(Skills!E4=TRUE,Inputs!$B$32,0)))*(1-IF(AND(ArtifactsInput!$M$27,Inputs!$B$4="Chapter Hunt"),CHOOSE(ArtifactsInput!$N$27+1,20,24,28,32,36,40),0)/100)),0)</f>
        <v/>
      </c>
      <c r="R634">
        <f>IF(AND(Inputs!$B$38&lt;&gt;"pvp",Inputs!$B$43&gt;0),IF(MAX(0,Inputs!$B$43-B667)&lt;=0,0,(INT(MAX(0,Inputs!$B$43-B667)/(IF(Inputs!$B$38="pvp",15,MAX(0.1,Skills!D4-IF(Skills!E4=TRUE,Inputs!$B$32,0)))*(1-IF(AND(ArtifactsInput!$M$27,Inputs!$B$4="Chapter Hunt"),CHOOSE(ArtifactsInput!$N$27+1,20,24,28,32,36,40),0)/100)))+1)),0)</f>
        <v/>
      </c>
      <c r="S634">
        <f>IFERROR(O634/N634,0)</f>
        <v/>
      </c>
      <c r="T634">
        <f>IF(C634,(H634*N634*IF(AND(Inputs!$B$38&lt;&gt;"pvp",Inputs!$B$43&gt;0),((Skills!G4*((R634-1)*IF(Skills!H4&gt;0,Skills!I4/Skills!H4,1)+IF(Skills!H4&gt;0,MIN(Skills!I4,MAX(0,MAX(0,Inputs!$B$43-B667)-((R634-1)*(IF(Inputs!$B$38="pvp",15,MAX(0.1,Skills!D4-IF(Skills!E4=TRUE,Inputs!$B$32,0)))*(1-IF(AND(ArtifactsInput!$M$27,Inputs!$B$4="Chapter Hunt"),CHOOSE(ArtifactsInput!$N$27+1,20,24,28,32,36,40),0)/100)))))/Skills!H4,1)))/Inputs!$B$43),G634*Q634)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634*(1-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634*(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634*(1-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634*(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4">
        <f>290*U633/1000</f>
        <v/>
      </c>
      <c r="V634">
        <f>IF(C634,(H634*N634*IF(AND(Inputs!$B$38&lt;&gt;"pvp",Inputs!$B$43&gt;0),((Skills!G4*((R634-1)*IF(Skills!H4&gt;0,Skills!I4/Skills!H4,1)+IF(Skills!H4&gt;0,MIN(Skills!I4,MAX(0,MAX(0,Inputs!$B$43-B667)-((R634-1)*(IF(Inputs!$B$38="pvp",15,MAX(0.1,Skills!D4-IF(Skills!E4=TRUE,Inputs!$B$32,0)))*(1-IF(AND(ArtifactsInput!$M$27,Inputs!$B$4="Chapter Hunt"),CHOOSE(ArtifactsInput!$N$27+1,20,24,28,32,36,40),0)/100)))))/Skills!H4,1)))/Inputs!$B$43),G634*Q634))*IF(Inputs!$B$38="pvp",1,(1+(Inputs!$B$21+Skills!Q4+(IF(ArtifactsInput!$M$33,CHOOSE(ArtifactsInput!$N$33+1,30,36,42,48,54,60)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5">
      <c r="A635">
        <f>Skills!A5</f>
        <v/>
      </c>
      <c r="B635">
        <f>Skills!B5</f>
        <v/>
      </c>
      <c r="C635">
        <f>Inputs!$B$3&gt;=45</f>
        <v/>
      </c>
      <c r="D635">
        <f>IF(Skills!C5=1,60+Inputs!$B$25+Inputs!$B$29,IF(Skills!C5=2,90+Inputs!$B$26+Inputs!$B$29,IF(Skills!C5=3,120+Inputs!$B$27+Inputs!$B$29,MAX(0,(Inputs!$B$3-100)*3)+Inputs!$B$28+Inputs!$B$29)))</f>
        <v/>
      </c>
      <c r="E635">
        <f>INDEX(FactorTable!$B$2:$Y$301, MATCH(ROUND(MIN(300,MAX(1,D635)),0), FactorTable!$A$2:$A$301,0), Skills!M5+1)</f>
        <v/>
      </c>
      <c r="F635">
        <f>IF(Skills!N5=TRUE,(Skills!L5/10)*(E635/1000),Skills!L5/10)+Skills!O5</f>
        <v/>
      </c>
      <c r="G635">
        <f>Skills!G5*IF(Skills!H5&gt;0,Skills!I5/Skills!H5,1)</f>
        <v/>
      </c>
      <c r="H635">
        <f>1-(1-Skills!J5/100)^Skills!K5</f>
        <v/>
      </c>
      <c r="I635" t="inlineStr">
        <is>
          <t>1</t>
        </is>
      </c>
      <c r="J635">
        <f>((Inputs!$B$6*(1+Inputs!$B$7/100))+(((Inputs!$B$12*(1+Inputs!$B$13/100))-(Inputs!$B$12*(1+Inputs!$B$13/100)))+0.25*(Inputs!$B$14-Inputs!$B$14))*(1+Inputs!$B$7/100))*(F635/100)</f>
        <v/>
      </c>
      <c r="K635">
        <f>J635*(1+((Inputs!$B$12*(1+Inputs!$B$13/100))*0.01+Inputs!$B$14*0.0025)/100)*(1+Inputs!$B$15/100)*(1+Inputs!$B$16/100)*(5000/(6000+Inputs!$B$42*(1-(100*(1-(1-(((1-(1-Inputs!$B$19/100)*(1-1/100))*100)+0)/100)*(1-CHOOSE(ArtifactsInput!$N$40+1,5,6,7,8,9,10)/100)^(ArtifactsInput!$M$40-ArtifactsInput!$M$40)))/100)))*(1+(Inputs!$B$24+((C656=TRUE)*(F656-Calc!F26))+B666)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646=TRUE,F646,0)/100)*(1+(IF(Skills!A5="EIGHT_LEGS_EASTON",Inputs!$B$17+((C653=TRUE)*(F653-Calc!F23))+((C657=TRUE)*(F657-Calc!F27))+(((IF(AND(ArtifactsInput!$M$42,((Inputs!$B$9+((C649=TRUE)*(F649-Calc!F19))+B660+(ArtifactsInput!$M$24-ArtifactsInput!$M$24)*CHOOSE(ArtifactsInput!$N$24+1,10,12,14,16,18,20)+IF(ArtifactsInput!$M$10,CHOOSE(ArtifactsInput!$N$10+1,15,18,21,24,27,30)*(IF(Inputs!$B$38="pvp",MIN(15,15)/15,IF(AND(Inputs!$B$38&lt;&gt;"pvp",Inputs!$B$43&gt;0),MIN(15,Inputs!$B$43)/(Inputs!$B$43),0))),0)))&gt;=100),MIN(100,((Inputs!$B$9+((C649=TRUE)*(F649-Calc!F19))+B660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649=TRUE)*(F649-Calc!F19))+B660+(ArtifactsInput!$M$24-ArtifactsInput!$M$24)*CHOOSE(ArtifactsInput!$N$24+1,10,12,14,16,18,20)+IF(ArtifactsInput!$M$10,CHOOSE(ArtifactsInput!$N$10+1,15,18,21,24,27,30)*(IF(Inputs!$B$38="pvp",MIN(15,15)/15,IF(AND(Inputs!$B$38&lt;&gt;"pvp",Inputs!$B$43&gt;0),MIN(15,Inputs!$B$43)/(Inputs!$B$43),0))),0)))&gt;=100),CHOOSE(ArtifactsInput!$N$42+1,40,48,56,64,72,80),0))))/100)*((1+(((C647=TRUE)*F647)+((C654=TRUE)*(F654-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635)</f>
        <v/>
      </c>
      <c r="L635">
        <f>K635*(MIN(Inputs!$B$22+((C652=TRUE)*(F652-Calc!F22)),(Inputs!$B$23+0+(IF(ArtifactsInput!$M$15,CHOOSE(ArtifactsInput!$N$15+1,25,30,35,40,45,50)/100*(Inputs!$B$11-Inputs!$B$11),0))))/100+(Inputs!$B$23+0+(IF(ArtifactsInput!$M$15,CHOOSE(ArtifactsInput!$N$15+1,25,30,35,40,45,50)/100*(Inputs!$B$11-Inputs!$B$11),0)))/100)/2</f>
        <v/>
      </c>
      <c r="M635">
        <f>L635*(1+(Inputs!$B$10+((C655=TRUE)*(F655-Calc!F25))+B665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5">
        <f>L635*(1-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635*(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5">
        <f>(1-Summary!$B$11)*T635+Summary!$B$11*V635</f>
        <v/>
      </c>
      <c r="P635">
        <f>IF(B670=0,0,O635/B670)</f>
        <v/>
      </c>
      <c r="Q635">
        <f>IFERROR(1/(IF(Inputs!$B$38="pvp",15,MAX(0.1,Skills!D5-IF(Skills!E5=TRUE,Inputs!$B$32,0)))*(1-IF(AND(ArtifactsInput!$M$27,Inputs!$B$4="Chapter Hunt"),CHOOSE(ArtifactsInput!$N$27+1,20,24,28,32,36,40),0)/100)),0)</f>
        <v/>
      </c>
      <c r="R635">
        <f>IF(AND(Inputs!$B$38&lt;&gt;"pvp",Inputs!$B$43&gt;0),IF(MAX(0,Inputs!$B$43-B667)&lt;=0,0,(INT(MAX(0,Inputs!$B$43-B667)/(IF(Inputs!$B$38="pvp",15,MAX(0.1,Skills!D5-IF(Skills!E5=TRUE,Inputs!$B$32,0)))*(1-IF(AND(ArtifactsInput!$M$27,Inputs!$B$4="Chapter Hunt"),CHOOSE(ArtifactsInput!$N$27+1,20,24,28,32,36,40),0)/100)))+1)),0)</f>
        <v/>
      </c>
      <c r="S635">
        <f>IFERROR(O635/N635,0)</f>
        <v/>
      </c>
      <c r="T635">
        <f>IF(C635,(H635*N635*IF(AND(Inputs!$B$38&lt;&gt;"pvp",Inputs!$B$43&gt;0),((Skills!G5*((R635-1)*IF(Skills!H5&gt;0,Skills!I5/Skills!H5,1)+IF(Skills!H5&gt;0,MIN(Skills!I5,MAX(0,MAX(0,Inputs!$B$43-B667)-((R635-1)*(IF(Inputs!$B$38="pvp",15,MAX(0.1,Skills!D5-IF(Skills!E5=TRUE,Inputs!$B$32,0)))*(1-IF(AND(ArtifactsInput!$M$27,Inputs!$B$4="Chapter Hunt"),CHOOSE(ArtifactsInput!$N$27+1,20,24,28,32,36,40),0)/100)))))/Skills!H5,1)))/Inputs!$B$43),G635*Q635)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635*(1-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635*(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635*(1-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635*(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5">
        <f>IF(C635,(H635*N635*IF(AND(Inputs!$B$38&lt;&gt;"pvp",Inputs!$B$43&gt;0),((Skills!G5*((R635-1)*IF(Skills!H5&gt;0,Skills!I5/Skills!H5,1)+IF(Skills!H5&gt;0,MIN(Skills!I5,MAX(0,MAX(0,Inputs!$B$43-B667)-((R635-1)*(IF(Inputs!$B$38="pvp",15,MAX(0.1,Skills!D5-IF(Skills!E5=TRUE,Inputs!$B$32,0)))*(1-IF(AND(ArtifactsInput!$M$27,Inputs!$B$4="Chapter Hunt"),CHOOSE(ArtifactsInput!$N$27+1,20,24,28,32,36,40),0)/100)))))/Skills!H5,1)))/Inputs!$B$43),G635*Q635))*IF(Inputs!$B$38="pvp",1,(1+(Inputs!$B$21+Skills!Q5+(IF(ArtifactsInput!$M$33,CHOOSE(ArtifactsInput!$N$33+1,30,36,42,48,54,60)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6">
      <c r="A636">
        <f>Skills!A6</f>
        <v/>
      </c>
      <c r="B636">
        <f>Skills!B6</f>
        <v/>
      </c>
      <c r="C636">
        <f>Inputs!$B$3&gt;=63</f>
        <v/>
      </c>
      <c r="D636">
        <f>IF(Skills!C6=1,60+Inputs!$B$25+Inputs!$B$29,IF(Skills!C6=2,90+Inputs!$B$26+Inputs!$B$29,IF(Skills!C6=3,120+Inputs!$B$27+Inputs!$B$29,MAX(0,(Inputs!$B$3-100)*3)+Inputs!$B$28+Inputs!$B$29)))</f>
        <v/>
      </c>
      <c r="E636">
        <f>INDEX(FactorTable!$B$2:$Y$301, MATCH(ROUND(MIN(300,MAX(1,D636)),0), FactorTable!$A$2:$A$301,0), Skills!M6+1)</f>
        <v/>
      </c>
      <c r="F636">
        <f>IF(Skills!N6=TRUE,(Skills!L6/10)*(E636/1000),Skills!L6/10)+Skills!O6</f>
        <v/>
      </c>
      <c r="G636">
        <f>Skills!G6*IF(Skills!H6&gt;0,Skills!I6/Skills!H6,1)</f>
        <v/>
      </c>
      <c r="H636">
        <f>1-(1-Skills!J6/100)^Skills!K6</f>
        <v/>
      </c>
      <c r="I636" t="inlineStr">
        <is>
          <t>1</t>
        </is>
      </c>
      <c r="J636">
        <f>((Inputs!$B$6*(1+Inputs!$B$7/100))+(((Inputs!$B$12*(1+Inputs!$B$13/100))-(Inputs!$B$12*(1+Inputs!$B$13/100)))+0.25*(Inputs!$B$14-Inputs!$B$14))*(1+Inputs!$B$7/100))*(F636/100)</f>
        <v/>
      </c>
      <c r="K636">
        <f>J636*(1+((Inputs!$B$12*(1+Inputs!$B$13/100))*0.01+Inputs!$B$14*0.0025)/100)*(1+Inputs!$B$15/100)*(1+Inputs!$B$16/100)*(5000/(6000+Inputs!$B$42*(1-(100*(1-(1-(((1-(1-Inputs!$B$19/100)*(1-1/100))*100)+0)/100)*(1-CHOOSE(ArtifactsInput!$N$40+1,5,6,7,8,9,10)/100)^(ArtifactsInput!$M$40-ArtifactsInput!$M$40)))/100)))*(1+(Inputs!$B$24+((C656=TRUE)*(F656-Calc!F26))+B666)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645=TRUE,F645,0)/100)*(1+(IF(Skills!A6="EIGHT_LEGS_EASTON",Inputs!$B$17+((C653=TRUE)*(F653-Calc!F23))+((C657=TRUE)*(F657-Calc!F27))+(((IF(AND(ArtifactsInput!$M$42,((Inputs!$B$9+((C649=TRUE)*(F649-Calc!F19))+B660+(ArtifactsInput!$M$24-ArtifactsInput!$M$24)*CHOOSE(ArtifactsInput!$N$24+1,10,12,14,16,18,20)+IF(ArtifactsInput!$M$10,CHOOSE(ArtifactsInput!$N$10+1,15,18,21,24,27,30)*(IF(Inputs!$B$38="pvp",MIN(15,15)/15,IF(AND(Inputs!$B$38&lt;&gt;"pvp",Inputs!$B$43&gt;0),MIN(15,Inputs!$B$43)/(Inputs!$B$43),0))),0)))&gt;=100),MIN(100,((Inputs!$B$9+((C649=TRUE)*(F649-Calc!F19))+B660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649=TRUE)*(F649-Calc!F19))+B660+(ArtifactsInput!$M$24-ArtifactsInput!$M$24)*CHOOSE(ArtifactsInput!$N$24+1,10,12,14,16,18,20)+IF(ArtifactsInput!$M$10,CHOOSE(ArtifactsInput!$N$10+1,15,18,21,24,27,30)*(IF(Inputs!$B$38="pvp",MIN(15,15)/15,IF(AND(Inputs!$B$38&lt;&gt;"pvp",Inputs!$B$43&gt;0),MIN(15,Inputs!$B$43)/(Inputs!$B$43),0))),0)))&gt;=100),CHOOSE(ArtifactsInput!$N$42+1,40,48,56,64,72,80),0))))/100)*((1+(((C647=TRUE)*F647)+((C654=TRUE)*(F654-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636)</f>
        <v/>
      </c>
      <c r="L636">
        <f>K636*(MIN(Inputs!$B$22+((C652=TRUE)*(F652-Calc!F22)),(Inputs!$B$23+0+(IF(ArtifactsInput!$M$15,CHOOSE(ArtifactsInput!$N$15+1,25,30,35,40,45,50)/100*(Inputs!$B$11-Inputs!$B$11),0))))/100+(Inputs!$B$23+0+(IF(ArtifactsInput!$M$15,CHOOSE(ArtifactsInput!$N$15+1,25,30,35,40,45,50)/100*(Inputs!$B$11-Inputs!$B$11),0)))/100)/2</f>
        <v/>
      </c>
      <c r="M636">
        <f>L636*(1+(Inputs!$B$10+((C655=TRUE)*(F655-Calc!F25))+B665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6">
        <f>L636*(1-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636*(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6">
        <f>(1-Summary!$B$11)*T636+Summary!$B$11*V636</f>
        <v/>
      </c>
      <c r="P636">
        <f>IF(B670=0,0,O636/B670)</f>
        <v/>
      </c>
      <c r="Q636">
        <f>IFERROR(1/(IF(Inputs!$B$38="pvp",15,MAX(0.1,Skills!D6-IF(Skills!E6=TRUE,Inputs!$B$32,0)))*(1-IF(AND(ArtifactsInput!$M$27,Inputs!$B$4="Chapter Hunt"),CHOOSE(ArtifactsInput!$N$27+1,20,24,28,32,36,40),0)/100)),0)</f>
        <v/>
      </c>
      <c r="R636">
        <f>IF(AND(Inputs!$B$38&lt;&gt;"pvp",Inputs!$B$43&gt;0),IF(MAX(0,Inputs!$B$43-B667)&lt;=0,0,(INT(MAX(0,Inputs!$B$43-B667)/(IF(Inputs!$B$38="pvp",15,MAX(0.1,Skills!D6-IF(Skills!E6=TRUE,Inputs!$B$32,0)))*(1-IF(AND(ArtifactsInput!$M$27,Inputs!$B$4="Chapter Hunt"),CHOOSE(ArtifactsInput!$N$27+1,20,24,28,32,36,40),0)/100)))+1)),0)</f>
        <v/>
      </c>
      <c r="S636">
        <f>IFERROR(O636/N636,0)</f>
        <v/>
      </c>
      <c r="T636">
        <f>IF(C636,(H636*N636*IF(AND(Inputs!$B$38&lt;&gt;"pvp",Inputs!$B$43&gt;0),((Skills!G6*((R636-1)*IF(Skills!H6&gt;0,Skills!I6/Skills!H6,1)+IF(Skills!H6&gt;0,MIN(Skills!I6,MAX(0,MAX(0,Inputs!$B$43-B667)-((R636-1)*(IF(Inputs!$B$38="pvp",15,MAX(0.1,Skills!D6-IF(Skills!E6=TRUE,Inputs!$B$32,0)))*(1-IF(AND(ArtifactsInput!$M$27,Inputs!$B$4="Chapter Hunt"),CHOOSE(ArtifactsInput!$N$27+1,20,24,28,32,36,40),0)/100)))))/Skills!H6,1)))/Inputs!$B$43),G636*Q636)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636*(1-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636*(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636*(1-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636*(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6">
        <f>IF(C636,(H636*N636*IF(AND(Inputs!$B$38&lt;&gt;"pvp",Inputs!$B$43&gt;0),((Skills!G6*((R636-1)*IF(Skills!H6&gt;0,Skills!I6/Skills!H6,1)+IF(Skills!H6&gt;0,MIN(Skills!I6,MAX(0,MAX(0,Inputs!$B$43-B667)-((R636-1)*(IF(Inputs!$B$38="pvp",15,MAX(0.1,Skills!D6-IF(Skills!E6=TRUE,Inputs!$B$32,0)))*(1-IF(AND(ArtifactsInput!$M$27,Inputs!$B$4="Chapter Hunt"),CHOOSE(ArtifactsInput!$N$27+1,20,24,28,32,36,40),0)/100)))))/Skills!H6,1)))/Inputs!$B$43),G636*Q636))*IF(Inputs!$B$38="pvp",1,(1+(Inputs!$B$21+Skills!Q6+(IF(ArtifactsInput!$M$33,CHOOSE(ArtifactsInput!$N$33+1,30,36,42,48,54,60)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7">
      <c r="A637">
        <f>Skills!A7</f>
        <v/>
      </c>
      <c r="B637">
        <f>Skills!B7</f>
        <v/>
      </c>
      <c r="C637">
        <f>Inputs!$B$3&gt;=66</f>
        <v/>
      </c>
      <c r="D637">
        <f>IF(Skills!C7=1,60+Inputs!$B$25+Inputs!$B$29,IF(Skills!C7=2,90+Inputs!$B$26+Inputs!$B$29,IF(Skills!C7=3,120+Inputs!$B$27+Inputs!$B$29,MAX(0,(Inputs!$B$3-100)*3)+Inputs!$B$28+Inputs!$B$29)))</f>
        <v/>
      </c>
      <c r="E637">
        <f>INDEX(FactorTable!$B$2:$Y$301, MATCH(ROUND(MIN(300,MAX(1,D637)),0), FactorTable!$A$2:$A$301,0), Skills!M7+1)</f>
        <v/>
      </c>
      <c r="F637">
        <f>IF(Skills!N7=TRUE,(Skills!L7/10)*(E637/1000),Skills!L7/10)+Skills!O7</f>
        <v/>
      </c>
      <c r="G637">
        <f>Skills!G7*IF(Skills!H7&gt;0,Skills!I7/Skills!H7,1)</f>
        <v/>
      </c>
      <c r="H637">
        <f>1-(1-Skills!J7/100)^Skills!K7</f>
        <v/>
      </c>
      <c r="I637" t="inlineStr">
        <is>
          <t>1</t>
        </is>
      </c>
      <c r="J637">
        <f>((Inputs!$B$6*(1+Inputs!$B$7/100))+(((Inputs!$B$12*(1+Inputs!$B$13/100))-(Inputs!$B$12*(1+Inputs!$B$13/100)))+0.25*(Inputs!$B$14-Inputs!$B$14))*(1+Inputs!$B$7/100))*(F637/100)</f>
        <v/>
      </c>
      <c r="K637">
        <f>J637*(1+((Inputs!$B$12*(1+Inputs!$B$13/100))*0.01+Inputs!$B$14*0.0025)/100)*(1+Inputs!$B$15/100)*(1+Inputs!$B$16/100)*(5000/(6000+Inputs!$B$42*(1-(100*(1-(1-(((1-(1-Inputs!$B$19/100)*(1-1/100))*100)+0)/100)*(1-CHOOSE(ArtifactsInput!$N$40+1,5,6,7,8,9,10)/100)^(ArtifactsInput!$M$40-ArtifactsInput!$M$40)))/100)))*(1+(Inputs!$B$24+((C656=TRUE)*(F656-Calc!F26))+B666)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645=TRUE,F645,0)/100)*(1+(IF(Skills!A7="EIGHT_LEGS_EASTON",Inputs!$B$17+((C653=TRUE)*(F653-Calc!F23))+((C657=TRUE)*(F657-Calc!F27))+(((IF(AND(ArtifactsInput!$M$42,((Inputs!$B$9+((C649=TRUE)*(F649-Calc!F19))+B660+(ArtifactsInput!$M$24-ArtifactsInput!$M$24)*CHOOSE(ArtifactsInput!$N$24+1,10,12,14,16,18,20)+IF(ArtifactsInput!$M$10,CHOOSE(ArtifactsInput!$N$10+1,15,18,21,24,27,30)*(IF(Inputs!$B$38="pvp",MIN(15,15)/15,IF(AND(Inputs!$B$38&lt;&gt;"pvp",Inputs!$B$43&gt;0),MIN(15,Inputs!$B$43)/(Inputs!$B$43),0))),0)))&gt;=100),MIN(100,((Inputs!$B$9+((C649=TRUE)*(F649-Calc!F19))+B660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649=TRUE)*(F649-Calc!F19))+B660+(ArtifactsInput!$M$24-ArtifactsInput!$M$24)*CHOOSE(ArtifactsInput!$N$24+1,10,12,14,16,18,20)+IF(ArtifactsInput!$M$10,CHOOSE(ArtifactsInput!$N$10+1,15,18,21,24,27,30)*(IF(Inputs!$B$38="pvp",MIN(15,15)/15,IF(AND(Inputs!$B$38&lt;&gt;"pvp",Inputs!$B$43&gt;0),MIN(15,Inputs!$B$43)/(Inputs!$B$43),0))),0)))&gt;=100),CHOOSE(ArtifactsInput!$N$42+1,40,48,56,64,72,80),0))))/100)*((1+(((C647=TRUE)*F647)+((C654=TRUE)*(F654-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637)</f>
        <v/>
      </c>
      <c r="L637">
        <f>K637*(MIN(Inputs!$B$22+((C652=TRUE)*(F652-Calc!F22)),(Inputs!$B$23+0+(IF(ArtifactsInput!$M$15,CHOOSE(ArtifactsInput!$N$15+1,25,30,35,40,45,50)/100*(Inputs!$B$11-Inputs!$B$11),0))))/100+(Inputs!$B$23+0+(IF(ArtifactsInput!$M$15,CHOOSE(ArtifactsInput!$N$15+1,25,30,35,40,45,50)/100*(Inputs!$B$11-Inputs!$B$11),0)))/100)/2</f>
        <v/>
      </c>
      <c r="M637">
        <f>L637*(1+(Inputs!$B$10+((C655=TRUE)*(F655-Calc!F25))+B665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7">
        <f>L637*(1-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637*(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7">
        <f>(1-Summary!$B$11)*T637+Summary!$B$11*V637</f>
        <v/>
      </c>
      <c r="P637">
        <f>IF(B670=0,0,O637/B670)</f>
        <v/>
      </c>
      <c r="Q637">
        <f>IFERROR(1/(IF(Inputs!$B$38="pvp",15,MAX(0.1,Skills!D7-IF(Skills!E7=TRUE,Inputs!$B$32,0)))*(1-IF(AND(ArtifactsInput!$M$27,Inputs!$B$4="Chapter Hunt"),CHOOSE(ArtifactsInput!$N$27+1,20,24,28,32,36,40),0)/100)),0)</f>
        <v/>
      </c>
      <c r="R637">
        <f>IF(AND(Inputs!$B$38&lt;&gt;"pvp",Inputs!$B$43&gt;0),IF(MAX(0,Inputs!$B$43-B667)&lt;=0,0,(INT(MAX(0,Inputs!$B$43-B667)/(IF(Inputs!$B$38="pvp",15,MAX(0.1,Skills!D7-IF(Skills!E7=TRUE,Inputs!$B$32,0)))*(1-IF(AND(ArtifactsInput!$M$27,Inputs!$B$4="Chapter Hunt"),CHOOSE(ArtifactsInput!$N$27+1,20,24,28,32,36,40),0)/100)))+1)),0)</f>
        <v/>
      </c>
      <c r="S637">
        <f>IFERROR(O637/N637,0)</f>
        <v/>
      </c>
      <c r="T637">
        <f>IF(C637,(H637*N637*IF(AND(Inputs!$B$38&lt;&gt;"pvp",Inputs!$B$43&gt;0),((Skills!G7*((R637-1)*IF(Skills!H7&gt;0,Skills!I7/Skills!H7,1)+IF(Skills!H7&gt;0,MIN(Skills!I7,MAX(0,MAX(0,Inputs!$B$43-B667)-((R637-1)*(IF(Inputs!$B$38="pvp",15,MAX(0.1,Skills!D7-IF(Skills!E7=TRUE,Inputs!$B$32,0)))*(1-IF(AND(ArtifactsInput!$M$27,Inputs!$B$4="Chapter Hunt"),CHOOSE(ArtifactsInput!$N$27+1,20,24,28,32,36,40),0)/100)))))/Skills!H7,1)))/Inputs!$B$43),G637*Q637)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637*(1-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637*(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637*(1-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637*(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7">
        <f>IF(C637,(H637*N637*IF(AND(Inputs!$B$38&lt;&gt;"pvp",Inputs!$B$43&gt;0),((Skills!G7*((R637-1)*IF(Skills!H7&gt;0,Skills!I7/Skills!H7,1)+IF(Skills!H7&gt;0,MIN(Skills!I7,MAX(0,MAX(0,Inputs!$B$43-B667)-((R637-1)*(IF(Inputs!$B$38="pvp",15,MAX(0.1,Skills!D7-IF(Skills!E7=TRUE,Inputs!$B$32,0)))*(1-IF(AND(ArtifactsInput!$M$27,Inputs!$B$4="Chapter Hunt"),CHOOSE(ArtifactsInput!$N$27+1,20,24,28,32,36,40),0)/100)))))/Skills!H7,1)))/Inputs!$B$43),G637*Q637))*IF(Inputs!$B$38="pvp",1,(1+(Inputs!$B$21+Skills!Q7+(IF(ArtifactsInput!$M$33,CHOOSE(ArtifactsInput!$N$33+1,30,36,42,48,54,60)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8">
      <c r="A638">
        <f>Skills!A8</f>
        <v/>
      </c>
      <c r="B638">
        <f>Skills!B8</f>
        <v/>
      </c>
      <c r="C638">
        <f>Inputs!$B$3&gt;=100</f>
        <v/>
      </c>
      <c r="D638">
        <f>IF(Skills!C8=1,60+Inputs!$B$25+Inputs!$B$29,IF(Skills!C8=2,90+Inputs!$B$26+Inputs!$B$29,IF(Skills!C8=3,120+Inputs!$B$27+Inputs!$B$29,MAX(0,(Inputs!$B$3-100)*3)+Inputs!$B$28+Inputs!$B$29)))</f>
        <v/>
      </c>
      <c r="E638">
        <f>INDEX(FactorTable!$B$2:$Y$301, MATCH(ROUND(MIN(300,MAX(1,D638)),0), FactorTable!$A$2:$A$301,0), Skills!M8+1)</f>
        <v/>
      </c>
      <c r="F638">
        <f>IF(Skills!N8=TRUE,(Skills!L8/10)*(E638/1000),Skills!L8/10)+Skills!O8</f>
        <v/>
      </c>
      <c r="G638">
        <f>Skills!G8*IF(Skills!H8&gt;0,Skills!I8/Skills!H8,1)</f>
        <v/>
      </c>
      <c r="H638">
        <f>1-(1-Skills!J8/100)^Skills!K8</f>
        <v/>
      </c>
      <c r="I638" t="inlineStr">
        <is>
          <t>1</t>
        </is>
      </c>
      <c r="J638">
        <f>((Inputs!$B$6*(1+Inputs!$B$7/100))+(((Inputs!$B$12*(1+Inputs!$B$13/100))-(Inputs!$B$12*(1+Inputs!$B$13/100)))+0.25*(Inputs!$B$14-Inputs!$B$14))*(1+Inputs!$B$7/100))*(F638/100)</f>
        <v/>
      </c>
      <c r="K638">
        <f>J638*(1+((Inputs!$B$12*(1+Inputs!$B$13/100))*0.01+Inputs!$B$14*0.0025)/100)*(1+Inputs!$B$15/100)*(1+Inputs!$B$16/100)*(5000/(6000+Inputs!$B$42*(1-(100*(1-(1-(((1-(1-Inputs!$B$19/100)*(1-1/100))*100)+0)/100)*(1-CHOOSE(ArtifactsInput!$N$40+1,5,6,7,8,9,10)/100)^(ArtifactsInput!$M$40-ArtifactsInput!$M$40)))/100)))*(1+(Inputs!$B$24+((C656=TRUE)*(F656-Calc!F26))+B666)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653=TRUE)*(F653-Calc!F23))+((C657=TRUE)*(F657-Calc!F27))+(((IF(AND(ArtifactsInput!$M$42,((Inputs!$B$9+((C649=TRUE)*(F649-Calc!F19))+B660+(ArtifactsInput!$M$24-ArtifactsInput!$M$24)*CHOOSE(ArtifactsInput!$N$24+1,10,12,14,16,18,20)+IF(ArtifactsInput!$M$10,CHOOSE(ArtifactsInput!$N$10+1,15,18,21,24,27,30)*(IF(Inputs!$B$38="pvp",MIN(15,15)/15,IF(AND(Inputs!$B$38&lt;&gt;"pvp",Inputs!$B$43&gt;0),MIN(15,Inputs!$B$43)/(Inputs!$B$43),0))),0)))&gt;=100),MIN(100,((Inputs!$B$9+((C649=TRUE)*(F649-Calc!F19))+B660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649=TRUE)*(F649-Calc!F19))+B660+(ArtifactsInput!$M$24-ArtifactsInput!$M$24)*CHOOSE(ArtifactsInput!$N$24+1,10,12,14,16,18,20)+IF(ArtifactsInput!$M$10,CHOOSE(ArtifactsInput!$N$10+1,15,18,21,24,27,30)*(IF(Inputs!$B$38="pvp",MIN(15,15)/15,IF(AND(Inputs!$B$38&lt;&gt;"pvp",Inputs!$B$43&gt;0),MIN(15,Inputs!$B$43)/(Inputs!$B$43),0))),0)))&gt;=100),CHOOSE(ArtifactsInput!$N$42+1,40,48,56,64,72,80),0))))/100)*((1+(((C647=TRUE)*F647)+((C654=TRUE)*(F654-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638)</f>
        <v/>
      </c>
      <c r="L638">
        <f>K638*(MIN(Inputs!$B$22+((C652=TRUE)*(F652-Calc!F22)),(Inputs!$B$23+0+(IF(ArtifactsInput!$M$15,CHOOSE(ArtifactsInput!$N$15+1,25,30,35,40,45,50)/100*(Inputs!$B$11-Inputs!$B$11),0))))/100+(Inputs!$B$23+0+(IF(ArtifactsInput!$M$15,CHOOSE(ArtifactsInput!$N$15+1,25,30,35,40,45,50)/100*(Inputs!$B$11-Inputs!$B$11),0)))/100)/2</f>
        <v/>
      </c>
      <c r="M638">
        <f>L638*(1+(Inputs!$B$10+((C655=TRUE)*(F655-Calc!F25))+B665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8">
        <f>L638*(1-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638*(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8">
        <f>(1-Summary!$B$11)*T638+Summary!$B$11*V638</f>
        <v/>
      </c>
      <c r="P638">
        <f>IF(B670=0,0,O638/B670)</f>
        <v/>
      </c>
      <c r="Q638">
        <f>IFERROR(1/(IF(Inputs!$B$38="pvp",15,MAX(0.1,Skills!D8-IF(Skills!E8=TRUE,Inputs!$B$32,0)))*(1-IF(AND(ArtifactsInput!$M$27,Inputs!$B$4="Chapter Hunt"),CHOOSE(ArtifactsInput!$N$27+1,20,24,28,32,36,40),0)/100)),0)</f>
        <v/>
      </c>
      <c r="R638">
        <f>IF(AND(Inputs!$B$38&lt;&gt;"pvp",Inputs!$B$43&gt;0),IF(MAX(0,Inputs!$B$43-B667)&lt;=0,0,(INT(MAX(0,Inputs!$B$43-B667)/(IF(Inputs!$B$38="pvp",15,MAX(0.1,Skills!D8-IF(Skills!E8=TRUE,Inputs!$B$32,0)))*(1-IF(AND(ArtifactsInput!$M$27,Inputs!$B$4="Chapter Hunt"),CHOOSE(ArtifactsInput!$N$27+1,20,24,28,32,36,40),0)/100)))+1)),0)</f>
        <v/>
      </c>
      <c r="S638">
        <f>IFERROR(O638/N638,0)</f>
        <v/>
      </c>
      <c r="T638">
        <f>IF(C638,(H638*N638*IF(AND(Inputs!$B$38&lt;&gt;"pvp",Inputs!$B$43&gt;0),((Skills!G8*((R638-1)*IF(Skills!H8&gt;0,Skills!I8/Skills!H8,1)+IF(Skills!H8&gt;0,MIN(Skills!I8,MAX(0,MAX(0,Inputs!$B$43-B667)-((R638-1)*(IF(Inputs!$B$38="pvp",15,MAX(0.1,Skills!D8-IF(Skills!E8=TRUE,Inputs!$B$32,0)))*(1-IF(AND(ArtifactsInput!$M$27,Inputs!$B$4="Chapter Hunt"),CHOOSE(ArtifactsInput!$N$27+1,20,24,28,32,36,40),0)/100)))))/Skills!H8,1)))/Inputs!$B$43),G638*Q638)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638*(1-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638*(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638*(1-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638*(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8">
        <f>IF(C638,(H638*N638*IF(AND(Inputs!$B$38&lt;&gt;"pvp",Inputs!$B$43&gt;0),((Skills!G8*((R638-1)*IF(Skills!H8&gt;0,Skills!I8/Skills!H8,1)+IF(Skills!H8&gt;0,MIN(Skills!I8,MAX(0,MAX(0,Inputs!$B$43-B667)-((R638-1)*(IF(Inputs!$B$38="pvp",15,MAX(0.1,Skills!D8-IF(Skills!E8=TRUE,Inputs!$B$32,0)))*(1-IF(AND(ArtifactsInput!$M$27,Inputs!$B$4="Chapter Hunt"),CHOOSE(ArtifactsInput!$N$27+1,20,24,28,32,36,40),0)/100)))))/Skills!H8,1)))/Inputs!$B$43),G638*Q638))*IF(Inputs!$B$38="pvp",1,(1+(Inputs!$B$21+Skills!Q8+(IF(ArtifactsInput!$M$33,CHOOSE(ArtifactsInput!$N$33+1,30,36,42,48,54,60)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9">
      <c r="A639">
        <f>Skills!A9</f>
        <v/>
      </c>
      <c r="B639">
        <f>Skills!B9</f>
        <v/>
      </c>
      <c r="C639">
        <f>Inputs!$B$3&gt;=103</f>
        <v/>
      </c>
      <c r="D639">
        <f>IF(Skills!C9=1,60+Inputs!$B$25+Inputs!$B$29,IF(Skills!C9=2,90+Inputs!$B$26+Inputs!$B$29,IF(Skills!C9=3,120+Inputs!$B$27+Inputs!$B$29,MAX(0,(Inputs!$B$3-100)*3)+Inputs!$B$28+Inputs!$B$29)))</f>
        <v/>
      </c>
      <c r="E639">
        <f>INDEX(FactorTable!$B$2:$Y$301, MATCH(ROUND(MIN(300,MAX(1,D639)),0), FactorTable!$A$2:$A$301,0), Skills!M9+1)</f>
        <v/>
      </c>
      <c r="F639">
        <f>IF(Skills!N9=TRUE,(Skills!L9/10)*(E639/1000),Skills!L9/10)+Skills!O9</f>
        <v/>
      </c>
      <c r="G639">
        <f>Skills!G9*IF(Skills!H9&gt;0,Skills!I9/Skills!H9,1)</f>
        <v/>
      </c>
      <c r="H639">
        <f>1-(1-Skills!J9/100)^Skills!K9</f>
        <v/>
      </c>
      <c r="I639" t="inlineStr">
        <is>
          <t>1</t>
        </is>
      </c>
      <c r="J639">
        <f>((Inputs!$B$6*(1+Inputs!$B$7/100))+(((Inputs!$B$12*(1+Inputs!$B$13/100))-(Inputs!$B$12*(1+Inputs!$B$13/100)))+0.25*(Inputs!$B$14-Inputs!$B$14))*(1+Inputs!$B$7/100))*(F639/100)</f>
        <v/>
      </c>
      <c r="K639">
        <f>J639*(1+((Inputs!$B$12*(1+Inputs!$B$13/100))*0.01+Inputs!$B$14*0.0025)/100)*(1+Inputs!$B$15/100)*(1+Inputs!$B$16/100)*(5000/(6000+Inputs!$B$42*(1-(100*(1-(1-(((1-(1-Inputs!$B$19/100)*(1-1/100))*100)+0)/100)*(1-CHOOSE(ArtifactsInput!$N$40+1,5,6,7,8,9,10)/100)^(ArtifactsInput!$M$40-ArtifactsInput!$M$40)))/100)))*(1+(Inputs!$B$24+((C656=TRUE)*(F656-Calc!F26))+B666)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653=TRUE)*(F653-Calc!F23))+((C657=TRUE)*(F657-Calc!F27))+(((IF(AND(ArtifactsInput!$M$42,((Inputs!$B$9+((C649=TRUE)*(F649-Calc!F19))+B660+(ArtifactsInput!$M$24-ArtifactsInput!$M$24)*CHOOSE(ArtifactsInput!$N$24+1,10,12,14,16,18,20)+IF(ArtifactsInput!$M$10,CHOOSE(ArtifactsInput!$N$10+1,15,18,21,24,27,30)*(IF(Inputs!$B$38="pvp",MIN(15,15)/15,IF(AND(Inputs!$B$38&lt;&gt;"pvp",Inputs!$B$43&gt;0),MIN(15,Inputs!$B$43)/(Inputs!$B$43),0))),0)))&gt;=100),MIN(100,((Inputs!$B$9+((C649=TRUE)*(F649-Calc!F19))+B660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649=TRUE)*(F649-Calc!F19))+B660+(ArtifactsInput!$M$24-ArtifactsInput!$M$24)*CHOOSE(ArtifactsInput!$N$24+1,10,12,14,16,18,20)+IF(ArtifactsInput!$M$10,CHOOSE(ArtifactsInput!$N$10+1,15,18,21,24,27,30)*(IF(Inputs!$B$38="pvp",MIN(15,15)/15,IF(AND(Inputs!$B$38&lt;&gt;"pvp",Inputs!$B$43&gt;0),MIN(15,Inputs!$B$43)/(Inputs!$B$43),0))),0)))&gt;=100),CHOOSE(ArtifactsInput!$N$42+1,40,48,56,64,72,80),0))))/100)*((1+(((C647=TRUE)*F647)+((C654=TRUE)*(F654-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639)</f>
        <v/>
      </c>
      <c r="L639">
        <f>K639*(MIN(Inputs!$B$22+((C652=TRUE)*(F652-Calc!F22)),(Inputs!$B$23+0+(IF(ArtifactsInput!$M$15,CHOOSE(ArtifactsInput!$N$15+1,25,30,35,40,45,50)/100*(Inputs!$B$11-Inputs!$B$11),0))))/100+(Inputs!$B$23+0+(IF(ArtifactsInput!$M$15,CHOOSE(ArtifactsInput!$N$15+1,25,30,35,40,45,50)/100*(Inputs!$B$11-Inputs!$B$11),0)))/100)/2</f>
        <v/>
      </c>
      <c r="M639">
        <f>L639*(1+(Inputs!$B$10+((C655=TRUE)*(F655-Calc!F25))+B665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9">
        <f>L639*(1-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639*(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9">
        <f>(1-Summary!$B$11)*T639+Summary!$B$11*V639</f>
        <v/>
      </c>
      <c r="P639">
        <f>IF(B670=0,0,O639/B670)</f>
        <v/>
      </c>
      <c r="Q639">
        <f>IFERROR(1/(IF(Inputs!$B$38="pvp",15,MAX(0.1,Skills!D9-IF(Skills!E9=TRUE,Inputs!$B$32,0)))*(1-IF(AND(ArtifactsInput!$M$27,Inputs!$B$4="Chapter Hunt"),CHOOSE(ArtifactsInput!$N$27+1,20,24,28,32,36,40),0)/100)),0)</f>
        <v/>
      </c>
      <c r="R639">
        <f>IF(AND(Inputs!$B$38&lt;&gt;"pvp",Inputs!$B$43&gt;0),IF(MAX(0,Inputs!$B$43-B667)&lt;=0,0,(INT(MAX(0,Inputs!$B$43-B667)/(IF(Inputs!$B$38="pvp",15,MAX(0.1,Skills!D9-IF(Skills!E9=TRUE,Inputs!$B$32,0)))*(1-IF(AND(ArtifactsInput!$M$27,Inputs!$B$4="Chapter Hunt"),CHOOSE(ArtifactsInput!$N$27+1,20,24,28,32,36,40),0)/100)))+1)),0)</f>
        <v/>
      </c>
      <c r="S639">
        <f>IFERROR(O639/N639,0)</f>
        <v/>
      </c>
      <c r="T639">
        <f>IF(C639,(H639*N639*IF(AND(Inputs!$B$38&lt;&gt;"pvp",Inputs!$B$43&gt;0),((Skills!G9*((R639-1)*IF(Skills!H9&gt;0,Skills!I9/Skills!H9,1)+IF(Skills!H9&gt;0,MIN(Skills!I9,MAX(0,MAX(0,Inputs!$B$43-B667)-((R639-1)*(IF(Inputs!$B$38="pvp",15,MAX(0.1,Skills!D9-IF(Skills!E9=TRUE,Inputs!$B$32,0)))*(1-IF(AND(ArtifactsInput!$M$27,Inputs!$B$4="Chapter Hunt"),CHOOSE(ArtifactsInput!$N$27+1,20,24,28,32,36,40),0)/100)))))/Skills!H9,1)))/Inputs!$B$43),G639*Q639)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639*(1-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639*(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639*(1-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639*(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9">
        <f>IF(C639,(H639*N639*IF(AND(Inputs!$B$38&lt;&gt;"pvp",Inputs!$B$43&gt;0),((Skills!G9*((R639-1)*IF(Skills!H9&gt;0,Skills!I9/Skills!H9,1)+IF(Skills!H9&gt;0,MIN(Skills!I9,MAX(0,MAX(0,Inputs!$B$43-B667)-((R639-1)*(IF(Inputs!$B$38="pvp",15,MAX(0.1,Skills!D9-IF(Skills!E9=TRUE,Inputs!$B$32,0)))*(1-IF(AND(ArtifactsInput!$M$27,Inputs!$B$4="Chapter Hunt"),CHOOSE(ArtifactsInput!$N$27+1,20,24,28,32,36,40),0)/100)))))/Skills!H9,1)))/Inputs!$B$43),G639*Q639))*IF(Inputs!$B$38="pvp",1,(1+(Inputs!$B$21+Skills!Q9+(IF(ArtifactsInput!$M$33,CHOOSE(ArtifactsInput!$N$33+1,30,36,42,48,54,60)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0">
      <c r="A640">
        <f>Skills!A10</f>
        <v/>
      </c>
      <c r="B640">
        <f>Skills!B10</f>
        <v/>
      </c>
      <c r="C640">
        <f>Inputs!$B$3&gt;=113</f>
        <v/>
      </c>
      <c r="D640">
        <f>IF(Skills!C10=1,60+Inputs!$B$25+Inputs!$B$29,IF(Skills!C10=2,90+Inputs!$B$26+Inputs!$B$29,IF(Skills!C10=3,120+Inputs!$B$27+Inputs!$B$29,MAX(0,(Inputs!$B$3-100)*3)+Inputs!$B$28+Inputs!$B$29)))</f>
        <v/>
      </c>
      <c r="E640">
        <f>INDEX(FactorTable!$B$2:$Y$301, MATCH(ROUND(MIN(300,MAX(1,D640)),0), FactorTable!$A$2:$A$301,0), Skills!M10+1)</f>
        <v/>
      </c>
      <c r="F640">
        <f>IF(Skills!N10=TRUE,(Skills!L10/10)*(E640/1000),Skills!L10/10)+Skills!O10</f>
        <v/>
      </c>
      <c r="G640">
        <f>Skills!G10*IF(Skills!H10&gt;0,Skills!I10/Skills!H10,1)</f>
        <v/>
      </c>
      <c r="H640">
        <f>1-(1-Skills!J10/100)^Skills!K10</f>
        <v/>
      </c>
      <c r="I640" t="inlineStr">
        <is>
          <t>1</t>
        </is>
      </c>
      <c r="J640">
        <f>((Inputs!$B$6*(1+Inputs!$B$7/100))+(((Inputs!$B$12*(1+Inputs!$B$13/100))-(Inputs!$B$12*(1+Inputs!$B$13/100)))+0.25*(Inputs!$B$14-Inputs!$B$14))*(1+Inputs!$B$7/100))*(F640/100)</f>
        <v/>
      </c>
      <c r="K640">
        <f>J640*(1+((Inputs!$B$12*(1+Inputs!$B$13/100))*0.01+Inputs!$B$14*0.0025)/100)*(1+Inputs!$B$15/100)*(1+Inputs!$B$16/100)*(5000/(6000+Inputs!$B$42*(1-(100*(1-(1-(((1-(1-Inputs!$B$19/100)*(1-1/100))*100)+0)/100)*(1-CHOOSE(ArtifactsInput!$N$40+1,5,6,7,8,9,10)/100)^(ArtifactsInput!$M$40-ArtifactsInput!$M$40)))/100)))*(1+(Inputs!$B$24+((C656=TRUE)*(F656-Calc!F26))+B666)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653=TRUE)*(F653-Calc!F23))+((C657=TRUE)*(F657-Calc!F27))+(((IF(AND(ArtifactsInput!$M$42,((Inputs!$B$9+((C649=TRUE)*(F649-Calc!F19))+B660+(ArtifactsInput!$M$24-ArtifactsInput!$M$24)*CHOOSE(ArtifactsInput!$N$24+1,10,12,14,16,18,20)+IF(ArtifactsInput!$M$10,CHOOSE(ArtifactsInput!$N$10+1,15,18,21,24,27,30)*(IF(Inputs!$B$38="pvp",MIN(15,15)/15,IF(AND(Inputs!$B$38&lt;&gt;"pvp",Inputs!$B$43&gt;0),MIN(15,Inputs!$B$43)/(Inputs!$B$43),0))),0)))&gt;=100),MIN(100,((Inputs!$B$9+((C649=TRUE)*(F649-Calc!F19))+B660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649=TRUE)*(F649-Calc!F19))+B660+(ArtifactsInput!$M$24-ArtifactsInput!$M$24)*CHOOSE(ArtifactsInput!$N$24+1,10,12,14,16,18,20)+IF(ArtifactsInput!$M$10,CHOOSE(ArtifactsInput!$N$10+1,15,18,21,24,27,30)*(IF(Inputs!$B$38="pvp",MIN(15,15)/15,IF(AND(Inputs!$B$38&lt;&gt;"pvp",Inputs!$B$43&gt;0),MIN(15,Inputs!$B$43)/(Inputs!$B$43),0))),0)))&gt;=100),CHOOSE(ArtifactsInput!$N$42+1,40,48,56,64,72,80),0))))/100)*((1+(((C647=TRUE)*F647)+((C654=TRUE)*(F654-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640)</f>
        <v/>
      </c>
      <c r="L640">
        <f>K640*(MIN(Inputs!$B$22+((C652=TRUE)*(F652-Calc!F22)),(Inputs!$B$23+0+(IF(ArtifactsInput!$M$15,CHOOSE(ArtifactsInput!$N$15+1,25,30,35,40,45,50)/100*(Inputs!$B$11-Inputs!$B$11),0))))/100+(Inputs!$B$23+0+(IF(ArtifactsInput!$M$15,CHOOSE(ArtifactsInput!$N$15+1,25,30,35,40,45,50)/100*(Inputs!$B$11-Inputs!$B$11),0)))/100)/2</f>
        <v/>
      </c>
      <c r="M640">
        <f>L640*(1+(Inputs!$B$10+((C655=TRUE)*(F655-Calc!F25))+B665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0">
        <f>L640*(1-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640*(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0">
        <f>(1-Summary!$B$11)*T640+Summary!$B$11*V640</f>
        <v/>
      </c>
      <c r="P640">
        <f>IF(B670=0,0,O640/B670)</f>
        <v/>
      </c>
      <c r="Q640">
        <f>IFERROR(1/(IF(Inputs!$B$38="pvp",15,MAX(0.1,Skills!D10-IF(Skills!E10=TRUE,Inputs!$B$32,0)))*(1-IF(AND(ArtifactsInput!$M$27,Inputs!$B$4="Chapter Hunt"),CHOOSE(ArtifactsInput!$N$27+1,20,24,28,32,36,40),0)/100)),0)</f>
        <v/>
      </c>
      <c r="R640">
        <f>IF(AND(Inputs!$B$38&lt;&gt;"pvp",Inputs!$B$43&gt;0),IF(MAX(0,Inputs!$B$43-B667)&lt;=0,0,(INT(MAX(0,Inputs!$B$43-B667)/(IF(Inputs!$B$38="pvp",15,MAX(0.1,Skills!D10-IF(Skills!E10=TRUE,Inputs!$B$32,0)))*(1-IF(AND(ArtifactsInput!$M$27,Inputs!$B$4="Chapter Hunt"),CHOOSE(ArtifactsInput!$N$27+1,20,24,28,32,36,40),0)/100)))+1)),0)</f>
        <v/>
      </c>
      <c r="S640">
        <f>IFERROR(O640/N640,0)</f>
        <v/>
      </c>
      <c r="T640">
        <f>IF(C640,(H640*N640*IF(AND(Inputs!$B$38&lt;&gt;"pvp",Inputs!$B$43&gt;0),((Skills!G10*((R640-1)*IF(Skills!H10&gt;0,Skills!I10/Skills!H10,1)+IF(Skills!H10&gt;0,MIN(Skills!I10,MAX(0,MAX(0,Inputs!$B$43-B667)-((R640-1)*(IF(Inputs!$B$38="pvp",15,MAX(0.1,Skills!D10-IF(Skills!E10=TRUE,Inputs!$B$32,0)))*(1-IF(AND(ArtifactsInput!$M$27,Inputs!$B$4="Chapter Hunt"),CHOOSE(ArtifactsInput!$N$27+1,20,24,28,32,36,40),0)/100)))))/Skills!H10,1)))/Inputs!$B$43),G640*Q640)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640*(1-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640*(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640*(1-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640*(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0">
        <f>IF(C640,(H640*N640*IF(AND(Inputs!$B$38&lt;&gt;"pvp",Inputs!$B$43&gt;0),((Skills!G10*((R640-1)*IF(Skills!H10&gt;0,Skills!I10/Skills!H10,1)+IF(Skills!H10&gt;0,MIN(Skills!I10,MAX(0,MAX(0,Inputs!$B$43-B667)-((R640-1)*(IF(Inputs!$B$38="pvp",15,MAX(0.1,Skills!D10-IF(Skills!E10=TRUE,Inputs!$B$32,0)))*(1-IF(AND(ArtifactsInput!$M$27,Inputs!$B$4="Chapter Hunt"),CHOOSE(ArtifactsInput!$N$27+1,20,24,28,32,36,40),0)/100)))))/Skills!H10,1)))/Inputs!$B$43),G640*Q640))*IF(Inputs!$B$38="pvp",1,(1+(Inputs!$B$21+Skills!Q10+(IF(ArtifactsInput!$M$33,CHOOSE(ArtifactsInput!$N$33+1,30,36,42,48,54,60)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1">
      <c r="A641">
        <f>Skills!A11</f>
        <v/>
      </c>
      <c r="B641">
        <f>Skills!B11</f>
        <v/>
      </c>
      <c r="C641">
        <f>Inputs!$B$3&gt;=107</f>
        <v/>
      </c>
      <c r="D641">
        <f>IF(Skills!C11=1,60+Inputs!$B$25+Inputs!$B$29,IF(Skills!C11=2,90+Inputs!$B$26+Inputs!$B$29,IF(Skills!C11=3,120+Inputs!$B$27+Inputs!$B$29,MAX(0,(Inputs!$B$3-100)*3)+Inputs!$B$28+Inputs!$B$29)))</f>
        <v/>
      </c>
      <c r="E641">
        <f>INDEX(FactorTable!$B$2:$Y$301, MATCH(ROUND(MIN(300,MAX(1,D641)),0), FactorTable!$A$2:$A$301,0), Skills!M11+1)</f>
        <v/>
      </c>
      <c r="F641">
        <f>IF(Skills!N11=TRUE,(Skills!L11/10)*(E641/1000),Skills!L11/10)+Skills!O11</f>
        <v/>
      </c>
      <c r="G641">
        <f>Skills!G11*IF(Skills!H11&gt;0,Skills!I11/Skills!H11,1)</f>
        <v/>
      </c>
      <c r="H641">
        <f>1-(1-Skills!J11/100)^Skills!K11</f>
        <v/>
      </c>
      <c r="I641" t="inlineStr">
        <is>
          <t>1</t>
        </is>
      </c>
      <c r="J641">
        <f>((Inputs!$B$6*(1+Inputs!$B$7/100))+(((Inputs!$B$12*(1+Inputs!$B$13/100))-(Inputs!$B$12*(1+Inputs!$B$13/100)))+0.25*(Inputs!$B$14-Inputs!$B$14))*(1+Inputs!$B$7/100))*(F641/100)</f>
        <v/>
      </c>
      <c r="K641">
        <f>J641*(1+((Inputs!$B$12*(1+Inputs!$B$13/100))*0.01+Inputs!$B$14*0.0025)/100)*(1+Inputs!$B$15/100)*(1+Inputs!$B$16/100)*(5000/(6000+Inputs!$B$42*(1-(100*(1-(1-(((1-(1-Inputs!$B$19/100)*(1-1/100))*100)+0)/100)*(1-CHOOSE(ArtifactsInput!$N$40+1,5,6,7,8,9,10)/100)^(ArtifactsInput!$M$40-ArtifactsInput!$M$40)))/100)))*(1+(Inputs!$B$24+((C656=TRUE)*(F656-Calc!F26))+B666)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653=TRUE)*(F653-Calc!F23))+((C657=TRUE)*(F657-Calc!F27))+(((IF(AND(ArtifactsInput!$M$42,((Inputs!$B$9+((C649=TRUE)*(F649-Calc!F19))+B660+(ArtifactsInput!$M$24-ArtifactsInput!$M$24)*CHOOSE(ArtifactsInput!$N$24+1,10,12,14,16,18,20)+IF(ArtifactsInput!$M$10,CHOOSE(ArtifactsInput!$N$10+1,15,18,21,24,27,30)*(IF(Inputs!$B$38="pvp",MIN(15,15)/15,IF(AND(Inputs!$B$38&lt;&gt;"pvp",Inputs!$B$43&gt;0),MIN(15,Inputs!$B$43)/(Inputs!$B$43),0))),0)))&gt;=100),MIN(100,((Inputs!$B$9+((C649=TRUE)*(F649-Calc!F19))+B660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649=TRUE)*(F649-Calc!F19))+B660+(ArtifactsInput!$M$24-ArtifactsInput!$M$24)*CHOOSE(ArtifactsInput!$N$24+1,10,12,14,16,18,20)+IF(ArtifactsInput!$M$10,CHOOSE(ArtifactsInput!$N$10+1,15,18,21,24,27,30)*(IF(Inputs!$B$38="pvp",MIN(15,15)/15,IF(AND(Inputs!$B$38&lt;&gt;"pvp",Inputs!$B$43&gt;0),MIN(15,Inputs!$B$43)/(Inputs!$B$43),0))),0)))&gt;=100),CHOOSE(ArtifactsInput!$N$42+1,40,48,56,64,72,80),0))))/100)*((1+(((C647=TRUE)*F647)+((C654=TRUE)*(F654-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641)</f>
        <v/>
      </c>
      <c r="L641">
        <f>K641*(MIN(Inputs!$B$22+((C652=TRUE)*(F652-Calc!F22)),(Inputs!$B$23+0+(IF(ArtifactsInput!$M$15,CHOOSE(ArtifactsInput!$N$15+1,25,30,35,40,45,50)/100*(Inputs!$B$11-Inputs!$B$11),0))))/100+(Inputs!$B$23+0+(IF(ArtifactsInput!$M$15,CHOOSE(ArtifactsInput!$N$15+1,25,30,35,40,45,50)/100*(Inputs!$B$11-Inputs!$B$11),0)))/100)/2</f>
        <v/>
      </c>
      <c r="M641">
        <f>L641*(1+(Inputs!$B$10+((C655=TRUE)*(F655-Calc!F25))+B665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1">
        <f>L641*(1-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641*(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1">
        <f>(1-Summary!$B$11)*T641+Summary!$B$11*V641</f>
        <v/>
      </c>
      <c r="P641">
        <f>IF(B670=0,0,O641/B670)</f>
        <v/>
      </c>
      <c r="Q641">
        <f>IFERROR(1/(IF(Inputs!$B$38="pvp",15,MAX(0.1,Skills!D11-IF(Skills!E11=TRUE,Inputs!$B$32,0)))*(1-IF(AND(ArtifactsInput!$M$27,Inputs!$B$4="Chapter Hunt"),CHOOSE(ArtifactsInput!$N$27+1,20,24,28,32,36,40),0)/100)),0)</f>
        <v/>
      </c>
      <c r="R641">
        <f>IF(AND(Inputs!$B$38&lt;&gt;"pvp",Inputs!$B$43&gt;0),IF(MAX(0,Inputs!$B$43-B667)&lt;=0,0,(INT(MAX(0,Inputs!$B$43-B667)/(IF(Inputs!$B$38="pvp",15,MAX(0.1,Skills!D11-IF(Skills!E11=TRUE,Inputs!$B$32,0)))*(1-IF(AND(ArtifactsInput!$M$27,Inputs!$B$4="Chapter Hunt"),CHOOSE(ArtifactsInput!$N$27+1,20,24,28,32,36,40),0)/100)))+1)),0)</f>
        <v/>
      </c>
      <c r="S641">
        <f>IFERROR(O641/N641,0)</f>
        <v/>
      </c>
      <c r="T641">
        <f>IF(C641,(H641*N641*IF(AND(Inputs!$B$38&lt;&gt;"pvp",Inputs!$B$43&gt;0),((Skills!G11*((R641-1)*IF(Skills!H11&gt;0,Skills!I11/Skills!H11,1)+IF(Skills!H11&gt;0,MIN(Skills!I11,MAX(0,MAX(0,Inputs!$B$43-B667)-((R641-1)*(IF(Inputs!$B$38="pvp",15,MAX(0.1,Skills!D11-IF(Skills!E11=TRUE,Inputs!$B$32,0)))*(1-IF(AND(ArtifactsInput!$M$27,Inputs!$B$4="Chapter Hunt"),CHOOSE(ArtifactsInput!$N$27+1,20,24,28,32,36,40),0)/100)))))/Skills!H11,1)))/Inputs!$B$43),G641*Q641)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641*(1-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641*(1-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1">
        <f>IF(C641,(H641*N641*IF(AND(Inputs!$B$38&lt;&gt;"pvp",Inputs!$B$43&gt;0),((Skills!G11*((R641-1)*IF(Skills!H11&gt;0,Skills!I11/Skills!H11,1)+IF(Skills!H11&gt;0,MIN(Skills!I11,MAX(0,MAX(0,Inputs!$B$43-B667)-((R641-1)*(IF(Inputs!$B$38="pvp",15,MAX(0.1,Skills!D11-IF(Skills!E11=TRUE,Inputs!$B$32,0)))*(1-IF(AND(ArtifactsInput!$M$27,Inputs!$B$4="Chapter Hunt"),CHOOSE(ArtifactsInput!$N$27+1,20,24,28,32,36,40),0)/100)))))/Skills!H11,1)))/Inputs!$B$43),G641*Q641))*IF(Inputs!$B$38="pvp",1,(1+(Inputs!$B$21+Skills!Q11+(IF(ArtifactsInput!$M$33,CHOOSE(ArtifactsInput!$N$33+1,30,36,42,48,54,60)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2">
      <c r="A642">
        <f>Skills!A12</f>
        <v/>
      </c>
      <c r="B642">
        <f>Skills!B12</f>
        <v/>
      </c>
      <c r="C642">
        <f>Inputs!$B$3&gt;=110</f>
        <v/>
      </c>
      <c r="D642">
        <f>IF(Skills!C12=1,60+Inputs!$B$25+Inputs!$B$29,IF(Skills!C12=2,90+Inputs!$B$26+Inputs!$B$29,IF(Skills!C12=3,120+Inputs!$B$27+Inputs!$B$29,MAX(0,(Inputs!$B$3-100)*3)+Inputs!$B$28+Inputs!$B$29)))</f>
        <v/>
      </c>
      <c r="E642">
        <f>INDEX(FactorTable!$B$2:$Y$301, MATCH(ROUND(MIN(300,MAX(1,D642)),0), FactorTable!$A$2:$A$301,0), Skills!M12+1)</f>
        <v/>
      </c>
      <c r="F642">
        <f>IF(Skills!N12=TRUE,(Skills!L12/10)*(E642/1000),Skills!L12/10)+Skills!O12</f>
        <v/>
      </c>
      <c r="G642">
        <f>Skills!G12*IF(Skills!H12&gt;0,Skills!I12/Skills!H12,1)</f>
        <v/>
      </c>
      <c r="H642">
        <f>1-(1-Skills!J12/100)^Skills!K12</f>
        <v/>
      </c>
      <c r="I642" t="inlineStr">
        <is>
          <t>1</t>
        </is>
      </c>
      <c r="J642">
        <f>((Inputs!$B$6*(1+Inputs!$B$7/100))+(((Inputs!$B$12*(1+Inputs!$B$13/100))-(Inputs!$B$12*(1+Inputs!$B$13/100)))+0.25*(Inputs!$B$14-Inputs!$B$14))*(1+Inputs!$B$7/100))*(F642/100)</f>
        <v/>
      </c>
      <c r="K642">
        <f>J642*(1+((Inputs!$B$12*(1+Inputs!$B$13/100))*0.01+Inputs!$B$14*0.0025)/100)*(1+Inputs!$B$15/100)*(1+Inputs!$B$16/100)*(5000/(6000+Inputs!$B$42*(1-(100*(1-(1-(((1-(1-Inputs!$B$19/100)*(1-1/100))*100)+0)/100)*(1-CHOOSE(ArtifactsInput!$N$40+1,5,6,7,8,9,10)/100)^(ArtifactsInput!$M$40-ArtifactsInput!$M$40)))/100)))*(1+(Inputs!$B$24+((C656=TRUE)*(F656-Calc!F26))+B666)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653=TRUE)*(F653-Calc!F23))+((C657=TRUE)*(F657-Calc!F27))+(((IF(AND(ArtifactsInput!$M$42,((Inputs!$B$9+((C649=TRUE)*(F649-Calc!F19))+B660+(ArtifactsInput!$M$24-ArtifactsInput!$M$24)*CHOOSE(ArtifactsInput!$N$24+1,10,12,14,16,18,20)+IF(ArtifactsInput!$M$10,CHOOSE(ArtifactsInput!$N$10+1,15,18,21,24,27,30)*(IF(Inputs!$B$38="pvp",MIN(15,15)/15,IF(AND(Inputs!$B$38&lt;&gt;"pvp",Inputs!$B$43&gt;0),MIN(15,Inputs!$B$43)/(Inputs!$B$43),0))),0)))&gt;=100),MIN(100,((Inputs!$B$9+((C649=TRUE)*(F649-Calc!F19))+B660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649=TRUE)*(F649-Calc!F19))+B660+(ArtifactsInput!$M$24-ArtifactsInput!$M$24)*CHOOSE(ArtifactsInput!$N$24+1,10,12,14,16,18,20)+IF(ArtifactsInput!$M$10,CHOOSE(ArtifactsInput!$N$10+1,15,18,21,24,27,30)*(IF(Inputs!$B$38="pvp",MIN(15,15)/15,IF(AND(Inputs!$B$38&lt;&gt;"pvp",Inputs!$B$43&gt;0),MIN(15,Inputs!$B$43)/(Inputs!$B$43),0))),0)))&gt;=100),CHOOSE(ArtifactsInput!$N$42+1,40,48,56,64,72,80),0))))/100)*((1+(((C647=TRUE)*F647)+((C654=TRUE)*(F654-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642)</f>
        <v/>
      </c>
      <c r="L642">
        <f>K642*(MIN(Inputs!$B$22+((C652=TRUE)*(F652-Calc!F22)),(Inputs!$B$23+0+(IF(ArtifactsInput!$M$15,CHOOSE(ArtifactsInput!$N$15+1,25,30,35,40,45,50)/100*(Inputs!$B$11-Inputs!$B$11),0))))/100+(Inputs!$B$23+0+(IF(ArtifactsInput!$M$15,CHOOSE(ArtifactsInput!$N$15+1,25,30,35,40,45,50)/100*(Inputs!$B$11-Inputs!$B$11),0)))/100)/2</f>
        <v/>
      </c>
      <c r="M642">
        <f>L642*(1+(Inputs!$B$10+((C655=TRUE)*(F655-Calc!F25))+B665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2">
        <f>L642*(1-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642*(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2">
        <f>(1-Summary!$B$11)*T642+Summary!$B$11*V642</f>
        <v/>
      </c>
      <c r="P642">
        <f>IF(B670=0,0,O642/B670)</f>
        <v/>
      </c>
      <c r="Q642">
        <f>IFERROR(1/(IF(Inputs!$B$38="pvp",15,MAX(0.1,Skills!D12-IF(Skills!E12=TRUE,Inputs!$B$32,0)))*(1-IF(AND(ArtifactsInput!$M$27,Inputs!$B$4="Chapter Hunt"),CHOOSE(ArtifactsInput!$N$27+1,20,24,28,32,36,40),0)/100)),0)</f>
        <v/>
      </c>
      <c r="R642">
        <f>IF(AND(Inputs!$B$38&lt;&gt;"pvp",Inputs!$B$43&gt;0),IF(MAX(0,Inputs!$B$43-B667)&lt;=0,0,(INT(MAX(0,Inputs!$B$43-B667)/(IF(Inputs!$B$38="pvp",15,MAX(0.1,Skills!D12-IF(Skills!E12=TRUE,Inputs!$B$32,0)))*(1-IF(AND(ArtifactsInput!$M$27,Inputs!$B$4="Chapter Hunt"),CHOOSE(ArtifactsInput!$N$27+1,20,24,28,32,36,40),0)/100)))+1)),0)</f>
        <v/>
      </c>
      <c r="S642">
        <f>IFERROR(O642/N642,0)</f>
        <v/>
      </c>
      <c r="T642">
        <f>IF(C642,(H642*N642*IF(AND(Inputs!$B$38&lt;&gt;"pvp",Inputs!$B$43&gt;0),((Skills!G12*((R642-1)*IF(Skills!H12&gt;0,Skills!I12/Skills!H12,1)+IF(Skills!H12&gt;0,MIN(Skills!I12,MAX(0,MAX(0,Inputs!$B$43-B667)-((R642-1)*(IF(Inputs!$B$38="pvp",15,MAX(0.1,Skills!D12-IF(Skills!E12=TRUE,Inputs!$B$32,0)))*(1-IF(AND(ArtifactsInput!$M$27,Inputs!$B$4="Chapter Hunt"),CHOOSE(ArtifactsInput!$N$27+1,20,24,28,32,36,40),0)/100)))))/Skills!H12,1)))/Inputs!$B$43),G642*Q642)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642*(1-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642*(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642*(1-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642*(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2">
        <f>IF(C642,(H642*N642*IF(AND(Inputs!$B$38&lt;&gt;"pvp",Inputs!$B$43&gt;0),((Skills!G12*((R642-1)*IF(Skills!H12&gt;0,Skills!I12/Skills!H12,1)+IF(Skills!H12&gt;0,MIN(Skills!I12,MAX(0,MAX(0,Inputs!$B$43-B667)-((R642-1)*(IF(Inputs!$B$38="pvp",15,MAX(0.1,Skills!D12-IF(Skills!E12=TRUE,Inputs!$B$32,0)))*(1-IF(AND(ArtifactsInput!$M$27,Inputs!$B$4="Chapter Hunt"),CHOOSE(ArtifactsInput!$N$27+1,20,24,28,32,36,40),0)/100)))))/Skills!H12,1)))/Inputs!$B$43),G642*Q642))*IF(Inputs!$B$38="pvp",1,(1+(Inputs!$B$21+Skills!Q12+(IF(ArtifactsInput!$M$33,CHOOSE(ArtifactsInput!$N$33+1,30,36,42,48,54,60)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3">
      <c r="A643">
        <f>Skills!A13</f>
        <v/>
      </c>
      <c r="B643">
        <f>Skills!B13</f>
        <v/>
      </c>
      <c r="C643">
        <f>Inputs!$B$3&gt;=110</f>
        <v/>
      </c>
      <c r="D643">
        <f>IF(Skills!C13=1,60+Inputs!$B$25+Inputs!$B$29,IF(Skills!C13=2,90+Inputs!$B$26+Inputs!$B$29,IF(Skills!C13=3,120+Inputs!$B$27+Inputs!$B$29,MAX(0,(Inputs!$B$3-100)*3)+Inputs!$B$28+Inputs!$B$29)))</f>
        <v/>
      </c>
      <c r="E643">
        <f>INDEX(FactorTable!$B$2:$Y$301, MATCH(ROUND(MIN(300,MAX(1,D643)),0), FactorTable!$A$2:$A$301,0), Skills!M13+1)</f>
        <v/>
      </c>
      <c r="F643">
        <f>IF(Skills!N13=TRUE,(Skills!L13/10)*(E643/1000),Skills!L13/10)+Skills!O13</f>
        <v/>
      </c>
      <c r="G643">
        <f>Skills!G13*IF(Skills!H13&gt;0,Skills!I13/Skills!H13,1)</f>
        <v/>
      </c>
      <c r="H643">
        <f>1-(1-Skills!J13/100)^Skills!K13</f>
        <v/>
      </c>
      <c r="I643" t="inlineStr">
        <is>
          <t>1</t>
        </is>
      </c>
      <c r="J643">
        <f>((Inputs!$B$6*(1+Inputs!$B$7/100))+(((Inputs!$B$12*(1+Inputs!$B$13/100))-(Inputs!$B$12*(1+Inputs!$B$13/100)))+0.25*(Inputs!$B$14-Inputs!$B$14))*(1+Inputs!$B$7/100))*(F643/100)</f>
        <v/>
      </c>
      <c r="K643">
        <f>J643*(1+((Inputs!$B$12*(1+Inputs!$B$13/100))*0.01+Inputs!$B$14*0.0025)/100)*(1+Inputs!$B$15/100)*(1+Inputs!$B$16/100)*(5000/(6000+Inputs!$B$42*(1-(100*(1-(1-(((1-(1-Inputs!$B$19/100)*(1-1/100))*100)+0)/100)*(1-CHOOSE(ArtifactsInput!$N$40+1,5,6,7,8,9,10)/100)^(ArtifactsInput!$M$40-ArtifactsInput!$M$40)))/100)))*(1+(Inputs!$B$24+((C656=TRUE)*(F656-Calc!F26))+B666)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653=TRUE)*(F653-Calc!F23))+((C657=TRUE)*(F657-Calc!F27))+(((IF(AND(ArtifactsInput!$M$42,((Inputs!$B$9+((C649=TRUE)*(F649-Calc!F19))+B660+(ArtifactsInput!$M$24-ArtifactsInput!$M$24)*CHOOSE(ArtifactsInput!$N$24+1,10,12,14,16,18,20)+IF(ArtifactsInput!$M$10,CHOOSE(ArtifactsInput!$N$10+1,15,18,21,24,27,30)*(IF(Inputs!$B$38="pvp",MIN(15,15)/15,IF(AND(Inputs!$B$38&lt;&gt;"pvp",Inputs!$B$43&gt;0),MIN(15,Inputs!$B$43)/(Inputs!$B$43),0))),0)))&gt;=100),MIN(100,((Inputs!$B$9+((C649=TRUE)*(F649-Calc!F19))+B660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649=TRUE)*(F649-Calc!F19))+B660+(ArtifactsInput!$M$24-ArtifactsInput!$M$24)*CHOOSE(ArtifactsInput!$N$24+1,10,12,14,16,18,20)+IF(ArtifactsInput!$M$10,CHOOSE(ArtifactsInput!$N$10+1,15,18,21,24,27,30)*(IF(Inputs!$B$38="pvp",MIN(15,15)/15,IF(AND(Inputs!$B$38&lt;&gt;"pvp",Inputs!$B$43&gt;0),MIN(15,Inputs!$B$43)/(Inputs!$B$43),0))),0)))&gt;=100),CHOOSE(ArtifactsInput!$N$42+1,40,48,56,64,72,80),0))))/100)*((1+(((C647=TRUE)*F647)+((C654=TRUE)*(F654-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643)</f>
        <v/>
      </c>
      <c r="L643">
        <f>K643*(MIN(Inputs!$B$22+((C652=TRUE)*(F652-Calc!F22)),(Inputs!$B$23+0+(IF(ArtifactsInput!$M$15,CHOOSE(ArtifactsInput!$N$15+1,25,30,35,40,45,50)/100*(Inputs!$B$11-Inputs!$B$11),0))))/100+(Inputs!$B$23+0+(IF(ArtifactsInput!$M$15,CHOOSE(ArtifactsInput!$N$15+1,25,30,35,40,45,50)/100*(Inputs!$B$11-Inputs!$B$11),0)))/100)/2</f>
        <v/>
      </c>
      <c r="M643">
        <f>L643*(1+(Inputs!$B$10+((C655=TRUE)*(F655-Calc!F25))+B665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3">
        <f>L643*(1-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643*(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3">
        <f>(1-Summary!$B$11)*T643+Summary!$B$11*V643</f>
        <v/>
      </c>
      <c r="P643">
        <f>IF(B670=0,0,O643/B670)</f>
        <v/>
      </c>
      <c r="Q643">
        <f>IFERROR(1/(IF(Inputs!$B$38="pvp",15,MAX(0.1,Skills!D13-IF(Skills!E13=TRUE,Inputs!$B$32,0)))*(1-IF(AND(ArtifactsInput!$M$27,Inputs!$B$4="Chapter Hunt"),CHOOSE(ArtifactsInput!$N$27+1,20,24,28,32,36,40),0)/100)),0)</f>
        <v/>
      </c>
      <c r="R643">
        <f>IF(AND(Inputs!$B$38&lt;&gt;"pvp",Inputs!$B$43&gt;0),IF(MAX(0,Inputs!$B$43-B667)&lt;=0,0,(INT(MAX(0,Inputs!$B$43-B667)/(IF(Inputs!$B$38="pvp",15,MAX(0.1,Skills!D13-IF(Skills!E13=TRUE,Inputs!$B$32,0)))*(1-IF(AND(ArtifactsInput!$M$27,Inputs!$B$4="Chapter Hunt"),CHOOSE(ArtifactsInput!$N$27+1,20,24,28,32,36,40),0)/100)))+1)),0)</f>
        <v/>
      </c>
      <c r="S643">
        <f>IFERROR(O643/N643,0)</f>
        <v/>
      </c>
      <c r="T643">
        <f>IF(C643,(H643*N643*IF(AND(Inputs!$B$38&lt;&gt;"pvp",Inputs!$B$43&gt;0),((Skills!G13*((R643-1)*IF(Skills!H13&gt;0,Skills!I13/Skills!H13,1)+IF(Skills!H13&gt;0,MIN(Skills!I13,MAX(0,MAX(0,Inputs!$B$43-B667)-((R643-1)*(IF(Inputs!$B$38="pvp",15,MAX(0.1,Skills!D13-IF(Skills!E13=TRUE,Inputs!$B$32,0)))*(1-IF(AND(ArtifactsInput!$M$27,Inputs!$B$4="Chapter Hunt"),CHOOSE(ArtifactsInput!$N$27+1,20,24,28,32,36,40),0)/100)))))/Skills!H13,1)))/Inputs!$B$43),G643*Q643))*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643*(1-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643*(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643*(1-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643*(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3">
        <f>IF(C643,(H643*N643*IF(AND(Inputs!$B$38&lt;&gt;"pvp",Inputs!$B$43&gt;0),((Skills!G13*((R643-1)*IF(Skills!H13&gt;0,Skills!I13/Skills!H13,1)+IF(Skills!H13&gt;0,MIN(Skills!I13,MAX(0,MAX(0,Inputs!$B$43-B667)-((R643-1)*(IF(Inputs!$B$38="pvp",15,MAX(0.1,Skills!D13-IF(Skills!E13=TRUE,Inputs!$B$32,0)))*(1-IF(AND(ArtifactsInput!$M$27,Inputs!$B$4="Chapter Hunt"),CHOOSE(ArtifactsInput!$N$27+1,20,24,28,32,36,40),0)/100)))))/Skills!H13,1)))/Inputs!$B$43),G643*Q643))*IF(Inputs!$B$38="pvp",1,(1+(Inputs!$B$21+Skills!Q13+(IF(ArtifactsInput!$M$33,CHOOSE(ArtifactsInput!$N$33+1,30,36,42,48,54,60)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4">
      <c r="A644">
        <f>Skills!A14</f>
        <v/>
      </c>
      <c r="B644">
        <f>Skills!B14</f>
        <v/>
      </c>
      <c r="C644">
        <f>Inputs!$B$3&gt;=125</f>
        <v/>
      </c>
      <c r="D644">
        <f>IF(Skills!C14=1,60+Inputs!$B$25+Inputs!$B$29,IF(Skills!C14=2,90+Inputs!$B$26+Inputs!$B$29,IF(Skills!C14=3,120+Inputs!$B$27+Inputs!$B$29,MAX(0,(Inputs!$B$3-100)*3)+Inputs!$B$28+Inputs!$B$29)))</f>
        <v/>
      </c>
      <c r="E644">
        <f>INDEX(FactorTable!$B$2:$Y$301, MATCH(ROUND(MIN(300,MAX(1,D644)),0), FactorTable!$A$2:$A$301,0), Skills!M14+1)</f>
        <v/>
      </c>
      <c r="F644">
        <f>IF(Skills!N14=TRUE,(Skills!L14/10)*(E644/1000),Skills!L14/10)+Skills!O14</f>
        <v/>
      </c>
      <c r="G644">
        <f>Skills!G14*IF(Skills!H14&gt;0,Skills!I14/Skills!H14,1)</f>
        <v/>
      </c>
      <c r="H644">
        <f>1-(1-Skills!J14/100)^Skills!K14</f>
        <v/>
      </c>
      <c r="I644" t="inlineStr">
        <is>
          <t>1</t>
        </is>
      </c>
      <c r="J644">
        <f>((Inputs!$B$6*(1+Inputs!$B$7/100))+(((Inputs!$B$12*(1+Inputs!$B$13/100))-(Inputs!$B$12*(1+Inputs!$B$13/100)))+0.25*(Inputs!$B$14-Inputs!$B$14))*(1+Inputs!$B$7/100))*(F644/100)</f>
        <v/>
      </c>
      <c r="K644">
        <f>J644*(1+((Inputs!$B$12*(1+Inputs!$B$13/100))*0.01+Inputs!$B$14*0.0025)/100)*(1+Inputs!$B$15/100)*(1+Inputs!$B$16/100)*(5000/(6000+Inputs!$B$42*(1-(100*(1-(1-(((1-(1-Inputs!$B$19/100)*(1-1/100))*100)+0)/100)*(1-CHOOSE(ArtifactsInput!$N$40+1,5,6,7,8,9,10)/100)^(ArtifactsInput!$M$40-ArtifactsInput!$M$40)))/100)))*(1+(Inputs!$B$24+((C656=TRUE)*(F656-Calc!F26))+B666)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653=TRUE)*(F653-Calc!F23))+((C657=TRUE)*(F657-Calc!F27))+(((IF(AND(ArtifactsInput!$M$42,((Inputs!$B$9+((C649=TRUE)*(F649-Calc!F19))+B660+(ArtifactsInput!$M$24-ArtifactsInput!$M$24)*CHOOSE(ArtifactsInput!$N$24+1,10,12,14,16,18,20)+IF(ArtifactsInput!$M$10,CHOOSE(ArtifactsInput!$N$10+1,15,18,21,24,27,30)*(IF(Inputs!$B$38="pvp",MIN(15,15)/15,IF(AND(Inputs!$B$38&lt;&gt;"pvp",Inputs!$B$43&gt;0),MIN(15,Inputs!$B$43)/(Inputs!$B$43),0))),0)))&gt;=100),MIN(100,((Inputs!$B$9+((C649=TRUE)*(F649-Calc!F19))+B660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649=TRUE)*(F649-Calc!F19))+B660+(ArtifactsInput!$M$24-ArtifactsInput!$M$24)*CHOOSE(ArtifactsInput!$N$24+1,10,12,14,16,18,20)+IF(ArtifactsInput!$M$10,CHOOSE(ArtifactsInput!$N$10+1,15,18,21,24,27,30)*(IF(Inputs!$B$38="pvp",MIN(15,15)/15,IF(AND(Inputs!$B$38&lt;&gt;"pvp",Inputs!$B$43&gt;0),MIN(15,Inputs!$B$43)/(Inputs!$B$43),0))),0)))&gt;=100),CHOOSE(ArtifactsInput!$N$42+1,40,48,56,64,72,80),0))))/100)*((1+(((C647=TRUE)*F647)+((C654=TRUE)*(F654-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644)</f>
        <v/>
      </c>
      <c r="L644">
        <f>K644*(MIN(Inputs!$B$22+((C652=TRUE)*(F652-Calc!F22)),(Inputs!$B$23+0+(IF(ArtifactsInput!$M$15,CHOOSE(ArtifactsInput!$N$15+1,25,30,35,40,45,50)/100*(Inputs!$B$11-Inputs!$B$11),0))))/100+(Inputs!$B$23+0+(IF(ArtifactsInput!$M$15,CHOOSE(ArtifactsInput!$N$15+1,25,30,35,40,45,50)/100*(Inputs!$B$11-Inputs!$B$11),0)))/100)/2</f>
        <v/>
      </c>
      <c r="M644">
        <f>L644*(1+(Inputs!$B$10+((C655=TRUE)*(F655-Calc!F25))+B665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4">
        <f>L644*(1-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644*(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4">
        <f>(1-Summary!$B$11)*T644+Summary!$B$11*V644</f>
        <v/>
      </c>
      <c r="P644">
        <f>IF(B670=0,0,O644/B670)</f>
        <v/>
      </c>
      <c r="Q644" t="n">
        <v>0</v>
      </c>
      <c r="R644" t="n">
        <v>0</v>
      </c>
      <c r="S644">
        <f>IFERROR(O644/N644,0)</f>
        <v/>
      </c>
      <c r="T644">
        <f>IF(C644,(H644*N644*(B664+IF(AND(Inputs!$B$38&lt;&gt;"pvp",Inputs!$B$43&gt;0),((Skills!G8*((R638-1)*IF(Skills!H8&gt;0,Skills!I8/Skills!H8,1)+IF(Skills!H8&gt;0,MIN(Skills!I8,MAX(0,MAX(0,Inputs!$B$43-B667)-((R638-1)*(IF(Inputs!$B$38="pvp",15,MAX(0.1,Skills!D8-IF(Skills!E8=TRUE,Inputs!$B$32,0)))*(1-IF(AND(ArtifactsInput!$M$27,Inputs!$B$4="Chapter Hunt"),CHOOSE(ArtifactsInput!$N$27+1,20,24,28,32,36,40),0)/100)))))/Skills!H8,1)))/Inputs!$B$43),G638*Q638)+IF(AND(Inputs!$B$38&lt;&gt;"pvp",Inputs!$B$43&gt;0),((Skills!G11*((R641-1)*IF(Skills!H11&gt;0,Skills!I11/Skills!H11,1)+IF(Skills!H11&gt;0,MIN(Skills!I11,MAX(0,MAX(0,Inputs!$B$43-B667)-((R641-1)*(IF(Inputs!$B$38="pvp",15,MAX(0.1,Skills!D11-IF(Skills!E11=TRUE,Inputs!$B$32,0)))*(1-IF(AND(ArtifactsInput!$M$27,Inputs!$B$4="Chapter Hunt"),CHOOSE(ArtifactsInput!$N$27+1,20,24,28,32,36,40),0)/100)))))/Skills!H11,1)))/Inputs!$B$43),G641*Q641)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644*(1-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644*(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644*(1-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644*(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4">
        <f>IF(C644,(H644*N644*(B664+IF(AND(Inputs!$B$38&lt;&gt;"pvp",Inputs!$B$43&gt;0),((Skills!G8*((R638-1)*IF(Skills!H8&gt;0,Skills!I8/Skills!H8,1)+IF(Skills!H8&gt;0,MIN(Skills!I8,MAX(0,MAX(0,Inputs!$B$43-B667)-((R638-1)*(IF(Inputs!$B$38="pvp",15,MAX(0.1,Skills!D8-IF(Skills!E8=TRUE,Inputs!$B$32,0)))*(1-IF(AND(ArtifactsInput!$M$27,Inputs!$B$4="Chapter Hunt"),CHOOSE(ArtifactsInput!$N$27+1,20,24,28,32,36,40),0)/100)))))/Skills!H8,1)))/Inputs!$B$43),G638*Q638)+IF(AND(Inputs!$B$38&lt;&gt;"pvp",Inputs!$B$43&gt;0),((Skills!G11*((R641-1)*IF(Skills!H11&gt;0,Skills!I11/Skills!H11,1)+IF(Skills!H11&gt;0,MIN(Skills!I11,MAX(0,MAX(0,Inputs!$B$43-B667)-((R641-1)*(IF(Inputs!$B$38="pvp",15,MAX(0.1,Skills!D11-IF(Skills!E11=TRUE,Inputs!$B$32,0)))*(1-IF(AND(ArtifactsInput!$M$27,Inputs!$B$4="Chapter Hunt"),CHOOSE(ArtifactsInput!$N$27+1,20,24,28,32,36,40),0)/100)))))/Skills!H11,1)))/Inputs!$B$43),G641*Q641)))*IF(Inputs!$B$38="pvp",1,(1+(Inputs!$B$21+Skills!Q14+(IF(ArtifactsInput!$M$33,CHOOSE(ArtifactsInput!$N$33+1,30,36,42,48,54,60)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5">
      <c r="A645">
        <f>Skills!A15</f>
        <v/>
      </c>
      <c r="B645">
        <f>Skills!B15</f>
        <v/>
      </c>
      <c r="C645">
        <f>Inputs!$B$3&gt;=100</f>
        <v/>
      </c>
      <c r="D645">
        <f>IF(Skills!C15=1,60+Inputs!$B$25+Inputs!$B$29,IF(Skills!C15=2,90+Inputs!$B$26+Inputs!$B$29,IF(Skills!C15=3,120+Inputs!$B$27+Inputs!$B$29,MAX(0,(Inputs!$B$3-100)*3)+Inputs!$B$28+Inputs!$B$29)))</f>
        <v/>
      </c>
      <c r="E645">
        <f>INDEX(FactorTable!$B$2:$Y$301, MATCH(ROUND(MIN(300,MAX(1,D645)),0), FactorTable!$A$2:$A$301,0), Skills!M15+1)</f>
        <v/>
      </c>
      <c r="F645">
        <f>IF(Skills!N15=TRUE,(Skills!L15/10)*(E645/1000),Skills!L15/10)+Skills!O15</f>
        <v/>
      </c>
      <c r="G645" t="inlineStr"/>
      <c r="H645" t="inlineStr"/>
      <c r="I645" t="inlineStr">
        <is>
          <t>1</t>
        </is>
      </c>
      <c r="J645" t="inlineStr"/>
      <c r="K645" t="inlineStr"/>
      <c r="L645" t="inlineStr"/>
      <c r="M645" t="inlineStr"/>
      <c r="N645" t="inlineStr"/>
      <c r="O645" t="inlineStr"/>
      <c r="P645" t="inlineStr"/>
      <c r="Q645" t="inlineStr"/>
      <c r="R645" t="inlineStr"/>
      <c r="S645" t="inlineStr"/>
    </row>
    <row r="646">
      <c r="A646">
        <f>Skills!A16</f>
        <v/>
      </c>
      <c r="B646">
        <f>Skills!B16</f>
        <v/>
      </c>
      <c r="C646">
        <f>Inputs!$B$3&gt;=120</f>
        <v/>
      </c>
      <c r="D646">
        <f>IF(Skills!C16=1,60+Inputs!$B$25+Inputs!$B$29,IF(Skills!C16=2,90+Inputs!$B$26+Inputs!$B$29,IF(Skills!C16=3,120+Inputs!$B$27+Inputs!$B$29,MAX(0,(Inputs!$B$3-100)*3)+Inputs!$B$28+Inputs!$B$29)))</f>
        <v/>
      </c>
      <c r="E646">
        <f>INDEX(FactorTable!$B$2:$Y$301, MATCH(ROUND(MIN(300,MAX(1,D646)),0), FactorTable!$A$2:$A$301,0), Skills!M16+1)</f>
        <v/>
      </c>
      <c r="F646">
        <f>IF(Skills!N16=TRUE,(Skills!L16/10)*(E646/1000),Skills!L16/10)+Skills!O16</f>
        <v/>
      </c>
      <c r="G646" t="inlineStr"/>
      <c r="H646" t="inlineStr"/>
      <c r="I646" t="inlineStr">
        <is>
          <t>1</t>
        </is>
      </c>
      <c r="J646" t="inlineStr"/>
      <c r="K646" t="inlineStr"/>
      <c r="L646" t="inlineStr"/>
      <c r="M646" t="inlineStr"/>
      <c r="N646" t="inlineStr"/>
      <c r="O646" t="inlineStr"/>
      <c r="P646" t="inlineStr"/>
      <c r="Q646" t="inlineStr"/>
      <c r="R646" t="inlineStr"/>
      <c r="S646" t="inlineStr"/>
    </row>
    <row r="647">
      <c r="A647">
        <f>Skills!A17</f>
        <v/>
      </c>
      <c r="B647">
        <f>Skills!B17</f>
        <v/>
      </c>
      <c r="C647">
        <f>Inputs!$B$3&gt;=66</f>
        <v/>
      </c>
      <c r="D647">
        <f>IF(Skills!C17=1,60+Inputs!$B$25+Inputs!$B$29,IF(Skills!C17=2,90+Inputs!$B$26+Inputs!$B$29,IF(Skills!C17=3,120+Inputs!$B$27+Inputs!$B$29,MAX(0,(Inputs!$B$3-100)*3)+Inputs!$B$28+Inputs!$B$29)))</f>
        <v/>
      </c>
      <c r="E647">
        <f>INDEX(FactorTable!$B$2:$Y$301, MATCH(ROUND(MIN(300,MAX(1,D647)),0), FactorTable!$A$2:$A$301,0), Skills!M17+1)</f>
        <v/>
      </c>
      <c r="F647">
        <f>IF(Skills!N17=TRUE,(Skills!L17/10)*(E647/1000),Skills!L17/10)+Skills!O17</f>
        <v/>
      </c>
      <c r="G647">
        <f>Skills!G17*IF(Skills!H17&gt;0,Skills!I17/Skills!H17,1)</f>
        <v/>
      </c>
      <c r="H647">
        <f>1-(1-Skills!J17/100)^Skills!K17</f>
        <v/>
      </c>
      <c r="I647" t="inlineStr">
        <is>
          <t>1</t>
        </is>
      </c>
      <c r="J647" t="inlineStr"/>
      <c r="K647" t="inlineStr"/>
      <c r="L647" t="inlineStr"/>
      <c r="M647" t="inlineStr"/>
      <c r="N647" t="inlineStr"/>
      <c r="O647">
        <f>(1-Summary!$B$11)*T647+Summary!$B$11*V647</f>
        <v/>
      </c>
      <c r="P647">
        <f>IF(B670=0,0,O647/B670)</f>
        <v/>
      </c>
      <c r="Q647" t="n">
        <v>0</v>
      </c>
      <c r="R647" t="n">
        <v>0</v>
      </c>
      <c r="S647">
        <f>IFERROR(O647/N647,0)</f>
        <v/>
      </c>
      <c r="T647" t="n">
        <v>0</v>
      </c>
      <c r="V647" t="n">
        <v>0</v>
      </c>
    </row>
    <row r="648">
      <c r="A648">
        <f>Skills!A18</f>
        <v/>
      </c>
      <c r="B648">
        <f>Skills!B18</f>
        <v/>
      </c>
      <c r="C648">
        <f>Inputs!$B$3&gt;=115</f>
        <v/>
      </c>
      <c r="D648">
        <f>IF(Skills!C18=1,60+Inputs!$B$25+Inputs!$B$29,IF(Skills!C18=2,90+Inputs!$B$26+Inputs!$B$29,IF(Skills!C18=3,120+Inputs!$B$27+Inputs!$B$29,MAX(0,(Inputs!$B$3-100)*3)+Inputs!$B$28+Inputs!$B$29)))</f>
        <v/>
      </c>
      <c r="E648">
        <f>INDEX(FactorTable!$B$2:$Y$301, MATCH(ROUND(MIN(300,MAX(1,D648)),0), FactorTable!$A$2:$A$301,0), Skills!M18+1)</f>
        <v/>
      </c>
      <c r="F648">
        <f>IF(Skills!N18=TRUE,(Skills!L18/10)*(E648/1000),Skills!L18/10)+Skills!O18</f>
        <v/>
      </c>
      <c r="G648">
        <f>Skills!G18*IF(Skills!H18&gt;0,Skills!I18/Skills!H18,1)</f>
        <v/>
      </c>
      <c r="H648">
        <f>1-(1-Skills!J18/100)^Skills!K18</f>
        <v/>
      </c>
      <c r="I648" t="inlineStr">
        <is>
          <t>1</t>
        </is>
      </c>
      <c r="J648" t="inlineStr"/>
      <c r="K648" t="inlineStr"/>
      <c r="L648" t="inlineStr"/>
      <c r="M648" t="inlineStr"/>
      <c r="N648" t="inlineStr"/>
      <c r="O648">
        <f>(1-Summary!$B$11)*T648+Summary!$B$11*V648</f>
        <v/>
      </c>
      <c r="P648">
        <f>IF(B670=0,0,O648/B670)</f>
        <v/>
      </c>
      <c r="Q648" t="n">
        <v>0</v>
      </c>
      <c r="R648" t="n">
        <v>0</v>
      </c>
      <c r="S648">
        <f>IFERROR(O648/N648,0)</f>
        <v/>
      </c>
      <c r="T648" t="n">
        <v>0</v>
      </c>
      <c r="V648" t="n">
        <v>0</v>
      </c>
    </row>
    <row r="649">
      <c r="A649">
        <f>Skills!A19</f>
        <v/>
      </c>
      <c r="B649">
        <f>Skills!B19</f>
        <v/>
      </c>
      <c r="C649">
        <f>Inputs!$B$3&gt;=15</f>
        <v/>
      </c>
      <c r="D649">
        <f>IF(Skills!C19=1,60+Inputs!$B$25+Inputs!$B$29,IF(Skills!C19=2,90+Inputs!$B$26+Inputs!$B$29,IF(Skills!C19=3,120+Inputs!$B$27+Inputs!$B$29,MAX(0,(Inputs!$B$3-100)*3)+Inputs!$B$28+Inputs!$B$29)))</f>
        <v/>
      </c>
      <c r="E649">
        <f>INDEX(FactorTable!$B$2:$Y$301, MATCH(ROUND(MIN(300,MAX(1,D649)),0), FactorTable!$A$2:$A$301,0), Skills!M19+1)</f>
        <v/>
      </c>
      <c r="F649">
        <f>IF(Skills!N19=TRUE,(Skills!L19/10)*(E649/1000),Skills!L19/10)+Skills!O19</f>
        <v/>
      </c>
      <c r="G649">
        <f>Skills!G19*IF(Skills!H19&gt;0,Skills!I19/Skills!H19,1)</f>
        <v/>
      </c>
      <c r="H649">
        <f>1-(1-Skills!J19/100)^Skills!K19</f>
        <v/>
      </c>
      <c r="I649" t="inlineStr">
        <is>
          <t>1</t>
        </is>
      </c>
      <c r="J649" t="inlineStr"/>
      <c r="K649" t="inlineStr"/>
      <c r="L649" t="inlineStr"/>
      <c r="M649" t="inlineStr"/>
      <c r="N649" t="inlineStr"/>
      <c r="O649">
        <f>(1-Summary!$B$11)*T649+Summary!$B$11*V649</f>
        <v/>
      </c>
      <c r="P649">
        <f>IF(B670=0,0,O649/B670)</f>
        <v/>
      </c>
      <c r="Q649" t="n">
        <v>0</v>
      </c>
      <c r="R649" t="n">
        <v>0</v>
      </c>
      <c r="S649">
        <f>IFERROR(O649/N649,0)</f>
        <v/>
      </c>
      <c r="T649" t="n">
        <v>0</v>
      </c>
      <c r="V649" t="n">
        <v>0</v>
      </c>
    </row>
    <row r="650">
      <c r="A650">
        <f>Skills!A20</f>
        <v/>
      </c>
      <c r="B650">
        <f>Skills!B20</f>
        <v/>
      </c>
      <c r="C650">
        <f>Inputs!$B$3&gt;=10</f>
        <v/>
      </c>
      <c r="D650">
        <f>IF(Skills!C20=1,60+Inputs!$B$25+Inputs!$B$29,IF(Skills!C20=2,90+Inputs!$B$26+Inputs!$B$29,IF(Skills!C20=3,120+Inputs!$B$27+Inputs!$B$29,MAX(0,(Inputs!$B$3-100)*3)+Inputs!$B$28+Inputs!$B$29)))</f>
        <v/>
      </c>
      <c r="E650">
        <f>INDEX(FactorTable!$B$2:$Y$301, MATCH(ROUND(MIN(300,MAX(1,D650)),0), FactorTable!$A$2:$A$301,0), Skills!M20+1)</f>
        <v/>
      </c>
      <c r="F650">
        <f>IF(Skills!N20=TRUE,(Skills!L20/10)*(E650/1000),Skills!L20/10)+Skills!O20</f>
        <v/>
      </c>
      <c r="G650">
        <f>Skills!G20*IF(Skills!H20&gt;0,Skills!I20/Skills!H20,1)</f>
        <v/>
      </c>
      <c r="H650">
        <f>1-(1-Skills!J20/100)^Skills!K20</f>
        <v/>
      </c>
      <c r="I650" t="inlineStr">
        <is>
          <t>1</t>
        </is>
      </c>
      <c r="J650" t="inlineStr"/>
      <c r="K650" t="inlineStr"/>
      <c r="L650" t="inlineStr"/>
      <c r="M650" t="inlineStr"/>
      <c r="N650" t="inlineStr"/>
      <c r="O650">
        <f>(1-Summary!$B$11)*T650+Summary!$B$11*V650</f>
        <v/>
      </c>
      <c r="P650">
        <f>IF(B670=0,0,O650/B670)</f>
        <v/>
      </c>
      <c r="Q650" t="n">
        <v>0</v>
      </c>
      <c r="R650" t="n">
        <v>0</v>
      </c>
      <c r="S650">
        <f>IFERROR(O650/N650,0)</f>
        <v/>
      </c>
      <c r="T650" t="n">
        <v>0</v>
      </c>
      <c r="V650" t="n">
        <v>0</v>
      </c>
    </row>
    <row r="651">
      <c r="A651">
        <f>Skills!A21</f>
        <v/>
      </c>
      <c r="B651">
        <f>Skills!B21</f>
        <v/>
      </c>
      <c r="C651">
        <f>Inputs!$B$3&gt;=33</f>
        <v/>
      </c>
      <c r="D651">
        <f>IF(Skills!C21=1,60+Inputs!$B$25+Inputs!$B$29,IF(Skills!C21=2,90+Inputs!$B$26+Inputs!$B$29,IF(Skills!C21=3,120+Inputs!$B$27+Inputs!$B$29,MAX(0,(Inputs!$B$3-100)*3)+Inputs!$B$28+Inputs!$B$29)))</f>
        <v/>
      </c>
      <c r="E651">
        <f>INDEX(FactorTable!$B$2:$Y$301, MATCH(ROUND(MIN(300,MAX(1,D651)),0), FactorTable!$A$2:$A$301,0), Skills!M21+1)</f>
        <v/>
      </c>
      <c r="F651">
        <f>IF(Skills!N21=TRUE,(Skills!L21/10)*(E651/1000),Skills!L21/10)+Skills!O21</f>
        <v/>
      </c>
      <c r="G651">
        <f>Skills!G21*IF(Skills!H21&gt;0,Skills!I21/Skills!H21,1)</f>
        <v/>
      </c>
      <c r="H651">
        <f>1-(1-Skills!J21/100)^Skills!K21</f>
        <v/>
      </c>
      <c r="I651" t="inlineStr">
        <is>
          <t>1</t>
        </is>
      </c>
      <c r="J651" t="inlineStr"/>
      <c r="K651" t="inlineStr"/>
      <c r="L651" t="inlineStr"/>
      <c r="M651" t="inlineStr"/>
      <c r="N651" t="inlineStr"/>
      <c r="O651">
        <f>(1-Summary!$B$11)*T651+Summary!$B$11*V651</f>
        <v/>
      </c>
      <c r="P651">
        <f>IF(B670=0,0,O651/B670)</f>
        <v/>
      </c>
      <c r="Q651" t="n">
        <v>0</v>
      </c>
      <c r="R651" t="n">
        <v>0</v>
      </c>
      <c r="S651">
        <f>IFERROR(O651/N651,0)</f>
        <v/>
      </c>
      <c r="T651" t="n">
        <v>0</v>
      </c>
      <c r="V651" t="n">
        <v>0</v>
      </c>
    </row>
    <row r="652">
      <c r="A652">
        <f>Skills!A22</f>
        <v/>
      </c>
      <c r="B652">
        <f>Skills!B22</f>
        <v/>
      </c>
      <c r="C652">
        <f>Inputs!$B$3&gt;=43</f>
        <v/>
      </c>
      <c r="D652">
        <f>IF(Skills!C22=1,60+Inputs!$B$25+Inputs!$B$29,IF(Skills!C22=2,90+Inputs!$B$26+Inputs!$B$29,IF(Skills!C22=3,120+Inputs!$B$27+Inputs!$B$29,MAX(0,(Inputs!$B$3-100)*3)+Inputs!$B$28+Inputs!$B$29)))</f>
        <v/>
      </c>
      <c r="E652">
        <f>INDEX(FactorTable!$B$2:$Y$301, MATCH(ROUND(MIN(300,MAX(1,D652)),0), FactorTable!$A$2:$A$301,0), Skills!M22+1)</f>
        <v/>
      </c>
      <c r="F652">
        <f>IF(Skills!N22=TRUE,(Skills!L22/10)*(E652/1000),Skills!L22/10)+Skills!O22</f>
        <v/>
      </c>
      <c r="G652">
        <f>Skills!G22*IF(Skills!H22&gt;0,Skills!I22/Skills!H22,1)</f>
        <v/>
      </c>
      <c r="H652">
        <f>1-(1-Skills!J22/100)^Skills!K22</f>
        <v/>
      </c>
      <c r="I652" t="inlineStr">
        <is>
          <t>1</t>
        </is>
      </c>
      <c r="J652" t="inlineStr"/>
      <c r="K652" t="inlineStr"/>
      <c r="L652" t="inlineStr"/>
      <c r="M652" t="inlineStr"/>
      <c r="N652" t="inlineStr"/>
      <c r="O652">
        <f>(1-Summary!$B$11)*T652+Summary!$B$11*V652</f>
        <v/>
      </c>
      <c r="P652">
        <f>IF(B670=0,0,O652/B670)</f>
        <v/>
      </c>
      <c r="Q652" t="n">
        <v>0</v>
      </c>
      <c r="R652" t="n">
        <v>0</v>
      </c>
      <c r="S652">
        <f>IFERROR(O652/N652,0)</f>
        <v/>
      </c>
      <c r="T652" t="n">
        <v>0</v>
      </c>
      <c r="V652" t="n">
        <v>0</v>
      </c>
    </row>
    <row r="653">
      <c r="A653">
        <f>Skills!A23</f>
        <v/>
      </c>
      <c r="B653">
        <f>Skills!B23</f>
        <v/>
      </c>
      <c r="C653">
        <f>Inputs!$B$3&gt;=38</f>
        <v/>
      </c>
      <c r="D653">
        <f>IF(Skills!C23=1,60+Inputs!$B$25+Inputs!$B$29,IF(Skills!C23=2,90+Inputs!$B$26+Inputs!$B$29,IF(Skills!C23=3,120+Inputs!$B$27+Inputs!$B$29,MAX(0,(Inputs!$B$3-100)*3)+Inputs!$B$28+Inputs!$B$29)))</f>
        <v/>
      </c>
      <c r="E653">
        <f>INDEX(FactorTable!$B$2:$Y$301, MATCH(ROUND(MIN(300,MAX(1,D653)),0), FactorTable!$A$2:$A$301,0), Skills!M23+1)</f>
        <v/>
      </c>
      <c r="F653">
        <f>IF(Skills!N23=TRUE,(Skills!L23/10)*(E653/1000),Skills!L23/10)+Skills!O23</f>
        <v/>
      </c>
      <c r="G653">
        <f>Skills!G23*IF(Skills!H23&gt;0,Skills!I23/Skills!H23,1)</f>
        <v/>
      </c>
      <c r="H653">
        <f>1-(1-Skills!J23/100)^Skills!K23</f>
        <v/>
      </c>
      <c r="I653" t="inlineStr">
        <is>
          <t>1</t>
        </is>
      </c>
      <c r="J653" t="inlineStr"/>
      <c r="K653" t="inlineStr"/>
      <c r="L653" t="inlineStr"/>
      <c r="M653" t="inlineStr"/>
      <c r="N653" t="inlineStr"/>
      <c r="O653">
        <f>(1-Summary!$B$11)*T653+Summary!$B$11*V653</f>
        <v/>
      </c>
      <c r="P653">
        <f>IF(B670=0,0,O653/B670)</f>
        <v/>
      </c>
      <c r="Q653" t="n">
        <v>0</v>
      </c>
      <c r="R653" t="n">
        <v>0</v>
      </c>
      <c r="S653">
        <f>IFERROR(O653/N653,0)</f>
        <v/>
      </c>
      <c r="T653" t="n">
        <v>0</v>
      </c>
      <c r="V653" t="n">
        <v>0</v>
      </c>
    </row>
    <row r="654">
      <c r="A654">
        <f>Skills!A24</f>
        <v/>
      </c>
      <c r="B654">
        <f>Skills!B24</f>
        <v/>
      </c>
      <c r="C654">
        <f>Inputs!$B$3&gt;=40</f>
        <v/>
      </c>
      <c r="D654">
        <f>IF(Skills!C24=1,60+Inputs!$B$25+Inputs!$B$29,IF(Skills!C24=2,90+Inputs!$B$26+Inputs!$B$29,IF(Skills!C24=3,120+Inputs!$B$27+Inputs!$B$29,MAX(0,(Inputs!$B$3-100)*3)+Inputs!$B$28+Inputs!$B$29)))</f>
        <v/>
      </c>
      <c r="E654">
        <f>INDEX(FactorTable!$B$2:$Y$301, MATCH(ROUND(MIN(300,MAX(1,D654)),0), FactorTable!$A$2:$A$301,0), Skills!M24+1)</f>
        <v/>
      </c>
      <c r="F654">
        <f>IF(Skills!N24=TRUE,(Skills!L24/10)*(E654/1000),Skills!L24/10)+Skills!O24</f>
        <v/>
      </c>
      <c r="G654">
        <f>Skills!G24*IF(Skills!H24&gt;0,Skills!I24/Skills!H24,1)</f>
        <v/>
      </c>
      <c r="H654">
        <f>1-(1-Skills!J24/100)^Skills!K24</f>
        <v/>
      </c>
      <c r="I654" t="inlineStr">
        <is>
          <t>1</t>
        </is>
      </c>
      <c r="J654" t="inlineStr"/>
      <c r="K654" t="inlineStr"/>
      <c r="L654" t="inlineStr"/>
      <c r="M654" t="inlineStr"/>
      <c r="N654" t="inlineStr"/>
      <c r="O654">
        <f>(1-Summary!$B$11)*T654+Summary!$B$11*V654</f>
        <v/>
      </c>
      <c r="P654">
        <f>IF(B670=0,0,O654/B670)</f>
        <v/>
      </c>
      <c r="Q654" t="n">
        <v>0</v>
      </c>
      <c r="R654" t="n">
        <v>0</v>
      </c>
      <c r="S654">
        <f>IFERROR(O654/N654,0)</f>
        <v/>
      </c>
      <c r="T654" t="n">
        <v>0</v>
      </c>
      <c r="V654" t="n">
        <v>0</v>
      </c>
    </row>
    <row r="655">
      <c r="A655">
        <f>Skills!A25</f>
        <v/>
      </c>
      <c r="B655">
        <f>Skills!B25</f>
        <v/>
      </c>
      <c r="C655">
        <f>Inputs!$B$3&gt;=72</f>
        <v/>
      </c>
      <c r="D655">
        <f>IF(Skills!C25=1,60+Inputs!$B$25+Inputs!$B$29,IF(Skills!C25=2,90+Inputs!$B$26+Inputs!$B$29,IF(Skills!C25=3,120+Inputs!$B$27+Inputs!$B$29,MAX(0,(Inputs!$B$3-100)*3)+Inputs!$B$28+Inputs!$B$29)))</f>
        <v/>
      </c>
      <c r="E655">
        <f>INDEX(FactorTable!$B$2:$Y$301, MATCH(ROUND(MIN(300,MAX(1,D655)),0), FactorTable!$A$2:$A$301,0), Skills!M25+1)</f>
        <v/>
      </c>
      <c r="F655">
        <f>IF(Skills!N25=TRUE,(Skills!L25/10)*(E655/1000),Skills!L25/10)+Skills!O25</f>
        <v/>
      </c>
      <c r="G655">
        <f>Skills!G25*IF(Skills!H25&gt;0,Skills!I25/Skills!H25,1)</f>
        <v/>
      </c>
      <c r="H655">
        <f>1-(1-Skills!J25/100)^Skills!K25</f>
        <v/>
      </c>
      <c r="I655" t="inlineStr">
        <is>
          <t>1</t>
        </is>
      </c>
      <c r="J655" t="inlineStr"/>
      <c r="K655" t="inlineStr"/>
      <c r="L655" t="inlineStr"/>
      <c r="M655" t="inlineStr"/>
      <c r="N655" t="inlineStr"/>
      <c r="O655">
        <f>(1-Summary!$B$11)*T655+Summary!$B$11*V655</f>
        <v/>
      </c>
      <c r="P655">
        <f>IF(B670=0,0,O655/B670)</f>
        <v/>
      </c>
      <c r="Q655" t="n">
        <v>0</v>
      </c>
      <c r="R655" t="n">
        <v>0</v>
      </c>
      <c r="S655">
        <f>IFERROR(O655/N655,0)</f>
        <v/>
      </c>
      <c r="T655" t="n">
        <v>0</v>
      </c>
      <c r="V655" t="n">
        <v>0</v>
      </c>
    </row>
    <row r="656">
      <c r="A656">
        <f>Skills!A26</f>
        <v/>
      </c>
      <c r="B656">
        <f>Skills!B26</f>
        <v/>
      </c>
      <c r="C656">
        <f>Inputs!$B$3&gt;=75</f>
        <v/>
      </c>
      <c r="D656">
        <f>IF(Skills!C26=1,60+Inputs!$B$25+Inputs!$B$29,IF(Skills!C26=2,90+Inputs!$B$26+Inputs!$B$29,IF(Skills!C26=3,120+Inputs!$B$27+Inputs!$B$29,MAX(0,(Inputs!$B$3-100)*3)+Inputs!$B$28+Inputs!$B$29)))</f>
        <v/>
      </c>
      <c r="E656">
        <f>INDEX(FactorTable!$B$2:$Y$301, MATCH(ROUND(MIN(300,MAX(1,D656)),0), FactorTable!$A$2:$A$301,0), Skills!M26+1)</f>
        <v/>
      </c>
      <c r="F656">
        <f>IF(Skills!N26=TRUE,(Skills!L26/10)*(E656/1000),Skills!L26/10)+Skills!O26</f>
        <v/>
      </c>
      <c r="G656">
        <f>Skills!G26*IF(Skills!H26&gt;0,Skills!I26/Skills!H26,1)</f>
        <v/>
      </c>
      <c r="H656">
        <f>1-(1-Skills!J26/100)^Skills!K26</f>
        <v/>
      </c>
      <c r="I656" t="inlineStr">
        <is>
          <t>1</t>
        </is>
      </c>
      <c r="J656" t="inlineStr"/>
      <c r="K656" t="inlineStr"/>
      <c r="L656" t="inlineStr"/>
      <c r="M656" t="inlineStr"/>
      <c r="N656" t="inlineStr"/>
      <c r="O656">
        <f>(1-Summary!$B$11)*T656+Summary!$B$11*V656</f>
        <v/>
      </c>
      <c r="P656">
        <f>IF(B670=0,0,O656/B670)</f>
        <v/>
      </c>
      <c r="Q656" t="n">
        <v>0</v>
      </c>
      <c r="R656" t="n">
        <v>0</v>
      </c>
      <c r="S656">
        <f>IFERROR(O656/N656,0)</f>
        <v/>
      </c>
      <c r="T656" t="n">
        <v>0</v>
      </c>
      <c r="V656" t="n">
        <v>0</v>
      </c>
    </row>
    <row r="657">
      <c r="A657">
        <f>Skills!A27</f>
        <v/>
      </c>
      <c r="B657">
        <f>Skills!B27</f>
        <v/>
      </c>
      <c r="C657">
        <f>Inputs!$B$3&gt;=117</f>
        <v/>
      </c>
      <c r="D657">
        <f>IF(Skills!C27=1,60+Inputs!$B$25+Inputs!$B$29,IF(Skills!C27=2,90+Inputs!$B$26+Inputs!$B$29,IF(Skills!C27=3,120+Inputs!$B$27+Inputs!$B$29,MAX(0,(Inputs!$B$3-100)*3)+Inputs!$B$28+Inputs!$B$29)))</f>
        <v/>
      </c>
      <c r="E657">
        <f>INDEX(FactorTable!$B$2:$Y$301, MATCH(ROUND(MIN(300,MAX(1,D657)),0), FactorTable!$A$2:$A$301,0), Skills!M27+1)</f>
        <v/>
      </c>
      <c r="F657">
        <f>IF(Skills!N27=TRUE,(Skills!L27/10)*(E657/1000),Skills!L27/10)+Skills!O27</f>
        <v/>
      </c>
      <c r="G657">
        <f>Skills!G27*IF(Skills!H27&gt;0,Skills!I27/Skills!H27,1)</f>
        <v/>
      </c>
      <c r="H657">
        <f>1-(1-Skills!J27/100)^Skills!K27</f>
        <v/>
      </c>
      <c r="I657" t="inlineStr">
        <is>
          <t>1</t>
        </is>
      </c>
      <c r="J657" t="inlineStr"/>
      <c r="K657" t="inlineStr"/>
      <c r="L657" t="inlineStr"/>
      <c r="M657" t="inlineStr"/>
      <c r="N657" t="inlineStr"/>
      <c r="O657">
        <f>(1-Summary!$B$11)*T657+Summary!$B$11*V657</f>
        <v/>
      </c>
      <c r="P657">
        <f>IF(B670=0,0,O657/B670)</f>
        <v/>
      </c>
      <c r="Q657" t="n">
        <v>0</v>
      </c>
      <c r="R657" t="n">
        <v>0</v>
      </c>
      <c r="S657">
        <f>IFERROR(O657/N657,0)</f>
        <v/>
      </c>
      <c r="T657" t="n">
        <v>0</v>
      </c>
      <c r="V657" t="n">
        <v>0</v>
      </c>
    </row>
    <row r="659">
      <c r="A659" t="inlineStr">
        <is>
          <t>Attack% Bucket Multiplier</t>
        </is>
      </c>
      <c r="B659">
        <f>(1+(((C647=TRUE)*F647)+((C654=TRUE)*(F654-Calc!F24))+(IF(ArtifactsInput!$M$21,CHOOSE(ArtifactsInput!$N$21+1,25,30,35,40,45,50)*(IF(OR(Inputs!$B$4="Chapter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60">
      <c r="A660" t="inlineStr">
        <is>
          <t>Global Crit Rate Bonus %</t>
        </is>
      </c>
      <c r="B660" t="n">
        <v>0</v>
      </c>
    </row>
    <row r="661">
      <c r="A661" t="inlineStr">
        <is>
          <t>Attack Speed Buff Bonus % (unused)</t>
        </is>
      </c>
      <c r="B661" t="n">
        <v>0</v>
      </c>
    </row>
    <row r="662">
      <c r="A662" t="inlineStr">
        <is>
          <t>Actions Per Second</t>
        </is>
      </c>
      <c r="B662">
        <f>1+MIN(150,150*(1-(1-(Inputs!$B$11+((C650=TRUE)*(F650-Calc!F20))+((C651=TRUE)*(F651-Calc!F21)))/150)*(1-B661/150)))/100</f>
        <v/>
      </c>
    </row>
    <row r="663">
      <c r="A663" t="inlineStr">
        <is>
          <t>Skill + Buff Cast Rate</t>
        </is>
      </c>
      <c r="B663">
        <f>IF(AND(Inputs!$B$38&lt;&gt;"pvp",Inputs!$B$43&gt;0),SUMPRODUCT((Skills!E2:E27=TRUE)*(C632:C657=TRUE)*R632:R657*Skills!F2:F27)/Inputs!$B$43,SUMPRODUCT((Skills!E2:E27=TRUE)*(C632:C657=TRUE)*Q632:Q657*Skills!F2:F27))</f>
        <v/>
      </c>
    </row>
    <row r="664">
      <c r="A664" t="inlineStr">
        <is>
          <t>Eight-Legs Easton Casts Per Second</t>
        </is>
      </c>
      <c r="B664">
        <f>MAX(0,B662-B663)</f>
        <v/>
      </c>
    </row>
    <row r="665">
      <c r="A665" t="inlineStr">
        <is>
          <t>Global Critical Damage Bonus % (unused)</t>
        </is>
      </c>
      <c r="B665" t="n">
        <v>0</v>
      </c>
    </row>
    <row r="666">
      <c r="A666" t="inlineStr">
        <is>
          <t>Global Final Damage Bonus % (Jolly Roger only)</t>
        </is>
      </c>
      <c r="B666">
        <f>((C648=TRUE)*F648)</f>
        <v/>
      </c>
    </row>
    <row r="667">
      <c r="A667" t="inlineStr">
        <is>
          <t>Buff-Casting Startup Delay (s, fixed-duration only)</t>
        </is>
      </c>
      <c r="B667">
        <f>IF(AND(Inputs!$B$38&lt;&gt;"pvp",Inputs!$B$43&gt;0),SUMPRODUCT((Skills!T2:T27&gt;0)*(Skills!E2:E27=TRUE)*(C632:C657=TRUE))/B662,0)</f>
        <v/>
      </c>
    </row>
    <row r="668">
      <c r="A668" t="inlineStr">
        <is>
          <t>Boss-Only Total DPS (this block's swept value)</t>
        </is>
      </c>
      <c r="B668">
        <f>SUM(T632:T657)</f>
        <v/>
      </c>
    </row>
    <row r="669">
      <c r="A669" t="inlineStr">
        <is>
          <t>Normal-Only Total DPS (this block's swept value)</t>
        </is>
      </c>
      <c r="B669">
        <f>SUM(V632:V657)</f>
        <v/>
      </c>
    </row>
    <row r="670">
      <c r="A670" s="6" t="inlineStr">
        <is>
          <t>TOTAL DPS</t>
        </is>
      </c>
      <c r="B670" s="6">
        <f>SUM(O632:O657)</f>
        <v/>
      </c>
    </row>
    <row r="673">
      <c r="A673" s="6" t="inlineStr">
        <is>
          <t>Stat: BASIC_ATTACK_DAMAGE %</t>
        </is>
      </c>
    </row>
    <row r="674">
      <c r="A674" s="5" t="inlineStr">
        <is>
          <t>Key</t>
        </is>
      </c>
      <c r="B674" s="5" t="inlineStr">
        <is>
          <t>Name</t>
        </is>
      </c>
      <c r="C674" s="5" t="inlineStr">
        <is>
          <t>Unlocked</t>
        </is>
      </c>
      <c r="D674" s="5" t="inlineStr">
        <is>
          <t>InputLevel</t>
        </is>
      </c>
      <c r="E674" s="5" t="inlineStr">
        <is>
          <t>Factor</t>
        </is>
      </c>
      <c r="F674" s="5" t="inlineStr">
        <is>
          <t>CoefficientPercent</t>
        </is>
      </c>
      <c r="G674" s="5" t="inlineStr">
        <is>
          <t>EffectiveHits</t>
        </is>
      </c>
      <c r="H674" s="5" t="inlineStr">
        <is>
          <t>ProcProbability</t>
        </is>
      </c>
      <c r="I674" s="5" t="inlineStr">
        <is>
          <t>MapleHeroMultiplier</t>
        </is>
      </c>
      <c r="J674" s="5" t="inlineStr">
        <is>
          <t>BaseDamage</t>
        </is>
      </c>
      <c r="K674" s="5" t="inlineStr">
        <is>
          <t>BaseHitDamage</t>
        </is>
      </c>
      <c r="L674" s="5" t="inlineStr">
        <is>
          <t>NonCritAvg</t>
        </is>
      </c>
      <c r="M674" s="5" t="inlineStr">
        <is>
          <t>CritAvg</t>
        </is>
      </c>
      <c r="N674" s="5" t="inlineStr">
        <is>
          <t>ExpectedDamage(perHit)</t>
        </is>
      </c>
      <c r="O674" s="5" t="inlineStr">
        <is>
          <t>DPS</t>
        </is>
      </c>
      <c r="P674" s="5" t="inlineStr">
        <is>
          <t>% of Total</t>
        </is>
      </c>
      <c r="Q674" s="5" t="inlineStr">
        <is>
          <t>InvCooldown</t>
        </is>
      </c>
      <c r="R674" s="5" t="inlineStr">
        <is>
          <t>CastsInFight</t>
        </is>
      </c>
      <c r="S674" s="5" t="inlineStr">
        <is>
          <t>HitRate(perSec)</t>
        </is>
      </c>
      <c r="U674" t="inlineStr">
        <is>
          <t>helpers</t>
        </is>
      </c>
    </row>
    <row r="675">
      <c r="A675">
        <f>Skills!A2</f>
        <v/>
      </c>
      <c r="B675">
        <f>Skills!B2</f>
        <v/>
      </c>
      <c r="C675">
        <f>Inputs!$B$3&gt;=100</f>
        <v/>
      </c>
      <c r="D675" t="inlineStr"/>
      <c r="E675" t="inlineStr"/>
      <c r="F675">
        <f>U677+Skills!O2</f>
        <v/>
      </c>
      <c r="G675">
        <f>Skills!G2*IF(Skills!H2&gt;0,Skills!I2/Skills!H2,1)</f>
        <v/>
      </c>
      <c r="H675">
        <f>1-(1-Skills!J2/100)^Skills!K2</f>
        <v/>
      </c>
      <c r="I675" t="inlineStr">
        <is>
          <t>1</t>
        </is>
      </c>
      <c r="J675">
        <f>((Inputs!$B$6*(1+Inputs!$B$7/100))+(((Inputs!$B$12*(1+Inputs!$B$13/100))-(Inputs!$B$12*(1+Inputs!$B$13/100)))+0.25*(Inputs!$B$14-Inputs!$B$14))*(1+Inputs!$B$7/100))*(F675/100)</f>
        <v/>
      </c>
      <c r="K675">
        <f>J675*(1+((Inputs!$B$12*(1+Inputs!$B$13/100))*0.01+Inputs!$B$14*0.0025)/100)*(1+Inputs!$B$15/100)*(1+Inputs!$B$16/100)*(5000/(6000+Inputs!$B$42*(1-(100*(1-(1-(Inputs!$B$19+0)/100)*(1-CHOOSE(ArtifactsInput!$N$40+1,5,6,7,8,9,10)/100)^(ArtifactsInput!$M$40-ArtifactsInput!$M$40)))/100)))*(1+(Inputs!$B$24+((C699=TRUE)*(F699-Calc!F26))+B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+1)+((C696=TRUE)*(F696-Calc!F23))+((C700=TRUE)*(F700-Calc!F27))+(((IF(AND(ArtifactsInput!$M$42,((Inputs!$B$9+((C692=TRUE)*(F692-Calc!F19))+B703+(ArtifactsInput!$M$24-ArtifactsInput!$M$24)*CHOOSE(ArtifactsInput!$N$24+1,10,12,14,16,18,20)+IF(ArtifactsInput!$M$10,CHOOSE(ArtifactsInput!$N$10+1,15,18,21,24,27,30)*(IF(Inputs!$B$38="pvp",MIN(15,15)/15,IF(AND(Inputs!$B$38&lt;&gt;"pvp",Inputs!$B$43&gt;0),MIN(15,Inputs!$B$43)/(Inputs!$B$43),0))),0)))&gt;=100),MIN(100,((Inputs!$B$9+((C692=TRUE)*(F692-Calc!F19))+B703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692=TRUE)*(F692-Calc!F19))+B703+(ArtifactsInput!$M$24-ArtifactsInput!$M$24)*CHOOSE(ArtifactsInput!$N$24+1,10,12,14,16,18,20)+IF(ArtifactsInput!$M$10,CHOOSE(ArtifactsInput!$N$10+1,15,18,21,24,27,30)*(IF(Inputs!$B$38="pvp",MIN(15,15)/15,IF(AND(Inputs!$B$38&lt;&gt;"pvp",Inputs!$B$43&gt;0),MIN(15,Inputs!$B$43)/(Inputs!$B$43),0))),0)))&gt;=100),CHOOSE(ArtifactsInput!$N$42+1,40,48,56,64,72,80),0))))/100)*((1+(((C690=TRUE)*F690)+((C697=TRUE)*(F697-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675)</f>
        <v/>
      </c>
      <c r="L675">
        <f>K675*(MIN(Inputs!$B$22+((C695=TRUE)*(F695-Calc!F22)),(Inputs!$B$23+0+(IF(ArtifactsInput!$M$15,CHOOSE(ArtifactsInput!$N$15+1,25,30,35,40,45,50)/100*(Inputs!$B$11-Inputs!$B$11),0))))/100+(Inputs!$B$23+0+(IF(ArtifactsInput!$M$15,CHOOSE(ArtifactsInput!$N$15+1,25,30,35,40,45,50)/100*(Inputs!$B$11-Inputs!$B$11),0)))/100)/2</f>
        <v/>
      </c>
      <c r="M675">
        <f>L675*(1+(Inputs!$B$10+((C698=TRUE)*(F698-Calc!F25))+B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5">
        <f>L675*(1-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675*(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5">
        <f>(1-Summary!$B$11)*T675+Summary!$B$11*V675</f>
        <v/>
      </c>
      <c r="P675">
        <f>IF(B713=0,0,O675/B713)</f>
        <v/>
      </c>
      <c r="Q675" t="n">
        <v>0</v>
      </c>
      <c r="R675" t="n">
        <v>0</v>
      </c>
      <c r="S675">
        <f>IFERROR(O675/N675,0)</f>
        <v/>
      </c>
      <c r="T675">
        <f>IF(C675,(Skills!G2*N675*B707)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675*(1-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675*(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675*(1-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675*(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5">
        <f>MAX(0,(Inputs!$B$3-100)*3)+Inputs!$B$28+Inputs!$B$29</f>
        <v/>
      </c>
      <c r="V675">
        <f>IF(C675,(Skills!G2*N675*B707)*IF(Inputs!$B$38="pvp",1,(1+(Inputs!$B$21+Skills!Q2+(IF(ArtifactsInput!$M$33,CHOOSE(ArtifactsInput!$N$33+1,30,36,42,48,54,60),0))+(IF(AND(ArtifactsInput!$M$35,Inputs!$B$4&lt;&gt;"Chapter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6">
      <c r="A676">
        <f>Skills!A3</f>
        <v/>
      </c>
      <c r="B676">
        <f>Skills!B3</f>
        <v/>
      </c>
      <c r="C676">
        <f>Inputs!$B$3&gt;=35</f>
        <v/>
      </c>
      <c r="D676">
        <f>IF(Skills!C3=1,60+Inputs!$B$25+Inputs!$B$29,IF(Skills!C3=2,90+Inputs!$B$26+Inputs!$B$29,IF(Skills!C3=3,120+Inputs!$B$27+Inputs!$B$29,MAX(0,(Inputs!$B$3-100)*3)+Inputs!$B$28+Inputs!$B$29)))</f>
        <v/>
      </c>
      <c r="E676">
        <f>INDEX(FactorTable!$B$2:$Y$301, MATCH(ROUND(MIN(300,MAX(1,D676)),0), FactorTable!$A$2:$A$301,0), Skills!M3+1)</f>
        <v/>
      </c>
      <c r="F676">
        <f>IF(Skills!N3=TRUE,(Skills!L3/10)*(E676/1000),Skills!L3/10)+Skills!O3</f>
        <v/>
      </c>
      <c r="G676">
        <f>Skills!G3*IF(Skills!H3&gt;0,Skills!I3/Skills!H3,1)</f>
        <v/>
      </c>
      <c r="H676">
        <f>1-(1-Skills!J3/100)^Skills!K3</f>
        <v/>
      </c>
      <c r="I676" t="inlineStr">
        <is>
          <t>1</t>
        </is>
      </c>
      <c r="J676">
        <f>((Inputs!$B$6*(1+Inputs!$B$7/100))+(((Inputs!$B$12*(1+Inputs!$B$13/100))-(Inputs!$B$12*(1+Inputs!$B$13/100)))+0.25*(Inputs!$B$14-Inputs!$B$14))*(1+Inputs!$B$7/100))*(F676/100)</f>
        <v/>
      </c>
      <c r="K676">
        <f>J676*(1+((Inputs!$B$12*(1+Inputs!$B$13/100))*0.01+Inputs!$B$14*0.0025)/100)*(1+Inputs!$B$15/100)*(1+Inputs!$B$16/100)*(5000/(6000+Inputs!$B$42*(1-(100*(1-(1-(Inputs!$B$19+0)/100)*(1-CHOOSE(ArtifactsInput!$N$40+1,5,6,7,8,9,10)/100)^(ArtifactsInput!$M$40-ArtifactsInput!$M$40)))/100)))*(1+(Inputs!$B$24+((C699=TRUE)*(F699-Calc!F26))+B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688=TRUE,F688,0)/100)*(1+(IF(Skills!A3="EIGHT_LEGS_EASTON",(Inputs!$B$17+1)+((C696=TRUE)*(F696-Calc!F23))+((C700=TRUE)*(F700-Calc!F27))+(((IF(AND(ArtifactsInput!$M$42,((Inputs!$B$9+((C692=TRUE)*(F692-Calc!F19))+B703+(ArtifactsInput!$M$24-ArtifactsInput!$M$24)*CHOOSE(ArtifactsInput!$N$24+1,10,12,14,16,18,20)+IF(ArtifactsInput!$M$10,CHOOSE(ArtifactsInput!$N$10+1,15,18,21,24,27,30)*(IF(Inputs!$B$38="pvp",MIN(15,15)/15,IF(AND(Inputs!$B$38&lt;&gt;"pvp",Inputs!$B$43&gt;0),MIN(15,Inputs!$B$43)/(Inputs!$B$43),0))),0)))&gt;=100),MIN(100,((Inputs!$B$9+((C692=TRUE)*(F692-Calc!F19))+B703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692=TRUE)*(F692-Calc!F19))+B703+(ArtifactsInput!$M$24-ArtifactsInput!$M$24)*CHOOSE(ArtifactsInput!$N$24+1,10,12,14,16,18,20)+IF(ArtifactsInput!$M$10,CHOOSE(ArtifactsInput!$N$10+1,15,18,21,24,27,30)*(IF(Inputs!$B$38="pvp",MIN(15,15)/15,IF(AND(Inputs!$B$38&lt;&gt;"pvp",Inputs!$B$43&gt;0),MIN(15,Inputs!$B$43)/(Inputs!$B$43),0))),0)))&gt;=100),CHOOSE(ArtifactsInput!$N$42+1,40,48,56,64,72,80),0))))/100)*((1+(((C690=TRUE)*F690)+((C697=TRUE)*(F697-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676)</f>
        <v/>
      </c>
      <c r="L676">
        <f>K676*(MIN(Inputs!$B$22+((C695=TRUE)*(F695-Calc!F22)),(Inputs!$B$23+0+(IF(ArtifactsInput!$M$15,CHOOSE(ArtifactsInput!$N$15+1,25,30,35,40,45,50)/100*(Inputs!$B$11-Inputs!$B$11),0))))/100+(Inputs!$B$23+0+(IF(ArtifactsInput!$M$15,CHOOSE(ArtifactsInput!$N$15+1,25,30,35,40,45,50)/100*(Inputs!$B$11-Inputs!$B$11),0)))/100)/2</f>
        <v/>
      </c>
      <c r="M676">
        <f>L676*(1+(Inputs!$B$10+((C698=TRUE)*(F698-Calc!F25))+B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6">
        <f>L676*(1-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676*(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6">
        <f>(1-Summary!$B$11)*T676+Summary!$B$11*V676</f>
        <v/>
      </c>
      <c r="P676">
        <f>IF(B713=0,0,O676/B713)</f>
        <v/>
      </c>
      <c r="Q676">
        <f>IFERROR(1/(IF(Inputs!$B$38="pvp",15,MAX(0.1,Skills!D3-IF(Skills!E3=TRUE,Inputs!$B$32,0)))*(1-IF(AND(ArtifactsInput!$M$27,Inputs!$B$4="Chapter Hunt"),CHOOSE(ArtifactsInput!$N$27+1,20,24,28,32,36,40),0)/100)),0)</f>
        <v/>
      </c>
      <c r="R676">
        <f>IF(AND(Inputs!$B$38&lt;&gt;"pvp",Inputs!$B$43&gt;0),IF(MAX(0,Inputs!$B$43-B710)&lt;=0,0,(INT(MAX(0,Inputs!$B$43-B710)/(IF(Inputs!$B$38="pvp",15,MAX(0.1,Skills!D3-IF(Skills!E3=TRUE,Inputs!$B$32,0)))*(1-IF(AND(ArtifactsInput!$M$27,Inputs!$B$4="Chapter Hunt"),CHOOSE(ArtifactsInput!$N$27+1,20,24,28,32,36,40),0)/100)))+1)),0)</f>
        <v/>
      </c>
      <c r="S676">
        <f>IFERROR(O676/N676,0)</f>
        <v/>
      </c>
      <c r="T676">
        <f>IF(C676,(H676*N676*IF(AND(Inputs!$B$38&lt;&gt;"pvp",Inputs!$B$43&gt;0),((Skills!G3*((R676-1)*IF(Skills!H3&gt;0,Skills!I3/Skills!H3,1)+IF(Skills!H3&gt;0,MIN(Skills!I3,MAX(0,MAX(0,Inputs!$B$43-B710)-((R676-1)*(IF(Inputs!$B$38="pvp",15,MAX(0.1,Skills!D3-IF(Skills!E3=TRUE,Inputs!$B$32,0)))*(1-IF(AND(ArtifactsInput!$M$27,Inputs!$B$4="Chapter Hunt"),CHOOSE(ArtifactsInput!$N$27+1,20,24,28,32,36,40),0)/100)))))/Skills!H3,1)))/Inputs!$B$43),G676*Q676)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676*(1-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676*(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676*(1-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676*(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6">
        <f>INDEX(FactorTable!$B$2:$Y$301, MATCH(ROUND(MIN(300,MAX(1,U675)),0), FactorTable!$A$2:$A$301,0), 22)</f>
        <v/>
      </c>
      <c r="V676">
        <f>IF(C676,(H676*N676*IF(AND(Inputs!$B$38&lt;&gt;"pvp",Inputs!$B$43&gt;0),((Skills!G3*((R676-1)*IF(Skills!H3&gt;0,Skills!I3/Skills!H3,1)+IF(Skills!H3&gt;0,MIN(Skills!I3,MAX(0,MAX(0,Inputs!$B$43-B710)-((R676-1)*(IF(Inputs!$B$38="pvp",15,MAX(0.1,Skills!D3-IF(Skills!E3=TRUE,Inputs!$B$32,0)))*(1-IF(AND(ArtifactsInput!$M$27,Inputs!$B$4="Chapter Hunt"),CHOOSE(ArtifactsInput!$N$27+1,20,24,28,32,36,40),0)/100)))))/Skills!H3,1)))/Inputs!$B$43),G676*Q676))*IF(Inputs!$B$38="pvp",1,(1+(Inputs!$B$21+Skills!Q3+(IF(ArtifactsInput!$M$33,CHOOSE(ArtifactsInput!$N$33+1,30,36,42,48,54,60)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7">
      <c r="A677">
        <f>Skills!A4</f>
        <v/>
      </c>
      <c r="B677">
        <f>Skills!B4</f>
        <v/>
      </c>
      <c r="C677">
        <f>Inputs!$B$3&gt;=40</f>
        <v/>
      </c>
      <c r="D677">
        <f>IF(Skills!C4=1,60+Inputs!$B$25+Inputs!$B$29,IF(Skills!C4=2,90+Inputs!$B$26+Inputs!$B$29,IF(Skills!C4=3,120+Inputs!$B$27+Inputs!$B$29,MAX(0,(Inputs!$B$3-100)*3)+Inputs!$B$28+Inputs!$B$29)))</f>
        <v/>
      </c>
      <c r="E677">
        <f>INDEX(FactorTable!$B$2:$Y$301, MATCH(ROUND(MIN(300,MAX(1,D677)),0), FactorTable!$A$2:$A$301,0), Skills!M4+1)</f>
        <v/>
      </c>
      <c r="F677">
        <f>IF(Skills!N4=TRUE,(Skills!L4/10)*(E677/1000),Skills!L4/10)+Skills!O4</f>
        <v/>
      </c>
      <c r="G677">
        <f>Skills!G4*IF(Skills!H4&gt;0,Skills!I4/Skills!H4,1)</f>
        <v/>
      </c>
      <c r="H677">
        <f>1-(1-Skills!J4/100)^Skills!K4</f>
        <v/>
      </c>
      <c r="I677" t="inlineStr">
        <is>
          <t>1</t>
        </is>
      </c>
      <c r="J677">
        <f>((Inputs!$B$6*(1+Inputs!$B$7/100))+(((Inputs!$B$12*(1+Inputs!$B$13/100))-(Inputs!$B$12*(1+Inputs!$B$13/100)))+0.25*(Inputs!$B$14-Inputs!$B$14))*(1+Inputs!$B$7/100))*(F677/100)</f>
        <v/>
      </c>
      <c r="K677">
        <f>J677*(1+((Inputs!$B$12*(1+Inputs!$B$13/100))*0.01+Inputs!$B$14*0.0025)/100)*(1+Inputs!$B$15/100)*(1+Inputs!$B$16/100)*(5000/(6000+Inputs!$B$42*(1-(100*(1-(1-(Inputs!$B$19+0)/100)*(1-CHOOSE(ArtifactsInput!$N$40+1,5,6,7,8,9,10)/100)^(ArtifactsInput!$M$40-ArtifactsInput!$M$40)))/100)))*(1+(Inputs!$B$24+((C699=TRUE)*(F699-Calc!F26))+B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689=TRUE,F689,0)/100)*(1+(IF(Skills!A4="EIGHT_LEGS_EASTON",(Inputs!$B$17+1)+((C696=TRUE)*(F696-Calc!F23))+((C700=TRUE)*(F700-Calc!F27))+(((IF(AND(ArtifactsInput!$M$42,((Inputs!$B$9+((C692=TRUE)*(F692-Calc!F19))+B703+(ArtifactsInput!$M$24-ArtifactsInput!$M$24)*CHOOSE(ArtifactsInput!$N$24+1,10,12,14,16,18,20)+IF(ArtifactsInput!$M$10,CHOOSE(ArtifactsInput!$N$10+1,15,18,21,24,27,30)*(IF(Inputs!$B$38="pvp",MIN(15,15)/15,IF(AND(Inputs!$B$38&lt;&gt;"pvp",Inputs!$B$43&gt;0),MIN(15,Inputs!$B$43)/(Inputs!$B$43),0))),0)))&gt;=100),MIN(100,((Inputs!$B$9+((C692=TRUE)*(F692-Calc!F19))+B703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692=TRUE)*(F692-Calc!F19))+B703+(ArtifactsInput!$M$24-ArtifactsInput!$M$24)*CHOOSE(ArtifactsInput!$N$24+1,10,12,14,16,18,20)+IF(ArtifactsInput!$M$10,CHOOSE(ArtifactsInput!$N$10+1,15,18,21,24,27,30)*(IF(Inputs!$B$38="pvp",MIN(15,15)/15,IF(AND(Inputs!$B$38&lt;&gt;"pvp",Inputs!$B$43&gt;0),MIN(15,Inputs!$B$43)/(Inputs!$B$43),0))),0)))&gt;=100),CHOOSE(ArtifactsInput!$N$42+1,40,48,56,64,72,80),0))))/100)*((1+(((C690=TRUE)*F690)+((C697=TRUE)*(F697-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677)</f>
        <v/>
      </c>
      <c r="L677">
        <f>K677*(MIN(Inputs!$B$22+((C695=TRUE)*(F695-Calc!F22)),(Inputs!$B$23+0+(IF(ArtifactsInput!$M$15,CHOOSE(ArtifactsInput!$N$15+1,25,30,35,40,45,50)/100*(Inputs!$B$11-Inputs!$B$11),0))))/100+(Inputs!$B$23+0+(IF(ArtifactsInput!$M$15,CHOOSE(ArtifactsInput!$N$15+1,25,30,35,40,45,50)/100*(Inputs!$B$11-Inputs!$B$11),0)))/100)/2</f>
        <v/>
      </c>
      <c r="M677">
        <f>L677*(1+(Inputs!$B$10+((C698=TRUE)*(F698-Calc!F25))+B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7">
        <f>L677*(1-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677*(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7">
        <f>(1-Summary!$B$11)*T677+Summary!$B$11*V677</f>
        <v/>
      </c>
      <c r="P677">
        <f>IF(B713=0,0,O677/B713)</f>
        <v/>
      </c>
      <c r="Q677">
        <f>IFERROR(1/(IF(Inputs!$B$38="pvp",15,MAX(0.1,Skills!D4-IF(Skills!E4=TRUE,Inputs!$B$32,0)))*(1-IF(AND(ArtifactsInput!$M$27,Inputs!$B$4="Chapter Hunt"),CHOOSE(ArtifactsInput!$N$27+1,20,24,28,32,36,40),0)/100)),0)</f>
        <v/>
      </c>
      <c r="R677">
        <f>IF(AND(Inputs!$B$38&lt;&gt;"pvp",Inputs!$B$43&gt;0),IF(MAX(0,Inputs!$B$43-B710)&lt;=0,0,(INT(MAX(0,Inputs!$B$43-B710)/(IF(Inputs!$B$38="pvp",15,MAX(0.1,Skills!D4-IF(Skills!E4=TRUE,Inputs!$B$32,0)))*(1-IF(AND(ArtifactsInput!$M$27,Inputs!$B$4="Chapter Hunt"),CHOOSE(ArtifactsInput!$N$27+1,20,24,28,32,36,40),0)/100)))+1)),0)</f>
        <v/>
      </c>
      <c r="S677">
        <f>IFERROR(O677/N677,0)</f>
        <v/>
      </c>
      <c r="T677">
        <f>IF(C677,(H677*N677*IF(AND(Inputs!$B$38&lt;&gt;"pvp",Inputs!$B$43&gt;0),((Skills!G4*((R677-1)*IF(Skills!H4&gt;0,Skills!I4/Skills!H4,1)+IF(Skills!H4&gt;0,MIN(Skills!I4,MAX(0,MAX(0,Inputs!$B$43-B710)-((R677-1)*(IF(Inputs!$B$38="pvp",15,MAX(0.1,Skills!D4-IF(Skills!E4=TRUE,Inputs!$B$32,0)))*(1-IF(AND(ArtifactsInput!$M$27,Inputs!$B$4="Chapter Hunt"),CHOOSE(ArtifactsInput!$N$27+1,20,24,28,32,36,40),0)/100)))))/Skills!H4,1)))/Inputs!$B$43),G677*Q677)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677*(1-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677*(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677*(1-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677*(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7">
        <f>290*U676/1000</f>
        <v/>
      </c>
      <c r="V677">
        <f>IF(C677,(H677*N677*IF(AND(Inputs!$B$38&lt;&gt;"pvp",Inputs!$B$43&gt;0),((Skills!G4*((R677-1)*IF(Skills!H4&gt;0,Skills!I4/Skills!H4,1)+IF(Skills!H4&gt;0,MIN(Skills!I4,MAX(0,MAX(0,Inputs!$B$43-B710)-((R677-1)*(IF(Inputs!$B$38="pvp",15,MAX(0.1,Skills!D4-IF(Skills!E4=TRUE,Inputs!$B$32,0)))*(1-IF(AND(ArtifactsInput!$M$27,Inputs!$B$4="Chapter Hunt"),CHOOSE(ArtifactsInput!$N$27+1,20,24,28,32,36,40),0)/100)))))/Skills!H4,1)))/Inputs!$B$43),G677*Q677))*IF(Inputs!$B$38="pvp",1,(1+(Inputs!$B$21+Skills!Q4+(IF(ArtifactsInput!$M$33,CHOOSE(ArtifactsInput!$N$33+1,30,36,42,48,54,60)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8">
      <c r="A678">
        <f>Skills!A5</f>
        <v/>
      </c>
      <c r="B678">
        <f>Skills!B5</f>
        <v/>
      </c>
      <c r="C678">
        <f>Inputs!$B$3&gt;=45</f>
        <v/>
      </c>
      <c r="D678">
        <f>IF(Skills!C5=1,60+Inputs!$B$25+Inputs!$B$29,IF(Skills!C5=2,90+Inputs!$B$26+Inputs!$B$29,IF(Skills!C5=3,120+Inputs!$B$27+Inputs!$B$29,MAX(0,(Inputs!$B$3-100)*3)+Inputs!$B$28+Inputs!$B$29)))</f>
        <v/>
      </c>
      <c r="E678">
        <f>INDEX(FactorTable!$B$2:$Y$301, MATCH(ROUND(MIN(300,MAX(1,D678)),0), FactorTable!$A$2:$A$301,0), Skills!M5+1)</f>
        <v/>
      </c>
      <c r="F678">
        <f>IF(Skills!N5=TRUE,(Skills!L5/10)*(E678/1000),Skills!L5/10)+Skills!O5</f>
        <v/>
      </c>
      <c r="G678">
        <f>Skills!G5*IF(Skills!H5&gt;0,Skills!I5/Skills!H5,1)</f>
        <v/>
      </c>
      <c r="H678">
        <f>1-(1-Skills!J5/100)^Skills!K5</f>
        <v/>
      </c>
      <c r="I678" t="inlineStr">
        <is>
          <t>1</t>
        </is>
      </c>
      <c r="J678">
        <f>((Inputs!$B$6*(1+Inputs!$B$7/100))+(((Inputs!$B$12*(1+Inputs!$B$13/100))-(Inputs!$B$12*(1+Inputs!$B$13/100)))+0.25*(Inputs!$B$14-Inputs!$B$14))*(1+Inputs!$B$7/100))*(F678/100)</f>
        <v/>
      </c>
      <c r="K678">
        <f>J678*(1+((Inputs!$B$12*(1+Inputs!$B$13/100))*0.01+Inputs!$B$14*0.0025)/100)*(1+Inputs!$B$15/100)*(1+Inputs!$B$16/100)*(5000/(6000+Inputs!$B$42*(1-(100*(1-(1-(Inputs!$B$19+0)/100)*(1-CHOOSE(ArtifactsInput!$N$40+1,5,6,7,8,9,10)/100)^(ArtifactsInput!$M$40-ArtifactsInput!$M$40)))/100)))*(1+(Inputs!$B$24+((C699=TRUE)*(F699-Calc!F26))+B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689=TRUE,F689,0)/100)*(1+(IF(Skills!A5="EIGHT_LEGS_EASTON",(Inputs!$B$17+1)+((C696=TRUE)*(F696-Calc!F23))+((C700=TRUE)*(F700-Calc!F27))+(((IF(AND(ArtifactsInput!$M$42,((Inputs!$B$9+((C692=TRUE)*(F692-Calc!F19))+B703+(ArtifactsInput!$M$24-ArtifactsInput!$M$24)*CHOOSE(ArtifactsInput!$N$24+1,10,12,14,16,18,20)+IF(ArtifactsInput!$M$10,CHOOSE(ArtifactsInput!$N$10+1,15,18,21,24,27,30)*(IF(Inputs!$B$38="pvp",MIN(15,15)/15,IF(AND(Inputs!$B$38&lt;&gt;"pvp",Inputs!$B$43&gt;0),MIN(15,Inputs!$B$43)/(Inputs!$B$43),0))),0)))&gt;=100),MIN(100,((Inputs!$B$9+((C692=TRUE)*(F692-Calc!F19))+B703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692=TRUE)*(F692-Calc!F19))+B703+(ArtifactsInput!$M$24-ArtifactsInput!$M$24)*CHOOSE(ArtifactsInput!$N$24+1,10,12,14,16,18,20)+IF(ArtifactsInput!$M$10,CHOOSE(ArtifactsInput!$N$10+1,15,18,21,24,27,30)*(IF(Inputs!$B$38="pvp",MIN(15,15)/15,IF(AND(Inputs!$B$38&lt;&gt;"pvp",Inputs!$B$43&gt;0),MIN(15,Inputs!$B$43)/(Inputs!$B$43),0))),0)))&gt;=100),CHOOSE(ArtifactsInput!$N$42+1,40,48,56,64,72,80),0))))/100)*((1+(((C690=TRUE)*F690)+((C697=TRUE)*(F697-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678)</f>
        <v/>
      </c>
      <c r="L678">
        <f>K678*(MIN(Inputs!$B$22+((C695=TRUE)*(F695-Calc!F22)),(Inputs!$B$23+0+(IF(ArtifactsInput!$M$15,CHOOSE(ArtifactsInput!$N$15+1,25,30,35,40,45,50)/100*(Inputs!$B$11-Inputs!$B$11),0))))/100+(Inputs!$B$23+0+(IF(ArtifactsInput!$M$15,CHOOSE(ArtifactsInput!$N$15+1,25,30,35,40,45,50)/100*(Inputs!$B$11-Inputs!$B$11),0)))/100)/2</f>
        <v/>
      </c>
      <c r="M678">
        <f>L678*(1+(Inputs!$B$10+((C698=TRUE)*(F698-Calc!F25))+B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8">
        <f>L678*(1-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678*(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8">
        <f>(1-Summary!$B$11)*T678+Summary!$B$11*V678</f>
        <v/>
      </c>
      <c r="P678">
        <f>IF(B713=0,0,O678/B713)</f>
        <v/>
      </c>
      <c r="Q678">
        <f>IFERROR(1/(IF(Inputs!$B$38="pvp",15,MAX(0.1,Skills!D5-IF(Skills!E5=TRUE,Inputs!$B$32,0)))*(1-IF(AND(ArtifactsInput!$M$27,Inputs!$B$4="Chapter Hunt"),CHOOSE(ArtifactsInput!$N$27+1,20,24,28,32,36,40),0)/100)),0)</f>
        <v/>
      </c>
      <c r="R678">
        <f>IF(AND(Inputs!$B$38&lt;&gt;"pvp",Inputs!$B$43&gt;0),IF(MAX(0,Inputs!$B$43-B710)&lt;=0,0,(INT(MAX(0,Inputs!$B$43-B710)/(IF(Inputs!$B$38="pvp",15,MAX(0.1,Skills!D5-IF(Skills!E5=TRUE,Inputs!$B$32,0)))*(1-IF(AND(ArtifactsInput!$M$27,Inputs!$B$4="Chapter Hunt"),CHOOSE(ArtifactsInput!$N$27+1,20,24,28,32,36,40),0)/100)))+1)),0)</f>
        <v/>
      </c>
      <c r="S678">
        <f>IFERROR(O678/N678,0)</f>
        <v/>
      </c>
      <c r="T678">
        <f>IF(C678,(H678*N678*IF(AND(Inputs!$B$38&lt;&gt;"pvp",Inputs!$B$43&gt;0),((Skills!G5*((R678-1)*IF(Skills!H5&gt;0,Skills!I5/Skills!H5,1)+IF(Skills!H5&gt;0,MIN(Skills!I5,MAX(0,MAX(0,Inputs!$B$43-B710)-((R678-1)*(IF(Inputs!$B$38="pvp",15,MAX(0.1,Skills!D5-IF(Skills!E5=TRUE,Inputs!$B$32,0)))*(1-IF(AND(ArtifactsInput!$M$27,Inputs!$B$4="Chapter Hunt"),CHOOSE(ArtifactsInput!$N$27+1,20,24,28,32,36,40),0)/100)))))/Skills!H5,1)))/Inputs!$B$43),G678*Q678)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678*(1-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678*(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678*(1-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678*(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8">
        <f>IF(C678,(H678*N678*IF(AND(Inputs!$B$38&lt;&gt;"pvp",Inputs!$B$43&gt;0),((Skills!G5*((R678-1)*IF(Skills!H5&gt;0,Skills!I5/Skills!H5,1)+IF(Skills!H5&gt;0,MIN(Skills!I5,MAX(0,MAX(0,Inputs!$B$43-B710)-((R678-1)*(IF(Inputs!$B$38="pvp",15,MAX(0.1,Skills!D5-IF(Skills!E5=TRUE,Inputs!$B$32,0)))*(1-IF(AND(ArtifactsInput!$M$27,Inputs!$B$4="Chapter Hunt"),CHOOSE(ArtifactsInput!$N$27+1,20,24,28,32,36,40),0)/100)))))/Skills!H5,1)))/Inputs!$B$43),G678*Q678))*IF(Inputs!$B$38="pvp",1,(1+(Inputs!$B$21+Skills!Q5+(IF(ArtifactsInput!$M$33,CHOOSE(ArtifactsInput!$N$33+1,30,36,42,48,54,60)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9">
      <c r="A679">
        <f>Skills!A6</f>
        <v/>
      </c>
      <c r="B679">
        <f>Skills!B6</f>
        <v/>
      </c>
      <c r="C679">
        <f>Inputs!$B$3&gt;=63</f>
        <v/>
      </c>
      <c r="D679">
        <f>IF(Skills!C6=1,60+Inputs!$B$25+Inputs!$B$29,IF(Skills!C6=2,90+Inputs!$B$26+Inputs!$B$29,IF(Skills!C6=3,120+Inputs!$B$27+Inputs!$B$29,MAX(0,(Inputs!$B$3-100)*3)+Inputs!$B$28+Inputs!$B$29)))</f>
        <v/>
      </c>
      <c r="E679">
        <f>INDEX(FactorTable!$B$2:$Y$301, MATCH(ROUND(MIN(300,MAX(1,D679)),0), FactorTable!$A$2:$A$301,0), Skills!M6+1)</f>
        <v/>
      </c>
      <c r="F679">
        <f>IF(Skills!N6=TRUE,(Skills!L6/10)*(E679/1000),Skills!L6/10)+Skills!O6</f>
        <v/>
      </c>
      <c r="G679">
        <f>Skills!G6*IF(Skills!H6&gt;0,Skills!I6/Skills!H6,1)</f>
        <v/>
      </c>
      <c r="H679">
        <f>1-(1-Skills!J6/100)^Skills!K6</f>
        <v/>
      </c>
      <c r="I679" t="inlineStr">
        <is>
          <t>1</t>
        </is>
      </c>
      <c r="J679">
        <f>((Inputs!$B$6*(1+Inputs!$B$7/100))+(((Inputs!$B$12*(1+Inputs!$B$13/100))-(Inputs!$B$12*(1+Inputs!$B$13/100)))+0.25*(Inputs!$B$14-Inputs!$B$14))*(1+Inputs!$B$7/100))*(F679/100)</f>
        <v/>
      </c>
      <c r="K679">
        <f>J679*(1+((Inputs!$B$12*(1+Inputs!$B$13/100))*0.01+Inputs!$B$14*0.0025)/100)*(1+Inputs!$B$15/100)*(1+Inputs!$B$16/100)*(5000/(6000+Inputs!$B$42*(1-(100*(1-(1-(Inputs!$B$19+0)/100)*(1-CHOOSE(ArtifactsInput!$N$40+1,5,6,7,8,9,10)/100)^(ArtifactsInput!$M$40-ArtifactsInput!$M$40)))/100)))*(1+(Inputs!$B$24+((C699=TRUE)*(F699-Calc!F26))+B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688=TRUE,F688,0)/100)*(1+(IF(Skills!A6="EIGHT_LEGS_EASTON",(Inputs!$B$17+1)+((C696=TRUE)*(F696-Calc!F23))+((C700=TRUE)*(F700-Calc!F27))+(((IF(AND(ArtifactsInput!$M$42,((Inputs!$B$9+((C692=TRUE)*(F692-Calc!F19))+B703+(ArtifactsInput!$M$24-ArtifactsInput!$M$24)*CHOOSE(ArtifactsInput!$N$24+1,10,12,14,16,18,20)+IF(ArtifactsInput!$M$10,CHOOSE(ArtifactsInput!$N$10+1,15,18,21,24,27,30)*(IF(Inputs!$B$38="pvp",MIN(15,15)/15,IF(AND(Inputs!$B$38&lt;&gt;"pvp",Inputs!$B$43&gt;0),MIN(15,Inputs!$B$43)/(Inputs!$B$43),0))),0)))&gt;=100),MIN(100,((Inputs!$B$9+((C692=TRUE)*(F692-Calc!F19))+B703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692=TRUE)*(F692-Calc!F19))+B703+(ArtifactsInput!$M$24-ArtifactsInput!$M$24)*CHOOSE(ArtifactsInput!$N$24+1,10,12,14,16,18,20)+IF(ArtifactsInput!$M$10,CHOOSE(ArtifactsInput!$N$10+1,15,18,21,24,27,30)*(IF(Inputs!$B$38="pvp",MIN(15,15)/15,IF(AND(Inputs!$B$38&lt;&gt;"pvp",Inputs!$B$43&gt;0),MIN(15,Inputs!$B$43)/(Inputs!$B$43),0))),0)))&gt;=100),CHOOSE(ArtifactsInput!$N$42+1,40,48,56,64,72,80),0))))/100)*((1+(((C690=TRUE)*F690)+((C697=TRUE)*(F697-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679)</f>
        <v/>
      </c>
      <c r="L679">
        <f>K679*(MIN(Inputs!$B$22+((C695=TRUE)*(F695-Calc!F22)),(Inputs!$B$23+0+(IF(ArtifactsInput!$M$15,CHOOSE(ArtifactsInput!$N$15+1,25,30,35,40,45,50)/100*(Inputs!$B$11-Inputs!$B$11),0))))/100+(Inputs!$B$23+0+(IF(ArtifactsInput!$M$15,CHOOSE(ArtifactsInput!$N$15+1,25,30,35,40,45,50)/100*(Inputs!$B$11-Inputs!$B$11),0)))/100)/2</f>
        <v/>
      </c>
      <c r="M679">
        <f>L679*(1+(Inputs!$B$10+((C698=TRUE)*(F698-Calc!F25))+B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9">
        <f>L679*(1-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679*(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9">
        <f>(1-Summary!$B$11)*T679+Summary!$B$11*V679</f>
        <v/>
      </c>
      <c r="P679">
        <f>IF(B713=0,0,O679/B713)</f>
        <v/>
      </c>
      <c r="Q679">
        <f>IFERROR(1/(IF(Inputs!$B$38="pvp",15,MAX(0.1,Skills!D6-IF(Skills!E6=TRUE,Inputs!$B$32,0)))*(1-IF(AND(ArtifactsInput!$M$27,Inputs!$B$4="Chapter Hunt"),CHOOSE(ArtifactsInput!$N$27+1,20,24,28,32,36,40),0)/100)),0)</f>
        <v/>
      </c>
      <c r="R679">
        <f>IF(AND(Inputs!$B$38&lt;&gt;"pvp",Inputs!$B$43&gt;0),IF(MAX(0,Inputs!$B$43-B710)&lt;=0,0,(INT(MAX(0,Inputs!$B$43-B710)/(IF(Inputs!$B$38="pvp",15,MAX(0.1,Skills!D6-IF(Skills!E6=TRUE,Inputs!$B$32,0)))*(1-IF(AND(ArtifactsInput!$M$27,Inputs!$B$4="Chapter Hunt"),CHOOSE(ArtifactsInput!$N$27+1,20,24,28,32,36,40),0)/100)))+1)),0)</f>
        <v/>
      </c>
      <c r="S679">
        <f>IFERROR(O679/N679,0)</f>
        <v/>
      </c>
      <c r="T679">
        <f>IF(C679,(H679*N679*IF(AND(Inputs!$B$38&lt;&gt;"pvp",Inputs!$B$43&gt;0),((Skills!G6*((R679-1)*IF(Skills!H6&gt;0,Skills!I6/Skills!H6,1)+IF(Skills!H6&gt;0,MIN(Skills!I6,MAX(0,MAX(0,Inputs!$B$43-B710)-((R679-1)*(IF(Inputs!$B$38="pvp",15,MAX(0.1,Skills!D6-IF(Skills!E6=TRUE,Inputs!$B$32,0)))*(1-IF(AND(ArtifactsInput!$M$27,Inputs!$B$4="Chapter Hunt"),CHOOSE(ArtifactsInput!$N$27+1,20,24,28,32,36,40),0)/100)))))/Skills!H6,1)))/Inputs!$B$43),G679*Q679)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679*(1-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679*(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679*(1-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679*(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9">
        <f>IF(C679,(H679*N679*IF(AND(Inputs!$B$38&lt;&gt;"pvp",Inputs!$B$43&gt;0),((Skills!G6*((R679-1)*IF(Skills!H6&gt;0,Skills!I6/Skills!H6,1)+IF(Skills!H6&gt;0,MIN(Skills!I6,MAX(0,MAX(0,Inputs!$B$43-B710)-((R679-1)*(IF(Inputs!$B$38="pvp",15,MAX(0.1,Skills!D6-IF(Skills!E6=TRUE,Inputs!$B$32,0)))*(1-IF(AND(ArtifactsInput!$M$27,Inputs!$B$4="Chapter Hunt"),CHOOSE(ArtifactsInput!$N$27+1,20,24,28,32,36,40),0)/100)))))/Skills!H6,1)))/Inputs!$B$43),G679*Q679))*IF(Inputs!$B$38="pvp",1,(1+(Inputs!$B$21+Skills!Q6+(IF(ArtifactsInput!$M$33,CHOOSE(ArtifactsInput!$N$33+1,30,36,42,48,54,60)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0">
      <c r="A680">
        <f>Skills!A7</f>
        <v/>
      </c>
      <c r="B680">
        <f>Skills!B7</f>
        <v/>
      </c>
      <c r="C680">
        <f>Inputs!$B$3&gt;=66</f>
        <v/>
      </c>
      <c r="D680">
        <f>IF(Skills!C7=1,60+Inputs!$B$25+Inputs!$B$29,IF(Skills!C7=2,90+Inputs!$B$26+Inputs!$B$29,IF(Skills!C7=3,120+Inputs!$B$27+Inputs!$B$29,MAX(0,(Inputs!$B$3-100)*3)+Inputs!$B$28+Inputs!$B$29)))</f>
        <v/>
      </c>
      <c r="E680">
        <f>INDEX(FactorTable!$B$2:$Y$301, MATCH(ROUND(MIN(300,MAX(1,D680)),0), FactorTable!$A$2:$A$301,0), Skills!M7+1)</f>
        <v/>
      </c>
      <c r="F680">
        <f>IF(Skills!N7=TRUE,(Skills!L7/10)*(E680/1000),Skills!L7/10)+Skills!O7</f>
        <v/>
      </c>
      <c r="G680">
        <f>Skills!G7*IF(Skills!H7&gt;0,Skills!I7/Skills!H7,1)</f>
        <v/>
      </c>
      <c r="H680">
        <f>1-(1-Skills!J7/100)^Skills!K7</f>
        <v/>
      </c>
      <c r="I680" t="inlineStr">
        <is>
          <t>1</t>
        </is>
      </c>
      <c r="J680">
        <f>((Inputs!$B$6*(1+Inputs!$B$7/100))+(((Inputs!$B$12*(1+Inputs!$B$13/100))-(Inputs!$B$12*(1+Inputs!$B$13/100)))+0.25*(Inputs!$B$14-Inputs!$B$14))*(1+Inputs!$B$7/100))*(F680/100)</f>
        <v/>
      </c>
      <c r="K680">
        <f>J680*(1+((Inputs!$B$12*(1+Inputs!$B$13/100))*0.01+Inputs!$B$14*0.0025)/100)*(1+Inputs!$B$15/100)*(1+Inputs!$B$16/100)*(5000/(6000+Inputs!$B$42*(1-(100*(1-(1-(Inputs!$B$19+0)/100)*(1-CHOOSE(ArtifactsInput!$N$40+1,5,6,7,8,9,10)/100)^(ArtifactsInput!$M$40-ArtifactsInput!$M$40)))/100)))*(1+(Inputs!$B$24+((C699=TRUE)*(F699-Calc!F26))+B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688=TRUE,F688,0)/100)*(1+(IF(Skills!A7="EIGHT_LEGS_EASTON",(Inputs!$B$17+1)+((C696=TRUE)*(F696-Calc!F23))+((C700=TRUE)*(F700-Calc!F27))+(((IF(AND(ArtifactsInput!$M$42,((Inputs!$B$9+((C692=TRUE)*(F692-Calc!F19))+B703+(ArtifactsInput!$M$24-ArtifactsInput!$M$24)*CHOOSE(ArtifactsInput!$N$24+1,10,12,14,16,18,20)+IF(ArtifactsInput!$M$10,CHOOSE(ArtifactsInput!$N$10+1,15,18,21,24,27,30)*(IF(Inputs!$B$38="pvp",MIN(15,15)/15,IF(AND(Inputs!$B$38&lt;&gt;"pvp",Inputs!$B$43&gt;0),MIN(15,Inputs!$B$43)/(Inputs!$B$43),0))),0)))&gt;=100),MIN(100,((Inputs!$B$9+((C692=TRUE)*(F692-Calc!F19))+B703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692=TRUE)*(F692-Calc!F19))+B703+(ArtifactsInput!$M$24-ArtifactsInput!$M$24)*CHOOSE(ArtifactsInput!$N$24+1,10,12,14,16,18,20)+IF(ArtifactsInput!$M$10,CHOOSE(ArtifactsInput!$N$10+1,15,18,21,24,27,30)*(IF(Inputs!$B$38="pvp",MIN(15,15)/15,IF(AND(Inputs!$B$38&lt;&gt;"pvp",Inputs!$B$43&gt;0),MIN(15,Inputs!$B$43)/(Inputs!$B$43),0))),0)))&gt;=100),CHOOSE(ArtifactsInput!$N$42+1,40,48,56,64,72,80),0))))/100)*((1+(((C690=TRUE)*F690)+((C697=TRUE)*(F697-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680)</f>
        <v/>
      </c>
      <c r="L680">
        <f>K680*(MIN(Inputs!$B$22+((C695=TRUE)*(F695-Calc!F22)),(Inputs!$B$23+0+(IF(ArtifactsInput!$M$15,CHOOSE(ArtifactsInput!$N$15+1,25,30,35,40,45,50)/100*(Inputs!$B$11-Inputs!$B$11),0))))/100+(Inputs!$B$23+0+(IF(ArtifactsInput!$M$15,CHOOSE(ArtifactsInput!$N$15+1,25,30,35,40,45,50)/100*(Inputs!$B$11-Inputs!$B$11),0)))/100)/2</f>
        <v/>
      </c>
      <c r="M680">
        <f>L680*(1+(Inputs!$B$10+((C698=TRUE)*(F698-Calc!F25))+B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0">
        <f>L680*(1-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680*(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0">
        <f>(1-Summary!$B$11)*T680+Summary!$B$11*V680</f>
        <v/>
      </c>
      <c r="P680">
        <f>IF(B713=0,0,O680/B713)</f>
        <v/>
      </c>
      <c r="Q680">
        <f>IFERROR(1/(IF(Inputs!$B$38="pvp",15,MAX(0.1,Skills!D7-IF(Skills!E7=TRUE,Inputs!$B$32,0)))*(1-IF(AND(ArtifactsInput!$M$27,Inputs!$B$4="Chapter Hunt"),CHOOSE(ArtifactsInput!$N$27+1,20,24,28,32,36,40),0)/100)),0)</f>
        <v/>
      </c>
      <c r="R680">
        <f>IF(AND(Inputs!$B$38&lt;&gt;"pvp",Inputs!$B$43&gt;0),IF(MAX(0,Inputs!$B$43-B710)&lt;=0,0,(INT(MAX(0,Inputs!$B$43-B710)/(IF(Inputs!$B$38="pvp",15,MAX(0.1,Skills!D7-IF(Skills!E7=TRUE,Inputs!$B$32,0)))*(1-IF(AND(ArtifactsInput!$M$27,Inputs!$B$4="Chapter Hunt"),CHOOSE(ArtifactsInput!$N$27+1,20,24,28,32,36,40),0)/100)))+1)),0)</f>
        <v/>
      </c>
      <c r="S680">
        <f>IFERROR(O680/N680,0)</f>
        <v/>
      </c>
      <c r="T680">
        <f>IF(C680,(H680*N680*IF(AND(Inputs!$B$38&lt;&gt;"pvp",Inputs!$B$43&gt;0),((Skills!G7*((R680-1)*IF(Skills!H7&gt;0,Skills!I7/Skills!H7,1)+IF(Skills!H7&gt;0,MIN(Skills!I7,MAX(0,MAX(0,Inputs!$B$43-B710)-((R680-1)*(IF(Inputs!$B$38="pvp",15,MAX(0.1,Skills!D7-IF(Skills!E7=TRUE,Inputs!$B$32,0)))*(1-IF(AND(ArtifactsInput!$M$27,Inputs!$B$4="Chapter Hunt"),CHOOSE(ArtifactsInput!$N$27+1,20,24,28,32,36,40),0)/100)))))/Skills!H7,1)))/Inputs!$B$43),G680*Q680)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680*(1-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680*(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680*(1-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680*(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0">
        <f>IF(C680,(H680*N680*IF(AND(Inputs!$B$38&lt;&gt;"pvp",Inputs!$B$43&gt;0),((Skills!G7*((R680-1)*IF(Skills!H7&gt;0,Skills!I7/Skills!H7,1)+IF(Skills!H7&gt;0,MIN(Skills!I7,MAX(0,MAX(0,Inputs!$B$43-B710)-((R680-1)*(IF(Inputs!$B$38="pvp",15,MAX(0.1,Skills!D7-IF(Skills!E7=TRUE,Inputs!$B$32,0)))*(1-IF(AND(ArtifactsInput!$M$27,Inputs!$B$4="Chapter Hunt"),CHOOSE(ArtifactsInput!$N$27+1,20,24,28,32,36,40),0)/100)))))/Skills!H7,1)))/Inputs!$B$43),G680*Q680))*IF(Inputs!$B$38="pvp",1,(1+(Inputs!$B$21+Skills!Q7+(IF(ArtifactsInput!$M$33,CHOOSE(ArtifactsInput!$N$33+1,30,36,42,48,54,60)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1">
      <c r="A681">
        <f>Skills!A8</f>
        <v/>
      </c>
      <c r="B681">
        <f>Skills!B8</f>
        <v/>
      </c>
      <c r="C681">
        <f>Inputs!$B$3&gt;=100</f>
        <v/>
      </c>
      <c r="D681">
        <f>IF(Skills!C8=1,60+Inputs!$B$25+Inputs!$B$29,IF(Skills!C8=2,90+Inputs!$B$26+Inputs!$B$29,IF(Skills!C8=3,120+Inputs!$B$27+Inputs!$B$29,MAX(0,(Inputs!$B$3-100)*3)+Inputs!$B$28+Inputs!$B$29)))</f>
        <v/>
      </c>
      <c r="E681">
        <f>INDEX(FactorTable!$B$2:$Y$301, MATCH(ROUND(MIN(300,MAX(1,D681)),0), FactorTable!$A$2:$A$301,0), Skills!M8+1)</f>
        <v/>
      </c>
      <c r="F681">
        <f>IF(Skills!N8=TRUE,(Skills!L8/10)*(E681/1000),Skills!L8/10)+Skills!O8</f>
        <v/>
      </c>
      <c r="G681">
        <f>Skills!G8*IF(Skills!H8&gt;0,Skills!I8/Skills!H8,1)</f>
        <v/>
      </c>
      <c r="H681">
        <f>1-(1-Skills!J8/100)^Skills!K8</f>
        <v/>
      </c>
      <c r="I681" t="inlineStr">
        <is>
          <t>1</t>
        </is>
      </c>
      <c r="J681">
        <f>((Inputs!$B$6*(1+Inputs!$B$7/100))+(((Inputs!$B$12*(1+Inputs!$B$13/100))-(Inputs!$B$12*(1+Inputs!$B$13/100)))+0.25*(Inputs!$B$14-Inputs!$B$14))*(1+Inputs!$B$7/100))*(F681/100)</f>
        <v/>
      </c>
      <c r="K681">
        <f>J681*(1+((Inputs!$B$12*(1+Inputs!$B$13/100))*0.01+Inputs!$B$14*0.0025)/100)*(1+Inputs!$B$15/100)*(1+Inputs!$B$16/100)*(5000/(6000+Inputs!$B$42*(1-(100*(1-(1-(Inputs!$B$19+0)/100)*(1-CHOOSE(ArtifactsInput!$N$40+1,5,6,7,8,9,10)/100)^(ArtifactsInput!$M$40-ArtifactsInput!$M$40)))/100)))*(1+(Inputs!$B$24+((C699=TRUE)*(F699-Calc!F26))+B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+1)+((C696=TRUE)*(F696-Calc!F23))+((C700=TRUE)*(F700-Calc!F27))+(((IF(AND(ArtifactsInput!$M$42,((Inputs!$B$9+((C692=TRUE)*(F692-Calc!F19))+B703+(ArtifactsInput!$M$24-ArtifactsInput!$M$24)*CHOOSE(ArtifactsInput!$N$24+1,10,12,14,16,18,20)+IF(ArtifactsInput!$M$10,CHOOSE(ArtifactsInput!$N$10+1,15,18,21,24,27,30)*(IF(Inputs!$B$38="pvp",MIN(15,15)/15,IF(AND(Inputs!$B$38&lt;&gt;"pvp",Inputs!$B$43&gt;0),MIN(15,Inputs!$B$43)/(Inputs!$B$43),0))),0)))&gt;=100),MIN(100,((Inputs!$B$9+((C692=TRUE)*(F692-Calc!F19))+B703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692=TRUE)*(F692-Calc!F19))+B703+(ArtifactsInput!$M$24-ArtifactsInput!$M$24)*CHOOSE(ArtifactsInput!$N$24+1,10,12,14,16,18,20)+IF(ArtifactsInput!$M$10,CHOOSE(ArtifactsInput!$N$10+1,15,18,21,24,27,30)*(IF(Inputs!$B$38="pvp",MIN(15,15)/15,IF(AND(Inputs!$B$38&lt;&gt;"pvp",Inputs!$B$43&gt;0),MIN(15,Inputs!$B$43)/(Inputs!$B$43),0))),0)))&gt;=100),CHOOSE(ArtifactsInput!$N$42+1,40,48,56,64,72,80),0))))/100)*((1+(((C690=TRUE)*F690)+((C697=TRUE)*(F697-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681)</f>
        <v/>
      </c>
      <c r="L681">
        <f>K681*(MIN(Inputs!$B$22+((C695=TRUE)*(F695-Calc!F22)),(Inputs!$B$23+0+(IF(ArtifactsInput!$M$15,CHOOSE(ArtifactsInput!$N$15+1,25,30,35,40,45,50)/100*(Inputs!$B$11-Inputs!$B$11),0))))/100+(Inputs!$B$23+0+(IF(ArtifactsInput!$M$15,CHOOSE(ArtifactsInput!$N$15+1,25,30,35,40,45,50)/100*(Inputs!$B$11-Inputs!$B$11),0)))/100)/2</f>
        <v/>
      </c>
      <c r="M681">
        <f>L681*(1+(Inputs!$B$10+((C698=TRUE)*(F698-Calc!F25))+B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1">
        <f>L681*(1-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681*(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1">
        <f>(1-Summary!$B$11)*T681+Summary!$B$11*V681</f>
        <v/>
      </c>
      <c r="P681">
        <f>IF(B713=0,0,O681/B713)</f>
        <v/>
      </c>
      <c r="Q681">
        <f>IFERROR(1/(IF(Inputs!$B$38="pvp",15,MAX(0.1,Skills!D8-IF(Skills!E8=TRUE,Inputs!$B$32,0)))*(1-IF(AND(ArtifactsInput!$M$27,Inputs!$B$4="Chapter Hunt"),CHOOSE(ArtifactsInput!$N$27+1,20,24,28,32,36,40),0)/100)),0)</f>
        <v/>
      </c>
      <c r="R681">
        <f>IF(AND(Inputs!$B$38&lt;&gt;"pvp",Inputs!$B$43&gt;0),IF(MAX(0,Inputs!$B$43-B710)&lt;=0,0,(INT(MAX(0,Inputs!$B$43-B710)/(IF(Inputs!$B$38="pvp",15,MAX(0.1,Skills!D8-IF(Skills!E8=TRUE,Inputs!$B$32,0)))*(1-IF(AND(ArtifactsInput!$M$27,Inputs!$B$4="Chapter Hunt"),CHOOSE(ArtifactsInput!$N$27+1,20,24,28,32,36,40),0)/100)))+1)),0)</f>
        <v/>
      </c>
      <c r="S681">
        <f>IFERROR(O681/N681,0)</f>
        <v/>
      </c>
      <c r="T681">
        <f>IF(C681,(H681*N681*IF(AND(Inputs!$B$38&lt;&gt;"pvp",Inputs!$B$43&gt;0),((Skills!G8*((R681-1)*IF(Skills!H8&gt;0,Skills!I8/Skills!H8,1)+IF(Skills!H8&gt;0,MIN(Skills!I8,MAX(0,MAX(0,Inputs!$B$43-B710)-((R681-1)*(IF(Inputs!$B$38="pvp",15,MAX(0.1,Skills!D8-IF(Skills!E8=TRUE,Inputs!$B$32,0)))*(1-IF(AND(ArtifactsInput!$M$27,Inputs!$B$4="Chapter Hunt"),CHOOSE(ArtifactsInput!$N$27+1,20,24,28,32,36,40),0)/100)))))/Skills!H8,1)))/Inputs!$B$43),G681*Q681)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681*(1-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681*(1-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1">
        <f>IF(C681,(H681*N681*IF(AND(Inputs!$B$38&lt;&gt;"pvp",Inputs!$B$43&gt;0),((Skills!G8*((R681-1)*IF(Skills!H8&gt;0,Skills!I8/Skills!H8,1)+IF(Skills!H8&gt;0,MIN(Skills!I8,MAX(0,MAX(0,Inputs!$B$43-B710)-((R681-1)*(IF(Inputs!$B$38="pvp",15,MAX(0.1,Skills!D8-IF(Skills!E8=TRUE,Inputs!$B$32,0)))*(1-IF(AND(ArtifactsInput!$M$27,Inputs!$B$4="Chapter Hunt"),CHOOSE(ArtifactsInput!$N$27+1,20,24,28,32,36,40),0)/100)))))/Skills!H8,1)))/Inputs!$B$43),G681*Q681))*IF(Inputs!$B$38="pvp",1,(1+(Inputs!$B$21+Skills!Q8+(IF(ArtifactsInput!$M$33,CHOOSE(ArtifactsInput!$N$33+1,30,36,42,48,54,60)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2">
      <c r="A682">
        <f>Skills!A9</f>
        <v/>
      </c>
      <c r="B682">
        <f>Skills!B9</f>
        <v/>
      </c>
      <c r="C682">
        <f>Inputs!$B$3&gt;=103</f>
        <v/>
      </c>
      <c r="D682">
        <f>IF(Skills!C9=1,60+Inputs!$B$25+Inputs!$B$29,IF(Skills!C9=2,90+Inputs!$B$26+Inputs!$B$29,IF(Skills!C9=3,120+Inputs!$B$27+Inputs!$B$29,MAX(0,(Inputs!$B$3-100)*3)+Inputs!$B$28+Inputs!$B$29)))</f>
        <v/>
      </c>
      <c r="E682">
        <f>INDEX(FactorTable!$B$2:$Y$301, MATCH(ROUND(MIN(300,MAX(1,D682)),0), FactorTable!$A$2:$A$301,0), Skills!M9+1)</f>
        <v/>
      </c>
      <c r="F682">
        <f>IF(Skills!N9=TRUE,(Skills!L9/10)*(E682/1000),Skills!L9/10)+Skills!O9</f>
        <v/>
      </c>
      <c r="G682">
        <f>Skills!G9*IF(Skills!H9&gt;0,Skills!I9/Skills!H9,1)</f>
        <v/>
      </c>
      <c r="H682">
        <f>1-(1-Skills!J9/100)^Skills!K9</f>
        <v/>
      </c>
      <c r="I682" t="inlineStr">
        <is>
          <t>1</t>
        </is>
      </c>
      <c r="J682">
        <f>((Inputs!$B$6*(1+Inputs!$B$7/100))+(((Inputs!$B$12*(1+Inputs!$B$13/100))-(Inputs!$B$12*(1+Inputs!$B$13/100)))+0.25*(Inputs!$B$14-Inputs!$B$14))*(1+Inputs!$B$7/100))*(F682/100)</f>
        <v/>
      </c>
      <c r="K682">
        <f>J682*(1+((Inputs!$B$12*(1+Inputs!$B$13/100))*0.01+Inputs!$B$14*0.0025)/100)*(1+Inputs!$B$15/100)*(1+Inputs!$B$16/100)*(5000/(6000+Inputs!$B$42*(1-(100*(1-(1-(Inputs!$B$19+0)/100)*(1-CHOOSE(ArtifactsInput!$N$40+1,5,6,7,8,9,10)/100)^(ArtifactsInput!$M$40-ArtifactsInput!$M$40)))/100)))*(1+(Inputs!$B$24+((C699=TRUE)*(F699-Calc!F26))+B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+1)+((C696=TRUE)*(F696-Calc!F23))+((C700=TRUE)*(F700-Calc!F27))+(((IF(AND(ArtifactsInput!$M$42,((Inputs!$B$9+((C692=TRUE)*(F692-Calc!F19))+B703+(ArtifactsInput!$M$24-ArtifactsInput!$M$24)*CHOOSE(ArtifactsInput!$N$24+1,10,12,14,16,18,20)+IF(ArtifactsInput!$M$10,CHOOSE(ArtifactsInput!$N$10+1,15,18,21,24,27,30)*(IF(Inputs!$B$38="pvp",MIN(15,15)/15,IF(AND(Inputs!$B$38&lt;&gt;"pvp",Inputs!$B$43&gt;0),MIN(15,Inputs!$B$43)/(Inputs!$B$43),0))),0)))&gt;=100),MIN(100,((Inputs!$B$9+((C692=TRUE)*(F692-Calc!F19))+B703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692=TRUE)*(F692-Calc!F19))+B703+(ArtifactsInput!$M$24-ArtifactsInput!$M$24)*CHOOSE(ArtifactsInput!$N$24+1,10,12,14,16,18,20)+IF(ArtifactsInput!$M$10,CHOOSE(ArtifactsInput!$N$10+1,15,18,21,24,27,30)*(IF(Inputs!$B$38="pvp",MIN(15,15)/15,IF(AND(Inputs!$B$38&lt;&gt;"pvp",Inputs!$B$43&gt;0),MIN(15,Inputs!$B$43)/(Inputs!$B$43),0))),0)))&gt;=100),CHOOSE(ArtifactsInput!$N$42+1,40,48,56,64,72,80),0))))/100)*((1+(((C690=TRUE)*F690)+((C697=TRUE)*(F697-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682)</f>
        <v/>
      </c>
      <c r="L682">
        <f>K682*(MIN(Inputs!$B$22+((C695=TRUE)*(F695-Calc!F22)),(Inputs!$B$23+0+(IF(ArtifactsInput!$M$15,CHOOSE(ArtifactsInput!$N$15+1,25,30,35,40,45,50)/100*(Inputs!$B$11-Inputs!$B$11),0))))/100+(Inputs!$B$23+0+(IF(ArtifactsInput!$M$15,CHOOSE(ArtifactsInput!$N$15+1,25,30,35,40,45,50)/100*(Inputs!$B$11-Inputs!$B$11),0)))/100)/2</f>
        <v/>
      </c>
      <c r="M682">
        <f>L682*(1+(Inputs!$B$10+((C698=TRUE)*(F698-Calc!F25))+B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2">
        <f>L682*(1-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682*(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2">
        <f>(1-Summary!$B$11)*T682+Summary!$B$11*V682</f>
        <v/>
      </c>
      <c r="P682">
        <f>IF(B713=0,0,O682/B713)</f>
        <v/>
      </c>
      <c r="Q682">
        <f>IFERROR(1/(IF(Inputs!$B$38="pvp",15,MAX(0.1,Skills!D9-IF(Skills!E9=TRUE,Inputs!$B$32,0)))*(1-IF(AND(ArtifactsInput!$M$27,Inputs!$B$4="Chapter Hunt"),CHOOSE(ArtifactsInput!$N$27+1,20,24,28,32,36,40),0)/100)),0)</f>
        <v/>
      </c>
      <c r="R682">
        <f>IF(AND(Inputs!$B$38&lt;&gt;"pvp",Inputs!$B$43&gt;0),IF(MAX(0,Inputs!$B$43-B710)&lt;=0,0,(INT(MAX(0,Inputs!$B$43-B710)/(IF(Inputs!$B$38="pvp",15,MAX(0.1,Skills!D9-IF(Skills!E9=TRUE,Inputs!$B$32,0)))*(1-IF(AND(ArtifactsInput!$M$27,Inputs!$B$4="Chapter Hunt"),CHOOSE(ArtifactsInput!$N$27+1,20,24,28,32,36,40),0)/100)))+1)),0)</f>
        <v/>
      </c>
      <c r="S682">
        <f>IFERROR(O682/N682,0)</f>
        <v/>
      </c>
      <c r="T682">
        <f>IF(C682,(H682*N682*IF(AND(Inputs!$B$38&lt;&gt;"pvp",Inputs!$B$43&gt;0),((Skills!G9*((R682-1)*IF(Skills!H9&gt;0,Skills!I9/Skills!H9,1)+IF(Skills!H9&gt;0,MIN(Skills!I9,MAX(0,MAX(0,Inputs!$B$43-B710)-((R682-1)*(IF(Inputs!$B$38="pvp",15,MAX(0.1,Skills!D9-IF(Skills!E9=TRUE,Inputs!$B$32,0)))*(1-IF(AND(ArtifactsInput!$M$27,Inputs!$B$4="Chapter Hunt"),CHOOSE(ArtifactsInput!$N$27+1,20,24,28,32,36,40),0)/100)))))/Skills!H9,1)))/Inputs!$B$43),G682*Q682)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682*(1-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682*(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682*(1-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682*(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2">
        <f>IF(C682,(H682*N682*IF(AND(Inputs!$B$38&lt;&gt;"pvp",Inputs!$B$43&gt;0),((Skills!G9*((R682-1)*IF(Skills!H9&gt;0,Skills!I9/Skills!H9,1)+IF(Skills!H9&gt;0,MIN(Skills!I9,MAX(0,MAX(0,Inputs!$B$43-B710)-((R682-1)*(IF(Inputs!$B$38="pvp",15,MAX(0.1,Skills!D9-IF(Skills!E9=TRUE,Inputs!$B$32,0)))*(1-IF(AND(ArtifactsInput!$M$27,Inputs!$B$4="Chapter Hunt"),CHOOSE(ArtifactsInput!$N$27+1,20,24,28,32,36,40),0)/100)))))/Skills!H9,1)))/Inputs!$B$43),G682*Q682))*IF(Inputs!$B$38="pvp",1,(1+(Inputs!$B$21+Skills!Q9+(IF(ArtifactsInput!$M$33,CHOOSE(ArtifactsInput!$N$33+1,30,36,42,48,54,60)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3">
      <c r="A683">
        <f>Skills!A10</f>
        <v/>
      </c>
      <c r="B683">
        <f>Skills!B10</f>
        <v/>
      </c>
      <c r="C683">
        <f>Inputs!$B$3&gt;=113</f>
        <v/>
      </c>
      <c r="D683">
        <f>IF(Skills!C10=1,60+Inputs!$B$25+Inputs!$B$29,IF(Skills!C10=2,90+Inputs!$B$26+Inputs!$B$29,IF(Skills!C10=3,120+Inputs!$B$27+Inputs!$B$29,MAX(0,(Inputs!$B$3-100)*3)+Inputs!$B$28+Inputs!$B$29)))</f>
        <v/>
      </c>
      <c r="E683">
        <f>INDEX(FactorTable!$B$2:$Y$301, MATCH(ROUND(MIN(300,MAX(1,D683)),0), FactorTable!$A$2:$A$301,0), Skills!M10+1)</f>
        <v/>
      </c>
      <c r="F683">
        <f>IF(Skills!N10=TRUE,(Skills!L10/10)*(E683/1000),Skills!L10/10)+Skills!O10</f>
        <v/>
      </c>
      <c r="G683">
        <f>Skills!G10*IF(Skills!H10&gt;0,Skills!I10/Skills!H10,1)</f>
        <v/>
      </c>
      <c r="H683">
        <f>1-(1-Skills!J10/100)^Skills!K10</f>
        <v/>
      </c>
      <c r="I683" t="inlineStr">
        <is>
          <t>1</t>
        </is>
      </c>
      <c r="J683">
        <f>((Inputs!$B$6*(1+Inputs!$B$7/100))+(((Inputs!$B$12*(1+Inputs!$B$13/100))-(Inputs!$B$12*(1+Inputs!$B$13/100)))+0.25*(Inputs!$B$14-Inputs!$B$14))*(1+Inputs!$B$7/100))*(F683/100)</f>
        <v/>
      </c>
      <c r="K683">
        <f>J683*(1+((Inputs!$B$12*(1+Inputs!$B$13/100))*0.01+Inputs!$B$14*0.0025)/100)*(1+Inputs!$B$15/100)*(1+Inputs!$B$16/100)*(5000/(6000+Inputs!$B$42*(1-(100*(1-(1-(Inputs!$B$19+0)/100)*(1-CHOOSE(ArtifactsInput!$N$40+1,5,6,7,8,9,10)/100)^(ArtifactsInput!$M$40-ArtifactsInput!$M$40)))/100)))*(1+(Inputs!$B$24+((C699=TRUE)*(F699-Calc!F26))+B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+1)+((C696=TRUE)*(F696-Calc!F23))+((C700=TRUE)*(F700-Calc!F27))+(((IF(AND(ArtifactsInput!$M$42,((Inputs!$B$9+((C692=TRUE)*(F692-Calc!F19))+B703+(ArtifactsInput!$M$24-ArtifactsInput!$M$24)*CHOOSE(ArtifactsInput!$N$24+1,10,12,14,16,18,20)+IF(ArtifactsInput!$M$10,CHOOSE(ArtifactsInput!$N$10+1,15,18,21,24,27,30)*(IF(Inputs!$B$38="pvp",MIN(15,15)/15,IF(AND(Inputs!$B$38&lt;&gt;"pvp",Inputs!$B$43&gt;0),MIN(15,Inputs!$B$43)/(Inputs!$B$43),0))),0)))&gt;=100),MIN(100,((Inputs!$B$9+((C692=TRUE)*(F692-Calc!F19))+B703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692=TRUE)*(F692-Calc!F19))+B703+(ArtifactsInput!$M$24-ArtifactsInput!$M$24)*CHOOSE(ArtifactsInput!$N$24+1,10,12,14,16,18,20)+IF(ArtifactsInput!$M$10,CHOOSE(ArtifactsInput!$N$10+1,15,18,21,24,27,30)*(IF(Inputs!$B$38="pvp",MIN(15,15)/15,IF(AND(Inputs!$B$38&lt;&gt;"pvp",Inputs!$B$43&gt;0),MIN(15,Inputs!$B$43)/(Inputs!$B$43),0))),0)))&gt;=100),CHOOSE(ArtifactsInput!$N$42+1,40,48,56,64,72,80),0))))/100)*((1+(((C690=TRUE)*F690)+((C697=TRUE)*(F697-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683)</f>
        <v/>
      </c>
      <c r="L683">
        <f>K683*(MIN(Inputs!$B$22+((C695=TRUE)*(F695-Calc!F22)),(Inputs!$B$23+0+(IF(ArtifactsInput!$M$15,CHOOSE(ArtifactsInput!$N$15+1,25,30,35,40,45,50)/100*(Inputs!$B$11-Inputs!$B$11),0))))/100+(Inputs!$B$23+0+(IF(ArtifactsInput!$M$15,CHOOSE(ArtifactsInput!$N$15+1,25,30,35,40,45,50)/100*(Inputs!$B$11-Inputs!$B$11),0)))/100)/2</f>
        <v/>
      </c>
      <c r="M683">
        <f>L683*(1+(Inputs!$B$10+((C698=TRUE)*(F698-Calc!F25))+B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3">
        <f>L683*(1-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683*(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3">
        <f>(1-Summary!$B$11)*T683+Summary!$B$11*V683</f>
        <v/>
      </c>
      <c r="P683">
        <f>IF(B713=0,0,O683/B713)</f>
        <v/>
      </c>
      <c r="Q683">
        <f>IFERROR(1/(IF(Inputs!$B$38="pvp",15,MAX(0.1,Skills!D10-IF(Skills!E10=TRUE,Inputs!$B$32,0)))*(1-IF(AND(ArtifactsInput!$M$27,Inputs!$B$4="Chapter Hunt"),CHOOSE(ArtifactsInput!$N$27+1,20,24,28,32,36,40),0)/100)),0)</f>
        <v/>
      </c>
      <c r="R683">
        <f>IF(AND(Inputs!$B$38&lt;&gt;"pvp",Inputs!$B$43&gt;0),IF(MAX(0,Inputs!$B$43-B710)&lt;=0,0,(INT(MAX(0,Inputs!$B$43-B710)/(IF(Inputs!$B$38="pvp",15,MAX(0.1,Skills!D10-IF(Skills!E10=TRUE,Inputs!$B$32,0)))*(1-IF(AND(ArtifactsInput!$M$27,Inputs!$B$4="Chapter Hunt"),CHOOSE(ArtifactsInput!$N$27+1,20,24,28,32,36,40),0)/100)))+1)),0)</f>
        <v/>
      </c>
      <c r="S683">
        <f>IFERROR(O683/N683,0)</f>
        <v/>
      </c>
      <c r="T683">
        <f>IF(C683,(H683*N683*IF(AND(Inputs!$B$38&lt;&gt;"pvp",Inputs!$B$43&gt;0),((Skills!G10*((R683-1)*IF(Skills!H10&gt;0,Skills!I10/Skills!H10,1)+IF(Skills!H10&gt;0,MIN(Skills!I10,MAX(0,MAX(0,Inputs!$B$43-B710)-((R683-1)*(IF(Inputs!$B$38="pvp",15,MAX(0.1,Skills!D10-IF(Skills!E10=TRUE,Inputs!$B$32,0)))*(1-IF(AND(ArtifactsInput!$M$27,Inputs!$B$4="Chapter Hunt"),CHOOSE(ArtifactsInput!$N$27+1,20,24,28,32,36,40),0)/100)))))/Skills!H10,1)))/Inputs!$B$43),G683*Q683)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683*(1-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683*(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683*(1-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683*(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3">
        <f>IF(C683,(H683*N683*IF(AND(Inputs!$B$38&lt;&gt;"pvp",Inputs!$B$43&gt;0),((Skills!G10*((R683-1)*IF(Skills!H10&gt;0,Skills!I10/Skills!H10,1)+IF(Skills!H10&gt;0,MIN(Skills!I10,MAX(0,MAX(0,Inputs!$B$43-B710)-((R683-1)*(IF(Inputs!$B$38="pvp",15,MAX(0.1,Skills!D10-IF(Skills!E10=TRUE,Inputs!$B$32,0)))*(1-IF(AND(ArtifactsInput!$M$27,Inputs!$B$4="Chapter Hunt"),CHOOSE(ArtifactsInput!$N$27+1,20,24,28,32,36,40),0)/100)))))/Skills!H10,1)))/Inputs!$B$43),G683*Q683))*IF(Inputs!$B$38="pvp",1,(1+(Inputs!$B$21+Skills!Q10+(IF(ArtifactsInput!$M$33,CHOOSE(ArtifactsInput!$N$33+1,30,36,42,48,54,60)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4">
      <c r="A684">
        <f>Skills!A11</f>
        <v/>
      </c>
      <c r="B684">
        <f>Skills!B11</f>
        <v/>
      </c>
      <c r="C684">
        <f>Inputs!$B$3&gt;=107</f>
        <v/>
      </c>
      <c r="D684">
        <f>IF(Skills!C11=1,60+Inputs!$B$25+Inputs!$B$29,IF(Skills!C11=2,90+Inputs!$B$26+Inputs!$B$29,IF(Skills!C11=3,120+Inputs!$B$27+Inputs!$B$29,MAX(0,(Inputs!$B$3-100)*3)+Inputs!$B$28+Inputs!$B$29)))</f>
        <v/>
      </c>
      <c r="E684">
        <f>INDEX(FactorTable!$B$2:$Y$301, MATCH(ROUND(MIN(300,MAX(1,D684)),0), FactorTable!$A$2:$A$301,0), Skills!M11+1)</f>
        <v/>
      </c>
      <c r="F684">
        <f>IF(Skills!N11=TRUE,(Skills!L11/10)*(E684/1000),Skills!L11/10)+Skills!O11</f>
        <v/>
      </c>
      <c r="G684">
        <f>Skills!G11*IF(Skills!H11&gt;0,Skills!I11/Skills!H11,1)</f>
        <v/>
      </c>
      <c r="H684">
        <f>1-(1-Skills!J11/100)^Skills!K11</f>
        <v/>
      </c>
      <c r="I684" t="inlineStr">
        <is>
          <t>1</t>
        </is>
      </c>
      <c r="J684">
        <f>((Inputs!$B$6*(1+Inputs!$B$7/100))+(((Inputs!$B$12*(1+Inputs!$B$13/100))-(Inputs!$B$12*(1+Inputs!$B$13/100)))+0.25*(Inputs!$B$14-Inputs!$B$14))*(1+Inputs!$B$7/100))*(F684/100)</f>
        <v/>
      </c>
      <c r="K684">
        <f>J684*(1+((Inputs!$B$12*(1+Inputs!$B$13/100))*0.01+Inputs!$B$14*0.0025)/100)*(1+Inputs!$B$15/100)*(1+Inputs!$B$16/100)*(5000/(6000+Inputs!$B$42*(1-(100*(1-(1-(Inputs!$B$19+0)/100)*(1-CHOOSE(ArtifactsInput!$N$40+1,5,6,7,8,9,10)/100)^(ArtifactsInput!$M$40-ArtifactsInput!$M$40)))/100)))*(1+(Inputs!$B$24+((C699=TRUE)*(F699-Calc!F26))+B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+1)+((C696=TRUE)*(F696-Calc!F23))+((C700=TRUE)*(F700-Calc!F27))+(((IF(AND(ArtifactsInput!$M$42,((Inputs!$B$9+((C692=TRUE)*(F692-Calc!F19))+B703+(ArtifactsInput!$M$24-ArtifactsInput!$M$24)*CHOOSE(ArtifactsInput!$N$24+1,10,12,14,16,18,20)+IF(ArtifactsInput!$M$10,CHOOSE(ArtifactsInput!$N$10+1,15,18,21,24,27,30)*(IF(Inputs!$B$38="pvp",MIN(15,15)/15,IF(AND(Inputs!$B$38&lt;&gt;"pvp",Inputs!$B$43&gt;0),MIN(15,Inputs!$B$43)/(Inputs!$B$43),0))),0)))&gt;=100),MIN(100,((Inputs!$B$9+((C692=TRUE)*(F692-Calc!F19))+B703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692=TRUE)*(F692-Calc!F19))+B703+(ArtifactsInput!$M$24-ArtifactsInput!$M$24)*CHOOSE(ArtifactsInput!$N$24+1,10,12,14,16,18,20)+IF(ArtifactsInput!$M$10,CHOOSE(ArtifactsInput!$N$10+1,15,18,21,24,27,30)*(IF(Inputs!$B$38="pvp",MIN(15,15)/15,IF(AND(Inputs!$B$38&lt;&gt;"pvp",Inputs!$B$43&gt;0),MIN(15,Inputs!$B$43)/(Inputs!$B$43),0))),0)))&gt;=100),CHOOSE(ArtifactsInput!$N$42+1,40,48,56,64,72,80),0))))/100)*((1+(((C690=TRUE)*F690)+((C697=TRUE)*(F697-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684)</f>
        <v/>
      </c>
      <c r="L684">
        <f>K684*(MIN(Inputs!$B$22+((C695=TRUE)*(F695-Calc!F22)),(Inputs!$B$23+0+(IF(ArtifactsInput!$M$15,CHOOSE(ArtifactsInput!$N$15+1,25,30,35,40,45,50)/100*(Inputs!$B$11-Inputs!$B$11),0))))/100+(Inputs!$B$23+0+(IF(ArtifactsInput!$M$15,CHOOSE(ArtifactsInput!$N$15+1,25,30,35,40,45,50)/100*(Inputs!$B$11-Inputs!$B$11),0)))/100)/2</f>
        <v/>
      </c>
      <c r="M684">
        <f>L684*(1+(Inputs!$B$10+((C698=TRUE)*(F698-Calc!F25))+B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4">
        <f>L684*(1-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684*(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4">
        <f>(1-Summary!$B$11)*T684+Summary!$B$11*V684</f>
        <v/>
      </c>
      <c r="P684">
        <f>IF(B713=0,0,O684/B713)</f>
        <v/>
      </c>
      <c r="Q684">
        <f>IFERROR(1/(IF(Inputs!$B$38="pvp",15,MAX(0.1,Skills!D11-IF(Skills!E11=TRUE,Inputs!$B$32,0)))*(1-IF(AND(ArtifactsInput!$M$27,Inputs!$B$4="Chapter Hunt"),CHOOSE(ArtifactsInput!$N$27+1,20,24,28,32,36,40),0)/100)),0)</f>
        <v/>
      </c>
      <c r="R684">
        <f>IF(AND(Inputs!$B$38&lt;&gt;"pvp",Inputs!$B$43&gt;0),IF(MAX(0,Inputs!$B$43-B710)&lt;=0,0,(INT(MAX(0,Inputs!$B$43-B710)/(IF(Inputs!$B$38="pvp",15,MAX(0.1,Skills!D11-IF(Skills!E11=TRUE,Inputs!$B$32,0)))*(1-IF(AND(ArtifactsInput!$M$27,Inputs!$B$4="Chapter Hunt"),CHOOSE(ArtifactsInput!$N$27+1,20,24,28,32,36,40),0)/100)))+1)),0)</f>
        <v/>
      </c>
      <c r="S684">
        <f>IFERROR(O684/N684,0)</f>
        <v/>
      </c>
      <c r="T684">
        <f>IF(C684,(H684*N684*IF(AND(Inputs!$B$38&lt;&gt;"pvp",Inputs!$B$43&gt;0),((Skills!G11*((R684-1)*IF(Skills!H11&gt;0,Skills!I11/Skills!H11,1)+IF(Skills!H11&gt;0,MIN(Skills!I11,MAX(0,MAX(0,Inputs!$B$43-B710)-((R684-1)*(IF(Inputs!$B$38="pvp",15,MAX(0.1,Skills!D11-IF(Skills!E11=TRUE,Inputs!$B$32,0)))*(1-IF(AND(ArtifactsInput!$M$27,Inputs!$B$4="Chapter Hunt"),CHOOSE(ArtifactsInput!$N$27+1,20,24,28,32,36,40),0)/100)))))/Skills!H11,1)))/Inputs!$B$43),G684*Q684)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684*(1-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684*(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684*(1-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684*(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4">
        <f>IF(C684,(H684*N684*IF(AND(Inputs!$B$38&lt;&gt;"pvp",Inputs!$B$43&gt;0),((Skills!G11*((R684-1)*IF(Skills!H11&gt;0,Skills!I11/Skills!H11,1)+IF(Skills!H11&gt;0,MIN(Skills!I11,MAX(0,MAX(0,Inputs!$B$43-B710)-((R684-1)*(IF(Inputs!$B$38="pvp",15,MAX(0.1,Skills!D11-IF(Skills!E11=TRUE,Inputs!$B$32,0)))*(1-IF(AND(ArtifactsInput!$M$27,Inputs!$B$4="Chapter Hunt"),CHOOSE(ArtifactsInput!$N$27+1,20,24,28,32,36,40),0)/100)))))/Skills!H11,1)))/Inputs!$B$43),G684*Q684))*IF(Inputs!$B$38="pvp",1,(1+(Inputs!$B$21+Skills!Q11+(IF(ArtifactsInput!$M$33,CHOOSE(ArtifactsInput!$N$33+1,30,36,42,48,54,60)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5">
      <c r="A685">
        <f>Skills!A12</f>
        <v/>
      </c>
      <c r="B685">
        <f>Skills!B12</f>
        <v/>
      </c>
      <c r="C685">
        <f>Inputs!$B$3&gt;=110</f>
        <v/>
      </c>
      <c r="D685">
        <f>IF(Skills!C12=1,60+Inputs!$B$25+Inputs!$B$29,IF(Skills!C12=2,90+Inputs!$B$26+Inputs!$B$29,IF(Skills!C12=3,120+Inputs!$B$27+Inputs!$B$29,MAX(0,(Inputs!$B$3-100)*3)+Inputs!$B$28+Inputs!$B$29)))</f>
        <v/>
      </c>
      <c r="E685">
        <f>INDEX(FactorTable!$B$2:$Y$301, MATCH(ROUND(MIN(300,MAX(1,D685)),0), FactorTable!$A$2:$A$301,0), Skills!M12+1)</f>
        <v/>
      </c>
      <c r="F685">
        <f>IF(Skills!N12=TRUE,(Skills!L12/10)*(E685/1000),Skills!L12/10)+Skills!O12</f>
        <v/>
      </c>
      <c r="G685">
        <f>Skills!G12*IF(Skills!H12&gt;0,Skills!I12/Skills!H12,1)</f>
        <v/>
      </c>
      <c r="H685">
        <f>1-(1-Skills!J12/100)^Skills!K12</f>
        <v/>
      </c>
      <c r="I685" t="inlineStr">
        <is>
          <t>1</t>
        </is>
      </c>
      <c r="J685">
        <f>((Inputs!$B$6*(1+Inputs!$B$7/100))+(((Inputs!$B$12*(1+Inputs!$B$13/100))-(Inputs!$B$12*(1+Inputs!$B$13/100)))+0.25*(Inputs!$B$14-Inputs!$B$14))*(1+Inputs!$B$7/100))*(F685/100)</f>
        <v/>
      </c>
      <c r="K685">
        <f>J685*(1+((Inputs!$B$12*(1+Inputs!$B$13/100))*0.01+Inputs!$B$14*0.0025)/100)*(1+Inputs!$B$15/100)*(1+Inputs!$B$16/100)*(5000/(6000+Inputs!$B$42*(1-(100*(1-(1-(Inputs!$B$19+0)/100)*(1-CHOOSE(ArtifactsInput!$N$40+1,5,6,7,8,9,10)/100)^(ArtifactsInput!$M$40-ArtifactsInput!$M$40)))/100)))*(1+(Inputs!$B$24+((C699=TRUE)*(F699-Calc!F26))+B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+1)+((C696=TRUE)*(F696-Calc!F23))+((C700=TRUE)*(F700-Calc!F27))+(((IF(AND(ArtifactsInput!$M$42,((Inputs!$B$9+((C692=TRUE)*(F692-Calc!F19))+B703+(ArtifactsInput!$M$24-ArtifactsInput!$M$24)*CHOOSE(ArtifactsInput!$N$24+1,10,12,14,16,18,20)+IF(ArtifactsInput!$M$10,CHOOSE(ArtifactsInput!$N$10+1,15,18,21,24,27,30)*(IF(Inputs!$B$38="pvp",MIN(15,15)/15,IF(AND(Inputs!$B$38&lt;&gt;"pvp",Inputs!$B$43&gt;0),MIN(15,Inputs!$B$43)/(Inputs!$B$43),0))),0)))&gt;=100),MIN(100,((Inputs!$B$9+((C692=TRUE)*(F692-Calc!F19))+B703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692=TRUE)*(F692-Calc!F19))+B703+(ArtifactsInput!$M$24-ArtifactsInput!$M$24)*CHOOSE(ArtifactsInput!$N$24+1,10,12,14,16,18,20)+IF(ArtifactsInput!$M$10,CHOOSE(ArtifactsInput!$N$10+1,15,18,21,24,27,30)*(IF(Inputs!$B$38="pvp",MIN(15,15)/15,IF(AND(Inputs!$B$38&lt;&gt;"pvp",Inputs!$B$43&gt;0),MIN(15,Inputs!$B$43)/(Inputs!$B$43),0))),0)))&gt;=100),CHOOSE(ArtifactsInput!$N$42+1,40,48,56,64,72,80),0))))/100)*((1+(((C690=TRUE)*F690)+((C697=TRUE)*(F697-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685)</f>
        <v/>
      </c>
      <c r="L685">
        <f>K685*(MIN(Inputs!$B$22+((C695=TRUE)*(F695-Calc!F22)),(Inputs!$B$23+0+(IF(ArtifactsInput!$M$15,CHOOSE(ArtifactsInput!$N$15+1,25,30,35,40,45,50)/100*(Inputs!$B$11-Inputs!$B$11),0))))/100+(Inputs!$B$23+0+(IF(ArtifactsInput!$M$15,CHOOSE(ArtifactsInput!$N$15+1,25,30,35,40,45,50)/100*(Inputs!$B$11-Inputs!$B$11),0)))/100)/2</f>
        <v/>
      </c>
      <c r="M685">
        <f>L685*(1+(Inputs!$B$10+((C698=TRUE)*(F698-Calc!F25))+B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5">
        <f>L685*(1-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685*(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5">
        <f>(1-Summary!$B$11)*T685+Summary!$B$11*V685</f>
        <v/>
      </c>
      <c r="P685">
        <f>IF(B713=0,0,O685/B713)</f>
        <v/>
      </c>
      <c r="Q685">
        <f>IFERROR(1/(IF(Inputs!$B$38="pvp",15,MAX(0.1,Skills!D12-IF(Skills!E12=TRUE,Inputs!$B$32,0)))*(1-IF(AND(ArtifactsInput!$M$27,Inputs!$B$4="Chapter Hunt"),CHOOSE(ArtifactsInput!$N$27+1,20,24,28,32,36,40),0)/100)),0)</f>
        <v/>
      </c>
      <c r="R685">
        <f>IF(AND(Inputs!$B$38&lt;&gt;"pvp",Inputs!$B$43&gt;0),IF(MAX(0,Inputs!$B$43-B710)&lt;=0,0,(INT(MAX(0,Inputs!$B$43-B710)/(IF(Inputs!$B$38="pvp",15,MAX(0.1,Skills!D12-IF(Skills!E12=TRUE,Inputs!$B$32,0)))*(1-IF(AND(ArtifactsInput!$M$27,Inputs!$B$4="Chapter Hunt"),CHOOSE(ArtifactsInput!$N$27+1,20,24,28,32,36,40),0)/100)))+1)),0)</f>
        <v/>
      </c>
      <c r="S685">
        <f>IFERROR(O685/N685,0)</f>
        <v/>
      </c>
      <c r="T685">
        <f>IF(C685,(H685*N685*IF(AND(Inputs!$B$38&lt;&gt;"pvp",Inputs!$B$43&gt;0),((Skills!G12*((R685-1)*IF(Skills!H12&gt;0,Skills!I12/Skills!H12,1)+IF(Skills!H12&gt;0,MIN(Skills!I12,MAX(0,MAX(0,Inputs!$B$43-B710)-((R685-1)*(IF(Inputs!$B$38="pvp",15,MAX(0.1,Skills!D12-IF(Skills!E12=TRUE,Inputs!$B$32,0)))*(1-IF(AND(ArtifactsInput!$M$27,Inputs!$B$4="Chapter Hunt"),CHOOSE(ArtifactsInput!$N$27+1,20,24,28,32,36,40),0)/100)))))/Skills!H12,1)))/Inputs!$B$43),G685*Q685)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685*(1-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685*(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685*(1-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685*(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5">
        <f>IF(C685,(H685*N685*IF(AND(Inputs!$B$38&lt;&gt;"pvp",Inputs!$B$43&gt;0),((Skills!G12*((R685-1)*IF(Skills!H12&gt;0,Skills!I12/Skills!H12,1)+IF(Skills!H12&gt;0,MIN(Skills!I12,MAX(0,MAX(0,Inputs!$B$43-B710)-((R685-1)*(IF(Inputs!$B$38="pvp",15,MAX(0.1,Skills!D12-IF(Skills!E12=TRUE,Inputs!$B$32,0)))*(1-IF(AND(ArtifactsInput!$M$27,Inputs!$B$4="Chapter Hunt"),CHOOSE(ArtifactsInput!$N$27+1,20,24,28,32,36,40),0)/100)))))/Skills!H12,1)))/Inputs!$B$43),G685*Q685))*IF(Inputs!$B$38="pvp",1,(1+(Inputs!$B$21+Skills!Q12+(IF(ArtifactsInput!$M$33,CHOOSE(ArtifactsInput!$N$33+1,30,36,42,48,54,60)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6">
      <c r="A686">
        <f>Skills!A13</f>
        <v/>
      </c>
      <c r="B686">
        <f>Skills!B13</f>
        <v/>
      </c>
      <c r="C686">
        <f>Inputs!$B$3&gt;=110</f>
        <v/>
      </c>
      <c r="D686">
        <f>IF(Skills!C13=1,60+Inputs!$B$25+Inputs!$B$29,IF(Skills!C13=2,90+Inputs!$B$26+Inputs!$B$29,IF(Skills!C13=3,120+Inputs!$B$27+Inputs!$B$29,MAX(0,(Inputs!$B$3-100)*3)+Inputs!$B$28+Inputs!$B$29)))</f>
        <v/>
      </c>
      <c r="E686">
        <f>INDEX(FactorTable!$B$2:$Y$301, MATCH(ROUND(MIN(300,MAX(1,D686)),0), FactorTable!$A$2:$A$301,0), Skills!M13+1)</f>
        <v/>
      </c>
      <c r="F686">
        <f>IF(Skills!N13=TRUE,(Skills!L13/10)*(E686/1000),Skills!L13/10)+Skills!O13</f>
        <v/>
      </c>
      <c r="G686">
        <f>Skills!G13*IF(Skills!H13&gt;0,Skills!I13/Skills!H13,1)</f>
        <v/>
      </c>
      <c r="H686">
        <f>1-(1-Skills!J13/100)^Skills!K13</f>
        <v/>
      </c>
      <c r="I686" t="inlineStr">
        <is>
          <t>1</t>
        </is>
      </c>
      <c r="J686">
        <f>((Inputs!$B$6*(1+Inputs!$B$7/100))+(((Inputs!$B$12*(1+Inputs!$B$13/100))-(Inputs!$B$12*(1+Inputs!$B$13/100)))+0.25*(Inputs!$B$14-Inputs!$B$14))*(1+Inputs!$B$7/100))*(F686/100)</f>
        <v/>
      </c>
      <c r="K686">
        <f>J686*(1+((Inputs!$B$12*(1+Inputs!$B$13/100))*0.01+Inputs!$B$14*0.0025)/100)*(1+Inputs!$B$15/100)*(1+Inputs!$B$16/100)*(5000/(6000+Inputs!$B$42*(1-(100*(1-(1-(Inputs!$B$19+0)/100)*(1-CHOOSE(ArtifactsInput!$N$40+1,5,6,7,8,9,10)/100)^(ArtifactsInput!$M$40-ArtifactsInput!$M$40)))/100)))*(1+(Inputs!$B$24+((C699=TRUE)*(F699-Calc!F26))+B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+1)+((C696=TRUE)*(F696-Calc!F23))+((C700=TRUE)*(F700-Calc!F27))+(((IF(AND(ArtifactsInput!$M$42,((Inputs!$B$9+((C692=TRUE)*(F692-Calc!F19))+B703+(ArtifactsInput!$M$24-ArtifactsInput!$M$24)*CHOOSE(ArtifactsInput!$N$24+1,10,12,14,16,18,20)+IF(ArtifactsInput!$M$10,CHOOSE(ArtifactsInput!$N$10+1,15,18,21,24,27,30)*(IF(Inputs!$B$38="pvp",MIN(15,15)/15,IF(AND(Inputs!$B$38&lt;&gt;"pvp",Inputs!$B$43&gt;0),MIN(15,Inputs!$B$43)/(Inputs!$B$43),0))),0)))&gt;=100),MIN(100,((Inputs!$B$9+((C692=TRUE)*(F692-Calc!F19))+B703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692=TRUE)*(F692-Calc!F19))+B703+(ArtifactsInput!$M$24-ArtifactsInput!$M$24)*CHOOSE(ArtifactsInput!$N$24+1,10,12,14,16,18,20)+IF(ArtifactsInput!$M$10,CHOOSE(ArtifactsInput!$N$10+1,15,18,21,24,27,30)*(IF(Inputs!$B$38="pvp",MIN(15,15)/15,IF(AND(Inputs!$B$38&lt;&gt;"pvp",Inputs!$B$43&gt;0),MIN(15,Inputs!$B$43)/(Inputs!$B$43),0))),0)))&gt;=100),CHOOSE(ArtifactsInput!$N$42+1,40,48,56,64,72,80),0))))/100)*((1+(((C690=TRUE)*F690)+((C697=TRUE)*(F697-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686)</f>
        <v/>
      </c>
      <c r="L686">
        <f>K686*(MIN(Inputs!$B$22+((C695=TRUE)*(F695-Calc!F22)),(Inputs!$B$23+0+(IF(ArtifactsInput!$M$15,CHOOSE(ArtifactsInput!$N$15+1,25,30,35,40,45,50)/100*(Inputs!$B$11-Inputs!$B$11),0))))/100+(Inputs!$B$23+0+(IF(ArtifactsInput!$M$15,CHOOSE(ArtifactsInput!$N$15+1,25,30,35,40,45,50)/100*(Inputs!$B$11-Inputs!$B$11),0)))/100)/2</f>
        <v/>
      </c>
      <c r="M686">
        <f>L686*(1+(Inputs!$B$10+((C698=TRUE)*(F698-Calc!F25))+B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6">
        <f>L686*(1-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686*(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6">
        <f>(1-Summary!$B$11)*T686+Summary!$B$11*V686</f>
        <v/>
      </c>
      <c r="P686">
        <f>IF(B713=0,0,O686/B713)</f>
        <v/>
      </c>
      <c r="Q686">
        <f>IFERROR(1/(IF(Inputs!$B$38="pvp",15,MAX(0.1,Skills!D13-IF(Skills!E13=TRUE,Inputs!$B$32,0)))*(1-IF(AND(ArtifactsInput!$M$27,Inputs!$B$4="Chapter Hunt"),CHOOSE(ArtifactsInput!$N$27+1,20,24,28,32,36,40),0)/100)),0)</f>
        <v/>
      </c>
      <c r="R686">
        <f>IF(AND(Inputs!$B$38&lt;&gt;"pvp",Inputs!$B$43&gt;0),IF(MAX(0,Inputs!$B$43-B710)&lt;=0,0,(INT(MAX(0,Inputs!$B$43-B710)/(IF(Inputs!$B$38="pvp",15,MAX(0.1,Skills!D13-IF(Skills!E13=TRUE,Inputs!$B$32,0)))*(1-IF(AND(ArtifactsInput!$M$27,Inputs!$B$4="Chapter Hunt"),CHOOSE(ArtifactsInput!$N$27+1,20,24,28,32,36,40),0)/100)))+1)),0)</f>
        <v/>
      </c>
      <c r="S686">
        <f>IFERROR(O686/N686,0)</f>
        <v/>
      </c>
      <c r="T686">
        <f>IF(C686,(H686*N686*IF(AND(Inputs!$B$38&lt;&gt;"pvp",Inputs!$B$43&gt;0),((Skills!G13*((R686-1)*IF(Skills!H13&gt;0,Skills!I13/Skills!H13,1)+IF(Skills!H13&gt;0,MIN(Skills!I13,MAX(0,MAX(0,Inputs!$B$43-B710)-((R686-1)*(IF(Inputs!$B$38="pvp",15,MAX(0.1,Skills!D13-IF(Skills!E13=TRUE,Inputs!$B$32,0)))*(1-IF(AND(ArtifactsInput!$M$27,Inputs!$B$4="Chapter Hunt"),CHOOSE(ArtifactsInput!$N$27+1,20,24,28,32,36,40),0)/100)))))/Skills!H13,1)))/Inputs!$B$43),G686*Q686)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686*(1-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686*(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686*(1-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686*(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6">
        <f>IF(C686,(H686*N686*IF(AND(Inputs!$B$38&lt;&gt;"pvp",Inputs!$B$43&gt;0),((Skills!G13*((R686-1)*IF(Skills!H13&gt;0,Skills!I13/Skills!H13,1)+IF(Skills!H13&gt;0,MIN(Skills!I13,MAX(0,MAX(0,Inputs!$B$43-B710)-((R686-1)*(IF(Inputs!$B$38="pvp",15,MAX(0.1,Skills!D13-IF(Skills!E13=TRUE,Inputs!$B$32,0)))*(1-IF(AND(ArtifactsInput!$M$27,Inputs!$B$4="Chapter Hunt"),CHOOSE(ArtifactsInput!$N$27+1,20,24,28,32,36,40),0)/100)))))/Skills!H13,1)))/Inputs!$B$43),G686*Q686))*IF(Inputs!$B$38="pvp",1,(1+(Inputs!$B$21+Skills!Q13+(IF(ArtifactsInput!$M$33,CHOOSE(ArtifactsInput!$N$33+1,30,36,42,48,54,60)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7">
      <c r="A687">
        <f>Skills!A14</f>
        <v/>
      </c>
      <c r="B687">
        <f>Skills!B14</f>
        <v/>
      </c>
      <c r="C687">
        <f>Inputs!$B$3&gt;=125</f>
        <v/>
      </c>
      <c r="D687">
        <f>IF(Skills!C14=1,60+Inputs!$B$25+Inputs!$B$29,IF(Skills!C14=2,90+Inputs!$B$26+Inputs!$B$29,IF(Skills!C14=3,120+Inputs!$B$27+Inputs!$B$29,MAX(0,(Inputs!$B$3-100)*3)+Inputs!$B$28+Inputs!$B$29)))</f>
        <v/>
      </c>
      <c r="E687">
        <f>INDEX(FactorTable!$B$2:$Y$301, MATCH(ROUND(MIN(300,MAX(1,D687)),0), FactorTable!$A$2:$A$301,0), Skills!M14+1)</f>
        <v/>
      </c>
      <c r="F687">
        <f>IF(Skills!N14=TRUE,(Skills!L14/10)*(E687/1000),Skills!L14/10)+Skills!O14</f>
        <v/>
      </c>
      <c r="G687">
        <f>Skills!G14*IF(Skills!H14&gt;0,Skills!I14/Skills!H14,1)</f>
        <v/>
      </c>
      <c r="H687">
        <f>1-(1-Skills!J14/100)^Skills!K14</f>
        <v/>
      </c>
      <c r="I687" t="inlineStr">
        <is>
          <t>1</t>
        </is>
      </c>
      <c r="J687">
        <f>((Inputs!$B$6*(1+Inputs!$B$7/100))+(((Inputs!$B$12*(1+Inputs!$B$13/100))-(Inputs!$B$12*(1+Inputs!$B$13/100)))+0.25*(Inputs!$B$14-Inputs!$B$14))*(1+Inputs!$B$7/100))*(F687/100)</f>
        <v/>
      </c>
      <c r="K687">
        <f>J687*(1+((Inputs!$B$12*(1+Inputs!$B$13/100))*0.01+Inputs!$B$14*0.0025)/100)*(1+Inputs!$B$15/100)*(1+Inputs!$B$16/100)*(5000/(6000+Inputs!$B$42*(1-(100*(1-(1-(Inputs!$B$19+0)/100)*(1-CHOOSE(ArtifactsInput!$N$40+1,5,6,7,8,9,10)/100)^(ArtifactsInput!$M$40-ArtifactsInput!$M$40)))/100)))*(1+(Inputs!$B$24+((C699=TRUE)*(F699-Calc!F26))+B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+1)+((C696=TRUE)*(F696-Calc!F23))+((C700=TRUE)*(F700-Calc!F27))+(((IF(AND(ArtifactsInput!$M$42,((Inputs!$B$9+((C692=TRUE)*(F692-Calc!F19))+B703+(ArtifactsInput!$M$24-ArtifactsInput!$M$24)*CHOOSE(ArtifactsInput!$N$24+1,10,12,14,16,18,20)+IF(ArtifactsInput!$M$10,CHOOSE(ArtifactsInput!$N$10+1,15,18,21,24,27,30)*(IF(Inputs!$B$38="pvp",MIN(15,15)/15,IF(AND(Inputs!$B$38&lt;&gt;"pvp",Inputs!$B$43&gt;0),MIN(15,Inputs!$B$43)/(Inputs!$B$43),0))),0)))&gt;=100),MIN(100,((Inputs!$B$9+((C692=TRUE)*(F692-Calc!F19))+B703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692=TRUE)*(F692-Calc!F19))+B703+(ArtifactsInput!$M$24-ArtifactsInput!$M$24)*CHOOSE(ArtifactsInput!$N$24+1,10,12,14,16,18,20)+IF(ArtifactsInput!$M$10,CHOOSE(ArtifactsInput!$N$10+1,15,18,21,24,27,30)*(IF(Inputs!$B$38="pvp",MIN(15,15)/15,IF(AND(Inputs!$B$38&lt;&gt;"pvp",Inputs!$B$43&gt;0),MIN(15,Inputs!$B$43)/(Inputs!$B$43),0))),0)))&gt;=100),CHOOSE(ArtifactsInput!$N$42+1,40,48,56,64,72,80),0))))/100)*((1+(((C690=TRUE)*F690)+((C697=TRUE)*(F697-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687)</f>
        <v/>
      </c>
      <c r="L687">
        <f>K687*(MIN(Inputs!$B$22+((C695=TRUE)*(F695-Calc!F22)),(Inputs!$B$23+0+(IF(ArtifactsInput!$M$15,CHOOSE(ArtifactsInput!$N$15+1,25,30,35,40,45,50)/100*(Inputs!$B$11-Inputs!$B$11),0))))/100+(Inputs!$B$23+0+(IF(ArtifactsInput!$M$15,CHOOSE(ArtifactsInput!$N$15+1,25,30,35,40,45,50)/100*(Inputs!$B$11-Inputs!$B$11),0)))/100)/2</f>
        <v/>
      </c>
      <c r="M687">
        <f>L687*(1+(Inputs!$B$10+((C698=TRUE)*(F698-Calc!F25))+B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7">
        <f>L687*(1-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687*(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7">
        <f>(1-Summary!$B$11)*T687+Summary!$B$11*V687</f>
        <v/>
      </c>
      <c r="P687">
        <f>IF(B713=0,0,O687/B713)</f>
        <v/>
      </c>
      <c r="Q687" t="n">
        <v>0</v>
      </c>
      <c r="R687" t="n">
        <v>0</v>
      </c>
      <c r="S687">
        <f>IFERROR(O687/N687,0)</f>
        <v/>
      </c>
      <c r="T687">
        <f>IF(C687,(H687*N687*(B707+IF(AND(Inputs!$B$38&lt;&gt;"pvp",Inputs!$B$43&gt;0),((Skills!G8*((R681-1)*IF(Skills!H8&gt;0,Skills!I8/Skills!H8,1)+IF(Skills!H8&gt;0,MIN(Skills!I8,MAX(0,MAX(0,Inputs!$B$43-B710)-((R681-1)*(IF(Inputs!$B$38="pvp",15,MAX(0.1,Skills!D8-IF(Skills!E8=TRUE,Inputs!$B$32,0)))*(1-IF(AND(ArtifactsInput!$M$27,Inputs!$B$4="Chapter Hunt"),CHOOSE(ArtifactsInput!$N$27+1,20,24,28,32,36,40),0)/100)))))/Skills!H8,1)))/Inputs!$B$43),G681*Q681)+IF(AND(Inputs!$B$38&lt;&gt;"pvp",Inputs!$B$43&gt;0),((Skills!G11*((R684-1)*IF(Skills!H11&gt;0,Skills!I11/Skills!H11,1)+IF(Skills!H11&gt;0,MIN(Skills!I11,MAX(0,MAX(0,Inputs!$B$43-B710)-((R684-1)*(IF(Inputs!$B$38="pvp",15,MAX(0.1,Skills!D11-IF(Skills!E11=TRUE,Inputs!$B$32,0)))*(1-IF(AND(ArtifactsInput!$M$27,Inputs!$B$4="Chapter Hunt"),CHOOSE(ArtifactsInput!$N$27+1,20,24,28,32,36,40),0)/100)))))/Skills!H11,1)))/Inputs!$B$43),G684*Q684)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687*(1-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687*(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687*(1-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687*(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7">
        <f>IF(C687,(H687*N687*(B707+IF(AND(Inputs!$B$38&lt;&gt;"pvp",Inputs!$B$43&gt;0),((Skills!G8*((R681-1)*IF(Skills!H8&gt;0,Skills!I8/Skills!H8,1)+IF(Skills!H8&gt;0,MIN(Skills!I8,MAX(0,MAX(0,Inputs!$B$43-B710)-((R681-1)*(IF(Inputs!$B$38="pvp",15,MAX(0.1,Skills!D8-IF(Skills!E8=TRUE,Inputs!$B$32,0)))*(1-IF(AND(ArtifactsInput!$M$27,Inputs!$B$4="Chapter Hunt"),CHOOSE(ArtifactsInput!$N$27+1,20,24,28,32,36,40),0)/100)))))/Skills!H8,1)))/Inputs!$B$43),G681*Q681)+IF(AND(Inputs!$B$38&lt;&gt;"pvp",Inputs!$B$43&gt;0),((Skills!G11*((R684-1)*IF(Skills!H11&gt;0,Skills!I11/Skills!H11,1)+IF(Skills!H11&gt;0,MIN(Skills!I11,MAX(0,MAX(0,Inputs!$B$43-B710)-((R684-1)*(IF(Inputs!$B$38="pvp",15,MAX(0.1,Skills!D11-IF(Skills!E11=TRUE,Inputs!$B$32,0)))*(1-IF(AND(ArtifactsInput!$M$27,Inputs!$B$4="Chapter Hunt"),CHOOSE(ArtifactsInput!$N$27+1,20,24,28,32,36,40),0)/100)))))/Skills!H11,1)))/Inputs!$B$43),G684*Q684)))*IF(Inputs!$B$38="pvp",1,(1+(Inputs!$B$21+Skills!Q14+(IF(ArtifactsInput!$M$33,CHOOSE(ArtifactsInput!$N$33+1,30,36,42,48,54,60)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8">
      <c r="A688">
        <f>Skills!A15</f>
        <v/>
      </c>
      <c r="B688">
        <f>Skills!B15</f>
        <v/>
      </c>
      <c r="C688">
        <f>Inputs!$B$3&gt;=100</f>
        <v/>
      </c>
      <c r="D688">
        <f>IF(Skills!C15=1,60+Inputs!$B$25+Inputs!$B$29,IF(Skills!C15=2,90+Inputs!$B$26+Inputs!$B$29,IF(Skills!C15=3,120+Inputs!$B$27+Inputs!$B$29,MAX(0,(Inputs!$B$3-100)*3)+Inputs!$B$28+Inputs!$B$29)))</f>
        <v/>
      </c>
      <c r="E688">
        <f>INDEX(FactorTable!$B$2:$Y$301, MATCH(ROUND(MIN(300,MAX(1,D688)),0), FactorTable!$A$2:$A$301,0), Skills!M15+1)</f>
        <v/>
      </c>
      <c r="F688">
        <f>IF(Skills!N15=TRUE,(Skills!L15/10)*(E688/1000),Skills!L15/10)+Skills!O15</f>
        <v/>
      </c>
      <c r="G688" t="inlineStr"/>
      <c r="H688" t="inlineStr"/>
      <c r="I688" t="inlineStr">
        <is>
          <t>1</t>
        </is>
      </c>
      <c r="J688" t="inlineStr"/>
      <c r="K688" t="inlineStr"/>
      <c r="L688" t="inlineStr"/>
      <c r="M688" t="inlineStr"/>
      <c r="N688" t="inlineStr"/>
      <c r="O688" t="inlineStr"/>
      <c r="P688" t="inlineStr"/>
      <c r="Q688" t="inlineStr"/>
      <c r="R688" t="inlineStr"/>
      <c r="S688" t="inlineStr"/>
    </row>
    <row r="689">
      <c r="A689">
        <f>Skills!A16</f>
        <v/>
      </c>
      <c r="B689">
        <f>Skills!B16</f>
        <v/>
      </c>
      <c r="C689">
        <f>Inputs!$B$3&gt;=120</f>
        <v/>
      </c>
      <c r="D689">
        <f>IF(Skills!C16=1,60+Inputs!$B$25+Inputs!$B$29,IF(Skills!C16=2,90+Inputs!$B$26+Inputs!$B$29,IF(Skills!C16=3,120+Inputs!$B$27+Inputs!$B$29,MAX(0,(Inputs!$B$3-100)*3)+Inputs!$B$28+Inputs!$B$29)))</f>
        <v/>
      </c>
      <c r="E689">
        <f>INDEX(FactorTable!$B$2:$Y$301, MATCH(ROUND(MIN(300,MAX(1,D689)),0), FactorTable!$A$2:$A$301,0), Skills!M16+1)</f>
        <v/>
      </c>
      <c r="F689">
        <f>IF(Skills!N16=TRUE,(Skills!L16/10)*(E689/1000),Skills!L16/10)+Skills!O16</f>
        <v/>
      </c>
      <c r="G689" t="inlineStr"/>
      <c r="H689" t="inlineStr"/>
      <c r="I689" t="inlineStr">
        <is>
          <t>1</t>
        </is>
      </c>
      <c r="J689" t="inlineStr"/>
      <c r="K689" t="inlineStr"/>
      <c r="L689" t="inlineStr"/>
      <c r="M689" t="inlineStr"/>
      <c r="N689" t="inlineStr"/>
      <c r="O689" t="inlineStr"/>
      <c r="P689" t="inlineStr"/>
      <c r="Q689" t="inlineStr"/>
      <c r="R689" t="inlineStr"/>
      <c r="S689" t="inlineStr"/>
    </row>
    <row r="690">
      <c r="A690">
        <f>Skills!A17</f>
        <v/>
      </c>
      <c r="B690">
        <f>Skills!B17</f>
        <v/>
      </c>
      <c r="C690">
        <f>Inputs!$B$3&gt;=66</f>
        <v/>
      </c>
      <c r="D690">
        <f>IF(Skills!C17=1,60+Inputs!$B$25+Inputs!$B$29,IF(Skills!C17=2,90+Inputs!$B$26+Inputs!$B$29,IF(Skills!C17=3,120+Inputs!$B$27+Inputs!$B$29,MAX(0,(Inputs!$B$3-100)*3)+Inputs!$B$28+Inputs!$B$29)))</f>
        <v/>
      </c>
      <c r="E690">
        <f>INDEX(FactorTable!$B$2:$Y$301, MATCH(ROUND(MIN(300,MAX(1,D690)),0), FactorTable!$A$2:$A$301,0), Skills!M17+1)</f>
        <v/>
      </c>
      <c r="F690">
        <f>IF(Skills!N17=TRUE,(Skills!L17/10)*(E690/1000),Skills!L17/10)+Skills!O17</f>
        <v/>
      </c>
      <c r="G690">
        <f>Skills!G17*IF(Skills!H17&gt;0,Skills!I17/Skills!H17,1)</f>
        <v/>
      </c>
      <c r="H690">
        <f>1-(1-Skills!J17/100)^Skills!K17</f>
        <v/>
      </c>
      <c r="I690" t="inlineStr">
        <is>
          <t>1</t>
        </is>
      </c>
      <c r="J690" t="inlineStr"/>
      <c r="K690" t="inlineStr"/>
      <c r="L690" t="inlineStr"/>
      <c r="M690" t="inlineStr"/>
      <c r="N690" t="inlineStr"/>
      <c r="O690">
        <f>(1-Summary!$B$11)*T690+Summary!$B$11*V690</f>
        <v/>
      </c>
      <c r="P690">
        <f>IF(B713=0,0,O690/B713)</f>
        <v/>
      </c>
      <c r="Q690" t="n">
        <v>0</v>
      </c>
      <c r="R690" t="n">
        <v>0</v>
      </c>
      <c r="S690">
        <f>IFERROR(O690/N690,0)</f>
        <v/>
      </c>
      <c r="T690" t="n">
        <v>0</v>
      </c>
      <c r="V690" t="n">
        <v>0</v>
      </c>
    </row>
    <row r="691">
      <c r="A691">
        <f>Skills!A18</f>
        <v/>
      </c>
      <c r="B691">
        <f>Skills!B18</f>
        <v/>
      </c>
      <c r="C691">
        <f>Inputs!$B$3&gt;=115</f>
        <v/>
      </c>
      <c r="D691">
        <f>IF(Skills!C18=1,60+Inputs!$B$25+Inputs!$B$29,IF(Skills!C18=2,90+Inputs!$B$26+Inputs!$B$29,IF(Skills!C18=3,120+Inputs!$B$27+Inputs!$B$29,MAX(0,(Inputs!$B$3-100)*3)+Inputs!$B$28+Inputs!$B$29)))</f>
        <v/>
      </c>
      <c r="E691">
        <f>INDEX(FactorTable!$B$2:$Y$301, MATCH(ROUND(MIN(300,MAX(1,D691)),0), FactorTable!$A$2:$A$301,0), Skills!M18+1)</f>
        <v/>
      </c>
      <c r="F691">
        <f>IF(Skills!N18=TRUE,(Skills!L18/10)*(E691/1000),Skills!L18/10)+Skills!O18</f>
        <v/>
      </c>
      <c r="G691">
        <f>Skills!G18*IF(Skills!H18&gt;0,Skills!I18/Skills!H18,1)</f>
        <v/>
      </c>
      <c r="H691">
        <f>1-(1-Skills!J18/100)^Skills!K18</f>
        <v/>
      </c>
      <c r="I691" t="inlineStr">
        <is>
          <t>1</t>
        </is>
      </c>
      <c r="J691" t="inlineStr"/>
      <c r="K691" t="inlineStr"/>
      <c r="L691" t="inlineStr"/>
      <c r="M691" t="inlineStr"/>
      <c r="N691" t="inlineStr"/>
      <c r="O691">
        <f>(1-Summary!$B$11)*T691+Summary!$B$11*V691</f>
        <v/>
      </c>
      <c r="P691">
        <f>IF(B713=0,0,O691/B713)</f>
        <v/>
      </c>
      <c r="Q691" t="n">
        <v>0</v>
      </c>
      <c r="R691" t="n">
        <v>0</v>
      </c>
      <c r="S691">
        <f>IFERROR(O691/N691,0)</f>
        <v/>
      </c>
      <c r="T691" t="n">
        <v>0</v>
      </c>
      <c r="V691" t="n">
        <v>0</v>
      </c>
    </row>
    <row r="692">
      <c r="A692">
        <f>Skills!A19</f>
        <v/>
      </c>
      <c r="B692">
        <f>Skills!B19</f>
        <v/>
      </c>
      <c r="C692">
        <f>Inputs!$B$3&gt;=15</f>
        <v/>
      </c>
      <c r="D692">
        <f>IF(Skills!C19=1,60+Inputs!$B$25+Inputs!$B$29,IF(Skills!C19=2,90+Inputs!$B$26+Inputs!$B$29,IF(Skills!C19=3,120+Inputs!$B$27+Inputs!$B$29,MAX(0,(Inputs!$B$3-100)*3)+Inputs!$B$28+Inputs!$B$29)))</f>
        <v/>
      </c>
      <c r="E692">
        <f>INDEX(FactorTable!$B$2:$Y$301, MATCH(ROUND(MIN(300,MAX(1,D692)),0), FactorTable!$A$2:$A$301,0), Skills!M19+1)</f>
        <v/>
      </c>
      <c r="F692">
        <f>IF(Skills!N19=TRUE,(Skills!L19/10)*(E692/1000),Skills!L19/10)+Skills!O19</f>
        <v/>
      </c>
      <c r="G692">
        <f>Skills!G19*IF(Skills!H19&gt;0,Skills!I19/Skills!H19,1)</f>
        <v/>
      </c>
      <c r="H692">
        <f>1-(1-Skills!J19/100)^Skills!K19</f>
        <v/>
      </c>
      <c r="I692" t="inlineStr">
        <is>
          <t>1</t>
        </is>
      </c>
      <c r="J692" t="inlineStr"/>
      <c r="K692" t="inlineStr"/>
      <c r="L692" t="inlineStr"/>
      <c r="M692" t="inlineStr"/>
      <c r="N692" t="inlineStr"/>
      <c r="O692">
        <f>(1-Summary!$B$11)*T692+Summary!$B$11*V692</f>
        <v/>
      </c>
      <c r="P692">
        <f>IF(B713=0,0,O692/B713)</f>
        <v/>
      </c>
      <c r="Q692" t="n">
        <v>0</v>
      </c>
      <c r="R692" t="n">
        <v>0</v>
      </c>
      <c r="S692">
        <f>IFERROR(O692/N692,0)</f>
        <v/>
      </c>
      <c r="T692" t="n">
        <v>0</v>
      </c>
      <c r="V692" t="n">
        <v>0</v>
      </c>
    </row>
    <row r="693">
      <c r="A693">
        <f>Skills!A20</f>
        <v/>
      </c>
      <c r="B693">
        <f>Skills!B20</f>
        <v/>
      </c>
      <c r="C693">
        <f>Inputs!$B$3&gt;=10</f>
        <v/>
      </c>
      <c r="D693">
        <f>IF(Skills!C20=1,60+Inputs!$B$25+Inputs!$B$29,IF(Skills!C20=2,90+Inputs!$B$26+Inputs!$B$29,IF(Skills!C20=3,120+Inputs!$B$27+Inputs!$B$29,MAX(0,(Inputs!$B$3-100)*3)+Inputs!$B$28+Inputs!$B$29)))</f>
        <v/>
      </c>
      <c r="E693">
        <f>INDEX(FactorTable!$B$2:$Y$301, MATCH(ROUND(MIN(300,MAX(1,D693)),0), FactorTable!$A$2:$A$301,0), Skills!M20+1)</f>
        <v/>
      </c>
      <c r="F693">
        <f>IF(Skills!N20=TRUE,(Skills!L20/10)*(E693/1000),Skills!L20/10)+Skills!O20</f>
        <v/>
      </c>
      <c r="G693">
        <f>Skills!G20*IF(Skills!H20&gt;0,Skills!I20/Skills!H20,1)</f>
        <v/>
      </c>
      <c r="H693">
        <f>1-(1-Skills!J20/100)^Skills!K20</f>
        <v/>
      </c>
      <c r="I693" t="inlineStr">
        <is>
          <t>1</t>
        </is>
      </c>
      <c r="J693" t="inlineStr"/>
      <c r="K693" t="inlineStr"/>
      <c r="L693" t="inlineStr"/>
      <c r="M693" t="inlineStr"/>
      <c r="N693" t="inlineStr"/>
      <c r="O693">
        <f>(1-Summary!$B$11)*T693+Summary!$B$11*V693</f>
        <v/>
      </c>
      <c r="P693">
        <f>IF(B713=0,0,O693/B713)</f>
        <v/>
      </c>
      <c r="Q693" t="n">
        <v>0</v>
      </c>
      <c r="R693" t="n">
        <v>0</v>
      </c>
      <c r="S693">
        <f>IFERROR(O693/N693,0)</f>
        <v/>
      </c>
      <c r="T693" t="n">
        <v>0</v>
      </c>
      <c r="V693" t="n">
        <v>0</v>
      </c>
    </row>
    <row r="694">
      <c r="A694">
        <f>Skills!A21</f>
        <v/>
      </c>
      <c r="B694">
        <f>Skills!B21</f>
        <v/>
      </c>
      <c r="C694">
        <f>Inputs!$B$3&gt;=33</f>
        <v/>
      </c>
      <c r="D694">
        <f>IF(Skills!C21=1,60+Inputs!$B$25+Inputs!$B$29,IF(Skills!C21=2,90+Inputs!$B$26+Inputs!$B$29,IF(Skills!C21=3,120+Inputs!$B$27+Inputs!$B$29,MAX(0,(Inputs!$B$3-100)*3)+Inputs!$B$28+Inputs!$B$29)))</f>
        <v/>
      </c>
      <c r="E694">
        <f>INDEX(FactorTable!$B$2:$Y$301, MATCH(ROUND(MIN(300,MAX(1,D694)),0), FactorTable!$A$2:$A$301,0), Skills!M21+1)</f>
        <v/>
      </c>
      <c r="F694">
        <f>IF(Skills!N21=TRUE,(Skills!L21/10)*(E694/1000),Skills!L21/10)+Skills!O21</f>
        <v/>
      </c>
      <c r="G694">
        <f>Skills!G21*IF(Skills!H21&gt;0,Skills!I21/Skills!H21,1)</f>
        <v/>
      </c>
      <c r="H694">
        <f>1-(1-Skills!J21/100)^Skills!K21</f>
        <v/>
      </c>
      <c r="I694" t="inlineStr">
        <is>
          <t>1</t>
        </is>
      </c>
      <c r="J694" t="inlineStr"/>
      <c r="K694" t="inlineStr"/>
      <c r="L694" t="inlineStr"/>
      <c r="M694" t="inlineStr"/>
      <c r="N694" t="inlineStr"/>
      <c r="O694">
        <f>(1-Summary!$B$11)*T694+Summary!$B$11*V694</f>
        <v/>
      </c>
      <c r="P694">
        <f>IF(B713=0,0,O694/B713)</f>
        <v/>
      </c>
      <c r="Q694" t="n">
        <v>0</v>
      </c>
      <c r="R694" t="n">
        <v>0</v>
      </c>
      <c r="S694">
        <f>IFERROR(O694/N694,0)</f>
        <v/>
      </c>
      <c r="T694" t="n">
        <v>0</v>
      </c>
      <c r="V694" t="n">
        <v>0</v>
      </c>
    </row>
    <row r="695">
      <c r="A695">
        <f>Skills!A22</f>
        <v/>
      </c>
      <c r="B695">
        <f>Skills!B22</f>
        <v/>
      </c>
      <c r="C695">
        <f>Inputs!$B$3&gt;=43</f>
        <v/>
      </c>
      <c r="D695">
        <f>IF(Skills!C22=1,60+Inputs!$B$25+Inputs!$B$29,IF(Skills!C22=2,90+Inputs!$B$26+Inputs!$B$29,IF(Skills!C22=3,120+Inputs!$B$27+Inputs!$B$29,MAX(0,(Inputs!$B$3-100)*3)+Inputs!$B$28+Inputs!$B$29)))</f>
        <v/>
      </c>
      <c r="E695">
        <f>INDEX(FactorTable!$B$2:$Y$301, MATCH(ROUND(MIN(300,MAX(1,D695)),0), FactorTable!$A$2:$A$301,0), Skills!M22+1)</f>
        <v/>
      </c>
      <c r="F695">
        <f>IF(Skills!N22=TRUE,(Skills!L22/10)*(E695/1000),Skills!L22/10)+Skills!O22</f>
        <v/>
      </c>
      <c r="G695">
        <f>Skills!G22*IF(Skills!H22&gt;0,Skills!I22/Skills!H22,1)</f>
        <v/>
      </c>
      <c r="H695">
        <f>1-(1-Skills!J22/100)^Skills!K22</f>
        <v/>
      </c>
      <c r="I695" t="inlineStr">
        <is>
          <t>1</t>
        </is>
      </c>
      <c r="J695" t="inlineStr"/>
      <c r="K695" t="inlineStr"/>
      <c r="L695" t="inlineStr"/>
      <c r="M695" t="inlineStr"/>
      <c r="N695" t="inlineStr"/>
      <c r="O695">
        <f>(1-Summary!$B$11)*T695+Summary!$B$11*V695</f>
        <v/>
      </c>
      <c r="P695">
        <f>IF(B713=0,0,O695/B713)</f>
        <v/>
      </c>
      <c r="Q695" t="n">
        <v>0</v>
      </c>
      <c r="R695" t="n">
        <v>0</v>
      </c>
      <c r="S695">
        <f>IFERROR(O695/N695,0)</f>
        <v/>
      </c>
      <c r="T695" t="n">
        <v>0</v>
      </c>
      <c r="V695" t="n">
        <v>0</v>
      </c>
    </row>
    <row r="696">
      <c r="A696">
        <f>Skills!A23</f>
        <v/>
      </c>
      <c r="B696">
        <f>Skills!B23</f>
        <v/>
      </c>
      <c r="C696">
        <f>Inputs!$B$3&gt;=38</f>
        <v/>
      </c>
      <c r="D696">
        <f>IF(Skills!C23=1,60+Inputs!$B$25+Inputs!$B$29,IF(Skills!C23=2,90+Inputs!$B$26+Inputs!$B$29,IF(Skills!C23=3,120+Inputs!$B$27+Inputs!$B$29,MAX(0,(Inputs!$B$3-100)*3)+Inputs!$B$28+Inputs!$B$29)))</f>
        <v/>
      </c>
      <c r="E696">
        <f>INDEX(FactorTable!$B$2:$Y$301, MATCH(ROUND(MIN(300,MAX(1,D696)),0), FactorTable!$A$2:$A$301,0), Skills!M23+1)</f>
        <v/>
      </c>
      <c r="F696">
        <f>IF(Skills!N23=TRUE,(Skills!L23/10)*(E696/1000),Skills!L23/10)+Skills!O23</f>
        <v/>
      </c>
      <c r="G696">
        <f>Skills!G23*IF(Skills!H23&gt;0,Skills!I23/Skills!H23,1)</f>
        <v/>
      </c>
      <c r="H696">
        <f>1-(1-Skills!J23/100)^Skills!K23</f>
        <v/>
      </c>
      <c r="I696" t="inlineStr">
        <is>
          <t>1</t>
        </is>
      </c>
      <c r="J696" t="inlineStr"/>
      <c r="K696" t="inlineStr"/>
      <c r="L696" t="inlineStr"/>
      <c r="M696" t="inlineStr"/>
      <c r="N696" t="inlineStr"/>
      <c r="O696">
        <f>(1-Summary!$B$11)*T696+Summary!$B$11*V696</f>
        <v/>
      </c>
      <c r="P696">
        <f>IF(B713=0,0,O696/B713)</f>
        <v/>
      </c>
      <c r="Q696" t="n">
        <v>0</v>
      </c>
      <c r="R696" t="n">
        <v>0</v>
      </c>
      <c r="S696">
        <f>IFERROR(O696/N696,0)</f>
        <v/>
      </c>
      <c r="T696" t="n">
        <v>0</v>
      </c>
      <c r="V696" t="n">
        <v>0</v>
      </c>
    </row>
    <row r="697">
      <c r="A697">
        <f>Skills!A24</f>
        <v/>
      </c>
      <c r="B697">
        <f>Skills!B24</f>
        <v/>
      </c>
      <c r="C697">
        <f>Inputs!$B$3&gt;=40</f>
        <v/>
      </c>
      <c r="D697">
        <f>IF(Skills!C24=1,60+Inputs!$B$25+Inputs!$B$29,IF(Skills!C24=2,90+Inputs!$B$26+Inputs!$B$29,IF(Skills!C24=3,120+Inputs!$B$27+Inputs!$B$29,MAX(0,(Inputs!$B$3-100)*3)+Inputs!$B$28+Inputs!$B$29)))</f>
        <v/>
      </c>
      <c r="E697">
        <f>INDEX(FactorTable!$B$2:$Y$301, MATCH(ROUND(MIN(300,MAX(1,D697)),0), FactorTable!$A$2:$A$301,0), Skills!M24+1)</f>
        <v/>
      </c>
      <c r="F697">
        <f>IF(Skills!N24=TRUE,(Skills!L24/10)*(E697/1000),Skills!L24/10)+Skills!O24</f>
        <v/>
      </c>
      <c r="G697">
        <f>Skills!G24*IF(Skills!H24&gt;0,Skills!I24/Skills!H24,1)</f>
        <v/>
      </c>
      <c r="H697">
        <f>1-(1-Skills!J24/100)^Skills!K24</f>
        <v/>
      </c>
      <c r="I697" t="inlineStr">
        <is>
          <t>1</t>
        </is>
      </c>
      <c r="J697" t="inlineStr"/>
      <c r="K697" t="inlineStr"/>
      <c r="L697" t="inlineStr"/>
      <c r="M697" t="inlineStr"/>
      <c r="N697" t="inlineStr"/>
      <c r="O697">
        <f>(1-Summary!$B$11)*T697+Summary!$B$11*V697</f>
        <v/>
      </c>
      <c r="P697">
        <f>IF(B713=0,0,O697/B713)</f>
        <v/>
      </c>
      <c r="Q697" t="n">
        <v>0</v>
      </c>
      <c r="R697" t="n">
        <v>0</v>
      </c>
      <c r="S697">
        <f>IFERROR(O697/N697,0)</f>
        <v/>
      </c>
      <c r="T697" t="n">
        <v>0</v>
      </c>
      <c r="V697" t="n">
        <v>0</v>
      </c>
    </row>
    <row r="698">
      <c r="A698">
        <f>Skills!A25</f>
        <v/>
      </c>
      <c r="B698">
        <f>Skills!B25</f>
        <v/>
      </c>
      <c r="C698">
        <f>Inputs!$B$3&gt;=72</f>
        <v/>
      </c>
      <c r="D698">
        <f>IF(Skills!C25=1,60+Inputs!$B$25+Inputs!$B$29,IF(Skills!C25=2,90+Inputs!$B$26+Inputs!$B$29,IF(Skills!C25=3,120+Inputs!$B$27+Inputs!$B$29,MAX(0,(Inputs!$B$3-100)*3)+Inputs!$B$28+Inputs!$B$29)))</f>
        <v/>
      </c>
      <c r="E698">
        <f>INDEX(FactorTable!$B$2:$Y$301, MATCH(ROUND(MIN(300,MAX(1,D698)),0), FactorTable!$A$2:$A$301,0), Skills!M25+1)</f>
        <v/>
      </c>
      <c r="F698">
        <f>IF(Skills!N25=TRUE,(Skills!L25/10)*(E698/1000),Skills!L25/10)+Skills!O25</f>
        <v/>
      </c>
      <c r="G698">
        <f>Skills!G25*IF(Skills!H25&gt;0,Skills!I25/Skills!H25,1)</f>
        <v/>
      </c>
      <c r="H698">
        <f>1-(1-Skills!J25/100)^Skills!K25</f>
        <v/>
      </c>
      <c r="I698" t="inlineStr">
        <is>
          <t>1</t>
        </is>
      </c>
      <c r="J698" t="inlineStr"/>
      <c r="K698" t="inlineStr"/>
      <c r="L698" t="inlineStr"/>
      <c r="M698" t="inlineStr"/>
      <c r="N698" t="inlineStr"/>
      <c r="O698">
        <f>(1-Summary!$B$11)*T698+Summary!$B$11*V698</f>
        <v/>
      </c>
      <c r="P698">
        <f>IF(B713=0,0,O698/B713)</f>
        <v/>
      </c>
      <c r="Q698" t="n">
        <v>0</v>
      </c>
      <c r="R698" t="n">
        <v>0</v>
      </c>
      <c r="S698">
        <f>IFERROR(O698/N698,0)</f>
        <v/>
      </c>
      <c r="T698" t="n">
        <v>0</v>
      </c>
      <c r="V698" t="n">
        <v>0</v>
      </c>
    </row>
    <row r="699">
      <c r="A699">
        <f>Skills!A26</f>
        <v/>
      </c>
      <c r="B699">
        <f>Skills!B26</f>
        <v/>
      </c>
      <c r="C699">
        <f>Inputs!$B$3&gt;=75</f>
        <v/>
      </c>
      <c r="D699">
        <f>IF(Skills!C26=1,60+Inputs!$B$25+Inputs!$B$29,IF(Skills!C26=2,90+Inputs!$B$26+Inputs!$B$29,IF(Skills!C26=3,120+Inputs!$B$27+Inputs!$B$29,MAX(0,(Inputs!$B$3-100)*3)+Inputs!$B$28+Inputs!$B$29)))</f>
        <v/>
      </c>
      <c r="E699">
        <f>INDEX(FactorTable!$B$2:$Y$301, MATCH(ROUND(MIN(300,MAX(1,D699)),0), FactorTable!$A$2:$A$301,0), Skills!M26+1)</f>
        <v/>
      </c>
      <c r="F699">
        <f>IF(Skills!N26=TRUE,(Skills!L26/10)*(E699/1000),Skills!L26/10)+Skills!O26</f>
        <v/>
      </c>
      <c r="G699">
        <f>Skills!G26*IF(Skills!H26&gt;0,Skills!I26/Skills!H26,1)</f>
        <v/>
      </c>
      <c r="H699">
        <f>1-(1-Skills!J26/100)^Skills!K26</f>
        <v/>
      </c>
      <c r="I699" t="inlineStr">
        <is>
          <t>1</t>
        </is>
      </c>
      <c r="J699" t="inlineStr"/>
      <c r="K699" t="inlineStr"/>
      <c r="L699" t="inlineStr"/>
      <c r="M699" t="inlineStr"/>
      <c r="N699" t="inlineStr"/>
      <c r="O699">
        <f>(1-Summary!$B$11)*T699+Summary!$B$11*V699</f>
        <v/>
      </c>
      <c r="P699">
        <f>IF(B713=0,0,O699/B713)</f>
        <v/>
      </c>
      <c r="Q699" t="n">
        <v>0</v>
      </c>
      <c r="R699" t="n">
        <v>0</v>
      </c>
      <c r="S699">
        <f>IFERROR(O699/N699,0)</f>
        <v/>
      </c>
      <c r="T699" t="n">
        <v>0</v>
      </c>
      <c r="V699" t="n">
        <v>0</v>
      </c>
    </row>
    <row r="700">
      <c r="A700">
        <f>Skills!A27</f>
        <v/>
      </c>
      <c r="B700">
        <f>Skills!B27</f>
        <v/>
      </c>
      <c r="C700">
        <f>Inputs!$B$3&gt;=117</f>
        <v/>
      </c>
      <c r="D700">
        <f>IF(Skills!C27=1,60+Inputs!$B$25+Inputs!$B$29,IF(Skills!C27=2,90+Inputs!$B$26+Inputs!$B$29,IF(Skills!C27=3,120+Inputs!$B$27+Inputs!$B$29,MAX(0,(Inputs!$B$3-100)*3)+Inputs!$B$28+Inputs!$B$29)))</f>
        <v/>
      </c>
      <c r="E700">
        <f>INDEX(FactorTable!$B$2:$Y$301, MATCH(ROUND(MIN(300,MAX(1,D700)),0), FactorTable!$A$2:$A$301,0), Skills!M27+1)</f>
        <v/>
      </c>
      <c r="F700">
        <f>IF(Skills!N27=TRUE,(Skills!L27/10)*(E700/1000),Skills!L27/10)+Skills!O27</f>
        <v/>
      </c>
      <c r="G700">
        <f>Skills!G27*IF(Skills!H27&gt;0,Skills!I27/Skills!H27,1)</f>
        <v/>
      </c>
      <c r="H700">
        <f>1-(1-Skills!J27/100)^Skills!K27</f>
        <v/>
      </c>
      <c r="I700" t="inlineStr">
        <is>
          <t>1</t>
        </is>
      </c>
      <c r="J700" t="inlineStr"/>
      <c r="K700" t="inlineStr"/>
      <c r="L700" t="inlineStr"/>
      <c r="M700" t="inlineStr"/>
      <c r="N700" t="inlineStr"/>
      <c r="O700">
        <f>(1-Summary!$B$11)*T700+Summary!$B$11*V700</f>
        <v/>
      </c>
      <c r="P700">
        <f>IF(B713=0,0,O700/B713)</f>
        <v/>
      </c>
      <c r="Q700" t="n">
        <v>0</v>
      </c>
      <c r="R700" t="n">
        <v>0</v>
      </c>
      <c r="S700">
        <f>IFERROR(O700/N700,0)</f>
        <v/>
      </c>
      <c r="T700" t="n">
        <v>0</v>
      </c>
      <c r="V700" t="n">
        <v>0</v>
      </c>
    </row>
    <row r="702">
      <c r="A702" t="inlineStr">
        <is>
          <t>Attack% Bucket Multiplier</t>
        </is>
      </c>
      <c r="B702">
        <f>(1+(((C690=TRUE)*F690)+((C697=TRUE)*(F697-Calc!F24))+(IF(ArtifactsInput!$M$21,CHOOSE(ArtifactsInput!$N$21+1,25,30,35,40,45,50)*(IF(OR(Inputs!$B$4="Chapter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03">
      <c r="A703" t="inlineStr">
        <is>
          <t>Global Crit Rate Bonus %</t>
        </is>
      </c>
      <c r="B703" t="n">
        <v>0</v>
      </c>
    </row>
    <row r="704">
      <c r="A704" t="inlineStr">
        <is>
          <t>Attack Speed Buff Bonus % (unused)</t>
        </is>
      </c>
      <c r="B704" t="n">
        <v>0</v>
      </c>
    </row>
    <row r="705">
      <c r="A705" t="inlineStr">
        <is>
          <t>Actions Per Second</t>
        </is>
      </c>
      <c r="B705">
        <f>1+MIN(150,150*(1-(1-(Inputs!$B$11+((C693=TRUE)*(F693-Calc!F20))+((C694=TRUE)*(F694-Calc!F21)))/150)*(1-B704/150)))/100</f>
        <v/>
      </c>
    </row>
    <row r="706">
      <c r="A706" t="inlineStr">
        <is>
          <t>Skill + Buff Cast Rate</t>
        </is>
      </c>
      <c r="B706">
        <f>IF(AND(Inputs!$B$38&lt;&gt;"pvp",Inputs!$B$43&gt;0),SUMPRODUCT((Skills!E2:E27=TRUE)*(C675:C700=TRUE)*R675:R700*Skills!F2:F27)/Inputs!$B$43,SUMPRODUCT((Skills!E2:E27=TRUE)*(C675:C700=TRUE)*Q675:Q700*Skills!F2:F27))</f>
        <v/>
      </c>
    </row>
    <row r="707">
      <c r="A707" t="inlineStr">
        <is>
          <t>Eight-Legs Easton Casts Per Second</t>
        </is>
      </c>
      <c r="B707">
        <f>MAX(0,B705-B706)</f>
        <v/>
      </c>
    </row>
    <row r="708">
      <c r="A708" t="inlineStr">
        <is>
          <t>Global Critical Damage Bonus % (unused)</t>
        </is>
      </c>
      <c r="B708" t="n">
        <v>0</v>
      </c>
    </row>
    <row r="709">
      <c r="A709" t="inlineStr">
        <is>
          <t>Global Final Damage Bonus % (Jolly Roger only)</t>
        </is>
      </c>
      <c r="B709">
        <f>((C691=TRUE)*F691)</f>
        <v/>
      </c>
    </row>
    <row r="710">
      <c r="A710" t="inlineStr">
        <is>
          <t>Buff-Casting Startup Delay (s, fixed-duration only)</t>
        </is>
      </c>
      <c r="B710">
        <f>IF(AND(Inputs!$B$38&lt;&gt;"pvp",Inputs!$B$43&gt;0),SUMPRODUCT((Skills!T2:T27&gt;0)*(Skills!E2:E27=TRUE)*(C675:C700=TRUE))/B705,0)</f>
        <v/>
      </c>
    </row>
    <row r="711">
      <c r="A711" t="inlineStr">
        <is>
          <t>Boss-Only Total DPS (this block's swept value)</t>
        </is>
      </c>
      <c r="B711">
        <f>SUM(T675:T700)</f>
        <v/>
      </c>
    </row>
    <row r="712">
      <c r="A712" t="inlineStr">
        <is>
          <t>Normal-Only Total DPS (this block's swept value)</t>
        </is>
      </c>
      <c r="B712">
        <f>SUM(V675:V700)</f>
        <v/>
      </c>
    </row>
    <row r="713">
      <c r="A713" s="6" t="inlineStr">
        <is>
          <t>TOTAL DPS</t>
        </is>
      </c>
      <c r="B713" s="6">
        <f>SUM(O675:O700)</f>
        <v/>
      </c>
    </row>
    <row r="716">
      <c r="A716" s="6" t="inlineStr">
        <is>
          <t>Stat: SKILL_DAMAGE %</t>
        </is>
      </c>
    </row>
    <row r="717">
      <c r="A717" s="5" t="inlineStr">
        <is>
          <t>Key</t>
        </is>
      </c>
      <c r="B717" s="5" t="inlineStr">
        <is>
          <t>Name</t>
        </is>
      </c>
      <c r="C717" s="5" t="inlineStr">
        <is>
          <t>Unlocked</t>
        </is>
      </c>
      <c r="D717" s="5" t="inlineStr">
        <is>
          <t>InputLevel</t>
        </is>
      </c>
      <c r="E717" s="5" t="inlineStr">
        <is>
          <t>Factor</t>
        </is>
      </c>
      <c r="F717" s="5" t="inlineStr">
        <is>
          <t>CoefficientPercent</t>
        </is>
      </c>
      <c r="G717" s="5" t="inlineStr">
        <is>
          <t>EffectiveHits</t>
        </is>
      </c>
      <c r="H717" s="5" t="inlineStr">
        <is>
          <t>ProcProbability</t>
        </is>
      </c>
      <c r="I717" s="5" t="inlineStr">
        <is>
          <t>MapleHeroMultiplier</t>
        </is>
      </c>
      <c r="J717" s="5" t="inlineStr">
        <is>
          <t>BaseDamage</t>
        </is>
      </c>
      <c r="K717" s="5" t="inlineStr">
        <is>
          <t>BaseHitDamage</t>
        </is>
      </c>
      <c r="L717" s="5" t="inlineStr">
        <is>
          <t>NonCritAvg</t>
        </is>
      </c>
      <c r="M717" s="5" t="inlineStr">
        <is>
          <t>CritAvg</t>
        </is>
      </c>
      <c r="N717" s="5" t="inlineStr">
        <is>
          <t>ExpectedDamage(perHit)</t>
        </is>
      </c>
      <c r="O717" s="5" t="inlineStr">
        <is>
          <t>DPS</t>
        </is>
      </c>
      <c r="P717" s="5" t="inlineStr">
        <is>
          <t>% of Total</t>
        </is>
      </c>
      <c r="Q717" s="5" t="inlineStr">
        <is>
          <t>InvCooldown</t>
        </is>
      </c>
      <c r="R717" s="5" t="inlineStr">
        <is>
          <t>CastsInFight</t>
        </is>
      </c>
      <c r="S717" s="5" t="inlineStr">
        <is>
          <t>HitRate(perSec)</t>
        </is>
      </c>
      <c r="U717" t="inlineStr">
        <is>
          <t>helpers</t>
        </is>
      </c>
    </row>
    <row r="718">
      <c r="A718">
        <f>Skills!A2</f>
        <v/>
      </c>
      <c r="B718">
        <f>Skills!B2</f>
        <v/>
      </c>
      <c r="C718">
        <f>Inputs!$B$3&gt;=100</f>
        <v/>
      </c>
      <c r="D718" t="inlineStr"/>
      <c r="E718" t="inlineStr"/>
      <c r="F718">
        <f>U720+Skills!O2</f>
        <v/>
      </c>
      <c r="G718">
        <f>Skills!G2*IF(Skills!H2&gt;0,Skills!I2/Skills!H2,1)</f>
        <v/>
      </c>
      <c r="H718">
        <f>1-(1-Skills!J2/100)^Skills!K2</f>
        <v/>
      </c>
      <c r="I718" t="inlineStr">
        <is>
          <t>1</t>
        </is>
      </c>
      <c r="J718">
        <f>((Inputs!$B$6*(1+Inputs!$B$7/100))+(((Inputs!$B$12*(1+Inputs!$B$13/100))-(Inputs!$B$12*(1+Inputs!$B$13/100)))+0.25*(Inputs!$B$14-Inputs!$B$14))*(1+Inputs!$B$7/100))*(F718/100)</f>
        <v/>
      </c>
      <c r="K718">
        <f>J718*(1+((Inputs!$B$12*(1+Inputs!$B$13/100))*0.01+Inputs!$B$14*0.0025)/100)*(1+Inputs!$B$15/100)*(1+Inputs!$B$16/100)*(5000/(6000+Inputs!$B$42*(1-(100*(1-(1-(Inputs!$B$19+0)/100)*(1-CHOOSE(ArtifactsInput!$N$40+1,5,6,7,8,9,10)/100)^(ArtifactsInput!$M$40-ArtifactsInput!$M$40)))/100)))*(1+(Inputs!$B$24+((C742=TRUE)*(F742-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739=TRUE)*(F739-Calc!F23))+((C743=TRUE)*(F743-Calc!F27))+(((IF(AND(ArtifactsInput!$M$42,((Inputs!$B$9+((C735=TRUE)*(F735-Calc!F19))+B746+(ArtifactsInput!$M$24-ArtifactsInput!$M$24)*CHOOSE(ArtifactsInput!$N$24+1,10,12,14,16,18,20)+IF(ArtifactsInput!$M$10,CHOOSE(ArtifactsInput!$N$10+1,15,18,21,24,27,30)*(IF(Inputs!$B$38="pvp",MIN(15,15)/15,IF(AND(Inputs!$B$38&lt;&gt;"pvp",Inputs!$B$43&gt;0),MIN(15,Inputs!$B$43)/(Inputs!$B$43),0))),0)))&gt;=100),MIN(100,((Inputs!$B$9+((C735=TRUE)*(F735-Calc!F19))+B746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735=TRUE)*(F735-Calc!F19))+B746+(ArtifactsInput!$M$24-ArtifactsInput!$M$24)*CHOOSE(ArtifactsInput!$N$24+1,10,12,14,16,18,20)+IF(ArtifactsInput!$M$10,CHOOSE(ArtifactsInput!$N$10+1,15,18,21,24,27,30)*(IF(Inputs!$B$38="pvp",MIN(15,15)/15,IF(AND(Inputs!$B$38&lt;&gt;"pvp",Inputs!$B$43&gt;0),MIN(15,Inputs!$B$43)/(Inputs!$B$43),0))),0)))&gt;=100),CHOOSE(ArtifactsInput!$N$42+1,40,48,56,64,72,80),0))))/100)*((1+(((C733=TRUE)*F733)+((C740=TRUE)*(F740-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718)</f>
        <v/>
      </c>
      <c r="L718">
        <f>K718*(MIN(Inputs!$B$22+((C738=TRUE)*(F738-Calc!F22)),(Inputs!$B$23+0+(IF(ArtifactsInput!$M$15,CHOOSE(ArtifactsInput!$N$15+1,25,30,35,40,45,50)/100*(Inputs!$B$11-Inputs!$B$11),0))))/100+(Inputs!$B$23+0+(IF(ArtifactsInput!$M$15,CHOOSE(ArtifactsInput!$N$15+1,25,30,35,40,45,50)/100*(Inputs!$B$11-Inputs!$B$11),0)))/100)/2</f>
        <v/>
      </c>
      <c r="M718">
        <f>L718*(1+(Inputs!$B$10+((C741=TRUE)*(F741-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8">
        <f>L718*(1-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718*(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8">
        <f>(1-Summary!$B$11)*T718+Summary!$B$11*V718</f>
        <v/>
      </c>
      <c r="P718">
        <f>IF(B756=0,0,O718/B756)</f>
        <v/>
      </c>
      <c r="Q718" t="n">
        <v>0</v>
      </c>
      <c r="R718" t="n">
        <v>0</v>
      </c>
      <c r="S718">
        <f>IFERROR(O718/N718,0)</f>
        <v/>
      </c>
      <c r="T718">
        <f>IF(C718,(Skills!G2*N718*B750)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718*(1-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718*(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718*(1-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718*(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8">
        <f>MAX(0,(Inputs!$B$3-100)*3)+Inputs!$B$28+Inputs!$B$29</f>
        <v/>
      </c>
      <c r="V718">
        <f>IF(C718,(Skills!G2*N718*B750)*IF(Inputs!$B$38="pvp",1,(1+(Inputs!$B$21+Skills!Q2+(IF(ArtifactsInput!$M$33,CHOOSE(ArtifactsInput!$N$33+1,30,36,42,48,54,60),0))+(IF(AND(ArtifactsInput!$M$35,Inputs!$B$4&lt;&gt;"Chapter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9">
      <c r="A719">
        <f>Skills!A3</f>
        <v/>
      </c>
      <c r="B719">
        <f>Skills!B3</f>
        <v/>
      </c>
      <c r="C719">
        <f>Inputs!$B$3&gt;=35</f>
        <v/>
      </c>
      <c r="D719">
        <f>IF(Skills!C3=1,60+Inputs!$B$25+Inputs!$B$29,IF(Skills!C3=2,90+Inputs!$B$26+Inputs!$B$29,IF(Skills!C3=3,120+Inputs!$B$27+Inputs!$B$29,MAX(0,(Inputs!$B$3-100)*3)+Inputs!$B$28+Inputs!$B$29)))</f>
        <v/>
      </c>
      <c r="E719">
        <f>INDEX(FactorTable!$B$2:$Y$301, MATCH(ROUND(MIN(300,MAX(1,D719)),0), FactorTable!$A$2:$A$301,0), Skills!M3+1)</f>
        <v/>
      </c>
      <c r="F719">
        <f>IF(Skills!N3=TRUE,(Skills!L3/10)*(E719/1000),Skills!L3/10)+Skills!O3</f>
        <v/>
      </c>
      <c r="G719">
        <f>Skills!G3*IF(Skills!H3&gt;0,Skills!I3/Skills!H3,1)</f>
        <v/>
      </c>
      <c r="H719">
        <f>1-(1-Skills!J3/100)^Skills!K3</f>
        <v/>
      </c>
      <c r="I719" t="inlineStr">
        <is>
          <t>1</t>
        </is>
      </c>
      <c r="J719">
        <f>((Inputs!$B$6*(1+Inputs!$B$7/100))+(((Inputs!$B$12*(1+Inputs!$B$13/100))-(Inputs!$B$12*(1+Inputs!$B$13/100)))+0.25*(Inputs!$B$14-Inputs!$B$14))*(1+Inputs!$B$7/100))*(F719/100)</f>
        <v/>
      </c>
      <c r="K719">
        <f>J719*(1+((Inputs!$B$12*(1+Inputs!$B$13/100))*0.01+Inputs!$B$14*0.0025)/100)*(1+Inputs!$B$15/100)*(1+Inputs!$B$16/100)*(5000/(6000+Inputs!$B$42*(1-(100*(1-(1-(Inputs!$B$19+0)/100)*(1-CHOOSE(ArtifactsInput!$N$40+1,5,6,7,8,9,10)/100)^(ArtifactsInput!$M$40-ArtifactsInput!$M$40)))/100)))*(1+(Inputs!$B$24+((C742=TRUE)*(F742-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731=TRUE,F731,0)/100)*(1+(IF(Skills!A3="EIGHT_LEGS_EASTON",Inputs!$B$17+((C739=TRUE)*(F739-Calc!F23))+((C743=TRUE)*(F743-Calc!F27))+(((IF(AND(ArtifactsInput!$M$42,((Inputs!$B$9+((C735=TRUE)*(F735-Calc!F19))+B746+(ArtifactsInput!$M$24-ArtifactsInput!$M$24)*CHOOSE(ArtifactsInput!$N$24+1,10,12,14,16,18,20)+IF(ArtifactsInput!$M$10,CHOOSE(ArtifactsInput!$N$10+1,15,18,21,24,27,30)*(IF(Inputs!$B$38="pvp",MIN(15,15)/15,IF(AND(Inputs!$B$38&lt;&gt;"pvp",Inputs!$B$43&gt;0),MIN(15,Inputs!$B$43)/(Inputs!$B$43),0))),0)))&gt;=100),MIN(100,((Inputs!$B$9+((C735=TRUE)*(F735-Calc!F19))+B746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735=TRUE)*(F735-Calc!F19))+B746+(ArtifactsInput!$M$24-ArtifactsInput!$M$24)*CHOOSE(ArtifactsInput!$N$24+1,10,12,14,16,18,20)+IF(ArtifactsInput!$M$10,CHOOSE(ArtifactsInput!$N$10+1,15,18,21,24,27,30)*(IF(Inputs!$B$38="pvp",MIN(15,15)/15,IF(AND(Inputs!$B$38&lt;&gt;"pvp",Inputs!$B$43&gt;0),MIN(15,Inputs!$B$43)/(Inputs!$B$43),0))),0)))&gt;=100),CHOOSE(ArtifactsInput!$N$42+1,40,48,56,64,72,80),0))))/100)*((1+(((C733=TRUE)*F733)+((C740=TRUE)*(F740-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719)</f>
        <v/>
      </c>
      <c r="L719">
        <f>K719*(MIN(Inputs!$B$22+((C738=TRUE)*(F738-Calc!F22)),(Inputs!$B$23+0+(IF(ArtifactsInput!$M$15,CHOOSE(ArtifactsInput!$N$15+1,25,30,35,40,45,50)/100*(Inputs!$B$11-Inputs!$B$11),0))))/100+(Inputs!$B$23+0+(IF(ArtifactsInput!$M$15,CHOOSE(ArtifactsInput!$N$15+1,25,30,35,40,45,50)/100*(Inputs!$B$11-Inputs!$B$11),0)))/100)/2</f>
        <v/>
      </c>
      <c r="M719">
        <f>L719*(1+(Inputs!$B$10+((C741=TRUE)*(F741-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9">
        <f>L719*(1-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719*(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9">
        <f>(1-Summary!$B$11)*T719+Summary!$B$11*V719</f>
        <v/>
      </c>
      <c r="P719">
        <f>IF(B756=0,0,O719/B756)</f>
        <v/>
      </c>
      <c r="Q719">
        <f>IFERROR(1/(IF(Inputs!$B$38="pvp",15,MAX(0.1,Skills!D3-IF(Skills!E3=TRUE,Inputs!$B$32,0)))*(1-IF(AND(ArtifactsInput!$M$27,Inputs!$B$4="Chapter Hunt"),CHOOSE(ArtifactsInput!$N$27+1,20,24,28,32,36,40),0)/100)),0)</f>
        <v/>
      </c>
      <c r="R719">
        <f>IF(AND(Inputs!$B$38&lt;&gt;"pvp",Inputs!$B$43&gt;0),IF(MAX(0,Inputs!$B$43-B753)&lt;=0,0,(INT(MAX(0,Inputs!$B$43-B753)/(IF(Inputs!$B$38="pvp",15,MAX(0.1,Skills!D3-IF(Skills!E3=TRUE,Inputs!$B$32,0)))*(1-IF(AND(ArtifactsInput!$M$27,Inputs!$B$4="Chapter Hunt"),CHOOSE(ArtifactsInput!$N$27+1,20,24,28,32,36,40),0)/100)))+1)),0)</f>
        <v/>
      </c>
      <c r="S719">
        <f>IFERROR(O719/N719,0)</f>
        <v/>
      </c>
      <c r="T719">
        <f>IF(C719,(H719*N719*IF(AND(Inputs!$B$38&lt;&gt;"pvp",Inputs!$B$43&gt;0),((Skills!G3*((R719-1)*IF(Skills!H3&gt;0,Skills!I3/Skills!H3,1)+IF(Skills!H3&gt;0,MIN(Skills!I3,MAX(0,MAX(0,Inputs!$B$43-B753)-((R719-1)*(IF(Inputs!$B$38="pvp",15,MAX(0.1,Skills!D3-IF(Skills!E3=TRUE,Inputs!$B$32,0)))*(1-IF(AND(ArtifactsInput!$M$27,Inputs!$B$4="Chapter Hunt"),CHOOSE(ArtifactsInput!$N$27+1,20,24,28,32,36,40),0)/100)))))/Skills!H3,1)))/Inputs!$B$43),G719*Q719)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719*(1-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719*(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719*(1-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719*(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9">
        <f>INDEX(FactorTable!$B$2:$Y$301, MATCH(ROUND(MIN(300,MAX(1,U718)),0), FactorTable!$A$2:$A$301,0), 22)</f>
        <v/>
      </c>
      <c r="V719">
        <f>IF(C719,(H719*N719*IF(AND(Inputs!$B$38&lt;&gt;"pvp",Inputs!$B$43&gt;0),((Skills!G3*((R719-1)*IF(Skills!H3&gt;0,Skills!I3/Skills!H3,1)+IF(Skills!H3&gt;0,MIN(Skills!I3,MAX(0,MAX(0,Inputs!$B$43-B753)-((R719-1)*(IF(Inputs!$B$38="pvp",15,MAX(0.1,Skills!D3-IF(Skills!E3=TRUE,Inputs!$B$32,0)))*(1-IF(AND(ArtifactsInput!$M$27,Inputs!$B$4="Chapter Hunt"),CHOOSE(ArtifactsInput!$N$27+1,20,24,28,32,36,40),0)/100)))))/Skills!H3,1)))/Inputs!$B$43),G719*Q719))*IF(Inputs!$B$38="pvp",1,(1+(Inputs!$B$21+Skills!Q3+(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0">
      <c r="A720">
        <f>Skills!A4</f>
        <v/>
      </c>
      <c r="B720">
        <f>Skills!B4</f>
        <v/>
      </c>
      <c r="C720">
        <f>Inputs!$B$3&gt;=40</f>
        <v/>
      </c>
      <c r="D720">
        <f>IF(Skills!C4=1,60+Inputs!$B$25+Inputs!$B$29,IF(Skills!C4=2,90+Inputs!$B$26+Inputs!$B$29,IF(Skills!C4=3,120+Inputs!$B$27+Inputs!$B$29,MAX(0,(Inputs!$B$3-100)*3)+Inputs!$B$28+Inputs!$B$29)))</f>
        <v/>
      </c>
      <c r="E720">
        <f>INDEX(FactorTable!$B$2:$Y$301, MATCH(ROUND(MIN(300,MAX(1,D720)),0), FactorTable!$A$2:$A$301,0), Skills!M4+1)</f>
        <v/>
      </c>
      <c r="F720">
        <f>IF(Skills!N4=TRUE,(Skills!L4/10)*(E720/1000),Skills!L4/10)+Skills!O4</f>
        <v/>
      </c>
      <c r="G720">
        <f>Skills!G4*IF(Skills!H4&gt;0,Skills!I4/Skills!H4,1)</f>
        <v/>
      </c>
      <c r="H720">
        <f>1-(1-Skills!J4/100)^Skills!K4</f>
        <v/>
      </c>
      <c r="I720" t="inlineStr">
        <is>
          <t>1</t>
        </is>
      </c>
      <c r="J720">
        <f>((Inputs!$B$6*(1+Inputs!$B$7/100))+(((Inputs!$B$12*(1+Inputs!$B$13/100))-(Inputs!$B$12*(1+Inputs!$B$13/100)))+0.25*(Inputs!$B$14-Inputs!$B$14))*(1+Inputs!$B$7/100))*(F720/100)</f>
        <v/>
      </c>
      <c r="K720">
        <f>J720*(1+((Inputs!$B$12*(1+Inputs!$B$13/100))*0.01+Inputs!$B$14*0.0025)/100)*(1+Inputs!$B$15/100)*(1+Inputs!$B$16/100)*(5000/(6000+Inputs!$B$42*(1-(100*(1-(1-(Inputs!$B$19+0)/100)*(1-CHOOSE(ArtifactsInput!$N$40+1,5,6,7,8,9,10)/100)^(ArtifactsInput!$M$40-ArtifactsInput!$M$40)))/100)))*(1+(Inputs!$B$24+((C742=TRUE)*(F742-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732=TRUE,F732,0)/100)*(1+(IF(Skills!A4="EIGHT_LEGS_EASTON",Inputs!$B$17+((C739=TRUE)*(F739-Calc!F23))+((C743=TRUE)*(F743-Calc!F27))+(((IF(AND(ArtifactsInput!$M$42,((Inputs!$B$9+((C735=TRUE)*(F735-Calc!F19))+B746+(ArtifactsInput!$M$24-ArtifactsInput!$M$24)*CHOOSE(ArtifactsInput!$N$24+1,10,12,14,16,18,20)+IF(ArtifactsInput!$M$10,CHOOSE(ArtifactsInput!$N$10+1,15,18,21,24,27,30)*(IF(Inputs!$B$38="pvp",MIN(15,15)/15,IF(AND(Inputs!$B$38&lt;&gt;"pvp",Inputs!$B$43&gt;0),MIN(15,Inputs!$B$43)/(Inputs!$B$43),0))),0)))&gt;=100),MIN(100,((Inputs!$B$9+((C735=TRUE)*(F735-Calc!F19))+B746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735=TRUE)*(F735-Calc!F19))+B746+(ArtifactsInput!$M$24-ArtifactsInput!$M$24)*CHOOSE(ArtifactsInput!$N$24+1,10,12,14,16,18,20)+IF(ArtifactsInput!$M$10,CHOOSE(ArtifactsInput!$N$10+1,15,18,21,24,27,30)*(IF(Inputs!$B$38="pvp",MIN(15,15)/15,IF(AND(Inputs!$B$38&lt;&gt;"pvp",Inputs!$B$43&gt;0),MIN(15,Inputs!$B$43)/(Inputs!$B$43),0))),0)))&gt;=100),CHOOSE(ArtifactsInput!$N$42+1,40,48,56,64,72,80),0))))/100)*((1+(((C733=TRUE)*F733)+((C740=TRUE)*(F740-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720)</f>
        <v/>
      </c>
      <c r="L720">
        <f>K720*(MIN(Inputs!$B$22+((C738=TRUE)*(F738-Calc!F22)),(Inputs!$B$23+0+(IF(ArtifactsInput!$M$15,CHOOSE(ArtifactsInput!$N$15+1,25,30,35,40,45,50)/100*(Inputs!$B$11-Inputs!$B$11),0))))/100+(Inputs!$B$23+0+(IF(ArtifactsInput!$M$15,CHOOSE(ArtifactsInput!$N$15+1,25,30,35,40,45,50)/100*(Inputs!$B$11-Inputs!$B$11),0)))/100)/2</f>
        <v/>
      </c>
      <c r="M720">
        <f>L720*(1+(Inputs!$B$10+((C741=TRUE)*(F741-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0">
        <f>L720*(1-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720*(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0">
        <f>(1-Summary!$B$11)*T720+Summary!$B$11*V720</f>
        <v/>
      </c>
      <c r="P720">
        <f>IF(B756=0,0,O720/B756)</f>
        <v/>
      </c>
      <c r="Q720">
        <f>IFERROR(1/(IF(Inputs!$B$38="pvp",15,MAX(0.1,Skills!D4-IF(Skills!E4=TRUE,Inputs!$B$32,0)))*(1-IF(AND(ArtifactsInput!$M$27,Inputs!$B$4="Chapter Hunt"),CHOOSE(ArtifactsInput!$N$27+1,20,24,28,32,36,40),0)/100)),0)</f>
        <v/>
      </c>
      <c r="R720">
        <f>IF(AND(Inputs!$B$38&lt;&gt;"pvp",Inputs!$B$43&gt;0),IF(MAX(0,Inputs!$B$43-B753)&lt;=0,0,(INT(MAX(0,Inputs!$B$43-B753)/(IF(Inputs!$B$38="pvp",15,MAX(0.1,Skills!D4-IF(Skills!E4=TRUE,Inputs!$B$32,0)))*(1-IF(AND(ArtifactsInput!$M$27,Inputs!$B$4="Chapter Hunt"),CHOOSE(ArtifactsInput!$N$27+1,20,24,28,32,36,40),0)/100)))+1)),0)</f>
        <v/>
      </c>
      <c r="S720">
        <f>IFERROR(O720/N720,0)</f>
        <v/>
      </c>
      <c r="T720">
        <f>IF(C720,(H720*N720*IF(AND(Inputs!$B$38&lt;&gt;"pvp",Inputs!$B$43&gt;0),((Skills!G4*((R720-1)*IF(Skills!H4&gt;0,Skills!I4/Skills!H4,1)+IF(Skills!H4&gt;0,MIN(Skills!I4,MAX(0,MAX(0,Inputs!$B$43-B753)-((R720-1)*(IF(Inputs!$B$38="pvp",15,MAX(0.1,Skills!D4-IF(Skills!E4=TRUE,Inputs!$B$32,0)))*(1-IF(AND(ArtifactsInput!$M$27,Inputs!$B$4="Chapter Hunt"),CHOOSE(ArtifactsInput!$N$27+1,20,24,28,32,36,40),0)/100)))))/Skills!H4,1)))/Inputs!$B$43),G720*Q720)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720*(1-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720*(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720*(1-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720*(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20">
        <f>290*U719/1000</f>
        <v/>
      </c>
      <c r="V720">
        <f>IF(C720,(H720*N720*IF(AND(Inputs!$B$38&lt;&gt;"pvp",Inputs!$B$43&gt;0),((Skills!G4*((R720-1)*IF(Skills!H4&gt;0,Skills!I4/Skills!H4,1)+IF(Skills!H4&gt;0,MIN(Skills!I4,MAX(0,MAX(0,Inputs!$B$43-B753)-((R720-1)*(IF(Inputs!$B$38="pvp",15,MAX(0.1,Skills!D4-IF(Skills!E4=TRUE,Inputs!$B$32,0)))*(1-IF(AND(ArtifactsInput!$M$27,Inputs!$B$4="Chapter Hunt"),CHOOSE(ArtifactsInput!$N$27+1,20,24,28,32,36,40),0)/100)))))/Skills!H4,1)))/Inputs!$B$43),G720*Q720))*IF(Inputs!$B$38="pvp",1,(1+(Inputs!$B$21+Skills!Q4+(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1">
      <c r="A721">
        <f>Skills!A5</f>
        <v/>
      </c>
      <c r="B721">
        <f>Skills!B5</f>
        <v/>
      </c>
      <c r="C721">
        <f>Inputs!$B$3&gt;=45</f>
        <v/>
      </c>
      <c r="D721">
        <f>IF(Skills!C5=1,60+Inputs!$B$25+Inputs!$B$29,IF(Skills!C5=2,90+Inputs!$B$26+Inputs!$B$29,IF(Skills!C5=3,120+Inputs!$B$27+Inputs!$B$29,MAX(0,(Inputs!$B$3-100)*3)+Inputs!$B$28+Inputs!$B$29)))</f>
        <v/>
      </c>
      <c r="E721">
        <f>INDEX(FactorTable!$B$2:$Y$301, MATCH(ROUND(MIN(300,MAX(1,D721)),0), FactorTable!$A$2:$A$301,0), Skills!M5+1)</f>
        <v/>
      </c>
      <c r="F721">
        <f>IF(Skills!N5=TRUE,(Skills!L5/10)*(E721/1000),Skills!L5/10)+Skills!O5</f>
        <v/>
      </c>
      <c r="G721">
        <f>Skills!G5*IF(Skills!H5&gt;0,Skills!I5/Skills!H5,1)</f>
        <v/>
      </c>
      <c r="H721">
        <f>1-(1-Skills!J5/100)^Skills!K5</f>
        <v/>
      </c>
      <c r="I721" t="inlineStr">
        <is>
          <t>1</t>
        </is>
      </c>
      <c r="J721">
        <f>((Inputs!$B$6*(1+Inputs!$B$7/100))+(((Inputs!$B$12*(1+Inputs!$B$13/100))-(Inputs!$B$12*(1+Inputs!$B$13/100)))+0.25*(Inputs!$B$14-Inputs!$B$14))*(1+Inputs!$B$7/100))*(F721/100)</f>
        <v/>
      </c>
      <c r="K721">
        <f>J721*(1+((Inputs!$B$12*(1+Inputs!$B$13/100))*0.01+Inputs!$B$14*0.0025)/100)*(1+Inputs!$B$15/100)*(1+Inputs!$B$16/100)*(5000/(6000+Inputs!$B$42*(1-(100*(1-(1-(Inputs!$B$19+0)/100)*(1-CHOOSE(ArtifactsInput!$N$40+1,5,6,7,8,9,10)/100)^(ArtifactsInput!$M$40-ArtifactsInput!$M$40)))/100)))*(1+(Inputs!$B$24+((C742=TRUE)*(F742-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732=TRUE,F732,0)/100)*(1+(IF(Skills!A5="EIGHT_LEGS_EASTON",Inputs!$B$17+((C739=TRUE)*(F739-Calc!F23))+((C743=TRUE)*(F743-Calc!F27))+(((IF(AND(ArtifactsInput!$M$42,((Inputs!$B$9+((C735=TRUE)*(F735-Calc!F19))+B746+(ArtifactsInput!$M$24-ArtifactsInput!$M$24)*CHOOSE(ArtifactsInput!$N$24+1,10,12,14,16,18,20)+IF(ArtifactsInput!$M$10,CHOOSE(ArtifactsInput!$N$10+1,15,18,21,24,27,30)*(IF(Inputs!$B$38="pvp",MIN(15,15)/15,IF(AND(Inputs!$B$38&lt;&gt;"pvp",Inputs!$B$43&gt;0),MIN(15,Inputs!$B$43)/(Inputs!$B$43),0))),0)))&gt;=100),MIN(100,((Inputs!$B$9+((C735=TRUE)*(F735-Calc!F19))+B746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735=TRUE)*(F735-Calc!F19))+B746+(ArtifactsInput!$M$24-ArtifactsInput!$M$24)*CHOOSE(ArtifactsInput!$N$24+1,10,12,14,16,18,20)+IF(ArtifactsInput!$M$10,CHOOSE(ArtifactsInput!$N$10+1,15,18,21,24,27,30)*(IF(Inputs!$B$38="pvp",MIN(15,15)/15,IF(AND(Inputs!$B$38&lt;&gt;"pvp",Inputs!$B$43&gt;0),MIN(15,Inputs!$B$43)/(Inputs!$B$43),0))),0)))&gt;=100),CHOOSE(ArtifactsInput!$N$42+1,40,48,56,64,72,80),0))))/100)*((1+(((C733=TRUE)*F733)+((C740=TRUE)*(F740-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721)</f>
        <v/>
      </c>
      <c r="L721">
        <f>K721*(MIN(Inputs!$B$22+((C738=TRUE)*(F738-Calc!F22)),(Inputs!$B$23+0+(IF(ArtifactsInput!$M$15,CHOOSE(ArtifactsInput!$N$15+1,25,30,35,40,45,50)/100*(Inputs!$B$11-Inputs!$B$11),0))))/100+(Inputs!$B$23+0+(IF(ArtifactsInput!$M$15,CHOOSE(ArtifactsInput!$N$15+1,25,30,35,40,45,50)/100*(Inputs!$B$11-Inputs!$B$11),0)))/100)/2</f>
        <v/>
      </c>
      <c r="M721">
        <f>L721*(1+(Inputs!$B$10+((C741=TRUE)*(F741-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1">
        <f>L721*(1-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721*(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1">
        <f>(1-Summary!$B$11)*T721+Summary!$B$11*V721</f>
        <v/>
      </c>
      <c r="P721">
        <f>IF(B756=0,0,O721/B756)</f>
        <v/>
      </c>
      <c r="Q721">
        <f>IFERROR(1/(IF(Inputs!$B$38="pvp",15,MAX(0.1,Skills!D5-IF(Skills!E5=TRUE,Inputs!$B$32,0)))*(1-IF(AND(ArtifactsInput!$M$27,Inputs!$B$4="Chapter Hunt"),CHOOSE(ArtifactsInput!$N$27+1,20,24,28,32,36,40),0)/100)),0)</f>
        <v/>
      </c>
      <c r="R721">
        <f>IF(AND(Inputs!$B$38&lt;&gt;"pvp",Inputs!$B$43&gt;0),IF(MAX(0,Inputs!$B$43-B753)&lt;=0,0,(INT(MAX(0,Inputs!$B$43-B753)/(IF(Inputs!$B$38="pvp",15,MAX(0.1,Skills!D5-IF(Skills!E5=TRUE,Inputs!$B$32,0)))*(1-IF(AND(ArtifactsInput!$M$27,Inputs!$B$4="Chapter Hunt"),CHOOSE(ArtifactsInput!$N$27+1,20,24,28,32,36,40),0)/100)))+1)),0)</f>
        <v/>
      </c>
      <c r="S721">
        <f>IFERROR(O721/N721,0)</f>
        <v/>
      </c>
      <c r="T721">
        <f>IF(C721,(H721*N721*IF(AND(Inputs!$B$38&lt;&gt;"pvp",Inputs!$B$43&gt;0),((Skills!G5*((R721-1)*IF(Skills!H5&gt;0,Skills!I5/Skills!H5,1)+IF(Skills!H5&gt;0,MIN(Skills!I5,MAX(0,MAX(0,Inputs!$B$43-B753)-((R721-1)*(IF(Inputs!$B$38="pvp",15,MAX(0.1,Skills!D5-IF(Skills!E5=TRUE,Inputs!$B$32,0)))*(1-IF(AND(ArtifactsInput!$M$27,Inputs!$B$4="Chapter Hunt"),CHOOSE(ArtifactsInput!$N$27+1,20,24,28,32,36,40),0)/100)))))/Skills!H5,1)))/Inputs!$B$43),G721*Q721)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721*(1-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721*(1-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1">
        <f>IF(C721,(H721*N721*IF(AND(Inputs!$B$38&lt;&gt;"pvp",Inputs!$B$43&gt;0),((Skills!G5*((R721-1)*IF(Skills!H5&gt;0,Skills!I5/Skills!H5,1)+IF(Skills!H5&gt;0,MIN(Skills!I5,MAX(0,MAX(0,Inputs!$B$43-B753)-((R721-1)*(IF(Inputs!$B$38="pvp",15,MAX(0.1,Skills!D5-IF(Skills!E5=TRUE,Inputs!$B$32,0)))*(1-IF(AND(ArtifactsInput!$M$27,Inputs!$B$4="Chapter Hunt"),CHOOSE(ArtifactsInput!$N$27+1,20,24,28,32,36,40),0)/100)))))/Skills!H5,1)))/Inputs!$B$43),G721*Q721))*IF(Inputs!$B$38="pvp",1,(1+(Inputs!$B$21+Skills!Q5+(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2">
      <c r="A722">
        <f>Skills!A6</f>
        <v/>
      </c>
      <c r="B722">
        <f>Skills!B6</f>
        <v/>
      </c>
      <c r="C722">
        <f>Inputs!$B$3&gt;=63</f>
        <v/>
      </c>
      <c r="D722">
        <f>IF(Skills!C6=1,60+Inputs!$B$25+Inputs!$B$29,IF(Skills!C6=2,90+Inputs!$B$26+Inputs!$B$29,IF(Skills!C6=3,120+Inputs!$B$27+Inputs!$B$29,MAX(0,(Inputs!$B$3-100)*3)+Inputs!$B$28+Inputs!$B$29)))</f>
        <v/>
      </c>
      <c r="E722">
        <f>INDEX(FactorTable!$B$2:$Y$301, MATCH(ROUND(MIN(300,MAX(1,D722)),0), FactorTable!$A$2:$A$301,0), Skills!M6+1)</f>
        <v/>
      </c>
      <c r="F722">
        <f>IF(Skills!N6=TRUE,(Skills!L6/10)*(E722/1000),Skills!L6/10)+Skills!O6</f>
        <v/>
      </c>
      <c r="G722">
        <f>Skills!G6*IF(Skills!H6&gt;0,Skills!I6/Skills!H6,1)</f>
        <v/>
      </c>
      <c r="H722">
        <f>1-(1-Skills!J6/100)^Skills!K6</f>
        <v/>
      </c>
      <c r="I722" t="inlineStr">
        <is>
          <t>1</t>
        </is>
      </c>
      <c r="J722">
        <f>((Inputs!$B$6*(1+Inputs!$B$7/100))+(((Inputs!$B$12*(1+Inputs!$B$13/100))-(Inputs!$B$12*(1+Inputs!$B$13/100)))+0.25*(Inputs!$B$14-Inputs!$B$14))*(1+Inputs!$B$7/100))*(F722/100)</f>
        <v/>
      </c>
      <c r="K722">
        <f>J722*(1+((Inputs!$B$12*(1+Inputs!$B$13/100))*0.01+Inputs!$B$14*0.0025)/100)*(1+Inputs!$B$15/100)*(1+Inputs!$B$16/100)*(5000/(6000+Inputs!$B$42*(1-(100*(1-(1-(Inputs!$B$19+0)/100)*(1-CHOOSE(ArtifactsInput!$N$40+1,5,6,7,8,9,10)/100)^(ArtifactsInput!$M$40-ArtifactsInput!$M$40)))/100)))*(1+(Inputs!$B$24+((C742=TRUE)*(F742-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731=TRUE,F731,0)/100)*(1+(IF(Skills!A6="EIGHT_LEGS_EASTON",Inputs!$B$17+((C739=TRUE)*(F739-Calc!F23))+((C743=TRUE)*(F743-Calc!F27))+(((IF(AND(ArtifactsInput!$M$42,((Inputs!$B$9+((C735=TRUE)*(F735-Calc!F19))+B746+(ArtifactsInput!$M$24-ArtifactsInput!$M$24)*CHOOSE(ArtifactsInput!$N$24+1,10,12,14,16,18,20)+IF(ArtifactsInput!$M$10,CHOOSE(ArtifactsInput!$N$10+1,15,18,21,24,27,30)*(IF(Inputs!$B$38="pvp",MIN(15,15)/15,IF(AND(Inputs!$B$38&lt;&gt;"pvp",Inputs!$B$43&gt;0),MIN(15,Inputs!$B$43)/(Inputs!$B$43),0))),0)))&gt;=100),MIN(100,((Inputs!$B$9+((C735=TRUE)*(F735-Calc!F19))+B746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735=TRUE)*(F735-Calc!F19))+B746+(ArtifactsInput!$M$24-ArtifactsInput!$M$24)*CHOOSE(ArtifactsInput!$N$24+1,10,12,14,16,18,20)+IF(ArtifactsInput!$M$10,CHOOSE(ArtifactsInput!$N$10+1,15,18,21,24,27,30)*(IF(Inputs!$B$38="pvp",MIN(15,15)/15,IF(AND(Inputs!$B$38&lt;&gt;"pvp",Inputs!$B$43&gt;0),MIN(15,Inputs!$B$43)/(Inputs!$B$43),0))),0)))&gt;=100),CHOOSE(ArtifactsInput!$N$42+1,40,48,56,64,72,80),0))))/100)*((1+(((C733=TRUE)*F733)+((C740=TRUE)*(F740-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722)</f>
        <v/>
      </c>
      <c r="L722">
        <f>K722*(MIN(Inputs!$B$22+((C738=TRUE)*(F738-Calc!F22)),(Inputs!$B$23+0+(IF(ArtifactsInput!$M$15,CHOOSE(ArtifactsInput!$N$15+1,25,30,35,40,45,50)/100*(Inputs!$B$11-Inputs!$B$11),0))))/100+(Inputs!$B$23+0+(IF(ArtifactsInput!$M$15,CHOOSE(ArtifactsInput!$N$15+1,25,30,35,40,45,50)/100*(Inputs!$B$11-Inputs!$B$11),0)))/100)/2</f>
        <v/>
      </c>
      <c r="M722">
        <f>L722*(1+(Inputs!$B$10+((C741=TRUE)*(F741-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2">
        <f>L722*(1-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722*(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2">
        <f>(1-Summary!$B$11)*T722+Summary!$B$11*V722</f>
        <v/>
      </c>
      <c r="P722">
        <f>IF(B756=0,0,O722/B756)</f>
        <v/>
      </c>
      <c r="Q722">
        <f>IFERROR(1/(IF(Inputs!$B$38="pvp",15,MAX(0.1,Skills!D6-IF(Skills!E6=TRUE,Inputs!$B$32,0)))*(1-IF(AND(ArtifactsInput!$M$27,Inputs!$B$4="Chapter Hunt"),CHOOSE(ArtifactsInput!$N$27+1,20,24,28,32,36,40),0)/100)),0)</f>
        <v/>
      </c>
      <c r="R722">
        <f>IF(AND(Inputs!$B$38&lt;&gt;"pvp",Inputs!$B$43&gt;0),IF(MAX(0,Inputs!$B$43-B753)&lt;=0,0,(INT(MAX(0,Inputs!$B$43-B753)/(IF(Inputs!$B$38="pvp",15,MAX(0.1,Skills!D6-IF(Skills!E6=TRUE,Inputs!$B$32,0)))*(1-IF(AND(ArtifactsInput!$M$27,Inputs!$B$4="Chapter Hunt"),CHOOSE(ArtifactsInput!$N$27+1,20,24,28,32,36,40),0)/100)))+1)),0)</f>
        <v/>
      </c>
      <c r="S722">
        <f>IFERROR(O722/N722,0)</f>
        <v/>
      </c>
      <c r="T722">
        <f>IF(C722,(H722*N722*IF(AND(Inputs!$B$38&lt;&gt;"pvp",Inputs!$B$43&gt;0),((Skills!G6*((R722-1)*IF(Skills!H6&gt;0,Skills!I6/Skills!H6,1)+IF(Skills!H6&gt;0,MIN(Skills!I6,MAX(0,MAX(0,Inputs!$B$43-B753)-((R722-1)*(IF(Inputs!$B$38="pvp",15,MAX(0.1,Skills!D6-IF(Skills!E6=TRUE,Inputs!$B$32,0)))*(1-IF(AND(ArtifactsInput!$M$27,Inputs!$B$4="Chapter Hunt"),CHOOSE(ArtifactsInput!$N$27+1,20,24,28,32,36,40),0)/100)))))/Skills!H6,1)))/Inputs!$B$43),G722*Q722)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722*(1-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722*(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722*(1-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722*(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2">
        <f>IF(C722,(H722*N722*IF(AND(Inputs!$B$38&lt;&gt;"pvp",Inputs!$B$43&gt;0),((Skills!G6*((R722-1)*IF(Skills!H6&gt;0,Skills!I6/Skills!H6,1)+IF(Skills!H6&gt;0,MIN(Skills!I6,MAX(0,MAX(0,Inputs!$B$43-B753)-((R722-1)*(IF(Inputs!$B$38="pvp",15,MAX(0.1,Skills!D6-IF(Skills!E6=TRUE,Inputs!$B$32,0)))*(1-IF(AND(ArtifactsInput!$M$27,Inputs!$B$4="Chapter Hunt"),CHOOSE(ArtifactsInput!$N$27+1,20,24,28,32,36,40),0)/100)))))/Skills!H6,1)))/Inputs!$B$43),G722*Q722))*IF(Inputs!$B$38="pvp",1,(1+(Inputs!$B$21+Skills!Q6+(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3">
      <c r="A723">
        <f>Skills!A7</f>
        <v/>
      </c>
      <c r="B723">
        <f>Skills!B7</f>
        <v/>
      </c>
      <c r="C723">
        <f>Inputs!$B$3&gt;=66</f>
        <v/>
      </c>
      <c r="D723">
        <f>IF(Skills!C7=1,60+Inputs!$B$25+Inputs!$B$29,IF(Skills!C7=2,90+Inputs!$B$26+Inputs!$B$29,IF(Skills!C7=3,120+Inputs!$B$27+Inputs!$B$29,MAX(0,(Inputs!$B$3-100)*3)+Inputs!$B$28+Inputs!$B$29)))</f>
        <v/>
      </c>
      <c r="E723">
        <f>INDEX(FactorTable!$B$2:$Y$301, MATCH(ROUND(MIN(300,MAX(1,D723)),0), FactorTable!$A$2:$A$301,0), Skills!M7+1)</f>
        <v/>
      </c>
      <c r="F723">
        <f>IF(Skills!N7=TRUE,(Skills!L7/10)*(E723/1000),Skills!L7/10)+Skills!O7</f>
        <v/>
      </c>
      <c r="G723">
        <f>Skills!G7*IF(Skills!H7&gt;0,Skills!I7/Skills!H7,1)</f>
        <v/>
      </c>
      <c r="H723">
        <f>1-(1-Skills!J7/100)^Skills!K7</f>
        <v/>
      </c>
      <c r="I723" t="inlineStr">
        <is>
          <t>1</t>
        </is>
      </c>
      <c r="J723">
        <f>((Inputs!$B$6*(1+Inputs!$B$7/100))+(((Inputs!$B$12*(1+Inputs!$B$13/100))-(Inputs!$B$12*(1+Inputs!$B$13/100)))+0.25*(Inputs!$B$14-Inputs!$B$14))*(1+Inputs!$B$7/100))*(F723/100)</f>
        <v/>
      </c>
      <c r="K723">
        <f>J723*(1+((Inputs!$B$12*(1+Inputs!$B$13/100))*0.01+Inputs!$B$14*0.0025)/100)*(1+Inputs!$B$15/100)*(1+Inputs!$B$16/100)*(5000/(6000+Inputs!$B$42*(1-(100*(1-(1-(Inputs!$B$19+0)/100)*(1-CHOOSE(ArtifactsInput!$N$40+1,5,6,7,8,9,10)/100)^(ArtifactsInput!$M$40-ArtifactsInput!$M$40)))/100)))*(1+(Inputs!$B$24+((C742=TRUE)*(F742-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731=TRUE,F731,0)/100)*(1+(IF(Skills!A7="EIGHT_LEGS_EASTON",Inputs!$B$17+((C739=TRUE)*(F739-Calc!F23))+((C743=TRUE)*(F743-Calc!F27))+(((IF(AND(ArtifactsInput!$M$42,((Inputs!$B$9+((C735=TRUE)*(F735-Calc!F19))+B746+(ArtifactsInput!$M$24-ArtifactsInput!$M$24)*CHOOSE(ArtifactsInput!$N$24+1,10,12,14,16,18,20)+IF(ArtifactsInput!$M$10,CHOOSE(ArtifactsInput!$N$10+1,15,18,21,24,27,30)*(IF(Inputs!$B$38="pvp",MIN(15,15)/15,IF(AND(Inputs!$B$38&lt;&gt;"pvp",Inputs!$B$43&gt;0),MIN(15,Inputs!$B$43)/(Inputs!$B$43),0))),0)))&gt;=100),MIN(100,((Inputs!$B$9+((C735=TRUE)*(F735-Calc!F19))+B746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735=TRUE)*(F735-Calc!F19))+B746+(ArtifactsInput!$M$24-ArtifactsInput!$M$24)*CHOOSE(ArtifactsInput!$N$24+1,10,12,14,16,18,20)+IF(ArtifactsInput!$M$10,CHOOSE(ArtifactsInput!$N$10+1,15,18,21,24,27,30)*(IF(Inputs!$B$38="pvp",MIN(15,15)/15,IF(AND(Inputs!$B$38&lt;&gt;"pvp",Inputs!$B$43&gt;0),MIN(15,Inputs!$B$43)/(Inputs!$B$43),0))),0)))&gt;=100),CHOOSE(ArtifactsInput!$N$42+1,40,48,56,64,72,80),0))))/100)*((1+(((C733=TRUE)*F733)+((C740=TRUE)*(F740-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723)</f>
        <v/>
      </c>
      <c r="L723">
        <f>K723*(MIN(Inputs!$B$22+((C738=TRUE)*(F738-Calc!F22)),(Inputs!$B$23+0+(IF(ArtifactsInput!$M$15,CHOOSE(ArtifactsInput!$N$15+1,25,30,35,40,45,50)/100*(Inputs!$B$11-Inputs!$B$11),0))))/100+(Inputs!$B$23+0+(IF(ArtifactsInput!$M$15,CHOOSE(ArtifactsInput!$N$15+1,25,30,35,40,45,50)/100*(Inputs!$B$11-Inputs!$B$11),0)))/100)/2</f>
        <v/>
      </c>
      <c r="M723">
        <f>L723*(1+(Inputs!$B$10+((C741=TRUE)*(F741-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3">
        <f>L723*(1-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723*(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3">
        <f>(1-Summary!$B$11)*T723+Summary!$B$11*V723</f>
        <v/>
      </c>
      <c r="P723">
        <f>IF(B756=0,0,O723/B756)</f>
        <v/>
      </c>
      <c r="Q723">
        <f>IFERROR(1/(IF(Inputs!$B$38="pvp",15,MAX(0.1,Skills!D7-IF(Skills!E7=TRUE,Inputs!$B$32,0)))*(1-IF(AND(ArtifactsInput!$M$27,Inputs!$B$4="Chapter Hunt"),CHOOSE(ArtifactsInput!$N$27+1,20,24,28,32,36,40),0)/100)),0)</f>
        <v/>
      </c>
      <c r="R723">
        <f>IF(AND(Inputs!$B$38&lt;&gt;"pvp",Inputs!$B$43&gt;0),IF(MAX(0,Inputs!$B$43-B753)&lt;=0,0,(INT(MAX(0,Inputs!$B$43-B753)/(IF(Inputs!$B$38="pvp",15,MAX(0.1,Skills!D7-IF(Skills!E7=TRUE,Inputs!$B$32,0)))*(1-IF(AND(ArtifactsInput!$M$27,Inputs!$B$4="Chapter Hunt"),CHOOSE(ArtifactsInput!$N$27+1,20,24,28,32,36,40),0)/100)))+1)),0)</f>
        <v/>
      </c>
      <c r="S723">
        <f>IFERROR(O723/N723,0)</f>
        <v/>
      </c>
      <c r="T723">
        <f>IF(C723,(H723*N723*IF(AND(Inputs!$B$38&lt;&gt;"pvp",Inputs!$B$43&gt;0),((Skills!G7*((R723-1)*IF(Skills!H7&gt;0,Skills!I7/Skills!H7,1)+IF(Skills!H7&gt;0,MIN(Skills!I7,MAX(0,MAX(0,Inputs!$B$43-B753)-((R723-1)*(IF(Inputs!$B$38="pvp",15,MAX(0.1,Skills!D7-IF(Skills!E7=TRUE,Inputs!$B$32,0)))*(1-IF(AND(ArtifactsInput!$M$27,Inputs!$B$4="Chapter Hunt"),CHOOSE(ArtifactsInput!$N$27+1,20,24,28,32,36,40),0)/100)))))/Skills!H7,1)))/Inputs!$B$43),G723*Q723)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723*(1-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723*(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723*(1-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723*(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3">
        <f>IF(C723,(H723*N723*IF(AND(Inputs!$B$38&lt;&gt;"pvp",Inputs!$B$43&gt;0),((Skills!G7*((R723-1)*IF(Skills!H7&gt;0,Skills!I7/Skills!H7,1)+IF(Skills!H7&gt;0,MIN(Skills!I7,MAX(0,MAX(0,Inputs!$B$43-B753)-((R723-1)*(IF(Inputs!$B$38="pvp",15,MAX(0.1,Skills!D7-IF(Skills!E7=TRUE,Inputs!$B$32,0)))*(1-IF(AND(ArtifactsInput!$M$27,Inputs!$B$4="Chapter Hunt"),CHOOSE(ArtifactsInput!$N$27+1,20,24,28,32,36,40),0)/100)))))/Skills!H7,1)))/Inputs!$B$43),G723*Q723))*IF(Inputs!$B$38="pvp",1,(1+(Inputs!$B$21+Skills!Q7+(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4">
      <c r="A724">
        <f>Skills!A8</f>
        <v/>
      </c>
      <c r="B724">
        <f>Skills!B8</f>
        <v/>
      </c>
      <c r="C724">
        <f>Inputs!$B$3&gt;=100</f>
        <v/>
      </c>
      <c r="D724">
        <f>IF(Skills!C8=1,60+Inputs!$B$25+Inputs!$B$29,IF(Skills!C8=2,90+Inputs!$B$26+Inputs!$B$29,IF(Skills!C8=3,120+Inputs!$B$27+Inputs!$B$29,MAX(0,(Inputs!$B$3-100)*3)+Inputs!$B$28+Inputs!$B$29)))</f>
        <v/>
      </c>
      <c r="E724">
        <f>INDEX(FactorTable!$B$2:$Y$301, MATCH(ROUND(MIN(300,MAX(1,D724)),0), FactorTable!$A$2:$A$301,0), Skills!M8+1)</f>
        <v/>
      </c>
      <c r="F724">
        <f>IF(Skills!N8=TRUE,(Skills!L8/10)*(E724/1000),Skills!L8/10)+Skills!O8</f>
        <v/>
      </c>
      <c r="G724">
        <f>Skills!G8*IF(Skills!H8&gt;0,Skills!I8/Skills!H8,1)</f>
        <v/>
      </c>
      <c r="H724">
        <f>1-(1-Skills!J8/100)^Skills!K8</f>
        <v/>
      </c>
      <c r="I724" t="inlineStr">
        <is>
          <t>1</t>
        </is>
      </c>
      <c r="J724">
        <f>((Inputs!$B$6*(1+Inputs!$B$7/100))+(((Inputs!$B$12*(1+Inputs!$B$13/100))-(Inputs!$B$12*(1+Inputs!$B$13/100)))+0.25*(Inputs!$B$14-Inputs!$B$14))*(1+Inputs!$B$7/100))*(F724/100)</f>
        <v/>
      </c>
      <c r="K724">
        <f>J724*(1+((Inputs!$B$12*(1+Inputs!$B$13/100))*0.01+Inputs!$B$14*0.0025)/100)*(1+Inputs!$B$15/100)*(1+Inputs!$B$16/100)*(5000/(6000+Inputs!$B$42*(1-(100*(1-(1-(Inputs!$B$19+0)/100)*(1-CHOOSE(ArtifactsInput!$N$40+1,5,6,7,8,9,10)/100)^(ArtifactsInput!$M$40-ArtifactsInput!$M$40)))/100)))*(1+(Inputs!$B$24+((C742=TRUE)*(F742-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739=TRUE)*(F739-Calc!F23))+((C743=TRUE)*(F743-Calc!F27))+(((IF(AND(ArtifactsInput!$M$42,((Inputs!$B$9+((C735=TRUE)*(F735-Calc!F19))+B746+(ArtifactsInput!$M$24-ArtifactsInput!$M$24)*CHOOSE(ArtifactsInput!$N$24+1,10,12,14,16,18,20)+IF(ArtifactsInput!$M$10,CHOOSE(ArtifactsInput!$N$10+1,15,18,21,24,27,30)*(IF(Inputs!$B$38="pvp",MIN(15,15)/15,IF(AND(Inputs!$B$38&lt;&gt;"pvp",Inputs!$B$43&gt;0),MIN(15,Inputs!$B$43)/(Inputs!$B$43),0))),0)))&gt;=100),MIN(100,((Inputs!$B$9+((C735=TRUE)*(F735-Calc!F19))+B746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735=TRUE)*(F735-Calc!F19))+B746+(ArtifactsInput!$M$24-ArtifactsInput!$M$24)*CHOOSE(ArtifactsInput!$N$24+1,10,12,14,16,18,20)+IF(ArtifactsInput!$M$10,CHOOSE(ArtifactsInput!$N$10+1,15,18,21,24,27,30)*(IF(Inputs!$B$38="pvp",MIN(15,15)/15,IF(AND(Inputs!$B$38&lt;&gt;"pvp",Inputs!$B$43&gt;0),MIN(15,Inputs!$B$43)/(Inputs!$B$43),0))),0)))&gt;=100),CHOOSE(ArtifactsInput!$N$42+1,40,48,56,64,72,80),0))))/100)*((1+(((C733=TRUE)*F733)+((C740=TRUE)*(F740-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724)</f>
        <v/>
      </c>
      <c r="L724">
        <f>K724*(MIN(Inputs!$B$22+((C738=TRUE)*(F738-Calc!F22)),(Inputs!$B$23+0+(IF(ArtifactsInput!$M$15,CHOOSE(ArtifactsInput!$N$15+1,25,30,35,40,45,50)/100*(Inputs!$B$11-Inputs!$B$11),0))))/100+(Inputs!$B$23+0+(IF(ArtifactsInput!$M$15,CHOOSE(ArtifactsInput!$N$15+1,25,30,35,40,45,50)/100*(Inputs!$B$11-Inputs!$B$11),0)))/100)/2</f>
        <v/>
      </c>
      <c r="M724">
        <f>L724*(1+(Inputs!$B$10+((C741=TRUE)*(F741-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4">
        <f>L724*(1-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724*(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4">
        <f>(1-Summary!$B$11)*T724+Summary!$B$11*V724</f>
        <v/>
      </c>
      <c r="P724">
        <f>IF(B756=0,0,O724/B756)</f>
        <v/>
      </c>
      <c r="Q724">
        <f>IFERROR(1/(IF(Inputs!$B$38="pvp",15,MAX(0.1,Skills!D8-IF(Skills!E8=TRUE,Inputs!$B$32,0)))*(1-IF(AND(ArtifactsInput!$M$27,Inputs!$B$4="Chapter Hunt"),CHOOSE(ArtifactsInput!$N$27+1,20,24,28,32,36,40),0)/100)),0)</f>
        <v/>
      </c>
      <c r="R724">
        <f>IF(AND(Inputs!$B$38&lt;&gt;"pvp",Inputs!$B$43&gt;0),IF(MAX(0,Inputs!$B$43-B753)&lt;=0,0,(INT(MAX(0,Inputs!$B$43-B753)/(IF(Inputs!$B$38="pvp",15,MAX(0.1,Skills!D8-IF(Skills!E8=TRUE,Inputs!$B$32,0)))*(1-IF(AND(ArtifactsInput!$M$27,Inputs!$B$4="Chapter Hunt"),CHOOSE(ArtifactsInput!$N$27+1,20,24,28,32,36,40),0)/100)))+1)),0)</f>
        <v/>
      </c>
      <c r="S724">
        <f>IFERROR(O724/N724,0)</f>
        <v/>
      </c>
      <c r="T724">
        <f>IF(C724,(H724*N724*IF(AND(Inputs!$B$38&lt;&gt;"pvp",Inputs!$B$43&gt;0),((Skills!G8*((R724-1)*IF(Skills!H8&gt;0,Skills!I8/Skills!H8,1)+IF(Skills!H8&gt;0,MIN(Skills!I8,MAX(0,MAX(0,Inputs!$B$43-B753)-((R724-1)*(IF(Inputs!$B$38="pvp",15,MAX(0.1,Skills!D8-IF(Skills!E8=TRUE,Inputs!$B$32,0)))*(1-IF(AND(ArtifactsInput!$M$27,Inputs!$B$4="Chapter Hunt"),CHOOSE(ArtifactsInput!$N$27+1,20,24,28,32,36,40),0)/100)))))/Skills!H8,1)))/Inputs!$B$43),G724*Q724)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724*(1-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724*(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724*(1-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724*(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4">
        <f>IF(C724,(H724*N724*IF(AND(Inputs!$B$38&lt;&gt;"pvp",Inputs!$B$43&gt;0),((Skills!G8*((R724-1)*IF(Skills!H8&gt;0,Skills!I8/Skills!H8,1)+IF(Skills!H8&gt;0,MIN(Skills!I8,MAX(0,MAX(0,Inputs!$B$43-B753)-((R724-1)*(IF(Inputs!$B$38="pvp",15,MAX(0.1,Skills!D8-IF(Skills!E8=TRUE,Inputs!$B$32,0)))*(1-IF(AND(ArtifactsInput!$M$27,Inputs!$B$4="Chapter Hunt"),CHOOSE(ArtifactsInput!$N$27+1,20,24,28,32,36,40),0)/100)))))/Skills!H8,1)))/Inputs!$B$43),G724*Q724))*IF(Inputs!$B$38="pvp",1,(1+(Inputs!$B$21+Skills!Q8+(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5">
      <c r="A725">
        <f>Skills!A9</f>
        <v/>
      </c>
      <c r="B725">
        <f>Skills!B9</f>
        <v/>
      </c>
      <c r="C725">
        <f>Inputs!$B$3&gt;=103</f>
        <v/>
      </c>
      <c r="D725">
        <f>IF(Skills!C9=1,60+Inputs!$B$25+Inputs!$B$29,IF(Skills!C9=2,90+Inputs!$B$26+Inputs!$B$29,IF(Skills!C9=3,120+Inputs!$B$27+Inputs!$B$29,MAX(0,(Inputs!$B$3-100)*3)+Inputs!$B$28+Inputs!$B$29)))</f>
        <v/>
      </c>
      <c r="E725">
        <f>INDEX(FactorTable!$B$2:$Y$301, MATCH(ROUND(MIN(300,MAX(1,D725)),0), FactorTable!$A$2:$A$301,0), Skills!M9+1)</f>
        <v/>
      </c>
      <c r="F725">
        <f>IF(Skills!N9=TRUE,(Skills!L9/10)*(E725/1000),Skills!L9/10)+Skills!O9</f>
        <v/>
      </c>
      <c r="G725">
        <f>Skills!G9*IF(Skills!H9&gt;0,Skills!I9/Skills!H9,1)</f>
        <v/>
      </c>
      <c r="H725">
        <f>1-(1-Skills!J9/100)^Skills!K9</f>
        <v/>
      </c>
      <c r="I725" t="inlineStr">
        <is>
          <t>1</t>
        </is>
      </c>
      <c r="J725">
        <f>((Inputs!$B$6*(1+Inputs!$B$7/100))+(((Inputs!$B$12*(1+Inputs!$B$13/100))-(Inputs!$B$12*(1+Inputs!$B$13/100)))+0.25*(Inputs!$B$14-Inputs!$B$14))*(1+Inputs!$B$7/100))*(F725/100)</f>
        <v/>
      </c>
      <c r="K725">
        <f>J725*(1+((Inputs!$B$12*(1+Inputs!$B$13/100))*0.01+Inputs!$B$14*0.0025)/100)*(1+Inputs!$B$15/100)*(1+Inputs!$B$16/100)*(5000/(6000+Inputs!$B$42*(1-(100*(1-(1-(Inputs!$B$19+0)/100)*(1-CHOOSE(ArtifactsInput!$N$40+1,5,6,7,8,9,10)/100)^(ArtifactsInput!$M$40-ArtifactsInput!$M$40)))/100)))*(1+(Inputs!$B$24+((C742=TRUE)*(F742-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739=TRUE)*(F739-Calc!F23))+((C743=TRUE)*(F743-Calc!F27))+(((IF(AND(ArtifactsInput!$M$42,((Inputs!$B$9+((C735=TRUE)*(F735-Calc!F19))+B746+(ArtifactsInput!$M$24-ArtifactsInput!$M$24)*CHOOSE(ArtifactsInput!$N$24+1,10,12,14,16,18,20)+IF(ArtifactsInput!$M$10,CHOOSE(ArtifactsInput!$N$10+1,15,18,21,24,27,30)*(IF(Inputs!$B$38="pvp",MIN(15,15)/15,IF(AND(Inputs!$B$38&lt;&gt;"pvp",Inputs!$B$43&gt;0),MIN(15,Inputs!$B$43)/(Inputs!$B$43),0))),0)))&gt;=100),MIN(100,((Inputs!$B$9+((C735=TRUE)*(F735-Calc!F19))+B746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735=TRUE)*(F735-Calc!F19))+B746+(ArtifactsInput!$M$24-ArtifactsInput!$M$24)*CHOOSE(ArtifactsInput!$N$24+1,10,12,14,16,18,20)+IF(ArtifactsInput!$M$10,CHOOSE(ArtifactsInput!$N$10+1,15,18,21,24,27,30)*(IF(Inputs!$B$38="pvp",MIN(15,15)/15,IF(AND(Inputs!$B$38&lt;&gt;"pvp",Inputs!$B$43&gt;0),MIN(15,Inputs!$B$43)/(Inputs!$B$43),0))),0)))&gt;=100),CHOOSE(ArtifactsInput!$N$42+1,40,48,56,64,72,80),0))))/100)*((1+(((C733=TRUE)*F733)+((C740=TRUE)*(F740-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725)</f>
        <v/>
      </c>
      <c r="L725">
        <f>K725*(MIN(Inputs!$B$22+((C738=TRUE)*(F738-Calc!F22)),(Inputs!$B$23+0+(IF(ArtifactsInput!$M$15,CHOOSE(ArtifactsInput!$N$15+1,25,30,35,40,45,50)/100*(Inputs!$B$11-Inputs!$B$11),0))))/100+(Inputs!$B$23+0+(IF(ArtifactsInput!$M$15,CHOOSE(ArtifactsInput!$N$15+1,25,30,35,40,45,50)/100*(Inputs!$B$11-Inputs!$B$11),0)))/100)/2</f>
        <v/>
      </c>
      <c r="M725">
        <f>L725*(1+(Inputs!$B$10+((C741=TRUE)*(F741-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5">
        <f>L725*(1-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725*(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5">
        <f>(1-Summary!$B$11)*T725+Summary!$B$11*V725</f>
        <v/>
      </c>
      <c r="P725">
        <f>IF(B756=0,0,O725/B756)</f>
        <v/>
      </c>
      <c r="Q725">
        <f>IFERROR(1/(IF(Inputs!$B$38="pvp",15,MAX(0.1,Skills!D9-IF(Skills!E9=TRUE,Inputs!$B$32,0)))*(1-IF(AND(ArtifactsInput!$M$27,Inputs!$B$4="Chapter Hunt"),CHOOSE(ArtifactsInput!$N$27+1,20,24,28,32,36,40),0)/100)),0)</f>
        <v/>
      </c>
      <c r="R725">
        <f>IF(AND(Inputs!$B$38&lt;&gt;"pvp",Inputs!$B$43&gt;0),IF(MAX(0,Inputs!$B$43-B753)&lt;=0,0,(INT(MAX(0,Inputs!$B$43-B753)/(IF(Inputs!$B$38="pvp",15,MAX(0.1,Skills!D9-IF(Skills!E9=TRUE,Inputs!$B$32,0)))*(1-IF(AND(ArtifactsInput!$M$27,Inputs!$B$4="Chapter Hunt"),CHOOSE(ArtifactsInput!$N$27+1,20,24,28,32,36,40),0)/100)))+1)),0)</f>
        <v/>
      </c>
      <c r="S725">
        <f>IFERROR(O725/N725,0)</f>
        <v/>
      </c>
      <c r="T725">
        <f>IF(C725,(H725*N725*IF(AND(Inputs!$B$38&lt;&gt;"pvp",Inputs!$B$43&gt;0),((Skills!G9*((R725-1)*IF(Skills!H9&gt;0,Skills!I9/Skills!H9,1)+IF(Skills!H9&gt;0,MIN(Skills!I9,MAX(0,MAX(0,Inputs!$B$43-B753)-((R725-1)*(IF(Inputs!$B$38="pvp",15,MAX(0.1,Skills!D9-IF(Skills!E9=TRUE,Inputs!$B$32,0)))*(1-IF(AND(ArtifactsInput!$M$27,Inputs!$B$4="Chapter Hunt"),CHOOSE(ArtifactsInput!$N$27+1,20,24,28,32,36,40),0)/100)))))/Skills!H9,1)))/Inputs!$B$43),G725*Q725)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725*(1-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725*(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725*(1-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725*(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5">
        <f>IF(C725,(H725*N725*IF(AND(Inputs!$B$38&lt;&gt;"pvp",Inputs!$B$43&gt;0),((Skills!G9*((R725-1)*IF(Skills!H9&gt;0,Skills!I9/Skills!H9,1)+IF(Skills!H9&gt;0,MIN(Skills!I9,MAX(0,MAX(0,Inputs!$B$43-B753)-((R725-1)*(IF(Inputs!$B$38="pvp",15,MAX(0.1,Skills!D9-IF(Skills!E9=TRUE,Inputs!$B$32,0)))*(1-IF(AND(ArtifactsInput!$M$27,Inputs!$B$4="Chapter Hunt"),CHOOSE(ArtifactsInput!$N$27+1,20,24,28,32,36,40),0)/100)))))/Skills!H9,1)))/Inputs!$B$43),G725*Q725))*IF(Inputs!$B$38="pvp",1,(1+(Inputs!$B$21+Skills!Q9+(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6">
      <c r="A726">
        <f>Skills!A10</f>
        <v/>
      </c>
      <c r="B726">
        <f>Skills!B10</f>
        <v/>
      </c>
      <c r="C726">
        <f>Inputs!$B$3&gt;=113</f>
        <v/>
      </c>
      <c r="D726">
        <f>IF(Skills!C10=1,60+Inputs!$B$25+Inputs!$B$29,IF(Skills!C10=2,90+Inputs!$B$26+Inputs!$B$29,IF(Skills!C10=3,120+Inputs!$B$27+Inputs!$B$29,MAX(0,(Inputs!$B$3-100)*3)+Inputs!$B$28+Inputs!$B$29)))</f>
        <v/>
      </c>
      <c r="E726">
        <f>INDEX(FactorTable!$B$2:$Y$301, MATCH(ROUND(MIN(300,MAX(1,D726)),0), FactorTable!$A$2:$A$301,0), Skills!M10+1)</f>
        <v/>
      </c>
      <c r="F726">
        <f>IF(Skills!N10=TRUE,(Skills!L10/10)*(E726/1000),Skills!L10/10)+Skills!O10</f>
        <v/>
      </c>
      <c r="G726">
        <f>Skills!G10*IF(Skills!H10&gt;0,Skills!I10/Skills!H10,1)</f>
        <v/>
      </c>
      <c r="H726">
        <f>1-(1-Skills!J10/100)^Skills!K10</f>
        <v/>
      </c>
      <c r="I726" t="inlineStr">
        <is>
          <t>1</t>
        </is>
      </c>
      <c r="J726">
        <f>((Inputs!$B$6*(1+Inputs!$B$7/100))+(((Inputs!$B$12*(1+Inputs!$B$13/100))-(Inputs!$B$12*(1+Inputs!$B$13/100)))+0.25*(Inputs!$B$14-Inputs!$B$14))*(1+Inputs!$B$7/100))*(F726/100)</f>
        <v/>
      </c>
      <c r="K726">
        <f>J726*(1+((Inputs!$B$12*(1+Inputs!$B$13/100))*0.01+Inputs!$B$14*0.0025)/100)*(1+Inputs!$B$15/100)*(1+Inputs!$B$16/100)*(5000/(6000+Inputs!$B$42*(1-(100*(1-(1-(Inputs!$B$19+0)/100)*(1-CHOOSE(ArtifactsInput!$N$40+1,5,6,7,8,9,10)/100)^(ArtifactsInput!$M$40-ArtifactsInput!$M$40)))/100)))*(1+(Inputs!$B$24+((C742=TRUE)*(F742-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739=TRUE)*(F739-Calc!F23))+((C743=TRUE)*(F743-Calc!F27))+(((IF(AND(ArtifactsInput!$M$42,((Inputs!$B$9+((C735=TRUE)*(F735-Calc!F19))+B746+(ArtifactsInput!$M$24-ArtifactsInput!$M$24)*CHOOSE(ArtifactsInput!$N$24+1,10,12,14,16,18,20)+IF(ArtifactsInput!$M$10,CHOOSE(ArtifactsInput!$N$10+1,15,18,21,24,27,30)*(IF(Inputs!$B$38="pvp",MIN(15,15)/15,IF(AND(Inputs!$B$38&lt;&gt;"pvp",Inputs!$B$43&gt;0),MIN(15,Inputs!$B$43)/(Inputs!$B$43),0))),0)))&gt;=100),MIN(100,((Inputs!$B$9+((C735=TRUE)*(F735-Calc!F19))+B746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735=TRUE)*(F735-Calc!F19))+B746+(ArtifactsInput!$M$24-ArtifactsInput!$M$24)*CHOOSE(ArtifactsInput!$N$24+1,10,12,14,16,18,20)+IF(ArtifactsInput!$M$10,CHOOSE(ArtifactsInput!$N$10+1,15,18,21,24,27,30)*(IF(Inputs!$B$38="pvp",MIN(15,15)/15,IF(AND(Inputs!$B$38&lt;&gt;"pvp",Inputs!$B$43&gt;0),MIN(15,Inputs!$B$43)/(Inputs!$B$43),0))),0)))&gt;=100),CHOOSE(ArtifactsInput!$N$42+1,40,48,56,64,72,80),0))))/100)*((1+(((C733=TRUE)*F733)+((C740=TRUE)*(F740-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726)</f>
        <v/>
      </c>
      <c r="L726">
        <f>K726*(MIN(Inputs!$B$22+((C738=TRUE)*(F738-Calc!F22)),(Inputs!$B$23+0+(IF(ArtifactsInput!$M$15,CHOOSE(ArtifactsInput!$N$15+1,25,30,35,40,45,50)/100*(Inputs!$B$11-Inputs!$B$11),0))))/100+(Inputs!$B$23+0+(IF(ArtifactsInput!$M$15,CHOOSE(ArtifactsInput!$N$15+1,25,30,35,40,45,50)/100*(Inputs!$B$11-Inputs!$B$11),0)))/100)/2</f>
        <v/>
      </c>
      <c r="M726">
        <f>L726*(1+(Inputs!$B$10+((C741=TRUE)*(F741-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6">
        <f>L726*(1-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726*(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6">
        <f>(1-Summary!$B$11)*T726+Summary!$B$11*V726</f>
        <v/>
      </c>
      <c r="P726">
        <f>IF(B756=0,0,O726/B756)</f>
        <v/>
      </c>
      <c r="Q726">
        <f>IFERROR(1/(IF(Inputs!$B$38="pvp",15,MAX(0.1,Skills!D10-IF(Skills!E10=TRUE,Inputs!$B$32,0)))*(1-IF(AND(ArtifactsInput!$M$27,Inputs!$B$4="Chapter Hunt"),CHOOSE(ArtifactsInput!$N$27+1,20,24,28,32,36,40),0)/100)),0)</f>
        <v/>
      </c>
      <c r="R726">
        <f>IF(AND(Inputs!$B$38&lt;&gt;"pvp",Inputs!$B$43&gt;0),IF(MAX(0,Inputs!$B$43-B753)&lt;=0,0,(INT(MAX(0,Inputs!$B$43-B753)/(IF(Inputs!$B$38="pvp",15,MAX(0.1,Skills!D10-IF(Skills!E10=TRUE,Inputs!$B$32,0)))*(1-IF(AND(ArtifactsInput!$M$27,Inputs!$B$4="Chapter Hunt"),CHOOSE(ArtifactsInput!$N$27+1,20,24,28,32,36,40),0)/100)))+1)),0)</f>
        <v/>
      </c>
      <c r="S726">
        <f>IFERROR(O726/N726,0)</f>
        <v/>
      </c>
      <c r="T726">
        <f>IF(C726,(H726*N726*IF(AND(Inputs!$B$38&lt;&gt;"pvp",Inputs!$B$43&gt;0),((Skills!G10*((R726-1)*IF(Skills!H10&gt;0,Skills!I10/Skills!H10,1)+IF(Skills!H10&gt;0,MIN(Skills!I10,MAX(0,MAX(0,Inputs!$B$43-B753)-((R726-1)*(IF(Inputs!$B$38="pvp",15,MAX(0.1,Skills!D10-IF(Skills!E10=TRUE,Inputs!$B$32,0)))*(1-IF(AND(ArtifactsInput!$M$27,Inputs!$B$4="Chapter Hunt"),CHOOSE(ArtifactsInput!$N$27+1,20,24,28,32,36,40),0)/100)))))/Skills!H10,1)))/Inputs!$B$43),G726*Q726)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726*(1-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726*(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726*(1-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726*(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6">
        <f>IF(C726,(H726*N726*IF(AND(Inputs!$B$38&lt;&gt;"pvp",Inputs!$B$43&gt;0),((Skills!G10*((R726-1)*IF(Skills!H10&gt;0,Skills!I10/Skills!H10,1)+IF(Skills!H10&gt;0,MIN(Skills!I10,MAX(0,MAX(0,Inputs!$B$43-B753)-((R726-1)*(IF(Inputs!$B$38="pvp",15,MAX(0.1,Skills!D10-IF(Skills!E10=TRUE,Inputs!$B$32,0)))*(1-IF(AND(ArtifactsInput!$M$27,Inputs!$B$4="Chapter Hunt"),CHOOSE(ArtifactsInput!$N$27+1,20,24,28,32,36,40),0)/100)))))/Skills!H10,1)))/Inputs!$B$43),G726*Q726))*IF(Inputs!$B$38="pvp",1,(1+(Inputs!$B$21+Skills!Q10+(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7">
      <c r="A727">
        <f>Skills!A11</f>
        <v/>
      </c>
      <c r="B727">
        <f>Skills!B11</f>
        <v/>
      </c>
      <c r="C727">
        <f>Inputs!$B$3&gt;=107</f>
        <v/>
      </c>
      <c r="D727">
        <f>IF(Skills!C11=1,60+Inputs!$B$25+Inputs!$B$29,IF(Skills!C11=2,90+Inputs!$B$26+Inputs!$B$29,IF(Skills!C11=3,120+Inputs!$B$27+Inputs!$B$29,MAX(0,(Inputs!$B$3-100)*3)+Inputs!$B$28+Inputs!$B$29)))</f>
        <v/>
      </c>
      <c r="E727">
        <f>INDEX(FactorTable!$B$2:$Y$301, MATCH(ROUND(MIN(300,MAX(1,D727)),0), FactorTable!$A$2:$A$301,0), Skills!M11+1)</f>
        <v/>
      </c>
      <c r="F727">
        <f>IF(Skills!N11=TRUE,(Skills!L11/10)*(E727/1000),Skills!L11/10)+Skills!O11</f>
        <v/>
      </c>
      <c r="G727">
        <f>Skills!G11*IF(Skills!H11&gt;0,Skills!I11/Skills!H11,1)</f>
        <v/>
      </c>
      <c r="H727">
        <f>1-(1-Skills!J11/100)^Skills!K11</f>
        <v/>
      </c>
      <c r="I727" t="inlineStr">
        <is>
          <t>1</t>
        </is>
      </c>
      <c r="J727">
        <f>((Inputs!$B$6*(1+Inputs!$B$7/100))+(((Inputs!$B$12*(1+Inputs!$B$13/100))-(Inputs!$B$12*(1+Inputs!$B$13/100)))+0.25*(Inputs!$B$14-Inputs!$B$14))*(1+Inputs!$B$7/100))*(F727/100)</f>
        <v/>
      </c>
      <c r="K727">
        <f>J727*(1+((Inputs!$B$12*(1+Inputs!$B$13/100))*0.01+Inputs!$B$14*0.0025)/100)*(1+Inputs!$B$15/100)*(1+Inputs!$B$16/100)*(5000/(6000+Inputs!$B$42*(1-(100*(1-(1-(Inputs!$B$19+0)/100)*(1-CHOOSE(ArtifactsInput!$N$40+1,5,6,7,8,9,10)/100)^(ArtifactsInput!$M$40-ArtifactsInput!$M$40)))/100)))*(1+(Inputs!$B$24+((C742=TRUE)*(F742-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739=TRUE)*(F739-Calc!F23))+((C743=TRUE)*(F743-Calc!F27))+(((IF(AND(ArtifactsInput!$M$42,((Inputs!$B$9+((C735=TRUE)*(F735-Calc!F19))+B746+(ArtifactsInput!$M$24-ArtifactsInput!$M$24)*CHOOSE(ArtifactsInput!$N$24+1,10,12,14,16,18,20)+IF(ArtifactsInput!$M$10,CHOOSE(ArtifactsInput!$N$10+1,15,18,21,24,27,30)*(IF(Inputs!$B$38="pvp",MIN(15,15)/15,IF(AND(Inputs!$B$38&lt;&gt;"pvp",Inputs!$B$43&gt;0),MIN(15,Inputs!$B$43)/(Inputs!$B$43),0))),0)))&gt;=100),MIN(100,((Inputs!$B$9+((C735=TRUE)*(F735-Calc!F19))+B746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735=TRUE)*(F735-Calc!F19))+B746+(ArtifactsInput!$M$24-ArtifactsInput!$M$24)*CHOOSE(ArtifactsInput!$N$24+1,10,12,14,16,18,20)+IF(ArtifactsInput!$M$10,CHOOSE(ArtifactsInput!$N$10+1,15,18,21,24,27,30)*(IF(Inputs!$B$38="pvp",MIN(15,15)/15,IF(AND(Inputs!$B$38&lt;&gt;"pvp",Inputs!$B$43&gt;0),MIN(15,Inputs!$B$43)/(Inputs!$B$43),0))),0)))&gt;=100),CHOOSE(ArtifactsInput!$N$42+1,40,48,56,64,72,80),0))))/100)*((1+(((C733=TRUE)*F733)+((C740=TRUE)*(F740-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727)</f>
        <v/>
      </c>
      <c r="L727">
        <f>K727*(MIN(Inputs!$B$22+((C738=TRUE)*(F738-Calc!F22)),(Inputs!$B$23+0+(IF(ArtifactsInput!$M$15,CHOOSE(ArtifactsInput!$N$15+1,25,30,35,40,45,50)/100*(Inputs!$B$11-Inputs!$B$11),0))))/100+(Inputs!$B$23+0+(IF(ArtifactsInput!$M$15,CHOOSE(ArtifactsInput!$N$15+1,25,30,35,40,45,50)/100*(Inputs!$B$11-Inputs!$B$11),0)))/100)/2</f>
        <v/>
      </c>
      <c r="M727">
        <f>L727*(1+(Inputs!$B$10+((C741=TRUE)*(F741-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7">
        <f>L727*(1-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727*(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7">
        <f>(1-Summary!$B$11)*T727+Summary!$B$11*V727</f>
        <v/>
      </c>
      <c r="P727">
        <f>IF(B756=0,0,O727/B756)</f>
        <v/>
      </c>
      <c r="Q727">
        <f>IFERROR(1/(IF(Inputs!$B$38="pvp",15,MAX(0.1,Skills!D11-IF(Skills!E11=TRUE,Inputs!$B$32,0)))*(1-IF(AND(ArtifactsInput!$M$27,Inputs!$B$4="Chapter Hunt"),CHOOSE(ArtifactsInput!$N$27+1,20,24,28,32,36,40),0)/100)),0)</f>
        <v/>
      </c>
      <c r="R727">
        <f>IF(AND(Inputs!$B$38&lt;&gt;"pvp",Inputs!$B$43&gt;0),IF(MAX(0,Inputs!$B$43-B753)&lt;=0,0,(INT(MAX(0,Inputs!$B$43-B753)/(IF(Inputs!$B$38="pvp",15,MAX(0.1,Skills!D11-IF(Skills!E11=TRUE,Inputs!$B$32,0)))*(1-IF(AND(ArtifactsInput!$M$27,Inputs!$B$4="Chapter Hunt"),CHOOSE(ArtifactsInput!$N$27+1,20,24,28,32,36,40),0)/100)))+1)),0)</f>
        <v/>
      </c>
      <c r="S727">
        <f>IFERROR(O727/N727,0)</f>
        <v/>
      </c>
      <c r="T727">
        <f>IF(C727,(H727*N727*IF(AND(Inputs!$B$38&lt;&gt;"pvp",Inputs!$B$43&gt;0),((Skills!G11*((R727-1)*IF(Skills!H11&gt;0,Skills!I11/Skills!H11,1)+IF(Skills!H11&gt;0,MIN(Skills!I11,MAX(0,MAX(0,Inputs!$B$43-B753)-((R727-1)*(IF(Inputs!$B$38="pvp",15,MAX(0.1,Skills!D11-IF(Skills!E11=TRUE,Inputs!$B$32,0)))*(1-IF(AND(ArtifactsInput!$M$27,Inputs!$B$4="Chapter Hunt"),CHOOSE(ArtifactsInput!$N$27+1,20,24,28,32,36,40),0)/100)))))/Skills!H11,1)))/Inputs!$B$43),G727*Q727)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727*(1-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727*(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727*(1-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727*(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7">
        <f>IF(C727,(H727*N727*IF(AND(Inputs!$B$38&lt;&gt;"pvp",Inputs!$B$43&gt;0),((Skills!G11*((R727-1)*IF(Skills!H11&gt;0,Skills!I11/Skills!H11,1)+IF(Skills!H11&gt;0,MIN(Skills!I11,MAX(0,MAX(0,Inputs!$B$43-B753)-((R727-1)*(IF(Inputs!$B$38="pvp",15,MAX(0.1,Skills!D11-IF(Skills!E11=TRUE,Inputs!$B$32,0)))*(1-IF(AND(ArtifactsInput!$M$27,Inputs!$B$4="Chapter Hunt"),CHOOSE(ArtifactsInput!$N$27+1,20,24,28,32,36,40),0)/100)))))/Skills!H11,1)))/Inputs!$B$43),G727*Q727))*IF(Inputs!$B$38="pvp",1,(1+(Inputs!$B$21+Skills!Q11+(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8">
      <c r="A728">
        <f>Skills!A12</f>
        <v/>
      </c>
      <c r="B728">
        <f>Skills!B12</f>
        <v/>
      </c>
      <c r="C728">
        <f>Inputs!$B$3&gt;=110</f>
        <v/>
      </c>
      <c r="D728">
        <f>IF(Skills!C12=1,60+Inputs!$B$25+Inputs!$B$29,IF(Skills!C12=2,90+Inputs!$B$26+Inputs!$B$29,IF(Skills!C12=3,120+Inputs!$B$27+Inputs!$B$29,MAX(0,(Inputs!$B$3-100)*3)+Inputs!$B$28+Inputs!$B$29)))</f>
        <v/>
      </c>
      <c r="E728">
        <f>INDEX(FactorTable!$B$2:$Y$301, MATCH(ROUND(MIN(300,MAX(1,D728)),0), FactorTable!$A$2:$A$301,0), Skills!M12+1)</f>
        <v/>
      </c>
      <c r="F728">
        <f>IF(Skills!N12=TRUE,(Skills!L12/10)*(E728/1000),Skills!L12/10)+Skills!O12</f>
        <v/>
      </c>
      <c r="G728">
        <f>Skills!G12*IF(Skills!H12&gt;0,Skills!I12/Skills!H12,1)</f>
        <v/>
      </c>
      <c r="H728">
        <f>1-(1-Skills!J12/100)^Skills!K12</f>
        <v/>
      </c>
      <c r="I728" t="inlineStr">
        <is>
          <t>1</t>
        </is>
      </c>
      <c r="J728">
        <f>((Inputs!$B$6*(1+Inputs!$B$7/100))+(((Inputs!$B$12*(1+Inputs!$B$13/100))-(Inputs!$B$12*(1+Inputs!$B$13/100)))+0.25*(Inputs!$B$14-Inputs!$B$14))*(1+Inputs!$B$7/100))*(F728/100)</f>
        <v/>
      </c>
      <c r="K728">
        <f>J728*(1+((Inputs!$B$12*(1+Inputs!$B$13/100))*0.01+Inputs!$B$14*0.0025)/100)*(1+Inputs!$B$15/100)*(1+Inputs!$B$16/100)*(5000/(6000+Inputs!$B$42*(1-(100*(1-(1-(Inputs!$B$19+0)/100)*(1-CHOOSE(ArtifactsInput!$N$40+1,5,6,7,8,9,10)/100)^(ArtifactsInput!$M$40-ArtifactsInput!$M$40)))/100)))*(1+(Inputs!$B$24+((C742=TRUE)*(F742-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739=TRUE)*(F739-Calc!F23))+((C743=TRUE)*(F743-Calc!F27))+(((IF(AND(ArtifactsInput!$M$42,((Inputs!$B$9+((C735=TRUE)*(F735-Calc!F19))+B746+(ArtifactsInput!$M$24-ArtifactsInput!$M$24)*CHOOSE(ArtifactsInput!$N$24+1,10,12,14,16,18,20)+IF(ArtifactsInput!$M$10,CHOOSE(ArtifactsInput!$N$10+1,15,18,21,24,27,30)*(IF(Inputs!$B$38="pvp",MIN(15,15)/15,IF(AND(Inputs!$B$38&lt;&gt;"pvp",Inputs!$B$43&gt;0),MIN(15,Inputs!$B$43)/(Inputs!$B$43),0))),0)))&gt;=100),MIN(100,((Inputs!$B$9+((C735=TRUE)*(F735-Calc!F19))+B746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735=TRUE)*(F735-Calc!F19))+B746+(ArtifactsInput!$M$24-ArtifactsInput!$M$24)*CHOOSE(ArtifactsInput!$N$24+1,10,12,14,16,18,20)+IF(ArtifactsInput!$M$10,CHOOSE(ArtifactsInput!$N$10+1,15,18,21,24,27,30)*(IF(Inputs!$B$38="pvp",MIN(15,15)/15,IF(AND(Inputs!$B$38&lt;&gt;"pvp",Inputs!$B$43&gt;0),MIN(15,Inputs!$B$43)/(Inputs!$B$43),0))),0)))&gt;=100),CHOOSE(ArtifactsInput!$N$42+1,40,48,56,64,72,80),0))))/100)*((1+(((C733=TRUE)*F733)+((C740=TRUE)*(F740-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728)</f>
        <v/>
      </c>
      <c r="L728">
        <f>K728*(MIN(Inputs!$B$22+((C738=TRUE)*(F738-Calc!F22)),(Inputs!$B$23+0+(IF(ArtifactsInput!$M$15,CHOOSE(ArtifactsInput!$N$15+1,25,30,35,40,45,50)/100*(Inputs!$B$11-Inputs!$B$11),0))))/100+(Inputs!$B$23+0+(IF(ArtifactsInput!$M$15,CHOOSE(ArtifactsInput!$N$15+1,25,30,35,40,45,50)/100*(Inputs!$B$11-Inputs!$B$11),0)))/100)/2</f>
        <v/>
      </c>
      <c r="M728">
        <f>L728*(1+(Inputs!$B$10+((C741=TRUE)*(F741-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8">
        <f>L728*(1-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728*(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8">
        <f>(1-Summary!$B$11)*T728+Summary!$B$11*V728</f>
        <v/>
      </c>
      <c r="P728">
        <f>IF(B756=0,0,O728/B756)</f>
        <v/>
      </c>
      <c r="Q728">
        <f>IFERROR(1/(IF(Inputs!$B$38="pvp",15,MAX(0.1,Skills!D12-IF(Skills!E12=TRUE,Inputs!$B$32,0)))*(1-IF(AND(ArtifactsInput!$M$27,Inputs!$B$4="Chapter Hunt"),CHOOSE(ArtifactsInput!$N$27+1,20,24,28,32,36,40),0)/100)),0)</f>
        <v/>
      </c>
      <c r="R728">
        <f>IF(AND(Inputs!$B$38&lt;&gt;"pvp",Inputs!$B$43&gt;0),IF(MAX(0,Inputs!$B$43-B753)&lt;=0,0,(INT(MAX(0,Inputs!$B$43-B753)/(IF(Inputs!$B$38="pvp",15,MAX(0.1,Skills!D12-IF(Skills!E12=TRUE,Inputs!$B$32,0)))*(1-IF(AND(ArtifactsInput!$M$27,Inputs!$B$4="Chapter Hunt"),CHOOSE(ArtifactsInput!$N$27+1,20,24,28,32,36,40),0)/100)))+1)),0)</f>
        <v/>
      </c>
      <c r="S728">
        <f>IFERROR(O728/N728,0)</f>
        <v/>
      </c>
      <c r="T728">
        <f>IF(C728,(H728*N728*IF(AND(Inputs!$B$38&lt;&gt;"pvp",Inputs!$B$43&gt;0),((Skills!G12*((R728-1)*IF(Skills!H12&gt;0,Skills!I12/Skills!H12,1)+IF(Skills!H12&gt;0,MIN(Skills!I12,MAX(0,MAX(0,Inputs!$B$43-B753)-((R728-1)*(IF(Inputs!$B$38="pvp",15,MAX(0.1,Skills!D12-IF(Skills!E12=TRUE,Inputs!$B$32,0)))*(1-IF(AND(ArtifactsInput!$M$27,Inputs!$B$4="Chapter Hunt"),CHOOSE(ArtifactsInput!$N$27+1,20,24,28,32,36,40),0)/100)))))/Skills!H12,1)))/Inputs!$B$43),G728*Q728))*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728*(1-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728*(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728*(1-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728*(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8">
        <f>IF(C728,(H728*N728*IF(AND(Inputs!$B$38&lt;&gt;"pvp",Inputs!$B$43&gt;0),((Skills!G12*((R728-1)*IF(Skills!H12&gt;0,Skills!I12/Skills!H12,1)+IF(Skills!H12&gt;0,MIN(Skills!I12,MAX(0,MAX(0,Inputs!$B$43-B753)-((R728-1)*(IF(Inputs!$B$38="pvp",15,MAX(0.1,Skills!D12-IF(Skills!E12=TRUE,Inputs!$B$32,0)))*(1-IF(AND(ArtifactsInput!$M$27,Inputs!$B$4="Chapter Hunt"),CHOOSE(ArtifactsInput!$N$27+1,20,24,28,32,36,40),0)/100)))))/Skills!H12,1)))/Inputs!$B$43),G728*Q728))*IF(Inputs!$B$38="pvp",1,(1+(Inputs!$B$21+Skills!Q12+(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9">
      <c r="A729">
        <f>Skills!A13</f>
        <v/>
      </c>
      <c r="B729">
        <f>Skills!B13</f>
        <v/>
      </c>
      <c r="C729">
        <f>Inputs!$B$3&gt;=110</f>
        <v/>
      </c>
      <c r="D729">
        <f>IF(Skills!C13=1,60+Inputs!$B$25+Inputs!$B$29,IF(Skills!C13=2,90+Inputs!$B$26+Inputs!$B$29,IF(Skills!C13=3,120+Inputs!$B$27+Inputs!$B$29,MAX(0,(Inputs!$B$3-100)*3)+Inputs!$B$28+Inputs!$B$29)))</f>
        <v/>
      </c>
      <c r="E729">
        <f>INDEX(FactorTable!$B$2:$Y$301, MATCH(ROUND(MIN(300,MAX(1,D729)),0), FactorTable!$A$2:$A$301,0), Skills!M13+1)</f>
        <v/>
      </c>
      <c r="F729">
        <f>IF(Skills!N13=TRUE,(Skills!L13/10)*(E729/1000),Skills!L13/10)+Skills!O13</f>
        <v/>
      </c>
      <c r="G729">
        <f>Skills!G13*IF(Skills!H13&gt;0,Skills!I13/Skills!H13,1)</f>
        <v/>
      </c>
      <c r="H729">
        <f>1-(1-Skills!J13/100)^Skills!K13</f>
        <v/>
      </c>
      <c r="I729" t="inlineStr">
        <is>
          <t>1</t>
        </is>
      </c>
      <c r="J729">
        <f>((Inputs!$B$6*(1+Inputs!$B$7/100))+(((Inputs!$B$12*(1+Inputs!$B$13/100))-(Inputs!$B$12*(1+Inputs!$B$13/100)))+0.25*(Inputs!$B$14-Inputs!$B$14))*(1+Inputs!$B$7/100))*(F729/100)</f>
        <v/>
      </c>
      <c r="K729">
        <f>J729*(1+((Inputs!$B$12*(1+Inputs!$B$13/100))*0.01+Inputs!$B$14*0.0025)/100)*(1+Inputs!$B$15/100)*(1+Inputs!$B$16/100)*(5000/(6000+Inputs!$B$42*(1-(100*(1-(1-(Inputs!$B$19+0)/100)*(1-CHOOSE(ArtifactsInput!$N$40+1,5,6,7,8,9,10)/100)^(ArtifactsInput!$M$40-ArtifactsInput!$M$40)))/100)))*(1+(Inputs!$B$24+((C742=TRUE)*(F742-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739=TRUE)*(F739-Calc!F23))+((C743=TRUE)*(F743-Calc!F27))+(((IF(AND(ArtifactsInput!$M$42,((Inputs!$B$9+((C735=TRUE)*(F735-Calc!F19))+B746+(ArtifactsInput!$M$24-ArtifactsInput!$M$24)*CHOOSE(ArtifactsInput!$N$24+1,10,12,14,16,18,20)+IF(ArtifactsInput!$M$10,CHOOSE(ArtifactsInput!$N$10+1,15,18,21,24,27,30)*(IF(Inputs!$B$38="pvp",MIN(15,15)/15,IF(AND(Inputs!$B$38&lt;&gt;"pvp",Inputs!$B$43&gt;0),MIN(15,Inputs!$B$43)/(Inputs!$B$43),0))),0)))&gt;=100),MIN(100,((Inputs!$B$9+((C735=TRUE)*(F735-Calc!F19))+B746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735=TRUE)*(F735-Calc!F19))+B746+(ArtifactsInput!$M$24-ArtifactsInput!$M$24)*CHOOSE(ArtifactsInput!$N$24+1,10,12,14,16,18,20)+IF(ArtifactsInput!$M$10,CHOOSE(ArtifactsInput!$N$10+1,15,18,21,24,27,30)*(IF(Inputs!$B$38="pvp",MIN(15,15)/15,IF(AND(Inputs!$B$38&lt;&gt;"pvp",Inputs!$B$43&gt;0),MIN(15,Inputs!$B$43)/(Inputs!$B$43),0))),0)))&gt;=100),CHOOSE(ArtifactsInput!$N$42+1,40,48,56,64,72,80),0))))/100)*((1+(((C733=TRUE)*F733)+((C740=TRUE)*(F740-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729)</f>
        <v/>
      </c>
      <c r="L729">
        <f>K729*(MIN(Inputs!$B$22+((C738=TRUE)*(F738-Calc!F22)),(Inputs!$B$23+0+(IF(ArtifactsInput!$M$15,CHOOSE(ArtifactsInput!$N$15+1,25,30,35,40,45,50)/100*(Inputs!$B$11-Inputs!$B$11),0))))/100+(Inputs!$B$23+0+(IF(ArtifactsInput!$M$15,CHOOSE(ArtifactsInput!$N$15+1,25,30,35,40,45,50)/100*(Inputs!$B$11-Inputs!$B$11),0)))/100)/2</f>
        <v/>
      </c>
      <c r="M729">
        <f>L729*(1+(Inputs!$B$10+((C741=TRUE)*(F741-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9">
        <f>L729*(1-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729*(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9">
        <f>(1-Summary!$B$11)*T729+Summary!$B$11*V729</f>
        <v/>
      </c>
      <c r="P729">
        <f>IF(B756=0,0,O729/B756)</f>
        <v/>
      </c>
      <c r="Q729">
        <f>IFERROR(1/(IF(Inputs!$B$38="pvp",15,MAX(0.1,Skills!D13-IF(Skills!E13=TRUE,Inputs!$B$32,0)))*(1-IF(AND(ArtifactsInput!$M$27,Inputs!$B$4="Chapter Hunt"),CHOOSE(ArtifactsInput!$N$27+1,20,24,28,32,36,40),0)/100)),0)</f>
        <v/>
      </c>
      <c r="R729">
        <f>IF(AND(Inputs!$B$38&lt;&gt;"pvp",Inputs!$B$43&gt;0),IF(MAX(0,Inputs!$B$43-B753)&lt;=0,0,(INT(MAX(0,Inputs!$B$43-B753)/(IF(Inputs!$B$38="pvp",15,MAX(0.1,Skills!D13-IF(Skills!E13=TRUE,Inputs!$B$32,0)))*(1-IF(AND(ArtifactsInput!$M$27,Inputs!$B$4="Chapter Hunt"),CHOOSE(ArtifactsInput!$N$27+1,20,24,28,32,36,40),0)/100)))+1)),0)</f>
        <v/>
      </c>
      <c r="S729">
        <f>IFERROR(O729/N729,0)</f>
        <v/>
      </c>
      <c r="T729">
        <f>IF(C729,(H729*N729*IF(AND(Inputs!$B$38&lt;&gt;"pvp",Inputs!$B$43&gt;0),((Skills!G13*((R729-1)*IF(Skills!H13&gt;0,Skills!I13/Skills!H13,1)+IF(Skills!H13&gt;0,MIN(Skills!I13,MAX(0,MAX(0,Inputs!$B$43-B753)-((R729-1)*(IF(Inputs!$B$38="pvp",15,MAX(0.1,Skills!D13-IF(Skills!E13=TRUE,Inputs!$B$32,0)))*(1-IF(AND(ArtifactsInput!$M$27,Inputs!$B$4="Chapter Hunt"),CHOOSE(ArtifactsInput!$N$27+1,20,24,28,32,36,40),0)/100)))))/Skills!H13,1)))/Inputs!$B$43),G729*Q729))*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729*(1-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729*(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729*(1-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729*(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9">
        <f>IF(C729,(H729*N729*IF(AND(Inputs!$B$38&lt;&gt;"pvp",Inputs!$B$43&gt;0),((Skills!G13*((R729-1)*IF(Skills!H13&gt;0,Skills!I13/Skills!H13,1)+IF(Skills!H13&gt;0,MIN(Skills!I13,MAX(0,MAX(0,Inputs!$B$43-B753)-((R729-1)*(IF(Inputs!$B$38="pvp",15,MAX(0.1,Skills!D13-IF(Skills!E13=TRUE,Inputs!$B$32,0)))*(1-IF(AND(ArtifactsInput!$M$27,Inputs!$B$4="Chapter Hunt"),CHOOSE(ArtifactsInput!$N$27+1,20,24,28,32,36,40),0)/100)))))/Skills!H13,1)))/Inputs!$B$43),G729*Q729))*IF(Inputs!$B$38="pvp",1,(1+(Inputs!$B$21+Skills!Q13+(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0">
      <c r="A730">
        <f>Skills!A14</f>
        <v/>
      </c>
      <c r="B730">
        <f>Skills!B14</f>
        <v/>
      </c>
      <c r="C730">
        <f>Inputs!$B$3&gt;=125</f>
        <v/>
      </c>
      <c r="D730">
        <f>IF(Skills!C14=1,60+Inputs!$B$25+Inputs!$B$29,IF(Skills!C14=2,90+Inputs!$B$26+Inputs!$B$29,IF(Skills!C14=3,120+Inputs!$B$27+Inputs!$B$29,MAX(0,(Inputs!$B$3-100)*3)+Inputs!$B$28+Inputs!$B$29)))</f>
        <v/>
      </c>
      <c r="E730">
        <f>INDEX(FactorTable!$B$2:$Y$301, MATCH(ROUND(MIN(300,MAX(1,D730)),0), FactorTable!$A$2:$A$301,0), Skills!M14+1)</f>
        <v/>
      </c>
      <c r="F730">
        <f>IF(Skills!N14=TRUE,(Skills!L14/10)*(E730/1000),Skills!L14/10)+Skills!O14</f>
        <v/>
      </c>
      <c r="G730">
        <f>Skills!G14*IF(Skills!H14&gt;0,Skills!I14/Skills!H14,1)</f>
        <v/>
      </c>
      <c r="H730">
        <f>1-(1-Skills!J14/100)^Skills!K14</f>
        <v/>
      </c>
      <c r="I730" t="inlineStr">
        <is>
          <t>1</t>
        </is>
      </c>
      <c r="J730">
        <f>((Inputs!$B$6*(1+Inputs!$B$7/100))+(((Inputs!$B$12*(1+Inputs!$B$13/100))-(Inputs!$B$12*(1+Inputs!$B$13/100)))+0.25*(Inputs!$B$14-Inputs!$B$14))*(1+Inputs!$B$7/100))*(F730/100)</f>
        <v/>
      </c>
      <c r="K730">
        <f>J730*(1+((Inputs!$B$12*(1+Inputs!$B$13/100))*0.01+Inputs!$B$14*0.0025)/100)*(1+Inputs!$B$15/100)*(1+Inputs!$B$16/100)*(5000/(6000+Inputs!$B$42*(1-(100*(1-(1-(Inputs!$B$19+0)/100)*(1-CHOOSE(ArtifactsInput!$N$40+1,5,6,7,8,9,10)/100)^(ArtifactsInput!$M$40-ArtifactsInput!$M$40)))/100)))*(1+(Inputs!$B$24+((C742=TRUE)*(F742-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739=TRUE)*(F739-Calc!F23))+((C743=TRUE)*(F743-Calc!F27))+(((IF(AND(ArtifactsInput!$M$42,((Inputs!$B$9+((C735=TRUE)*(F735-Calc!F19))+B746+(ArtifactsInput!$M$24-ArtifactsInput!$M$24)*CHOOSE(ArtifactsInput!$N$24+1,10,12,14,16,18,20)+IF(ArtifactsInput!$M$10,CHOOSE(ArtifactsInput!$N$10+1,15,18,21,24,27,30)*(IF(Inputs!$B$38="pvp",MIN(15,15)/15,IF(AND(Inputs!$B$38&lt;&gt;"pvp",Inputs!$B$43&gt;0),MIN(15,Inputs!$B$43)/(Inputs!$B$43),0))),0)))&gt;=100),MIN(100,((Inputs!$B$9+((C735=TRUE)*(F735-Calc!F19))+B746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735=TRUE)*(F735-Calc!F19))+B746+(ArtifactsInput!$M$24-ArtifactsInput!$M$24)*CHOOSE(ArtifactsInput!$N$24+1,10,12,14,16,18,20)+IF(ArtifactsInput!$M$10,CHOOSE(ArtifactsInput!$N$10+1,15,18,21,24,27,30)*(IF(Inputs!$B$38="pvp",MIN(15,15)/15,IF(AND(Inputs!$B$38&lt;&gt;"pvp",Inputs!$B$43&gt;0),MIN(15,Inputs!$B$43)/(Inputs!$B$43),0))),0)))&gt;=100),CHOOSE(ArtifactsInput!$N$42+1,40,48,56,64,72,80),0))))/100)*((1+(((C733=TRUE)*F733)+((C740=TRUE)*(F740-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730)</f>
        <v/>
      </c>
      <c r="L730">
        <f>K730*(MIN(Inputs!$B$22+((C738=TRUE)*(F738-Calc!F22)),(Inputs!$B$23+0+(IF(ArtifactsInput!$M$15,CHOOSE(ArtifactsInput!$N$15+1,25,30,35,40,45,50)/100*(Inputs!$B$11-Inputs!$B$11),0))))/100+(Inputs!$B$23+0+(IF(ArtifactsInput!$M$15,CHOOSE(ArtifactsInput!$N$15+1,25,30,35,40,45,50)/100*(Inputs!$B$11-Inputs!$B$11),0)))/100)/2</f>
        <v/>
      </c>
      <c r="M730">
        <f>L730*(1+(Inputs!$B$10+((C741=TRUE)*(F741-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0">
        <f>L730*(1-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730*(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0">
        <f>(1-Summary!$B$11)*T730+Summary!$B$11*V730</f>
        <v/>
      </c>
      <c r="P730">
        <f>IF(B756=0,0,O730/B756)</f>
        <v/>
      </c>
      <c r="Q730" t="n">
        <v>0</v>
      </c>
      <c r="R730" t="n">
        <v>0</v>
      </c>
      <c r="S730">
        <f>IFERROR(O730/N730,0)</f>
        <v/>
      </c>
      <c r="T730">
        <f>IF(C730,(H730*N730*(B750+IF(AND(Inputs!$B$38&lt;&gt;"pvp",Inputs!$B$43&gt;0),((Skills!G8*((R724-1)*IF(Skills!H8&gt;0,Skills!I8/Skills!H8,1)+IF(Skills!H8&gt;0,MIN(Skills!I8,MAX(0,MAX(0,Inputs!$B$43-B753)-((R724-1)*(IF(Inputs!$B$38="pvp",15,MAX(0.1,Skills!D8-IF(Skills!E8=TRUE,Inputs!$B$32,0)))*(1-IF(AND(ArtifactsInput!$M$27,Inputs!$B$4="Chapter Hunt"),CHOOSE(ArtifactsInput!$N$27+1,20,24,28,32,36,40),0)/100)))))/Skills!H8,1)))/Inputs!$B$43),G724*Q724)+IF(AND(Inputs!$B$38&lt;&gt;"pvp",Inputs!$B$43&gt;0),((Skills!G11*((R727-1)*IF(Skills!H11&gt;0,Skills!I11/Skills!H11,1)+IF(Skills!H11&gt;0,MIN(Skills!I11,MAX(0,MAX(0,Inputs!$B$43-B753)-((R727-1)*(IF(Inputs!$B$38="pvp",15,MAX(0.1,Skills!D11-IF(Skills!E11=TRUE,Inputs!$B$32,0)))*(1-IF(AND(ArtifactsInput!$M$27,Inputs!$B$4="Chapter Hunt"),CHOOSE(ArtifactsInput!$N$27+1,20,24,28,32,36,40),0)/100)))))/Skills!H11,1)))/Inputs!$B$43),G727*Q727)))*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730*(1-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730*(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730*(1-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730*(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30">
        <f>IF(C730,(H730*N730*(B750+IF(AND(Inputs!$B$38&lt;&gt;"pvp",Inputs!$B$43&gt;0),((Skills!G8*((R724-1)*IF(Skills!H8&gt;0,Skills!I8/Skills!H8,1)+IF(Skills!H8&gt;0,MIN(Skills!I8,MAX(0,MAX(0,Inputs!$B$43-B753)-((R724-1)*(IF(Inputs!$B$38="pvp",15,MAX(0.1,Skills!D8-IF(Skills!E8=TRUE,Inputs!$B$32,0)))*(1-IF(AND(ArtifactsInput!$M$27,Inputs!$B$4="Chapter Hunt"),CHOOSE(ArtifactsInput!$N$27+1,20,24,28,32,36,40),0)/100)))))/Skills!H8,1)))/Inputs!$B$43),G724*Q724)+IF(AND(Inputs!$B$38&lt;&gt;"pvp",Inputs!$B$43&gt;0),((Skills!G11*((R727-1)*IF(Skills!H11&gt;0,Skills!I11/Skills!H11,1)+IF(Skills!H11&gt;0,MIN(Skills!I11,MAX(0,MAX(0,Inputs!$B$43-B753)-((R727-1)*(IF(Inputs!$B$38="pvp",15,MAX(0.1,Skills!D11-IF(Skills!E11=TRUE,Inputs!$B$32,0)))*(1-IF(AND(ArtifactsInput!$M$27,Inputs!$B$4="Chapter Hunt"),CHOOSE(ArtifactsInput!$N$27+1,20,24,28,32,36,40),0)/100)))))/Skills!H11,1)))/Inputs!$B$43),G727*Q727)))*IF(Inputs!$B$38="pvp",1,(1+(Inputs!$B$21+Skills!Q14+(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1">
      <c r="A731">
        <f>Skills!A15</f>
        <v/>
      </c>
      <c r="B731">
        <f>Skills!B15</f>
        <v/>
      </c>
      <c r="C731">
        <f>Inputs!$B$3&gt;=100</f>
        <v/>
      </c>
      <c r="D731">
        <f>IF(Skills!C15=1,60+Inputs!$B$25+Inputs!$B$29,IF(Skills!C15=2,90+Inputs!$B$26+Inputs!$B$29,IF(Skills!C15=3,120+Inputs!$B$27+Inputs!$B$29,MAX(0,(Inputs!$B$3-100)*3)+Inputs!$B$28+Inputs!$B$29)))</f>
        <v/>
      </c>
      <c r="E731">
        <f>INDEX(FactorTable!$B$2:$Y$301, MATCH(ROUND(MIN(300,MAX(1,D731)),0), FactorTable!$A$2:$A$301,0), Skills!M15+1)</f>
        <v/>
      </c>
      <c r="F731">
        <f>IF(Skills!N15=TRUE,(Skills!L15/10)*(E731/1000),Skills!L15/10)+Skills!O15</f>
        <v/>
      </c>
      <c r="G731" t="inlineStr"/>
      <c r="H731" t="inlineStr"/>
      <c r="I731" t="inlineStr">
        <is>
          <t>1</t>
        </is>
      </c>
      <c r="J731" t="inlineStr"/>
      <c r="K731" t="inlineStr"/>
      <c r="L731" t="inlineStr"/>
      <c r="M731" t="inlineStr"/>
      <c r="N731" t="inlineStr"/>
      <c r="O731" t="inlineStr"/>
      <c r="P731" t="inlineStr"/>
      <c r="Q731" t="inlineStr"/>
      <c r="R731" t="inlineStr"/>
      <c r="S731" t="inlineStr"/>
    </row>
    <row r="732">
      <c r="A732">
        <f>Skills!A16</f>
        <v/>
      </c>
      <c r="B732">
        <f>Skills!B16</f>
        <v/>
      </c>
      <c r="C732">
        <f>Inputs!$B$3&gt;=120</f>
        <v/>
      </c>
      <c r="D732">
        <f>IF(Skills!C16=1,60+Inputs!$B$25+Inputs!$B$29,IF(Skills!C16=2,90+Inputs!$B$26+Inputs!$B$29,IF(Skills!C16=3,120+Inputs!$B$27+Inputs!$B$29,MAX(0,(Inputs!$B$3-100)*3)+Inputs!$B$28+Inputs!$B$29)))</f>
        <v/>
      </c>
      <c r="E732">
        <f>INDEX(FactorTable!$B$2:$Y$301, MATCH(ROUND(MIN(300,MAX(1,D732)),0), FactorTable!$A$2:$A$301,0), Skills!M16+1)</f>
        <v/>
      </c>
      <c r="F732">
        <f>IF(Skills!N16=TRUE,(Skills!L16/10)*(E732/1000),Skills!L16/10)+Skills!O16</f>
        <v/>
      </c>
      <c r="G732" t="inlineStr"/>
      <c r="H732" t="inlineStr"/>
      <c r="I732" t="inlineStr">
        <is>
          <t>1</t>
        </is>
      </c>
      <c r="J732" t="inlineStr"/>
      <c r="K732" t="inlineStr"/>
      <c r="L732" t="inlineStr"/>
      <c r="M732" t="inlineStr"/>
      <c r="N732" t="inlineStr"/>
      <c r="O732" t="inlineStr"/>
      <c r="P732" t="inlineStr"/>
      <c r="Q732" t="inlineStr"/>
      <c r="R732" t="inlineStr"/>
      <c r="S732" t="inlineStr"/>
    </row>
    <row r="733">
      <c r="A733">
        <f>Skills!A17</f>
        <v/>
      </c>
      <c r="B733">
        <f>Skills!B17</f>
        <v/>
      </c>
      <c r="C733">
        <f>Inputs!$B$3&gt;=66</f>
        <v/>
      </c>
      <c r="D733">
        <f>IF(Skills!C17=1,60+Inputs!$B$25+Inputs!$B$29,IF(Skills!C17=2,90+Inputs!$B$26+Inputs!$B$29,IF(Skills!C17=3,120+Inputs!$B$27+Inputs!$B$29,MAX(0,(Inputs!$B$3-100)*3)+Inputs!$B$28+Inputs!$B$29)))</f>
        <v/>
      </c>
      <c r="E733">
        <f>INDEX(FactorTable!$B$2:$Y$301, MATCH(ROUND(MIN(300,MAX(1,D733)),0), FactorTable!$A$2:$A$301,0), Skills!M17+1)</f>
        <v/>
      </c>
      <c r="F733">
        <f>IF(Skills!N17=TRUE,(Skills!L17/10)*(E733/1000),Skills!L17/10)+Skills!O17</f>
        <v/>
      </c>
      <c r="G733">
        <f>Skills!G17*IF(Skills!H17&gt;0,Skills!I17/Skills!H17,1)</f>
        <v/>
      </c>
      <c r="H733">
        <f>1-(1-Skills!J17/100)^Skills!K17</f>
        <v/>
      </c>
      <c r="I733" t="inlineStr">
        <is>
          <t>1</t>
        </is>
      </c>
      <c r="J733" t="inlineStr"/>
      <c r="K733" t="inlineStr"/>
      <c r="L733" t="inlineStr"/>
      <c r="M733" t="inlineStr"/>
      <c r="N733" t="inlineStr"/>
      <c r="O733">
        <f>(1-Summary!$B$11)*T733+Summary!$B$11*V733</f>
        <v/>
      </c>
      <c r="P733">
        <f>IF(B756=0,0,O733/B756)</f>
        <v/>
      </c>
      <c r="Q733" t="n">
        <v>0</v>
      </c>
      <c r="R733" t="n">
        <v>0</v>
      </c>
      <c r="S733">
        <f>IFERROR(O733/N733,0)</f>
        <v/>
      </c>
      <c r="T733" t="n">
        <v>0</v>
      </c>
      <c r="V733" t="n">
        <v>0</v>
      </c>
    </row>
    <row r="734">
      <c r="A734">
        <f>Skills!A18</f>
        <v/>
      </c>
      <c r="B734">
        <f>Skills!B18</f>
        <v/>
      </c>
      <c r="C734">
        <f>Inputs!$B$3&gt;=115</f>
        <v/>
      </c>
      <c r="D734">
        <f>IF(Skills!C18=1,60+Inputs!$B$25+Inputs!$B$29,IF(Skills!C18=2,90+Inputs!$B$26+Inputs!$B$29,IF(Skills!C18=3,120+Inputs!$B$27+Inputs!$B$29,MAX(0,(Inputs!$B$3-100)*3)+Inputs!$B$28+Inputs!$B$29)))</f>
        <v/>
      </c>
      <c r="E734">
        <f>INDEX(FactorTable!$B$2:$Y$301, MATCH(ROUND(MIN(300,MAX(1,D734)),0), FactorTable!$A$2:$A$301,0), Skills!M18+1)</f>
        <v/>
      </c>
      <c r="F734">
        <f>IF(Skills!N18=TRUE,(Skills!L18/10)*(E734/1000),Skills!L18/10)+Skills!O18</f>
        <v/>
      </c>
      <c r="G734">
        <f>Skills!G18*IF(Skills!H18&gt;0,Skills!I18/Skills!H18,1)</f>
        <v/>
      </c>
      <c r="H734">
        <f>1-(1-Skills!J18/100)^Skills!K18</f>
        <v/>
      </c>
      <c r="I734" t="inlineStr">
        <is>
          <t>1</t>
        </is>
      </c>
      <c r="J734" t="inlineStr"/>
      <c r="K734" t="inlineStr"/>
      <c r="L734" t="inlineStr"/>
      <c r="M734" t="inlineStr"/>
      <c r="N734" t="inlineStr"/>
      <c r="O734">
        <f>(1-Summary!$B$11)*T734+Summary!$B$11*V734</f>
        <v/>
      </c>
      <c r="P734">
        <f>IF(B756=0,0,O734/B756)</f>
        <v/>
      </c>
      <c r="Q734" t="n">
        <v>0</v>
      </c>
      <c r="R734" t="n">
        <v>0</v>
      </c>
      <c r="S734">
        <f>IFERROR(O734/N734,0)</f>
        <v/>
      </c>
      <c r="T734" t="n">
        <v>0</v>
      </c>
      <c r="V734" t="n">
        <v>0</v>
      </c>
    </row>
    <row r="735">
      <c r="A735">
        <f>Skills!A19</f>
        <v/>
      </c>
      <c r="B735">
        <f>Skills!B19</f>
        <v/>
      </c>
      <c r="C735">
        <f>Inputs!$B$3&gt;=15</f>
        <v/>
      </c>
      <c r="D735">
        <f>IF(Skills!C19=1,60+Inputs!$B$25+Inputs!$B$29,IF(Skills!C19=2,90+Inputs!$B$26+Inputs!$B$29,IF(Skills!C19=3,120+Inputs!$B$27+Inputs!$B$29,MAX(0,(Inputs!$B$3-100)*3)+Inputs!$B$28+Inputs!$B$29)))</f>
        <v/>
      </c>
      <c r="E735">
        <f>INDEX(FactorTable!$B$2:$Y$301, MATCH(ROUND(MIN(300,MAX(1,D735)),0), FactorTable!$A$2:$A$301,0), Skills!M19+1)</f>
        <v/>
      </c>
      <c r="F735">
        <f>IF(Skills!N19=TRUE,(Skills!L19/10)*(E735/1000),Skills!L19/10)+Skills!O19</f>
        <v/>
      </c>
      <c r="G735">
        <f>Skills!G19*IF(Skills!H19&gt;0,Skills!I19/Skills!H19,1)</f>
        <v/>
      </c>
      <c r="H735">
        <f>1-(1-Skills!J19/100)^Skills!K19</f>
        <v/>
      </c>
      <c r="I735" t="inlineStr">
        <is>
          <t>1</t>
        </is>
      </c>
      <c r="J735" t="inlineStr"/>
      <c r="K735" t="inlineStr"/>
      <c r="L735" t="inlineStr"/>
      <c r="M735" t="inlineStr"/>
      <c r="N735" t="inlineStr"/>
      <c r="O735">
        <f>(1-Summary!$B$11)*T735+Summary!$B$11*V735</f>
        <v/>
      </c>
      <c r="P735">
        <f>IF(B756=0,0,O735/B756)</f>
        <v/>
      </c>
      <c r="Q735" t="n">
        <v>0</v>
      </c>
      <c r="R735" t="n">
        <v>0</v>
      </c>
      <c r="S735">
        <f>IFERROR(O735/N735,0)</f>
        <v/>
      </c>
      <c r="T735" t="n">
        <v>0</v>
      </c>
      <c r="V735" t="n">
        <v>0</v>
      </c>
    </row>
    <row r="736">
      <c r="A736">
        <f>Skills!A20</f>
        <v/>
      </c>
      <c r="B736">
        <f>Skills!B20</f>
        <v/>
      </c>
      <c r="C736">
        <f>Inputs!$B$3&gt;=10</f>
        <v/>
      </c>
      <c r="D736">
        <f>IF(Skills!C20=1,60+Inputs!$B$25+Inputs!$B$29,IF(Skills!C20=2,90+Inputs!$B$26+Inputs!$B$29,IF(Skills!C20=3,120+Inputs!$B$27+Inputs!$B$29,MAX(0,(Inputs!$B$3-100)*3)+Inputs!$B$28+Inputs!$B$29)))</f>
        <v/>
      </c>
      <c r="E736">
        <f>INDEX(FactorTable!$B$2:$Y$301, MATCH(ROUND(MIN(300,MAX(1,D736)),0), FactorTable!$A$2:$A$301,0), Skills!M20+1)</f>
        <v/>
      </c>
      <c r="F736">
        <f>IF(Skills!N20=TRUE,(Skills!L20/10)*(E736/1000),Skills!L20/10)+Skills!O20</f>
        <v/>
      </c>
      <c r="G736">
        <f>Skills!G20*IF(Skills!H20&gt;0,Skills!I20/Skills!H20,1)</f>
        <v/>
      </c>
      <c r="H736">
        <f>1-(1-Skills!J20/100)^Skills!K20</f>
        <v/>
      </c>
      <c r="I736" t="inlineStr">
        <is>
          <t>1</t>
        </is>
      </c>
      <c r="J736" t="inlineStr"/>
      <c r="K736" t="inlineStr"/>
      <c r="L736" t="inlineStr"/>
      <c r="M736" t="inlineStr"/>
      <c r="N736" t="inlineStr"/>
      <c r="O736">
        <f>(1-Summary!$B$11)*T736+Summary!$B$11*V736</f>
        <v/>
      </c>
      <c r="P736">
        <f>IF(B756=0,0,O736/B756)</f>
        <v/>
      </c>
      <c r="Q736" t="n">
        <v>0</v>
      </c>
      <c r="R736" t="n">
        <v>0</v>
      </c>
      <c r="S736">
        <f>IFERROR(O736/N736,0)</f>
        <v/>
      </c>
      <c r="T736" t="n">
        <v>0</v>
      </c>
      <c r="V736" t="n">
        <v>0</v>
      </c>
    </row>
    <row r="737">
      <c r="A737">
        <f>Skills!A21</f>
        <v/>
      </c>
      <c r="B737">
        <f>Skills!B21</f>
        <v/>
      </c>
      <c r="C737">
        <f>Inputs!$B$3&gt;=33</f>
        <v/>
      </c>
      <c r="D737">
        <f>IF(Skills!C21=1,60+Inputs!$B$25+Inputs!$B$29,IF(Skills!C21=2,90+Inputs!$B$26+Inputs!$B$29,IF(Skills!C21=3,120+Inputs!$B$27+Inputs!$B$29,MAX(0,(Inputs!$B$3-100)*3)+Inputs!$B$28+Inputs!$B$29)))</f>
        <v/>
      </c>
      <c r="E737">
        <f>INDEX(FactorTable!$B$2:$Y$301, MATCH(ROUND(MIN(300,MAX(1,D737)),0), FactorTable!$A$2:$A$301,0), Skills!M21+1)</f>
        <v/>
      </c>
      <c r="F737">
        <f>IF(Skills!N21=TRUE,(Skills!L21/10)*(E737/1000),Skills!L21/10)+Skills!O21</f>
        <v/>
      </c>
      <c r="G737">
        <f>Skills!G21*IF(Skills!H21&gt;0,Skills!I21/Skills!H21,1)</f>
        <v/>
      </c>
      <c r="H737">
        <f>1-(1-Skills!J21/100)^Skills!K21</f>
        <v/>
      </c>
      <c r="I737" t="inlineStr">
        <is>
          <t>1</t>
        </is>
      </c>
      <c r="J737" t="inlineStr"/>
      <c r="K737" t="inlineStr"/>
      <c r="L737" t="inlineStr"/>
      <c r="M737" t="inlineStr"/>
      <c r="N737" t="inlineStr"/>
      <c r="O737">
        <f>(1-Summary!$B$11)*T737+Summary!$B$11*V737</f>
        <v/>
      </c>
      <c r="P737">
        <f>IF(B756=0,0,O737/B756)</f>
        <v/>
      </c>
      <c r="Q737" t="n">
        <v>0</v>
      </c>
      <c r="R737" t="n">
        <v>0</v>
      </c>
      <c r="S737">
        <f>IFERROR(O737/N737,0)</f>
        <v/>
      </c>
      <c r="T737" t="n">
        <v>0</v>
      </c>
      <c r="V737" t="n">
        <v>0</v>
      </c>
    </row>
    <row r="738">
      <c r="A738">
        <f>Skills!A22</f>
        <v/>
      </c>
      <c r="B738">
        <f>Skills!B22</f>
        <v/>
      </c>
      <c r="C738">
        <f>Inputs!$B$3&gt;=43</f>
        <v/>
      </c>
      <c r="D738">
        <f>IF(Skills!C22=1,60+Inputs!$B$25+Inputs!$B$29,IF(Skills!C22=2,90+Inputs!$B$26+Inputs!$B$29,IF(Skills!C22=3,120+Inputs!$B$27+Inputs!$B$29,MAX(0,(Inputs!$B$3-100)*3)+Inputs!$B$28+Inputs!$B$29)))</f>
        <v/>
      </c>
      <c r="E738">
        <f>INDEX(FactorTable!$B$2:$Y$301, MATCH(ROUND(MIN(300,MAX(1,D738)),0), FactorTable!$A$2:$A$301,0), Skills!M22+1)</f>
        <v/>
      </c>
      <c r="F738">
        <f>IF(Skills!N22=TRUE,(Skills!L22/10)*(E738/1000),Skills!L22/10)+Skills!O22</f>
        <v/>
      </c>
      <c r="G738">
        <f>Skills!G22*IF(Skills!H22&gt;0,Skills!I22/Skills!H22,1)</f>
        <v/>
      </c>
      <c r="H738">
        <f>1-(1-Skills!J22/100)^Skills!K22</f>
        <v/>
      </c>
      <c r="I738" t="inlineStr">
        <is>
          <t>1</t>
        </is>
      </c>
      <c r="J738" t="inlineStr"/>
      <c r="K738" t="inlineStr"/>
      <c r="L738" t="inlineStr"/>
      <c r="M738" t="inlineStr"/>
      <c r="N738" t="inlineStr"/>
      <c r="O738">
        <f>(1-Summary!$B$11)*T738+Summary!$B$11*V738</f>
        <v/>
      </c>
      <c r="P738">
        <f>IF(B756=0,0,O738/B756)</f>
        <v/>
      </c>
      <c r="Q738" t="n">
        <v>0</v>
      </c>
      <c r="R738" t="n">
        <v>0</v>
      </c>
      <c r="S738">
        <f>IFERROR(O738/N738,0)</f>
        <v/>
      </c>
      <c r="T738" t="n">
        <v>0</v>
      </c>
      <c r="V738" t="n">
        <v>0</v>
      </c>
    </row>
    <row r="739">
      <c r="A739">
        <f>Skills!A23</f>
        <v/>
      </c>
      <c r="B739">
        <f>Skills!B23</f>
        <v/>
      </c>
      <c r="C739">
        <f>Inputs!$B$3&gt;=38</f>
        <v/>
      </c>
      <c r="D739">
        <f>IF(Skills!C23=1,60+Inputs!$B$25+Inputs!$B$29,IF(Skills!C23=2,90+Inputs!$B$26+Inputs!$B$29,IF(Skills!C23=3,120+Inputs!$B$27+Inputs!$B$29,MAX(0,(Inputs!$B$3-100)*3)+Inputs!$B$28+Inputs!$B$29)))</f>
        <v/>
      </c>
      <c r="E739">
        <f>INDEX(FactorTable!$B$2:$Y$301, MATCH(ROUND(MIN(300,MAX(1,D739)),0), FactorTable!$A$2:$A$301,0), Skills!M23+1)</f>
        <v/>
      </c>
      <c r="F739">
        <f>IF(Skills!N23=TRUE,(Skills!L23/10)*(E739/1000),Skills!L23/10)+Skills!O23</f>
        <v/>
      </c>
      <c r="G739">
        <f>Skills!G23*IF(Skills!H23&gt;0,Skills!I23/Skills!H23,1)</f>
        <v/>
      </c>
      <c r="H739">
        <f>1-(1-Skills!J23/100)^Skills!K23</f>
        <v/>
      </c>
      <c r="I739" t="inlineStr">
        <is>
          <t>1</t>
        </is>
      </c>
      <c r="J739" t="inlineStr"/>
      <c r="K739" t="inlineStr"/>
      <c r="L739" t="inlineStr"/>
      <c r="M739" t="inlineStr"/>
      <c r="N739" t="inlineStr"/>
      <c r="O739">
        <f>(1-Summary!$B$11)*T739+Summary!$B$11*V739</f>
        <v/>
      </c>
      <c r="P739">
        <f>IF(B756=0,0,O739/B756)</f>
        <v/>
      </c>
      <c r="Q739" t="n">
        <v>0</v>
      </c>
      <c r="R739" t="n">
        <v>0</v>
      </c>
      <c r="S739">
        <f>IFERROR(O739/N739,0)</f>
        <v/>
      </c>
      <c r="T739" t="n">
        <v>0</v>
      </c>
      <c r="V739" t="n">
        <v>0</v>
      </c>
    </row>
    <row r="740">
      <c r="A740">
        <f>Skills!A24</f>
        <v/>
      </c>
      <c r="B740">
        <f>Skills!B24</f>
        <v/>
      </c>
      <c r="C740">
        <f>Inputs!$B$3&gt;=40</f>
        <v/>
      </c>
      <c r="D740">
        <f>IF(Skills!C24=1,60+Inputs!$B$25+Inputs!$B$29,IF(Skills!C24=2,90+Inputs!$B$26+Inputs!$B$29,IF(Skills!C24=3,120+Inputs!$B$27+Inputs!$B$29,MAX(0,(Inputs!$B$3-100)*3)+Inputs!$B$28+Inputs!$B$29)))</f>
        <v/>
      </c>
      <c r="E740">
        <f>INDEX(FactorTable!$B$2:$Y$301, MATCH(ROUND(MIN(300,MAX(1,D740)),0), FactorTable!$A$2:$A$301,0), Skills!M24+1)</f>
        <v/>
      </c>
      <c r="F740">
        <f>IF(Skills!N24=TRUE,(Skills!L24/10)*(E740/1000),Skills!L24/10)+Skills!O24</f>
        <v/>
      </c>
      <c r="G740">
        <f>Skills!G24*IF(Skills!H24&gt;0,Skills!I24/Skills!H24,1)</f>
        <v/>
      </c>
      <c r="H740">
        <f>1-(1-Skills!J24/100)^Skills!K24</f>
        <v/>
      </c>
      <c r="I740" t="inlineStr">
        <is>
          <t>1</t>
        </is>
      </c>
      <c r="J740" t="inlineStr"/>
      <c r="K740" t="inlineStr"/>
      <c r="L740" t="inlineStr"/>
      <c r="M740" t="inlineStr"/>
      <c r="N740" t="inlineStr"/>
      <c r="O740">
        <f>(1-Summary!$B$11)*T740+Summary!$B$11*V740</f>
        <v/>
      </c>
      <c r="P740">
        <f>IF(B756=0,0,O740/B756)</f>
        <v/>
      </c>
      <c r="Q740" t="n">
        <v>0</v>
      </c>
      <c r="R740" t="n">
        <v>0</v>
      </c>
      <c r="S740">
        <f>IFERROR(O740/N740,0)</f>
        <v/>
      </c>
      <c r="T740" t="n">
        <v>0</v>
      </c>
      <c r="V740" t="n">
        <v>0</v>
      </c>
    </row>
    <row r="741">
      <c r="A741">
        <f>Skills!A25</f>
        <v/>
      </c>
      <c r="B741">
        <f>Skills!B25</f>
        <v/>
      </c>
      <c r="C741">
        <f>Inputs!$B$3&gt;=72</f>
        <v/>
      </c>
      <c r="D741">
        <f>IF(Skills!C25=1,60+Inputs!$B$25+Inputs!$B$29,IF(Skills!C25=2,90+Inputs!$B$26+Inputs!$B$29,IF(Skills!C25=3,120+Inputs!$B$27+Inputs!$B$29,MAX(0,(Inputs!$B$3-100)*3)+Inputs!$B$28+Inputs!$B$29)))</f>
        <v/>
      </c>
      <c r="E741">
        <f>INDEX(FactorTable!$B$2:$Y$301, MATCH(ROUND(MIN(300,MAX(1,D741)),0), FactorTable!$A$2:$A$301,0), Skills!M25+1)</f>
        <v/>
      </c>
      <c r="F741">
        <f>IF(Skills!N25=TRUE,(Skills!L25/10)*(E741/1000),Skills!L25/10)+Skills!O25</f>
        <v/>
      </c>
      <c r="G741">
        <f>Skills!G25*IF(Skills!H25&gt;0,Skills!I25/Skills!H25,1)</f>
        <v/>
      </c>
      <c r="H741">
        <f>1-(1-Skills!J25/100)^Skills!K25</f>
        <v/>
      </c>
      <c r="I741" t="inlineStr">
        <is>
          <t>1</t>
        </is>
      </c>
      <c r="J741" t="inlineStr"/>
      <c r="K741" t="inlineStr"/>
      <c r="L741" t="inlineStr"/>
      <c r="M741" t="inlineStr"/>
      <c r="N741" t="inlineStr"/>
      <c r="O741">
        <f>(1-Summary!$B$11)*T741+Summary!$B$11*V741</f>
        <v/>
      </c>
      <c r="P741">
        <f>IF(B756=0,0,O741/B756)</f>
        <v/>
      </c>
      <c r="Q741" t="n">
        <v>0</v>
      </c>
      <c r="R741" t="n">
        <v>0</v>
      </c>
      <c r="S741">
        <f>IFERROR(O741/N741,0)</f>
        <v/>
      </c>
      <c r="T741" t="n">
        <v>0</v>
      </c>
      <c r="V741" t="n">
        <v>0</v>
      </c>
    </row>
    <row r="742">
      <c r="A742">
        <f>Skills!A26</f>
        <v/>
      </c>
      <c r="B742">
        <f>Skills!B26</f>
        <v/>
      </c>
      <c r="C742">
        <f>Inputs!$B$3&gt;=75</f>
        <v/>
      </c>
      <c r="D742">
        <f>IF(Skills!C26=1,60+Inputs!$B$25+Inputs!$B$29,IF(Skills!C26=2,90+Inputs!$B$26+Inputs!$B$29,IF(Skills!C26=3,120+Inputs!$B$27+Inputs!$B$29,MAX(0,(Inputs!$B$3-100)*3)+Inputs!$B$28+Inputs!$B$29)))</f>
        <v/>
      </c>
      <c r="E742">
        <f>INDEX(FactorTable!$B$2:$Y$301, MATCH(ROUND(MIN(300,MAX(1,D742)),0), FactorTable!$A$2:$A$301,0), Skills!M26+1)</f>
        <v/>
      </c>
      <c r="F742">
        <f>IF(Skills!N26=TRUE,(Skills!L26/10)*(E742/1000),Skills!L26/10)+Skills!O26</f>
        <v/>
      </c>
      <c r="G742">
        <f>Skills!G26*IF(Skills!H26&gt;0,Skills!I26/Skills!H26,1)</f>
        <v/>
      </c>
      <c r="H742">
        <f>1-(1-Skills!J26/100)^Skills!K26</f>
        <v/>
      </c>
      <c r="I742" t="inlineStr">
        <is>
          <t>1</t>
        </is>
      </c>
      <c r="J742" t="inlineStr"/>
      <c r="K742" t="inlineStr"/>
      <c r="L742" t="inlineStr"/>
      <c r="M742" t="inlineStr"/>
      <c r="N742" t="inlineStr"/>
      <c r="O742">
        <f>(1-Summary!$B$11)*T742+Summary!$B$11*V742</f>
        <v/>
      </c>
      <c r="P742">
        <f>IF(B756=0,0,O742/B756)</f>
        <v/>
      </c>
      <c r="Q742" t="n">
        <v>0</v>
      </c>
      <c r="R742" t="n">
        <v>0</v>
      </c>
      <c r="S742">
        <f>IFERROR(O742/N742,0)</f>
        <v/>
      </c>
      <c r="T742" t="n">
        <v>0</v>
      </c>
      <c r="V742" t="n">
        <v>0</v>
      </c>
    </row>
    <row r="743">
      <c r="A743">
        <f>Skills!A27</f>
        <v/>
      </c>
      <c r="B743">
        <f>Skills!B27</f>
        <v/>
      </c>
      <c r="C743">
        <f>Inputs!$B$3&gt;=117</f>
        <v/>
      </c>
      <c r="D743">
        <f>IF(Skills!C27=1,60+Inputs!$B$25+Inputs!$B$29,IF(Skills!C27=2,90+Inputs!$B$26+Inputs!$B$29,IF(Skills!C27=3,120+Inputs!$B$27+Inputs!$B$29,MAX(0,(Inputs!$B$3-100)*3)+Inputs!$B$28+Inputs!$B$29)))</f>
        <v/>
      </c>
      <c r="E743">
        <f>INDEX(FactorTable!$B$2:$Y$301, MATCH(ROUND(MIN(300,MAX(1,D743)),0), FactorTable!$A$2:$A$301,0), Skills!M27+1)</f>
        <v/>
      </c>
      <c r="F743">
        <f>IF(Skills!N27=TRUE,(Skills!L27/10)*(E743/1000),Skills!L27/10)+Skills!O27</f>
        <v/>
      </c>
      <c r="G743">
        <f>Skills!G27*IF(Skills!H27&gt;0,Skills!I27/Skills!H27,1)</f>
        <v/>
      </c>
      <c r="H743">
        <f>1-(1-Skills!J27/100)^Skills!K27</f>
        <v/>
      </c>
      <c r="I743" t="inlineStr">
        <is>
          <t>1</t>
        </is>
      </c>
      <c r="J743" t="inlineStr"/>
      <c r="K743" t="inlineStr"/>
      <c r="L743" t="inlineStr"/>
      <c r="M743" t="inlineStr"/>
      <c r="N743" t="inlineStr"/>
      <c r="O743">
        <f>(1-Summary!$B$11)*T743+Summary!$B$11*V743</f>
        <v/>
      </c>
      <c r="P743">
        <f>IF(B756=0,0,O743/B756)</f>
        <v/>
      </c>
      <c r="Q743" t="n">
        <v>0</v>
      </c>
      <c r="R743" t="n">
        <v>0</v>
      </c>
      <c r="S743">
        <f>IFERROR(O743/N743,0)</f>
        <v/>
      </c>
      <c r="T743" t="n">
        <v>0</v>
      </c>
      <c r="V743" t="n">
        <v>0</v>
      </c>
    </row>
    <row r="745">
      <c r="A745" t="inlineStr">
        <is>
          <t>Attack% Bucket Multiplier</t>
        </is>
      </c>
      <c r="B745">
        <f>(1+(((C733=TRUE)*F733)+((C740=TRUE)*(F740-Calc!F24))+(IF(ArtifactsInput!$M$21,CHOOSE(ArtifactsInput!$N$21+1,25,30,35,40,45,50)*(IF(OR(Inputs!$B$4="Chapter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46">
      <c r="A746" t="inlineStr">
        <is>
          <t>Global Crit Rate Bonus %</t>
        </is>
      </c>
      <c r="B746" t="n">
        <v>0</v>
      </c>
    </row>
    <row r="747">
      <c r="A747" t="inlineStr">
        <is>
          <t>Attack Speed Buff Bonus % (unused)</t>
        </is>
      </c>
      <c r="B747" t="n">
        <v>0</v>
      </c>
    </row>
    <row r="748">
      <c r="A748" t="inlineStr">
        <is>
          <t>Actions Per Second</t>
        </is>
      </c>
      <c r="B748">
        <f>1+MIN(150,150*(1-(1-(Inputs!$B$11+((C736=TRUE)*(F736-Calc!F20))+((C737=TRUE)*(F737-Calc!F21)))/150)*(1-B747/150)))/100</f>
        <v/>
      </c>
    </row>
    <row r="749">
      <c r="A749" t="inlineStr">
        <is>
          <t>Skill + Buff Cast Rate</t>
        </is>
      </c>
      <c r="B749">
        <f>IF(AND(Inputs!$B$38&lt;&gt;"pvp",Inputs!$B$43&gt;0),SUMPRODUCT((Skills!E2:E27=TRUE)*(C718:C743=TRUE)*R718:R743*Skills!F2:F27)/Inputs!$B$43,SUMPRODUCT((Skills!E2:E27=TRUE)*(C718:C743=TRUE)*Q718:Q743*Skills!F2:F27))</f>
        <v/>
      </c>
    </row>
    <row r="750">
      <c r="A750" t="inlineStr">
        <is>
          <t>Eight-Legs Easton Casts Per Second</t>
        </is>
      </c>
      <c r="B750">
        <f>MAX(0,B748-B749)</f>
        <v/>
      </c>
    </row>
    <row r="751">
      <c r="A751" t="inlineStr">
        <is>
          <t>Global Critical Damage Bonus % (unused)</t>
        </is>
      </c>
      <c r="B751" t="n">
        <v>0</v>
      </c>
    </row>
    <row r="752">
      <c r="A752" t="inlineStr">
        <is>
          <t>Global Final Damage Bonus % (Jolly Roger only)</t>
        </is>
      </c>
      <c r="B752">
        <f>((C734=TRUE)*F734)</f>
        <v/>
      </c>
    </row>
    <row r="753">
      <c r="A753" t="inlineStr">
        <is>
          <t>Buff-Casting Startup Delay (s, fixed-duration only)</t>
        </is>
      </c>
      <c r="B753">
        <f>IF(AND(Inputs!$B$38&lt;&gt;"pvp",Inputs!$B$43&gt;0),SUMPRODUCT((Skills!T2:T27&gt;0)*(Skills!E2:E27=TRUE)*(C718:C743=TRUE))/B748,0)</f>
        <v/>
      </c>
    </row>
    <row r="754">
      <c r="A754" t="inlineStr">
        <is>
          <t>Boss-Only Total DPS (this block's swept value)</t>
        </is>
      </c>
      <c r="B754">
        <f>SUM(T718:T743)</f>
        <v/>
      </c>
    </row>
    <row r="755">
      <c r="A755" t="inlineStr">
        <is>
          <t>Normal-Only Total DPS (this block's swept value)</t>
        </is>
      </c>
      <c r="B755">
        <f>SUM(V718:V743)</f>
        <v/>
      </c>
    </row>
    <row r="756">
      <c r="A756" s="6" t="inlineStr">
        <is>
          <t>TOTAL DPS</t>
        </is>
      </c>
      <c r="B756" s="6">
        <f>SUM(O718:O743)</f>
        <v/>
      </c>
    </row>
    <row r="759">
      <c r="A759" s="6" t="inlineStr">
        <is>
          <t>Stat: Skill Level Bonus — 1st Job</t>
        </is>
      </c>
    </row>
    <row r="760">
      <c r="A760" s="5" t="inlineStr">
        <is>
          <t>Key</t>
        </is>
      </c>
      <c r="B760" s="5" t="inlineStr">
        <is>
          <t>Name</t>
        </is>
      </c>
      <c r="C760" s="5" t="inlineStr">
        <is>
          <t>Unlocked</t>
        </is>
      </c>
      <c r="D760" s="5" t="inlineStr">
        <is>
          <t>InputLevel</t>
        </is>
      </c>
      <c r="E760" s="5" t="inlineStr">
        <is>
          <t>Factor</t>
        </is>
      </c>
      <c r="F760" s="5" t="inlineStr">
        <is>
          <t>CoefficientPercent</t>
        </is>
      </c>
      <c r="G760" s="5" t="inlineStr">
        <is>
          <t>EffectiveHits</t>
        </is>
      </c>
      <c r="H760" s="5" t="inlineStr">
        <is>
          <t>ProcProbability</t>
        </is>
      </c>
      <c r="I760" s="5" t="inlineStr">
        <is>
          <t>MapleHeroMultiplier</t>
        </is>
      </c>
      <c r="J760" s="5" t="inlineStr">
        <is>
          <t>BaseDamage</t>
        </is>
      </c>
      <c r="K760" s="5" t="inlineStr">
        <is>
          <t>BaseHitDamage</t>
        </is>
      </c>
      <c r="L760" s="5" t="inlineStr">
        <is>
          <t>NonCritAvg</t>
        </is>
      </c>
      <c r="M760" s="5" t="inlineStr">
        <is>
          <t>CritAvg</t>
        </is>
      </c>
      <c r="N760" s="5" t="inlineStr">
        <is>
          <t>ExpectedDamage(perHit)</t>
        </is>
      </c>
      <c r="O760" s="5" t="inlineStr">
        <is>
          <t>DPS</t>
        </is>
      </c>
      <c r="P760" s="5" t="inlineStr">
        <is>
          <t>% of Total</t>
        </is>
      </c>
      <c r="Q760" s="5" t="inlineStr">
        <is>
          <t>InvCooldown</t>
        </is>
      </c>
      <c r="R760" s="5" t="inlineStr">
        <is>
          <t>CastsInFight</t>
        </is>
      </c>
      <c r="S760" s="5" t="inlineStr">
        <is>
          <t>HitRate(perSec)</t>
        </is>
      </c>
      <c r="U760" t="inlineStr">
        <is>
          <t>helpers</t>
        </is>
      </c>
    </row>
    <row r="761">
      <c r="A761">
        <f>Skills!A2</f>
        <v/>
      </c>
      <c r="B761">
        <f>Skills!B2</f>
        <v/>
      </c>
      <c r="C761">
        <f>Inputs!$B$3&gt;=100</f>
        <v/>
      </c>
      <c r="D761" t="inlineStr"/>
      <c r="E761" t="inlineStr"/>
      <c r="F761">
        <f>U763+Skills!O2</f>
        <v/>
      </c>
      <c r="G761">
        <f>Skills!G2*IF(Skills!H2&gt;0,Skills!I2/Skills!H2,1)</f>
        <v/>
      </c>
      <c r="H761">
        <f>1-(1-Skills!J2/100)^Skills!K2</f>
        <v/>
      </c>
      <c r="I761" t="inlineStr">
        <is>
          <t>1</t>
        </is>
      </c>
      <c r="J761">
        <f>((Inputs!$B$6*(1+Inputs!$B$7/100))+(((Inputs!$B$12*(1+Inputs!$B$13/100))-(Inputs!$B$12*(1+Inputs!$B$13/100)))+0.25*(Inputs!$B$14-Inputs!$B$14))*(1+Inputs!$B$7/100))*(F761/100)</f>
        <v/>
      </c>
      <c r="K761">
        <f>J761*(1+((Inputs!$B$12*(1+Inputs!$B$13/100))*0.01+Inputs!$B$14*0.0025)/100)*(1+Inputs!$B$15/100)*(1+Inputs!$B$16/100)*(5000/(6000+Inputs!$B$42*(1-(100*(1-(1-(Inputs!$B$19+0)/100)*(1-CHOOSE(ArtifactsInput!$N$40+1,5,6,7,8,9,10)/100)^(ArtifactsInput!$M$40-ArtifactsInput!$M$40)))/100)))*(1+(Inputs!$B$24+((C785=TRUE)*(F785-Calc!F26))+B795)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782=TRUE)*(F782-Calc!F23))+((C786=TRUE)*(F786-Calc!F27))+(((IF(AND(ArtifactsInput!$M$42,((Inputs!$B$9+((C778=TRUE)*(F778-Calc!F19))+B789+(ArtifactsInput!$M$24-ArtifactsInput!$M$24)*CHOOSE(ArtifactsInput!$N$24+1,10,12,14,16,18,20)+IF(ArtifactsInput!$M$10,CHOOSE(ArtifactsInput!$N$10+1,15,18,21,24,27,30)*(IF(Inputs!$B$38="pvp",MIN(15,15)/15,IF(AND(Inputs!$B$38&lt;&gt;"pvp",Inputs!$B$43&gt;0),MIN(15,Inputs!$B$43)/(Inputs!$B$43),0))),0)))&gt;=100),MIN(100,((Inputs!$B$9+((C778=TRUE)*(F778-Calc!F19))+B789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778=TRUE)*(F778-Calc!F19))+B789+(ArtifactsInput!$M$24-ArtifactsInput!$M$24)*CHOOSE(ArtifactsInput!$N$24+1,10,12,14,16,18,20)+IF(ArtifactsInput!$M$10,CHOOSE(ArtifactsInput!$N$10+1,15,18,21,24,27,30)*(IF(Inputs!$B$38="pvp",MIN(15,15)/15,IF(AND(Inputs!$B$38&lt;&gt;"pvp",Inputs!$B$43&gt;0),MIN(15,Inputs!$B$43)/(Inputs!$B$43),0))),0)))&gt;=100),CHOOSE(ArtifactsInput!$N$42+1,40,48,56,64,72,80),0))))/100)*((1+(((C776=TRUE)*F776)+((C783=TRUE)*(F783-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761)</f>
        <v/>
      </c>
      <c r="L761">
        <f>K761*(MIN(Inputs!$B$22+((C781=TRUE)*(F781-Calc!F22)),(Inputs!$B$23+0+(IF(ArtifactsInput!$M$15,CHOOSE(ArtifactsInput!$N$15+1,25,30,35,40,45,50)/100*(Inputs!$B$11-Inputs!$B$11),0))))/100+(Inputs!$B$23+0+(IF(ArtifactsInput!$M$15,CHOOSE(ArtifactsInput!$N$15+1,25,30,35,40,45,50)/100*(Inputs!$B$11-Inputs!$B$11),0)))/100)/2</f>
        <v/>
      </c>
      <c r="M761">
        <f>L761*(1+(Inputs!$B$10+((C784=TRUE)*(F784-Calc!F25))+B794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1">
        <f>L761*(1-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1">
        <f>(1-Summary!$B$11)*T761+Summary!$B$11*V761</f>
        <v/>
      </c>
      <c r="P761">
        <f>IF(B799=0,0,O761/B799)</f>
        <v/>
      </c>
      <c r="Q761" t="n">
        <v>0</v>
      </c>
      <c r="R761" t="n">
        <v>0</v>
      </c>
      <c r="S761">
        <f>IFERROR(O761/N761,0)</f>
        <v/>
      </c>
      <c r="T761">
        <f>IF(C761,(Skills!G2*N761*B793)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61">
        <f>MAX(0,(Inputs!$B$3-100)*3)+Inputs!$B$28+Inputs!$B$29</f>
        <v/>
      </c>
      <c r="V761">
        <f>IF(C761,(Skills!G2*N761*B793)*IF(Inputs!$B$38="pvp",1,(1+(Inputs!$B$21+Skills!Q2+(IF(ArtifactsInput!$M$33,CHOOSE(ArtifactsInput!$N$33+1,30,36,42,48,54,60),0))+(IF(AND(ArtifactsInput!$M$35,Inputs!$B$4&lt;&gt;"Chapter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2">
      <c r="A762">
        <f>Skills!A3</f>
        <v/>
      </c>
      <c r="B762">
        <f>Skills!B3</f>
        <v/>
      </c>
      <c r="C762">
        <f>Inputs!$B$3&gt;=35</f>
        <v/>
      </c>
      <c r="D762">
        <f>IF(Skills!C3=1,60+(Inputs!$B$25+1)+Inputs!$B$29,IF(Skills!C3=2,90+Inputs!$B$26+Inputs!$B$29,IF(Skills!C3=3,120+Inputs!$B$27+Inputs!$B$29,MAX(0,(Inputs!$B$3-100)*3)+Inputs!$B$28+Inputs!$B$29)))</f>
        <v/>
      </c>
      <c r="E762">
        <f>INDEX(FactorTable!$B$2:$Y$301, MATCH(ROUND(MIN(300,MAX(1,D762)),0), FactorTable!$A$2:$A$301,0), Skills!M3+1)</f>
        <v/>
      </c>
      <c r="F762">
        <f>IF(Skills!N3=TRUE,(Skills!L3/10)*(E762/1000),Skills!L3/10)+Skills!O3</f>
        <v/>
      </c>
      <c r="G762">
        <f>Skills!G3*IF(Skills!H3&gt;0,Skills!I3/Skills!H3,1)</f>
        <v/>
      </c>
      <c r="H762">
        <f>1-(1-Skills!J3/100)^Skills!K3</f>
        <v/>
      </c>
      <c r="I762" t="inlineStr">
        <is>
          <t>1</t>
        </is>
      </c>
      <c r="J762">
        <f>((Inputs!$B$6*(1+Inputs!$B$7/100))+(((Inputs!$B$12*(1+Inputs!$B$13/100))-(Inputs!$B$12*(1+Inputs!$B$13/100)))+0.25*(Inputs!$B$14-Inputs!$B$14))*(1+Inputs!$B$7/100))*(F762/100)</f>
        <v/>
      </c>
      <c r="K762">
        <f>J762*(1+((Inputs!$B$12*(1+Inputs!$B$13/100))*0.01+Inputs!$B$14*0.0025)/100)*(1+Inputs!$B$15/100)*(1+Inputs!$B$16/100)*(5000/(6000+Inputs!$B$42*(1-(100*(1-(1-(Inputs!$B$19+0)/100)*(1-CHOOSE(ArtifactsInput!$N$40+1,5,6,7,8,9,10)/100)^(ArtifactsInput!$M$40-ArtifactsInput!$M$40)))/100)))*(1+(Inputs!$B$24+((C785=TRUE)*(F785-Calc!F26))+B795)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774=TRUE,F774,0)/100)*(1+(IF(Skills!A3="EIGHT_LEGS_EASTON",Inputs!$B$17+((C782=TRUE)*(F782-Calc!F23))+((C786=TRUE)*(F786-Calc!F27))+(((IF(AND(ArtifactsInput!$M$42,((Inputs!$B$9+((C778=TRUE)*(F778-Calc!F19))+B789+(ArtifactsInput!$M$24-ArtifactsInput!$M$24)*CHOOSE(ArtifactsInput!$N$24+1,10,12,14,16,18,20)+IF(ArtifactsInput!$M$10,CHOOSE(ArtifactsInput!$N$10+1,15,18,21,24,27,30)*(IF(Inputs!$B$38="pvp",MIN(15,15)/15,IF(AND(Inputs!$B$38&lt;&gt;"pvp",Inputs!$B$43&gt;0),MIN(15,Inputs!$B$43)/(Inputs!$B$43),0))),0)))&gt;=100),MIN(100,((Inputs!$B$9+((C778=TRUE)*(F778-Calc!F19))+B789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778=TRUE)*(F778-Calc!F19))+B789+(ArtifactsInput!$M$24-ArtifactsInput!$M$24)*CHOOSE(ArtifactsInput!$N$24+1,10,12,14,16,18,20)+IF(ArtifactsInput!$M$10,CHOOSE(ArtifactsInput!$N$10+1,15,18,21,24,27,30)*(IF(Inputs!$B$38="pvp",MIN(15,15)/15,IF(AND(Inputs!$B$38&lt;&gt;"pvp",Inputs!$B$43&gt;0),MIN(15,Inputs!$B$43)/(Inputs!$B$43),0))),0)))&gt;=100),CHOOSE(ArtifactsInput!$N$42+1,40,48,56,64,72,80),0))))/100)*((1+(((C776=TRUE)*F776)+((C783=TRUE)*(F783-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762)</f>
        <v/>
      </c>
      <c r="L762">
        <f>K762*(MIN(Inputs!$B$22+((C781=TRUE)*(F781-Calc!F22)),(Inputs!$B$23+0+(IF(ArtifactsInput!$M$15,CHOOSE(ArtifactsInput!$N$15+1,25,30,35,40,45,50)/100*(Inputs!$B$11-Inputs!$B$11),0))))/100+(Inputs!$B$23+0+(IF(ArtifactsInput!$M$15,CHOOSE(ArtifactsInput!$N$15+1,25,30,35,40,45,50)/100*(Inputs!$B$11-Inputs!$B$11),0)))/100)/2</f>
        <v/>
      </c>
      <c r="M762">
        <f>L762*(1+(Inputs!$B$10+((C784=TRUE)*(F784-Calc!F25))+B794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2">
        <f>L762*(1-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762*(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2">
        <f>(1-Summary!$B$11)*T762+Summary!$B$11*V762</f>
        <v/>
      </c>
      <c r="P762">
        <f>IF(B799=0,0,O762/B799)</f>
        <v/>
      </c>
      <c r="Q762">
        <f>IFERROR(1/(IF(Inputs!$B$38="pvp",15,MAX(0.1,Skills!D3-IF(Skills!E3=TRUE,Inputs!$B$32,0)))*(1-IF(AND(ArtifactsInput!$M$27,Inputs!$B$4="Chapter Hunt"),CHOOSE(ArtifactsInput!$N$27+1,20,24,28,32,36,40),0)/100)),0)</f>
        <v/>
      </c>
      <c r="R762">
        <f>IF(AND(Inputs!$B$38&lt;&gt;"pvp",Inputs!$B$43&gt;0),IF(MAX(0,Inputs!$B$43-B796)&lt;=0,0,(INT(MAX(0,Inputs!$B$43-B796)/(IF(Inputs!$B$38="pvp",15,MAX(0.1,Skills!D3-IF(Skills!E3=TRUE,Inputs!$B$32,0)))*(1-IF(AND(ArtifactsInput!$M$27,Inputs!$B$4="Chapter Hunt"),CHOOSE(ArtifactsInput!$N$27+1,20,24,28,32,36,40),0)/100)))+1)),0)</f>
        <v/>
      </c>
      <c r="S762">
        <f>IFERROR(O762/N762,0)</f>
        <v/>
      </c>
      <c r="T762">
        <f>IF(C762,(H762*N762*IF(AND(Inputs!$B$38&lt;&gt;"pvp",Inputs!$B$43&gt;0),((Skills!G3*((R762-1)*IF(Skills!H3&gt;0,Skills!I3/Skills!H3,1)+IF(Skills!H3&gt;0,MIN(Skills!I3,MAX(0,MAX(0,Inputs!$B$43-B796)-((R762-1)*(IF(Inputs!$B$38="pvp",15,MAX(0.1,Skills!D3-IF(Skills!E3=TRUE,Inputs!$B$32,0)))*(1-IF(AND(ArtifactsInput!$M$27,Inputs!$B$4="Chapter Hunt"),CHOOSE(ArtifactsInput!$N$27+1,20,24,28,32,36,40),0)/100)))))/Skills!H3,1)))/Inputs!$B$43),G762*Q762)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762*(1-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762*(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762*(1-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762*(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62">
        <f>INDEX(FactorTable!$B$2:$Y$301, MATCH(ROUND(MIN(300,MAX(1,U761)),0), FactorTable!$A$2:$A$301,0), 22)</f>
        <v/>
      </c>
      <c r="V762">
        <f>IF(C762,(H762*N762*IF(AND(Inputs!$B$38&lt;&gt;"pvp",Inputs!$B$43&gt;0),((Skills!G3*((R762-1)*IF(Skills!H3&gt;0,Skills!I3/Skills!H3,1)+IF(Skills!H3&gt;0,MIN(Skills!I3,MAX(0,MAX(0,Inputs!$B$43-B796)-((R762-1)*(IF(Inputs!$B$38="pvp",15,MAX(0.1,Skills!D3-IF(Skills!E3=TRUE,Inputs!$B$32,0)))*(1-IF(AND(ArtifactsInput!$M$27,Inputs!$B$4="Chapter Hunt"),CHOOSE(ArtifactsInput!$N$27+1,20,24,28,32,36,40),0)/100)))))/Skills!H3,1)))/Inputs!$B$43),G762*Q762))*IF(Inputs!$B$38="pvp",1,(1+(Inputs!$B$21+Skills!Q3+(IF(ArtifactsInput!$M$33,CHOOSE(ArtifactsInput!$N$33+1,30,36,42,48,54,60)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3">
      <c r="A763">
        <f>Skills!A4</f>
        <v/>
      </c>
      <c r="B763">
        <f>Skills!B4</f>
        <v/>
      </c>
      <c r="C763">
        <f>Inputs!$B$3&gt;=40</f>
        <v/>
      </c>
      <c r="D763">
        <f>IF(Skills!C4=1,60+(Inputs!$B$25+1)+Inputs!$B$29,IF(Skills!C4=2,90+Inputs!$B$26+Inputs!$B$29,IF(Skills!C4=3,120+Inputs!$B$27+Inputs!$B$29,MAX(0,(Inputs!$B$3-100)*3)+Inputs!$B$28+Inputs!$B$29)))</f>
        <v/>
      </c>
      <c r="E763">
        <f>INDEX(FactorTable!$B$2:$Y$301, MATCH(ROUND(MIN(300,MAX(1,D763)),0), FactorTable!$A$2:$A$301,0), Skills!M4+1)</f>
        <v/>
      </c>
      <c r="F763">
        <f>IF(Skills!N4=TRUE,(Skills!L4/10)*(E763/1000),Skills!L4/10)+Skills!O4</f>
        <v/>
      </c>
      <c r="G763">
        <f>Skills!G4*IF(Skills!H4&gt;0,Skills!I4/Skills!H4,1)</f>
        <v/>
      </c>
      <c r="H763">
        <f>1-(1-Skills!J4/100)^Skills!K4</f>
        <v/>
      </c>
      <c r="I763" t="inlineStr">
        <is>
          <t>1</t>
        </is>
      </c>
      <c r="J763">
        <f>((Inputs!$B$6*(1+Inputs!$B$7/100))+(((Inputs!$B$12*(1+Inputs!$B$13/100))-(Inputs!$B$12*(1+Inputs!$B$13/100)))+0.25*(Inputs!$B$14-Inputs!$B$14))*(1+Inputs!$B$7/100))*(F763/100)</f>
        <v/>
      </c>
      <c r="K763">
        <f>J763*(1+((Inputs!$B$12*(1+Inputs!$B$13/100))*0.01+Inputs!$B$14*0.0025)/100)*(1+Inputs!$B$15/100)*(1+Inputs!$B$16/100)*(5000/(6000+Inputs!$B$42*(1-(100*(1-(1-(Inputs!$B$19+0)/100)*(1-CHOOSE(ArtifactsInput!$N$40+1,5,6,7,8,9,10)/100)^(ArtifactsInput!$M$40-ArtifactsInput!$M$40)))/100)))*(1+(Inputs!$B$24+((C785=TRUE)*(F785-Calc!F26))+B795)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775=TRUE,F775,0)/100)*(1+(IF(Skills!A4="EIGHT_LEGS_EASTON",Inputs!$B$17+((C782=TRUE)*(F782-Calc!F23))+((C786=TRUE)*(F786-Calc!F27))+(((IF(AND(ArtifactsInput!$M$42,((Inputs!$B$9+((C778=TRUE)*(F778-Calc!F19))+B789+(ArtifactsInput!$M$24-ArtifactsInput!$M$24)*CHOOSE(ArtifactsInput!$N$24+1,10,12,14,16,18,20)+IF(ArtifactsInput!$M$10,CHOOSE(ArtifactsInput!$N$10+1,15,18,21,24,27,30)*(IF(Inputs!$B$38="pvp",MIN(15,15)/15,IF(AND(Inputs!$B$38&lt;&gt;"pvp",Inputs!$B$43&gt;0),MIN(15,Inputs!$B$43)/(Inputs!$B$43),0))),0)))&gt;=100),MIN(100,((Inputs!$B$9+((C778=TRUE)*(F778-Calc!F19))+B789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778=TRUE)*(F778-Calc!F19))+B789+(ArtifactsInput!$M$24-ArtifactsInput!$M$24)*CHOOSE(ArtifactsInput!$N$24+1,10,12,14,16,18,20)+IF(ArtifactsInput!$M$10,CHOOSE(ArtifactsInput!$N$10+1,15,18,21,24,27,30)*(IF(Inputs!$B$38="pvp",MIN(15,15)/15,IF(AND(Inputs!$B$38&lt;&gt;"pvp",Inputs!$B$43&gt;0),MIN(15,Inputs!$B$43)/(Inputs!$B$43),0))),0)))&gt;=100),CHOOSE(ArtifactsInput!$N$42+1,40,48,56,64,72,80),0))))/100)*((1+(((C776=TRUE)*F776)+((C783=TRUE)*(F783-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763)</f>
        <v/>
      </c>
      <c r="L763">
        <f>K763*(MIN(Inputs!$B$22+((C781=TRUE)*(F781-Calc!F22)),(Inputs!$B$23+0+(IF(ArtifactsInput!$M$15,CHOOSE(ArtifactsInput!$N$15+1,25,30,35,40,45,50)/100*(Inputs!$B$11-Inputs!$B$11),0))))/100+(Inputs!$B$23+0+(IF(ArtifactsInput!$M$15,CHOOSE(ArtifactsInput!$N$15+1,25,30,35,40,45,50)/100*(Inputs!$B$11-Inputs!$B$11),0)))/100)/2</f>
        <v/>
      </c>
      <c r="M763">
        <f>L763*(1+(Inputs!$B$10+((C784=TRUE)*(F784-Calc!F25))+B794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3">
        <f>L763*(1-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763*(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3">
        <f>(1-Summary!$B$11)*T763+Summary!$B$11*V763</f>
        <v/>
      </c>
      <c r="P763">
        <f>IF(B799=0,0,O763/B799)</f>
        <v/>
      </c>
      <c r="Q763">
        <f>IFERROR(1/(IF(Inputs!$B$38="pvp",15,MAX(0.1,Skills!D4-IF(Skills!E4=TRUE,Inputs!$B$32,0)))*(1-IF(AND(ArtifactsInput!$M$27,Inputs!$B$4="Chapter Hunt"),CHOOSE(ArtifactsInput!$N$27+1,20,24,28,32,36,40),0)/100)),0)</f>
        <v/>
      </c>
      <c r="R763">
        <f>IF(AND(Inputs!$B$38&lt;&gt;"pvp",Inputs!$B$43&gt;0),IF(MAX(0,Inputs!$B$43-B796)&lt;=0,0,(INT(MAX(0,Inputs!$B$43-B796)/(IF(Inputs!$B$38="pvp",15,MAX(0.1,Skills!D4-IF(Skills!E4=TRUE,Inputs!$B$32,0)))*(1-IF(AND(ArtifactsInput!$M$27,Inputs!$B$4="Chapter Hunt"),CHOOSE(ArtifactsInput!$N$27+1,20,24,28,32,36,40),0)/100)))+1)),0)</f>
        <v/>
      </c>
      <c r="S763">
        <f>IFERROR(O763/N763,0)</f>
        <v/>
      </c>
      <c r="T763">
        <f>IF(C763,(H763*N763*IF(AND(Inputs!$B$38&lt;&gt;"pvp",Inputs!$B$43&gt;0),((Skills!G4*((R763-1)*IF(Skills!H4&gt;0,Skills!I4/Skills!H4,1)+IF(Skills!H4&gt;0,MIN(Skills!I4,MAX(0,MAX(0,Inputs!$B$43-B796)-((R763-1)*(IF(Inputs!$B$38="pvp",15,MAX(0.1,Skills!D4-IF(Skills!E4=TRUE,Inputs!$B$32,0)))*(1-IF(AND(ArtifactsInput!$M$27,Inputs!$B$4="Chapter Hunt"),CHOOSE(ArtifactsInput!$N$27+1,20,24,28,32,36,40),0)/100)))))/Skills!H4,1)))/Inputs!$B$43),G763*Q763)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763*(1-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763*(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763*(1-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763*(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63">
        <f>290*U762/1000</f>
        <v/>
      </c>
      <c r="V763">
        <f>IF(C763,(H763*N763*IF(AND(Inputs!$B$38&lt;&gt;"pvp",Inputs!$B$43&gt;0),((Skills!G4*((R763-1)*IF(Skills!H4&gt;0,Skills!I4/Skills!H4,1)+IF(Skills!H4&gt;0,MIN(Skills!I4,MAX(0,MAX(0,Inputs!$B$43-B796)-((R763-1)*(IF(Inputs!$B$38="pvp",15,MAX(0.1,Skills!D4-IF(Skills!E4=TRUE,Inputs!$B$32,0)))*(1-IF(AND(ArtifactsInput!$M$27,Inputs!$B$4="Chapter Hunt"),CHOOSE(ArtifactsInput!$N$27+1,20,24,28,32,36,40),0)/100)))))/Skills!H4,1)))/Inputs!$B$43),G763*Q763))*IF(Inputs!$B$38="pvp",1,(1+(Inputs!$B$21+Skills!Q4+(IF(ArtifactsInput!$M$33,CHOOSE(ArtifactsInput!$N$33+1,30,36,42,48,54,60)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4">
      <c r="A764">
        <f>Skills!A5</f>
        <v/>
      </c>
      <c r="B764">
        <f>Skills!B5</f>
        <v/>
      </c>
      <c r="C764">
        <f>Inputs!$B$3&gt;=45</f>
        <v/>
      </c>
      <c r="D764">
        <f>IF(Skills!C5=1,60+(Inputs!$B$25+1)+Inputs!$B$29,IF(Skills!C5=2,90+Inputs!$B$26+Inputs!$B$29,IF(Skills!C5=3,120+Inputs!$B$27+Inputs!$B$29,MAX(0,(Inputs!$B$3-100)*3)+Inputs!$B$28+Inputs!$B$29)))</f>
        <v/>
      </c>
      <c r="E764">
        <f>INDEX(FactorTable!$B$2:$Y$301, MATCH(ROUND(MIN(300,MAX(1,D764)),0), FactorTable!$A$2:$A$301,0), Skills!M5+1)</f>
        <v/>
      </c>
      <c r="F764">
        <f>IF(Skills!N5=TRUE,(Skills!L5/10)*(E764/1000),Skills!L5/10)+Skills!O5</f>
        <v/>
      </c>
      <c r="G764">
        <f>Skills!G5*IF(Skills!H5&gt;0,Skills!I5/Skills!H5,1)</f>
        <v/>
      </c>
      <c r="H764">
        <f>1-(1-Skills!J5/100)^Skills!K5</f>
        <v/>
      </c>
      <c r="I764" t="inlineStr">
        <is>
          <t>1</t>
        </is>
      </c>
      <c r="J764">
        <f>((Inputs!$B$6*(1+Inputs!$B$7/100))+(((Inputs!$B$12*(1+Inputs!$B$13/100))-(Inputs!$B$12*(1+Inputs!$B$13/100)))+0.25*(Inputs!$B$14-Inputs!$B$14))*(1+Inputs!$B$7/100))*(F764/100)</f>
        <v/>
      </c>
      <c r="K764">
        <f>J764*(1+((Inputs!$B$12*(1+Inputs!$B$13/100))*0.01+Inputs!$B$14*0.0025)/100)*(1+Inputs!$B$15/100)*(1+Inputs!$B$16/100)*(5000/(6000+Inputs!$B$42*(1-(100*(1-(1-(Inputs!$B$19+0)/100)*(1-CHOOSE(ArtifactsInput!$N$40+1,5,6,7,8,9,10)/100)^(ArtifactsInput!$M$40-ArtifactsInput!$M$40)))/100)))*(1+(Inputs!$B$24+((C785=TRUE)*(F785-Calc!F26))+B795)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775=TRUE,F775,0)/100)*(1+(IF(Skills!A5="EIGHT_LEGS_EASTON",Inputs!$B$17+((C782=TRUE)*(F782-Calc!F23))+((C786=TRUE)*(F786-Calc!F27))+(((IF(AND(ArtifactsInput!$M$42,((Inputs!$B$9+((C778=TRUE)*(F778-Calc!F19))+B789+(ArtifactsInput!$M$24-ArtifactsInput!$M$24)*CHOOSE(ArtifactsInput!$N$24+1,10,12,14,16,18,20)+IF(ArtifactsInput!$M$10,CHOOSE(ArtifactsInput!$N$10+1,15,18,21,24,27,30)*(IF(Inputs!$B$38="pvp",MIN(15,15)/15,IF(AND(Inputs!$B$38&lt;&gt;"pvp",Inputs!$B$43&gt;0),MIN(15,Inputs!$B$43)/(Inputs!$B$43),0))),0)))&gt;=100),MIN(100,((Inputs!$B$9+((C778=TRUE)*(F778-Calc!F19))+B789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778=TRUE)*(F778-Calc!F19))+B789+(ArtifactsInput!$M$24-ArtifactsInput!$M$24)*CHOOSE(ArtifactsInput!$N$24+1,10,12,14,16,18,20)+IF(ArtifactsInput!$M$10,CHOOSE(ArtifactsInput!$N$10+1,15,18,21,24,27,30)*(IF(Inputs!$B$38="pvp",MIN(15,15)/15,IF(AND(Inputs!$B$38&lt;&gt;"pvp",Inputs!$B$43&gt;0),MIN(15,Inputs!$B$43)/(Inputs!$B$43),0))),0)))&gt;=100),CHOOSE(ArtifactsInput!$N$42+1,40,48,56,64,72,80),0))))/100)*((1+(((C776=TRUE)*F776)+((C783=TRUE)*(F783-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764)</f>
        <v/>
      </c>
      <c r="L764">
        <f>K764*(MIN(Inputs!$B$22+((C781=TRUE)*(F781-Calc!F22)),(Inputs!$B$23+0+(IF(ArtifactsInput!$M$15,CHOOSE(ArtifactsInput!$N$15+1,25,30,35,40,45,50)/100*(Inputs!$B$11-Inputs!$B$11),0))))/100+(Inputs!$B$23+0+(IF(ArtifactsInput!$M$15,CHOOSE(ArtifactsInput!$N$15+1,25,30,35,40,45,50)/100*(Inputs!$B$11-Inputs!$B$11),0)))/100)/2</f>
        <v/>
      </c>
      <c r="M764">
        <f>L764*(1+(Inputs!$B$10+((C784=TRUE)*(F784-Calc!F25))+B794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4">
        <f>L764*(1-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764*(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4">
        <f>(1-Summary!$B$11)*T764+Summary!$B$11*V764</f>
        <v/>
      </c>
      <c r="P764">
        <f>IF(B799=0,0,O764/B799)</f>
        <v/>
      </c>
      <c r="Q764">
        <f>IFERROR(1/(IF(Inputs!$B$38="pvp",15,MAX(0.1,Skills!D5-IF(Skills!E5=TRUE,Inputs!$B$32,0)))*(1-IF(AND(ArtifactsInput!$M$27,Inputs!$B$4="Chapter Hunt"),CHOOSE(ArtifactsInput!$N$27+1,20,24,28,32,36,40),0)/100)),0)</f>
        <v/>
      </c>
      <c r="R764">
        <f>IF(AND(Inputs!$B$38&lt;&gt;"pvp",Inputs!$B$43&gt;0),IF(MAX(0,Inputs!$B$43-B796)&lt;=0,0,(INT(MAX(0,Inputs!$B$43-B796)/(IF(Inputs!$B$38="pvp",15,MAX(0.1,Skills!D5-IF(Skills!E5=TRUE,Inputs!$B$32,0)))*(1-IF(AND(ArtifactsInput!$M$27,Inputs!$B$4="Chapter Hunt"),CHOOSE(ArtifactsInput!$N$27+1,20,24,28,32,36,40),0)/100)))+1)),0)</f>
        <v/>
      </c>
      <c r="S764">
        <f>IFERROR(O764/N764,0)</f>
        <v/>
      </c>
      <c r="T764">
        <f>IF(C764,(H764*N764*IF(AND(Inputs!$B$38&lt;&gt;"pvp",Inputs!$B$43&gt;0),((Skills!G5*((R764-1)*IF(Skills!H5&gt;0,Skills!I5/Skills!H5,1)+IF(Skills!H5&gt;0,MIN(Skills!I5,MAX(0,MAX(0,Inputs!$B$43-B796)-((R764-1)*(IF(Inputs!$B$38="pvp",15,MAX(0.1,Skills!D5-IF(Skills!E5=TRUE,Inputs!$B$32,0)))*(1-IF(AND(ArtifactsInput!$M$27,Inputs!$B$4="Chapter Hunt"),CHOOSE(ArtifactsInput!$N$27+1,20,24,28,32,36,40),0)/100)))))/Skills!H5,1)))/Inputs!$B$43),G764*Q764)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764*(1-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764*(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764*(1-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764*(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4">
        <f>IF(C764,(H764*N764*IF(AND(Inputs!$B$38&lt;&gt;"pvp",Inputs!$B$43&gt;0),((Skills!G5*((R764-1)*IF(Skills!H5&gt;0,Skills!I5/Skills!H5,1)+IF(Skills!H5&gt;0,MIN(Skills!I5,MAX(0,MAX(0,Inputs!$B$43-B796)-((R764-1)*(IF(Inputs!$B$38="pvp",15,MAX(0.1,Skills!D5-IF(Skills!E5=TRUE,Inputs!$B$32,0)))*(1-IF(AND(ArtifactsInput!$M$27,Inputs!$B$4="Chapter Hunt"),CHOOSE(ArtifactsInput!$N$27+1,20,24,28,32,36,40),0)/100)))))/Skills!H5,1)))/Inputs!$B$43),G764*Q764))*IF(Inputs!$B$38="pvp",1,(1+(Inputs!$B$21+Skills!Q5+(IF(ArtifactsInput!$M$33,CHOOSE(ArtifactsInput!$N$33+1,30,36,42,48,54,60)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5">
      <c r="A765">
        <f>Skills!A6</f>
        <v/>
      </c>
      <c r="B765">
        <f>Skills!B6</f>
        <v/>
      </c>
      <c r="C765">
        <f>Inputs!$B$3&gt;=63</f>
        <v/>
      </c>
      <c r="D765">
        <f>IF(Skills!C6=1,60+(Inputs!$B$25+1)+Inputs!$B$29,IF(Skills!C6=2,90+Inputs!$B$26+Inputs!$B$29,IF(Skills!C6=3,120+Inputs!$B$27+Inputs!$B$29,MAX(0,(Inputs!$B$3-100)*3)+Inputs!$B$28+Inputs!$B$29)))</f>
        <v/>
      </c>
      <c r="E765">
        <f>INDEX(FactorTable!$B$2:$Y$301, MATCH(ROUND(MIN(300,MAX(1,D765)),0), FactorTable!$A$2:$A$301,0), Skills!M6+1)</f>
        <v/>
      </c>
      <c r="F765">
        <f>IF(Skills!N6=TRUE,(Skills!L6/10)*(E765/1000),Skills!L6/10)+Skills!O6</f>
        <v/>
      </c>
      <c r="G765">
        <f>Skills!G6*IF(Skills!H6&gt;0,Skills!I6/Skills!H6,1)</f>
        <v/>
      </c>
      <c r="H765">
        <f>1-(1-Skills!J6/100)^Skills!K6</f>
        <v/>
      </c>
      <c r="I765" t="inlineStr">
        <is>
          <t>1</t>
        </is>
      </c>
      <c r="J765">
        <f>((Inputs!$B$6*(1+Inputs!$B$7/100))+(((Inputs!$B$12*(1+Inputs!$B$13/100))-(Inputs!$B$12*(1+Inputs!$B$13/100)))+0.25*(Inputs!$B$14-Inputs!$B$14))*(1+Inputs!$B$7/100))*(F765/100)</f>
        <v/>
      </c>
      <c r="K765">
        <f>J765*(1+((Inputs!$B$12*(1+Inputs!$B$13/100))*0.01+Inputs!$B$14*0.0025)/100)*(1+Inputs!$B$15/100)*(1+Inputs!$B$16/100)*(5000/(6000+Inputs!$B$42*(1-(100*(1-(1-(Inputs!$B$19+0)/100)*(1-CHOOSE(ArtifactsInput!$N$40+1,5,6,7,8,9,10)/100)^(ArtifactsInput!$M$40-ArtifactsInput!$M$40)))/100)))*(1+(Inputs!$B$24+((C785=TRUE)*(F785-Calc!F26))+B795)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774=TRUE,F774,0)/100)*(1+(IF(Skills!A6="EIGHT_LEGS_EASTON",Inputs!$B$17+((C782=TRUE)*(F782-Calc!F23))+((C786=TRUE)*(F786-Calc!F27))+(((IF(AND(ArtifactsInput!$M$42,((Inputs!$B$9+((C778=TRUE)*(F778-Calc!F19))+B789+(ArtifactsInput!$M$24-ArtifactsInput!$M$24)*CHOOSE(ArtifactsInput!$N$24+1,10,12,14,16,18,20)+IF(ArtifactsInput!$M$10,CHOOSE(ArtifactsInput!$N$10+1,15,18,21,24,27,30)*(IF(Inputs!$B$38="pvp",MIN(15,15)/15,IF(AND(Inputs!$B$38&lt;&gt;"pvp",Inputs!$B$43&gt;0),MIN(15,Inputs!$B$43)/(Inputs!$B$43),0))),0)))&gt;=100),MIN(100,((Inputs!$B$9+((C778=TRUE)*(F778-Calc!F19))+B789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778=TRUE)*(F778-Calc!F19))+B789+(ArtifactsInput!$M$24-ArtifactsInput!$M$24)*CHOOSE(ArtifactsInput!$N$24+1,10,12,14,16,18,20)+IF(ArtifactsInput!$M$10,CHOOSE(ArtifactsInput!$N$10+1,15,18,21,24,27,30)*(IF(Inputs!$B$38="pvp",MIN(15,15)/15,IF(AND(Inputs!$B$38&lt;&gt;"pvp",Inputs!$B$43&gt;0),MIN(15,Inputs!$B$43)/(Inputs!$B$43),0))),0)))&gt;=100),CHOOSE(ArtifactsInput!$N$42+1,40,48,56,64,72,80),0))))/100)*((1+(((C776=TRUE)*F776)+((C783=TRUE)*(F783-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765)</f>
        <v/>
      </c>
      <c r="L765">
        <f>K765*(MIN(Inputs!$B$22+((C781=TRUE)*(F781-Calc!F22)),(Inputs!$B$23+0+(IF(ArtifactsInput!$M$15,CHOOSE(ArtifactsInput!$N$15+1,25,30,35,40,45,50)/100*(Inputs!$B$11-Inputs!$B$11),0))))/100+(Inputs!$B$23+0+(IF(ArtifactsInput!$M$15,CHOOSE(ArtifactsInput!$N$15+1,25,30,35,40,45,50)/100*(Inputs!$B$11-Inputs!$B$11),0)))/100)/2</f>
        <v/>
      </c>
      <c r="M765">
        <f>L765*(1+(Inputs!$B$10+((C784=TRUE)*(F784-Calc!F25))+B794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5">
        <f>L765*(1-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765*(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5">
        <f>(1-Summary!$B$11)*T765+Summary!$B$11*V765</f>
        <v/>
      </c>
      <c r="P765">
        <f>IF(B799=0,0,O765/B799)</f>
        <v/>
      </c>
      <c r="Q765">
        <f>IFERROR(1/(IF(Inputs!$B$38="pvp",15,MAX(0.1,Skills!D6-IF(Skills!E6=TRUE,Inputs!$B$32,0)))*(1-IF(AND(ArtifactsInput!$M$27,Inputs!$B$4="Chapter Hunt"),CHOOSE(ArtifactsInput!$N$27+1,20,24,28,32,36,40),0)/100)),0)</f>
        <v/>
      </c>
      <c r="R765">
        <f>IF(AND(Inputs!$B$38&lt;&gt;"pvp",Inputs!$B$43&gt;0),IF(MAX(0,Inputs!$B$43-B796)&lt;=0,0,(INT(MAX(0,Inputs!$B$43-B796)/(IF(Inputs!$B$38="pvp",15,MAX(0.1,Skills!D6-IF(Skills!E6=TRUE,Inputs!$B$32,0)))*(1-IF(AND(ArtifactsInput!$M$27,Inputs!$B$4="Chapter Hunt"),CHOOSE(ArtifactsInput!$N$27+1,20,24,28,32,36,40),0)/100)))+1)),0)</f>
        <v/>
      </c>
      <c r="S765">
        <f>IFERROR(O765/N765,0)</f>
        <v/>
      </c>
      <c r="T765">
        <f>IF(C765,(H765*N765*IF(AND(Inputs!$B$38&lt;&gt;"pvp",Inputs!$B$43&gt;0),((Skills!G6*((R765-1)*IF(Skills!H6&gt;0,Skills!I6/Skills!H6,1)+IF(Skills!H6&gt;0,MIN(Skills!I6,MAX(0,MAX(0,Inputs!$B$43-B796)-((R765-1)*(IF(Inputs!$B$38="pvp",15,MAX(0.1,Skills!D6-IF(Skills!E6=TRUE,Inputs!$B$32,0)))*(1-IF(AND(ArtifactsInput!$M$27,Inputs!$B$4="Chapter Hunt"),CHOOSE(ArtifactsInput!$N$27+1,20,24,28,32,36,40),0)/100)))))/Skills!H6,1)))/Inputs!$B$43),G765*Q765)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765*(1-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765*(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765*(1-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765*(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5">
        <f>IF(C765,(H765*N765*IF(AND(Inputs!$B$38&lt;&gt;"pvp",Inputs!$B$43&gt;0),((Skills!G6*((R765-1)*IF(Skills!H6&gt;0,Skills!I6/Skills!H6,1)+IF(Skills!H6&gt;0,MIN(Skills!I6,MAX(0,MAX(0,Inputs!$B$43-B796)-((R765-1)*(IF(Inputs!$B$38="pvp",15,MAX(0.1,Skills!D6-IF(Skills!E6=TRUE,Inputs!$B$32,0)))*(1-IF(AND(ArtifactsInput!$M$27,Inputs!$B$4="Chapter Hunt"),CHOOSE(ArtifactsInput!$N$27+1,20,24,28,32,36,40),0)/100)))))/Skills!H6,1)))/Inputs!$B$43),G765*Q765))*IF(Inputs!$B$38="pvp",1,(1+(Inputs!$B$21+Skills!Q6+(IF(ArtifactsInput!$M$33,CHOOSE(ArtifactsInput!$N$33+1,30,36,42,48,54,60)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6">
      <c r="A766">
        <f>Skills!A7</f>
        <v/>
      </c>
      <c r="B766">
        <f>Skills!B7</f>
        <v/>
      </c>
      <c r="C766">
        <f>Inputs!$B$3&gt;=66</f>
        <v/>
      </c>
      <c r="D766">
        <f>IF(Skills!C7=1,60+(Inputs!$B$25+1)+Inputs!$B$29,IF(Skills!C7=2,90+Inputs!$B$26+Inputs!$B$29,IF(Skills!C7=3,120+Inputs!$B$27+Inputs!$B$29,MAX(0,(Inputs!$B$3-100)*3)+Inputs!$B$28+Inputs!$B$29)))</f>
        <v/>
      </c>
      <c r="E766">
        <f>INDEX(FactorTable!$B$2:$Y$301, MATCH(ROUND(MIN(300,MAX(1,D766)),0), FactorTable!$A$2:$A$301,0), Skills!M7+1)</f>
        <v/>
      </c>
      <c r="F766">
        <f>IF(Skills!N7=TRUE,(Skills!L7/10)*(E766/1000),Skills!L7/10)+Skills!O7</f>
        <v/>
      </c>
      <c r="G766">
        <f>Skills!G7*IF(Skills!H7&gt;0,Skills!I7/Skills!H7,1)</f>
        <v/>
      </c>
      <c r="H766">
        <f>1-(1-Skills!J7/100)^Skills!K7</f>
        <v/>
      </c>
      <c r="I766" t="inlineStr">
        <is>
          <t>1</t>
        </is>
      </c>
      <c r="J766">
        <f>((Inputs!$B$6*(1+Inputs!$B$7/100))+(((Inputs!$B$12*(1+Inputs!$B$13/100))-(Inputs!$B$12*(1+Inputs!$B$13/100)))+0.25*(Inputs!$B$14-Inputs!$B$14))*(1+Inputs!$B$7/100))*(F766/100)</f>
        <v/>
      </c>
      <c r="K766">
        <f>J766*(1+((Inputs!$B$12*(1+Inputs!$B$13/100))*0.01+Inputs!$B$14*0.0025)/100)*(1+Inputs!$B$15/100)*(1+Inputs!$B$16/100)*(5000/(6000+Inputs!$B$42*(1-(100*(1-(1-(Inputs!$B$19+0)/100)*(1-CHOOSE(ArtifactsInput!$N$40+1,5,6,7,8,9,10)/100)^(ArtifactsInput!$M$40-ArtifactsInput!$M$40)))/100)))*(1+(Inputs!$B$24+((C785=TRUE)*(F785-Calc!F26))+B795)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774=TRUE,F774,0)/100)*(1+(IF(Skills!A7="EIGHT_LEGS_EASTON",Inputs!$B$17+((C782=TRUE)*(F782-Calc!F23))+((C786=TRUE)*(F786-Calc!F27))+(((IF(AND(ArtifactsInput!$M$42,((Inputs!$B$9+((C778=TRUE)*(F778-Calc!F19))+B789+(ArtifactsInput!$M$24-ArtifactsInput!$M$24)*CHOOSE(ArtifactsInput!$N$24+1,10,12,14,16,18,20)+IF(ArtifactsInput!$M$10,CHOOSE(ArtifactsInput!$N$10+1,15,18,21,24,27,30)*(IF(Inputs!$B$38="pvp",MIN(15,15)/15,IF(AND(Inputs!$B$38&lt;&gt;"pvp",Inputs!$B$43&gt;0),MIN(15,Inputs!$B$43)/(Inputs!$B$43),0))),0)))&gt;=100),MIN(100,((Inputs!$B$9+((C778=TRUE)*(F778-Calc!F19))+B789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778=TRUE)*(F778-Calc!F19))+B789+(ArtifactsInput!$M$24-ArtifactsInput!$M$24)*CHOOSE(ArtifactsInput!$N$24+1,10,12,14,16,18,20)+IF(ArtifactsInput!$M$10,CHOOSE(ArtifactsInput!$N$10+1,15,18,21,24,27,30)*(IF(Inputs!$B$38="pvp",MIN(15,15)/15,IF(AND(Inputs!$B$38&lt;&gt;"pvp",Inputs!$B$43&gt;0),MIN(15,Inputs!$B$43)/(Inputs!$B$43),0))),0)))&gt;=100),CHOOSE(ArtifactsInput!$N$42+1,40,48,56,64,72,80),0))))/100)*((1+(((C776=TRUE)*F776)+((C783=TRUE)*(F783-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766)</f>
        <v/>
      </c>
      <c r="L766">
        <f>K766*(MIN(Inputs!$B$22+((C781=TRUE)*(F781-Calc!F22)),(Inputs!$B$23+0+(IF(ArtifactsInput!$M$15,CHOOSE(ArtifactsInput!$N$15+1,25,30,35,40,45,50)/100*(Inputs!$B$11-Inputs!$B$11),0))))/100+(Inputs!$B$23+0+(IF(ArtifactsInput!$M$15,CHOOSE(ArtifactsInput!$N$15+1,25,30,35,40,45,50)/100*(Inputs!$B$11-Inputs!$B$11),0)))/100)/2</f>
        <v/>
      </c>
      <c r="M766">
        <f>L766*(1+(Inputs!$B$10+((C784=TRUE)*(F784-Calc!F25))+B794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6">
        <f>L766*(1-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766*(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6">
        <f>(1-Summary!$B$11)*T766+Summary!$B$11*V766</f>
        <v/>
      </c>
      <c r="P766">
        <f>IF(B799=0,0,O766/B799)</f>
        <v/>
      </c>
      <c r="Q766">
        <f>IFERROR(1/(IF(Inputs!$B$38="pvp",15,MAX(0.1,Skills!D7-IF(Skills!E7=TRUE,Inputs!$B$32,0)))*(1-IF(AND(ArtifactsInput!$M$27,Inputs!$B$4="Chapter Hunt"),CHOOSE(ArtifactsInput!$N$27+1,20,24,28,32,36,40),0)/100)),0)</f>
        <v/>
      </c>
      <c r="R766">
        <f>IF(AND(Inputs!$B$38&lt;&gt;"pvp",Inputs!$B$43&gt;0),IF(MAX(0,Inputs!$B$43-B796)&lt;=0,0,(INT(MAX(0,Inputs!$B$43-B796)/(IF(Inputs!$B$38="pvp",15,MAX(0.1,Skills!D7-IF(Skills!E7=TRUE,Inputs!$B$32,0)))*(1-IF(AND(ArtifactsInput!$M$27,Inputs!$B$4="Chapter Hunt"),CHOOSE(ArtifactsInput!$N$27+1,20,24,28,32,36,40),0)/100)))+1)),0)</f>
        <v/>
      </c>
      <c r="S766">
        <f>IFERROR(O766/N766,0)</f>
        <v/>
      </c>
      <c r="T766">
        <f>IF(C766,(H766*N766*IF(AND(Inputs!$B$38&lt;&gt;"pvp",Inputs!$B$43&gt;0),((Skills!G7*((R766-1)*IF(Skills!H7&gt;0,Skills!I7/Skills!H7,1)+IF(Skills!H7&gt;0,MIN(Skills!I7,MAX(0,MAX(0,Inputs!$B$43-B796)-((R766-1)*(IF(Inputs!$B$38="pvp",15,MAX(0.1,Skills!D7-IF(Skills!E7=TRUE,Inputs!$B$32,0)))*(1-IF(AND(ArtifactsInput!$M$27,Inputs!$B$4="Chapter Hunt"),CHOOSE(ArtifactsInput!$N$27+1,20,24,28,32,36,40),0)/100)))))/Skills!H7,1)))/Inputs!$B$43),G766*Q766)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766*(1-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766*(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766*(1-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766*(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6">
        <f>IF(C766,(H766*N766*IF(AND(Inputs!$B$38&lt;&gt;"pvp",Inputs!$B$43&gt;0),((Skills!G7*((R766-1)*IF(Skills!H7&gt;0,Skills!I7/Skills!H7,1)+IF(Skills!H7&gt;0,MIN(Skills!I7,MAX(0,MAX(0,Inputs!$B$43-B796)-((R766-1)*(IF(Inputs!$B$38="pvp",15,MAX(0.1,Skills!D7-IF(Skills!E7=TRUE,Inputs!$B$32,0)))*(1-IF(AND(ArtifactsInput!$M$27,Inputs!$B$4="Chapter Hunt"),CHOOSE(ArtifactsInput!$N$27+1,20,24,28,32,36,40),0)/100)))))/Skills!H7,1)))/Inputs!$B$43),G766*Q766))*IF(Inputs!$B$38="pvp",1,(1+(Inputs!$B$21+Skills!Q7+(IF(ArtifactsInput!$M$33,CHOOSE(ArtifactsInput!$N$33+1,30,36,42,48,54,60)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7">
      <c r="A767">
        <f>Skills!A8</f>
        <v/>
      </c>
      <c r="B767">
        <f>Skills!B8</f>
        <v/>
      </c>
      <c r="C767">
        <f>Inputs!$B$3&gt;=100</f>
        <v/>
      </c>
      <c r="D767">
        <f>IF(Skills!C8=1,60+(Inputs!$B$25+1)+Inputs!$B$29,IF(Skills!C8=2,90+Inputs!$B$26+Inputs!$B$29,IF(Skills!C8=3,120+Inputs!$B$27+Inputs!$B$29,MAX(0,(Inputs!$B$3-100)*3)+Inputs!$B$28+Inputs!$B$29)))</f>
        <v/>
      </c>
      <c r="E767">
        <f>INDEX(FactorTable!$B$2:$Y$301, MATCH(ROUND(MIN(300,MAX(1,D767)),0), FactorTable!$A$2:$A$301,0), Skills!M8+1)</f>
        <v/>
      </c>
      <c r="F767">
        <f>IF(Skills!N8=TRUE,(Skills!L8/10)*(E767/1000),Skills!L8/10)+Skills!O8</f>
        <v/>
      </c>
      <c r="G767">
        <f>Skills!G8*IF(Skills!H8&gt;0,Skills!I8/Skills!H8,1)</f>
        <v/>
      </c>
      <c r="H767">
        <f>1-(1-Skills!J8/100)^Skills!K8</f>
        <v/>
      </c>
      <c r="I767" t="inlineStr">
        <is>
          <t>1</t>
        </is>
      </c>
      <c r="J767">
        <f>((Inputs!$B$6*(1+Inputs!$B$7/100))+(((Inputs!$B$12*(1+Inputs!$B$13/100))-(Inputs!$B$12*(1+Inputs!$B$13/100)))+0.25*(Inputs!$B$14-Inputs!$B$14))*(1+Inputs!$B$7/100))*(F767/100)</f>
        <v/>
      </c>
      <c r="K767">
        <f>J767*(1+((Inputs!$B$12*(1+Inputs!$B$13/100))*0.01+Inputs!$B$14*0.0025)/100)*(1+Inputs!$B$15/100)*(1+Inputs!$B$16/100)*(5000/(6000+Inputs!$B$42*(1-(100*(1-(1-(Inputs!$B$19+0)/100)*(1-CHOOSE(ArtifactsInput!$N$40+1,5,6,7,8,9,10)/100)^(ArtifactsInput!$M$40-ArtifactsInput!$M$40)))/100)))*(1+(Inputs!$B$24+((C785=TRUE)*(F785-Calc!F26))+B795)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782=TRUE)*(F782-Calc!F23))+((C786=TRUE)*(F786-Calc!F27))+(((IF(AND(ArtifactsInput!$M$42,((Inputs!$B$9+((C778=TRUE)*(F778-Calc!F19))+B789+(ArtifactsInput!$M$24-ArtifactsInput!$M$24)*CHOOSE(ArtifactsInput!$N$24+1,10,12,14,16,18,20)+IF(ArtifactsInput!$M$10,CHOOSE(ArtifactsInput!$N$10+1,15,18,21,24,27,30)*(IF(Inputs!$B$38="pvp",MIN(15,15)/15,IF(AND(Inputs!$B$38&lt;&gt;"pvp",Inputs!$B$43&gt;0),MIN(15,Inputs!$B$43)/(Inputs!$B$43),0))),0)))&gt;=100),MIN(100,((Inputs!$B$9+((C778=TRUE)*(F778-Calc!F19))+B789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778=TRUE)*(F778-Calc!F19))+B789+(ArtifactsInput!$M$24-ArtifactsInput!$M$24)*CHOOSE(ArtifactsInput!$N$24+1,10,12,14,16,18,20)+IF(ArtifactsInput!$M$10,CHOOSE(ArtifactsInput!$N$10+1,15,18,21,24,27,30)*(IF(Inputs!$B$38="pvp",MIN(15,15)/15,IF(AND(Inputs!$B$38&lt;&gt;"pvp",Inputs!$B$43&gt;0),MIN(15,Inputs!$B$43)/(Inputs!$B$43),0))),0)))&gt;=100),CHOOSE(ArtifactsInput!$N$42+1,40,48,56,64,72,80),0))))/100)*((1+(((C776=TRUE)*F776)+((C783=TRUE)*(F783-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767)</f>
        <v/>
      </c>
      <c r="L767">
        <f>K767*(MIN(Inputs!$B$22+((C781=TRUE)*(F781-Calc!F22)),(Inputs!$B$23+0+(IF(ArtifactsInput!$M$15,CHOOSE(ArtifactsInput!$N$15+1,25,30,35,40,45,50)/100*(Inputs!$B$11-Inputs!$B$11),0))))/100+(Inputs!$B$23+0+(IF(ArtifactsInput!$M$15,CHOOSE(ArtifactsInput!$N$15+1,25,30,35,40,45,50)/100*(Inputs!$B$11-Inputs!$B$11),0)))/100)/2</f>
        <v/>
      </c>
      <c r="M767">
        <f>L767*(1+(Inputs!$B$10+((C784=TRUE)*(F784-Calc!F25))+B794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7">
        <f>L767*(1-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767*(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7">
        <f>(1-Summary!$B$11)*T767+Summary!$B$11*V767</f>
        <v/>
      </c>
      <c r="P767">
        <f>IF(B799=0,0,O767/B799)</f>
        <v/>
      </c>
      <c r="Q767">
        <f>IFERROR(1/(IF(Inputs!$B$38="pvp",15,MAX(0.1,Skills!D8-IF(Skills!E8=TRUE,Inputs!$B$32,0)))*(1-IF(AND(ArtifactsInput!$M$27,Inputs!$B$4="Chapter Hunt"),CHOOSE(ArtifactsInput!$N$27+1,20,24,28,32,36,40),0)/100)),0)</f>
        <v/>
      </c>
      <c r="R767">
        <f>IF(AND(Inputs!$B$38&lt;&gt;"pvp",Inputs!$B$43&gt;0),IF(MAX(0,Inputs!$B$43-B796)&lt;=0,0,(INT(MAX(0,Inputs!$B$43-B796)/(IF(Inputs!$B$38="pvp",15,MAX(0.1,Skills!D8-IF(Skills!E8=TRUE,Inputs!$B$32,0)))*(1-IF(AND(ArtifactsInput!$M$27,Inputs!$B$4="Chapter Hunt"),CHOOSE(ArtifactsInput!$N$27+1,20,24,28,32,36,40),0)/100)))+1)),0)</f>
        <v/>
      </c>
      <c r="S767">
        <f>IFERROR(O767/N767,0)</f>
        <v/>
      </c>
      <c r="T767">
        <f>IF(C767,(H767*N767*IF(AND(Inputs!$B$38&lt;&gt;"pvp",Inputs!$B$43&gt;0),((Skills!G8*((R767-1)*IF(Skills!H8&gt;0,Skills!I8/Skills!H8,1)+IF(Skills!H8&gt;0,MIN(Skills!I8,MAX(0,MAX(0,Inputs!$B$43-B796)-((R767-1)*(IF(Inputs!$B$38="pvp",15,MAX(0.1,Skills!D8-IF(Skills!E8=TRUE,Inputs!$B$32,0)))*(1-IF(AND(ArtifactsInput!$M$27,Inputs!$B$4="Chapter Hunt"),CHOOSE(ArtifactsInput!$N$27+1,20,24,28,32,36,40),0)/100)))))/Skills!H8,1)))/Inputs!$B$43),G767*Q767)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767*(1-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767*(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767*(1-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767*(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7">
        <f>IF(C767,(H767*N767*IF(AND(Inputs!$B$38&lt;&gt;"pvp",Inputs!$B$43&gt;0),((Skills!G8*((R767-1)*IF(Skills!H8&gt;0,Skills!I8/Skills!H8,1)+IF(Skills!H8&gt;0,MIN(Skills!I8,MAX(0,MAX(0,Inputs!$B$43-B796)-((R767-1)*(IF(Inputs!$B$38="pvp",15,MAX(0.1,Skills!D8-IF(Skills!E8=TRUE,Inputs!$B$32,0)))*(1-IF(AND(ArtifactsInput!$M$27,Inputs!$B$4="Chapter Hunt"),CHOOSE(ArtifactsInput!$N$27+1,20,24,28,32,36,40),0)/100)))))/Skills!H8,1)))/Inputs!$B$43),G767*Q767))*IF(Inputs!$B$38="pvp",1,(1+(Inputs!$B$21+Skills!Q8+(IF(ArtifactsInput!$M$33,CHOOSE(ArtifactsInput!$N$33+1,30,36,42,48,54,60)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8">
      <c r="A768">
        <f>Skills!A9</f>
        <v/>
      </c>
      <c r="B768">
        <f>Skills!B9</f>
        <v/>
      </c>
      <c r="C768">
        <f>Inputs!$B$3&gt;=103</f>
        <v/>
      </c>
      <c r="D768">
        <f>IF(Skills!C9=1,60+(Inputs!$B$25+1)+Inputs!$B$29,IF(Skills!C9=2,90+Inputs!$B$26+Inputs!$B$29,IF(Skills!C9=3,120+Inputs!$B$27+Inputs!$B$29,MAX(0,(Inputs!$B$3-100)*3)+Inputs!$B$28+Inputs!$B$29)))</f>
        <v/>
      </c>
      <c r="E768">
        <f>INDEX(FactorTable!$B$2:$Y$301, MATCH(ROUND(MIN(300,MAX(1,D768)),0), FactorTable!$A$2:$A$301,0), Skills!M9+1)</f>
        <v/>
      </c>
      <c r="F768">
        <f>IF(Skills!N9=TRUE,(Skills!L9/10)*(E768/1000),Skills!L9/10)+Skills!O9</f>
        <v/>
      </c>
      <c r="G768">
        <f>Skills!G9*IF(Skills!H9&gt;0,Skills!I9/Skills!H9,1)</f>
        <v/>
      </c>
      <c r="H768">
        <f>1-(1-Skills!J9/100)^Skills!K9</f>
        <v/>
      </c>
      <c r="I768" t="inlineStr">
        <is>
          <t>1</t>
        </is>
      </c>
      <c r="J768">
        <f>((Inputs!$B$6*(1+Inputs!$B$7/100))+(((Inputs!$B$12*(1+Inputs!$B$13/100))-(Inputs!$B$12*(1+Inputs!$B$13/100)))+0.25*(Inputs!$B$14-Inputs!$B$14))*(1+Inputs!$B$7/100))*(F768/100)</f>
        <v/>
      </c>
      <c r="K768">
        <f>J768*(1+((Inputs!$B$12*(1+Inputs!$B$13/100))*0.01+Inputs!$B$14*0.0025)/100)*(1+Inputs!$B$15/100)*(1+Inputs!$B$16/100)*(5000/(6000+Inputs!$B$42*(1-(100*(1-(1-(Inputs!$B$19+0)/100)*(1-CHOOSE(ArtifactsInput!$N$40+1,5,6,7,8,9,10)/100)^(ArtifactsInput!$M$40-ArtifactsInput!$M$40)))/100)))*(1+(Inputs!$B$24+((C785=TRUE)*(F785-Calc!F26))+B795)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782=TRUE)*(F782-Calc!F23))+((C786=TRUE)*(F786-Calc!F27))+(((IF(AND(ArtifactsInput!$M$42,((Inputs!$B$9+((C778=TRUE)*(F778-Calc!F19))+B789+(ArtifactsInput!$M$24-ArtifactsInput!$M$24)*CHOOSE(ArtifactsInput!$N$24+1,10,12,14,16,18,20)+IF(ArtifactsInput!$M$10,CHOOSE(ArtifactsInput!$N$10+1,15,18,21,24,27,30)*(IF(Inputs!$B$38="pvp",MIN(15,15)/15,IF(AND(Inputs!$B$38&lt;&gt;"pvp",Inputs!$B$43&gt;0),MIN(15,Inputs!$B$43)/(Inputs!$B$43),0))),0)))&gt;=100),MIN(100,((Inputs!$B$9+((C778=TRUE)*(F778-Calc!F19))+B789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778=TRUE)*(F778-Calc!F19))+B789+(ArtifactsInput!$M$24-ArtifactsInput!$M$24)*CHOOSE(ArtifactsInput!$N$24+1,10,12,14,16,18,20)+IF(ArtifactsInput!$M$10,CHOOSE(ArtifactsInput!$N$10+1,15,18,21,24,27,30)*(IF(Inputs!$B$38="pvp",MIN(15,15)/15,IF(AND(Inputs!$B$38&lt;&gt;"pvp",Inputs!$B$43&gt;0),MIN(15,Inputs!$B$43)/(Inputs!$B$43),0))),0)))&gt;=100),CHOOSE(ArtifactsInput!$N$42+1,40,48,56,64,72,80),0))))/100)*((1+(((C776=TRUE)*F776)+((C783=TRUE)*(F783-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768)</f>
        <v/>
      </c>
      <c r="L768">
        <f>K768*(MIN(Inputs!$B$22+((C781=TRUE)*(F781-Calc!F22)),(Inputs!$B$23+0+(IF(ArtifactsInput!$M$15,CHOOSE(ArtifactsInput!$N$15+1,25,30,35,40,45,50)/100*(Inputs!$B$11-Inputs!$B$11),0))))/100+(Inputs!$B$23+0+(IF(ArtifactsInput!$M$15,CHOOSE(ArtifactsInput!$N$15+1,25,30,35,40,45,50)/100*(Inputs!$B$11-Inputs!$B$11),0)))/100)/2</f>
        <v/>
      </c>
      <c r="M768">
        <f>L768*(1+(Inputs!$B$10+((C784=TRUE)*(F784-Calc!F25))+B794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8">
        <f>L768*(1-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768*(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8">
        <f>(1-Summary!$B$11)*T768+Summary!$B$11*V768</f>
        <v/>
      </c>
      <c r="P768">
        <f>IF(B799=0,0,O768/B799)</f>
        <v/>
      </c>
      <c r="Q768">
        <f>IFERROR(1/(IF(Inputs!$B$38="pvp",15,MAX(0.1,Skills!D9-IF(Skills!E9=TRUE,Inputs!$B$32,0)))*(1-IF(AND(ArtifactsInput!$M$27,Inputs!$B$4="Chapter Hunt"),CHOOSE(ArtifactsInput!$N$27+1,20,24,28,32,36,40),0)/100)),0)</f>
        <v/>
      </c>
      <c r="R768">
        <f>IF(AND(Inputs!$B$38&lt;&gt;"pvp",Inputs!$B$43&gt;0),IF(MAX(0,Inputs!$B$43-B796)&lt;=0,0,(INT(MAX(0,Inputs!$B$43-B796)/(IF(Inputs!$B$38="pvp",15,MAX(0.1,Skills!D9-IF(Skills!E9=TRUE,Inputs!$B$32,0)))*(1-IF(AND(ArtifactsInput!$M$27,Inputs!$B$4="Chapter Hunt"),CHOOSE(ArtifactsInput!$N$27+1,20,24,28,32,36,40),0)/100)))+1)),0)</f>
        <v/>
      </c>
      <c r="S768">
        <f>IFERROR(O768/N768,0)</f>
        <v/>
      </c>
      <c r="T768">
        <f>IF(C768,(H768*N768*IF(AND(Inputs!$B$38&lt;&gt;"pvp",Inputs!$B$43&gt;0),((Skills!G9*((R768-1)*IF(Skills!H9&gt;0,Skills!I9/Skills!H9,1)+IF(Skills!H9&gt;0,MIN(Skills!I9,MAX(0,MAX(0,Inputs!$B$43-B796)-((R768-1)*(IF(Inputs!$B$38="pvp",15,MAX(0.1,Skills!D9-IF(Skills!E9=TRUE,Inputs!$B$32,0)))*(1-IF(AND(ArtifactsInput!$M$27,Inputs!$B$4="Chapter Hunt"),CHOOSE(ArtifactsInput!$N$27+1,20,24,28,32,36,40),0)/100)))))/Skills!H9,1)))/Inputs!$B$43),G768*Q768)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768*(1-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768*(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768*(1-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768*(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8">
        <f>IF(C768,(H768*N768*IF(AND(Inputs!$B$38&lt;&gt;"pvp",Inputs!$B$43&gt;0),((Skills!G9*((R768-1)*IF(Skills!H9&gt;0,Skills!I9/Skills!H9,1)+IF(Skills!H9&gt;0,MIN(Skills!I9,MAX(0,MAX(0,Inputs!$B$43-B796)-((R768-1)*(IF(Inputs!$B$38="pvp",15,MAX(0.1,Skills!D9-IF(Skills!E9=TRUE,Inputs!$B$32,0)))*(1-IF(AND(ArtifactsInput!$M$27,Inputs!$B$4="Chapter Hunt"),CHOOSE(ArtifactsInput!$N$27+1,20,24,28,32,36,40),0)/100)))))/Skills!H9,1)))/Inputs!$B$43),G768*Q768))*IF(Inputs!$B$38="pvp",1,(1+(Inputs!$B$21+Skills!Q9+(IF(ArtifactsInput!$M$33,CHOOSE(ArtifactsInput!$N$33+1,30,36,42,48,54,60)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9">
      <c r="A769">
        <f>Skills!A10</f>
        <v/>
      </c>
      <c r="B769">
        <f>Skills!B10</f>
        <v/>
      </c>
      <c r="C769">
        <f>Inputs!$B$3&gt;=113</f>
        <v/>
      </c>
      <c r="D769">
        <f>IF(Skills!C10=1,60+(Inputs!$B$25+1)+Inputs!$B$29,IF(Skills!C10=2,90+Inputs!$B$26+Inputs!$B$29,IF(Skills!C10=3,120+Inputs!$B$27+Inputs!$B$29,MAX(0,(Inputs!$B$3-100)*3)+Inputs!$B$28+Inputs!$B$29)))</f>
        <v/>
      </c>
      <c r="E769">
        <f>INDEX(FactorTable!$B$2:$Y$301, MATCH(ROUND(MIN(300,MAX(1,D769)),0), FactorTable!$A$2:$A$301,0), Skills!M10+1)</f>
        <v/>
      </c>
      <c r="F769">
        <f>IF(Skills!N10=TRUE,(Skills!L10/10)*(E769/1000),Skills!L10/10)+Skills!O10</f>
        <v/>
      </c>
      <c r="G769">
        <f>Skills!G10*IF(Skills!H10&gt;0,Skills!I10/Skills!H10,1)</f>
        <v/>
      </c>
      <c r="H769">
        <f>1-(1-Skills!J10/100)^Skills!K10</f>
        <v/>
      </c>
      <c r="I769" t="inlineStr">
        <is>
          <t>1</t>
        </is>
      </c>
      <c r="J769">
        <f>((Inputs!$B$6*(1+Inputs!$B$7/100))+(((Inputs!$B$12*(1+Inputs!$B$13/100))-(Inputs!$B$12*(1+Inputs!$B$13/100)))+0.25*(Inputs!$B$14-Inputs!$B$14))*(1+Inputs!$B$7/100))*(F769/100)</f>
        <v/>
      </c>
      <c r="K769">
        <f>J769*(1+((Inputs!$B$12*(1+Inputs!$B$13/100))*0.01+Inputs!$B$14*0.0025)/100)*(1+Inputs!$B$15/100)*(1+Inputs!$B$16/100)*(5000/(6000+Inputs!$B$42*(1-(100*(1-(1-(Inputs!$B$19+0)/100)*(1-CHOOSE(ArtifactsInput!$N$40+1,5,6,7,8,9,10)/100)^(ArtifactsInput!$M$40-ArtifactsInput!$M$40)))/100)))*(1+(Inputs!$B$24+((C785=TRUE)*(F785-Calc!F26))+B795)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782=TRUE)*(F782-Calc!F23))+((C786=TRUE)*(F786-Calc!F27))+(((IF(AND(ArtifactsInput!$M$42,((Inputs!$B$9+((C778=TRUE)*(F778-Calc!F19))+B789+(ArtifactsInput!$M$24-ArtifactsInput!$M$24)*CHOOSE(ArtifactsInput!$N$24+1,10,12,14,16,18,20)+IF(ArtifactsInput!$M$10,CHOOSE(ArtifactsInput!$N$10+1,15,18,21,24,27,30)*(IF(Inputs!$B$38="pvp",MIN(15,15)/15,IF(AND(Inputs!$B$38&lt;&gt;"pvp",Inputs!$B$43&gt;0),MIN(15,Inputs!$B$43)/(Inputs!$B$43),0))),0)))&gt;=100),MIN(100,((Inputs!$B$9+((C778=TRUE)*(F778-Calc!F19))+B789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778=TRUE)*(F778-Calc!F19))+B789+(ArtifactsInput!$M$24-ArtifactsInput!$M$24)*CHOOSE(ArtifactsInput!$N$24+1,10,12,14,16,18,20)+IF(ArtifactsInput!$M$10,CHOOSE(ArtifactsInput!$N$10+1,15,18,21,24,27,30)*(IF(Inputs!$B$38="pvp",MIN(15,15)/15,IF(AND(Inputs!$B$38&lt;&gt;"pvp",Inputs!$B$43&gt;0),MIN(15,Inputs!$B$43)/(Inputs!$B$43),0))),0)))&gt;=100),CHOOSE(ArtifactsInput!$N$42+1,40,48,56,64,72,80),0))))/100)*((1+(((C776=TRUE)*F776)+((C783=TRUE)*(F783-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769)</f>
        <v/>
      </c>
      <c r="L769">
        <f>K769*(MIN(Inputs!$B$22+((C781=TRUE)*(F781-Calc!F22)),(Inputs!$B$23+0+(IF(ArtifactsInput!$M$15,CHOOSE(ArtifactsInput!$N$15+1,25,30,35,40,45,50)/100*(Inputs!$B$11-Inputs!$B$11),0))))/100+(Inputs!$B$23+0+(IF(ArtifactsInput!$M$15,CHOOSE(ArtifactsInput!$N$15+1,25,30,35,40,45,50)/100*(Inputs!$B$11-Inputs!$B$11),0)))/100)/2</f>
        <v/>
      </c>
      <c r="M769">
        <f>L769*(1+(Inputs!$B$10+((C784=TRUE)*(F784-Calc!F25))+B794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9">
        <f>L769*(1-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769*(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9">
        <f>(1-Summary!$B$11)*T769+Summary!$B$11*V769</f>
        <v/>
      </c>
      <c r="P769">
        <f>IF(B799=0,0,O769/B799)</f>
        <v/>
      </c>
      <c r="Q769">
        <f>IFERROR(1/(IF(Inputs!$B$38="pvp",15,MAX(0.1,Skills!D10-IF(Skills!E10=TRUE,Inputs!$B$32,0)))*(1-IF(AND(ArtifactsInput!$M$27,Inputs!$B$4="Chapter Hunt"),CHOOSE(ArtifactsInput!$N$27+1,20,24,28,32,36,40),0)/100)),0)</f>
        <v/>
      </c>
      <c r="R769">
        <f>IF(AND(Inputs!$B$38&lt;&gt;"pvp",Inputs!$B$43&gt;0),IF(MAX(0,Inputs!$B$43-B796)&lt;=0,0,(INT(MAX(0,Inputs!$B$43-B796)/(IF(Inputs!$B$38="pvp",15,MAX(0.1,Skills!D10-IF(Skills!E10=TRUE,Inputs!$B$32,0)))*(1-IF(AND(ArtifactsInput!$M$27,Inputs!$B$4="Chapter Hunt"),CHOOSE(ArtifactsInput!$N$27+1,20,24,28,32,36,40),0)/100)))+1)),0)</f>
        <v/>
      </c>
      <c r="S769">
        <f>IFERROR(O769/N769,0)</f>
        <v/>
      </c>
      <c r="T769">
        <f>IF(C769,(H769*N769*IF(AND(Inputs!$B$38&lt;&gt;"pvp",Inputs!$B$43&gt;0),((Skills!G10*((R769-1)*IF(Skills!H10&gt;0,Skills!I10/Skills!H10,1)+IF(Skills!H10&gt;0,MIN(Skills!I10,MAX(0,MAX(0,Inputs!$B$43-B796)-((R769-1)*(IF(Inputs!$B$38="pvp",15,MAX(0.1,Skills!D10-IF(Skills!E10=TRUE,Inputs!$B$32,0)))*(1-IF(AND(ArtifactsInput!$M$27,Inputs!$B$4="Chapter Hunt"),CHOOSE(ArtifactsInput!$N$27+1,20,24,28,32,36,40),0)/100)))))/Skills!H10,1)))/Inputs!$B$43),G769*Q769)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769*(1-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769*(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769*(1-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769*(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9">
        <f>IF(C769,(H769*N769*IF(AND(Inputs!$B$38&lt;&gt;"pvp",Inputs!$B$43&gt;0),((Skills!G10*((R769-1)*IF(Skills!H10&gt;0,Skills!I10/Skills!H10,1)+IF(Skills!H10&gt;0,MIN(Skills!I10,MAX(0,MAX(0,Inputs!$B$43-B796)-((R769-1)*(IF(Inputs!$B$38="pvp",15,MAX(0.1,Skills!D10-IF(Skills!E10=TRUE,Inputs!$B$32,0)))*(1-IF(AND(ArtifactsInput!$M$27,Inputs!$B$4="Chapter Hunt"),CHOOSE(ArtifactsInput!$N$27+1,20,24,28,32,36,40),0)/100)))))/Skills!H10,1)))/Inputs!$B$43),G769*Q769))*IF(Inputs!$B$38="pvp",1,(1+(Inputs!$B$21+Skills!Q10+(IF(ArtifactsInput!$M$33,CHOOSE(ArtifactsInput!$N$33+1,30,36,42,48,54,60)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0">
      <c r="A770">
        <f>Skills!A11</f>
        <v/>
      </c>
      <c r="B770">
        <f>Skills!B11</f>
        <v/>
      </c>
      <c r="C770">
        <f>Inputs!$B$3&gt;=107</f>
        <v/>
      </c>
      <c r="D770">
        <f>IF(Skills!C11=1,60+(Inputs!$B$25+1)+Inputs!$B$29,IF(Skills!C11=2,90+Inputs!$B$26+Inputs!$B$29,IF(Skills!C11=3,120+Inputs!$B$27+Inputs!$B$29,MAX(0,(Inputs!$B$3-100)*3)+Inputs!$B$28+Inputs!$B$29)))</f>
        <v/>
      </c>
      <c r="E770">
        <f>INDEX(FactorTable!$B$2:$Y$301, MATCH(ROUND(MIN(300,MAX(1,D770)),0), FactorTable!$A$2:$A$301,0), Skills!M11+1)</f>
        <v/>
      </c>
      <c r="F770">
        <f>IF(Skills!N11=TRUE,(Skills!L11/10)*(E770/1000),Skills!L11/10)+Skills!O11</f>
        <v/>
      </c>
      <c r="G770">
        <f>Skills!G11*IF(Skills!H11&gt;0,Skills!I11/Skills!H11,1)</f>
        <v/>
      </c>
      <c r="H770">
        <f>1-(1-Skills!J11/100)^Skills!K11</f>
        <v/>
      </c>
      <c r="I770" t="inlineStr">
        <is>
          <t>1</t>
        </is>
      </c>
      <c r="J770">
        <f>((Inputs!$B$6*(1+Inputs!$B$7/100))+(((Inputs!$B$12*(1+Inputs!$B$13/100))-(Inputs!$B$12*(1+Inputs!$B$13/100)))+0.25*(Inputs!$B$14-Inputs!$B$14))*(1+Inputs!$B$7/100))*(F770/100)</f>
        <v/>
      </c>
      <c r="K770">
        <f>J770*(1+((Inputs!$B$12*(1+Inputs!$B$13/100))*0.01+Inputs!$B$14*0.0025)/100)*(1+Inputs!$B$15/100)*(1+Inputs!$B$16/100)*(5000/(6000+Inputs!$B$42*(1-(100*(1-(1-(Inputs!$B$19+0)/100)*(1-CHOOSE(ArtifactsInput!$N$40+1,5,6,7,8,9,10)/100)^(ArtifactsInput!$M$40-ArtifactsInput!$M$40)))/100)))*(1+(Inputs!$B$24+((C785=TRUE)*(F785-Calc!F26))+B795)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782=TRUE)*(F782-Calc!F23))+((C786=TRUE)*(F786-Calc!F27))+(((IF(AND(ArtifactsInput!$M$42,((Inputs!$B$9+((C778=TRUE)*(F778-Calc!F19))+B789+(ArtifactsInput!$M$24-ArtifactsInput!$M$24)*CHOOSE(ArtifactsInput!$N$24+1,10,12,14,16,18,20)+IF(ArtifactsInput!$M$10,CHOOSE(ArtifactsInput!$N$10+1,15,18,21,24,27,30)*(IF(Inputs!$B$38="pvp",MIN(15,15)/15,IF(AND(Inputs!$B$38&lt;&gt;"pvp",Inputs!$B$43&gt;0),MIN(15,Inputs!$B$43)/(Inputs!$B$43),0))),0)))&gt;=100),MIN(100,((Inputs!$B$9+((C778=TRUE)*(F778-Calc!F19))+B789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778=TRUE)*(F778-Calc!F19))+B789+(ArtifactsInput!$M$24-ArtifactsInput!$M$24)*CHOOSE(ArtifactsInput!$N$24+1,10,12,14,16,18,20)+IF(ArtifactsInput!$M$10,CHOOSE(ArtifactsInput!$N$10+1,15,18,21,24,27,30)*(IF(Inputs!$B$38="pvp",MIN(15,15)/15,IF(AND(Inputs!$B$38&lt;&gt;"pvp",Inputs!$B$43&gt;0),MIN(15,Inputs!$B$43)/(Inputs!$B$43),0))),0)))&gt;=100),CHOOSE(ArtifactsInput!$N$42+1,40,48,56,64,72,80),0))))/100)*((1+(((C776=TRUE)*F776)+((C783=TRUE)*(F783-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770)</f>
        <v/>
      </c>
      <c r="L770">
        <f>K770*(MIN(Inputs!$B$22+((C781=TRUE)*(F781-Calc!F22)),(Inputs!$B$23+0+(IF(ArtifactsInput!$M$15,CHOOSE(ArtifactsInput!$N$15+1,25,30,35,40,45,50)/100*(Inputs!$B$11-Inputs!$B$11),0))))/100+(Inputs!$B$23+0+(IF(ArtifactsInput!$M$15,CHOOSE(ArtifactsInput!$N$15+1,25,30,35,40,45,50)/100*(Inputs!$B$11-Inputs!$B$11),0)))/100)/2</f>
        <v/>
      </c>
      <c r="M770">
        <f>L770*(1+(Inputs!$B$10+((C784=TRUE)*(F784-Calc!F25))+B794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0">
        <f>L770*(1-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770*(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0">
        <f>(1-Summary!$B$11)*T770+Summary!$B$11*V770</f>
        <v/>
      </c>
      <c r="P770">
        <f>IF(B799=0,0,O770/B799)</f>
        <v/>
      </c>
      <c r="Q770">
        <f>IFERROR(1/(IF(Inputs!$B$38="pvp",15,MAX(0.1,Skills!D11-IF(Skills!E11=TRUE,Inputs!$B$32,0)))*(1-IF(AND(ArtifactsInput!$M$27,Inputs!$B$4="Chapter Hunt"),CHOOSE(ArtifactsInput!$N$27+1,20,24,28,32,36,40),0)/100)),0)</f>
        <v/>
      </c>
      <c r="R770">
        <f>IF(AND(Inputs!$B$38&lt;&gt;"pvp",Inputs!$B$43&gt;0),IF(MAX(0,Inputs!$B$43-B796)&lt;=0,0,(INT(MAX(0,Inputs!$B$43-B796)/(IF(Inputs!$B$38="pvp",15,MAX(0.1,Skills!D11-IF(Skills!E11=TRUE,Inputs!$B$32,0)))*(1-IF(AND(ArtifactsInput!$M$27,Inputs!$B$4="Chapter Hunt"),CHOOSE(ArtifactsInput!$N$27+1,20,24,28,32,36,40),0)/100)))+1)),0)</f>
        <v/>
      </c>
      <c r="S770">
        <f>IFERROR(O770/N770,0)</f>
        <v/>
      </c>
      <c r="T770">
        <f>IF(C770,(H770*N770*IF(AND(Inputs!$B$38&lt;&gt;"pvp",Inputs!$B$43&gt;0),((Skills!G11*((R770-1)*IF(Skills!H11&gt;0,Skills!I11/Skills!H11,1)+IF(Skills!H11&gt;0,MIN(Skills!I11,MAX(0,MAX(0,Inputs!$B$43-B796)-((R770-1)*(IF(Inputs!$B$38="pvp",15,MAX(0.1,Skills!D11-IF(Skills!E11=TRUE,Inputs!$B$32,0)))*(1-IF(AND(ArtifactsInput!$M$27,Inputs!$B$4="Chapter Hunt"),CHOOSE(ArtifactsInput!$N$27+1,20,24,28,32,36,40),0)/100)))))/Skills!H11,1)))/Inputs!$B$43),G770*Q770)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770*(1-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770*(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770*(1-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770*(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0">
        <f>IF(C770,(H770*N770*IF(AND(Inputs!$B$38&lt;&gt;"pvp",Inputs!$B$43&gt;0),((Skills!G11*((R770-1)*IF(Skills!H11&gt;0,Skills!I11/Skills!H11,1)+IF(Skills!H11&gt;0,MIN(Skills!I11,MAX(0,MAX(0,Inputs!$B$43-B796)-((R770-1)*(IF(Inputs!$B$38="pvp",15,MAX(0.1,Skills!D11-IF(Skills!E11=TRUE,Inputs!$B$32,0)))*(1-IF(AND(ArtifactsInput!$M$27,Inputs!$B$4="Chapter Hunt"),CHOOSE(ArtifactsInput!$N$27+1,20,24,28,32,36,40),0)/100)))))/Skills!H11,1)))/Inputs!$B$43),G770*Q770))*IF(Inputs!$B$38="pvp",1,(1+(Inputs!$B$21+Skills!Q11+(IF(ArtifactsInput!$M$33,CHOOSE(ArtifactsInput!$N$33+1,30,36,42,48,54,60)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1">
      <c r="A771">
        <f>Skills!A12</f>
        <v/>
      </c>
      <c r="B771">
        <f>Skills!B12</f>
        <v/>
      </c>
      <c r="C771">
        <f>Inputs!$B$3&gt;=110</f>
        <v/>
      </c>
      <c r="D771">
        <f>IF(Skills!C12=1,60+(Inputs!$B$25+1)+Inputs!$B$29,IF(Skills!C12=2,90+Inputs!$B$26+Inputs!$B$29,IF(Skills!C12=3,120+Inputs!$B$27+Inputs!$B$29,MAX(0,(Inputs!$B$3-100)*3)+Inputs!$B$28+Inputs!$B$29)))</f>
        <v/>
      </c>
      <c r="E771">
        <f>INDEX(FactorTable!$B$2:$Y$301, MATCH(ROUND(MIN(300,MAX(1,D771)),0), FactorTable!$A$2:$A$301,0), Skills!M12+1)</f>
        <v/>
      </c>
      <c r="F771">
        <f>IF(Skills!N12=TRUE,(Skills!L12/10)*(E771/1000),Skills!L12/10)+Skills!O12</f>
        <v/>
      </c>
      <c r="G771">
        <f>Skills!G12*IF(Skills!H12&gt;0,Skills!I12/Skills!H12,1)</f>
        <v/>
      </c>
      <c r="H771">
        <f>1-(1-Skills!J12/100)^Skills!K12</f>
        <v/>
      </c>
      <c r="I771" t="inlineStr">
        <is>
          <t>1</t>
        </is>
      </c>
      <c r="J771">
        <f>((Inputs!$B$6*(1+Inputs!$B$7/100))+(((Inputs!$B$12*(1+Inputs!$B$13/100))-(Inputs!$B$12*(1+Inputs!$B$13/100)))+0.25*(Inputs!$B$14-Inputs!$B$14))*(1+Inputs!$B$7/100))*(F771/100)</f>
        <v/>
      </c>
      <c r="K771">
        <f>J771*(1+((Inputs!$B$12*(1+Inputs!$B$13/100))*0.01+Inputs!$B$14*0.0025)/100)*(1+Inputs!$B$15/100)*(1+Inputs!$B$16/100)*(5000/(6000+Inputs!$B$42*(1-(100*(1-(1-(Inputs!$B$19+0)/100)*(1-CHOOSE(ArtifactsInput!$N$40+1,5,6,7,8,9,10)/100)^(ArtifactsInput!$M$40-ArtifactsInput!$M$40)))/100)))*(1+(Inputs!$B$24+((C785=TRUE)*(F785-Calc!F26))+B795)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782=TRUE)*(F782-Calc!F23))+((C786=TRUE)*(F786-Calc!F27))+(((IF(AND(ArtifactsInput!$M$42,((Inputs!$B$9+((C778=TRUE)*(F778-Calc!F19))+B789+(ArtifactsInput!$M$24-ArtifactsInput!$M$24)*CHOOSE(ArtifactsInput!$N$24+1,10,12,14,16,18,20)+IF(ArtifactsInput!$M$10,CHOOSE(ArtifactsInput!$N$10+1,15,18,21,24,27,30)*(IF(Inputs!$B$38="pvp",MIN(15,15)/15,IF(AND(Inputs!$B$38&lt;&gt;"pvp",Inputs!$B$43&gt;0),MIN(15,Inputs!$B$43)/(Inputs!$B$43),0))),0)))&gt;=100),MIN(100,((Inputs!$B$9+((C778=TRUE)*(F778-Calc!F19))+B789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778=TRUE)*(F778-Calc!F19))+B789+(ArtifactsInput!$M$24-ArtifactsInput!$M$24)*CHOOSE(ArtifactsInput!$N$24+1,10,12,14,16,18,20)+IF(ArtifactsInput!$M$10,CHOOSE(ArtifactsInput!$N$10+1,15,18,21,24,27,30)*(IF(Inputs!$B$38="pvp",MIN(15,15)/15,IF(AND(Inputs!$B$38&lt;&gt;"pvp",Inputs!$B$43&gt;0),MIN(15,Inputs!$B$43)/(Inputs!$B$43),0))),0)))&gt;=100),CHOOSE(ArtifactsInput!$N$42+1,40,48,56,64,72,80),0))))/100)*((1+(((C776=TRUE)*F776)+((C783=TRUE)*(F783-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771)</f>
        <v/>
      </c>
      <c r="L771">
        <f>K771*(MIN(Inputs!$B$22+((C781=TRUE)*(F781-Calc!F22)),(Inputs!$B$23+0+(IF(ArtifactsInput!$M$15,CHOOSE(ArtifactsInput!$N$15+1,25,30,35,40,45,50)/100*(Inputs!$B$11-Inputs!$B$11),0))))/100+(Inputs!$B$23+0+(IF(ArtifactsInput!$M$15,CHOOSE(ArtifactsInput!$N$15+1,25,30,35,40,45,50)/100*(Inputs!$B$11-Inputs!$B$11),0)))/100)/2</f>
        <v/>
      </c>
      <c r="M771">
        <f>L771*(1+(Inputs!$B$10+((C784=TRUE)*(F784-Calc!F25))+B794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1">
        <f>L771*(1-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1">
        <f>(1-Summary!$B$11)*T771+Summary!$B$11*V771</f>
        <v/>
      </c>
      <c r="P771">
        <f>IF(B799=0,0,O771/B799)</f>
        <v/>
      </c>
      <c r="Q771">
        <f>IFERROR(1/(IF(Inputs!$B$38="pvp",15,MAX(0.1,Skills!D12-IF(Skills!E12=TRUE,Inputs!$B$32,0)))*(1-IF(AND(ArtifactsInput!$M$27,Inputs!$B$4="Chapter Hunt"),CHOOSE(ArtifactsInput!$N$27+1,20,24,28,32,36,40),0)/100)),0)</f>
        <v/>
      </c>
      <c r="R771">
        <f>IF(AND(Inputs!$B$38&lt;&gt;"pvp",Inputs!$B$43&gt;0),IF(MAX(0,Inputs!$B$43-B796)&lt;=0,0,(INT(MAX(0,Inputs!$B$43-B796)/(IF(Inputs!$B$38="pvp",15,MAX(0.1,Skills!D12-IF(Skills!E12=TRUE,Inputs!$B$32,0)))*(1-IF(AND(ArtifactsInput!$M$27,Inputs!$B$4="Chapter Hunt"),CHOOSE(ArtifactsInput!$N$27+1,20,24,28,32,36,40),0)/100)))+1)),0)</f>
        <v/>
      </c>
      <c r="S771">
        <f>IFERROR(O771/N771,0)</f>
        <v/>
      </c>
      <c r="T771">
        <f>IF(C771,(H771*N771*IF(AND(Inputs!$B$38&lt;&gt;"pvp",Inputs!$B$43&gt;0),((Skills!G12*((R771-1)*IF(Skills!H12&gt;0,Skills!I12/Skills!H12,1)+IF(Skills!H12&gt;0,MIN(Skills!I12,MAX(0,MAX(0,Inputs!$B$43-B796)-((R771-1)*(IF(Inputs!$B$38="pvp",15,MAX(0.1,Skills!D12-IF(Skills!E12=TRUE,Inputs!$B$32,0)))*(1-IF(AND(ArtifactsInput!$M$27,Inputs!$B$4="Chapter Hunt"),CHOOSE(ArtifactsInput!$N$27+1,20,24,28,32,36,40),0)/100)))))/Skills!H12,1)))/Inputs!$B$43),G771*Q771)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1">
        <f>IF(C771,(H771*N771*IF(AND(Inputs!$B$38&lt;&gt;"pvp",Inputs!$B$43&gt;0),((Skills!G12*((R771-1)*IF(Skills!H12&gt;0,Skills!I12/Skills!H12,1)+IF(Skills!H12&gt;0,MIN(Skills!I12,MAX(0,MAX(0,Inputs!$B$43-B796)-((R771-1)*(IF(Inputs!$B$38="pvp",15,MAX(0.1,Skills!D12-IF(Skills!E12=TRUE,Inputs!$B$32,0)))*(1-IF(AND(ArtifactsInput!$M$27,Inputs!$B$4="Chapter Hunt"),CHOOSE(ArtifactsInput!$N$27+1,20,24,28,32,36,40),0)/100)))))/Skills!H12,1)))/Inputs!$B$43),G771*Q771))*IF(Inputs!$B$38="pvp",1,(1+(Inputs!$B$21+Skills!Q12+(IF(ArtifactsInput!$M$33,CHOOSE(ArtifactsInput!$N$33+1,30,36,42,48,54,60)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2">
      <c r="A772">
        <f>Skills!A13</f>
        <v/>
      </c>
      <c r="B772">
        <f>Skills!B13</f>
        <v/>
      </c>
      <c r="C772">
        <f>Inputs!$B$3&gt;=110</f>
        <v/>
      </c>
      <c r="D772">
        <f>IF(Skills!C13=1,60+(Inputs!$B$25+1)+Inputs!$B$29,IF(Skills!C13=2,90+Inputs!$B$26+Inputs!$B$29,IF(Skills!C13=3,120+Inputs!$B$27+Inputs!$B$29,MAX(0,(Inputs!$B$3-100)*3)+Inputs!$B$28+Inputs!$B$29)))</f>
        <v/>
      </c>
      <c r="E772">
        <f>INDEX(FactorTable!$B$2:$Y$301, MATCH(ROUND(MIN(300,MAX(1,D772)),0), FactorTable!$A$2:$A$301,0), Skills!M13+1)</f>
        <v/>
      </c>
      <c r="F772">
        <f>IF(Skills!N13=TRUE,(Skills!L13/10)*(E772/1000),Skills!L13/10)+Skills!O13</f>
        <v/>
      </c>
      <c r="G772">
        <f>Skills!G13*IF(Skills!H13&gt;0,Skills!I13/Skills!H13,1)</f>
        <v/>
      </c>
      <c r="H772">
        <f>1-(1-Skills!J13/100)^Skills!K13</f>
        <v/>
      </c>
      <c r="I772" t="inlineStr">
        <is>
          <t>1</t>
        </is>
      </c>
      <c r="J772">
        <f>((Inputs!$B$6*(1+Inputs!$B$7/100))+(((Inputs!$B$12*(1+Inputs!$B$13/100))-(Inputs!$B$12*(1+Inputs!$B$13/100)))+0.25*(Inputs!$B$14-Inputs!$B$14))*(1+Inputs!$B$7/100))*(F772/100)</f>
        <v/>
      </c>
      <c r="K772">
        <f>J772*(1+((Inputs!$B$12*(1+Inputs!$B$13/100))*0.01+Inputs!$B$14*0.0025)/100)*(1+Inputs!$B$15/100)*(1+Inputs!$B$16/100)*(5000/(6000+Inputs!$B$42*(1-(100*(1-(1-(Inputs!$B$19+0)/100)*(1-CHOOSE(ArtifactsInput!$N$40+1,5,6,7,8,9,10)/100)^(ArtifactsInput!$M$40-ArtifactsInput!$M$40)))/100)))*(1+(Inputs!$B$24+((C785=TRUE)*(F785-Calc!F26))+B795)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782=TRUE)*(F782-Calc!F23))+((C786=TRUE)*(F786-Calc!F27))+(((IF(AND(ArtifactsInput!$M$42,((Inputs!$B$9+((C778=TRUE)*(F778-Calc!F19))+B789+(ArtifactsInput!$M$24-ArtifactsInput!$M$24)*CHOOSE(ArtifactsInput!$N$24+1,10,12,14,16,18,20)+IF(ArtifactsInput!$M$10,CHOOSE(ArtifactsInput!$N$10+1,15,18,21,24,27,30)*(IF(Inputs!$B$38="pvp",MIN(15,15)/15,IF(AND(Inputs!$B$38&lt;&gt;"pvp",Inputs!$B$43&gt;0),MIN(15,Inputs!$B$43)/(Inputs!$B$43),0))),0)))&gt;=100),MIN(100,((Inputs!$B$9+((C778=TRUE)*(F778-Calc!F19))+B789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778=TRUE)*(F778-Calc!F19))+B789+(ArtifactsInput!$M$24-ArtifactsInput!$M$24)*CHOOSE(ArtifactsInput!$N$24+1,10,12,14,16,18,20)+IF(ArtifactsInput!$M$10,CHOOSE(ArtifactsInput!$N$10+1,15,18,21,24,27,30)*(IF(Inputs!$B$38="pvp",MIN(15,15)/15,IF(AND(Inputs!$B$38&lt;&gt;"pvp",Inputs!$B$43&gt;0),MIN(15,Inputs!$B$43)/(Inputs!$B$43),0))),0)))&gt;=100),CHOOSE(ArtifactsInput!$N$42+1,40,48,56,64,72,80),0))))/100)*((1+(((C776=TRUE)*F776)+((C783=TRUE)*(F783-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772)</f>
        <v/>
      </c>
      <c r="L772">
        <f>K772*(MIN(Inputs!$B$22+((C781=TRUE)*(F781-Calc!F22)),(Inputs!$B$23+0+(IF(ArtifactsInput!$M$15,CHOOSE(ArtifactsInput!$N$15+1,25,30,35,40,45,50)/100*(Inputs!$B$11-Inputs!$B$11),0))))/100+(Inputs!$B$23+0+(IF(ArtifactsInput!$M$15,CHOOSE(ArtifactsInput!$N$15+1,25,30,35,40,45,50)/100*(Inputs!$B$11-Inputs!$B$11),0)))/100)/2</f>
        <v/>
      </c>
      <c r="M772">
        <f>L772*(1+(Inputs!$B$10+((C784=TRUE)*(F784-Calc!F25))+B794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2">
        <f>L772*(1-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772*(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2">
        <f>(1-Summary!$B$11)*T772+Summary!$B$11*V772</f>
        <v/>
      </c>
      <c r="P772">
        <f>IF(B799=0,0,O772/B799)</f>
        <v/>
      </c>
      <c r="Q772">
        <f>IFERROR(1/(IF(Inputs!$B$38="pvp",15,MAX(0.1,Skills!D13-IF(Skills!E13=TRUE,Inputs!$B$32,0)))*(1-IF(AND(ArtifactsInput!$M$27,Inputs!$B$4="Chapter Hunt"),CHOOSE(ArtifactsInput!$N$27+1,20,24,28,32,36,40),0)/100)),0)</f>
        <v/>
      </c>
      <c r="R772">
        <f>IF(AND(Inputs!$B$38&lt;&gt;"pvp",Inputs!$B$43&gt;0),IF(MAX(0,Inputs!$B$43-B796)&lt;=0,0,(INT(MAX(0,Inputs!$B$43-B796)/(IF(Inputs!$B$38="pvp",15,MAX(0.1,Skills!D13-IF(Skills!E13=TRUE,Inputs!$B$32,0)))*(1-IF(AND(ArtifactsInput!$M$27,Inputs!$B$4="Chapter Hunt"),CHOOSE(ArtifactsInput!$N$27+1,20,24,28,32,36,40),0)/100)))+1)),0)</f>
        <v/>
      </c>
      <c r="S772">
        <f>IFERROR(O772/N772,0)</f>
        <v/>
      </c>
      <c r="T772">
        <f>IF(C772,(H772*N772*IF(AND(Inputs!$B$38&lt;&gt;"pvp",Inputs!$B$43&gt;0),((Skills!G13*((R772-1)*IF(Skills!H13&gt;0,Skills!I13/Skills!H13,1)+IF(Skills!H13&gt;0,MIN(Skills!I13,MAX(0,MAX(0,Inputs!$B$43-B796)-((R772-1)*(IF(Inputs!$B$38="pvp",15,MAX(0.1,Skills!D13-IF(Skills!E13=TRUE,Inputs!$B$32,0)))*(1-IF(AND(ArtifactsInput!$M$27,Inputs!$B$4="Chapter Hunt"),CHOOSE(ArtifactsInput!$N$27+1,20,24,28,32,36,40),0)/100)))))/Skills!H13,1)))/Inputs!$B$43),G772*Q772)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772*(1-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772*(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772*(1-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772*(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2">
        <f>IF(C772,(H772*N772*IF(AND(Inputs!$B$38&lt;&gt;"pvp",Inputs!$B$43&gt;0),((Skills!G13*((R772-1)*IF(Skills!H13&gt;0,Skills!I13/Skills!H13,1)+IF(Skills!H13&gt;0,MIN(Skills!I13,MAX(0,MAX(0,Inputs!$B$43-B796)-((R772-1)*(IF(Inputs!$B$38="pvp",15,MAX(0.1,Skills!D13-IF(Skills!E13=TRUE,Inputs!$B$32,0)))*(1-IF(AND(ArtifactsInput!$M$27,Inputs!$B$4="Chapter Hunt"),CHOOSE(ArtifactsInput!$N$27+1,20,24,28,32,36,40),0)/100)))))/Skills!H13,1)))/Inputs!$B$43),G772*Q772))*IF(Inputs!$B$38="pvp",1,(1+(Inputs!$B$21+Skills!Q13+(IF(ArtifactsInput!$M$33,CHOOSE(ArtifactsInput!$N$33+1,30,36,42,48,54,60)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3">
      <c r="A773">
        <f>Skills!A14</f>
        <v/>
      </c>
      <c r="B773">
        <f>Skills!B14</f>
        <v/>
      </c>
      <c r="C773">
        <f>Inputs!$B$3&gt;=125</f>
        <v/>
      </c>
      <c r="D773">
        <f>IF(Skills!C14=1,60+(Inputs!$B$25+1)+Inputs!$B$29,IF(Skills!C14=2,90+Inputs!$B$26+Inputs!$B$29,IF(Skills!C14=3,120+Inputs!$B$27+Inputs!$B$29,MAX(0,(Inputs!$B$3-100)*3)+Inputs!$B$28+Inputs!$B$29)))</f>
        <v/>
      </c>
      <c r="E773">
        <f>INDEX(FactorTable!$B$2:$Y$301, MATCH(ROUND(MIN(300,MAX(1,D773)),0), FactorTable!$A$2:$A$301,0), Skills!M14+1)</f>
        <v/>
      </c>
      <c r="F773">
        <f>IF(Skills!N14=TRUE,(Skills!L14/10)*(E773/1000),Skills!L14/10)+Skills!O14</f>
        <v/>
      </c>
      <c r="G773">
        <f>Skills!G14*IF(Skills!H14&gt;0,Skills!I14/Skills!H14,1)</f>
        <v/>
      </c>
      <c r="H773">
        <f>1-(1-Skills!J14/100)^Skills!K14</f>
        <v/>
      </c>
      <c r="I773" t="inlineStr">
        <is>
          <t>1</t>
        </is>
      </c>
      <c r="J773">
        <f>((Inputs!$B$6*(1+Inputs!$B$7/100))+(((Inputs!$B$12*(1+Inputs!$B$13/100))-(Inputs!$B$12*(1+Inputs!$B$13/100)))+0.25*(Inputs!$B$14-Inputs!$B$14))*(1+Inputs!$B$7/100))*(F773/100)</f>
        <v/>
      </c>
      <c r="K773">
        <f>J773*(1+((Inputs!$B$12*(1+Inputs!$B$13/100))*0.01+Inputs!$B$14*0.0025)/100)*(1+Inputs!$B$15/100)*(1+Inputs!$B$16/100)*(5000/(6000+Inputs!$B$42*(1-(100*(1-(1-(Inputs!$B$19+0)/100)*(1-CHOOSE(ArtifactsInput!$N$40+1,5,6,7,8,9,10)/100)^(ArtifactsInput!$M$40-ArtifactsInput!$M$40)))/100)))*(1+(Inputs!$B$24+((C785=TRUE)*(F785-Calc!F26))+B795)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782=TRUE)*(F782-Calc!F23))+((C786=TRUE)*(F786-Calc!F27))+(((IF(AND(ArtifactsInput!$M$42,((Inputs!$B$9+((C778=TRUE)*(F778-Calc!F19))+B789+(ArtifactsInput!$M$24-ArtifactsInput!$M$24)*CHOOSE(ArtifactsInput!$N$24+1,10,12,14,16,18,20)+IF(ArtifactsInput!$M$10,CHOOSE(ArtifactsInput!$N$10+1,15,18,21,24,27,30)*(IF(Inputs!$B$38="pvp",MIN(15,15)/15,IF(AND(Inputs!$B$38&lt;&gt;"pvp",Inputs!$B$43&gt;0),MIN(15,Inputs!$B$43)/(Inputs!$B$43),0))),0)))&gt;=100),MIN(100,((Inputs!$B$9+((C778=TRUE)*(F778-Calc!F19))+B789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778=TRUE)*(F778-Calc!F19))+B789+(ArtifactsInput!$M$24-ArtifactsInput!$M$24)*CHOOSE(ArtifactsInput!$N$24+1,10,12,14,16,18,20)+IF(ArtifactsInput!$M$10,CHOOSE(ArtifactsInput!$N$10+1,15,18,21,24,27,30)*(IF(Inputs!$B$38="pvp",MIN(15,15)/15,IF(AND(Inputs!$B$38&lt;&gt;"pvp",Inputs!$B$43&gt;0),MIN(15,Inputs!$B$43)/(Inputs!$B$43),0))),0)))&gt;=100),CHOOSE(ArtifactsInput!$N$42+1,40,48,56,64,72,80),0))))/100)*((1+(((C776=TRUE)*F776)+((C783=TRUE)*(F783-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773)</f>
        <v/>
      </c>
      <c r="L773">
        <f>K773*(MIN(Inputs!$B$22+((C781=TRUE)*(F781-Calc!F22)),(Inputs!$B$23+0+(IF(ArtifactsInput!$M$15,CHOOSE(ArtifactsInput!$N$15+1,25,30,35,40,45,50)/100*(Inputs!$B$11-Inputs!$B$11),0))))/100+(Inputs!$B$23+0+(IF(ArtifactsInput!$M$15,CHOOSE(ArtifactsInput!$N$15+1,25,30,35,40,45,50)/100*(Inputs!$B$11-Inputs!$B$11),0)))/100)/2</f>
        <v/>
      </c>
      <c r="M773">
        <f>L773*(1+(Inputs!$B$10+((C784=TRUE)*(F784-Calc!F25))+B794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3">
        <f>L773*(1-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773*(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3">
        <f>(1-Summary!$B$11)*T773+Summary!$B$11*V773</f>
        <v/>
      </c>
      <c r="P773">
        <f>IF(B799=0,0,O773/B799)</f>
        <v/>
      </c>
      <c r="Q773" t="n">
        <v>0</v>
      </c>
      <c r="R773" t="n">
        <v>0</v>
      </c>
      <c r="S773">
        <f>IFERROR(O773/N773,0)</f>
        <v/>
      </c>
      <c r="T773">
        <f>IF(C773,(H773*N773*(B793+IF(AND(Inputs!$B$38&lt;&gt;"pvp",Inputs!$B$43&gt;0),((Skills!G8*((R767-1)*IF(Skills!H8&gt;0,Skills!I8/Skills!H8,1)+IF(Skills!H8&gt;0,MIN(Skills!I8,MAX(0,MAX(0,Inputs!$B$43-B796)-((R767-1)*(IF(Inputs!$B$38="pvp",15,MAX(0.1,Skills!D8-IF(Skills!E8=TRUE,Inputs!$B$32,0)))*(1-IF(AND(ArtifactsInput!$M$27,Inputs!$B$4="Chapter Hunt"),CHOOSE(ArtifactsInput!$N$27+1,20,24,28,32,36,40),0)/100)))))/Skills!H8,1)))/Inputs!$B$43),G767*Q767)+IF(AND(Inputs!$B$38&lt;&gt;"pvp",Inputs!$B$43&gt;0),((Skills!G11*((R770-1)*IF(Skills!H11&gt;0,Skills!I11/Skills!H11,1)+IF(Skills!H11&gt;0,MIN(Skills!I11,MAX(0,MAX(0,Inputs!$B$43-B796)-((R770-1)*(IF(Inputs!$B$38="pvp",15,MAX(0.1,Skills!D11-IF(Skills!E11=TRUE,Inputs!$B$32,0)))*(1-IF(AND(ArtifactsInput!$M$27,Inputs!$B$4="Chapter Hunt"),CHOOSE(ArtifactsInput!$N$27+1,20,24,28,32,36,40),0)/100)))))/Skills!H11,1)))/Inputs!$B$43),G770*Q770)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773*(1-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773*(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773*(1-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773*(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3">
        <f>IF(C773,(H773*N773*(B793+IF(AND(Inputs!$B$38&lt;&gt;"pvp",Inputs!$B$43&gt;0),((Skills!G8*((R767-1)*IF(Skills!H8&gt;0,Skills!I8/Skills!H8,1)+IF(Skills!H8&gt;0,MIN(Skills!I8,MAX(0,MAX(0,Inputs!$B$43-B796)-((R767-1)*(IF(Inputs!$B$38="pvp",15,MAX(0.1,Skills!D8-IF(Skills!E8=TRUE,Inputs!$B$32,0)))*(1-IF(AND(ArtifactsInput!$M$27,Inputs!$B$4="Chapter Hunt"),CHOOSE(ArtifactsInput!$N$27+1,20,24,28,32,36,40),0)/100)))))/Skills!H8,1)))/Inputs!$B$43),G767*Q767)+IF(AND(Inputs!$B$38&lt;&gt;"pvp",Inputs!$B$43&gt;0),((Skills!G11*((R770-1)*IF(Skills!H11&gt;0,Skills!I11/Skills!H11,1)+IF(Skills!H11&gt;0,MIN(Skills!I11,MAX(0,MAX(0,Inputs!$B$43-B796)-((R770-1)*(IF(Inputs!$B$38="pvp",15,MAX(0.1,Skills!D11-IF(Skills!E11=TRUE,Inputs!$B$32,0)))*(1-IF(AND(ArtifactsInput!$M$27,Inputs!$B$4="Chapter Hunt"),CHOOSE(ArtifactsInput!$N$27+1,20,24,28,32,36,40),0)/100)))))/Skills!H11,1)))/Inputs!$B$43),G770*Q770)))*IF(Inputs!$B$38="pvp",1,(1+(Inputs!$B$21+Skills!Q14+(IF(ArtifactsInput!$M$33,CHOOSE(ArtifactsInput!$N$33+1,30,36,42,48,54,60)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4">
      <c r="A774">
        <f>Skills!A15</f>
        <v/>
      </c>
      <c r="B774">
        <f>Skills!B15</f>
        <v/>
      </c>
      <c r="C774">
        <f>Inputs!$B$3&gt;=100</f>
        <v/>
      </c>
      <c r="D774">
        <f>IF(Skills!C15=1,60+(Inputs!$B$25+1)+Inputs!$B$29,IF(Skills!C15=2,90+Inputs!$B$26+Inputs!$B$29,IF(Skills!C15=3,120+Inputs!$B$27+Inputs!$B$29,MAX(0,(Inputs!$B$3-100)*3)+Inputs!$B$28+Inputs!$B$29)))</f>
        <v/>
      </c>
      <c r="E774">
        <f>INDEX(FactorTable!$B$2:$Y$301, MATCH(ROUND(MIN(300,MAX(1,D774)),0), FactorTable!$A$2:$A$301,0), Skills!M15+1)</f>
        <v/>
      </c>
      <c r="F774">
        <f>IF(Skills!N15=TRUE,(Skills!L15/10)*(E774/1000),Skills!L15/10)+Skills!O15</f>
        <v/>
      </c>
      <c r="G774" t="inlineStr"/>
      <c r="H774" t="inlineStr"/>
      <c r="I774" t="inlineStr">
        <is>
          <t>1</t>
        </is>
      </c>
      <c r="J774" t="inlineStr"/>
      <c r="K774" t="inlineStr"/>
      <c r="L774" t="inlineStr"/>
      <c r="M774" t="inlineStr"/>
      <c r="N774" t="inlineStr"/>
      <c r="O774" t="inlineStr"/>
      <c r="P774" t="inlineStr"/>
      <c r="Q774" t="inlineStr"/>
      <c r="R774" t="inlineStr"/>
      <c r="S774" t="inlineStr"/>
    </row>
    <row r="775">
      <c r="A775">
        <f>Skills!A16</f>
        <v/>
      </c>
      <c r="B775">
        <f>Skills!B16</f>
        <v/>
      </c>
      <c r="C775">
        <f>Inputs!$B$3&gt;=120</f>
        <v/>
      </c>
      <c r="D775">
        <f>IF(Skills!C16=1,60+(Inputs!$B$25+1)+Inputs!$B$29,IF(Skills!C16=2,90+Inputs!$B$26+Inputs!$B$29,IF(Skills!C16=3,120+Inputs!$B$27+Inputs!$B$29,MAX(0,(Inputs!$B$3-100)*3)+Inputs!$B$28+Inputs!$B$29)))</f>
        <v/>
      </c>
      <c r="E775">
        <f>INDEX(FactorTable!$B$2:$Y$301, MATCH(ROUND(MIN(300,MAX(1,D775)),0), FactorTable!$A$2:$A$301,0), Skills!M16+1)</f>
        <v/>
      </c>
      <c r="F775">
        <f>IF(Skills!N16=TRUE,(Skills!L16/10)*(E775/1000),Skills!L16/10)+Skills!O16</f>
        <v/>
      </c>
      <c r="G775" t="inlineStr"/>
      <c r="H775" t="inlineStr"/>
      <c r="I775" t="inlineStr">
        <is>
          <t>1</t>
        </is>
      </c>
      <c r="J775" t="inlineStr"/>
      <c r="K775" t="inlineStr"/>
      <c r="L775" t="inlineStr"/>
      <c r="M775" t="inlineStr"/>
      <c r="N775" t="inlineStr"/>
      <c r="O775" t="inlineStr"/>
      <c r="P775" t="inlineStr"/>
      <c r="Q775" t="inlineStr"/>
      <c r="R775" t="inlineStr"/>
      <c r="S775" t="inlineStr"/>
    </row>
    <row r="776">
      <c r="A776">
        <f>Skills!A17</f>
        <v/>
      </c>
      <c r="B776">
        <f>Skills!B17</f>
        <v/>
      </c>
      <c r="C776">
        <f>Inputs!$B$3&gt;=66</f>
        <v/>
      </c>
      <c r="D776">
        <f>IF(Skills!C17=1,60+(Inputs!$B$25+1)+Inputs!$B$29,IF(Skills!C17=2,90+Inputs!$B$26+Inputs!$B$29,IF(Skills!C17=3,120+Inputs!$B$27+Inputs!$B$29,MAX(0,(Inputs!$B$3-100)*3)+Inputs!$B$28+Inputs!$B$29)))</f>
        <v/>
      </c>
      <c r="E776">
        <f>INDEX(FactorTable!$B$2:$Y$301, MATCH(ROUND(MIN(300,MAX(1,D776)),0), FactorTable!$A$2:$A$301,0), Skills!M17+1)</f>
        <v/>
      </c>
      <c r="F776">
        <f>IF(Skills!N17=TRUE,(Skills!L17/10)*(E776/1000),Skills!L17/10)+Skills!O17</f>
        <v/>
      </c>
      <c r="G776">
        <f>Skills!G17*IF(Skills!H17&gt;0,Skills!I17/Skills!H17,1)</f>
        <v/>
      </c>
      <c r="H776">
        <f>1-(1-Skills!J17/100)^Skills!K17</f>
        <v/>
      </c>
      <c r="I776" t="inlineStr">
        <is>
          <t>1</t>
        </is>
      </c>
      <c r="J776" t="inlineStr"/>
      <c r="K776" t="inlineStr"/>
      <c r="L776" t="inlineStr"/>
      <c r="M776" t="inlineStr"/>
      <c r="N776" t="inlineStr"/>
      <c r="O776">
        <f>(1-Summary!$B$11)*T776+Summary!$B$11*V776</f>
        <v/>
      </c>
      <c r="P776">
        <f>IF(B799=0,0,O776/B799)</f>
        <v/>
      </c>
      <c r="Q776" t="n">
        <v>0</v>
      </c>
      <c r="R776" t="n">
        <v>0</v>
      </c>
      <c r="S776">
        <f>IFERROR(O776/N776,0)</f>
        <v/>
      </c>
      <c r="T776" t="n">
        <v>0</v>
      </c>
      <c r="V776" t="n">
        <v>0</v>
      </c>
    </row>
    <row r="777">
      <c r="A777">
        <f>Skills!A18</f>
        <v/>
      </c>
      <c r="B777">
        <f>Skills!B18</f>
        <v/>
      </c>
      <c r="C777">
        <f>Inputs!$B$3&gt;=115</f>
        <v/>
      </c>
      <c r="D777">
        <f>IF(Skills!C18=1,60+(Inputs!$B$25+1)+Inputs!$B$29,IF(Skills!C18=2,90+Inputs!$B$26+Inputs!$B$29,IF(Skills!C18=3,120+Inputs!$B$27+Inputs!$B$29,MAX(0,(Inputs!$B$3-100)*3)+Inputs!$B$28+Inputs!$B$29)))</f>
        <v/>
      </c>
      <c r="E777">
        <f>INDEX(FactorTable!$B$2:$Y$301, MATCH(ROUND(MIN(300,MAX(1,D777)),0), FactorTable!$A$2:$A$301,0), Skills!M18+1)</f>
        <v/>
      </c>
      <c r="F777">
        <f>IF(Skills!N18=TRUE,(Skills!L18/10)*(E777/1000),Skills!L18/10)+Skills!O18</f>
        <v/>
      </c>
      <c r="G777">
        <f>Skills!G18*IF(Skills!H18&gt;0,Skills!I18/Skills!H18,1)</f>
        <v/>
      </c>
      <c r="H777">
        <f>1-(1-Skills!J18/100)^Skills!K18</f>
        <v/>
      </c>
      <c r="I777" t="inlineStr">
        <is>
          <t>1</t>
        </is>
      </c>
      <c r="J777" t="inlineStr"/>
      <c r="K777" t="inlineStr"/>
      <c r="L777" t="inlineStr"/>
      <c r="M777" t="inlineStr"/>
      <c r="N777" t="inlineStr"/>
      <c r="O777">
        <f>(1-Summary!$B$11)*T777+Summary!$B$11*V777</f>
        <v/>
      </c>
      <c r="P777">
        <f>IF(B799=0,0,O777/B799)</f>
        <v/>
      </c>
      <c r="Q777" t="n">
        <v>0</v>
      </c>
      <c r="R777" t="n">
        <v>0</v>
      </c>
      <c r="S777">
        <f>IFERROR(O777/N777,0)</f>
        <v/>
      </c>
      <c r="T777" t="n">
        <v>0</v>
      </c>
      <c r="V777" t="n">
        <v>0</v>
      </c>
    </row>
    <row r="778">
      <c r="A778">
        <f>Skills!A19</f>
        <v/>
      </c>
      <c r="B778">
        <f>Skills!B19</f>
        <v/>
      </c>
      <c r="C778">
        <f>Inputs!$B$3&gt;=15</f>
        <v/>
      </c>
      <c r="D778">
        <f>IF(Skills!C19=1,60+(Inputs!$B$25+1)+Inputs!$B$29,IF(Skills!C19=2,90+Inputs!$B$26+Inputs!$B$29,IF(Skills!C19=3,120+Inputs!$B$27+Inputs!$B$29,MAX(0,(Inputs!$B$3-100)*3)+Inputs!$B$28+Inputs!$B$29)))</f>
        <v/>
      </c>
      <c r="E778">
        <f>INDEX(FactorTable!$B$2:$Y$301, MATCH(ROUND(MIN(300,MAX(1,D778)),0), FactorTable!$A$2:$A$301,0), Skills!M19+1)</f>
        <v/>
      </c>
      <c r="F778">
        <f>IF(Skills!N19=TRUE,(Skills!L19/10)*(E778/1000),Skills!L19/10)+Skills!O19</f>
        <v/>
      </c>
      <c r="G778">
        <f>Skills!G19*IF(Skills!H19&gt;0,Skills!I19/Skills!H19,1)</f>
        <v/>
      </c>
      <c r="H778">
        <f>1-(1-Skills!J19/100)^Skills!K19</f>
        <v/>
      </c>
      <c r="I778" t="inlineStr">
        <is>
          <t>1</t>
        </is>
      </c>
      <c r="J778" t="inlineStr"/>
      <c r="K778" t="inlineStr"/>
      <c r="L778" t="inlineStr"/>
      <c r="M778" t="inlineStr"/>
      <c r="N778" t="inlineStr"/>
      <c r="O778">
        <f>(1-Summary!$B$11)*T778+Summary!$B$11*V778</f>
        <v/>
      </c>
      <c r="P778">
        <f>IF(B799=0,0,O778/B799)</f>
        <v/>
      </c>
      <c r="Q778" t="n">
        <v>0</v>
      </c>
      <c r="R778" t="n">
        <v>0</v>
      </c>
      <c r="S778">
        <f>IFERROR(O778/N778,0)</f>
        <v/>
      </c>
      <c r="T778" t="n">
        <v>0</v>
      </c>
      <c r="V778" t="n">
        <v>0</v>
      </c>
    </row>
    <row r="779">
      <c r="A779">
        <f>Skills!A20</f>
        <v/>
      </c>
      <c r="B779">
        <f>Skills!B20</f>
        <v/>
      </c>
      <c r="C779">
        <f>Inputs!$B$3&gt;=10</f>
        <v/>
      </c>
      <c r="D779">
        <f>IF(Skills!C20=1,60+(Inputs!$B$25+1)+Inputs!$B$29,IF(Skills!C20=2,90+Inputs!$B$26+Inputs!$B$29,IF(Skills!C20=3,120+Inputs!$B$27+Inputs!$B$29,MAX(0,(Inputs!$B$3-100)*3)+Inputs!$B$28+Inputs!$B$29)))</f>
        <v/>
      </c>
      <c r="E779">
        <f>INDEX(FactorTable!$B$2:$Y$301, MATCH(ROUND(MIN(300,MAX(1,D779)),0), FactorTable!$A$2:$A$301,0), Skills!M20+1)</f>
        <v/>
      </c>
      <c r="F779">
        <f>IF(Skills!N20=TRUE,(Skills!L20/10)*(E779/1000),Skills!L20/10)+Skills!O20</f>
        <v/>
      </c>
      <c r="G779">
        <f>Skills!G20*IF(Skills!H20&gt;0,Skills!I20/Skills!H20,1)</f>
        <v/>
      </c>
      <c r="H779">
        <f>1-(1-Skills!J20/100)^Skills!K20</f>
        <v/>
      </c>
      <c r="I779" t="inlineStr">
        <is>
          <t>1</t>
        </is>
      </c>
      <c r="J779" t="inlineStr"/>
      <c r="K779" t="inlineStr"/>
      <c r="L779" t="inlineStr"/>
      <c r="M779" t="inlineStr"/>
      <c r="N779" t="inlineStr"/>
      <c r="O779">
        <f>(1-Summary!$B$11)*T779+Summary!$B$11*V779</f>
        <v/>
      </c>
      <c r="P779">
        <f>IF(B799=0,0,O779/B799)</f>
        <v/>
      </c>
      <c r="Q779" t="n">
        <v>0</v>
      </c>
      <c r="R779" t="n">
        <v>0</v>
      </c>
      <c r="S779">
        <f>IFERROR(O779/N779,0)</f>
        <v/>
      </c>
      <c r="T779" t="n">
        <v>0</v>
      </c>
      <c r="V779" t="n">
        <v>0</v>
      </c>
    </row>
    <row r="780">
      <c r="A780">
        <f>Skills!A21</f>
        <v/>
      </c>
      <c r="B780">
        <f>Skills!B21</f>
        <v/>
      </c>
      <c r="C780">
        <f>Inputs!$B$3&gt;=33</f>
        <v/>
      </c>
      <c r="D780">
        <f>IF(Skills!C21=1,60+(Inputs!$B$25+1)+Inputs!$B$29,IF(Skills!C21=2,90+Inputs!$B$26+Inputs!$B$29,IF(Skills!C21=3,120+Inputs!$B$27+Inputs!$B$29,MAX(0,(Inputs!$B$3-100)*3)+Inputs!$B$28+Inputs!$B$29)))</f>
        <v/>
      </c>
      <c r="E780">
        <f>INDEX(FactorTable!$B$2:$Y$301, MATCH(ROUND(MIN(300,MAX(1,D780)),0), FactorTable!$A$2:$A$301,0), Skills!M21+1)</f>
        <v/>
      </c>
      <c r="F780">
        <f>IF(Skills!N21=TRUE,(Skills!L21/10)*(E780/1000),Skills!L21/10)+Skills!O21</f>
        <v/>
      </c>
      <c r="G780">
        <f>Skills!G21*IF(Skills!H21&gt;0,Skills!I21/Skills!H21,1)</f>
        <v/>
      </c>
      <c r="H780">
        <f>1-(1-Skills!J21/100)^Skills!K21</f>
        <v/>
      </c>
      <c r="I780" t="inlineStr">
        <is>
          <t>1</t>
        </is>
      </c>
      <c r="J780" t="inlineStr"/>
      <c r="K780" t="inlineStr"/>
      <c r="L780" t="inlineStr"/>
      <c r="M780" t="inlineStr"/>
      <c r="N780" t="inlineStr"/>
      <c r="O780">
        <f>(1-Summary!$B$11)*T780+Summary!$B$11*V780</f>
        <v/>
      </c>
      <c r="P780">
        <f>IF(B799=0,0,O780/B799)</f>
        <v/>
      </c>
      <c r="Q780" t="n">
        <v>0</v>
      </c>
      <c r="R780" t="n">
        <v>0</v>
      </c>
      <c r="S780">
        <f>IFERROR(O780/N780,0)</f>
        <v/>
      </c>
      <c r="T780" t="n">
        <v>0</v>
      </c>
      <c r="V780" t="n">
        <v>0</v>
      </c>
    </row>
    <row r="781">
      <c r="A781">
        <f>Skills!A22</f>
        <v/>
      </c>
      <c r="B781">
        <f>Skills!B22</f>
        <v/>
      </c>
      <c r="C781">
        <f>Inputs!$B$3&gt;=43</f>
        <v/>
      </c>
      <c r="D781">
        <f>IF(Skills!C22=1,60+(Inputs!$B$25+1)+Inputs!$B$29,IF(Skills!C22=2,90+Inputs!$B$26+Inputs!$B$29,IF(Skills!C22=3,120+Inputs!$B$27+Inputs!$B$29,MAX(0,(Inputs!$B$3-100)*3)+Inputs!$B$28+Inputs!$B$29)))</f>
        <v/>
      </c>
      <c r="E781">
        <f>INDEX(FactorTable!$B$2:$Y$301, MATCH(ROUND(MIN(300,MAX(1,D781)),0), FactorTable!$A$2:$A$301,0), Skills!M22+1)</f>
        <v/>
      </c>
      <c r="F781">
        <f>IF(Skills!N22=TRUE,(Skills!L22/10)*(E781/1000),Skills!L22/10)+Skills!O22</f>
        <v/>
      </c>
      <c r="G781">
        <f>Skills!G22*IF(Skills!H22&gt;0,Skills!I22/Skills!H22,1)</f>
        <v/>
      </c>
      <c r="H781">
        <f>1-(1-Skills!J22/100)^Skills!K22</f>
        <v/>
      </c>
      <c r="I781" t="inlineStr">
        <is>
          <t>1</t>
        </is>
      </c>
      <c r="J781" t="inlineStr"/>
      <c r="K781" t="inlineStr"/>
      <c r="L781" t="inlineStr"/>
      <c r="M781" t="inlineStr"/>
      <c r="N781" t="inlineStr"/>
      <c r="O781">
        <f>(1-Summary!$B$11)*T781+Summary!$B$11*V781</f>
        <v/>
      </c>
      <c r="P781">
        <f>IF(B799=0,0,O781/B799)</f>
        <v/>
      </c>
      <c r="Q781" t="n">
        <v>0</v>
      </c>
      <c r="R781" t="n">
        <v>0</v>
      </c>
      <c r="S781">
        <f>IFERROR(O781/N781,0)</f>
        <v/>
      </c>
      <c r="T781" t="n">
        <v>0</v>
      </c>
      <c r="V781" t="n">
        <v>0</v>
      </c>
    </row>
    <row r="782">
      <c r="A782">
        <f>Skills!A23</f>
        <v/>
      </c>
      <c r="B782">
        <f>Skills!B23</f>
        <v/>
      </c>
      <c r="C782">
        <f>Inputs!$B$3&gt;=38</f>
        <v/>
      </c>
      <c r="D782">
        <f>IF(Skills!C23=1,60+(Inputs!$B$25+1)+Inputs!$B$29,IF(Skills!C23=2,90+Inputs!$B$26+Inputs!$B$29,IF(Skills!C23=3,120+Inputs!$B$27+Inputs!$B$29,MAX(0,(Inputs!$B$3-100)*3)+Inputs!$B$28+Inputs!$B$29)))</f>
        <v/>
      </c>
      <c r="E782">
        <f>INDEX(FactorTable!$B$2:$Y$301, MATCH(ROUND(MIN(300,MAX(1,D782)),0), FactorTable!$A$2:$A$301,0), Skills!M23+1)</f>
        <v/>
      </c>
      <c r="F782">
        <f>IF(Skills!N23=TRUE,(Skills!L23/10)*(E782/1000),Skills!L23/10)+Skills!O23</f>
        <v/>
      </c>
      <c r="G782">
        <f>Skills!G23*IF(Skills!H23&gt;0,Skills!I23/Skills!H23,1)</f>
        <v/>
      </c>
      <c r="H782">
        <f>1-(1-Skills!J23/100)^Skills!K23</f>
        <v/>
      </c>
      <c r="I782" t="inlineStr">
        <is>
          <t>1</t>
        </is>
      </c>
      <c r="J782" t="inlineStr"/>
      <c r="K782" t="inlineStr"/>
      <c r="L782" t="inlineStr"/>
      <c r="M782" t="inlineStr"/>
      <c r="N782" t="inlineStr"/>
      <c r="O782">
        <f>(1-Summary!$B$11)*T782+Summary!$B$11*V782</f>
        <v/>
      </c>
      <c r="P782">
        <f>IF(B799=0,0,O782/B799)</f>
        <v/>
      </c>
      <c r="Q782" t="n">
        <v>0</v>
      </c>
      <c r="R782" t="n">
        <v>0</v>
      </c>
      <c r="S782">
        <f>IFERROR(O782/N782,0)</f>
        <v/>
      </c>
      <c r="T782" t="n">
        <v>0</v>
      </c>
      <c r="V782" t="n">
        <v>0</v>
      </c>
    </row>
    <row r="783">
      <c r="A783">
        <f>Skills!A24</f>
        <v/>
      </c>
      <c r="B783">
        <f>Skills!B24</f>
        <v/>
      </c>
      <c r="C783">
        <f>Inputs!$B$3&gt;=40</f>
        <v/>
      </c>
      <c r="D783">
        <f>IF(Skills!C24=1,60+(Inputs!$B$25+1)+Inputs!$B$29,IF(Skills!C24=2,90+Inputs!$B$26+Inputs!$B$29,IF(Skills!C24=3,120+Inputs!$B$27+Inputs!$B$29,MAX(0,(Inputs!$B$3-100)*3)+Inputs!$B$28+Inputs!$B$29)))</f>
        <v/>
      </c>
      <c r="E783">
        <f>INDEX(FactorTable!$B$2:$Y$301, MATCH(ROUND(MIN(300,MAX(1,D783)),0), FactorTable!$A$2:$A$301,0), Skills!M24+1)</f>
        <v/>
      </c>
      <c r="F783">
        <f>IF(Skills!N24=TRUE,(Skills!L24/10)*(E783/1000),Skills!L24/10)+Skills!O24</f>
        <v/>
      </c>
      <c r="G783">
        <f>Skills!G24*IF(Skills!H24&gt;0,Skills!I24/Skills!H24,1)</f>
        <v/>
      </c>
      <c r="H783">
        <f>1-(1-Skills!J24/100)^Skills!K24</f>
        <v/>
      </c>
      <c r="I783" t="inlineStr">
        <is>
          <t>1</t>
        </is>
      </c>
      <c r="J783" t="inlineStr"/>
      <c r="K783" t="inlineStr"/>
      <c r="L783" t="inlineStr"/>
      <c r="M783" t="inlineStr"/>
      <c r="N783" t="inlineStr"/>
      <c r="O783">
        <f>(1-Summary!$B$11)*T783+Summary!$B$11*V783</f>
        <v/>
      </c>
      <c r="P783">
        <f>IF(B799=0,0,O783/B799)</f>
        <v/>
      </c>
      <c r="Q783" t="n">
        <v>0</v>
      </c>
      <c r="R783" t="n">
        <v>0</v>
      </c>
      <c r="S783">
        <f>IFERROR(O783/N783,0)</f>
        <v/>
      </c>
      <c r="T783" t="n">
        <v>0</v>
      </c>
      <c r="V783" t="n">
        <v>0</v>
      </c>
    </row>
    <row r="784">
      <c r="A784">
        <f>Skills!A25</f>
        <v/>
      </c>
      <c r="B784">
        <f>Skills!B25</f>
        <v/>
      </c>
      <c r="C784">
        <f>Inputs!$B$3&gt;=72</f>
        <v/>
      </c>
      <c r="D784">
        <f>IF(Skills!C25=1,60+(Inputs!$B$25+1)+Inputs!$B$29,IF(Skills!C25=2,90+Inputs!$B$26+Inputs!$B$29,IF(Skills!C25=3,120+Inputs!$B$27+Inputs!$B$29,MAX(0,(Inputs!$B$3-100)*3)+Inputs!$B$28+Inputs!$B$29)))</f>
        <v/>
      </c>
      <c r="E784">
        <f>INDEX(FactorTable!$B$2:$Y$301, MATCH(ROUND(MIN(300,MAX(1,D784)),0), FactorTable!$A$2:$A$301,0), Skills!M25+1)</f>
        <v/>
      </c>
      <c r="F784">
        <f>IF(Skills!N25=TRUE,(Skills!L25/10)*(E784/1000),Skills!L25/10)+Skills!O25</f>
        <v/>
      </c>
      <c r="G784">
        <f>Skills!G25*IF(Skills!H25&gt;0,Skills!I25/Skills!H25,1)</f>
        <v/>
      </c>
      <c r="H784">
        <f>1-(1-Skills!J25/100)^Skills!K25</f>
        <v/>
      </c>
      <c r="I784" t="inlineStr">
        <is>
          <t>1</t>
        </is>
      </c>
      <c r="J784" t="inlineStr"/>
      <c r="K784" t="inlineStr"/>
      <c r="L784" t="inlineStr"/>
      <c r="M784" t="inlineStr"/>
      <c r="N784" t="inlineStr"/>
      <c r="O784">
        <f>(1-Summary!$B$11)*T784+Summary!$B$11*V784</f>
        <v/>
      </c>
      <c r="P784">
        <f>IF(B799=0,0,O784/B799)</f>
        <v/>
      </c>
      <c r="Q784" t="n">
        <v>0</v>
      </c>
      <c r="R784" t="n">
        <v>0</v>
      </c>
      <c r="S784">
        <f>IFERROR(O784/N784,0)</f>
        <v/>
      </c>
      <c r="T784" t="n">
        <v>0</v>
      </c>
      <c r="V784" t="n">
        <v>0</v>
      </c>
    </row>
    <row r="785">
      <c r="A785">
        <f>Skills!A26</f>
        <v/>
      </c>
      <c r="B785">
        <f>Skills!B26</f>
        <v/>
      </c>
      <c r="C785">
        <f>Inputs!$B$3&gt;=75</f>
        <v/>
      </c>
      <c r="D785">
        <f>IF(Skills!C26=1,60+(Inputs!$B$25+1)+Inputs!$B$29,IF(Skills!C26=2,90+Inputs!$B$26+Inputs!$B$29,IF(Skills!C26=3,120+Inputs!$B$27+Inputs!$B$29,MAX(0,(Inputs!$B$3-100)*3)+Inputs!$B$28+Inputs!$B$29)))</f>
        <v/>
      </c>
      <c r="E785">
        <f>INDEX(FactorTable!$B$2:$Y$301, MATCH(ROUND(MIN(300,MAX(1,D785)),0), FactorTable!$A$2:$A$301,0), Skills!M26+1)</f>
        <v/>
      </c>
      <c r="F785">
        <f>IF(Skills!N26=TRUE,(Skills!L26/10)*(E785/1000),Skills!L26/10)+Skills!O26</f>
        <v/>
      </c>
      <c r="G785">
        <f>Skills!G26*IF(Skills!H26&gt;0,Skills!I26/Skills!H26,1)</f>
        <v/>
      </c>
      <c r="H785">
        <f>1-(1-Skills!J26/100)^Skills!K26</f>
        <v/>
      </c>
      <c r="I785" t="inlineStr">
        <is>
          <t>1</t>
        </is>
      </c>
      <c r="J785" t="inlineStr"/>
      <c r="K785" t="inlineStr"/>
      <c r="L785" t="inlineStr"/>
      <c r="M785" t="inlineStr"/>
      <c r="N785" t="inlineStr"/>
      <c r="O785">
        <f>(1-Summary!$B$11)*T785+Summary!$B$11*V785</f>
        <v/>
      </c>
      <c r="P785">
        <f>IF(B799=0,0,O785/B799)</f>
        <v/>
      </c>
      <c r="Q785" t="n">
        <v>0</v>
      </c>
      <c r="R785" t="n">
        <v>0</v>
      </c>
      <c r="S785">
        <f>IFERROR(O785/N785,0)</f>
        <v/>
      </c>
      <c r="T785" t="n">
        <v>0</v>
      </c>
      <c r="V785" t="n">
        <v>0</v>
      </c>
    </row>
    <row r="786">
      <c r="A786">
        <f>Skills!A27</f>
        <v/>
      </c>
      <c r="B786">
        <f>Skills!B27</f>
        <v/>
      </c>
      <c r="C786">
        <f>Inputs!$B$3&gt;=117</f>
        <v/>
      </c>
      <c r="D786">
        <f>IF(Skills!C27=1,60+(Inputs!$B$25+1)+Inputs!$B$29,IF(Skills!C27=2,90+Inputs!$B$26+Inputs!$B$29,IF(Skills!C27=3,120+Inputs!$B$27+Inputs!$B$29,MAX(0,(Inputs!$B$3-100)*3)+Inputs!$B$28+Inputs!$B$29)))</f>
        <v/>
      </c>
      <c r="E786">
        <f>INDEX(FactorTable!$B$2:$Y$301, MATCH(ROUND(MIN(300,MAX(1,D786)),0), FactorTable!$A$2:$A$301,0), Skills!M27+1)</f>
        <v/>
      </c>
      <c r="F786">
        <f>IF(Skills!N27=TRUE,(Skills!L27/10)*(E786/1000),Skills!L27/10)+Skills!O27</f>
        <v/>
      </c>
      <c r="G786">
        <f>Skills!G27*IF(Skills!H27&gt;0,Skills!I27/Skills!H27,1)</f>
        <v/>
      </c>
      <c r="H786">
        <f>1-(1-Skills!J27/100)^Skills!K27</f>
        <v/>
      </c>
      <c r="I786" t="inlineStr">
        <is>
          <t>1</t>
        </is>
      </c>
      <c r="J786" t="inlineStr"/>
      <c r="K786" t="inlineStr"/>
      <c r="L786" t="inlineStr"/>
      <c r="M786" t="inlineStr"/>
      <c r="N786" t="inlineStr"/>
      <c r="O786">
        <f>(1-Summary!$B$11)*T786+Summary!$B$11*V786</f>
        <v/>
      </c>
      <c r="P786">
        <f>IF(B799=0,0,O786/B799)</f>
        <v/>
      </c>
      <c r="Q786" t="n">
        <v>0</v>
      </c>
      <c r="R786" t="n">
        <v>0</v>
      </c>
      <c r="S786">
        <f>IFERROR(O786/N786,0)</f>
        <v/>
      </c>
      <c r="T786" t="n">
        <v>0</v>
      </c>
      <c r="V786" t="n">
        <v>0</v>
      </c>
    </row>
    <row r="788">
      <c r="A788" t="inlineStr">
        <is>
          <t>Attack% Bucket Multiplier</t>
        </is>
      </c>
      <c r="B788">
        <f>(1+(((C776=TRUE)*F776)+((C783=TRUE)*(F783-Calc!F24))+(IF(ArtifactsInput!$M$21,CHOOSE(ArtifactsInput!$N$21+1,25,30,35,40,45,50)*(IF(OR(Inputs!$B$4="Chapter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89">
      <c r="A789" t="inlineStr">
        <is>
          <t>Global Crit Rate Bonus %</t>
        </is>
      </c>
      <c r="B789" t="n">
        <v>0</v>
      </c>
    </row>
    <row r="790">
      <c r="A790" t="inlineStr">
        <is>
          <t>Attack Speed Buff Bonus % (unused)</t>
        </is>
      </c>
      <c r="B790" t="n">
        <v>0</v>
      </c>
    </row>
    <row r="791">
      <c r="A791" t="inlineStr">
        <is>
          <t>Actions Per Second</t>
        </is>
      </c>
      <c r="B791">
        <f>1+MIN(150,150*(1-(1-(Inputs!$B$11+((C779=TRUE)*(F779-Calc!F20))+((C780=TRUE)*(F780-Calc!F21)))/150)*(1-B790/150)))/100</f>
        <v/>
      </c>
    </row>
    <row r="792">
      <c r="A792" t="inlineStr">
        <is>
          <t>Skill + Buff Cast Rate</t>
        </is>
      </c>
      <c r="B792">
        <f>IF(AND(Inputs!$B$38&lt;&gt;"pvp",Inputs!$B$43&gt;0),SUMPRODUCT((Skills!E2:E27=TRUE)*(C761:C786=TRUE)*R761:R786*Skills!F2:F27)/Inputs!$B$43,SUMPRODUCT((Skills!E2:E27=TRUE)*(C761:C786=TRUE)*Q761:Q786*Skills!F2:F27))</f>
        <v/>
      </c>
    </row>
    <row r="793">
      <c r="A793" t="inlineStr">
        <is>
          <t>Eight-Legs Easton Casts Per Second</t>
        </is>
      </c>
      <c r="B793">
        <f>MAX(0,B791-B792)</f>
        <v/>
      </c>
    </row>
    <row r="794">
      <c r="A794" t="inlineStr">
        <is>
          <t>Global Critical Damage Bonus % (unused)</t>
        </is>
      </c>
      <c r="B794" t="n">
        <v>0</v>
      </c>
    </row>
    <row r="795">
      <c r="A795" t="inlineStr">
        <is>
          <t>Global Final Damage Bonus % (Jolly Roger only)</t>
        </is>
      </c>
      <c r="B795">
        <f>((C777=TRUE)*F777)</f>
        <v/>
      </c>
    </row>
    <row r="796">
      <c r="A796" t="inlineStr">
        <is>
          <t>Buff-Casting Startup Delay (s, fixed-duration only)</t>
        </is>
      </c>
      <c r="B796">
        <f>IF(AND(Inputs!$B$38&lt;&gt;"pvp",Inputs!$B$43&gt;0),SUMPRODUCT((Skills!T2:T27&gt;0)*(Skills!E2:E27=TRUE)*(C761:C786=TRUE))/B791,0)</f>
        <v/>
      </c>
    </row>
    <row r="797">
      <c r="A797" t="inlineStr">
        <is>
          <t>Boss-Only Total DPS (this block's swept value)</t>
        </is>
      </c>
      <c r="B797">
        <f>SUM(T761:T786)</f>
        <v/>
      </c>
    </row>
    <row r="798">
      <c r="A798" t="inlineStr">
        <is>
          <t>Normal-Only Total DPS (this block's swept value)</t>
        </is>
      </c>
      <c r="B798">
        <f>SUM(V761:V786)</f>
        <v/>
      </c>
    </row>
    <row r="799">
      <c r="A799" s="6" t="inlineStr">
        <is>
          <t>TOTAL DPS</t>
        </is>
      </c>
      <c r="B799" s="6">
        <f>SUM(O761:O786)</f>
        <v/>
      </c>
    </row>
    <row r="802">
      <c r="A802" s="6" t="inlineStr">
        <is>
          <t>Stat: Skill Level Bonus — 2nd Job</t>
        </is>
      </c>
    </row>
    <row r="803">
      <c r="A803" s="5" t="inlineStr">
        <is>
          <t>Key</t>
        </is>
      </c>
      <c r="B803" s="5" t="inlineStr">
        <is>
          <t>Name</t>
        </is>
      </c>
      <c r="C803" s="5" t="inlineStr">
        <is>
          <t>Unlocked</t>
        </is>
      </c>
      <c r="D803" s="5" t="inlineStr">
        <is>
          <t>InputLevel</t>
        </is>
      </c>
      <c r="E803" s="5" t="inlineStr">
        <is>
          <t>Factor</t>
        </is>
      </c>
      <c r="F803" s="5" t="inlineStr">
        <is>
          <t>CoefficientPercent</t>
        </is>
      </c>
      <c r="G803" s="5" t="inlineStr">
        <is>
          <t>EffectiveHits</t>
        </is>
      </c>
      <c r="H803" s="5" t="inlineStr">
        <is>
          <t>ProcProbability</t>
        </is>
      </c>
      <c r="I803" s="5" t="inlineStr">
        <is>
          <t>MapleHeroMultiplier</t>
        </is>
      </c>
      <c r="J803" s="5" t="inlineStr">
        <is>
          <t>BaseDamage</t>
        </is>
      </c>
      <c r="K803" s="5" t="inlineStr">
        <is>
          <t>BaseHitDamage</t>
        </is>
      </c>
      <c r="L803" s="5" t="inlineStr">
        <is>
          <t>NonCritAvg</t>
        </is>
      </c>
      <c r="M803" s="5" t="inlineStr">
        <is>
          <t>CritAvg</t>
        </is>
      </c>
      <c r="N803" s="5" t="inlineStr">
        <is>
          <t>ExpectedDamage(perHit)</t>
        </is>
      </c>
      <c r="O803" s="5" t="inlineStr">
        <is>
          <t>DPS</t>
        </is>
      </c>
      <c r="P803" s="5" t="inlineStr">
        <is>
          <t>% of Total</t>
        </is>
      </c>
      <c r="Q803" s="5" t="inlineStr">
        <is>
          <t>InvCooldown</t>
        </is>
      </c>
      <c r="R803" s="5" t="inlineStr">
        <is>
          <t>CastsInFight</t>
        </is>
      </c>
      <c r="S803" s="5" t="inlineStr">
        <is>
          <t>HitRate(perSec)</t>
        </is>
      </c>
      <c r="U803" t="inlineStr">
        <is>
          <t>helpers</t>
        </is>
      </c>
    </row>
    <row r="804">
      <c r="A804">
        <f>Skills!A2</f>
        <v/>
      </c>
      <c r="B804">
        <f>Skills!B2</f>
        <v/>
      </c>
      <c r="C804">
        <f>Inputs!$B$3&gt;=100</f>
        <v/>
      </c>
      <c r="D804" t="inlineStr"/>
      <c r="E804" t="inlineStr"/>
      <c r="F804">
        <f>U806+Skills!O2</f>
        <v/>
      </c>
      <c r="G804">
        <f>Skills!G2*IF(Skills!H2&gt;0,Skills!I2/Skills!H2,1)</f>
        <v/>
      </c>
      <c r="H804">
        <f>1-(1-Skills!J2/100)^Skills!K2</f>
        <v/>
      </c>
      <c r="I804" t="inlineStr">
        <is>
          <t>1</t>
        </is>
      </c>
      <c r="J804">
        <f>((Inputs!$B$6*(1+Inputs!$B$7/100))+(((Inputs!$B$12*(1+Inputs!$B$13/100))-(Inputs!$B$12*(1+Inputs!$B$13/100)))+0.25*(Inputs!$B$14-Inputs!$B$14))*(1+Inputs!$B$7/100))*(F804/100)</f>
        <v/>
      </c>
      <c r="K804">
        <f>J804*(1+((Inputs!$B$12*(1+Inputs!$B$13/100))*0.01+Inputs!$B$14*0.0025)/100)*(1+Inputs!$B$15/100)*(1+Inputs!$B$16/100)*(5000/(6000+Inputs!$B$42*(1-(100*(1-(1-(Inputs!$B$19+0)/100)*(1-CHOOSE(ArtifactsInput!$N$40+1,5,6,7,8,9,10)/100)^(ArtifactsInput!$M$40-ArtifactsInput!$M$40)))/100)))*(1+(Inputs!$B$24+((C828=TRUE)*(F828-Calc!F26))+B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825=TRUE)*(F825-Calc!F23))+((C829=TRUE)*(F829-Calc!F27))+(((IF(AND(ArtifactsInput!$M$42,((Inputs!$B$9+((C821=TRUE)*(F821-Calc!F19))+B832+(ArtifactsInput!$M$24-ArtifactsInput!$M$24)*CHOOSE(ArtifactsInput!$N$24+1,10,12,14,16,18,20)+IF(ArtifactsInput!$M$10,CHOOSE(ArtifactsInput!$N$10+1,15,18,21,24,27,30)*(IF(Inputs!$B$38="pvp",MIN(15,15)/15,IF(AND(Inputs!$B$38&lt;&gt;"pvp",Inputs!$B$43&gt;0),MIN(15,Inputs!$B$43)/(Inputs!$B$43),0))),0)))&gt;=100),MIN(100,((Inputs!$B$9+((C821=TRUE)*(F821-Calc!F19))+B832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821=TRUE)*(F821-Calc!F19))+B832+(ArtifactsInput!$M$24-ArtifactsInput!$M$24)*CHOOSE(ArtifactsInput!$N$24+1,10,12,14,16,18,20)+IF(ArtifactsInput!$M$10,CHOOSE(ArtifactsInput!$N$10+1,15,18,21,24,27,30)*(IF(Inputs!$B$38="pvp",MIN(15,15)/15,IF(AND(Inputs!$B$38&lt;&gt;"pvp",Inputs!$B$43&gt;0),MIN(15,Inputs!$B$43)/(Inputs!$B$43),0))),0)))&gt;=100),CHOOSE(ArtifactsInput!$N$42+1,40,48,56,64,72,80),0))))/100)*((1+(((C819=TRUE)*F819)+((C826=TRUE)*(F826-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804)</f>
        <v/>
      </c>
      <c r="L804">
        <f>K804*(MIN(Inputs!$B$22+((C824=TRUE)*(F824-Calc!F22)),(Inputs!$B$23+0+(IF(ArtifactsInput!$M$15,CHOOSE(ArtifactsInput!$N$15+1,25,30,35,40,45,50)/100*(Inputs!$B$11-Inputs!$B$11),0))))/100+(Inputs!$B$23+0+(IF(ArtifactsInput!$M$15,CHOOSE(ArtifactsInput!$N$15+1,25,30,35,40,45,50)/100*(Inputs!$B$11-Inputs!$B$11),0)))/100)/2</f>
        <v/>
      </c>
      <c r="M804">
        <f>L804*(1+(Inputs!$B$10+((C827=TRUE)*(F827-Calc!F25))+B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4">
        <f>L804*(1-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804*(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4">
        <f>(1-Summary!$B$11)*T804+Summary!$B$11*V804</f>
        <v/>
      </c>
      <c r="P804">
        <f>IF(B842=0,0,O804/B842)</f>
        <v/>
      </c>
      <c r="Q804" t="n">
        <v>0</v>
      </c>
      <c r="R804" t="n">
        <v>0</v>
      </c>
      <c r="S804">
        <f>IFERROR(O804/N804,0)</f>
        <v/>
      </c>
      <c r="T804">
        <f>IF(C804,(Skills!G2*N804*B836)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804*(1-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804*(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804*(1-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804*(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4">
        <f>MAX(0,(Inputs!$B$3-100)*3)+Inputs!$B$28+Inputs!$B$29</f>
        <v/>
      </c>
      <c r="V804">
        <f>IF(C804,(Skills!G2*N804*B836)*IF(Inputs!$B$38="pvp",1,(1+(Inputs!$B$21+Skills!Q2+(IF(ArtifactsInput!$M$33,CHOOSE(ArtifactsInput!$N$33+1,30,36,42,48,54,60),0))+(IF(AND(ArtifactsInput!$M$35,Inputs!$B$4&lt;&gt;"Chapter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5">
      <c r="A805">
        <f>Skills!A3</f>
        <v/>
      </c>
      <c r="B805">
        <f>Skills!B3</f>
        <v/>
      </c>
      <c r="C805">
        <f>Inputs!$B$3&gt;=35</f>
        <v/>
      </c>
      <c r="D805">
        <f>IF(Skills!C3=1,60+Inputs!$B$25+Inputs!$B$29,IF(Skills!C3=2,90+(Inputs!$B$26+1)+Inputs!$B$29,IF(Skills!C3=3,120+Inputs!$B$27+Inputs!$B$29,MAX(0,(Inputs!$B$3-100)*3)+Inputs!$B$28+Inputs!$B$29)))</f>
        <v/>
      </c>
      <c r="E805">
        <f>INDEX(FactorTable!$B$2:$Y$301, MATCH(ROUND(MIN(300,MAX(1,D805)),0), FactorTable!$A$2:$A$301,0), Skills!M3+1)</f>
        <v/>
      </c>
      <c r="F805">
        <f>IF(Skills!N3=TRUE,(Skills!L3/10)*(E805/1000),Skills!L3/10)+Skills!O3</f>
        <v/>
      </c>
      <c r="G805">
        <f>Skills!G3*IF(Skills!H3&gt;0,Skills!I3/Skills!H3,1)</f>
        <v/>
      </c>
      <c r="H805">
        <f>1-(1-Skills!J3/100)^Skills!K3</f>
        <v/>
      </c>
      <c r="I805" t="inlineStr">
        <is>
          <t>1</t>
        </is>
      </c>
      <c r="J805">
        <f>((Inputs!$B$6*(1+Inputs!$B$7/100))+(((Inputs!$B$12*(1+Inputs!$B$13/100))-(Inputs!$B$12*(1+Inputs!$B$13/100)))+0.25*(Inputs!$B$14-Inputs!$B$14))*(1+Inputs!$B$7/100))*(F805/100)</f>
        <v/>
      </c>
      <c r="K805">
        <f>J805*(1+((Inputs!$B$12*(1+Inputs!$B$13/100))*0.01+Inputs!$B$14*0.0025)/100)*(1+Inputs!$B$15/100)*(1+Inputs!$B$16/100)*(5000/(6000+Inputs!$B$42*(1-(100*(1-(1-(Inputs!$B$19+0)/100)*(1-CHOOSE(ArtifactsInput!$N$40+1,5,6,7,8,9,10)/100)^(ArtifactsInput!$M$40-ArtifactsInput!$M$40)))/100)))*(1+(Inputs!$B$24+((C828=TRUE)*(F828-Calc!F26))+B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817=TRUE,F817,0)/100)*(1+(IF(Skills!A3="EIGHT_LEGS_EASTON",Inputs!$B$17+((C825=TRUE)*(F825-Calc!F23))+((C829=TRUE)*(F829-Calc!F27))+(((IF(AND(ArtifactsInput!$M$42,((Inputs!$B$9+((C821=TRUE)*(F821-Calc!F19))+B832+(ArtifactsInput!$M$24-ArtifactsInput!$M$24)*CHOOSE(ArtifactsInput!$N$24+1,10,12,14,16,18,20)+IF(ArtifactsInput!$M$10,CHOOSE(ArtifactsInput!$N$10+1,15,18,21,24,27,30)*(IF(Inputs!$B$38="pvp",MIN(15,15)/15,IF(AND(Inputs!$B$38&lt;&gt;"pvp",Inputs!$B$43&gt;0),MIN(15,Inputs!$B$43)/(Inputs!$B$43),0))),0)))&gt;=100),MIN(100,((Inputs!$B$9+((C821=TRUE)*(F821-Calc!F19))+B832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821=TRUE)*(F821-Calc!F19))+B832+(ArtifactsInput!$M$24-ArtifactsInput!$M$24)*CHOOSE(ArtifactsInput!$N$24+1,10,12,14,16,18,20)+IF(ArtifactsInput!$M$10,CHOOSE(ArtifactsInput!$N$10+1,15,18,21,24,27,30)*(IF(Inputs!$B$38="pvp",MIN(15,15)/15,IF(AND(Inputs!$B$38&lt;&gt;"pvp",Inputs!$B$43&gt;0),MIN(15,Inputs!$B$43)/(Inputs!$B$43),0))),0)))&gt;=100),CHOOSE(ArtifactsInput!$N$42+1,40,48,56,64,72,80),0))))/100)*((1+(((C819=TRUE)*F819)+((C826=TRUE)*(F826-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805)</f>
        <v/>
      </c>
      <c r="L805">
        <f>K805*(MIN(Inputs!$B$22+((C824=TRUE)*(F824-Calc!F22)),(Inputs!$B$23+0+(IF(ArtifactsInput!$M$15,CHOOSE(ArtifactsInput!$N$15+1,25,30,35,40,45,50)/100*(Inputs!$B$11-Inputs!$B$11),0))))/100+(Inputs!$B$23+0+(IF(ArtifactsInput!$M$15,CHOOSE(ArtifactsInput!$N$15+1,25,30,35,40,45,50)/100*(Inputs!$B$11-Inputs!$B$11),0)))/100)/2</f>
        <v/>
      </c>
      <c r="M805">
        <f>L805*(1+(Inputs!$B$10+((C827=TRUE)*(F827-Calc!F25))+B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5">
        <f>L805*(1-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805*(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5">
        <f>(1-Summary!$B$11)*T805+Summary!$B$11*V805</f>
        <v/>
      </c>
      <c r="P805">
        <f>IF(B842=0,0,O805/B842)</f>
        <v/>
      </c>
      <c r="Q805">
        <f>IFERROR(1/(IF(Inputs!$B$38="pvp",15,MAX(0.1,Skills!D3-IF(Skills!E3=TRUE,Inputs!$B$32,0)))*(1-IF(AND(ArtifactsInput!$M$27,Inputs!$B$4="Chapter Hunt"),CHOOSE(ArtifactsInput!$N$27+1,20,24,28,32,36,40),0)/100)),0)</f>
        <v/>
      </c>
      <c r="R805">
        <f>IF(AND(Inputs!$B$38&lt;&gt;"pvp",Inputs!$B$43&gt;0),IF(MAX(0,Inputs!$B$43-B839)&lt;=0,0,(INT(MAX(0,Inputs!$B$43-B839)/(IF(Inputs!$B$38="pvp",15,MAX(0.1,Skills!D3-IF(Skills!E3=TRUE,Inputs!$B$32,0)))*(1-IF(AND(ArtifactsInput!$M$27,Inputs!$B$4="Chapter Hunt"),CHOOSE(ArtifactsInput!$N$27+1,20,24,28,32,36,40),0)/100)))+1)),0)</f>
        <v/>
      </c>
      <c r="S805">
        <f>IFERROR(O805/N805,0)</f>
        <v/>
      </c>
      <c r="T805">
        <f>IF(C805,(H805*N805*IF(AND(Inputs!$B$38&lt;&gt;"pvp",Inputs!$B$43&gt;0),((Skills!G3*((R805-1)*IF(Skills!H3&gt;0,Skills!I3/Skills!H3,1)+IF(Skills!H3&gt;0,MIN(Skills!I3,MAX(0,MAX(0,Inputs!$B$43-B839)-((R805-1)*(IF(Inputs!$B$38="pvp",15,MAX(0.1,Skills!D3-IF(Skills!E3=TRUE,Inputs!$B$32,0)))*(1-IF(AND(ArtifactsInput!$M$27,Inputs!$B$4="Chapter Hunt"),CHOOSE(ArtifactsInput!$N$27+1,20,24,28,32,36,40),0)/100)))))/Skills!H3,1)))/Inputs!$B$43),G805*Q805)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805*(1-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805*(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805*(1-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805*(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5">
        <f>INDEX(FactorTable!$B$2:$Y$301, MATCH(ROUND(MIN(300,MAX(1,U804)),0), FactorTable!$A$2:$A$301,0), 22)</f>
        <v/>
      </c>
      <c r="V805">
        <f>IF(C805,(H805*N805*IF(AND(Inputs!$B$38&lt;&gt;"pvp",Inputs!$B$43&gt;0),((Skills!G3*((R805-1)*IF(Skills!H3&gt;0,Skills!I3/Skills!H3,1)+IF(Skills!H3&gt;0,MIN(Skills!I3,MAX(0,MAX(0,Inputs!$B$43-B839)-((R805-1)*(IF(Inputs!$B$38="pvp",15,MAX(0.1,Skills!D3-IF(Skills!E3=TRUE,Inputs!$B$32,0)))*(1-IF(AND(ArtifactsInput!$M$27,Inputs!$B$4="Chapter Hunt"),CHOOSE(ArtifactsInput!$N$27+1,20,24,28,32,36,40),0)/100)))))/Skills!H3,1)))/Inputs!$B$43),G805*Q805))*IF(Inputs!$B$38="pvp",1,(1+(Inputs!$B$21+Skills!Q3+(IF(ArtifactsInput!$M$33,CHOOSE(ArtifactsInput!$N$33+1,30,36,42,48,54,60)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6">
      <c r="A806">
        <f>Skills!A4</f>
        <v/>
      </c>
      <c r="B806">
        <f>Skills!B4</f>
        <v/>
      </c>
      <c r="C806">
        <f>Inputs!$B$3&gt;=40</f>
        <v/>
      </c>
      <c r="D806">
        <f>IF(Skills!C4=1,60+Inputs!$B$25+Inputs!$B$29,IF(Skills!C4=2,90+(Inputs!$B$26+1)+Inputs!$B$29,IF(Skills!C4=3,120+Inputs!$B$27+Inputs!$B$29,MAX(0,(Inputs!$B$3-100)*3)+Inputs!$B$28+Inputs!$B$29)))</f>
        <v/>
      </c>
      <c r="E806">
        <f>INDEX(FactorTable!$B$2:$Y$301, MATCH(ROUND(MIN(300,MAX(1,D806)),0), FactorTable!$A$2:$A$301,0), Skills!M4+1)</f>
        <v/>
      </c>
      <c r="F806">
        <f>IF(Skills!N4=TRUE,(Skills!L4/10)*(E806/1000),Skills!L4/10)+Skills!O4</f>
        <v/>
      </c>
      <c r="G806">
        <f>Skills!G4*IF(Skills!H4&gt;0,Skills!I4/Skills!H4,1)</f>
        <v/>
      </c>
      <c r="H806">
        <f>1-(1-Skills!J4/100)^Skills!K4</f>
        <v/>
      </c>
      <c r="I806" t="inlineStr">
        <is>
          <t>1</t>
        </is>
      </c>
      <c r="J806">
        <f>((Inputs!$B$6*(1+Inputs!$B$7/100))+(((Inputs!$B$12*(1+Inputs!$B$13/100))-(Inputs!$B$12*(1+Inputs!$B$13/100)))+0.25*(Inputs!$B$14-Inputs!$B$14))*(1+Inputs!$B$7/100))*(F806/100)</f>
        <v/>
      </c>
      <c r="K806">
        <f>J806*(1+((Inputs!$B$12*(1+Inputs!$B$13/100))*0.01+Inputs!$B$14*0.0025)/100)*(1+Inputs!$B$15/100)*(1+Inputs!$B$16/100)*(5000/(6000+Inputs!$B$42*(1-(100*(1-(1-(Inputs!$B$19+0)/100)*(1-CHOOSE(ArtifactsInput!$N$40+1,5,6,7,8,9,10)/100)^(ArtifactsInput!$M$40-ArtifactsInput!$M$40)))/100)))*(1+(Inputs!$B$24+((C828=TRUE)*(F828-Calc!F26))+B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818=TRUE,F818,0)/100)*(1+(IF(Skills!A4="EIGHT_LEGS_EASTON",Inputs!$B$17+((C825=TRUE)*(F825-Calc!F23))+((C829=TRUE)*(F829-Calc!F27))+(((IF(AND(ArtifactsInput!$M$42,((Inputs!$B$9+((C821=TRUE)*(F821-Calc!F19))+B832+(ArtifactsInput!$M$24-ArtifactsInput!$M$24)*CHOOSE(ArtifactsInput!$N$24+1,10,12,14,16,18,20)+IF(ArtifactsInput!$M$10,CHOOSE(ArtifactsInput!$N$10+1,15,18,21,24,27,30)*(IF(Inputs!$B$38="pvp",MIN(15,15)/15,IF(AND(Inputs!$B$38&lt;&gt;"pvp",Inputs!$B$43&gt;0),MIN(15,Inputs!$B$43)/(Inputs!$B$43),0))),0)))&gt;=100),MIN(100,((Inputs!$B$9+((C821=TRUE)*(F821-Calc!F19))+B832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821=TRUE)*(F821-Calc!F19))+B832+(ArtifactsInput!$M$24-ArtifactsInput!$M$24)*CHOOSE(ArtifactsInput!$N$24+1,10,12,14,16,18,20)+IF(ArtifactsInput!$M$10,CHOOSE(ArtifactsInput!$N$10+1,15,18,21,24,27,30)*(IF(Inputs!$B$38="pvp",MIN(15,15)/15,IF(AND(Inputs!$B$38&lt;&gt;"pvp",Inputs!$B$43&gt;0),MIN(15,Inputs!$B$43)/(Inputs!$B$43),0))),0)))&gt;=100),CHOOSE(ArtifactsInput!$N$42+1,40,48,56,64,72,80),0))))/100)*((1+(((C819=TRUE)*F819)+((C826=TRUE)*(F826-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806)</f>
        <v/>
      </c>
      <c r="L806">
        <f>K806*(MIN(Inputs!$B$22+((C824=TRUE)*(F824-Calc!F22)),(Inputs!$B$23+0+(IF(ArtifactsInput!$M$15,CHOOSE(ArtifactsInput!$N$15+1,25,30,35,40,45,50)/100*(Inputs!$B$11-Inputs!$B$11),0))))/100+(Inputs!$B$23+0+(IF(ArtifactsInput!$M$15,CHOOSE(ArtifactsInput!$N$15+1,25,30,35,40,45,50)/100*(Inputs!$B$11-Inputs!$B$11),0)))/100)/2</f>
        <v/>
      </c>
      <c r="M806">
        <f>L806*(1+(Inputs!$B$10+((C827=TRUE)*(F827-Calc!F25))+B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6">
        <f>L806*(1-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806*(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6">
        <f>(1-Summary!$B$11)*T806+Summary!$B$11*V806</f>
        <v/>
      </c>
      <c r="P806">
        <f>IF(B842=0,0,O806/B842)</f>
        <v/>
      </c>
      <c r="Q806">
        <f>IFERROR(1/(IF(Inputs!$B$38="pvp",15,MAX(0.1,Skills!D4-IF(Skills!E4=TRUE,Inputs!$B$32,0)))*(1-IF(AND(ArtifactsInput!$M$27,Inputs!$B$4="Chapter Hunt"),CHOOSE(ArtifactsInput!$N$27+1,20,24,28,32,36,40),0)/100)),0)</f>
        <v/>
      </c>
      <c r="R806">
        <f>IF(AND(Inputs!$B$38&lt;&gt;"pvp",Inputs!$B$43&gt;0),IF(MAX(0,Inputs!$B$43-B839)&lt;=0,0,(INT(MAX(0,Inputs!$B$43-B839)/(IF(Inputs!$B$38="pvp",15,MAX(0.1,Skills!D4-IF(Skills!E4=TRUE,Inputs!$B$32,0)))*(1-IF(AND(ArtifactsInput!$M$27,Inputs!$B$4="Chapter Hunt"),CHOOSE(ArtifactsInput!$N$27+1,20,24,28,32,36,40),0)/100)))+1)),0)</f>
        <v/>
      </c>
      <c r="S806">
        <f>IFERROR(O806/N806,0)</f>
        <v/>
      </c>
      <c r="T806">
        <f>IF(C806,(H806*N806*IF(AND(Inputs!$B$38&lt;&gt;"pvp",Inputs!$B$43&gt;0),((Skills!G4*((R806-1)*IF(Skills!H4&gt;0,Skills!I4/Skills!H4,1)+IF(Skills!H4&gt;0,MIN(Skills!I4,MAX(0,MAX(0,Inputs!$B$43-B839)-((R806-1)*(IF(Inputs!$B$38="pvp",15,MAX(0.1,Skills!D4-IF(Skills!E4=TRUE,Inputs!$B$32,0)))*(1-IF(AND(ArtifactsInput!$M$27,Inputs!$B$4="Chapter Hunt"),CHOOSE(ArtifactsInput!$N$27+1,20,24,28,32,36,40),0)/100)))))/Skills!H4,1)))/Inputs!$B$43),G806*Q806)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806*(1-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806*(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806*(1-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806*(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6">
        <f>290*U805/1000</f>
        <v/>
      </c>
      <c r="V806">
        <f>IF(C806,(H806*N806*IF(AND(Inputs!$B$38&lt;&gt;"pvp",Inputs!$B$43&gt;0),((Skills!G4*((R806-1)*IF(Skills!H4&gt;0,Skills!I4/Skills!H4,1)+IF(Skills!H4&gt;0,MIN(Skills!I4,MAX(0,MAX(0,Inputs!$B$43-B839)-((R806-1)*(IF(Inputs!$B$38="pvp",15,MAX(0.1,Skills!D4-IF(Skills!E4=TRUE,Inputs!$B$32,0)))*(1-IF(AND(ArtifactsInput!$M$27,Inputs!$B$4="Chapter Hunt"),CHOOSE(ArtifactsInput!$N$27+1,20,24,28,32,36,40),0)/100)))))/Skills!H4,1)))/Inputs!$B$43),G806*Q806))*IF(Inputs!$B$38="pvp",1,(1+(Inputs!$B$21+Skills!Q4+(IF(ArtifactsInput!$M$33,CHOOSE(ArtifactsInput!$N$33+1,30,36,42,48,54,60)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7">
      <c r="A807">
        <f>Skills!A5</f>
        <v/>
      </c>
      <c r="B807">
        <f>Skills!B5</f>
        <v/>
      </c>
      <c r="C807">
        <f>Inputs!$B$3&gt;=45</f>
        <v/>
      </c>
      <c r="D807">
        <f>IF(Skills!C5=1,60+Inputs!$B$25+Inputs!$B$29,IF(Skills!C5=2,90+(Inputs!$B$26+1)+Inputs!$B$29,IF(Skills!C5=3,120+Inputs!$B$27+Inputs!$B$29,MAX(0,(Inputs!$B$3-100)*3)+Inputs!$B$28+Inputs!$B$29)))</f>
        <v/>
      </c>
      <c r="E807">
        <f>INDEX(FactorTable!$B$2:$Y$301, MATCH(ROUND(MIN(300,MAX(1,D807)),0), FactorTable!$A$2:$A$301,0), Skills!M5+1)</f>
        <v/>
      </c>
      <c r="F807">
        <f>IF(Skills!N5=TRUE,(Skills!L5/10)*(E807/1000),Skills!L5/10)+Skills!O5</f>
        <v/>
      </c>
      <c r="G807">
        <f>Skills!G5*IF(Skills!H5&gt;0,Skills!I5/Skills!H5,1)</f>
        <v/>
      </c>
      <c r="H807">
        <f>1-(1-Skills!J5/100)^Skills!K5</f>
        <v/>
      </c>
      <c r="I807" t="inlineStr">
        <is>
          <t>1</t>
        </is>
      </c>
      <c r="J807">
        <f>((Inputs!$B$6*(1+Inputs!$B$7/100))+(((Inputs!$B$12*(1+Inputs!$B$13/100))-(Inputs!$B$12*(1+Inputs!$B$13/100)))+0.25*(Inputs!$B$14-Inputs!$B$14))*(1+Inputs!$B$7/100))*(F807/100)</f>
        <v/>
      </c>
      <c r="K807">
        <f>J807*(1+((Inputs!$B$12*(1+Inputs!$B$13/100))*0.01+Inputs!$B$14*0.0025)/100)*(1+Inputs!$B$15/100)*(1+Inputs!$B$16/100)*(5000/(6000+Inputs!$B$42*(1-(100*(1-(1-(Inputs!$B$19+0)/100)*(1-CHOOSE(ArtifactsInput!$N$40+1,5,6,7,8,9,10)/100)^(ArtifactsInput!$M$40-ArtifactsInput!$M$40)))/100)))*(1+(Inputs!$B$24+((C828=TRUE)*(F828-Calc!F26))+B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818=TRUE,F818,0)/100)*(1+(IF(Skills!A5="EIGHT_LEGS_EASTON",Inputs!$B$17+((C825=TRUE)*(F825-Calc!F23))+((C829=TRUE)*(F829-Calc!F27))+(((IF(AND(ArtifactsInput!$M$42,((Inputs!$B$9+((C821=TRUE)*(F821-Calc!F19))+B832+(ArtifactsInput!$M$24-ArtifactsInput!$M$24)*CHOOSE(ArtifactsInput!$N$24+1,10,12,14,16,18,20)+IF(ArtifactsInput!$M$10,CHOOSE(ArtifactsInput!$N$10+1,15,18,21,24,27,30)*(IF(Inputs!$B$38="pvp",MIN(15,15)/15,IF(AND(Inputs!$B$38&lt;&gt;"pvp",Inputs!$B$43&gt;0),MIN(15,Inputs!$B$43)/(Inputs!$B$43),0))),0)))&gt;=100),MIN(100,((Inputs!$B$9+((C821=TRUE)*(F821-Calc!F19))+B832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821=TRUE)*(F821-Calc!F19))+B832+(ArtifactsInput!$M$24-ArtifactsInput!$M$24)*CHOOSE(ArtifactsInput!$N$24+1,10,12,14,16,18,20)+IF(ArtifactsInput!$M$10,CHOOSE(ArtifactsInput!$N$10+1,15,18,21,24,27,30)*(IF(Inputs!$B$38="pvp",MIN(15,15)/15,IF(AND(Inputs!$B$38&lt;&gt;"pvp",Inputs!$B$43&gt;0),MIN(15,Inputs!$B$43)/(Inputs!$B$43),0))),0)))&gt;=100),CHOOSE(ArtifactsInput!$N$42+1,40,48,56,64,72,80),0))))/100)*((1+(((C819=TRUE)*F819)+((C826=TRUE)*(F826-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807)</f>
        <v/>
      </c>
      <c r="L807">
        <f>K807*(MIN(Inputs!$B$22+((C824=TRUE)*(F824-Calc!F22)),(Inputs!$B$23+0+(IF(ArtifactsInput!$M$15,CHOOSE(ArtifactsInput!$N$15+1,25,30,35,40,45,50)/100*(Inputs!$B$11-Inputs!$B$11),0))))/100+(Inputs!$B$23+0+(IF(ArtifactsInput!$M$15,CHOOSE(ArtifactsInput!$N$15+1,25,30,35,40,45,50)/100*(Inputs!$B$11-Inputs!$B$11),0)))/100)/2</f>
        <v/>
      </c>
      <c r="M807">
        <f>L807*(1+(Inputs!$B$10+((C827=TRUE)*(F827-Calc!F25))+B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7">
        <f>L807*(1-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807*(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7">
        <f>(1-Summary!$B$11)*T807+Summary!$B$11*V807</f>
        <v/>
      </c>
      <c r="P807">
        <f>IF(B842=0,0,O807/B842)</f>
        <v/>
      </c>
      <c r="Q807">
        <f>IFERROR(1/(IF(Inputs!$B$38="pvp",15,MAX(0.1,Skills!D5-IF(Skills!E5=TRUE,Inputs!$B$32,0)))*(1-IF(AND(ArtifactsInput!$M$27,Inputs!$B$4="Chapter Hunt"),CHOOSE(ArtifactsInput!$N$27+1,20,24,28,32,36,40),0)/100)),0)</f>
        <v/>
      </c>
      <c r="R807">
        <f>IF(AND(Inputs!$B$38&lt;&gt;"pvp",Inputs!$B$43&gt;0),IF(MAX(0,Inputs!$B$43-B839)&lt;=0,0,(INT(MAX(0,Inputs!$B$43-B839)/(IF(Inputs!$B$38="pvp",15,MAX(0.1,Skills!D5-IF(Skills!E5=TRUE,Inputs!$B$32,0)))*(1-IF(AND(ArtifactsInput!$M$27,Inputs!$B$4="Chapter Hunt"),CHOOSE(ArtifactsInput!$N$27+1,20,24,28,32,36,40),0)/100)))+1)),0)</f>
        <v/>
      </c>
      <c r="S807">
        <f>IFERROR(O807/N807,0)</f>
        <v/>
      </c>
      <c r="T807">
        <f>IF(C807,(H807*N807*IF(AND(Inputs!$B$38&lt;&gt;"pvp",Inputs!$B$43&gt;0),((Skills!G5*((R807-1)*IF(Skills!H5&gt;0,Skills!I5/Skills!H5,1)+IF(Skills!H5&gt;0,MIN(Skills!I5,MAX(0,MAX(0,Inputs!$B$43-B839)-((R807-1)*(IF(Inputs!$B$38="pvp",15,MAX(0.1,Skills!D5-IF(Skills!E5=TRUE,Inputs!$B$32,0)))*(1-IF(AND(ArtifactsInput!$M$27,Inputs!$B$4="Chapter Hunt"),CHOOSE(ArtifactsInput!$N$27+1,20,24,28,32,36,40),0)/100)))))/Skills!H5,1)))/Inputs!$B$43),G807*Q807)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807*(1-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807*(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807*(1-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807*(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7">
        <f>IF(C807,(H807*N807*IF(AND(Inputs!$B$38&lt;&gt;"pvp",Inputs!$B$43&gt;0),((Skills!G5*((R807-1)*IF(Skills!H5&gt;0,Skills!I5/Skills!H5,1)+IF(Skills!H5&gt;0,MIN(Skills!I5,MAX(0,MAX(0,Inputs!$B$43-B839)-((R807-1)*(IF(Inputs!$B$38="pvp",15,MAX(0.1,Skills!D5-IF(Skills!E5=TRUE,Inputs!$B$32,0)))*(1-IF(AND(ArtifactsInput!$M$27,Inputs!$B$4="Chapter Hunt"),CHOOSE(ArtifactsInput!$N$27+1,20,24,28,32,36,40),0)/100)))))/Skills!H5,1)))/Inputs!$B$43),G807*Q807))*IF(Inputs!$B$38="pvp",1,(1+(Inputs!$B$21+Skills!Q5+(IF(ArtifactsInput!$M$33,CHOOSE(ArtifactsInput!$N$33+1,30,36,42,48,54,60)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8">
      <c r="A808">
        <f>Skills!A6</f>
        <v/>
      </c>
      <c r="B808">
        <f>Skills!B6</f>
        <v/>
      </c>
      <c r="C808">
        <f>Inputs!$B$3&gt;=63</f>
        <v/>
      </c>
      <c r="D808">
        <f>IF(Skills!C6=1,60+Inputs!$B$25+Inputs!$B$29,IF(Skills!C6=2,90+(Inputs!$B$26+1)+Inputs!$B$29,IF(Skills!C6=3,120+Inputs!$B$27+Inputs!$B$29,MAX(0,(Inputs!$B$3-100)*3)+Inputs!$B$28+Inputs!$B$29)))</f>
        <v/>
      </c>
      <c r="E808">
        <f>INDEX(FactorTable!$B$2:$Y$301, MATCH(ROUND(MIN(300,MAX(1,D808)),0), FactorTable!$A$2:$A$301,0), Skills!M6+1)</f>
        <v/>
      </c>
      <c r="F808">
        <f>IF(Skills!N6=TRUE,(Skills!L6/10)*(E808/1000),Skills!L6/10)+Skills!O6</f>
        <v/>
      </c>
      <c r="G808">
        <f>Skills!G6*IF(Skills!H6&gt;0,Skills!I6/Skills!H6,1)</f>
        <v/>
      </c>
      <c r="H808">
        <f>1-(1-Skills!J6/100)^Skills!K6</f>
        <v/>
      </c>
      <c r="I808" t="inlineStr">
        <is>
          <t>1</t>
        </is>
      </c>
      <c r="J808">
        <f>((Inputs!$B$6*(1+Inputs!$B$7/100))+(((Inputs!$B$12*(1+Inputs!$B$13/100))-(Inputs!$B$12*(1+Inputs!$B$13/100)))+0.25*(Inputs!$B$14-Inputs!$B$14))*(1+Inputs!$B$7/100))*(F808/100)</f>
        <v/>
      </c>
      <c r="K808">
        <f>J808*(1+((Inputs!$B$12*(1+Inputs!$B$13/100))*0.01+Inputs!$B$14*0.0025)/100)*(1+Inputs!$B$15/100)*(1+Inputs!$B$16/100)*(5000/(6000+Inputs!$B$42*(1-(100*(1-(1-(Inputs!$B$19+0)/100)*(1-CHOOSE(ArtifactsInput!$N$40+1,5,6,7,8,9,10)/100)^(ArtifactsInput!$M$40-ArtifactsInput!$M$40)))/100)))*(1+(Inputs!$B$24+((C828=TRUE)*(F828-Calc!F26))+B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817=TRUE,F817,0)/100)*(1+(IF(Skills!A6="EIGHT_LEGS_EASTON",Inputs!$B$17+((C825=TRUE)*(F825-Calc!F23))+((C829=TRUE)*(F829-Calc!F27))+(((IF(AND(ArtifactsInput!$M$42,((Inputs!$B$9+((C821=TRUE)*(F821-Calc!F19))+B832+(ArtifactsInput!$M$24-ArtifactsInput!$M$24)*CHOOSE(ArtifactsInput!$N$24+1,10,12,14,16,18,20)+IF(ArtifactsInput!$M$10,CHOOSE(ArtifactsInput!$N$10+1,15,18,21,24,27,30)*(IF(Inputs!$B$38="pvp",MIN(15,15)/15,IF(AND(Inputs!$B$38&lt;&gt;"pvp",Inputs!$B$43&gt;0),MIN(15,Inputs!$B$43)/(Inputs!$B$43),0))),0)))&gt;=100),MIN(100,((Inputs!$B$9+((C821=TRUE)*(F821-Calc!F19))+B832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821=TRUE)*(F821-Calc!F19))+B832+(ArtifactsInput!$M$24-ArtifactsInput!$M$24)*CHOOSE(ArtifactsInput!$N$24+1,10,12,14,16,18,20)+IF(ArtifactsInput!$M$10,CHOOSE(ArtifactsInput!$N$10+1,15,18,21,24,27,30)*(IF(Inputs!$B$38="pvp",MIN(15,15)/15,IF(AND(Inputs!$B$38&lt;&gt;"pvp",Inputs!$B$43&gt;0),MIN(15,Inputs!$B$43)/(Inputs!$B$43),0))),0)))&gt;=100),CHOOSE(ArtifactsInput!$N$42+1,40,48,56,64,72,80),0))))/100)*((1+(((C819=TRUE)*F819)+((C826=TRUE)*(F826-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808)</f>
        <v/>
      </c>
      <c r="L808">
        <f>K808*(MIN(Inputs!$B$22+((C824=TRUE)*(F824-Calc!F22)),(Inputs!$B$23+0+(IF(ArtifactsInput!$M$15,CHOOSE(ArtifactsInput!$N$15+1,25,30,35,40,45,50)/100*(Inputs!$B$11-Inputs!$B$11),0))))/100+(Inputs!$B$23+0+(IF(ArtifactsInput!$M$15,CHOOSE(ArtifactsInput!$N$15+1,25,30,35,40,45,50)/100*(Inputs!$B$11-Inputs!$B$11),0)))/100)/2</f>
        <v/>
      </c>
      <c r="M808">
        <f>L808*(1+(Inputs!$B$10+((C827=TRUE)*(F827-Calc!F25))+B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8">
        <f>L808*(1-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808*(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8">
        <f>(1-Summary!$B$11)*T808+Summary!$B$11*V808</f>
        <v/>
      </c>
      <c r="P808">
        <f>IF(B842=0,0,O808/B842)</f>
        <v/>
      </c>
      <c r="Q808">
        <f>IFERROR(1/(IF(Inputs!$B$38="pvp",15,MAX(0.1,Skills!D6-IF(Skills!E6=TRUE,Inputs!$B$32,0)))*(1-IF(AND(ArtifactsInput!$M$27,Inputs!$B$4="Chapter Hunt"),CHOOSE(ArtifactsInput!$N$27+1,20,24,28,32,36,40),0)/100)),0)</f>
        <v/>
      </c>
      <c r="R808">
        <f>IF(AND(Inputs!$B$38&lt;&gt;"pvp",Inputs!$B$43&gt;0),IF(MAX(0,Inputs!$B$43-B839)&lt;=0,0,(INT(MAX(0,Inputs!$B$43-B839)/(IF(Inputs!$B$38="pvp",15,MAX(0.1,Skills!D6-IF(Skills!E6=TRUE,Inputs!$B$32,0)))*(1-IF(AND(ArtifactsInput!$M$27,Inputs!$B$4="Chapter Hunt"),CHOOSE(ArtifactsInput!$N$27+1,20,24,28,32,36,40),0)/100)))+1)),0)</f>
        <v/>
      </c>
      <c r="S808">
        <f>IFERROR(O808/N808,0)</f>
        <v/>
      </c>
      <c r="T808">
        <f>IF(C808,(H808*N808*IF(AND(Inputs!$B$38&lt;&gt;"pvp",Inputs!$B$43&gt;0),((Skills!G6*((R808-1)*IF(Skills!H6&gt;0,Skills!I6/Skills!H6,1)+IF(Skills!H6&gt;0,MIN(Skills!I6,MAX(0,MAX(0,Inputs!$B$43-B839)-((R808-1)*(IF(Inputs!$B$38="pvp",15,MAX(0.1,Skills!D6-IF(Skills!E6=TRUE,Inputs!$B$32,0)))*(1-IF(AND(ArtifactsInput!$M$27,Inputs!$B$4="Chapter Hunt"),CHOOSE(ArtifactsInput!$N$27+1,20,24,28,32,36,40),0)/100)))))/Skills!H6,1)))/Inputs!$B$43),G808*Q808)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808*(1-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808*(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808*(1-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808*(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8">
        <f>IF(C808,(H808*N808*IF(AND(Inputs!$B$38&lt;&gt;"pvp",Inputs!$B$43&gt;0),((Skills!G6*((R808-1)*IF(Skills!H6&gt;0,Skills!I6/Skills!H6,1)+IF(Skills!H6&gt;0,MIN(Skills!I6,MAX(0,MAX(0,Inputs!$B$43-B839)-((R808-1)*(IF(Inputs!$B$38="pvp",15,MAX(0.1,Skills!D6-IF(Skills!E6=TRUE,Inputs!$B$32,0)))*(1-IF(AND(ArtifactsInput!$M$27,Inputs!$B$4="Chapter Hunt"),CHOOSE(ArtifactsInput!$N$27+1,20,24,28,32,36,40),0)/100)))))/Skills!H6,1)))/Inputs!$B$43),G808*Q808))*IF(Inputs!$B$38="pvp",1,(1+(Inputs!$B$21+Skills!Q6+(IF(ArtifactsInput!$M$33,CHOOSE(ArtifactsInput!$N$33+1,30,36,42,48,54,60)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9">
      <c r="A809">
        <f>Skills!A7</f>
        <v/>
      </c>
      <c r="B809">
        <f>Skills!B7</f>
        <v/>
      </c>
      <c r="C809">
        <f>Inputs!$B$3&gt;=66</f>
        <v/>
      </c>
      <c r="D809">
        <f>IF(Skills!C7=1,60+Inputs!$B$25+Inputs!$B$29,IF(Skills!C7=2,90+(Inputs!$B$26+1)+Inputs!$B$29,IF(Skills!C7=3,120+Inputs!$B$27+Inputs!$B$29,MAX(0,(Inputs!$B$3-100)*3)+Inputs!$B$28+Inputs!$B$29)))</f>
        <v/>
      </c>
      <c r="E809">
        <f>INDEX(FactorTable!$B$2:$Y$301, MATCH(ROUND(MIN(300,MAX(1,D809)),0), FactorTable!$A$2:$A$301,0), Skills!M7+1)</f>
        <v/>
      </c>
      <c r="F809">
        <f>IF(Skills!N7=TRUE,(Skills!L7/10)*(E809/1000),Skills!L7/10)+Skills!O7</f>
        <v/>
      </c>
      <c r="G809">
        <f>Skills!G7*IF(Skills!H7&gt;0,Skills!I7/Skills!H7,1)</f>
        <v/>
      </c>
      <c r="H809">
        <f>1-(1-Skills!J7/100)^Skills!K7</f>
        <v/>
      </c>
      <c r="I809" t="inlineStr">
        <is>
          <t>1</t>
        </is>
      </c>
      <c r="J809">
        <f>((Inputs!$B$6*(1+Inputs!$B$7/100))+(((Inputs!$B$12*(1+Inputs!$B$13/100))-(Inputs!$B$12*(1+Inputs!$B$13/100)))+0.25*(Inputs!$B$14-Inputs!$B$14))*(1+Inputs!$B$7/100))*(F809/100)</f>
        <v/>
      </c>
      <c r="K809">
        <f>J809*(1+((Inputs!$B$12*(1+Inputs!$B$13/100))*0.01+Inputs!$B$14*0.0025)/100)*(1+Inputs!$B$15/100)*(1+Inputs!$B$16/100)*(5000/(6000+Inputs!$B$42*(1-(100*(1-(1-(Inputs!$B$19+0)/100)*(1-CHOOSE(ArtifactsInput!$N$40+1,5,6,7,8,9,10)/100)^(ArtifactsInput!$M$40-ArtifactsInput!$M$40)))/100)))*(1+(Inputs!$B$24+((C828=TRUE)*(F828-Calc!F26))+B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817=TRUE,F817,0)/100)*(1+(IF(Skills!A7="EIGHT_LEGS_EASTON",Inputs!$B$17+((C825=TRUE)*(F825-Calc!F23))+((C829=TRUE)*(F829-Calc!F27))+(((IF(AND(ArtifactsInput!$M$42,((Inputs!$B$9+((C821=TRUE)*(F821-Calc!F19))+B832+(ArtifactsInput!$M$24-ArtifactsInput!$M$24)*CHOOSE(ArtifactsInput!$N$24+1,10,12,14,16,18,20)+IF(ArtifactsInput!$M$10,CHOOSE(ArtifactsInput!$N$10+1,15,18,21,24,27,30)*(IF(Inputs!$B$38="pvp",MIN(15,15)/15,IF(AND(Inputs!$B$38&lt;&gt;"pvp",Inputs!$B$43&gt;0),MIN(15,Inputs!$B$43)/(Inputs!$B$43),0))),0)))&gt;=100),MIN(100,((Inputs!$B$9+((C821=TRUE)*(F821-Calc!F19))+B832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821=TRUE)*(F821-Calc!F19))+B832+(ArtifactsInput!$M$24-ArtifactsInput!$M$24)*CHOOSE(ArtifactsInput!$N$24+1,10,12,14,16,18,20)+IF(ArtifactsInput!$M$10,CHOOSE(ArtifactsInput!$N$10+1,15,18,21,24,27,30)*(IF(Inputs!$B$38="pvp",MIN(15,15)/15,IF(AND(Inputs!$B$38&lt;&gt;"pvp",Inputs!$B$43&gt;0),MIN(15,Inputs!$B$43)/(Inputs!$B$43),0))),0)))&gt;=100),CHOOSE(ArtifactsInput!$N$42+1,40,48,56,64,72,80),0))))/100)*((1+(((C819=TRUE)*F819)+((C826=TRUE)*(F826-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809)</f>
        <v/>
      </c>
      <c r="L809">
        <f>K809*(MIN(Inputs!$B$22+((C824=TRUE)*(F824-Calc!F22)),(Inputs!$B$23+0+(IF(ArtifactsInput!$M$15,CHOOSE(ArtifactsInput!$N$15+1,25,30,35,40,45,50)/100*(Inputs!$B$11-Inputs!$B$11),0))))/100+(Inputs!$B$23+0+(IF(ArtifactsInput!$M$15,CHOOSE(ArtifactsInput!$N$15+1,25,30,35,40,45,50)/100*(Inputs!$B$11-Inputs!$B$11),0)))/100)/2</f>
        <v/>
      </c>
      <c r="M809">
        <f>L809*(1+(Inputs!$B$10+((C827=TRUE)*(F827-Calc!F25))+B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9">
        <f>L809*(1-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809*(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9">
        <f>(1-Summary!$B$11)*T809+Summary!$B$11*V809</f>
        <v/>
      </c>
      <c r="P809">
        <f>IF(B842=0,0,O809/B842)</f>
        <v/>
      </c>
      <c r="Q809">
        <f>IFERROR(1/(IF(Inputs!$B$38="pvp",15,MAX(0.1,Skills!D7-IF(Skills!E7=TRUE,Inputs!$B$32,0)))*(1-IF(AND(ArtifactsInput!$M$27,Inputs!$B$4="Chapter Hunt"),CHOOSE(ArtifactsInput!$N$27+1,20,24,28,32,36,40),0)/100)),0)</f>
        <v/>
      </c>
      <c r="R809">
        <f>IF(AND(Inputs!$B$38&lt;&gt;"pvp",Inputs!$B$43&gt;0),IF(MAX(0,Inputs!$B$43-B839)&lt;=0,0,(INT(MAX(0,Inputs!$B$43-B839)/(IF(Inputs!$B$38="pvp",15,MAX(0.1,Skills!D7-IF(Skills!E7=TRUE,Inputs!$B$32,0)))*(1-IF(AND(ArtifactsInput!$M$27,Inputs!$B$4="Chapter Hunt"),CHOOSE(ArtifactsInput!$N$27+1,20,24,28,32,36,40),0)/100)))+1)),0)</f>
        <v/>
      </c>
      <c r="S809">
        <f>IFERROR(O809/N809,0)</f>
        <v/>
      </c>
      <c r="T809">
        <f>IF(C809,(H809*N809*IF(AND(Inputs!$B$38&lt;&gt;"pvp",Inputs!$B$43&gt;0),((Skills!G7*((R809-1)*IF(Skills!H7&gt;0,Skills!I7/Skills!H7,1)+IF(Skills!H7&gt;0,MIN(Skills!I7,MAX(0,MAX(0,Inputs!$B$43-B839)-((R809-1)*(IF(Inputs!$B$38="pvp",15,MAX(0.1,Skills!D7-IF(Skills!E7=TRUE,Inputs!$B$32,0)))*(1-IF(AND(ArtifactsInput!$M$27,Inputs!$B$4="Chapter Hunt"),CHOOSE(ArtifactsInput!$N$27+1,20,24,28,32,36,40),0)/100)))))/Skills!H7,1)))/Inputs!$B$43),G809*Q809)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809*(1-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809*(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809*(1-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809*(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9">
        <f>IF(C809,(H809*N809*IF(AND(Inputs!$B$38&lt;&gt;"pvp",Inputs!$B$43&gt;0),((Skills!G7*((R809-1)*IF(Skills!H7&gt;0,Skills!I7/Skills!H7,1)+IF(Skills!H7&gt;0,MIN(Skills!I7,MAX(0,MAX(0,Inputs!$B$43-B839)-((R809-1)*(IF(Inputs!$B$38="pvp",15,MAX(0.1,Skills!D7-IF(Skills!E7=TRUE,Inputs!$B$32,0)))*(1-IF(AND(ArtifactsInput!$M$27,Inputs!$B$4="Chapter Hunt"),CHOOSE(ArtifactsInput!$N$27+1,20,24,28,32,36,40),0)/100)))))/Skills!H7,1)))/Inputs!$B$43),G809*Q809))*IF(Inputs!$B$38="pvp",1,(1+(Inputs!$B$21+Skills!Q7+(IF(ArtifactsInput!$M$33,CHOOSE(ArtifactsInput!$N$33+1,30,36,42,48,54,60)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0">
      <c r="A810">
        <f>Skills!A8</f>
        <v/>
      </c>
      <c r="B810">
        <f>Skills!B8</f>
        <v/>
      </c>
      <c r="C810">
        <f>Inputs!$B$3&gt;=100</f>
        <v/>
      </c>
      <c r="D810">
        <f>IF(Skills!C8=1,60+Inputs!$B$25+Inputs!$B$29,IF(Skills!C8=2,90+(Inputs!$B$26+1)+Inputs!$B$29,IF(Skills!C8=3,120+Inputs!$B$27+Inputs!$B$29,MAX(0,(Inputs!$B$3-100)*3)+Inputs!$B$28+Inputs!$B$29)))</f>
        <v/>
      </c>
      <c r="E810">
        <f>INDEX(FactorTable!$B$2:$Y$301, MATCH(ROUND(MIN(300,MAX(1,D810)),0), FactorTable!$A$2:$A$301,0), Skills!M8+1)</f>
        <v/>
      </c>
      <c r="F810">
        <f>IF(Skills!N8=TRUE,(Skills!L8/10)*(E810/1000),Skills!L8/10)+Skills!O8</f>
        <v/>
      </c>
      <c r="G810">
        <f>Skills!G8*IF(Skills!H8&gt;0,Skills!I8/Skills!H8,1)</f>
        <v/>
      </c>
      <c r="H810">
        <f>1-(1-Skills!J8/100)^Skills!K8</f>
        <v/>
      </c>
      <c r="I810" t="inlineStr">
        <is>
          <t>1</t>
        </is>
      </c>
      <c r="J810">
        <f>((Inputs!$B$6*(1+Inputs!$B$7/100))+(((Inputs!$B$12*(1+Inputs!$B$13/100))-(Inputs!$B$12*(1+Inputs!$B$13/100)))+0.25*(Inputs!$B$14-Inputs!$B$14))*(1+Inputs!$B$7/100))*(F810/100)</f>
        <v/>
      </c>
      <c r="K810">
        <f>J810*(1+((Inputs!$B$12*(1+Inputs!$B$13/100))*0.01+Inputs!$B$14*0.0025)/100)*(1+Inputs!$B$15/100)*(1+Inputs!$B$16/100)*(5000/(6000+Inputs!$B$42*(1-(100*(1-(1-(Inputs!$B$19+0)/100)*(1-CHOOSE(ArtifactsInput!$N$40+1,5,6,7,8,9,10)/100)^(ArtifactsInput!$M$40-ArtifactsInput!$M$40)))/100)))*(1+(Inputs!$B$24+((C828=TRUE)*(F828-Calc!F26))+B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825=TRUE)*(F825-Calc!F23))+((C829=TRUE)*(F829-Calc!F27))+(((IF(AND(ArtifactsInput!$M$42,((Inputs!$B$9+((C821=TRUE)*(F821-Calc!F19))+B832+(ArtifactsInput!$M$24-ArtifactsInput!$M$24)*CHOOSE(ArtifactsInput!$N$24+1,10,12,14,16,18,20)+IF(ArtifactsInput!$M$10,CHOOSE(ArtifactsInput!$N$10+1,15,18,21,24,27,30)*(IF(Inputs!$B$38="pvp",MIN(15,15)/15,IF(AND(Inputs!$B$38&lt;&gt;"pvp",Inputs!$B$43&gt;0),MIN(15,Inputs!$B$43)/(Inputs!$B$43),0))),0)))&gt;=100),MIN(100,((Inputs!$B$9+((C821=TRUE)*(F821-Calc!F19))+B832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821=TRUE)*(F821-Calc!F19))+B832+(ArtifactsInput!$M$24-ArtifactsInput!$M$24)*CHOOSE(ArtifactsInput!$N$24+1,10,12,14,16,18,20)+IF(ArtifactsInput!$M$10,CHOOSE(ArtifactsInput!$N$10+1,15,18,21,24,27,30)*(IF(Inputs!$B$38="pvp",MIN(15,15)/15,IF(AND(Inputs!$B$38&lt;&gt;"pvp",Inputs!$B$43&gt;0),MIN(15,Inputs!$B$43)/(Inputs!$B$43),0))),0)))&gt;=100),CHOOSE(ArtifactsInput!$N$42+1,40,48,56,64,72,80),0))))/100)*((1+(((C819=TRUE)*F819)+((C826=TRUE)*(F826-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810)</f>
        <v/>
      </c>
      <c r="L810">
        <f>K810*(MIN(Inputs!$B$22+((C824=TRUE)*(F824-Calc!F22)),(Inputs!$B$23+0+(IF(ArtifactsInput!$M$15,CHOOSE(ArtifactsInput!$N$15+1,25,30,35,40,45,50)/100*(Inputs!$B$11-Inputs!$B$11),0))))/100+(Inputs!$B$23+0+(IF(ArtifactsInput!$M$15,CHOOSE(ArtifactsInput!$N$15+1,25,30,35,40,45,50)/100*(Inputs!$B$11-Inputs!$B$11),0)))/100)/2</f>
        <v/>
      </c>
      <c r="M810">
        <f>L810*(1+(Inputs!$B$10+((C827=TRUE)*(F827-Calc!F25))+B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0">
        <f>L810*(1-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810*(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0">
        <f>(1-Summary!$B$11)*T810+Summary!$B$11*V810</f>
        <v/>
      </c>
      <c r="P810">
        <f>IF(B842=0,0,O810/B842)</f>
        <v/>
      </c>
      <c r="Q810">
        <f>IFERROR(1/(IF(Inputs!$B$38="pvp",15,MAX(0.1,Skills!D8-IF(Skills!E8=TRUE,Inputs!$B$32,0)))*(1-IF(AND(ArtifactsInput!$M$27,Inputs!$B$4="Chapter Hunt"),CHOOSE(ArtifactsInput!$N$27+1,20,24,28,32,36,40),0)/100)),0)</f>
        <v/>
      </c>
      <c r="R810">
        <f>IF(AND(Inputs!$B$38&lt;&gt;"pvp",Inputs!$B$43&gt;0),IF(MAX(0,Inputs!$B$43-B839)&lt;=0,0,(INT(MAX(0,Inputs!$B$43-B839)/(IF(Inputs!$B$38="pvp",15,MAX(0.1,Skills!D8-IF(Skills!E8=TRUE,Inputs!$B$32,0)))*(1-IF(AND(ArtifactsInput!$M$27,Inputs!$B$4="Chapter Hunt"),CHOOSE(ArtifactsInput!$N$27+1,20,24,28,32,36,40),0)/100)))+1)),0)</f>
        <v/>
      </c>
      <c r="S810">
        <f>IFERROR(O810/N810,0)</f>
        <v/>
      </c>
      <c r="T810">
        <f>IF(C810,(H810*N810*IF(AND(Inputs!$B$38&lt;&gt;"pvp",Inputs!$B$43&gt;0),((Skills!G8*((R810-1)*IF(Skills!H8&gt;0,Skills!I8/Skills!H8,1)+IF(Skills!H8&gt;0,MIN(Skills!I8,MAX(0,MAX(0,Inputs!$B$43-B839)-((R810-1)*(IF(Inputs!$B$38="pvp",15,MAX(0.1,Skills!D8-IF(Skills!E8=TRUE,Inputs!$B$32,0)))*(1-IF(AND(ArtifactsInput!$M$27,Inputs!$B$4="Chapter Hunt"),CHOOSE(ArtifactsInput!$N$27+1,20,24,28,32,36,40),0)/100)))))/Skills!H8,1)))/Inputs!$B$43),G810*Q810)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810*(1-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810*(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810*(1-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810*(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0">
        <f>IF(C810,(H810*N810*IF(AND(Inputs!$B$38&lt;&gt;"pvp",Inputs!$B$43&gt;0),((Skills!G8*((R810-1)*IF(Skills!H8&gt;0,Skills!I8/Skills!H8,1)+IF(Skills!H8&gt;0,MIN(Skills!I8,MAX(0,MAX(0,Inputs!$B$43-B839)-((R810-1)*(IF(Inputs!$B$38="pvp",15,MAX(0.1,Skills!D8-IF(Skills!E8=TRUE,Inputs!$B$32,0)))*(1-IF(AND(ArtifactsInput!$M$27,Inputs!$B$4="Chapter Hunt"),CHOOSE(ArtifactsInput!$N$27+1,20,24,28,32,36,40),0)/100)))))/Skills!H8,1)))/Inputs!$B$43),G810*Q810))*IF(Inputs!$B$38="pvp",1,(1+(Inputs!$B$21+Skills!Q8+(IF(ArtifactsInput!$M$33,CHOOSE(ArtifactsInput!$N$33+1,30,36,42,48,54,60)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1">
      <c r="A811">
        <f>Skills!A9</f>
        <v/>
      </c>
      <c r="B811">
        <f>Skills!B9</f>
        <v/>
      </c>
      <c r="C811">
        <f>Inputs!$B$3&gt;=103</f>
        <v/>
      </c>
      <c r="D811">
        <f>IF(Skills!C9=1,60+Inputs!$B$25+Inputs!$B$29,IF(Skills!C9=2,90+(Inputs!$B$26+1)+Inputs!$B$29,IF(Skills!C9=3,120+Inputs!$B$27+Inputs!$B$29,MAX(0,(Inputs!$B$3-100)*3)+Inputs!$B$28+Inputs!$B$29)))</f>
        <v/>
      </c>
      <c r="E811">
        <f>INDEX(FactorTable!$B$2:$Y$301, MATCH(ROUND(MIN(300,MAX(1,D811)),0), FactorTable!$A$2:$A$301,0), Skills!M9+1)</f>
        <v/>
      </c>
      <c r="F811">
        <f>IF(Skills!N9=TRUE,(Skills!L9/10)*(E811/1000),Skills!L9/10)+Skills!O9</f>
        <v/>
      </c>
      <c r="G811">
        <f>Skills!G9*IF(Skills!H9&gt;0,Skills!I9/Skills!H9,1)</f>
        <v/>
      </c>
      <c r="H811">
        <f>1-(1-Skills!J9/100)^Skills!K9</f>
        <v/>
      </c>
      <c r="I811" t="inlineStr">
        <is>
          <t>1</t>
        </is>
      </c>
      <c r="J811">
        <f>((Inputs!$B$6*(1+Inputs!$B$7/100))+(((Inputs!$B$12*(1+Inputs!$B$13/100))-(Inputs!$B$12*(1+Inputs!$B$13/100)))+0.25*(Inputs!$B$14-Inputs!$B$14))*(1+Inputs!$B$7/100))*(F811/100)</f>
        <v/>
      </c>
      <c r="K811">
        <f>J811*(1+((Inputs!$B$12*(1+Inputs!$B$13/100))*0.01+Inputs!$B$14*0.0025)/100)*(1+Inputs!$B$15/100)*(1+Inputs!$B$16/100)*(5000/(6000+Inputs!$B$42*(1-(100*(1-(1-(Inputs!$B$19+0)/100)*(1-CHOOSE(ArtifactsInput!$N$40+1,5,6,7,8,9,10)/100)^(ArtifactsInput!$M$40-ArtifactsInput!$M$40)))/100)))*(1+(Inputs!$B$24+((C828=TRUE)*(F828-Calc!F26))+B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825=TRUE)*(F825-Calc!F23))+((C829=TRUE)*(F829-Calc!F27))+(((IF(AND(ArtifactsInput!$M$42,((Inputs!$B$9+((C821=TRUE)*(F821-Calc!F19))+B832+(ArtifactsInput!$M$24-ArtifactsInput!$M$24)*CHOOSE(ArtifactsInput!$N$24+1,10,12,14,16,18,20)+IF(ArtifactsInput!$M$10,CHOOSE(ArtifactsInput!$N$10+1,15,18,21,24,27,30)*(IF(Inputs!$B$38="pvp",MIN(15,15)/15,IF(AND(Inputs!$B$38&lt;&gt;"pvp",Inputs!$B$43&gt;0),MIN(15,Inputs!$B$43)/(Inputs!$B$43),0))),0)))&gt;=100),MIN(100,((Inputs!$B$9+((C821=TRUE)*(F821-Calc!F19))+B832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821=TRUE)*(F821-Calc!F19))+B832+(ArtifactsInput!$M$24-ArtifactsInput!$M$24)*CHOOSE(ArtifactsInput!$N$24+1,10,12,14,16,18,20)+IF(ArtifactsInput!$M$10,CHOOSE(ArtifactsInput!$N$10+1,15,18,21,24,27,30)*(IF(Inputs!$B$38="pvp",MIN(15,15)/15,IF(AND(Inputs!$B$38&lt;&gt;"pvp",Inputs!$B$43&gt;0),MIN(15,Inputs!$B$43)/(Inputs!$B$43),0))),0)))&gt;=100),CHOOSE(ArtifactsInput!$N$42+1,40,48,56,64,72,80),0))))/100)*((1+(((C819=TRUE)*F819)+((C826=TRUE)*(F826-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811)</f>
        <v/>
      </c>
      <c r="L811">
        <f>K811*(MIN(Inputs!$B$22+((C824=TRUE)*(F824-Calc!F22)),(Inputs!$B$23+0+(IF(ArtifactsInput!$M$15,CHOOSE(ArtifactsInput!$N$15+1,25,30,35,40,45,50)/100*(Inputs!$B$11-Inputs!$B$11),0))))/100+(Inputs!$B$23+0+(IF(ArtifactsInput!$M$15,CHOOSE(ArtifactsInput!$N$15+1,25,30,35,40,45,50)/100*(Inputs!$B$11-Inputs!$B$11),0)))/100)/2</f>
        <v/>
      </c>
      <c r="M811">
        <f>L811*(1+(Inputs!$B$10+((C827=TRUE)*(F827-Calc!F25))+B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1">
        <f>L811*(1-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811*(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1">
        <f>(1-Summary!$B$11)*T811+Summary!$B$11*V811</f>
        <v/>
      </c>
      <c r="P811">
        <f>IF(B842=0,0,O811/B842)</f>
        <v/>
      </c>
      <c r="Q811">
        <f>IFERROR(1/(IF(Inputs!$B$38="pvp",15,MAX(0.1,Skills!D9-IF(Skills!E9=TRUE,Inputs!$B$32,0)))*(1-IF(AND(ArtifactsInput!$M$27,Inputs!$B$4="Chapter Hunt"),CHOOSE(ArtifactsInput!$N$27+1,20,24,28,32,36,40),0)/100)),0)</f>
        <v/>
      </c>
      <c r="R811">
        <f>IF(AND(Inputs!$B$38&lt;&gt;"pvp",Inputs!$B$43&gt;0),IF(MAX(0,Inputs!$B$43-B839)&lt;=0,0,(INT(MAX(0,Inputs!$B$43-B839)/(IF(Inputs!$B$38="pvp",15,MAX(0.1,Skills!D9-IF(Skills!E9=TRUE,Inputs!$B$32,0)))*(1-IF(AND(ArtifactsInput!$M$27,Inputs!$B$4="Chapter Hunt"),CHOOSE(ArtifactsInput!$N$27+1,20,24,28,32,36,40),0)/100)))+1)),0)</f>
        <v/>
      </c>
      <c r="S811">
        <f>IFERROR(O811/N811,0)</f>
        <v/>
      </c>
      <c r="T811">
        <f>IF(C811,(H811*N811*IF(AND(Inputs!$B$38&lt;&gt;"pvp",Inputs!$B$43&gt;0),((Skills!G9*((R811-1)*IF(Skills!H9&gt;0,Skills!I9/Skills!H9,1)+IF(Skills!H9&gt;0,MIN(Skills!I9,MAX(0,MAX(0,Inputs!$B$43-B839)-((R811-1)*(IF(Inputs!$B$38="pvp",15,MAX(0.1,Skills!D9-IF(Skills!E9=TRUE,Inputs!$B$32,0)))*(1-IF(AND(ArtifactsInput!$M$27,Inputs!$B$4="Chapter Hunt"),CHOOSE(ArtifactsInput!$N$27+1,20,24,28,32,36,40),0)/100)))))/Skills!H9,1)))/Inputs!$B$43),G811*Q811)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1">
        <f>IF(C811,(H811*N811*IF(AND(Inputs!$B$38&lt;&gt;"pvp",Inputs!$B$43&gt;0),((Skills!G9*((R811-1)*IF(Skills!H9&gt;0,Skills!I9/Skills!H9,1)+IF(Skills!H9&gt;0,MIN(Skills!I9,MAX(0,MAX(0,Inputs!$B$43-B839)-((R811-1)*(IF(Inputs!$B$38="pvp",15,MAX(0.1,Skills!D9-IF(Skills!E9=TRUE,Inputs!$B$32,0)))*(1-IF(AND(ArtifactsInput!$M$27,Inputs!$B$4="Chapter Hunt"),CHOOSE(ArtifactsInput!$N$27+1,20,24,28,32,36,40),0)/100)))))/Skills!H9,1)))/Inputs!$B$43),G811*Q811))*IF(Inputs!$B$38="pvp",1,(1+(Inputs!$B$21+Skills!Q9+(IF(ArtifactsInput!$M$33,CHOOSE(ArtifactsInput!$N$33+1,30,36,42,48,54,60)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2">
      <c r="A812">
        <f>Skills!A10</f>
        <v/>
      </c>
      <c r="B812">
        <f>Skills!B10</f>
        <v/>
      </c>
      <c r="C812">
        <f>Inputs!$B$3&gt;=113</f>
        <v/>
      </c>
      <c r="D812">
        <f>IF(Skills!C10=1,60+Inputs!$B$25+Inputs!$B$29,IF(Skills!C10=2,90+(Inputs!$B$26+1)+Inputs!$B$29,IF(Skills!C10=3,120+Inputs!$B$27+Inputs!$B$29,MAX(0,(Inputs!$B$3-100)*3)+Inputs!$B$28+Inputs!$B$29)))</f>
        <v/>
      </c>
      <c r="E812">
        <f>INDEX(FactorTable!$B$2:$Y$301, MATCH(ROUND(MIN(300,MAX(1,D812)),0), FactorTable!$A$2:$A$301,0), Skills!M10+1)</f>
        <v/>
      </c>
      <c r="F812">
        <f>IF(Skills!N10=TRUE,(Skills!L10/10)*(E812/1000),Skills!L10/10)+Skills!O10</f>
        <v/>
      </c>
      <c r="G812">
        <f>Skills!G10*IF(Skills!H10&gt;0,Skills!I10/Skills!H10,1)</f>
        <v/>
      </c>
      <c r="H812">
        <f>1-(1-Skills!J10/100)^Skills!K10</f>
        <v/>
      </c>
      <c r="I812" t="inlineStr">
        <is>
          <t>1</t>
        </is>
      </c>
      <c r="J812">
        <f>((Inputs!$B$6*(1+Inputs!$B$7/100))+(((Inputs!$B$12*(1+Inputs!$B$13/100))-(Inputs!$B$12*(1+Inputs!$B$13/100)))+0.25*(Inputs!$B$14-Inputs!$B$14))*(1+Inputs!$B$7/100))*(F812/100)</f>
        <v/>
      </c>
      <c r="K812">
        <f>J812*(1+((Inputs!$B$12*(1+Inputs!$B$13/100))*0.01+Inputs!$B$14*0.0025)/100)*(1+Inputs!$B$15/100)*(1+Inputs!$B$16/100)*(5000/(6000+Inputs!$B$42*(1-(100*(1-(1-(Inputs!$B$19+0)/100)*(1-CHOOSE(ArtifactsInput!$N$40+1,5,6,7,8,9,10)/100)^(ArtifactsInput!$M$40-ArtifactsInput!$M$40)))/100)))*(1+(Inputs!$B$24+((C828=TRUE)*(F828-Calc!F26))+B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825=TRUE)*(F825-Calc!F23))+((C829=TRUE)*(F829-Calc!F27))+(((IF(AND(ArtifactsInput!$M$42,((Inputs!$B$9+((C821=TRUE)*(F821-Calc!F19))+B832+(ArtifactsInput!$M$24-ArtifactsInput!$M$24)*CHOOSE(ArtifactsInput!$N$24+1,10,12,14,16,18,20)+IF(ArtifactsInput!$M$10,CHOOSE(ArtifactsInput!$N$10+1,15,18,21,24,27,30)*(IF(Inputs!$B$38="pvp",MIN(15,15)/15,IF(AND(Inputs!$B$38&lt;&gt;"pvp",Inputs!$B$43&gt;0),MIN(15,Inputs!$B$43)/(Inputs!$B$43),0))),0)))&gt;=100),MIN(100,((Inputs!$B$9+((C821=TRUE)*(F821-Calc!F19))+B832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821=TRUE)*(F821-Calc!F19))+B832+(ArtifactsInput!$M$24-ArtifactsInput!$M$24)*CHOOSE(ArtifactsInput!$N$24+1,10,12,14,16,18,20)+IF(ArtifactsInput!$M$10,CHOOSE(ArtifactsInput!$N$10+1,15,18,21,24,27,30)*(IF(Inputs!$B$38="pvp",MIN(15,15)/15,IF(AND(Inputs!$B$38&lt;&gt;"pvp",Inputs!$B$43&gt;0),MIN(15,Inputs!$B$43)/(Inputs!$B$43),0))),0)))&gt;=100),CHOOSE(ArtifactsInput!$N$42+1,40,48,56,64,72,80),0))))/100)*((1+(((C819=TRUE)*F819)+((C826=TRUE)*(F826-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812)</f>
        <v/>
      </c>
      <c r="L812">
        <f>K812*(MIN(Inputs!$B$22+((C824=TRUE)*(F824-Calc!F22)),(Inputs!$B$23+0+(IF(ArtifactsInput!$M$15,CHOOSE(ArtifactsInput!$N$15+1,25,30,35,40,45,50)/100*(Inputs!$B$11-Inputs!$B$11),0))))/100+(Inputs!$B$23+0+(IF(ArtifactsInput!$M$15,CHOOSE(ArtifactsInput!$N$15+1,25,30,35,40,45,50)/100*(Inputs!$B$11-Inputs!$B$11),0)))/100)/2</f>
        <v/>
      </c>
      <c r="M812">
        <f>L812*(1+(Inputs!$B$10+((C827=TRUE)*(F827-Calc!F25))+B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2">
        <f>L812*(1-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812*(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2">
        <f>(1-Summary!$B$11)*T812+Summary!$B$11*V812</f>
        <v/>
      </c>
      <c r="P812">
        <f>IF(B842=0,0,O812/B842)</f>
        <v/>
      </c>
      <c r="Q812">
        <f>IFERROR(1/(IF(Inputs!$B$38="pvp",15,MAX(0.1,Skills!D10-IF(Skills!E10=TRUE,Inputs!$B$32,0)))*(1-IF(AND(ArtifactsInput!$M$27,Inputs!$B$4="Chapter Hunt"),CHOOSE(ArtifactsInput!$N$27+1,20,24,28,32,36,40),0)/100)),0)</f>
        <v/>
      </c>
      <c r="R812">
        <f>IF(AND(Inputs!$B$38&lt;&gt;"pvp",Inputs!$B$43&gt;0),IF(MAX(0,Inputs!$B$43-B839)&lt;=0,0,(INT(MAX(0,Inputs!$B$43-B839)/(IF(Inputs!$B$38="pvp",15,MAX(0.1,Skills!D10-IF(Skills!E10=TRUE,Inputs!$B$32,0)))*(1-IF(AND(ArtifactsInput!$M$27,Inputs!$B$4="Chapter Hunt"),CHOOSE(ArtifactsInput!$N$27+1,20,24,28,32,36,40),0)/100)))+1)),0)</f>
        <v/>
      </c>
      <c r="S812">
        <f>IFERROR(O812/N812,0)</f>
        <v/>
      </c>
      <c r="T812">
        <f>IF(C812,(H812*N812*IF(AND(Inputs!$B$38&lt;&gt;"pvp",Inputs!$B$43&gt;0),((Skills!G10*((R812-1)*IF(Skills!H10&gt;0,Skills!I10/Skills!H10,1)+IF(Skills!H10&gt;0,MIN(Skills!I10,MAX(0,MAX(0,Inputs!$B$43-B839)-((R812-1)*(IF(Inputs!$B$38="pvp",15,MAX(0.1,Skills!D10-IF(Skills!E10=TRUE,Inputs!$B$32,0)))*(1-IF(AND(ArtifactsInput!$M$27,Inputs!$B$4="Chapter Hunt"),CHOOSE(ArtifactsInput!$N$27+1,20,24,28,32,36,40),0)/100)))))/Skills!H10,1)))/Inputs!$B$43),G812*Q812)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812*(1-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812*(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812*(1-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812*(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2">
        <f>IF(C812,(H812*N812*IF(AND(Inputs!$B$38&lt;&gt;"pvp",Inputs!$B$43&gt;0),((Skills!G10*((R812-1)*IF(Skills!H10&gt;0,Skills!I10/Skills!H10,1)+IF(Skills!H10&gt;0,MIN(Skills!I10,MAX(0,MAX(0,Inputs!$B$43-B839)-((R812-1)*(IF(Inputs!$B$38="pvp",15,MAX(0.1,Skills!D10-IF(Skills!E10=TRUE,Inputs!$B$32,0)))*(1-IF(AND(ArtifactsInput!$M$27,Inputs!$B$4="Chapter Hunt"),CHOOSE(ArtifactsInput!$N$27+1,20,24,28,32,36,40),0)/100)))))/Skills!H10,1)))/Inputs!$B$43),G812*Q812))*IF(Inputs!$B$38="pvp",1,(1+(Inputs!$B$21+Skills!Q10+(IF(ArtifactsInput!$M$33,CHOOSE(ArtifactsInput!$N$33+1,30,36,42,48,54,60)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3">
      <c r="A813">
        <f>Skills!A11</f>
        <v/>
      </c>
      <c r="B813">
        <f>Skills!B11</f>
        <v/>
      </c>
      <c r="C813">
        <f>Inputs!$B$3&gt;=107</f>
        <v/>
      </c>
      <c r="D813">
        <f>IF(Skills!C11=1,60+Inputs!$B$25+Inputs!$B$29,IF(Skills!C11=2,90+(Inputs!$B$26+1)+Inputs!$B$29,IF(Skills!C11=3,120+Inputs!$B$27+Inputs!$B$29,MAX(0,(Inputs!$B$3-100)*3)+Inputs!$B$28+Inputs!$B$29)))</f>
        <v/>
      </c>
      <c r="E813">
        <f>INDEX(FactorTable!$B$2:$Y$301, MATCH(ROUND(MIN(300,MAX(1,D813)),0), FactorTable!$A$2:$A$301,0), Skills!M11+1)</f>
        <v/>
      </c>
      <c r="F813">
        <f>IF(Skills!N11=TRUE,(Skills!L11/10)*(E813/1000),Skills!L11/10)+Skills!O11</f>
        <v/>
      </c>
      <c r="G813">
        <f>Skills!G11*IF(Skills!H11&gt;0,Skills!I11/Skills!H11,1)</f>
        <v/>
      </c>
      <c r="H813">
        <f>1-(1-Skills!J11/100)^Skills!K11</f>
        <v/>
      </c>
      <c r="I813" t="inlineStr">
        <is>
          <t>1</t>
        </is>
      </c>
      <c r="J813">
        <f>((Inputs!$B$6*(1+Inputs!$B$7/100))+(((Inputs!$B$12*(1+Inputs!$B$13/100))-(Inputs!$B$12*(1+Inputs!$B$13/100)))+0.25*(Inputs!$B$14-Inputs!$B$14))*(1+Inputs!$B$7/100))*(F813/100)</f>
        <v/>
      </c>
      <c r="K813">
        <f>J813*(1+((Inputs!$B$12*(1+Inputs!$B$13/100))*0.01+Inputs!$B$14*0.0025)/100)*(1+Inputs!$B$15/100)*(1+Inputs!$B$16/100)*(5000/(6000+Inputs!$B$42*(1-(100*(1-(1-(Inputs!$B$19+0)/100)*(1-CHOOSE(ArtifactsInput!$N$40+1,5,6,7,8,9,10)/100)^(ArtifactsInput!$M$40-ArtifactsInput!$M$40)))/100)))*(1+(Inputs!$B$24+((C828=TRUE)*(F828-Calc!F26))+B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825=TRUE)*(F825-Calc!F23))+((C829=TRUE)*(F829-Calc!F27))+(((IF(AND(ArtifactsInput!$M$42,((Inputs!$B$9+((C821=TRUE)*(F821-Calc!F19))+B832+(ArtifactsInput!$M$24-ArtifactsInput!$M$24)*CHOOSE(ArtifactsInput!$N$24+1,10,12,14,16,18,20)+IF(ArtifactsInput!$M$10,CHOOSE(ArtifactsInput!$N$10+1,15,18,21,24,27,30)*(IF(Inputs!$B$38="pvp",MIN(15,15)/15,IF(AND(Inputs!$B$38&lt;&gt;"pvp",Inputs!$B$43&gt;0),MIN(15,Inputs!$B$43)/(Inputs!$B$43),0))),0)))&gt;=100),MIN(100,((Inputs!$B$9+((C821=TRUE)*(F821-Calc!F19))+B832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821=TRUE)*(F821-Calc!F19))+B832+(ArtifactsInput!$M$24-ArtifactsInput!$M$24)*CHOOSE(ArtifactsInput!$N$24+1,10,12,14,16,18,20)+IF(ArtifactsInput!$M$10,CHOOSE(ArtifactsInput!$N$10+1,15,18,21,24,27,30)*(IF(Inputs!$B$38="pvp",MIN(15,15)/15,IF(AND(Inputs!$B$38&lt;&gt;"pvp",Inputs!$B$43&gt;0),MIN(15,Inputs!$B$43)/(Inputs!$B$43),0))),0)))&gt;=100),CHOOSE(ArtifactsInput!$N$42+1,40,48,56,64,72,80),0))))/100)*((1+(((C819=TRUE)*F819)+((C826=TRUE)*(F826-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813)</f>
        <v/>
      </c>
      <c r="L813">
        <f>K813*(MIN(Inputs!$B$22+((C824=TRUE)*(F824-Calc!F22)),(Inputs!$B$23+0+(IF(ArtifactsInput!$M$15,CHOOSE(ArtifactsInput!$N$15+1,25,30,35,40,45,50)/100*(Inputs!$B$11-Inputs!$B$11),0))))/100+(Inputs!$B$23+0+(IF(ArtifactsInput!$M$15,CHOOSE(ArtifactsInput!$N$15+1,25,30,35,40,45,50)/100*(Inputs!$B$11-Inputs!$B$11),0)))/100)/2</f>
        <v/>
      </c>
      <c r="M813">
        <f>L813*(1+(Inputs!$B$10+((C827=TRUE)*(F827-Calc!F25))+B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3">
        <f>L813*(1-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813*(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3">
        <f>(1-Summary!$B$11)*T813+Summary!$B$11*V813</f>
        <v/>
      </c>
      <c r="P813">
        <f>IF(B842=0,0,O813/B842)</f>
        <v/>
      </c>
      <c r="Q813">
        <f>IFERROR(1/(IF(Inputs!$B$38="pvp",15,MAX(0.1,Skills!D11-IF(Skills!E11=TRUE,Inputs!$B$32,0)))*(1-IF(AND(ArtifactsInput!$M$27,Inputs!$B$4="Chapter Hunt"),CHOOSE(ArtifactsInput!$N$27+1,20,24,28,32,36,40),0)/100)),0)</f>
        <v/>
      </c>
      <c r="R813">
        <f>IF(AND(Inputs!$B$38&lt;&gt;"pvp",Inputs!$B$43&gt;0),IF(MAX(0,Inputs!$B$43-B839)&lt;=0,0,(INT(MAX(0,Inputs!$B$43-B839)/(IF(Inputs!$B$38="pvp",15,MAX(0.1,Skills!D11-IF(Skills!E11=TRUE,Inputs!$B$32,0)))*(1-IF(AND(ArtifactsInput!$M$27,Inputs!$B$4="Chapter Hunt"),CHOOSE(ArtifactsInput!$N$27+1,20,24,28,32,36,40),0)/100)))+1)),0)</f>
        <v/>
      </c>
      <c r="S813">
        <f>IFERROR(O813/N813,0)</f>
        <v/>
      </c>
      <c r="T813">
        <f>IF(C813,(H813*N813*IF(AND(Inputs!$B$38&lt;&gt;"pvp",Inputs!$B$43&gt;0),((Skills!G11*((R813-1)*IF(Skills!H11&gt;0,Skills!I11/Skills!H11,1)+IF(Skills!H11&gt;0,MIN(Skills!I11,MAX(0,MAX(0,Inputs!$B$43-B839)-((R813-1)*(IF(Inputs!$B$38="pvp",15,MAX(0.1,Skills!D11-IF(Skills!E11=TRUE,Inputs!$B$32,0)))*(1-IF(AND(ArtifactsInput!$M$27,Inputs!$B$4="Chapter Hunt"),CHOOSE(ArtifactsInput!$N$27+1,20,24,28,32,36,40),0)/100)))))/Skills!H11,1)))/Inputs!$B$43),G813*Q813)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813*(1-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813*(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813*(1-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813*(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3">
        <f>IF(C813,(H813*N813*IF(AND(Inputs!$B$38&lt;&gt;"pvp",Inputs!$B$43&gt;0),((Skills!G11*((R813-1)*IF(Skills!H11&gt;0,Skills!I11/Skills!H11,1)+IF(Skills!H11&gt;0,MIN(Skills!I11,MAX(0,MAX(0,Inputs!$B$43-B839)-((R813-1)*(IF(Inputs!$B$38="pvp",15,MAX(0.1,Skills!D11-IF(Skills!E11=TRUE,Inputs!$B$32,0)))*(1-IF(AND(ArtifactsInput!$M$27,Inputs!$B$4="Chapter Hunt"),CHOOSE(ArtifactsInput!$N$27+1,20,24,28,32,36,40),0)/100)))))/Skills!H11,1)))/Inputs!$B$43),G813*Q813))*IF(Inputs!$B$38="pvp",1,(1+(Inputs!$B$21+Skills!Q11+(IF(ArtifactsInput!$M$33,CHOOSE(ArtifactsInput!$N$33+1,30,36,42,48,54,60)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4">
      <c r="A814">
        <f>Skills!A12</f>
        <v/>
      </c>
      <c r="B814">
        <f>Skills!B12</f>
        <v/>
      </c>
      <c r="C814">
        <f>Inputs!$B$3&gt;=110</f>
        <v/>
      </c>
      <c r="D814">
        <f>IF(Skills!C12=1,60+Inputs!$B$25+Inputs!$B$29,IF(Skills!C12=2,90+(Inputs!$B$26+1)+Inputs!$B$29,IF(Skills!C12=3,120+Inputs!$B$27+Inputs!$B$29,MAX(0,(Inputs!$B$3-100)*3)+Inputs!$B$28+Inputs!$B$29)))</f>
        <v/>
      </c>
      <c r="E814">
        <f>INDEX(FactorTable!$B$2:$Y$301, MATCH(ROUND(MIN(300,MAX(1,D814)),0), FactorTable!$A$2:$A$301,0), Skills!M12+1)</f>
        <v/>
      </c>
      <c r="F814">
        <f>IF(Skills!N12=TRUE,(Skills!L12/10)*(E814/1000),Skills!L12/10)+Skills!O12</f>
        <v/>
      </c>
      <c r="G814">
        <f>Skills!G12*IF(Skills!H12&gt;0,Skills!I12/Skills!H12,1)</f>
        <v/>
      </c>
      <c r="H814">
        <f>1-(1-Skills!J12/100)^Skills!K12</f>
        <v/>
      </c>
      <c r="I814" t="inlineStr">
        <is>
          <t>1</t>
        </is>
      </c>
      <c r="J814">
        <f>((Inputs!$B$6*(1+Inputs!$B$7/100))+(((Inputs!$B$12*(1+Inputs!$B$13/100))-(Inputs!$B$12*(1+Inputs!$B$13/100)))+0.25*(Inputs!$B$14-Inputs!$B$14))*(1+Inputs!$B$7/100))*(F814/100)</f>
        <v/>
      </c>
      <c r="K814">
        <f>J814*(1+((Inputs!$B$12*(1+Inputs!$B$13/100))*0.01+Inputs!$B$14*0.0025)/100)*(1+Inputs!$B$15/100)*(1+Inputs!$B$16/100)*(5000/(6000+Inputs!$B$42*(1-(100*(1-(1-(Inputs!$B$19+0)/100)*(1-CHOOSE(ArtifactsInput!$N$40+1,5,6,7,8,9,10)/100)^(ArtifactsInput!$M$40-ArtifactsInput!$M$40)))/100)))*(1+(Inputs!$B$24+((C828=TRUE)*(F828-Calc!F26))+B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825=TRUE)*(F825-Calc!F23))+((C829=TRUE)*(F829-Calc!F27))+(((IF(AND(ArtifactsInput!$M$42,((Inputs!$B$9+((C821=TRUE)*(F821-Calc!F19))+B832+(ArtifactsInput!$M$24-ArtifactsInput!$M$24)*CHOOSE(ArtifactsInput!$N$24+1,10,12,14,16,18,20)+IF(ArtifactsInput!$M$10,CHOOSE(ArtifactsInput!$N$10+1,15,18,21,24,27,30)*(IF(Inputs!$B$38="pvp",MIN(15,15)/15,IF(AND(Inputs!$B$38&lt;&gt;"pvp",Inputs!$B$43&gt;0),MIN(15,Inputs!$B$43)/(Inputs!$B$43),0))),0)))&gt;=100),MIN(100,((Inputs!$B$9+((C821=TRUE)*(F821-Calc!F19))+B832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821=TRUE)*(F821-Calc!F19))+B832+(ArtifactsInput!$M$24-ArtifactsInput!$M$24)*CHOOSE(ArtifactsInput!$N$24+1,10,12,14,16,18,20)+IF(ArtifactsInput!$M$10,CHOOSE(ArtifactsInput!$N$10+1,15,18,21,24,27,30)*(IF(Inputs!$B$38="pvp",MIN(15,15)/15,IF(AND(Inputs!$B$38&lt;&gt;"pvp",Inputs!$B$43&gt;0),MIN(15,Inputs!$B$43)/(Inputs!$B$43),0))),0)))&gt;=100),CHOOSE(ArtifactsInput!$N$42+1,40,48,56,64,72,80),0))))/100)*((1+(((C819=TRUE)*F819)+((C826=TRUE)*(F826-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814)</f>
        <v/>
      </c>
      <c r="L814">
        <f>K814*(MIN(Inputs!$B$22+((C824=TRUE)*(F824-Calc!F22)),(Inputs!$B$23+0+(IF(ArtifactsInput!$M$15,CHOOSE(ArtifactsInput!$N$15+1,25,30,35,40,45,50)/100*(Inputs!$B$11-Inputs!$B$11),0))))/100+(Inputs!$B$23+0+(IF(ArtifactsInput!$M$15,CHOOSE(ArtifactsInput!$N$15+1,25,30,35,40,45,50)/100*(Inputs!$B$11-Inputs!$B$11),0)))/100)/2</f>
        <v/>
      </c>
      <c r="M814">
        <f>L814*(1+(Inputs!$B$10+((C827=TRUE)*(F827-Calc!F25))+B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4">
        <f>L814*(1-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814*(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4">
        <f>(1-Summary!$B$11)*T814+Summary!$B$11*V814</f>
        <v/>
      </c>
      <c r="P814">
        <f>IF(B842=0,0,O814/B842)</f>
        <v/>
      </c>
      <c r="Q814">
        <f>IFERROR(1/(IF(Inputs!$B$38="pvp",15,MAX(0.1,Skills!D12-IF(Skills!E12=TRUE,Inputs!$B$32,0)))*(1-IF(AND(ArtifactsInput!$M$27,Inputs!$B$4="Chapter Hunt"),CHOOSE(ArtifactsInput!$N$27+1,20,24,28,32,36,40),0)/100)),0)</f>
        <v/>
      </c>
      <c r="R814">
        <f>IF(AND(Inputs!$B$38&lt;&gt;"pvp",Inputs!$B$43&gt;0),IF(MAX(0,Inputs!$B$43-B839)&lt;=0,0,(INT(MAX(0,Inputs!$B$43-B839)/(IF(Inputs!$B$38="pvp",15,MAX(0.1,Skills!D12-IF(Skills!E12=TRUE,Inputs!$B$32,0)))*(1-IF(AND(ArtifactsInput!$M$27,Inputs!$B$4="Chapter Hunt"),CHOOSE(ArtifactsInput!$N$27+1,20,24,28,32,36,40),0)/100)))+1)),0)</f>
        <v/>
      </c>
      <c r="S814">
        <f>IFERROR(O814/N814,0)</f>
        <v/>
      </c>
      <c r="T814">
        <f>IF(C814,(H814*N814*IF(AND(Inputs!$B$38&lt;&gt;"pvp",Inputs!$B$43&gt;0),((Skills!G12*((R814-1)*IF(Skills!H12&gt;0,Skills!I12/Skills!H12,1)+IF(Skills!H12&gt;0,MIN(Skills!I12,MAX(0,MAX(0,Inputs!$B$43-B839)-((R814-1)*(IF(Inputs!$B$38="pvp",15,MAX(0.1,Skills!D12-IF(Skills!E12=TRUE,Inputs!$B$32,0)))*(1-IF(AND(ArtifactsInput!$M$27,Inputs!$B$4="Chapter Hunt"),CHOOSE(ArtifactsInput!$N$27+1,20,24,28,32,36,40),0)/100)))))/Skills!H12,1)))/Inputs!$B$43),G814*Q814)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814*(1-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814*(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814*(1-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814*(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4">
        <f>IF(C814,(H814*N814*IF(AND(Inputs!$B$38&lt;&gt;"pvp",Inputs!$B$43&gt;0),((Skills!G12*((R814-1)*IF(Skills!H12&gt;0,Skills!I12/Skills!H12,1)+IF(Skills!H12&gt;0,MIN(Skills!I12,MAX(0,MAX(0,Inputs!$B$43-B839)-((R814-1)*(IF(Inputs!$B$38="pvp",15,MAX(0.1,Skills!D12-IF(Skills!E12=TRUE,Inputs!$B$32,0)))*(1-IF(AND(ArtifactsInput!$M$27,Inputs!$B$4="Chapter Hunt"),CHOOSE(ArtifactsInput!$N$27+1,20,24,28,32,36,40),0)/100)))))/Skills!H12,1)))/Inputs!$B$43),G814*Q814))*IF(Inputs!$B$38="pvp",1,(1+(Inputs!$B$21+Skills!Q12+(IF(ArtifactsInput!$M$33,CHOOSE(ArtifactsInput!$N$33+1,30,36,42,48,54,60)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5">
      <c r="A815">
        <f>Skills!A13</f>
        <v/>
      </c>
      <c r="B815">
        <f>Skills!B13</f>
        <v/>
      </c>
      <c r="C815">
        <f>Inputs!$B$3&gt;=110</f>
        <v/>
      </c>
      <c r="D815">
        <f>IF(Skills!C13=1,60+Inputs!$B$25+Inputs!$B$29,IF(Skills!C13=2,90+(Inputs!$B$26+1)+Inputs!$B$29,IF(Skills!C13=3,120+Inputs!$B$27+Inputs!$B$29,MAX(0,(Inputs!$B$3-100)*3)+Inputs!$B$28+Inputs!$B$29)))</f>
        <v/>
      </c>
      <c r="E815">
        <f>INDEX(FactorTable!$B$2:$Y$301, MATCH(ROUND(MIN(300,MAX(1,D815)),0), FactorTable!$A$2:$A$301,0), Skills!M13+1)</f>
        <v/>
      </c>
      <c r="F815">
        <f>IF(Skills!N13=TRUE,(Skills!L13/10)*(E815/1000),Skills!L13/10)+Skills!O13</f>
        <v/>
      </c>
      <c r="G815">
        <f>Skills!G13*IF(Skills!H13&gt;0,Skills!I13/Skills!H13,1)</f>
        <v/>
      </c>
      <c r="H815">
        <f>1-(1-Skills!J13/100)^Skills!K13</f>
        <v/>
      </c>
      <c r="I815" t="inlineStr">
        <is>
          <t>1</t>
        </is>
      </c>
      <c r="J815">
        <f>((Inputs!$B$6*(1+Inputs!$B$7/100))+(((Inputs!$B$12*(1+Inputs!$B$13/100))-(Inputs!$B$12*(1+Inputs!$B$13/100)))+0.25*(Inputs!$B$14-Inputs!$B$14))*(1+Inputs!$B$7/100))*(F815/100)</f>
        <v/>
      </c>
      <c r="K815">
        <f>J815*(1+((Inputs!$B$12*(1+Inputs!$B$13/100))*0.01+Inputs!$B$14*0.0025)/100)*(1+Inputs!$B$15/100)*(1+Inputs!$B$16/100)*(5000/(6000+Inputs!$B$42*(1-(100*(1-(1-(Inputs!$B$19+0)/100)*(1-CHOOSE(ArtifactsInput!$N$40+1,5,6,7,8,9,10)/100)^(ArtifactsInput!$M$40-ArtifactsInput!$M$40)))/100)))*(1+(Inputs!$B$24+((C828=TRUE)*(F828-Calc!F26))+B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825=TRUE)*(F825-Calc!F23))+((C829=TRUE)*(F829-Calc!F27))+(((IF(AND(ArtifactsInput!$M$42,((Inputs!$B$9+((C821=TRUE)*(F821-Calc!F19))+B832+(ArtifactsInput!$M$24-ArtifactsInput!$M$24)*CHOOSE(ArtifactsInput!$N$24+1,10,12,14,16,18,20)+IF(ArtifactsInput!$M$10,CHOOSE(ArtifactsInput!$N$10+1,15,18,21,24,27,30)*(IF(Inputs!$B$38="pvp",MIN(15,15)/15,IF(AND(Inputs!$B$38&lt;&gt;"pvp",Inputs!$B$43&gt;0),MIN(15,Inputs!$B$43)/(Inputs!$B$43),0))),0)))&gt;=100),MIN(100,((Inputs!$B$9+((C821=TRUE)*(F821-Calc!F19))+B832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821=TRUE)*(F821-Calc!F19))+B832+(ArtifactsInput!$M$24-ArtifactsInput!$M$24)*CHOOSE(ArtifactsInput!$N$24+1,10,12,14,16,18,20)+IF(ArtifactsInput!$M$10,CHOOSE(ArtifactsInput!$N$10+1,15,18,21,24,27,30)*(IF(Inputs!$B$38="pvp",MIN(15,15)/15,IF(AND(Inputs!$B$38&lt;&gt;"pvp",Inputs!$B$43&gt;0),MIN(15,Inputs!$B$43)/(Inputs!$B$43),0))),0)))&gt;=100),CHOOSE(ArtifactsInput!$N$42+1,40,48,56,64,72,80),0))))/100)*((1+(((C819=TRUE)*F819)+((C826=TRUE)*(F826-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815)</f>
        <v/>
      </c>
      <c r="L815">
        <f>K815*(MIN(Inputs!$B$22+((C824=TRUE)*(F824-Calc!F22)),(Inputs!$B$23+0+(IF(ArtifactsInput!$M$15,CHOOSE(ArtifactsInput!$N$15+1,25,30,35,40,45,50)/100*(Inputs!$B$11-Inputs!$B$11),0))))/100+(Inputs!$B$23+0+(IF(ArtifactsInput!$M$15,CHOOSE(ArtifactsInput!$N$15+1,25,30,35,40,45,50)/100*(Inputs!$B$11-Inputs!$B$11),0)))/100)/2</f>
        <v/>
      </c>
      <c r="M815">
        <f>L815*(1+(Inputs!$B$10+((C827=TRUE)*(F827-Calc!F25))+B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5">
        <f>L815*(1-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815*(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5">
        <f>(1-Summary!$B$11)*T815+Summary!$B$11*V815</f>
        <v/>
      </c>
      <c r="P815">
        <f>IF(B842=0,0,O815/B842)</f>
        <v/>
      </c>
      <c r="Q815">
        <f>IFERROR(1/(IF(Inputs!$B$38="pvp",15,MAX(0.1,Skills!D13-IF(Skills!E13=TRUE,Inputs!$B$32,0)))*(1-IF(AND(ArtifactsInput!$M$27,Inputs!$B$4="Chapter Hunt"),CHOOSE(ArtifactsInput!$N$27+1,20,24,28,32,36,40),0)/100)),0)</f>
        <v/>
      </c>
      <c r="R815">
        <f>IF(AND(Inputs!$B$38&lt;&gt;"pvp",Inputs!$B$43&gt;0),IF(MAX(0,Inputs!$B$43-B839)&lt;=0,0,(INT(MAX(0,Inputs!$B$43-B839)/(IF(Inputs!$B$38="pvp",15,MAX(0.1,Skills!D13-IF(Skills!E13=TRUE,Inputs!$B$32,0)))*(1-IF(AND(ArtifactsInput!$M$27,Inputs!$B$4="Chapter Hunt"),CHOOSE(ArtifactsInput!$N$27+1,20,24,28,32,36,40),0)/100)))+1)),0)</f>
        <v/>
      </c>
      <c r="S815">
        <f>IFERROR(O815/N815,0)</f>
        <v/>
      </c>
      <c r="T815">
        <f>IF(C815,(H815*N815*IF(AND(Inputs!$B$38&lt;&gt;"pvp",Inputs!$B$43&gt;0),((Skills!G13*((R815-1)*IF(Skills!H13&gt;0,Skills!I13/Skills!H13,1)+IF(Skills!H13&gt;0,MIN(Skills!I13,MAX(0,MAX(0,Inputs!$B$43-B839)-((R815-1)*(IF(Inputs!$B$38="pvp",15,MAX(0.1,Skills!D13-IF(Skills!E13=TRUE,Inputs!$B$32,0)))*(1-IF(AND(ArtifactsInput!$M$27,Inputs!$B$4="Chapter Hunt"),CHOOSE(ArtifactsInput!$N$27+1,20,24,28,32,36,40),0)/100)))))/Skills!H13,1)))/Inputs!$B$43),G815*Q815))*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815*(1-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815*(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815*(1-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815*(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5">
        <f>IF(C815,(H815*N815*IF(AND(Inputs!$B$38&lt;&gt;"pvp",Inputs!$B$43&gt;0),((Skills!G13*((R815-1)*IF(Skills!H13&gt;0,Skills!I13/Skills!H13,1)+IF(Skills!H13&gt;0,MIN(Skills!I13,MAX(0,MAX(0,Inputs!$B$43-B839)-((R815-1)*(IF(Inputs!$B$38="pvp",15,MAX(0.1,Skills!D13-IF(Skills!E13=TRUE,Inputs!$B$32,0)))*(1-IF(AND(ArtifactsInput!$M$27,Inputs!$B$4="Chapter Hunt"),CHOOSE(ArtifactsInput!$N$27+1,20,24,28,32,36,40),0)/100)))))/Skills!H13,1)))/Inputs!$B$43),G815*Q815))*IF(Inputs!$B$38="pvp",1,(1+(Inputs!$B$21+Skills!Q13+(IF(ArtifactsInput!$M$33,CHOOSE(ArtifactsInput!$N$33+1,30,36,42,48,54,60)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6">
      <c r="A816">
        <f>Skills!A14</f>
        <v/>
      </c>
      <c r="B816">
        <f>Skills!B14</f>
        <v/>
      </c>
      <c r="C816">
        <f>Inputs!$B$3&gt;=125</f>
        <v/>
      </c>
      <c r="D816">
        <f>IF(Skills!C14=1,60+Inputs!$B$25+Inputs!$B$29,IF(Skills!C14=2,90+(Inputs!$B$26+1)+Inputs!$B$29,IF(Skills!C14=3,120+Inputs!$B$27+Inputs!$B$29,MAX(0,(Inputs!$B$3-100)*3)+Inputs!$B$28+Inputs!$B$29)))</f>
        <v/>
      </c>
      <c r="E816">
        <f>INDEX(FactorTable!$B$2:$Y$301, MATCH(ROUND(MIN(300,MAX(1,D816)),0), FactorTable!$A$2:$A$301,0), Skills!M14+1)</f>
        <v/>
      </c>
      <c r="F816">
        <f>IF(Skills!N14=TRUE,(Skills!L14/10)*(E816/1000),Skills!L14/10)+Skills!O14</f>
        <v/>
      </c>
      <c r="G816">
        <f>Skills!G14*IF(Skills!H14&gt;0,Skills!I14/Skills!H14,1)</f>
        <v/>
      </c>
      <c r="H816">
        <f>1-(1-Skills!J14/100)^Skills!K14</f>
        <v/>
      </c>
      <c r="I816" t="inlineStr">
        <is>
          <t>1</t>
        </is>
      </c>
      <c r="J816">
        <f>((Inputs!$B$6*(1+Inputs!$B$7/100))+(((Inputs!$B$12*(1+Inputs!$B$13/100))-(Inputs!$B$12*(1+Inputs!$B$13/100)))+0.25*(Inputs!$B$14-Inputs!$B$14))*(1+Inputs!$B$7/100))*(F816/100)</f>
        <v/>
      </c>
      <c r="K816">
        <f>J816*(1+((Inputs!$B$12*(1+Inputs!$B$13/100))*0.01+Inputs!$B$14*0.0025)/100)*(1+Inputs!$B$15/100)*(1+Inputs!$B$16/100)*(5000/(6000+Inputs!$B$42*(1-(100*(1-(1-(Inputs!$B$19+0)/100)*(1-CHOOSE(ArtifactsInput!$N$40+1,5,6,7,8,9,10)/100)^(ArtifactsInput!$M$40-ArtifactsInput!$M$40)))/100)))*(1+(Inputs!$B$24+((C828=TRUE)*(F828-Calc!F26))+B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825=TRUE)*(F825-Calc!F23))+((C829=TRUE)*(F829-Calc!F27))+(((IF(AND(ArtifactsInput!$M$42,((Inputs!$B$9+((C821=TRUE)*(F821-Calc!F19))+B832+(ArtifactsInput!$M$24-ArtifactsInput!$M$24)*CHOOSE(ArtifactsInput!$N$24+1,10,12,14,16,18,20)+IF(ArtifactsInput!$M$10,CHOOSE(ArtifactsInput!$N$10+1,15,18,21,24,27,30)*(IF(Inputs!$B$38="pvp",MIN(15,15)/15,IF(AND(Inputs!$B$38&lt;&gt;"pvp",Inputs!$B$43&gt;0),MIN(15,Inputs!$B$43)/(Inputs!$B$43),0))),0)))&gt;=100),MIN(100,((Inputs!$B$9+((C821=TRUE)*(F821-Calc!F19))+B832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821=TRUE)*(F821-Calc!F19))+B832+(ArtifactsInput!$M$24-ArtifactsInput!$M$24)*CHOOSE(ArtifactsInput!$N$24+1,10,12,14,16,18,20)+IF(ArtifactsInput!$M$10,CHOOSE(ArtifactsInput!$N$10+1,15,18,21,24,27,30)*(IF(Inputs!$B$38="pvp",MIN(15,15)/15,IF(AND(Inputs!$B$38&lt;&gt;"pvp",Inputs!$B$43&gt;0),MIN(15,Inputs!$B$43)/(Inputs!$B$43),0))),0)))&gt;=100),CHOOSE(ArtifactsInput!$N$42+1,40,48,56,64,72,80),0))))/100)*((1+(((C819=TRUE)*F819)+((C826=TRUE)*(F826-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816)</f>
        <v/>
      </c>
      <c r="L816">
        <f>K816*(MIN(Inputs!$B$22+((C824=TRUE)*(F824-Calc!F22)),(Inputs!$B$23+0+(IF(ArtifactsInput!$M$15,CHOOSE(ArtifactsInput!$N$15+1,25,30,35,40,45,50)/100*(Inputs!$B$11-Inputs!$B$11),0))))/100+(Inputs!$B$23+0+(IF(ArtifactsInput!$M$15,CHOOSE(ArtifactsInput!$N$15+1,25,30,35,40,45,50)/100*(Inputs!$B$11-Inputs!$B$11),0)))/100)/2</f>
        <v/>
      </c>
      <c r="M816">
        <f>L816*(1+(Inputs!$B$10+((C827=TRUE)*(F827-Calc!F25))+B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6">
        <f>L816*(1-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816*(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6">
        <f>(1-Summary!$B$11)*T816+Summary!$B$11*V816</f>
        <v/>
      </c>
      <c r="P816">
        <f>IF(B842=0,0,O816/B842)</f>
        <v/>
      </c>
      <c r="Q816" t="n">
        <v>0</v>
      </c>
      <c r="R816" t="n">
        <v>0</v>
      </c>
      <c r="S816">
        <f>IFERROR(O816/N816,0)</f>
        <v/>
      </c>
      <c r="T816">
        <f>IF(C816,(H816*N816*(B836+IF(AND(Inputs!$B$38&lt;&gt;"pvp",Inputs!$B$43&gt;0),((Skills!G8*((R810-1)*IF(Skills!H8&gt;0,Skills!I8/Skills!H8,1)+IF(Skills!H8&gt;0,MIN(Skills!I8,MAX(0,MAX(0,Inputs!$B$43-B839)-((R810-1)*(IF(Inputs!$B$38="pvp",15,MAX(0.1,Skills!D8-IF(Skills!E8=TRUE,Inputs!$B$32,0)))*(1-IF(AND(ArtifactsInput!$M$27,Inputs!$B$4="Chapter Hunt"),CHOOSE(ArtifactsInput!$N$27+1,20,24,28,32,36,40),0)/100)))))/Skills!H8,1)))/Inputs!$B$43),G810*Q810)+IF(AND(Inputs!$B$38&lt;&gt;"pvp",Inputs!$B$43&gt;0),((Skills!G11*((R813-1)*IF(Skills!H11&gt;0,Skills!I11/Skills!H11,1)+IF(Skills!H11&gt;0,MIN(Skills!I11,MAX(0,MAX(0,Inputs!$B$43-B839)-((R813-1)*(IF(Inputs!$B$38="pvp",15,MAX(0.1,Skills!D11-IF(Skills!E11=TRUE,Inputs!$B$32,0)))*(1-IF(AND(ArtifactsInput!$M$27,Inputs!$B$4="Chapter Hunt"),CHOOSE(ArtifactsInput!$N$27+1,20,24,28,32,36,40),0)/100)))))/Skills!H11,1)))/Inputs!$B$43),G813*Q813)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816*(1-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816*(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816*(1-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816*(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6">
        <f>IF(C816,(H816*N816*(B836+IF(AND(Inputs!$B$38&lt;&gt;"pvp",Inputs!$B$43&gt;0),((Skills!G8*((R810-1)*IF(Skills!H8&gt;0,Skills!I8/Skills!H8,1)+IF(Skills!H8&gt;0,MIN(Skills!I8,MAX(0,MAX(0,Inputs!$B$43-B839)-((R810-1)*(IF(Inputs!$B$38="pvp",15,MAX(0.1,Skills!D8-IF(Skills!E8=TRUE,Inputs!$B$32,0)))*(1-IF(AND(ArtifactsInput!$M$27,Inputs!$B$4="Chapter Hunt"),CHOOSE(ArtifactsInput!$N$27+1,20,24,28,32,36,40),0)/100)))))/Skills!H8,1)))/Inputs!$B$43),G810*Q810)+IF(AND(Inputs!$B$38&lt;&gt;"pvp",Inputs!$B$43&gt;0),((Skills!G11*((R813-1)*IF(Skills!H11&gt;0,Skills!I11/Skills!H11,1)+IF(Skills!H11&gt;0,MIN(Skills!I11,MAX(0,MAX(0,Inputs!$B$43-B839)-((R813-1)*(IF(Inputs!$B$38="pvp",15,MAX(0.1,Skills!D11-IF(Skills!E11=TRUE,Inputs!$B$32,0)))*(1-IF(AND(ArtifactsInput!$M$27,Inputs!$B$4="Chapter Hunt"),CHOOSE(ArtifactsInput!$N$27+1,20,24,28,32,36,40),0)/100)))))/Skills!H11,1)))/Inputs!$B$43),G813*Q813)))*IF(Inputs!$B$38="pvp",1,(1+(Inputs!$B$21+Skills!Q14+(IF(ArtifactsInput!$M$33,CHOOSE(ArtifactsInput!$N$33+1,30,36,42,48,54,60)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7">
      <c r="A817">
        <f>Skills!A15</f>
        <v/>
      </c>
      <c r="B817">
        <f>Skills!B15</f>
        <v/>
      </c>
      <c r="C817">
        <f>Inputs!$B$3&gt;=100</f>
        <v/>
      </c>
      <c r="D817">
        <f>IF(Skills!C15=1,60+Inputs!$B$25+Inputs!$B$29,IF(Skills!C15=2,90+(Inputs!$B$26+1)+Inputs!$B$29,IF(Skills!C15=3,120+Inputs!$B$27+Inputs!$B$29,MAX(0,(Inputs!$B$3-100)*3)+Inputs!$B$28+Inputs!$B$29)))</f>
        <v/>
      </c>
      <c r="E817">
        <f>INDEX(FactorTable!$B$2:$Y$301, MATCH(ROUND(MIN(300,MAX(1,D817)),0), FactorTable!$A$2:$A$301,0), Skills!M15+1)</f>
        <v/>
      </c>
      <c r="F817">
        <f>IF(Skills!N15=TRUE,(Skills!L15/10)*(E817/1000),Skills!L15/10)+Skills!O15</f>
        <v/>
      </c>
      <c r="G817" t="inlineStr"/>
      <c r="H817" t="inlineStr"/>
      <c r="I817" t="inlineStr">
        <is>
          <t>1</t>
        </is>
      </c>
      <c r="J817" t="inlineStr"/>
      <c r="K817" t="inlineStr"/>
      <c r="L817" t="inlineStr"/>
      <c r="M817" t="inlineStr"/>
      <c r="N817" t="inlineStr"/>
      <c r="O817" t="inlineStr"/>
      <c r="P817" t="inlineStr"/>
      <c r="Q817" t="inlineStr"/>
      <c r="R817" t="inlineStr"/>
      <c r="S817" t="inlineStr"/>
    </row>
    <row r="818">
      <c r="A818">
        <f>Skills!A16</f>
        <v/>
      </c>
      <c r="B818">
        <f>Skills!B16</f>
        <v/>
      </c>
      <c r="C818">
        <f>Inputs!$B$3&gt;=120</f>
        <v/>
      </c>
      <c r="D818">
        <f>IF(Skills!C16=1,60+Inputs!$B$25+Inputs!$B$29,IF(Skills!C16=2,90+(Inputs!$B$26+1)+Inputs!$B$29,IF(Skills!C16=3,120+Inputs!$B$27+Inputs!$B$29,MAX(0,(Inputs!$B$3-100)*3)+Inputs!$B$28+Inputs!$B$29)))</f>
        <v/>
      </c>
      <c r="E818">
        <f>INDEX(FactorTable!$B$2:$Y$301, MATCH(ROUND(MIN(300,MAX(1,D818)),0), FactorTable!$A$2:$A$301,0), Skills!M16+1)</f>
        <v/>
      </c>
      <c r="F818">
        <f>IF(Skills!N16=TRUE,(Skills!L16/10)*(E818/1000),Skills!L16/10)+Skills!O16</f>
        <v/>
      </c>
      <c r="G818" t="inlineStr"/>
      <c r="H818" t="inlineStr"/>
      <c r="I818" t="inlineStr">
        <is>
          <t>1</t>
        </is>
      </c>
      <c r="J818" t="inlineStr"/>
      <c r="K818" t="inlineStr"/>
      <c r="L818" t="inlineStr"/>
      <c r="M818" t="inlineStr"/>
      <c r="N818" t="inlineStr"/>
      <c r="O818" t="inlineStr"/>
      <c r="P818" t="inlineStr"/>
      <c r="Q818" t="inlineStr"/>
      <c r="R818" t="inlineStr"/>
      <c r="S818" t="inlineStr"/>
    </row>
    <row r="819">
      <c r="A819">
        <f>Skills!A17</f>
        <v/>
      </c>
      <c r="B819">
        <f>Skills!B17</f>
        <v/>
      </c>
      <c r="C819">
        <f>Inputs!$B$3&gt;=66</f>
        <v/>
      </c>
      <c r="D819">
        <f>IF(Skills!C17=1,60+Inputs!$B$25+Inputs!$B$29,IF(Skills!C17=2,90+(Inputs!$B$26+1)+Inputs!$B$29,IF(Skills!C17=3,120+Inputs!$B$27+Inputs!$B$29,MAX(0,(Inputs!$B$3-100)*3)+Inputs!$B$28+Inputs!$B$29)))</f>
        <v/>
      </c>
      <c r="E819">
        <f>INDEX(FactorTable!$B$2:$Y$301, MATCH(ROUND(MIN(300,MAX(1,D819)),0), FactorTable!$A$2:$A$301,0), Skills!M17+1)</f>
        <v/>
      </c>
      <c r="F819">
        <f>IF(Skills!N17=TRUE,(Skills!L17/10)*(E819/1000),Skills!L17/10)+Skills!O17</f>
        <v/>
      </c>
      <c r="G819">
        <f>Skills!G17*IF(Skills!H17&gt;0,Skills!I17/Skills!H17,1)</f>
        <v/>
      </c>
      <c r="H819">
        <f>1-(1-Skills!J17/100)^Skills!K17</f>
        <v/>
      </c>
      <c r="I819" t="inlineStr">
        <is>
          <t>1</t>
        </is>
      </c>
      <c r="J819" t="inlineStr"/>
      <c r="K819" t="inlineStr"/>
      <c r="L819" t="inlineStr"/>
      <c r="M819" t="inlineStr"/>
      <c r="N819" t="inlineStr"/>
      <c r="O819">
        <f>(1-Summary!$B$11)*T819+Summary!$B$11*V819</f>
        <v/>
      </c>
      <c r="P819">
        <f>IF(B842=0,0,O819/B842)</f>
        <v/>
      </c>
      <c r="Q819" t="n">
        <v>0</v>
      </c>
      <c r="R819" t="n">
        <v>0</v>
      </c>
      <c r="S819">
        <f>IFERROR(O819/N819,0)</f>
        <v/>
      </c>
      <c r="T819" t="n">
        <v>0</v>
      </c>
      <c r="V819" t="n">
        <v>0</v>
      </c>
    </row>
    <row r="820">
      <c r="A820">
        <f>Skills!A18</f>
        <v/>
      </c>
      <c r="B820">
        <f>Skills!B18</f>
        <v/>
      </c>
      <c r="C820">
        <f>Inputs!$B$3&gt;=115</f>
        <v/>
      </c>
      <c r="D820">
        <f>IF(Skills!C18=1,60+Inputs!$B$25+Inputs!$B$29,IF(Skills!C18=2,90+(Inputs!$B$26+1)+Inputs!$B$29,IF(Skills!C18=3,120+Inputs!$B$27+Inputs!$B$29,MAX(0,(Inputs!$B$3-100)*3)+Inputs!$B$28+Inputs!$B$29)))</f>
        <v/>
      </c>
      <c r="E820">
        <f>INDEX(FactorTable!$B$2:$Y$301, MATCH(ROUND(MIN(300,MAX(1,D820)),0), FactorTable!$A$2:$A$301,0), Skills!M18+1)</f>
        <v/>
      </c>
      <c r="F820">
        <f>IF(Skills!N18=TRUE,(Skills!L18/10)*(E820/1000),Skills!L18/10)+Skills!O18</f>
        <v/>
      </c>
      <c r="G820">
        <f>Skills!G18*IF(Skills!H18&gt;0,Skills!I18/Skills!H18,1)</f>
        <v/>
      </c>
      <c r="H820">
        <f>1-(1-Skills!J18/100)^Skills!K18</f>
        <v/>
      </c>
      <c r="I820" t="inlineStr">
        <is>
          <t>1</t>
        </is>
      </c>
      <c r="J820" t="inlineStr"/>
      <c r="K820" t="inlineStr"/>
      <c r="L820" t="inlineStr"/>
      <c r="M820" t="inlineStr"/>
      <c r="N820" t="inlineStr"/>
      <c r="O820">
        <f>(1-Summary!$B$11)*T820+Summary!$B$11*V820</f>
        <v/>
      </c>
      <c r="P820">
        <f>IF(B842=0,0,O820/B842)</f>
        <v/>
      </c>
      <c r="Q820" t="n">
        <v>0</v>
      </c>
      <c r="R820" t="n">
        <v>0</v>
      </c>
      <c r="S820">
        <f>IFERROR(O820/N820,0)</f>
        <v/>
      </c>
      <c r="T820" t="n">
        <v>0</v>
      </c>
      <c r="V820" t="n">
        <v>0</v>
      </c>
    </row>
    <row r="821">
      <c r="A821">
        <f>Skills!A19</f>
        <v/>
      </c>
      <c r="B821">
        <f>Skills!B19</f>
        <v/>
      </c>
      <c r="C821">
        <f>Inputs!$B$3&gt;=15</f>
        <v/>
      </c>
      <c r="D821">
        <f>IF(Skills!C19=1,60+Inputs!$B$25+Inputs!$B$29,IF(Skills!C19=2,90+(Inputs!$B$26+1)+Inputs!$B$29,IF(Skills!C19=3,120+Inputs!$B$27+Inputs!$B$29,MAX(0,(Inputs!$B$3-100)*3)+Inputs!$B$28+Inputs!$B$29)))</f>
        <v/>
      </c>
      <c r="E821">
        <f>INDEX(FactorTable!$B$2:$Y$301, MATCH(ROUND(MIN(300,MAX(1,D821)),0), FactorTable!$A$2:$A$301,0), Skills!M19+1)</f>
        <v/>
      </c>
      <c r="F821">
        <f>IF(Skills!N19=TRUE,(Skills!L19/10)*(E821/1000),Skills!L19/10)+Skills!O19</f>
        <v/>
      </c>
      <c r="G821">
        <f>Skills!G19*IF(Skills!H19&gt;0,Skills!I19/Skills!H19,1)</f>
        <v/>
      </c>
      <c r="H821">
        <f>1-(1-Skills!J19/100)^Skills!K19</f>
        <v/>
      </c>
      <c r="I821" t="inlineStr">
        <is>
          <t>1</t>
        </is>
      </c>
      <c r="J821" t="inlineStr"/>
      <c r="K821" t="inlineStr"/>
      <c r="L821" t="inlineStr"/>
      <c r="M821" t="inlineStr"/>
      <c r="N821" t="inlineStr"/>
      <c r="O821">
        <f>(1-Summary!$B$11)*T821+Summary!$B$11*V821</f>
        <v/>
      </c>
      <c r="P821">
        <f>IF(B842=0,0,O821/B842)</f>
        <v/>
      </c>
      <c r="Q821" t="n">
        <v>0</v>
      </c>
      <c r="R821" t="n">
        <v>0</v>
      </c>
      <c r="S821">
        <f>IFERROR(O821/N821,0)</f>
        <v/>
      </c>
      <c r="T821" t="n">
        <v>0</v>
      </c>
      <c r="V821" t="n">
        <v>0</v>
      </c>
    </row>
    <row r="822">
      <c r="A822">
        <f>Skills!A20</f>
        <v/>
      </c>
      <c r="B822">
        <f>Skills!B20</f>
        <v/>
      </c>
      <c r="C822">
        <f>Inputs!$B$3&gt;=10</f>
        <v/>
      </c>
      <c r="D822">
        <f>IF(Skills!C20=1,60+Inputs!$B$25+Inputs!$B$29,IF(Skills!C20=2,90+(Inputs!$B$26+1)+Inputs!$B$29,IF(Skills!C20=3,120+Inputs!$B$27+Inputs!$B$29,MAX(0,(Inputs!$B$3-100)*3)+Inputs!$B$28+Inputs!$B$29)))</f>
        <v/>
      </c>
      <c r="E822">
        <f>INDEX(FactorTable!$B$2:$Y$301, MATCH(ROUND(MIN(300,MAX(1,D822)),0), FactorTable!$A$2:$A$301,0), Skills!M20+1)</f>
        <v/>
      </c>
      <c r="F822">
        <f>IF(Skills!N20=TRUE,(Skills!L20/10)*(E822/1000),Skills!L20/10)+Skills!O20</f>
        <v/>
      </c>
      <c r="G822">
        <f>Skills!G20*IF(Skills!H20&gt;0,Skills!I20/Skills!H20,1)</f>
        <v/>
      </c>
      <c r="H822">
        <f>1-(1-Skills!J20/100)^Skills!K20</f>
        <v/>
      </c>
      <c r="I822" t="inlineStr">
        <is>
          <t>1</t>
        </is>
      </c>
      <c r="J822" t="inlineStr"/>
      <c r="K822" t="inlineStr"/>
      <c r="L822" t="inlineStr"/>
      <c r="M822" t="inlineStr"/>
      <c r="N822" t="inlineStr"/>
      <c r="O822">
        <f>(1-Summary!$B$11)*T822+Summary!$B$11*V822</f>
        <v/>
      </c>
      <c r="P822">
        <f>IF(B842=0,0,O822/B842)</f>
        <v/>
      </c>
      <c r="Q822" t="n">
        <v>0</v>
      </c>
      <c r="R822" t="n">
        <v>0</v>
      </c>
      <c r="S822">
        <f>IFERROR(O822/N822,0)</f>
        <v/>
      </c>
      <c r="T822" t="n">
        <v>0</v>
      </c>
      <c r="V822" t="n">
        <v>0</v>
      </c>
    </row>
    <row r="823">
      <c r="A823">
        <f>Skills!A21</f>
        <v/>
      </c>
      <c r="B823">
        <f>Skills!B21</f>
        <v/>
      </c>
      <c r="C823">
        <f>Inputs!$B$3&gt;=33</f>
        <v/>
      </c>
      <c r="D823">
        <f>IF(Skills!C21=1,60+Inputs!$B$25+Inputs!$B$29,IF(Skills!C21=2,90+(Inputs!$B$26+1)+Inputs!$B$29,IF(Skills!C21=3,120+Inputs!$B$27+Inputs!$B$29,MAX(0,(Inputs!$B$3-100)*3)+Inputs!$B$28+Inputs!$B$29)))</f>
        <v/>
      </c>
      <c r="E823">
        <f>INDEX(FactorTable!$B$2:$Y$301, MATCH(ROUND(MIN(300,MAX(1,D823)),0), FactorTable!$A$2:$A$301,0), Skills!M21+1)</f>
        <v/>
      </c>
      <c r="F823">
        <f>IF(Skills!N21=TRUE,(Skills!L21/10)*(E823/1000),Skills!L21/10)+Skills!O21</f>
        <v/>
      </c>
      <c r="G823">
        <f>Skills!G21*IF(Skills!H21&gt;0,Skills!I21/Skills!H21,1)</f>
        <v/>
      </c>
      <c r="H823">
        <f>1-(1-Skills!J21/100)^Skills!K21</f>
        <v/>
      </c>
      <c r="I823" t="inlineStr">
        <is>
          <t>1</t>
        </is>
      </c>
      <c r="J823" t="inlineStr"/>
      <c r="K823" t="inlineStr"/>
      <c r="L823" t="inlineStr"/>
      <c r="M823" t="inlineStr"/>
      <c r="N823" t="inlineStr"/>
      <c r="O823">
        <f>(1-Summary!$B$11)*T823+Summary!$B$11*V823</f>
        <v/>
      </c>
      <c r="P823">
        <f>IF(B842=0,0,O823/B842)</f>
        <v/>
      </c>
      <c r="Q823" t="n">
        <v>0</v>
      </c>
      <c r="R823" t="n">
        <v>0</v>
      </c>
      <c r="S823">
        <f>IFERROR(O823/N823,0)</f>
        <v/>
      </c>
      <c r="T823" t="n">
        <v>0</v>
      </c>
      <c r="V823" t="n">
        <v>0</v>
      </c>
    </row>
    <row r="824">
      <c r="A824">
        <f>Skills!A22</f>
        <v/>
      </c>
      <c r="B824">
        <f>Skills!B22</f>
        <v/>
      </c>
      <c r="C824">
        <f>Inputs!$B$3&gt;=43</f>
        <v/>
      </c>
      <c r="D824">
        <f>IF(Skills!C22=1,60+Inputs!$B$25+Inputs!$B$29,IF(Skills!C22=2,90+(Inputs!$B$26+1)+Inputs!$B$29,IF(Skills!C22=3,120+Inputs!$B$27+Inputs!$B$29,MAX(0,(Inputs!$B$3-100)*3)+Inputs!$B$28+Inputs!$B$29)))</f>
        <v/>
      </c>
      <c r="E824">
        <f>INDEX(FactorTable!$B$2:$Y$301, MATCH(ROUND(MIN(300,MAX(1,D824)),0), FactorTable!$A$2:$A$301,0), Skills!M22+1)</f>
        <v/>
      </c>
      <c r="F824">
        <f>IF(Skills!N22=TRUE,(Skills!L22/10)*(E824/1000),Skills!L22/10)+Skills!O22</f>
        <v/>
      </c>
      <c r="G824">
        <f>Skills!G22*IF(Skills!H22&gt;0,Skills!I22/Skills!H22,1)</f>
        <v/>
      </c>
      <c r="H824">
        <f>1-(1-Skills!J22/100)^Skills!K22</f>
        <v/>
      </c>
      <c r="I824" t="inlineStr">
        <is>
          <t>1</t>
        </is>
      </c>
      <c r="J824" t="inlineStr"/>
      <c r="K824" t="inlineStr"/>
      <c r="L824" t="inlineStr"/>
      <c r="M824" t="inlineStr"/>
      <c r="N824" t="inlineStr"/>
      <c r="O824">
        <f>(1-Summary!$B$11)*T824+Summary!$B$11*V824</f>
        <v/>
      </c>
      <c r="P824">
        <f>IF(B842=0,0,O824/B842)</f>
        <v/>
      </c>
      <c r="Q824" t="n">
        <v>0</v>
      </c>
      <c r="R824" t="n">
        <v>0</v>
      </c>
      <c r="S824">
        <f>IFERROR(O824/N824,0)</f>
        <v/>
      </c>
      <c r="T824" t="n">
        <v>0</v>
      </c>
      <c r="V824" t="n">
        <v>0</v>
      </c>
    </row>
    <row r="825">
      <c r="A825">
        <f>Skills!A23</f>
        <v/>
      </c>
      <c r="B825">
        <f>Skills!B23</f>
        <v/>
      </c>
      <c r="C825">
        <f>Inputs!$B$3&gt;=38</f>
        <v/>
      </c>
      <c r="D825">
        <f>IF(Skills!C23=1,60+Inputs!$B$25+Inputs!$B$29,IF(Skills!C23=2,90+(Inputs!$B$26+1)+Inputs!$B$29,IF(Skills!C23=3,120+Inputs!$B$27+Inputs!$B$29,MAX(0,(Inputs!$B$3-100)*3)+Inputs!$B$28+Inputs!$B$29)))</f>
        <v/>
      </c>
      <c r="E825">
        <f>INDEX(FactorTable!$B$2:$Y$301, MATCH(ROUND(MIN(300,MAX(1,D825)),0), FactorTable!$A$2:$A$301,0), Skills!M23+1)</f>
        <v/>
      </c>
      <c r="F825">
        <f>IF(Skills!N23=TRUE,(Skills!L23/10)*(E825/1000),Skills!L23/10)+Skills!O23</f>
        <v/>
      </c>
      <c r="G825">
        <f>Skills!G23*IF(Skills!H23&gt;0,Skills!I23/Skills!H23,1)</f>
        <v/>
      </c>
      <c r="H825">
        <f>1-(1-Skills!J23/100)^Skills!K23</f>
        <v/>
      </c>
      <c r="I825" t="inlineStr">
        <is>
          <t>1</t>
        </is>
      </c>
      <c r="J825" t="inlineStr"/>
      <c r="K825" t="inlineStr"/>
      <c r="L825" t="inlineStr"/>
      <c r="M825" t="inlineStr"/>
      <c r="N825" t="inlineStr"/>
      <c r="O825">
        <f>(1-Summary!$B$11)*T825+Summary!$B$11*V825</f>
        <v/>
      </c>
      <c r="P825">
        <f>IF(B842=0,0,O825/B842)</f>
        <v/>
      </c>
      <c r="Q825" t="n">
        <v>0</v>
      </c>
      <c r="R825" t="n">
        <v>0</v>
      </c>
      <c r="S825">
        <f>IFERROR(O825/N825,0)</f>
        <v/>
      </c>
      <c r="T825" t="n">
        <v>0</v>
      </c>
      <c r="V825" t="n">
        <v>0</v>
      </c>
    </row>
    <row r="826">
      <c r="A826">
        <f>Skills!A24</f>
        <v/>
      </c>
      <c r="B826">
        <f>Skills!B24</f>
        <v/>
      </c>
      <c r="C826">
        <f>Inputs!$B$3&gt;=40</f>
        <v/>
      </c>
      <c r="D826">
        <f>IF(Skills!C24=1,60+Inputs!$B$25+Inputs!$B$29,IF(Skills!C24=2,90+(Inputs!$B$26+1)+Inputs!$B$29,IF(Skills!C24=3,120+Inputs!$B$27+Inputs!$B$29,MAX(0,(Inputs!$B$3-100)*3)+Inputs!$B$28+Inputs!$B$29)))</f>
        <v/>
      </c>
      <c r="E826">
        <f>INDEX(FactorTable!$B$2:$Y$301, MATCH(ROUND(MIN(300,MAX(1,D826)),0), FactorTable!$A$2:$A$301,0), Skills!M24+1)</f>
        <v/>
      </c>
      <c r="F826">
        <f>IF(Skills!N24=TRUE,(Skills!L24/10)*(E826/1000),Skills!L24/10)+Skills!O24</f>
        <v/>
      </c>
      <c r="G826">
        <f>Skills!G24*IF(Skills!H24&gt;0,Skills!I24/Skills!H24,1)</f>
        <v/>
      </c>
      <c r="H826">
        <f>1-(1-Skills!J24/100)^Skills!K24</f>
        <v/>
      </c>
      <c r="I826" t="inlineStr">
        <is>
          <t>1</t>
        </is>
      </c>
      <c r="J826" t="inlineStr"/>
      <c r="K826" t="inlineStr"/>
      <c r="L826" t="inlineStr"/>
      <c r="M826" t="inlineStr"/>
      <c r="N826" t="inlineStr"/>
      <c r="O826">
        <f>(1-Summary!$B$11)*T826+Summary!$B$11*V826</f>
        <v/>
      </c>
      <c r="P826">
        <f>IF(B842=0,0,O826/B842)</f>
        <v/>
      </c>
      <c r="Q826" t="n">
        <v>0</v>
      </c>
      <c r="R826" t="n">
        <v>0</v>
      </c>
      <c r="S826">
        <f>IFERROR(O826/N826,0)</f>
        <v/>
      </c>
      <c r="T826" t="n">
        <v>0</v>
      </c>
      <c r="V826" t="n">
        <v>0</v>
      </c>
    </row>
    <row r="827">
      <c r="A827">
        <f>Skills!A25</f>
        <v/>
      </c>
      <c r="B827">
        <f>Skills!B25</f>
        <v/>
      </c>
      <c r="C827">
        <f>Inputs!$B$3&gt;=72</f>
        <v/>
      </c>
      <c r="D827">
        <f>IF(Skills!C25=1,60+Inputs!$B$25+Inputs!$B$29,IF(Skills!C25=2,90+(Inputs!$B$26+1)+Inputs!$B$29,IF(Skills!C25=3,120+Inputs!$B$27+Inputs!$B$29,MAX(0,(Inputs!$B$3-100)*3)+Inputs!$B$28+Inputs!$B$29)))</f>
        <v/>
      </c>
      <c r="E827">
        <f>INDEX(FactorTable!$B$2:$Y$301, MATCH(ROUND(MIN(300,MAX(1,D827)),0), FactorTable!$A$2:$A$301,0), Skills!M25+1)</f>
        <v/>
      </c>
      <c r="F827">
        <f>IF(Skills!N25=TRUE,(Skills!L25/10)*(E827/1000),Skills!L25/10)+Skills!O25</f>
        <v/>
      </c>
      <c r="G827">
        <f>Skills!G25*IF(Skills!H25&gt;0,Skills!I25/Skills!H25,1)</f>
        <v/>
      </c>
      <c r="H827">
        <f>1-(1-Skills!J25/100)^Skills!K25</f>
        <v/>
      </c>
      <c r="I827" t="inlineStr">
        <is>
          <t>1</t>
        </is>
      </c>
      <c r="J827" t="inlineStr"/>
      <c r="K827" t="inlineStr"/>
      <c r="L827" t="inlineStr"/>
      <c r="M827" t="inlineStr"/>
      <c r="N827" t="inlineStr"/>
      <c r="O827">
        <f>(1-Summary!$B$11)*T827+Summary!$B$11*V827</f>
        <v/>
      </c>
      <c r="P827">
        <f>IF(B842=0,0,O827/B842)</f>
        <v/>
      </c>
      <c r="Q827" t="n">
        <v>0</v>
      </c>
      <c r="R827" t="n">
        <v>0</v>
      </c>
      <c r="S827">
        <f>IFERROR(O827/N827,0)</f>
        <v/>
      </c>
      <c r="T827" t="n">
        <v>0</v>
      </c>
      <c r="V827" t="n">
        <v>0</v>
      </c>
    </row>
    <row r="828">
      <c r="A828">
        <f>Skills!A26</f>
        <v/>
      </c>
      <c r="B828">
        <f>Skills!B26</f>
        <v/>
      </c>
      <c r="C828">
        <f>Inputs!$B$3&gt;=75</f>
        <v/>
      </c>
      <c r="D828">
        <f>IF(Skills!C26=1,60+Inputs!$B$25+Inputs!$B$29,IF(Skills!C26=2,90+(Inputs!$B$26+1)+Inputs!$B$29,IF(Skills!C26=3,120+Inputs!$B$27+Inputs!$B$29,MAX(0,(Inputs!$B$3-100)*3)+Inputs!$B$28+Inputs!$B$29)))</f>
        <v/>
      </c>
      <c r="E828">
        <f>INDEX(FactorTable!$B$2:$Y$301, MATCH(ROUND(MIN(300,MAX(1,D828)),0), FactorTable!$A$2:$A$301,0), Skills!M26+1)</f>
        <v/>
      </c>
      <c r="F828">
        <f>IF(Skills!N26=TRUE,(Skills!L26/10)*(E828/1000),Skills!L26/10)+Skills!O26</f>
        <v/>
      </c>
      <c r="G828">
        <f>Skills!G26*IF(Skills!H26&gt;0,Skills!I26/Skills!H26,1)</f>
        <v/>
      </c>
      <c r="H828">
        <f>1-(1-Skills!J26/100)^Skills!K26</f>
        <v/>
      </c>
      <c r="I828" t="inlineStr">
        <is>
          <t>1</t>
        </is>
      </c>
      <c r="J828" t="inlineStr"/>
      <c r="K828" t="inlineStr"/>
      <c r="L828" t="inlineStr"/>
      <c r="M828" t="inlineStr"/>
      <c r="N828" t="inlineStr"/>
      <c r="O828">
        <f>(1-Summary!$B$11)*T828+Summary!$B$11*V828</f>
        <v/>
      </c>
      <c r="P828">
        <f>IF(B842=0,0,O828/B842)</f>
        <v/>
      </c>
      <c r="Q828" t="n">
        <v>0</v>
      </c>
      <c r="R828" t="n">
        <v>0</v>
      </c>
      <c r="S828">
        <f>IFERROR(O828/N828,0)</f>
        <v/>
      </c>
      <c r="T828" t="n">
        <v>0</v>
      </c>
      <c r="V828" t="n">
        <v>0</v>
      </c>
    </row>
    <row r="829">
      <c r="A829">
        <f>Skills!A27</f>
        <v/>
      </c>
      <c r="B829">
        <f>Skills!B27</f>
        <v/>
      </c>
      <c r="C829">
        <f>Inputs!$B$3&gt;=117</f>
        <v/>
      </c>
      <c r="D829">
        <f>IF(Skills!C27=1,60+Inputs!$B$25+Inputs!$B$29,IF(Skills!C27=2,90+(Inputs!$B$26+1)+Inputs!$B$29,IF(Skills!C27=3,120+Inputs!$B$27+Inputs!$B$29,MAX(0,(Inputs!$B$3-100)*3)+Inputs!$B$28+Inputs!$B$29)))</f>
        <v/>
      </c>
      <c r="E829">
        <f>INDEX(FactorTable!$B$2:$Y$301, MATCH(ROUND(MIN(300,MAX(1,D829)),0), FactorTable!$A$2:$A$301,0), Skills!M27+1)</f>
        <v/>
      </c>
      <c r="F829">
        <f>IF(Skills!N27=TRUE,(Skills!L27/10)*(E829/1000),Skills!L27/10)+Skills!O27</f>
        <v/>
      </c>
      <c r="G829">
        <f>Skills!G27*IF(Skills!H27&gt;0,Skills!I27/Skills!H27,1)</f>
        <v/>
      </c>
      <c r="H829">
        <f>1-(1-Skills!J27/100)^Skills!K27</f>
        <v/>
      </c>
      <c r="I829" t="inlineStr">
        <is>
          <t>1</t>
        </is>
      </c>
      <c r="J829" t="inlineStr"/>
      <c r="K829" t="inlineStr"/>
      <c r="L829" t="inlineStr"/>
      <c r="M829" t="inlineStr"/>
      <c r="N829" t="inlineStr"/>
      <c r="O829">
        <f>(1-Summary!$B$11)*T829+Summary!$B$11*V829</f>
        <v/>
      </c>
      <c r="P829">
        <f>IF(B842=0,0,O829/B842)</f>
        <v/>
      </c>
      <c r="Q829" t="n">
        <v>0</v>
      </c>
      <c r="R829" t="n">
        <v>0</v>
      </c>
      <c r="S829">
        <f>IFERROR(O829/N829,0)</f>
        <v/>
      </c>
      <c r="T829" t="n">
        <v>0</v>
      </c>
      <c r="V829" t="n">
        <v>0</v>
      </c>
    </row>
    <row r="831">
      <c r="A831" t="inlineStr">
        <is>
          <t>Attack% Bucket Multiplier</t>
        </is>
      </c>
      <c r="B831">
        <f>(1+(((C819=TRUE)*F819)+((C826=TRUE)*(F826-Calc!F24))+(IF(ArtifactsInput!$M$21,CHOOSE(ArtifactsInput!$N$21+1,25,30,35,40,45,50)*(IF(OR(Inputs!$B$4="Chapter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32">
      <c r="A832" t="inlineStr">
        <is>
          <t>Global Crit Rate Bonus %</t>
        </is>
      </c>
      <c r="B832" t="n">
        <v>0</v>
      </c>
    </row>
    <row r="833">
      <c r="A833" t="inlineStr">
        <is>
          <t>Attack Speed Buff Bonus % (unused)</t>
        </is>
      </c>
      <c r="B833" t="n">
        <v>0</v>
      </c>
    </row>
    <row r="834">
      <c r="A834" t="inlineStr">
        <is>
          <t>Actions Per Second</t>
        </is>
      </c>
      <c r="B834">
        <f>1+MIN(150,150*(1-(1-(Inputs!$B$11+((C822=TRUE)*(F822-Calc!F20))+((C823=TRUE)*(F823-Calc!F21)))/150)*(1-B833/150)))/100</f>
        <v/>
      </c>
    </row>
    <row r="835">
      <c r="A835" t="inlineStr">
        <is>
          <t>Skill + Buff Cast Rate</t>
        </is>
      </c>
      <c r="B835">
        <f>IF(AND(Inputs!$B$38&lt;&gt;"pvp",Inputs!$B$43&gt;0),SUMPRODUCT((Skills!E2:E27=TRUE)*(C804:C829=TRUE)*R804:R829*Skills!F2:F27)/Inputs!$B$43,SUMPRODUCT((Skills!E2:E27=TRUE)*(C804:C829=TRUE)*Q804:Q829*Skills!F2:F27))</f>
        <v/>
      </c>
    </row>
    <row r="836">
      <c r="A836" t="inlineStr">
        <is>
          <t>Eight-Legs Easton Casts Per Second</t>
        </is>
      </c>
      <c r="B836">
        <f>MAX(0,B834-B835)</f>
        <v/>
      </c>
    </row>
    <row r="837">
      <c r="A837" t="inlineStr">
        <is>
          <t>Global Critical Damage Bonus % (unused)</t>
        </is>
      </c>
      <c r="B837" t="n">
        <v>0</v>
      </c>
    </row>
    <row r="838">
      <c r="A838" t="inlineStr">
        <is>
          <t>Global Final Damage Bonus % (Jolly Roger only)</t>
        </is>
      </c>
      <c r="B838">
        <f>((C820=TRUE)*F820)</f>
        <v/>
      </c>
    </row>
    <row r="839">
      <c r="A839" t="inlineStr">
        <is>
          <t>Buff-Casting Startup Delay (s, fixed-duration only)</t>
        </is>
      </c>
      <c r="B839">
        <f>IF(AND(Inputs!$B$38&lt;&gt;"pvp",Inputs!$B$43&gt;0),SUMPRODUCT((Skills!T2:T27&gt;0)*(Skills!E2:E27=TRUE)*(C804:C829=TRUE))/B834,0)</f>
        <v/>
      </c>
    </row>
    <row r="840">
      <c r="A840" t="inlineStr">
        <is>
          <t>Boss-Only Total DPS (this block's swept value)</t>
        </is>
      </c>
      <c r="B840">
        <f>SUM(T804:T829)</f>
        <v/>
      </c>
    </row>
    <row r="841">
      <c r="A841" t="inlineStr">
        <is>
          <t>Normal-Only Total DPS (this block's swept value)</t>
        </is>
      </c>
      <c r="B841">
        <f>SUM(V804:V829)</f>
        <v/>
      </c>
    </row>
    <row r="842">
      <c r="A842" s="6" t="inlineStr">
        <is>
          <t>TOTAL DPS</t>
        </is>
      </c>
      <c r="B842" s="6">
        <f>SUM(O804:O829)</f>
        <v/>
      </c>
    </row>
    <row r="845">
      <c r="A845" s="6" t="inlineStr">
        <is>
          <t>Stat: Skill Level Bonus — 3rd Job</t>
        </is>
      </c>
    </row>
    <row r="846">
      <c r="A846" s="5" t="inlineStr">
        <is>
          <t>Key</t>
        </is>
      </c>
      <c r="B846" s="5" t="inlineStr">
        <is>
          <t>Name</t>
        </is>
      </c>
      <c r="C846" s="5" t="inlineStr">
        <is>
          <t>Unlocked</t>
        </is>
      </c>
      <c r="D846" s="5" t="inlineStr">
        <is>
          <t>InputLevel</t>
        </is>
      </c>
      <c r="E846" s="5" t="inlineStr">
        <is>
          <t>Factor</t>
        </is>
      </c>
      <c r="F846" s="5" t="inlineStr">
        <is>
          <t>CoefficientPercent</t>
        </is>
      </c>
      <c r="G846" s="5" t="inlineStr">
        <is>
          <t>EffectiveHits</t>
        </is>
      </c>
      <c r="H846" s="5" t="inlineStr">
        <is>
          <t>ProcProbability</t>
        </is>
      </c>
      <c r="I846" s="5" t="inlineStr">
        <is>
          <t>MapleHeroMultiplier</t>
        </is>
      </c>
      <c r="J846" s="5" t="inlineStr">
        <is>
          <t>BaseDamage</t>
        </is>
      </c>
      <c r="K846" s="5" t="inlineStr">
        <is>
          <t>BaseHitDamage</t>
        </is>
      </c>
      <c r="L846" s="5" t="inlineStr">
        <is>
          <t>NonCritAvg</t>
        </is>
      </c>
      <c r="M846" s="5" t="inlineStr">
        <is>
          <t>CritAvg</t>
        </is>
      </c>
      <c r="N846" s="5" t="inlineStr">
        <is>
          <t>ExpectedDamage(perHit)</t>
        </is>
      </c>
      <c r="O846" s="5" t="inlineStr">
        <is>
          <t>DPS</t>
        </is>
      </c>
      <c r="P846" s="5" t="inlineStr">
        <is>
          <t>% of Total</t>
        </is>
      </c>
      <c r="Q846" s="5" t="inlineStr">
        <is>
          <t>InvCooldown</t>
        </is>
      </c>
      <c r="R846" s="5" t="inlineStr">
        <is>
          <t>CastsInFight</t>
        </is>
      </c>
      <c r="S846" s="5" t="inlineStr">
        <is>
          <t>HitRate(perSec)</t>
        </is>
      </c>
      <c r="U846" t="inlineStr">
        <is>
          <t>helpers</t>
        </is>
      </c>
    </row>
    <row r="847">
      <c r="A847">
        <f>Skills!A2</f>
        <v/>
      </c>
      <c r="B847">
        <f>Skills!B2</f>
        <v/>
      </c>
      <c r="C847">
        <f>Inputs!$B$3&gt;=100</f>
        <v/>
      </c>
      <c r="D847" t="inlineStr"/>
      <c r="E847" t="inlineStr"/>
      <c r="F847">
        <f>U849+Skills!O2</f>
        <v/>
      </c>
      <c r="G847">
        <f>Skills!G2*IF(Skills!H2&gt;0,Skills!I2/Skills!H2,1)</f>
        <v/>
      </c>
      <c r="H847">
        <f>1-(1-Skills!J2/100)^Skills!K2</f>
        <v/>
      </c>
      <c r="I847" t="inlineStr">
        <is>
          <t>1</t>
        </is>
      </c>
      <c r="J847">
        <f>((Inputs!$B$6*(1+Inputs!$B$7/100))+(((Inputs!$B$12*(1+Inputs!$B$13/100))-(Inputs!$B$12*(1+Inputs!$B$13/100)))+0.25*(Inputs!$B$14-Inputs!$B$14))*(1+Inputs!$B$7/100))*(F847/100)</f>
        <v/>
      </c>
      <c r="K847">
        <f>J847*(1+((Inputs!$B$12*(1+Inputs!$B$13/100))*0.01+Inputs!$B$14*0.0025)/100)*(1+Inputs!$B$15/100)*(1+Inputs!$B$16/100)*(5000/(6000+Inputs!$B$42*(1-(100*(1-(1-(Inputs!$B$19+0)/100)*(1-CHOOSE(ArtifactsInput!$N$40+1,5,6,7,8,9,10)/100)^(ArtifactsInput!$M$40-ArtifactsInput!$M$40)))/100)))*(1+(Inputs!$B$24+((C871=TRUE)*(F871-Calc!F26))+B881)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868=TRUE)*(F868-Calc!F23))+((C872=TRUE)*(F872-Calc!F27))+(((IF(AND(ArtifactsInput!$M$42,((Inputs!$B$9+((C864=TRUE)*(F864-Calc!F19))+B875+(ArtifactsInput!$M$24-ArtifactsInput!$M$24)*CHOOSE(ArtifactsInput!$N$24+1,10,12,14,16,18,20)+IF(ArtifactsInput!$M$10,CHOOSE(ArtifactsInput!$N$10+1,15,18,21,24,27,30)*(IF(Inputs!$B$38="pvp",MIN(15,15)/15,IF(AND(Inputs!$B$38&lt;&gt;"pvp",Inputs!$B$43&gt;0),MIN(15,Inputs!$B$43)/(Inputs!$B$43),0))),0)))&gt;=100),MIN(100,((Inputs!$B$9+((C864=TRUE)*(F864-Calc!F19))+B875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864=TRUE)*(F864-Calc!F19))+B875+(ArtifactsInput!$M$24-ArtifactsInput!$M$24)*CHOOSE(ArtifactsInput!$N$24+1,10,12,14,16,18,20)+IF(ArtifactsInput!$M$10,CHOOSE(ArtifactsInput!$N$10+1,15,18,21,24,27,30)*(IF(Inputs!$B$38="pvp",MIN(15,15)/15,IF(AND(Inputs!$B$38&lt;&gt;"pvp",Inputs!$B$43&gt;0),MIN(15,Inputs!$B$43)/(Inputs!$B$43),0))),0)))&gt;=100),CHOOSE(ArtifactsInput!$N$42+1,40,48,56,64,72,80),0))))/100)*((1+(((C862=TRUE)*F862)+((C869=TRUE)*(F869-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847)</f>
        <v/>
      </c>
      <c r="L847">
        <f>K847*(MIN(Inputs!$B$22+((C867=TRUE)*(F867-Calc!F22)),(Inputs!$B$23+0+(IF(ArtifactsInput!$M$15,CHOOSE(ArtifactsInput!$N$15+1,25,30,35,40,45,50)/100*(Inputs!$B$11-Inputs!$B$11),0))))/100+(Inputs!$B$23+0+(IF(ArtifactsInput!$M$15,CHOOSE(ArtifactsInput!$N$15+1,25,30,35,40,45,50)/100*(Inputs!$B$11-Inputs!$B$11),0)))/100)/2</f>
        <v/>
      </c>
      <c r="M847">
        <f>L847*(1+(Inputs!$B$10+((C870=TRUE)*(F870-Calc!F25))+B880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7">
        <f>L847*(1-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847*(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7">
        <f>(1-Summary!$B$11)*T847+Summary!$B$11*V847</f>
        <v/>
      </c>
      <c r="P847">
        <f>IF(B885=0,0,O847/B885)</f>
        <v/>
      </c>
      <c r="Q847" t="n">
        <v>0</v>
      </c>
      <c r="R847" t="n">
        <v>0</v>
      </c>
      <c r="S847">
        <f>IFERROR(O847/N847,0)</f>
        <v/>
      </c>
      <c r="T847">
        <f>IF(C847,(Skills!G2*N847*B879)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847*(1-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847*(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847*(1-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847*(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7">
        <f>MAX(0,(Inputs!$B$3-100)*3)+Inputs!$B$28+Inputs!$B$29</f>
        <v/>
      </c>
      <c r="V847">
        <f>IF(C847,(Skills!G2*N847*B879)*IF(Inputs!$B$38="pvp",1,(1+(Inputs!$B$21+Skills!Q2+(IF(ArtifactsInput!$M$33,CHOOSE(ArtifactsInput!$N$33+1,30,36,42,48,54,60),0))+(IF(AND(ArtifactsInput!$M$35,Inputs!$B$4&lt;&gt;"Chapter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8">
      <c r="A848">
        <f>Skills!A3</f>
        <v/>
      </c>
      <c r="B848">
        <f>Skills!B3</f>
        <v/>
      </c>
      <c r="C848">
        <f>Inputs!$B$3&gt;=35</f>
        <v/>
      </c>
      <c r="D848">
        <f>IF(Skills!C3=1,60+Inputs!$B$25+Inputs!$B$29,IF(Skills!C3=2,90+Inputs!$B$26+Inputs!$B$29,IF(Skills!C3=3,120+(Inputs!$B$27+1)+Inputs!$B$29,MAX(0,(Inputs!$B$3-100)*3)+Inputs!$B$28+Inputs!$B$29)))</f>
        <v/>
      </c>
      <c r="E848">
        <f>INDEX(FactorTable!$B$2:$Y$301, MATCH(ROUND(MIN(300,MAX(1,D848)),0), FactorTable!$A$2:$A$301,0), Skills!M3+1)</f>
        <v/>
      </c>
      <c r="F848">
        <f>IF(Skills!N3=TRUE,(Skills!L3/10)*(E848/1000),Skills!L3/10)+Skills!O3</f>
        <v/>
      </c>
      <c r="G848">
        <f>Skills!G3*IF(Skills!H3&gt;0,Skills!I3/Skills!H3,1)</f>
        <v/>
      </c>
      <c r="H848">
        <f>1-(1-Skills!J3/100)^Skills!K3</f>
        <v/>
      </c>
      <c r="I848" t="inlineStr">
        <is>
          <t>1</t>
        </is>
      </c>
      <c r="J848">
        <f>((Inputs!$B$6*(1+Inputs!$B$7/100))+(((Inputs!$B$12*(1+Inputs!$B$13/100))-(Inputs!$B$12*(1+Inputs!$B$13/100)))+0.25*(Inputs!$B$14-Inputs!$B$14))*(1+Inputs!$B$7/100))*(F848/100)</f>
        <v/>
      </c>
      <c r="K848">
        <f>J848*(1+((Inputs!$B$12*(1+Inputs!$B$13/100))*0.01+Inputs!$B$14*0.0025)/100)*(1+Inputs!$B$15/100)*(1+Inputs!$B$16/100)*(5000/(6000+Inputs!$B$42*(1-(100*(1-(1-(Inputs!$B$19+0)/100)*(1-CHOOSE(ArtifactsInput!$N$40+1,5,6,7,8,9,10)/100)^(ArtifactsInput!$M$40-ArtifactsInput!$M$40)))/100)))*(1+(Inputs!$B$24+((C871=TRUE)*(F871-Calc!F26))+B881)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860=TRUE,F860,0)/100)*(1+(IF(Skills!A3="EIGHT_LEGS_EASTON",Inputs!$B$17+((C868=TRUE)*(F868-Calc!F23))+((C872=TRUE)*(F872-Calc!F27))+(((IF(AND(ArtifactsInput!$M$42,((Inputs!$B$9+((C864=TRUE)*(F864-Calc!F19))+B875+(ArtifactsInput!$M$24-ArtifactsInput!$M$24)*CHOOSE(ArtifactsInput!$N$24+1,10,12,14,16,18,20)+IF(ArtifactsInput!$M$10,CHOOSE(ArtifactsInput!$N$10+1,15,18,21,24,27,30)*(IF(Inputs!$B$38="pvp",MIN(15,15)/15,IF(AND(Inputs!$B$38&lt;&gt;"pvp",Inputs!$B$43&gt;0),MIN(15,Inputs!$B$43)/(Inputs!$B$43),0))),0)))&gt;=100),MIN(100,((Inputs!$B$9+((C864=TRUE)*(F864-Calc!F19))+B875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864=TRUE)*(F864-Calc!F19))+B875+(ArtifactsInput!$M$24-ArtifactsInput!$M$24)*CHOOSE(ArtifactsInput!$N$24+1,10,12,14,16,18,20)+IF(ArtifactsInput!$M$10,CHOOSE(ArtifactsInput!$N$10+1,15,18,21,24,27,30)*(IF(Inputs!$B$38="pvp",MIN(15,15)/15,IF(AND(Inputs!$B$38&lt;&gt;"pvp",Inputs!$B$43&gt;0),MIN(15,Inputs!$B$43)/(Inputs!$B$43),0))),0)))&gt;=100),CHOOSE(ArtifactsInput!$N$42+1,40,48,56,64,72,80),0))))/100)*((1+(((C862=TRUE)*F862)+((C869=TRUE)*(F869-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848)</f>
        <v/>
      </c>
      <c r="L848">
        <f>K848*(MIN(Inputs!$B$22+((C867=TRUE)*(F867-Calc!F22)),(Inputs!$B$23+0+(IF(ArtifactsInput!$M$15,CHOOSE(ArtifactsInput!$N$15+1,25,30,35,40,45,50)/100*(Inputs!$B$11-Inputs!$B$11),0))))/100+(Inputs!$B$23+0+(IF(ArtifactsInput!$M$15,CHOOSE(ArtifactsInput!$N$15+1,25,30,35,40,45,50)/100*(Inputs!$B$11-Inputs!$B$11),0)))/100)/2</f>
        <v/>
      </c>
      <c r="M848">
        <f>L848*(1+(Inputs!$B$10+((C870=TRUE)*(F870-Calc!F25))+B880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8">
        <f>L848*(1-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848*(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8">
        <f>(1-Summary!$B$11)*T848+Summary!$B$11*V848</f>
        <v/>
      </c>
      <c r="P848">
        <f>IF(B885=0,0,O848/B885)</f>
        <v/>
      </c>
      <c r="Q848">
        <f>IFERROR(1/(IF(Inputs!$B$38="pvp",15,MAX(0.1,Skills!D3-IF(Skills!E3=TRUE,Inputs!$B$32,0)))*(1-IF(AND(ArtifactsInput!$M$27,Inputs!$B$4="Chapter Hunt"),CHOOSE(ArtifactsInput!$N$27+1,20,24,28,32,36,40),0)/100)),0)</f>
        <v/>
      </c>
      <c r="R848">
        <f>IF(AND(Inputs!$B$38&lt;&gt;"pvp",Inputs!$B$43&gt;0),IF(MAX(0,Inputs!$B$43-B882)&lt;=0,0,(INT(MAX(0,Inputs!$B$43-B882)/(IF(Inputs!$B$38="pvp",15,MAX(0.1,Skills!D3-IF(Skills!E3=TRUE,Inputs!$B$32,0)))*(1-IF(AND(ArtifactsInput!$M$27,Inputs!$B$4="Chapter Hunt"),CHOOSE(ArtifactsInput!$N$27+1,20,24,28,32,36,40),0)/100)))+1)),0)</f>
        <v/>
      </c>
      <c r="S848">
        <f>IFERROR(O848/N848,0)</f>
        <v/>
      </c>
      <c r="T848">
        <f>IF(C848,(H848*N848*IF(AND(Inputs!$B$38&lt;&gt;"pvp",Inputs!$B$43&gt;0),((Skills!G3*((R848-1)*IF(Skills!H3&gt;0,Skills!I3/Skills!H3,1)+IF(Skills!H3&gt;0,MIN(Skills!I3,MAX(0,MAX(0,Inputs!$B$43-B882)-((R848-1)*(IF(Inputs!$B$38="pvp",15,MAX(0.1,Skills!D3-IF(Skills!E3=TRUE,Inputs!$B$32,0)))*(1-IF(AND(ArtifactsInput!$M$27,Inputs!$B$4="Chapter Hunt"),CHOOSE(ArtifactsInput!$N$27+1,20,24,28,32,36,40),0)/100)))))/Skills!H3,1)))/Inputs!$B$43),G848*Q848)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848*(1-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848*(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848*(1-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848*(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8">
        <f>INDEX(FactorTable!$B$2:$Y$301, MATCH(ROUND(MIN(300,MAX(1,U847)),0), FactorTable!$A$2:$A$301,0), 22)</f>
        <v/>
      </c>
      <c r="V848">
        <f>IF(C848,(H848*N848*IF(AND(Inputs!$B$38&lt;&gt;"pvp",Inputs!$B$43&gt;0),((Skills!G3*((R848-1)*IF(Skills!H3&gt;0,Skills!I3/Skills!H3,1)+IF(Skills!H3&gt;0,MIN(Skills!I3,MAX(0,MAX(0,Inputs!$B$43-B882)-((R848-1)*(IF(Inputs!$B$38="pvp",15,MAX(0.1,Skills!D3-IF(Skills!E3=TRUE,Inputs!$B$32,0)))*(1-IF(AND(ArtifactsInput!$M$27,Inputs!$B$4="Chapter Hunt"),CHOOSE(ArtifactsInput!$N$27+1,20,24,28,32,36,40),0)/100)))))/Skills!H3,1)))/Inputs!$B$43),G848*Q848))*IF(Inputs!$B$38="pvp",1,(1+(Inputs!$B$21+Skills!Q3+(IF(ArtifactsInput!$M$33,CHOOSE(ArtifactsInput!$N$33+1,30,36,42,48,54,60)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9">
      <c r="A849">
        <f>Skills!A4</f>
        <v/>
      </c>
      <c r="B849">
        <f>Skills!B4</f>
        <v/>
      </c>
      <c r="C849">
        <f>Inputs!$B$3&gt;=40</f>
        <v/>
      </c>
      <c r="D849">
        <f>IF(Skills!C4=1,60+Inputs!$B$25+Inputs!$B$29,IF(Skills!C4=2,90+Inputs!$B$26+Inputs!$B$29,IF(Skills!C4=3,120+(Inputs!$B$27+1)+Inputs!$B$29,MAX(0,(Inputs!$B$3-100)*3)+Inputs!$B$28+Inputs!$B$29)))</f>
        <v/>
      </c>
      <c r="E849">
        <f>INDEX(FactorTable!$B$2:$Y$301, MATCH(ROUND(MIN(300,MAX(1,D849)),0), FactorTable!$A$2:$A$301,0), Skills!M4+1)</f>
        <v/>
      </c>
      <c r="F849">
        <f>IF(Skills!N4=TRUE,(Skills!L4/10)*(E849/1000),Skills!L4/10)+Skills!O4</f>
        <v/>
      </c>
      <c r="G849">
        <f>Skills!G4*IF(Skills!H4&gt;0,Skills!I4/Skills!H4,1)</f>
        <v/>
      </c>
      <c r="H849">
        <f>1-(1-Skills!J4/100)^Skills!K4</f>
        <v/>
      </c>
      <c r="I849" t="inlineStr">
        <is>
          <t>1</t>
        </is>
      </c>
      <c r="J849">
        <f>((Inputs!$B$6*(1+Inputs!$B$7/100))+(((Inputs!$B$12*(1+Inputs!$B$13/100))-(Inputs!$B$12*(1+Inputs!$B$13/100)))+0.25*(Inputs!$B$14-Inputs!$B$14))*(1+Inputs!$B$7/100))*(F849/100)</f>
        <v/>
      </c>
      <c r="K849">
        <f>J849*(1+((Inputs!$B$12*(1+Inputs!$B$13/100))*0.01+Inputs!$B$14*0.0025)/100)*(1+Inputs!$B$15/100)*(1+Inputs!$B$16/100)*(5000/(6000+Inputs!$B$42*(1-(100*(1-(1-(Inputs!$B$19+0)/100)*(1-CHOOSE(ArtifactsInput!$N$40+1,5,6,7,8,9,10)/100)^(ArtifactsInput!$M$40-ArtifactsInput!$M$40)))/100)))*(1+(Inputs!$B$24+((C871=TRUE)*(F871-Calc!F26))+B881)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861=TRUE,F861,0)/100)*(1+(IF(Skills!A4="EIGHT_LEGS_EASTON",Inputs!$B$17+((C868=TRUE)*(F868-Calc!F23))+((C872=TRUE)*(F872-Calc!F27))+(((IF(AND(ArtifactsInput!$M$42,((Inputs!$B$9+((C864=TRUE)*(F864-Calc!F19))+B875+(ArtifactsInput!$M$24-ArtifactsInput!$M$24)*CHOOSE(ArtifactsInput!$N$24+1,10,12,14,16,18,20)+IF(ArtifactsInput!$M$10,CHOOSE(ArtifactsInput!$N$10+1,15,18,21,24,27,30)*(IF(Inputs!$B$38="pvp",MIN(15,15)/15,IF(AND(Inputs!$B$38&lt;&gt;"pvp",Inputs!$B$43&gt;0),MIN(15,Inputs!$B$43)/(Inputs!$B$43),0))),0)))&gt;=100),MIN(100,((Inputs!$B$9+((C864=TRUE)*(F864-Calc!F19))+B875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864=TRUE)*(F864-Calc!F19))+B875+(ArtifactsInput!$M$24-ArtifactsInput!$M$24)*CHOOSE(ArtifactsInput!$N$24+1,10,12,14,16,18,20)+IF(ArtifactsInput!$M$10,CHOOSE(ArtifactsInput!$N$10+1,15,18,21,24,27,30)*(IF(Inputs!$B$38="pvp",MIN(15,15)/15,IF(AND(Inputs!$B$38&lt;&gt;"pvp",Inputs!$B$43&gt;0),MIN(15,Inputs!$B$43)/(Inputs!$B$43),0))),0)))&gt;=100),CHOOSE(ArtifactsInput!$N$42+1,40,48,56,64,72,80),0))))/100)*((1+(((C862=TRUE)*F862)+((C869=TRUE)*(F869-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849)</f>
        <v/>
      </c>
      <c r="L849">
        <f>K849*(MIN(Inputs!$B$22+((C867=TRUE)*(F867-Calc!F22)),(Inputs!$B$23+0+(IF(ArtifactsInput!$M$15,CHOOSE(ArtifactsInput!$N$15+1,25,30,35,40,45,50)/100*(Inputs!$B$11-Inputs!$B$11),0))))/100+(Inputs!$B$23+0+(IF(ArtifactsInput!$M$15,CHOOSE(ArtifactsInput!$N$15+1,25,30,35,40,45,50)/100*(Inputs!$B$11-Inputs!$B$11),0)))/100)/2</f>
        <v/>
      </c>
      <c r="M849">
        <f>L849*(1+(Inputs!$B$10+((C870=TRUE)*(F870-Calc!F25))+B880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9">
        <f>L849*(1-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849*(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9">
        <f>(1-Summary!$B$11)*T849+Summary!$B$11*V849</f>
        <v/>
      </c>
      <c r="P849">
        <f>IF(B885=0,0,O849/B885)</f>
        <v/>
      </c>
      <c r="Q849">
        <f>IFERROR(1/(IF(Inputs!$B$38="pvp",15,MAX(0.1,Skills!D4-IF(Skills!E4=TRUE,Inputs!$B$32,0)))*(1-IF(AND(ArtifactsInput!$M$27,Inputs!$B$4="Chapter Hunt"),CHOOSE(ArtifactsInput!$N$27+1,20,24,28,32,36,40),0)/100)),0)</f>
        <v/>
      </c>
      <c r="R849">
        <f>IF(AND(Inputs!$B$38&lt;&gt;"pvp",Inputs!$B$43&gt;0),IF(MAX(0,Inputs!$B$43-B882)&lt;=0,0,(INT(MAX(0,Inputs!$B$43-B882)/(IF(Inputs!$B$38="pvp",15,MAX(0.1,Skills!D4-IF(Skills!E4=TRUE,Inputs!$B$32,0)))*(1-IF(AND(ArtifactsInput!$M$27,Inputs!$B$4="Chapter Hunt"),CHOOSE(ArtifactsInput!$N$27+1,20,24,28,32,36,40),0)/100)))+1)),0)</f>
        <v/>
      </c>
      <c r="S849">
        <f>IFERROR(O849/N849,0)</f>
        <v/>
      </c>
      <c r="T849">
        <f>IF(C849,(H849*N849*IF(AND(Inputs!$B$38&lt;&gt;"pvp",Inputs!$B$43&gt;0),((Skills!G4*((R849-1)*IF(Skills!H4&gt;0,Skills!I4/Skills!H4,1)+IF(Skills!H4&gt;0,MIN(Skills!I4,MAX(0,MAX(0,Inputs!$B$43-B882)-((R849-1)*(IF(Inputs!$B$38="pvp",15,MAX(0.1,Skills!D4-IF(Skills!E4=TRUE,Inputs!$B$32,0)))*(1-IF(AND(ArtifactsInput!$M$27,Inputs!$B$4="Chapter Hunt"),CHOOSE(ArtifactsInput!$N$27+1,20,24,28,32,36,40),0)/100)))))/Skills!H4,1)))/Inputs!$B$43),G849*Q849)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849*(1-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849*(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849*(1-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849*(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9">
        <f>290*U848/1000</f>
        <v/>
      </c>
      <c r="V849">
        <f>IF(C849,(H849*N849*IF(AND(Inputs!$B$38&lt;&gt;"pvp",Inputs!$B$43&gt;0),((Skills!G4*((R849-1)*IF(Skills!H4&gt;0,Skills!I4/Skills!H4,1)+IF(Skills!H4&gt;0,MIN(Skills!I4,MAX(0,MAX(0,Inputs!$B$43-B882)-((R849-1)*(IF(Inputs!$B$38="pvp",15,MAX(0.1,Skills!D4-IF(Skills!E4=TRUE,Inputs!$B$32,0)))*(1-IF(AND(ArtifactsInput!$M$27,Inputs!$B$4="Chapter Hunt"),CHOOSE(ArtifactsInput!$N$27+1,20,24,28,32,36,40),0)/100)))))/Skills!H4,1)))/Inputs!$B$43),G849*Q849))*IF(Inputs!$B$38="pvp",1,(1+(Inputs!$B$21+Skills!Q4+(IF(ArtifactsInput!$M$33,CHOOSE(ArtifactsInput!$N$33+1,30,36,42,48,54,60)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0">
      <c r="A850">
        <f>Skills!A5</f>
        <v/>
      </c>
      <c r="B850">
        <f>Skills!B5</f>
        <v/>
      </c>
      <c r="C850">
        <f>Inputs!$B$3&gt;=45</f>
        <v/>
      </c>
      <c r="D850">
        <f>IF(Skills!C5=1,60+Inputs!$B$25+Inputs!$B$29,IF(Skills!C5=2,90+Inputs!$B$26+Inputs!$B$29,IF(Skills!C5=3,120+(Inputs!$B$27+1)+Inputs!$B$29,MAX(0,(Inputs!$B$3-100)*3)+Inputs!$B$28+Inputs!$B$29)))</f>
        <v/>
      </c>
      <c r="E850">
        <f>INDEX(FactorTable!$B$2:$Y$301, MATCH(ROUND(MIN(300,MAX(1,D850)),0), FactorTable!$A$2:$A$301,0), Skills!M5+1)</f>
        <v/>
      </c>
      <c r="F850">
        <f>IF(Skills!N5=TRUE,(Skills!L5/10)*(E850/1000),Skills!L5/10)+Skills!O5</f>
        <v/>
      </c>
      <c r="G850">
        <f>Skills!G5*IF(Skills!H5&gt;0,Skills!I5/Skills!H5,1)</f>
        <v/>
      </c>
      <c r="H850">
        <f>1-(1-Skills!J5/100)^Skills!K5</f>
        <v/>
      </c>
      <c r="I850" t="inlineStr">
        <is>
          <t>1</t>
        </is>
      </c>
      <c r="J850">
        <f>((Inputs!$B$6*(1+Inputs!$B$7/100))+(((Inputs!$B$12*(1+Inputs!$B$13/100))-(Inputs!$B$12*(1+Inputs!$B$13/100)))+0.25*(Inputs!$B$14-Inputs!$B$14))*(1+Inputs!$B$7/100))*(F850/100)</f>
        <v/>
      </c>
      <c r="K850">
        <f>J850*(1+((Inputs!$B$12*(1+Inputs!$B$13/100))*0.01+Inputs!$B$14*0.0025)/100)*(1+Inputs!$B$15/100)*(1+Inputs!$B$16/100)*(5000/(6000+Inputs!$B$42*(1-(100*(1-(1-(Inputs!$B$19+0)/100)*(1-CHOOSE(ArtifactsInput!$N$40+1,5,6,7,8,9,10)/100)^(ArtifactsInput!$M$40-ArtifactsInput!$M$40)))/100)))*(1+(Inputs!$B$24+((C871=TRUE)*(F871-Calc!F26))+B881)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861=TRUE,F861,0)/100)*(1+(IF(Skills!A5="EIGHT_LEGS_EASTON",Inputs!$B$17+((C868=TRUE)*(F868-Calc!F23))+((C872=TRUE)*(F872-Calc!F27))+(((IF(AND(ArtifactsInput!$M$42,((Inputs!$B$9+((C864=TRUE)*(F864-Calc!F19))+B875+(ArtifactsInput!$M$24-ArtifactsInput!$M$24)*CHOOSE(ArtifactsInput!$N$24+1,10,12,14,16,18,20)+IF(ArtifactsInput!$M$10,CHOOSE(ArtifactsInput!$N$10+1,15,18,21,24,27,30)*(IF(Inputs!$B$38="pvp",MIN(15,15)/15,IF(AND(Inputs!$B$38&lt;&gt;"pvp",Inputs!$B$43&gt;0),MIN(15,Inputs!$B$43)/(Inputs!$B$43),0))),0)))&gt;=100),MIN(100,((Inputs!$B$9+((C864=TRUE)*(F864-Calc!F19))+B875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864=TRUE)*(F864-Calc!F19))+B875+(ArtifactsInput!$M$24-ArtifactsInput!$M$24)*CHOOSE(ArtifactsInput!$N$24+1,10,12,14,16,18,20)+IF(ArtifactsInput!$M$10,CHOOSE(ArtifactsInput!$N$10+1,15,18,21,24,27,30)*(IF(Inputs!$B$38="pvp",MIN(15,15)/15,IF(AND(Inputs!$B$38&lt;&gt;"pvp",Inputs!$B$43&gt;0),MIN(15,Inputs!$B$43)/(Inputs!$B$43),0))),0)))&gt;=100),CHOOSE(ArtifactsInput!$N$42+1,40,48,56,64,72,80),0))))/100)*((1+(((C862=TRUE)*F862)+((C869=TRUE)*(F869-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850)</f>
        <v/>
      </c>
      <c r="L850">
        <f>K850*(MIN(Inputs!$B$22+((C867=TRUE)*(F867-Calc!F22)),(Inputs!$B$23+0+(IF(ArtifactsInput!$M$15,CHOOSE(ArtifactsInput!$N$15+1,25,30,35,40,45,50)/100*(Inputs!$B$11-Inputs!$B$11),0))))/100+(Inputs!$B$23+0+(IF(ArtifactsInput!$M$15,CHOOSE(ArtifactsInput!$N$15+1,25,30,35,40,45,50)/100*(Inputs!$B$11-Inputs!$B$11),0)))/100)/2</f>
        <v/>
      </c>
      <c r="M850">
        <f>L850*(1+(Inputs!$B$10+((C870=TRUE)*(F870-Calc!F25))+B880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0">
        <f>L850*(1-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850*(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0">
        <f>(1-Summary!$B$11)*T850+Summary!$B$11*V850</f>
        <v/>
      </c>
      <c r="P850">
        <f>IF(B885=0,0,O850/B885)</f>
        <v/>
      </c>
      <c r="Q850">
        <f>IFERROR(1/(IF(Inputs!$B$38="pvp",15,MAX(0.1,Skills!D5-IF(Skills!E5=TRUE,Inputs!$B$32,0)))*(1-IF(AND(ArtifactsInput!$M$27,Inputs!$B$4="Chapter Hunt"),CHOOSE(ArtifactsInput!$N$27+1,20,24,28,32,36,40),0)/100)),0)</f>
        <v/>
      </c>
      <c r="R850">
        <f>IF(AND(Inputs!$B$38&lt;&gt;"pvp",Inputs!$B$43&gt;0),IF(MAX(0,Inputs!$B$43-B882)&lt;=0,0,(INT(MAX(0,Inputs!$B$43-B882)/(IF(Inputs!$B$38="pvp",15,MAX(0.1,Skills!D5-IF(Skills!E5=TRUE,Inputs!$B$32,0)))*(1-IF(AND(ArtifactsInput!$M$27,Inputs!$B$4="Chapter Hunt"),CHOOSE(ArtifactsInput!$N$27+1,20,24,28,32,36,40),0)/100)))+1)),0)</f>
        <v/>
      </c>
      <c r="S850">
        <f>IFERROR(O850/N850,0)</f>
        <v/>
      </c>
      <c r="T850">
        <f>IF(C850,(H850*N850*IF(AND(Inputs!$B$38&lt;&gt;"pvp",Inputs!$B$43&gt;0),((Skills!G5*((R850-1)*IF(Skills!H5&gt;0,Skills!I5/Skills!H5,1)+IF(Skills!H5&gt;0,MIN(Skills!I5,MAX(0,MAX(0,Inputs!$B$43-B882)-((R850-1)*(IF(Inputs!$B$38="pvp",15,MAX(0.1,Skills!D5-IF(Skills!E5=TRUE,Inputs!$B$32,0)))*(1-IF(AND(ArtifactsInput!$M$27,Inputs!$B$4="Chapter Hunt"),CHOOSE(ArtifactsInput!$N$27+1,20,24,28,32,36,40),0)/100)))))/Skills!H5,1)))/Inputs!$B$43),G850*Q850)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850*(1-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850*(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850*(1-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850*(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0">
        <f>IF(C850,(H850*N850*IF(AND(Inputs!$B$38&lt;&gt;"pvp",Inputs!$B$43&gt;0),((Skills!G5*((R850-1)*IF(Skills!H5&gt;0,Skills!I5/Skills!H5,1)+IF(Skills!H5&gt;0,MIN(Skills!I5,MAX(0,MAX(0,Inputs!$B$43-B882)-((R850-1)*(IF(Inputs!$B$38="pvp",15,MAX(0.1,Skills!D5-IF(Skills!E5=TRUE,Inputs!$B$32,0)))*(1-IF(AND(ArtifactsInput!$M$27,Inputs!$B$4="Chapter Hunt"),CHOOSE(ArtifactsInput!$N$27+1,20,24,28,32,36,40),0)/100)))))/Skills!H5,1)))/Inputs!$B$43),G850*Q850))*IF(Inputs!$B$38="pvp",1,(1+(Inputs!$B$21+Skills!Q5+(IF(ArtifactsInput!$M$33,CHOOSE(ArtifactsInput!$N$33+1,30,36,42,48,54,60)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1">
      <c r="A851">
        <f>Skills!A6</f>
        <v/>
      </c>
      <c r="B851">
        <f>Skills!B6</f>
        <v/>
      </c>
      <c r="C851">
        <f>Inputs!$B$3&gt;=63</f>
        <v/>
      </c>
      <c r="D851">
        <f>IF(Skills!C6=1,60+Inputs!$B$25+Inputs!$B$29,IF(Skills!C6=2,90+Inputs!$B$26+Inputs!$B$29,IF(Skills!C6=3,120+(Inputs!$B$27+1)+Inputs!$B$29,MAX(0,(Inputs!$B$3-100)*3)+Inputs!$B$28+Inputs!$B$29)))</f>
        <v/>
      </c>
      <c r="E851">
        <f>INDEX(FactorTable!$B$2:$Y$301, MATCH(ROUND(MIN(300,MAX(1,D851)),0), FactorTable!$A$2:$A$301,0), Skills!M6+1)</f>
        <v/>
      </c>
      <c r="F851">
        <f>IF(Skills!N6=TRUE,(Skills!L6/10)*(E851/1000),Skills!L6/10)+Skills!O6</f>
        <v/>
      </c>
      <c r="G851">
        <f>Skills!G6*IF(Skills!H6&gt;0,Skills!I6/Skills!H6,1)</f>
        <v/>
      </c>
      <c r="H851">
        <f>1-(1-Skills!J6/100)^Skills!K6</f>
        <v/>
      </c>
      <c r="I851" t="inlineStr">
        <is>
          <t>1</t>
        </is>
      </c>
      <c r="J851">
        <f>((Inputs!$B$6*(1+Inputs!$B$7/100))+(((Inputs!$B$12*(1+Inputs!$B$13/100))-(Inputs!$B$12*(1+Inputs!$B$13/100)))+0.25*(Inputs!$B$14-Inputs!$B$14))*(1+Inputs!$B$7/100))*(F851/100)</f>
        <v/>
      </c>
      <c r="K851">
        <f>J851*(1+((Inputs!$B$12*(1+Inputs!$B$13/100))*0.01+Inputs!$B$14*0.0025)/100)*(1+Inputs!$B$15/100)*(1+Inputs!$B$16/100)*(5000/(6000+Inputs!$B$42*(1-(100*(1-(1-(Inputs!$B$19+0)/100)*(1-CHOOSE(ArtifactsInput!$N$40+1,5,6,7,8,9,10)/100)^(ArtifactsInput!$M$40-ArtifactsInput!$M$40)))/100)))*(1+(Inputs!$B$24+((C871=TRUE)*(F871-Calc!F26))+B881)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860=TRUE,F860,0)/100)*(1+(IF(Skills!A6="EIGHT_LEGS_EASTON",Inputs!$B$17+((C868=TRUE)*(F868-Calc!F23))+((C872=TRUE)*(F872-Calc!F27))+(((IF(AND(ArtifactsInput!$M$42,((Inputs!$B$9+((C864=TRUE)*(F864-Calc!F19))+B875+(ArtifactsInput!$M$24-ArtifactsInput!$M$24)*CHOOSE(ArtifactsInput!$N$24+1,10,12,14,16,18,20)+IF(ArtifactsInput!$M$10,CHOOSE(ArtifactsInput!$N$10+1,15,18,21,24,27,30)*(IF(Inputs!$B$38="pvp",MIN(15,15)/15,IF(AND(Inputs!$B$38&lt;&gt;"pvp",Inputs!$B$43&gt;0),MIN(15,Inputs!$B$43)/(Inputs!$B$43),0))),0)))&gt;=100),MIN(100,((Inputs!$B$9+((C864=TRUE)*(F864-Calc!F19))+B875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864=TRUE)*(F864-Calc!F19))+B875+(ArtifactsInput!$M$24-ArtifactsInput!$M$24)*CHOOSE(ArtifactsInput!$N$24+1,10,12,14,16,18,20)+IF(ArtifactsInput!$M$10,CHOOSE(ArtifactsInput!$N$10+1,15,18,21,24,27,30)*(IF(Inputs!$B$38="pvp",MIN(15,15)/15,IF(AND(Inputs!$B$38&lt;&gt;"pvp",Inputs!$B$43&gt;0),MIN(15,Inputs!$B$43)/(Inputs!$B$43),0))),0)))&gt;=100),CHOOSE(ArtifactsInput!$N$42+1,40,48,56,64,72,80),0))))/100)*((1+(((C862=TRUE)*F862)+((C869=TRUE)*(F869-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851)</f>
        <v/>
      </c>
      <c r="L851">
        <f>K851*(MIN(Inputs!$B$22+((C867=TRUE)*(F867-Calc!F22)),(Inputs!$B$23+0+(IF(ArtifactsInput!$M$15,CHOOSE(ArtifactsInput!$N$15+1,25,30,35,40,45,50)/100*(Inputs!$B$11-Inputs!$B$11),0))))/100+(Inputs!$B$23+0+(IF(ArtifactsInput!$M$15,CHOOSE(ArtifactsInput!$N$15+1,25,30,35,40,45,50)/100*(Inputs!$B$11-Inputs!$B$11),0)))/100)/2</f>
        <v/>
      </c>
      <c r="M851">
        <f>L851*(1+(Inputs!$B$10+((C870=TRUE)*(F870-Calc!F25))+B880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1">
        <f>L851*(1-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851*(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1">
        <f>(1-Summary!$B$11)*T851+Summary!$B$11*V851</f>
        <v/>
      </c>
      <c r="P851">
        <f>IF(B885=0,0,O851/B885)</f>
        <v/>
      </c>
      <c r="Q851">
        <f>IFERROR(1/(IF(Inputs!$B$38="pvp",15,MAX(0.1,Skills!D6-IF(Skills!E6=TRUE,Inputs!$B$32,0)))*(1-IF(AND(ArtifactsInput!$M$27,Inputs!$B$4="Chapter Hunt"),CHOOSE(ArtifactsInput!$N$27+1,20,24,28,32,36,40),0)/100)),0)</f>
        <v/>
      </c>
      <c r="R851">
        <f>IF(AND(Inputs!$B$38&lt;&gt;"pvp",Inputs!$B$43&gt;0),IF(MAX(0,Inputs!$B$43-B882)&lt;=0,0,(INT(MAX(0,Inputs!$B$43-B882)/(IF(Inputs!$B$38="pvp",15,MAX(0.1,Skills!D6-IF(Skills!E6=TRUE,Inputs!$B$32,0)))*(1-IF(AND(ArtifactsInput!$M$27,Inputs!$B$4="Chapter Hunt"),CHOOSE(ArtifactsInput!$N$27+1,20,24,28,32,36,40),0)/100)))+1)),0)</f>
        <v/>
      </c>
      <c r="S851">
        <f>IFERROR(O851/N851,0)</f>
        <v/>
      </c>
      <c r="T851">
        <f>IF(C851,(H851*N851*IF(AND(Inputs!$B$38&lt;&gt;"pvp",Inputs!$B$43&gt;0),((Skills!G6*((R851-1)*IF(Skills!H6&gt;0,Skills!I6/Skills!H6,1)+IF(Skills!H6&gt;0,MIN(Skills!I6,MAX(0,MAX(0,Inputs!$B$43-B882)-((R851-1)*(IF(Inputs!$B$38="pvp",15,MAX(0.1,Skills!D6-IF(Skills!E6=TRUE,Inputs!$B$32,0)))*(1-IF(AND(ArtifactsInput!$M$27,Inputs!$B$4="Chapter Hunt"),CHOOSE(ArtifactsInput!$N$27+1,20,24,28,32,36,40),0)/100)))))/Skills!H6,1)))/Inputs!$B$43),G851*Q851)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851*(1-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851*(1-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1">
        <f>IF(C851,(H851*N851*IF(AND(Inputs!$B$38&lt;&gt;"pvp",Inputs!$B$43&gt;0),((Skills!G6*((R851-1)*IF(Skills!H6&gt;0,Skills!I6/Skills!H6,1)+IF(Skills!H6&gt;0,MIN(Skills!I6,MAX(0,MAX(0,Inputs!$B$43-B882)-((R851-1)*(IF(Inputs!$B$38="pvp",15,MAX(0.1,Skills!D6-IF(Skills!E6=TRUE,Inputs!$B$32,0)))*(1-IF(AND(ArtifactsInput!$M$27,Inputs!$B$4="Chapter Hunt"),CHOOSE(ArtifactsInput!$N$27+1,20,24,28,32,36,40),0)/100)))))/Skills!H6,1)))/Inputs!$B$43),G851*Q851))*IF(Inputs!$B$38="pvp",1,(1+(Inputs!$B$21+Skills!Q6+(IF(ArtifactsInput!$M$33,CHOOSE(ArtifactsInput!$N$33+1,30,36,42,48,54,60)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2">
      <c r="A852">
        <f>Skills!A7</f>
        <v/>
      </c>
      <c r="B852">
        <f>Skills!B7</f>
        <v/>
      </c>
      <c r="C852">
        <f>Inputs!$B$3&gt;=66</f>
        <v/>
      </c>
      <c r="D852">
        <f>IF(Skills!C7=1,60+Inputs!$B$25+Inputs!$B$29,IF(Skills!C7=2,90+Inputs!$B$26+Inputs!$B$29,IF(Skills!C7=3,120+(Inputs!$B$27+1)+Inputs!$B$29,MAX(0,(Inputs!$B$3-100)*3)+Inputs!$B$28+Inputs!$B$29)))</f>
        <v/>
      </c>
      <c r="E852">
        <f>INDEX(FactorTable!$B$2:$Y$301, MATCH(ROUND(MIN(300,MAX(1,D852)),0), FactorTable!$A$2:$A$301,0), Skills!M7+1)</f>
        <v/>
      </c>
      <c r="F852">
        <f>IF(Skills!N7=TRUE,(Skills!L7/10)*(E852/1000),Skills!L7/10)+Skills!O7</f>
        <v/>
      </c>
      <c r="G852">
        <f>Skills!G7*IF(Skills!H7&gt;0,Skills!I7/Skills!H7,1)</f>
        <v/>
      </c>
      <c r="H852">
        <f>1-(1-Skills!J7/100)^Skills!K7</f>
        <v/>
      </c>
      <c r="I852" t="inlineStr">
        <is>
          <t>1</t>
        </is>
      </c>
      <c r="J852">
        <f>((Inputs!$B$6*(1+Inputs!$B$7/100))+(((Inputs!$B$12*(1+Inputs!$B$13/100))-(Inputs!$B$12*(1+Inputs!$B$13/100)))+0.25*(Inputs!$B$14-Inputs!$B$14))*(1+Inputs!$B$7/100))*(F852/100)</f>
        <v/>
      </c>
      <c r="K852">
        <f>J852*(1+((Inputs!$B$12*(1+Inputs!$B$13/100))*0.01+Inputs!$B$14*0.0025)/100)*(1+Inputs!$B$15/100)*(1+Inputs!$B$16/100)*(5000/(6000+Inputs!$B$42*(1-(100*(1-(1-(Inputs!$B$19+0)/100)*(1-CHOOSE(ArtifactsInput!$N$40+1,5,6,7,8,9,10)/100)^(ArtifactsInput!$M$40-ArtifactsInput!$M$40)))/100)))*(1+(Inputs!$B$24+((C871=TRUE)*(F871-Calc!F26))+B881)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860=TRUE,F860,0)/100)*(1+(IF(Skills!A7="EIGHT_LEGS_EASTON",Inputs!$B$17+((C868=TRUE)*(F868-Calc!F23))+((C872=TRUE)*(F872-Calc!F27))+(((IF(AND(ArtifactsInput!$M$42,((Inputs!$B$9+((C864=TRUE)*(F864-Calc!F19))+B875+(ArtifactsInput!$M$24-ArtifactsInput!$M$24)*CHOOSE(ArtifactsInput!$N$24+1,10,12,14,16,18,20)+IF(ArtifactsInput!$M$10,CHOOSE(ArtifactsInput!$N$10+1,15,18,21,24,27,30)*(IF(Inputs!$B$38="pvp",MIN(15,15)/15,IF(AND(Inputs!$B$38&lt;&gt;"pvp",Inputs!$B$43&gt;0),MIN(15,Inputs!$B$43)/(Inputs!$B$43),0))),0)))&gt;=100),MIN(100,((Inputs!$B$9+((C864=TRUE)*(F864-Calc!F19))+B875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864=TRUE)*(F864-Calc!F19))+B875+(ArtifactsInput!$M$24-ArtifactsInput!$M$24)*CHOOSE(ArtifactsInput!$N$24+1,10,12,14,16,18,20)+IF(ArtifactsInput!$M$10,CHOOSE(ArtifactsInput!$N$10+1,15,18,21,24,27,30)*(IF(Inputs!$B$38="pvp",MIN(15,15)/15,IF(AND(Inputs!$B$38&lt;&gt;"pvp",Inputs!$B$43&gt;0),MIN(15,Inputs!$B$43)/(Inputs!$B$43),0))),0)))&gt;=100),CHOOSE(ArtifactsInput!$N$42+1,40,48,56,64,72,80),0))))/100)*((1+(((C862=TRUE)*F862)+((C869=TRUE)*(F869-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852)</f>
        <v/>
      </c>
      <c r="L852">
        <f>K852*(MIN(Inputs!$B$22+((C867=TRUE)*(F867-Calc!F22)),(Inputs!$B$23+0+(IF(ArtifactsInput!$M$15,CHOOSE(ArtifactsInput!$N$15+1,25,30,35,40,45,50)/100*(Inputs!$B$11-Inputs!$B$11),0))))/100+(Inputs!$B$23+0+(IF(ArtifactsInput!$M$15,CHOOSE(ArtifactsInput!$N$15+1,25,30,35,40,45,50)/100*(Inputs!$B$11-Inputs!$B$11),0)))/100)/2</f>
        <v/>
      </c>
      <c r="M852">
        <f>L852*(1+(Inputs!$B$10+((C870=TRUE)*(F870-Calc!F25))+B880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2">
        <f>L852*(1-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852*(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2">
        <f>(1-Summary!$B$11)*T852+Summary!$B$11*V852</f>
        <v/>
      </c>
      <c r="P852">
        <f>IF(B885=0,0,O852/B885)</f>
        <v/>
      </c>
      <c r="Q852">
        <f>IFERROR(1/(IF(Inputs!$B$38="pvp",15,MAX(0.1,Skills!D7-IF(Skills!E7=TRUE,Inputs!$B$32,0)))*(1-IF(AND(ArtifactsInput!$M$27,Inputs!$B$4="Chapter Hunt"),CHOOSE(ArtifactsInput!$N$27+1,20,24,28,32,36,40),0)/100)),0)</f>
        <v/>
      </c>
      <c r="R852">
        <f>IF(AND(Inputs!$B$38&lt;&gt;"pvp",Inputs!$B$43&gt;0),IF(MAX(0,Inputs!$B$43-B882)&lt;=0,0,(INT(MAX(0,Inputs!$B$43-B882)/(IF(Inputs!$B$38="pvp",15,MAX(0.1,Skills!D7-IF(Skills!E7=TRUE,Inputs!$B$32,0)))*(1-IF(AND(ArtifactsInput!$M$27,Inputs!$B$4="Chapter Hunt"),CHOOSE(ArtifactsInput!$N$27+1,20,24,28,32,36,40),0)/100)))+1)),0)</f>
        <v/>
      </c>
      <c r="S852">
        <f>IFERROR(O852/N852,0)</f>
        <v/>
      </c>
      <c r="T852">
        <f>IF(C852,(H852*N852*IF(AND(Inputs!$B$38&lt;&gt;"pvp",Inputs!$B$43&gt;0),((Skills!G7*((R852-1)*IF(Skills!H7&gt;0,Skills!I7/Skills!H7,1)+IF(Skills!H7&gt;0,MIN(Skills!I7,MAX(0,MAX(0,Inputs!$B$43-B882)-((R852-1)*(IF(Inputs!$B$38="pvp",15,MAX(0.1,Skills!D7-IF(Skills!E7=TRUE,Inputs!$B$32,0)))*(1-IF(AND(ArtifactsInput!$M$27,Inputs!$B$4="Chapter Hunt"),CHOOSE(ArtifactsInput!$N$27+1,20,24,28,32,36,40),0)/100)))))/Skills!H7,1)))/Inputs!$B$43),G852*Q852)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852*(1-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852*(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852*(1-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852*(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2">
        <f>IF(C852,(H852*N852*IF(AND(Inputs!$B$38&lt;&gt;"pvp",Inputs!$B$43&gt;0),((Skills!G7*((R852-1)*IF(Skills!H7&gt;0,Skills!I7/Skills!H7,1)+IF(Skills!H7&gt;0,MIN(Skills!I7,MAX(0,MAX(0,Inputs!$B$43-B882)-((R852-1)*(IF(Inputs!$B$38="pvp",15,MAX(0.1,Skills!D7-IF(Skills!E7=TRUE,Inputs!$B$32,0)))*(1-IF(AND(ArtifactsInput!$M$27,Inputs!$B$4="Chapter Hunt"),CHOOSE(ArtifactsInput!$N$27+1,20,24,28,32,36,40),0)/100)))))/Skills!H7,1)))/Inputs!$B$43),G852*Q852))*IF(Inputs!$B$38="pvp",1,(1+(Inputs!$B$21+Skills!Q7+(IF(ArtifactsInput!$M$33,CHOOSE(ArtifactsInput!$N$33+1,30,36,42,48,54,60)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3">
      <c r="A853">
        <f>Skills!A8</f>
        <v/>
      </c>
      <c r="B853">
        <f>Skills!B8</f>
        <v/>
      </c>
      <c r="C853">
        <f>Inputs!$B$3&gt;=100</f>
        <v/>
      </c>
      <c r="D853">
        <f>IF(Skills!C8=1,60+Inputs!$B$25+Inputs!$B$29,IF(Skills!C8=2,90+Inputs!$B$26+Inputs!$B$29,IF(Skills!C8=3,120+(Inputs!$B$27+1)+Inputs!$B$29,MAX(0,(Inputs!$B$3-100)*3)+Inputs!$B$28+Inputs!$B$29)))</f>
        <v/>
      </c>
      <c r="E853">
        <f>INDEX(FactorTable!$B$2:$Y$301, MATCH(ROUND(MIN(300,MAX(1,D853)),0), FactorTable!$A$2:$A$301,0), Skills!M8+1)</f>
        <v/>
      </c>
      <c r="F853">
        <f>IF(Skills!N8=TRUE,(Skills!L8/10)*(E853/1000),Skills!L8/10)+Skills!O8</f>
        <v/>
      </c>
      <c r="G853">
        <f>Skills!G8*IF(Skills!H8&gt;0,Skills!I8/Skills!H8,1)</f>
        <v/>
      </c>
      <c r="H853">
        <f>1-(1-Skills!J8/100)^Skills!K8</f>
        <v/>
      </c>
      <c r="I853" t="inlineStr">
        <is>
          <t>1</t>
        </is>
      </c>
      <c r="J853">
        <f>((Inputs!$B$6*(1+Inputs!$B$7/100))+(((Inputs!$B$12*(1+Inputs!$B$13/100))-(Inputs!$B$12*(1+Inputs!$B$13/100)))+0.25*(Inputs!$B$14-Inputs!$B$14))*(1+Inputs!$B$7/100))*(F853/100)</f>
        <v/>
      </c>
      <c r="K853">
        <f>J853*(1+((Inputs!$B$12*(1+Inputs!$B$13/100))*0.01+Inputs!$B$14*0.0025)/100)*(1+Inputs!$B$15/100)*(1+Inputs!$B$16/100)*(5000/(6000+Inputs!$B$42*(1-(100*(1-(1-(Inputs!$B$19+0)/100)*(1-CHOOSE(ArtifactsInput!$N$40+1,5,6,7,8,9,10)/100)^(ArtifactsInput!$M$40-ArtifactsInput!$M$40)))/100)))*(1+(Inputs!$B$24+((C871=TRUE)*(F871-Calc!F26))+B881)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868=TRUE)*(F868-Calc!F23))+((C872=TRUE)*(F872-Calc!F27))+(((IF(AND(ArtifactsInput!$M$42,((Inputs!$B$9+((C864=TRUE)*(F864-Calc!F19))+B875+(ArtifactsInput!$M$24-ArtifactsInput!$M$24)*CHOOSE(ArtifactsInput!$N$24+1,10,12,14,16,18,20)+IF(ArtifactsInput!$M$10,CHOOSE(ArtifactsInput!$N$10+1,15,18,21,24,27,30)*(IF(Inputs!$B$38="pvp",MIN(15,15)/15,IF(AND(Inputs!$B$38&lt;&gt;"pvp",Inputs!$B$43&gt;0),MIN(15,Inputs!$B$43)/(Inputs!$B$43),0))),0)))&gt;=100),MIN(100,((Inputs!$B$9+((C864=TRUE)*(F864-Calc!F19))+B875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864=TRUE)*(F864-Calc!F19))+B875+(ArtifactsInput!$M$24-ArtifactsInput!$M$24)*CHOOSE(ArtifactsInput!$N$24+1,10,12,14,16,18,20)+IF(ArtifactsInput!$M$10,CHOOSE(ArtifactsInput!$N$10+1,15,18,21,24,27,30)*(IF(Inputs!$B$38="pvp",MIN(15,15)/15,IF(AND(Inputs!$B$38&lt;&gt;"pvp",Inputs!$B$43&gt;0),MIN(15,Inputs!$B$43)/(Inputs!$B$43),0))),0)))&gt;=100),CHOOSE(ArtifactsInput!$N$42+1,40,48,56,64,72,80),0))))/100)*((1+(((C862=TRUE)*F862)+((C869=TRUE)*(F869-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853)</f>
        <v/>
      </c>
      <c r="L853">
        <f>K853*(MIN(Inputs!$B$22+((C867=TRUE)*(F867-Calc!F22)),(Inputs!$B$23+0+(IF(ArtifactsInput!$M$15,CHOOSE(ArtifactsInput!$N$15+1,25,30,35,40,45,50)/100*(Inputs!$B$11-Inputs!$B$11),0))))/100+(Inputs!$B$23+0+(IF(ArtifactsInput!$M$15,CHOOSE(ArtifactsInput!$N$15+1,25,30,35,40,45,50)/100*(Inputs!$B$11-Inputs!$B$11),0)))/100)/2</f>
        <v/>
      </c>
      <c r="M853">
        <f>L853*(1+(Inputs!$B$10+((C870=TRUE)*(F870-Calc!F25))+B880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3">
        <f>L853*(1-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853*(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3">
        <f>(1-Summary!$B$11)*T853+Summary!$B$11*V853</f>
        <v/>
      </c>
      <c r="P853">
        <f>IF(B885=0,0,O853/B885)</f>
        <v/>
      </c>
      <c r="Q853">
        <f>IFERROR(1/(IF(Inputs!$B$38="pvp",15,MAX(0.1,Skills!D8-IF(Skills!E8=TRUE,Inputs!$B$32,0)))*(1-IF(AND(ArtifactsInput!$M$27,Inputs!$B$4="Chapter Hunt"),CHOOSE(ArtifactsInput!$N$27+1,20,24,28,32,36,40),0)/100)),0)</f>
        <v/>
      </c>
      <c r="R853">
        <f>IF(AND(Inputs!$B$38&lt;&gt;"pvp",Inputs!$B$43&gt;0),IF(MAX(0,Inputs!$B$43-B882)&lt;=0,0,(INT(MAX(0,Inputs!$B$43-B882)/(IF(Inputs!$B$38="pvp",15,MAX(0.1,Skills!D8-IF(Skills!E8=TRUE,Inputs!$B$32,0)))*(1-IF(AND(ArtifactsInput!$M$27,Inputs!$B$4="Chapter Hunt"),CHOOSE(ArtifactsInput!$N$27+1,20,24,28,32,36,40),0)/100)))+1)),0)</f>
        <v/>
      </c>
      <c r="S853">
        <f>IFERROR(O853/N853,0)</f>
        <v/>
      </c>
      <c r="T853">
        <f>IF(C853,(H853*N853*IF(AND(Inputs!$B$38&lt;&gt;"pvp",Inputs!$B$43&gt;0),((Skills!G8*((R853-1)*IF(Skills!H8&gt;0,Skills!I8/Skills!H8,1)+IF(Skills!H8&gt;0,MIN(Skills!I8,MAX(0,MAX(0,Inputs!$B$43-B882)-((R853-1)*(IF(Inputs!$B$38="pvp",15,MAX(0.1,Skills!D8-IF(Skills!E8=TRUE,Inputs!$B$32,0)))*(1-IF(AND(ArtifactsInput!$M$27,Inputs!$B$4="Chapter Hunt"),CHOOSE(ArtifactsInput!$N$27+1,20,24,28,32,36,40),0)/100)))))/Skills!H8,1)))/Inputs!$B$43),G853*Q853)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853*(1-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853*(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853*(1-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853*(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3">
        <f>IF(C853,(H853*N853*IF(AND(Inputs!$B$38&lt;&gt;"pvp",Inputs!$B$43&gt;0),((Skills!G8*((R853-1)*IF(Skills!H8&gt;0,Skills!I8/Skills!H8,1)+IF(Skills!H8&gt;0,MIN(Skills!I8,MAX(0,MAX(0,Inputs!$B$43-B882)-((R853-1)*(IF(Inputs!$B$38="pvp",15,MAX(0.1,Skills!D8-IF(Skills!E8=TRUE,Inputs!$B$32,0)))*(1-IF(AND(ArtifactsInput!$M$27,Inputs!$B$4="Chapter Hunt"),CHOOSE(ArtifactsInput!$N$27+1,20,24,28,32,36,40),0)/100)))))/Skills!H8,1)))/Inputs!$B$43),G853*Q853))*IF(Inputs!$B$38="pvp",1,(1+(Inputs!$B$21+Skills!Q8+(IF(ArtifactsInput!$M$33,CHOOSE(ArtifactsInput!$N$33+1,30,36,42,48,54,60)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4">
      <c r="A854">
        <f>Skills!A9</f>
        <v/>
      </c>
      <c r="B854">
        <f>Skills!B9</f>
        <v/>
      </c>
      <c r="C854">
        <f>Inputs!$B$3&gt;=103</f>
        <v/>
      </c>
      <c r="D854">
        <f>IF(Skills!C9=1,60+Inputs!$B$25+Inputs!$B$29,IF(Skills!C9=2,90+Inputs!$B$26+Inputs!$B$29,IF(Skills!C9=3,120+(Inputs!$B$27+1)+Inputs!$B$29,MAX(0,(Inputs!$B$3-100)*3)+Inputs!$B$28+Inputs!$B$29)))</f>
        <v/>
      </c>
      <c r="E854">
        <f>INDEX(FactorTable!$B$2:$Y$301, MATCH(ROUND(MIN(300,MAX(1,D854)),0), FactorTable!$A$2:$A$301,0), Skills!M9+1)</f>
        <v/>
      </c>
      <c r="F854">
        <f>IF(Skills!N9=TRUE,(Skills!L9/10)*(E854/1000),Skills!L9/10)+Skills!O9</f>
        <v/>
      </c>
      <c r="G854">
        <f>Skills!G9*IF(Skills!H9&gt;0,Skills!I9/Skills!H9,1)</f>
        <v/>
      </c>
      <c r="H854">
        <f>1-(1-Skills!J9/100)^Skills!K9</f>
        <v/>
      </c>
      <c r="I854" t="inlineStr">
        <is>
          <t>1</t>
        </is>
      </c>
      <c r="J854">
        <f>((Inputs!$B$6*(1+Inputs!$B$7/100))+(((Inputs!$B$12*(1+Inputs!$B$13/100))-(Inputs!$B$12*(1+Inputs!$B$13/100)))+0.25*(Inputs!$B$14-Inputs!$B$14))*(1+Inputs!$B$7/100))*(F854/100)</f>
        <v/>
      </c>
      <c r="K854">
        <f>J854*(1+((Inputs!$B$12*(1+Inputs!$B$13/100))*0.01+Inputs!$B$14*0.0025)/100)*(1+Inputs!$B$15/100)*(1+Inputs!$B$16/100)*(5000/(6000+Inputs!$B$42*(1-(100*(1-(1-(Inputs!$B$19+0)/100)*(1-CHOOSE(ArtifactsInput!$N$40+1,5,6,7,8,9,10)/100)^(ArtifactsInput!$M$40-ArtifactsInput!$M$40)))/100)))*(1+(Inputs!$B$24+((C871=TRUE)*(F871-Calc!F26))+B881)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868=TRUE)*(F868-Calc!F23))+((C872=TRUE)*(F872-Calc!F27))+(((IF(AND(ArtifactsInput!$M$42,((Inputs!$B$9+((C864=TRUE)*(F864-Calc!F19))+B875+(ArtifactsInput!$M$24-ArtifactsInput!$M$24)*CHOOSE(ArtifactsInput!$N$24+1,10,12,14,16,18,20)+IF(ArtifactsInput!$M$10,CHOOSE(ArtifactsInput!$N$10+1,15,18,21,24,27,30)*(IF(Inputs!$B$38="pvp",MIN(15,15)/15,IF(AND(Inputs!$B$38&lt;&gt;"pvp",Inputs!$B$43&gt;0),MIN(15,Inputs!$B$43)/(Inputs!$B$43),0))),0)))&gt;=100),MIN(100,((Inputs!$B$9+((C864=TRUE)*(F864-Calc!F19))+B875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864=TRUE)*(F864-Calc!F19))+B875+(ArtifactsInput!$M$24-ArtifactsInput!$M$24)*CHOOSE(ArtifactsInput!$N$24+1,10,12,14,16,18,20)+IF(ArtifactsInput!$M$10,CHOOSE(ArtifactsInput!$N$10+1,15,18,21,24,27,30)*(IF(Inputs!$B$38="pvp",MIN(15,15)/15,IF(AND(Inputs!$B$38&lt;&gt;"pvp",Inputs!$B$43&gt;0),MIN(15,Inputs!$B$43)/(Inputs!$B$43),0))),0)))&gt;=100),CHOOSE(ArtifactsInput!$N$42+1,40,48,56,64,72,80),0))))/100)*((1+(((C862=TRUE)*F862)+((C869=TRUE)*(F869-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854)</f>
        <v/>
      </c>
      <c r="L854">
        <f>K854*(MIN(Inputs!$B$22+((C867=TRUE)*(F867-Calc!F22)),(Inputs!$B$23+0+(IF(ArtifactsInput!$M$15,CHOOSE(ArtifactsInput!$N$15+1,25,30,35,40,45,50)/100*(Inputs!$B$11-Inputs!$B$11),0))))/100+(Inputs!$B$23+0+(IF(ArtifactsInput!$M$15,CHOOSE(ArtifactsInput!$N$15+1,25,30,35,40,45,50)/100*(Inputs!$B$11-Inputs!$B$11),0)))/100)/2</f>
        <v/>
      </c>
      <c r="M854">
        <f>L854*(1+(Inputs!$B$10+((C870=TRUE)*(F870-Calc!F25))+B880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4">
        <f>L854*(1-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854*(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4">
        <f>(1-Summary!$B$11)*T854+Summary!$B$11*V854</f>
        <v/>
      </c>
      <c r="P854">
        <f>IF(B885=0,0,O854/B885)</f>
        <v/>
      </c>
      <c r="Q854">
        <f>IFERROR(1/(IF(Inputs!$B$38="pvp",15,MAX(0.1,Skills!D9-IF(Skills!E9=TRUE,Inputs!$B$32,0)))*(1-IF(AND(ArtifactsInput!$M$27,Inputs!$B$4="Chapter Hunt"),CHOOSE(ArtifactsInput!$N$27+1,20,24,28,32,36,40),0)/100)),0)</f>
        <v/>
      </c>
      <c r="R854">
        <f>IF(AND(Inputs!$B$38&lt;&gt;"pvp",Inputs!$B$43&gt;0),IF(MAX(0,Inputs!$B$43-B882)&lt;=0,0,(INT(MAX(0,Inputs!$B$43-B882)/(IF(Inputs!$B$38="pvp",15,MAX(0.1,Skills!D9-IF(Skills!E9=TRUE,Inputs!$B$32,0)))*(1-IF(AND(ArtifactsInput!$M$27,Inputs!$B$4="Chapter Hunt"),CHOOSE(ArtifactsInput!$N$27+1,20,24,28,32,36,40),0)/100)))+1)),0)</f>
        <v/>
      </c>
      <c r="S854">
        <f>IFERROR(O854/N854,0)</f>
        <v/>
      </c>
      <c r="T854">
        <f>IF(C854,(H854*N854*IF(AND(Inputs!$B$38&lt;&gt;"pvp",Inputs!$B$43&gt;0),((Skills!G9*((R854-1)*IF(Skills!H9&gt;0,Skills!I9/Skills!H9,1)+IF(Skills!H9&gt;0,MIN(Skills!I9,MAX(0,MAX(0,Inputs!$B$43-B882)-((R854-1)*(IF(Inputs!$B$38="pvp",15,MAX(0.1,Skills!D9-IF(Skills!E9=TRUE,Inputs!$B$32,0)))*(1-IF(AND(ArtifactsInput!$M$27,Inputs!$B$4="Chapter Hunt"),CHOOSE(ArtifactsInput!$N$27+1,20,24,28,32,36,40),0)/100)))))/Skills!H9,1)))/Inputs!$B$43),G854*Q854)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854*(1-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854*(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854*(1-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854*(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4">
        <f>IF(C854,(H854*N854*IF(AND(Inputs!$B$38&lt;&gt;"pvp",Inputs!$B$43&gt;0),((Skills!G9*((R854-1)*IF(Skills!H9&gt;0,Skills!I9/Skills!H9,1)+IF(Skills!H9&gt;0,MIN(Skills!I9,MAX(0,MAX(0,Inputs!$B$43-B882)-((R854-1)*(IF(Inputs!$B$38="pvp",15,MAX(0.1,Skills!D9-IF(Skills!E9=TRUE,Inputs!$B$32,0)))*(1-IF(AND(ArtifactsInput!$M$27,Inputs!$B$4="Chapter Hunt"),CHOOSE(ArtifactsInput!$N$27+1,20,24,28,32,36,40),0)/100)))))/Skills!H9,1)))/Inputs!$B$43),G854*Q854))*IF(Inputs!$B$38="pvp",1,(1+(Inputs!$B$21+Skills!Q9+(IF(ArtifactsInput!$M$33,CHOOSE(ArtifactsInput!$N$33+1,30,36,42,48,54,60)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5">
      <c r="A855">
        <f>Skills!A10</f>
        <v/>
      </c>
      <c r="B855">
        <f>Skills!B10</f>
        <v/>
      </c>
      <c r="C855">
        <f>Inputs!$B$3&gt;=113</f>
        <v/>
      </c>
      <c r="D855">
        <f>IF(Skills!C10=1,60+Inputs!$B$25+Inputs!$B$29,IF(Skills!C10=2,90+Inputs!$B$26+Inputs!$B$29,IF(Skills!C10=3,120+(Inputs!$B$27+1)+Inputs!$B$29,MAX(0,(Inputs!$B$3-100)*3)+Inputs!$B$28+Inputs!$B$29)))</f>
        <v/>
      </c>
      <c r="E855">
        <f>INDEX(FactorTable!$B$2:$Y$301, MATCH(ROUND(MIN(300,MAX(1,D855)),0), FactorTable!$A$2:$A$301,0), Skills!M10+1)</f>
        <v/>
      </c>
      <c r="F855">
        <f>IF(Skills!N10=TRUE,(Skills!L10/10)*(E855/1000),Skills!L10/10)+Skills!O10</f>
        <v/>
      </c>
      <c r="G855">
        <f>Skills!G10*IF(Skills!H10&gt;0,Skills!I10/Skills!H10,1)</f>
        <v/>
      </c>
      <c r="H855">
        <f>1-(1-Skills!J10/100)^Skills!K10</f>
        <v/>
      </c>
      <c r="I855" t="inlineStr">
        <is>
          <t>1</t>
        </is>
      </c>
      <c r="J855">
        <f>((Inputs!$B$6*(1+Inputs!$B$7/100))+(((Inputs!$B$12*(1+Inputs!$B$13/100))-(Inputs!$B$12*(1+Inputs!$B$13/100)))+0.25*(Inputs!$B$14-Inputs!$B$14))*(1+Inputs!$B$7/100))*(F855/100)</f>
        <v/>
      </c>
      <c r="K855">
        <f>J855*(1+((Inputs!$B$12*(1+Inputs!$B$13/100))*0.01+Inputs!$B$14*0.0025)/100)*(1+Inputs!$B$15/100)*(1+Inputs!$B$16/100)*(5000/(6000+Inputs!$B$42*(1-(100*(1-(1-(Inputs!$B$19+0)/100)*(1-CHOOSE(ArtifactsInput!$N$40+1,5,6,7,8,9,10)/100)^(ArtifactsInput!$M$40-ArtifactsInput!$M$40)))/100)))*(1+(Inputs!$B$24+((C871=TRUE)*(F871-Calc!F26))+B881)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868=TRUE)*(F868-Calc!F23))+((C872=TRUE)*(F872-Calc!F27))+(((IF(AND(ArtifactsInput!$M$42,((Inputs!$B$9+((C864=TRUE)*(F864-Calc!F19))+B875+(ArtifactsInput!$M$24-ArtifactsInput!$M$24)*CHOOSE(ArtifactsInput!$N$24+1,10,12,14,16,18,20)+IF(ArtifactsInput!$M$10,CHOOSE(ArtifactsInput!$N$10+1,15,18,21,24,27,30)*(IF(Inputs!$B$38="pvp",MIN(15,15)/15,IF(AND(Inputs!$B$38&lt;&gt;"pvp",Inputs!$B$43&gt;0),MIN(15,Inputs!$B$43)/(Inputs!$B$43),0))),0)))&gt;=100),MIN(100,((Inputs!$B$9+((C864=TRUE)*(F864-Calc!F19))+B875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864=TRUE)*(F864-Calc!F19))+B875+(ArtifactsInput!$M$24-ArtifactsInput!$M$24)*CHOOSE(ArtifactsInput!$N$24+1,10,12,14,16,18,20)+IF(ArtifactsInput!$M$10,CHOOSE(ArtifactsInput!$N$10+1,15,18,21,24,27,30)*(IF(Inputs!$B$38="pvp",MIN(15,15)/15,IF(AND(Inputs!$B$38&lt;&gt;"pvp",Inputs!$B$43&gt;0),MIN(15,Inputs!$B$43)/(Inputs!$B$43),0))),0)))&gt;=100),CHOOSE(ArtifactsInput!$N$42+1,40,48,56,64,72,80),0))))/100)*((1+(((C862=TRUE)*F862)+((C869=TRUE)*(F869-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855)</f>
        <v/>
      </c>
      <c r="L855">
        <f>K855*(MIN(Inputs!$B$22+((C867=TRUE)*(F867-Calc!F22)),(Inputs!$B$23+0+(IF(ArtifactsInput!$M$15,CHOOSE(ArtifactsInput!$N$15+1,25,30,35,40,45,50)/100*(Inputs!$B$11-Inputs!$B$11),0))))/100+(Inputs!$B$23+0+(IF(ArtifactsInput!$M$15,CHOOSE(ArtifactsInput!$N$15+1,25,30,35,40,45,50)/100*(Inputs!$B$11-Inputs!$B$11),0)))/100)/2</f>
        <v/>
      </c>
      <c r="M855">
        <f>L855*(1+(Inputs!$B$10+((C870=TRUE)*(F870-Calc!F25))+B880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5">
        <f>L855*(1-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855*(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5">
        <f>(1-Summary!$B$11)*T855+Summary!$B$11*V855</f>
        <v/>
      </c>
      <c r="P855">
        <f>IF(B885=0,0,O855/B885)</f>
        <v/>
      </c>
      <c r="Q855">
        <f>IFERROR(1/(IF(Inputs!$B$38="pvp",15,MAX(0.1,Skills!D10-IF(Skills!E10=TRUE,Inputs!$B$32,0)))*(1-IF(AND(ArtifactsInput!$M$27,Inputs!$B$4="Chapter Hunt"),CHOOSE(ArtifactsInput!$N$27+1,20,24,28,32,36,40),0)/100)),0)</f>
        <v/>
      </c>
      <c r="R855">
        <f>IF(AND(Inputs!$B$38&lt;&gt;"pvp",Inputs!$B$43&gt;0),IF(MAX(0,Inputs!$B$43-B882)&lt;=0,0,(INT(MAX(0,Inputs!$B$43-B882)/(IF(Inputs!$B$38="pvp",15,MAX(0.1,Skills!D10-IF(Skills!E10=TRUE,Inputs!$B$32,0)))*(1-IF(AND(ArtifactsInput!$M$27,Inputs!$B$4="Chapter Hunt"),CHOOSE(ArtifactsInput!$N$27+1,20,24,28,32,36,40),0)/100)))+1)),0)</f>
        <v/>
      </c>
      <c r="S855">
        <f>IFERROR(O855/N855,0)</f>
        <v/>
      </c>
      <c r="T855">
        <f>IF(C855,(H855*N855*IF(AND(Inputs!$B$38&lt;&gt;"pvp",Inputs!$B$43&gt;0),((Skills!G10*((R855-1)*IF(Skills!H10&gt;0,Skills!I10/Skills!H10,1)+IF(Skills!H10&gt;0,MIN(Skills!I10,MAX(0,MAX(0,Inputs!$B$43-B882)-((R855-1)*(IF(Inputs!$B$38="pvp",15,MAX(0.1,Skills!D10-IF(Skills!E10=TRUE,Inputs!$B$32,0)))*(1-IF(AND(ArtifactsInput!$M$27,Inputs!$B$4="Chapter Hunt"),CHOOSE(ArtifactsInput!$N$27+1,20,24,28,32,36,40),0)/100)))))/Skills!H10,1)))/Inputs!$B$43),G855*Q855)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855*(1-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855*(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855*(1-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855*(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5">
        <f>IF(C855,(H855*N855*IF(AND(Inputs!$B$38&lt;&gt;"pvp",Inputs!$B$43&gt;0),((Skills!G10*((R855-1)*IF(Skills!H10&gt;0,Skills!I10/Skills!H10,1)+IF(Skills!H10&gt;0,MIN(Skills!I10,MAX(0,MAX(0,Inputs!$B$43-B882)-((R855-1)*(IF(Inputs!$B$38="pvp",15,MAX(0.1,Skills!D10-IF(Skills!E10=TRUE,Inputs!$B$32,0)))*(1-IF(AND(ArtifactsInput!$M$27,Inputs!$B$4="Chapter Hunt"),CHOOSE(ArtifactsInput!$N$27+1,20,24,28,32,36,40),0)/100)))))/Skills!H10,1)))/Inputs!$B$43),G855*Q855))*IF(Inputs!$B$38="pvp",1,(1+(Inputs!$B$21+Skills!Q10+(IF(ArtifactsInput!$M$33,CHOOSE(ArtifactsInput!$N$33+1,30,36,42,48,54,60)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6">
      <c r="A856">
        <f>Skills!A11</f>
        <v/>
      </c>
      <c r="B856">
        <f>Skills!B11</f>
        <v/>
      </c>
      <c r="C856">
        <f>Inputs!$B$3&gt;=107</f>
        <v/>
      </c>
      <c r="D856">
        <f>IF(Skills!C11=1,60+Inputs!$B$25+Inputs!$B$29,IF(Skills!C11=2,90+Inputs!$B$26+Inputs!$B$29,IF(Skills!C11=3,120+(Inputs!$B$27+1)+Inputs!$B$29,MAX(0,(Inputs!$B$3-100)*3)+Inputs!$B$28+Inputs!$B$29)))</f>
        <v/>
      </c>
      <c r="E856">
        <f>INDEX(FactorTable!$B$2:$Y$301, MATCH(ROUND(MIN(300,MAX(1,D856)),0), FactorTable!$A$2:$A$301,0), Skills!M11+1)</f>
        <v/>
      </c>
      <c r="F856">
        <f>IF(Skills!N11=TRUE,(Skills!L11/10)*(E856/1000),Skills!L11/10)+Skills!O11</f>
        <v/>
      </c>
      <c r="G856">
        <f>Skills!G11*IF(Skills!H11&gt;0,Skills!I11/Skills!H11,1)</f>
        <v/>
      </c>
      <c r="H856">
        <f>1-(1-Skills!J11/100)^Skills!K11</f>
        <v/>
      </c>
      <c r="I856" t="inlineStr">
        <is>
          <t>1</t>
        </is>
      </c>
      <c r="J856">
        <f>((Inputs!$B$6*(1+Inputs!$B$7/100))+(((Inputs!$B$12*(1+Inputs!$B$13/100))-(Inputs!$B$12*(1+Inputs!$B$13/100)))+0.25*(Inputs!$B$14-Inputs!$B$14))*(1+Inputs!$B$7/100))*(F856/100)</f>
        <v/>
      </c>
      <c r="K856">
        <f>J856*(1+((Inputs!$B$12*(1+Inputs!$B$13/100))*0.01+Inputs!$B$14*0.0025)/100)*(1+Inputs!$B$15/100)*(1+Inputs!$B$16/100)*(5000/(6000+Inputs!$B$42*(1-(100*(1-(1-(Inputs!$B$19+0)/100)*(1-CHOOSE(ArtifactsInput!$N$40+1,5,6,7,8,9,10)/100)^(ArtifactsInput!$M$40-ArtifactsInput!$M$40)))/100)))*(1+(Inputs!$B$24+((C871=TRUE)*(F871-Calc!F26))+B881)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868=TRUE)*(F868-Calc!F23))+((C872=TRUE)*(F872-Calc!F27))+(((IF(AND(ArtifactsInput!$M$42,((Inputs!$B$9+((C864=TRUE)*(F864-Calc!F19))+B875+(ArtifactsInput!$M$24-ArtifactsInput!$M$24)*CHOOSE(ArtifactsInput!$N$24+1,10,12,14,16,18,20)+IF(ArtifactsInput!$M$10,CHOOSE(ArtifactsInput!$N$10+1,15,18,21,24,27,30)*(IF(Inputs!$B$38="pvp",MIN(15,15)/15,IF(AND(Inputs!$B$38&lt;&gt;"pvp",Inputs!$B$43&gt;0),MIN(15,Inputs!$B$43)/(Inputs!$B$43),0))),0)))&gt;=100),MIN(100,((Inputs!$B$9+((C864=TRUE)*(F864-Calc!F19))+B875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864=TRUE)*(F864-Calc!F19))+B875+(ArtifactsInput!$M$24-ArtifactsInput!$M$24)*CHOOSE(ArtifactsInput!$N$24+1,10,12,14,16,18,20)+IF(ArtifactsInput!$M$10,CHOOSE(ArtifactsInput!$N$10+1,15,18,21,24,27,30)*(IF(Inputs!$B$38="pvp",MIN(15,15)/15,IF(AND(Inputs!$B$38&lt;&gt;"pvp",Inputs!$B$43&gt;0),MIN(15,Inputs!$B$43)/(Inputs!$B$43),0))),0)))&gt;=100),CHOOSE(ArtifactsInput!$N$42+1,40,48,56,64,72,80),0))))/100)*((1+(((C862=TRUE)*F862)+((C869=TRUE)*(F869-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856)</f>
        <v/>
      </c>
      <c r="L856">
        <f>K856*(MIN(Inputs!$B$22+((C867=TRUE)*(F867-Calc!F22)),(Inputs!$B$23+0+(IF(ArtifactsInput!$M$15,CHOOSE(ArtifactsInput!$N$15+1,25,30,35,40,45,50)/100*(Inputs!$B$11-Inputs!$B$11),0))))/100+(Inputs!$B$23+0+(IF(ArtifactsInput!$M$15,CHOOSE(ArtifactsInput!$N$15+1,25,30,35,40,45,50)/100*(Inputs!$B$11-Inputs!$B$11),0)))/100)/2</f>
        <v/>
      </c>
      <c r="M856">
        <f>L856*(1+(Inputs!$B$10+((C870=TRUE)*(F870-Calc!F25))+B880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6">
        <f>L856*(1-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856*(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6">
        <f>(1-Summary!$B$11)*T856+Summary!$B$11*V856</f>
        <v/>
      </c>
      <c r="P856">
        <f>IF(B885=0,0,O856/B885)</f>
        <v/>
      </c>
      <c r="Q856">
        <f>IFERROR(1/(IF(Inputs!$B$38="pvp",15,MAX(0.1,Skills!D11-IF(Skills!E11=TRUE,Inputs!$B$32,0)))*(1-IF(AND(ArtifactsInput!$M$27,Inputs!$B$4="Chapter Hunt"),CHOOSE(ArtifactsInput!$N$27+1,20,24,28,32,36,40),0)/100)),0)</f>
        <v/>
      </c>
      <c r="R856">
        <f>IF(AND(Inputs!$B$38&lt;&gt;"pvp",Inputs!$B$43&gt;0),IF(MAX(0,Inputs!$B$43-B882)&lt;=0,0,(INT(MAX(0,Inputs!$B$43-B882)/(IF(Inputs!$B$38="pvp",15,MAX(0.1,Skills!D11-IF(Skills!E11=TRUE,Inputs!$B$32,0)))*(1-IF(AND(ArtifactsInput!$M$27,Inputs!$B$4="Chapter Hunt"),CHOOSE(ArtifactsInput!$N$27+1,20,24,28,32,36,40),0)/100)))+1)),0)</f>
        <v/>
      </c>
      <c r="S856">
        <f>IFERROR(O856/N856,0)</f>
        <v/>
      </c>
      <c r="T856">
        <f>IF(C856,(H856*N856*IF(AND(Inputs!$B$38&lt;&gt;"pvp",Inputs!$B$43&gt;0),((Skills!G11*((R856-1)*IF(Skills!H11&gt;0,Skills!I11/Skills!H11,1)+IF(Skills!H11&gt;0,MIN(Skills!I11,MAX(0,MAX(0,Inputs!$B$43-B882)-((R856-1)*(IF(Inputs!$B$38="pvp",15,MAX(0.1,Skills!D11-IF(Skills!E11=TRUE,Inputs!$B$32,0)))*(1-IF(AND(ArtifactsInput!$M$27,Inputs!$B$4="Chapter Hunt"),CHOOSE(ArtifactsInput!$N$27+1,20,24,28,32,36,40),0)/100)))))/Skills!H11,1)))/Inputs!$B$43),G856*Q856)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856*(1-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856*(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856*(1-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856*(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6">
        <f>IF(C856,(H856*N856*IF(AND(Inputs!$B$38&lt;&gt;"pvp",Inputs!$B$43&gt;0),((Skills!G11*((R856-1)*IF(Skills!H11&gt;0,Skills!I11/Skills!H11,1)+IF(Skills!H11&gt;0,MIN(Skills!I11,MAX(0,MAX(0,Inputs!$B$43-B882)-((R856-1)*(IF(Inputs!$B$38="pvp",15,MAX(0.1,Skills!D11-IF(Skills!E11=TRUE,Inputs!$B$32,0)))*(1-IF(AND(ArtifactsInput!$M$27,Inputs!$B$4="Chapter Hunt"),CHOOSE(ArtifactsInput!$N$27+1,20,24,28,32,36,40),0)/100)))))/Skills!H11,1)))/Inputs!$B$43),G856*Q856))*IF(Inputs!$B$38="pvp",1,(1+(Inputs!$B$21+Skills!Q11+(IF(ArtifactsInput!$M$33,CHOOSE(ArtifactsInput!$N$33+1,30,36,42,48,54,60)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7">
      <c r="A857">
        <f>Skills!A12</f>
        <v/>
      </c>
      <c r="B857">
        <f>Skills!B12</f>
        <v/>
      </c>
      <c r="C857">
        <f>Inputs!$B$3&gt;=110</f>
        <v/>
      </c>
      <c r="D857">
        <f>IF(Skills!C12=1,60+Inputs!$B$25+Inputs!$B$29,IF(Skills!C12=2,90+Inputs!$B$26+Inputs!$B$29,IF(Skills!C12=3,120+(Inputs!$B$27+1)+Inputs!$B$29,MAX(0,(Inputs!$B$3-100)*3)+Inputs!$B$28+Inputs!$B$29)))</f>
        <v/>
      </c>
      <c r="E857">
        <f>INDEX(FactorTable!$B$2:$Y$301, MATCH(ROUND(MIN(300,MAX(1,D857)),0), FactorTable!$A$2:$A$301,0), Skills!M12+1)</f>
        <v/>
      </c>
      <c r="F857">
        <f>IF(Skills!N12=TRUE,(Skills!L12/10)*(E857/1000),Skills!L12/10)+Skills!O12</f>
        <v/>
      </c>
      <c r="G857">
        <f>Skills!G12*IF(Skills!H12&gt;0,Skills!I12/Skills!H12,1)</f>
        <v/>
      </c>
      <c r="H857">
        <f>1-(1-Skills!J12/100)^Skills!K12</f>
        <v/>
      </c>
      <c r="I857" t="inlineStr">
        <is>
          <t>1</t>
        </is>
      </c>
      <c r="J857">
        <f>((Inputs!$B$6*(1+Inputs!$B$7/100))+(((Inputs!$B$12*(1+Inputs!$B$13/100))-(Inputs!$B$12*(1+Inputs!$B$13/100)))+0.25*(Inputs!$B$14-Inputs!$B$14))*(1+Inputs!$B$7/100))*(F857/100)</f>
        <v/>
      </c>
      <c r="K857">
        <f>J857*(1+((Inputs!$B$12*(1+Inputs!$B$13/100))*0.01+Inputs!$B$14*0.0025)/100)*(1+Inputs!$B$15/100)*(1+Inputs!$B$16/100)*(5000/(6000+Inputs!$B$42*(1-(100*(1-(1-(Inputs!$B$19+0)/100)*(1-CHOOSE(ArtifactsInput!$N$40+1,5,6,7,8,9,10)/100)^(ArtifactsInput!$M$40-ArtifactsInput!$M$40)))/100)))*(1+(Inputs!$B$24+((C871=TRUE)*(F871-Calc!F26))+B881)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868=TRUE)*(F868-Calc!F23))+((C872=TRUE)*(F872-Calc!F27))+(((IF(AND(ArtifactsInput!$M$42,((Inputs!$B$9+((C864=TRUE)*(F864-Calc!F19))+B875+(ArtifactsInput!$M$24-ArtifactsInput!$M$24)*CHOOSE(ArtifactsInput!$N$24+1,10,12,14,16,18,20)+IF(ArtifactsInput!$M$10,CHOOSE(ArtifactsInput!$N$10+1,15,18,21,24,27,30)*(IF(Inputs!$B$38="pvp",MIN(15,15)/15,IF(AND(Inputs!$B$38&lt;&gt;"pvp",Inputs!$B$43&gt;0),MIN(15,Inputs!$B$43)/(Inputs!$B$43),0))),0)))&gt;=100),MIN(100,((Inputs!$B$9+((C864=TRUE)*(F864-Calc!F19))+B875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864=TRUE)*(F864-Calc!F19))+B875+(ArtifactsInput!$M$24-ArtifactsInput!$M$24)*CHOOSE(ArtifactsInput!$N$24+1,10,12,14,16,18,20)+IF(ArtifactsInput!$M$10,CHOOSE(ArtifactsInput!$N$10+1,15,18,21,24,27,30)*(IF(Inputs!$B$38="pvp",MIN(15,15)/15,IF(AND(Inputs!$B$38&lt;&gt;"pvp",Inputs!$B$43&gt;0),MIN(15,Inputs!$B$43)/(Inputs!$B$43),0))),0)))&gt;=100),CHOOSE(ArtifactsInput!$N$42+1,40,48,56,64,72,80),0))))/100)*((1+(((C862=TRUE)*F862)+((C869=TRUE)*(F869-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857)</f>
        <v/>
      </c>
      <c r="L857">
        <f>K857*(MIN(Inputs!$B$22+((C867=TRUE)*(F867-Calc!F22)),(Inputs!$B$23+0+(IF(ArtifactsInput!$M$15,CHOOSE(ArtifactsInput!$N$15+1,25,30,35,40,45,50)/100*(Inputs!$B$11-Inputs!$B$11),0))))/100+(Inputs!$B$23+0+(IF(ArtifactsInput!$M$15,CHOOSE(ArtifactsInput!$N$15+1,25,30,35,40,45,50)/100*(Inputs!$B$11-Inputs!$B$11),0)))/100)/2</f>
        <v/>
      </c>
      <c r="M857">
        <f>L857*(1+(Inputs!$B$10+((C870=TRUE)*(F870-Calc!F25))+B880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7">
        <f>L857*(1-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857*(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7">
        <f>(1-Summary!$B$11)*T857+Summary!$B$11*V857</f>
        <v/>
      </c>
      <c r="P857">
        <f>IF(B885=0,0,O857/B885)</f>
        <v/>
      </c>
      <c r="Q857">
        <f>IFERROR(1/(IF(Inputs!$B$38="pvp",15,MAX(0.1,Skills!D12-IF(Skills!E12=TRUE,Inputs!$B$32,0)))*(1-IF(AND(ArtifactsInput!$M$27,Inputs!$B$4="Chapter Hunt"),CHOOSE(ArtifactsInput!$N$27+1,20,24,28,32,36,40),0)/100)),0)</f>
        <v/>
      </c>
      <c r="R857">
        <f>IF(AND(Inputs!$B$38&lt;&gt;"pvp",Inputs!$B$43&gt;0),IF(MAX(0,Inputs!$B$43-B882)&lt;=0,0,(INT(MAX(0,Inputs!$B$43-B882)/(IF(Inputs!$B$38="pvp",15,MAX(0.1,Skills!D12-IF(Skills!E12=TRUE,Inputs!$B$32,0)))*(1-IF(AND(ArtifactsInput!$M$27,Inputs!$B$4="Chapter Hunt"),CHOOSE(ArtifactsInput!$N$27+1,20,24,28,32,36,40),0)/100)))+1)),0)</f>
        <v/>
      </c>
      <c r="S857">
        <f>IFERROR(O857/N857,0)</f>
        <v/>
      </c>
      <c r="T857">
        <f>IF(C857,(H857*N857*IF(AND(Inputs!$B$38&lt;&gt;"pvp",Inputs!$B$43&gt;0),((Skills!G12*((R857-1)*IF(Skills!H12&gt;0,Skills!I12/Skills!H12,1)+IF(Skills!H12&gt;0,MIN(Skills!I12,MAX(0,MAX(0,Inputs!$B$43-B882)-((R857-1)*(IF(Inputs!$B$38="pvp",15,MAX(0.1,Skills!D12-IF(Skills!E12=TRUE,Inputs!$B$32,0)))*(1-IF(AND(ArtifactsInput!$M$27,Inputs!$B$4="Chapter Hunt"),CHOOSE(ArtifactsInput!$N$27+1,20,24,28,32,36,40),0)/100)))))/Skills!H12,1)))/Inputs!$B$43),G857*Q857)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857*(1-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857*(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857*(1-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857*(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7">
        <f>IF(C857,(H857*N857*IF(AND(Inputs!$B$38&lt;&gt;"pvp",Inputs!$B$43&gt;0),((Skills!G12*((R857-1)*IF(Skills!H12&gt;0,Skills!I12/Skills!H12,1)+IF(Skills!H12&gt;0,MIN(Skills!I12,MAX(0,MAX(0,Inputs!$B$43-B882)-((R857-1)*(IF(Inputs!$B$38="pvp",15,MAX(0.1,Skills!D12-IF(Skills!E12=TRUE,Inputs!$B$32,0)))*(1-IF(AND(ArtifactsInput!$M$27,Inputs!$B$4="Chapter Hunt"),CHOOSE(ArtifactsInput!$N$27+1,20,24,28,32,36,40),0)/100)))))/Skills!H12,1)))/Inputs!$B$43),G857*Q857))*IF(Inputs!$B$38="pvp",1,(1+(Inputs!$B$21+Skills!Q12+(IF(ArtifactsInput!$M$33,CHOOSE(ArtifactsInput!$N$33+1,30,36,42,48,54,60)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8">
      <c r="A858">
        <f>Skills!A13</f>
        <v/>
      </c>
      <c r="B858">
        <f>Skills!B13</f>
        <v/>
      </c>
      <c r="C858">
        <f>Inputs!$B$3&gt;=110</f>
        <v/>
      </c>
      <c r="D858">
        <f>IF(Skills!C13=1,60+Inputs!$B$25+Inputs!$B$29,IF(Skills!C13=2,90+Inputs!$B$26+Inputs!$B$29,IF(Skills!C13=3,120+(Inputs!$B$27+1)+Inputs!$B$29,MAX(0,(Inputs!$B$3-100)*3)+Inputs!$B$28+Inputs!$B$29)))</f>
        <v/>
      </c>
      <c r="E858">
        <f>INDEX(FactorTable!$B$2:$Y$301, MATCH(ROUND(MIN(300,MAX(1,D858)),0), FactorTable!$A$2:$A$301,0), Skills!M13+1)</f>
        <v/>
      </c>
      <c r="F858">
        <f>IF(Skills!N13=TRUE,(Skills!L13/10)*(E858/1000),Skills!L13/10)+Skills!O13</f>
        <v/>
      </c>
      <c r="G858">
        <f>Skills!G13*IF(Skills!H13&gt;0,Skills!I13/Skills!H13,1)</f>
        <v/>
      </c>
      <c r="H858">
        <f>1-(1-Skills!J13/100)^Skills!K13</f>
        <v/>
      </c>
      <c r="I858" t="inlineStr">
        <is>
          <t>1</t>
        </is>
      </c>
      <c r="J858">
        <f>((Inputs!$B$6*(1+Inputs!$B$7/100))+(((Inputs!$B$12*(1+Inputs!$B$13/100))-(Inputs!$B$12*(1+Inputs!$B$13/100)))+0.25*(Inputs!$B$14-Inputs!$B$14))*(1+Inputs!$B$7/100))*(F858/100)</f>
        <v/>
      </c>
      <c r="K858">
        <f>J858*(1+((Inputs!$B$12*(1+Inputs!$B$13/100))*0.01+Inputs!$B$14*0.0025)/100)*(1+Inputs!$B$15/100)*(1+Inputs!$B$16/100)*(5000/(6000+Inputs!$B$42*(1-(100*(1-(1-(Inputs!$B$19+0)/100)*(1-CHOOSE(ArtifactsInput!$N$40+1,5,6,7,8,9,10)/100)^(ArtifactsInput!$M$40-ArtifactsInput!$M$40)))/100)))*(1+(Inputs!$B$24+((C871=TRUE)*(F871-Calc!F26))+B881)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868=TRUE)*(F868-Calc!F23))+((C872=TRUE)*(F872-Calc!F27))+(((IF(AND(ArtifactsInput!$M$42,((Inputs!$B$9+((C864=TRUE)*(F864-Calc!F19))+B875+(ArtifactsInput!$M$24-ArtifactsInput!$M$24)*CHOOSE(ArtifactsInput!$N$24+1,10,12,14,16,18,20)+IF(ArtifactsInput!$M$10,CHOOSE(ArtifactsInput!$N$10+1,15,18,21,24,27,30)*(IF(Inputs!$B$38="pvp",MIN(15,15)/15,IF(AND(Inputs!$B$38&lt;&gt;"pvp",Inputs!$B$43&gt;0),MIN(15,Inputs!$B$43)/(Inputs!$B$43),0))),0)))&gt;=100),MIN(100,((Inputs!$B$9+((C864=TRUE)*(F864-Calc!F19))+B875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864=TRUE)*(F864-Calc!F19))+B875+(ArtifactsInput!$M$24-ArtifactsInput!$M$24)*CHOOSE(ArtifactsInput!$N$24+1,10,12,14,16,18,20)+IF(ArtifactsInput!$M$10,CHOOSE(ArtifactsInput!$N$10+1,15,18,21,24,27,30)*(IF(Inputs!$B$38="pvp",MIN(15,15)/15,IF(AND(Inputs!$B$38&lt;&gt;"pvp",Inputs!$B$43&gt;0),MIN(15,Inputs!$B$43)/(Inputs!$B$43),0))),0)))&gt;=100),CHOOSE(ArtifactsInput!$N$42+1,40,48,56,64,72,80),0))))/100)*((1+(((C862=TRUE)*F862)+((C869=TRUE)*(F869-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858)</f>
        <v/>
      </c>
      <c r="L858">
        <f>K858*(MIN(Inputs!$B$22+((C867=TRUE)*(F867-Calc!F22)),(Inputs!$B$23+0+(IF(ArtifactsInput!$M$15,CHOOSE(ArtifactsInput!$N$15+1,25,30,35,40,45,50)/100*(Inputs!$B$11-Inputs!$B$11),0))))/100+(Inputs!$B$23+0+(IF(ArtifactsInput!$M$15,CHOOSE(ArtifactsInput!$N$15+1,25,30,35,40,45,50)/100*(Inputs!$B$11-Inputs!$B$11),0)))/100)/2</f>
        <v/>
      </c>
      <c r="M858">
        <f>L858*(1+(Inputs!$B$10+((C870=TRUE)*(F870-Calc!F25))+B880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8">
        <f>L858*(1-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858*(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8">
        <f>(1-Summary!$B$11)*T858+Summary!$B$11*V858</f>
        <v/>
      </c>
      <c r="P858">
        <f>IF(B885=0,0,O858/B885)</f>
        <v/>
      </c>
      <c r="Q858">
        <f>IFERROR(1/(IF(Inputs!$B$38="pvp",15,MAX(0.1,Skills!D13-IF(Skills!E13=TRUE,Inputs!$B$32,0)))*(1-IF(AND(ArtifactsInput!$M$27,Inputs!$B$4="Chapter Hunt"),CHOOSE(ArtifactsInput!$N$27+1,20,24,28,32,36,40),0)/100)),0)</f>
        <v/>
      </c>
      <c r="R858">
        <f>IF(AND(Inputs!$B$38&lt;&gt;"pvp",Inputs!$B$43&gt;0),IF(MAX(0,Inputs!$B$43-B882)&lt;=0,0,(INT(MAX(0,Inputs!$B$43-B882)/(IF(Inputs!$B$38="pvp",15,MAX(0.1,Skills!D13-IF(Skills!E13=TRUE,Inputs!$B$32,0)))*(1-IF(AND(ArtifactsInput!$M$27,Inputs!$B$4="Chapter Hunt"),CHOOSE(ArtifactsInput!$N$27+1,20,24,28,32,36,40),0)/100)))+1)),0)</f>
        <v/>
      </c>
      <c r="S858">
        <f>IFERROR(O858/N858,0)</f>
        <v/>
      </c>
      <c r="T858">
        <f>IF(C858,(H858*N858*IF(AND(Inputs!$B$38&lt;&gt;"pvp",Inputs!$B$43&gt;0),((Skills!G13*((R858-1)*IF(Skills!H13&gt;0,Skills!I13/Skills!H13,1)+IF(Skills!H13&gt;0,MIN(Skills!I13,MAX(0,MAX(0,Inputs!$B$43-B882)-((R858-1)*(IF(Inputs!$B$38="pvp",15,MAX(0.1,Skills!D13-IF(Skills!E13=TRUE,Inputs!$B$32,0)))*(1-IF(AND(ArtifactsInput!$M$27,Inputs!$B$4="Chapter Hunt"),CHOOSE(ArtifactsInput!$N$27+1,20,24,28,32,36,40),0)/100)))))/Skills!H13,1)))/Inputs!$B$43),G858*Q858)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858*(1-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858*(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858*(1-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858*(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8">
        <f>IF(C858,(H858*N858*IF(AND(Inputs!$B$38&lt;&gt;"pvp",Inputs!$B$43&gt;0),((Skills!G13*((R858-1)*IF(Skills!H13&gt;0,Skills!I13/Skills!H13,1)+IF(Skills!H13&gt;0,MIN(Skills!I13,MAX(0,MAX(0,Inputs!$B$43-B882)-((R858-1)*(IF(Inputs!$B$38="pvp",15,MAX(0.1,Skills!D13-IF(Skills!E13=TRUE,Inputs!$B$32,0)))*(1-IF(AND(ArtifactsInput!$M$27,Inputs!$B$4="Chapter Hunt"),CHOOSE(ArtifactsInput!$N$27+1,20,24,28,32,36,40),0)/100)))))/Skills!H13,1)))/Inputs!$B$43),G858*Q858))*IF(Inputs!$B$38="pvp",1,(1+(Inputs!$B$21+Skills!Q13+(IF(ArtifactsInput!$M$33,CHOOSE(ArtifactsInput!$N$33+1,30,36,42,48,54,60)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9">
      <c r="A859">
        <f>Skills!A14</f>
        <v/>
      </c>
      <c r="B859">
        <f>Skills!B14</f>
        <v/>
      </c>
      <c r="C859">
        <f>Inputs!$B$3&gt;=125</f>
        <v/>
      </c>
      <c r="D859">
        <f>IF(Skills!C14=1,60+Inputs!$B$25+Inputs!$B$29,IF(Skills!C14=2,90+Inputs!$B$26+Inputs!$B$29,IF(Skills!C14=3,120+(Inputs!$B$27+1)+Inputs!$B$29,MAX(0,(Inputs!$B$3-100)*3)+Inputs!$B$28+Inputs!$B$29)))</f>
        <v/>
      </c>
      <c r="E859">
        <f>INDEX(FactorTable!$B$2:$Y$301, MATCH(ROUND(MIN(300,MAX(1,D859)),0), FactorTable!$A$2:$A$301,0), Skills!M14+1)</f>
        <v/>
      </c>
      <c r="F859">
        <f>IF(Skills!N14=TRUE,(Skills!L14/10)*(E859/1000),Skills!L14/10)+Skills!O14</f>
        <v/>
      </c>
      <c r="G859">
        <f>Skills!G14*IF(Skills!H14&gt;0,Skills!I14/Skills!H14,1)</f>
        <v/>
      </c>
      <c r="H859">
        <f>1-(1-Skills!J14/100)^Skills!K14</f>
        <v/>
      </c>
      <c r="I859" t="inlineStr">
        <is>
          <t>1</t>
        </is>
      </c>
      <c r="J859">
        <f>((Inputs!$B$6*(1+Inputs!$B$7/100))+(((Inputs!$B$12*(1+Inputs!$B$13/100))-(Inputs!$B$12*(1+Inputs!$B$13/100)))+0.25*(Inputs!$B$14-Inputs!$B$14))*(1+Inputs!$B$7/100))*(F859/100)</f>
        <v/>
      </c>
      <c r="K859">
        <f>J859*(1+((Inputs!$B$12*(1+Inputs!$B$13/100))*0.01+Inputs!$B$14*0.0025)/100)*(1+Inputs!$B$15/100)*(1+Inputs!$B$16/100)*(5000/(6000+Inputs!$B$42*(1-(100*(1-(1-(Inputs!$B$19+0)/100)*(1-CHOOSE(ArtifactsInput!$N$40+1,5,6,7,8,9,10)/100)^(ArtifactsInput!$M$40-ArtifactsInput!$M$40)))/100)))*(1+(Inputs!$B$24+((C871=TRUE)*(F871-Calc!F26))+B881)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868=TRUE)*(F868-Calc!F23))+((C872=TRUE)*(F872-Calc!F27))+(((IF(AND(ArtifactsInput!$M$42,((Inputs!$B$9+((C864=TRUE)*(F864-Calc!F19))+B875+(ArtifactsInput!$M$24-ArtifactsInput!$M$24)*CHOOSE(ArtifactsInput!$N$24+1,10,12,14,16,18,20)+IF(ArtifactsInput!$M$10,CHOOSE(ArtifactsInput!$N$10+1,15,18,21,24,27,30)*(IF(Inputs!$B$38="pvp",MIN(15,15)/15,IF(AND(Inputs!$B$38&lt;&gt;"pvp",Inputs!$B$43&gt;0),MIN(15,Inputs!$B$43)/(Inputs!$B$43),0))),0)))&gt;=100),MIN(100,((Inputs!$B$9+((C864=TRUE)*(F864-Calc!F19))+B875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864=TRUE)*(F864-Calc!F19))+B875+(ArtifactsInput!$M$24-ArtifactsInput!$M$24)*CHOOSE(ArtifactsInput!$N$24+1,10,12,14,16,18,20)+IF(ArtifactsInput!$M$10,CHOOSE(ArtifactsInput!$N$10+1,15,18,21,24,27,30)*(IF(Inputs!$B$38="pvp",MIN(15,15)/15,IF(AND(Inputs!$B$38&lt;&gt;"pvp",Inputs!$B$43&gt;0),MIN(15,Inputs!$B$43)/(Inputs!$B$43),0))),0)))&gt;=100),CHOOSE(ArtifactsInput!$N$42+1,40,48,56,64,72,80),0))))/100)*((1+(((C862=TRUE)*F862)+((C869=TRUE)*(F869-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859)</f>
        <v/>
      </c>
      <c r="L859">
        <f>K859*(MIN(Inputs!$B$22+((C867=TRUE)*(F867-Calc!F22)),(Inputs!$B$23+0+(IF(ArtifactsInput!$M$15,CHOOSE(ArtifactsInput!$N$15+1,25,30,35,40,45,50)/100*(Inputs!$B$11-Inputs!$B$11),0))))/100+(Inputs!$B$23+0+(IF(ArtifactsInput!$M$15,CHOOSE(ArtifactsInput!$N$15+1,25,30,35,40,45,50)/100*(Inputs!$B$11-Inputs!$B$11),0)))/100)/2</f>
        <v/>
      </c>
      <c r="M859">
        <f>L859*(1+(Inputs!$B$10+((C870=TRUE)*(F870-Calc!F25))+B880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9">
        <f>L859*(1-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859*(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9">
        <f>(1-Summary!$B$11)*T859+Summary!$B$11*V859</f>
        <v/>
      </c>
      <c r="P859">
        <f>IF(B885=0,0,O859/B885)</f>
        <v/>
      </c>
      <c r="Q859" t="n">
        <v>0</v>
      </c>
      <c r="R859" t="n">
        <v>0</v>
      </c>
      <c r="S859">
        <f>IFERROR(O859/N859,0)</f>
        <v/>
      </c>
      <c r="T859">
        <f>IF(C859,(H859*N859*(B879+IF(AND(Inputs!$B$38&lt;&gt;"pvp",Inputs!$B$43&gt;0),((Skills!G8*((R853-1)*IF(Skills!H8&gt;0,Skills!I8/Skills!H8,1)+IF(Skills!H8&gt;0,MIN(Skills!I8,MAX(0,MAX(0,Inputs!$B$43-B882)-((R853-1)*(IF(Inputs!$B$38="pvp",15,MAX(0.1,Skills!D8-IF(Skills!E8=TRUE,Inputs!$B$32,0)))*(1-IF(AND(ArtifactsInput!$M$27,Inputs!$B$4="Chapter Hunt"),CHOOSE(ArtifactsInput!$N$27+1,20,24,28,32,36,40),0)/100)))))/Skills!H8,1)))/Inputs!$B$43),G853*Q853)+IF(AND(Inputs!$B$38&lt;&gt;"pvp",Inputs!$B$43&gt;0),((Skills!G11*((R856-1)*IF(Skills!H11&gt;0,Skills!I11/Skills!H11,1)+IF(Skills!H11&gt;0,MIN(Skills!I11,MAX(0,MAX(0,Inputs!$B$43-B882)-((R856-1)*(IF(Inputs!$B$38="pvp",15,MAX(0.1,Skills!D11-IF(Skills!E11=TRUE,Inputs!$B$32,0)))*(1-IF(AND(ArtifactsInput!$M$27,Inputs!$B$4="Chapter Hunt"),CHOOSE(ArtifactsInput!$N$27+1,20,24,28,32,36,40),0)/100)))))/Skills!H11,1)))/Inputs!$B$43),G856*Q856)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859*(1-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859*(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859*(1-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859*(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9">
        <f>IF(C859,(H859*N859*(B879+IF(AND(Inputs!$B$38&lt;&gt;"pvp",Inputs!$B$43&gt;0),((Skills!G8*((R853-1)*IF(Skills!H8&gt;0,Skills!I8/Skills!H8,1)+IF(Skills!H8&gt;0,MIN(Skills!I8,MAX(0,MAX(0,Inputs!$B$43-B882)-((R853-1)*(IF(Inputs!$B$38="pvp",15,MAX(0.1,Skills!D8-IF(Skills!E8=TRUE,Inputs!$B$32,0)))*(1-IF(AND(ArtifactsInput!$M$27,Inputs!$B$4="Chapter Hunt"),CHOOSE(ArtifactsInput!$N$27+1,20,24,28,32,36,40),0)/100)))))/Skills!H8,1)))/Inputs!$B$43),G853*Q853)+IF(AND(Inputs!$B$38&lt;&gt;"pvp",Inputs!$B$43&gt;0),((Skills!G11*((R856-1)*IF(Skills!H11&gt;0,Skills!I11/Skills!H11,1)+IF(Skills!H11&gt;0,MIN(Skills!I11,MAX(0,MAX(0,Inputs!$B$43-B882)-((R856-1)*(IF(Inputs!$B$38="pvp",15,MAX(0.1,Skills!D11-IF(Skills!E11=TRUE,Inputs!$B$32,0)))*(1-IF(AND(ArtifactsInput!$M$27,Inputs!$B$4="Chapter Hunt"),CHOOSE(ArtifactsInput!$N$27+1,20,24,28,32,36,40),0)/100)))))/Skills!H11,1)))/Inputs!$B$43),G856*Q856)))*IF(Inputs!$B$38="pvp",1,(1+(Inputs!$B$21+Skills!Q14+(IF(ArtifactsInput!$M$33,CHOOSE(ArtifactsInput!$N$33+1,30,36,42,48,54,60)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0">
      <c r="A860">
        <f>Skills!A15</f>
        <v/>
      </c>
      <c r="B860">
        <f>Skills!B15</f>
        <v/>
      </c>
      <c r="C860">
        <f>Inputs!$B$3&gt;=100</f>
        <v/>
      </c>
      <c r="D860">
        <f>IF(Skills!C15=1,60+Inputs!$B$25+Inputs!$B$29,IF(Skills!C15=2,90+Inputs!$B$26+Inputs!$B$29,IF(Skills!C15=3,120+(Inputs!$B$27+1)+Inputs!$B$29,MAX(0,(Inputs!$B$3-100)*3)+Inputs!$B$28+Inputs!$B$29)))</f>
        <v/>
      </c>
      <c r="E860">
        <f>INDEX(FactorTable!$B$2:$Y$301, MATCH(ROUND(MIN(300,MAX(1,D860)),0), FactorTable!$A$2:$A$301,0), Skills!M15+1)</f>
        <v/>
      </c>
      <c r="F860">
        <f>IF(Skills!N15=TRUE,(Skills!L15/10)*(E860/1000),Skills!L15/10)+Skills!O15</f>
        <v/>
      </c>
      <c r="G860" t="inlineStr"/>
      <c r="H860" t="inlineStr"/>
      <c r="I860" t="inlineStr">
        <is>
          <t>1</t>
        </is>
      </c>
      <c r="J860" t="inlineStr"/>
      <c r="K860" t="inlineStr"/>
      <c r="L860" t="inlineStr"/>
      <c r="M860" t="inlineStr"/>
      <c r="N860" t="inlineStr"/>
      <c r="O860" t="inlineStr"/>
      <c r="P860" t="inlineStr"/>
      <c r="Q860" t="inlineStr"/>
      <c r="R860" t="inlineStr"/>
      <c r="S860" t="inlineStr"/>
    </row>
    <row r="861">
      <c r="A861">
        <f>Skills!A16</f>
        <v/>
      </c>
      <c r="B861">
        <f>Skills!B16</f>
        <v/>
      </c>
      <c r="C861">
        <f>Inputs!$B$3&gt;=120</f>
        <v/>
      </c>
      <c r="D861">
        <f>IF(Skills!C16=1,60+Inputs!$B$25+Inputs!$B$29,IF(Skills!C16=2,90+Inputs!$B$26+Inputs!$B$29,IF(Skills!C16=3,120+(Inputs!$B$27+1)+Inputs!$B$29,MAX(0,(Inputs!$B$3-100)*3)+Inputs!$B$28+Inputs!$B$29)))</f>
        <v/>
      </c>
      <c r="E861">
        <f>INDEX(FactorTable!$B$2:$Y$301, MATCH(ROUND(MIN(300,MAX(1,D861)),0), FactorTable!$A$2:$A$301,0), Skills!M16+1)</f>
        <v/>
      </c>
      <c r="F861">
        <f>IF(Skills!N16=TRUE,(Skills!L16/10)*(E861/1000),Skills!L16/10)+Skills!O16</f>
        <v/>
      </c>
      <c r="G861" t="inlineStr"/>
      <c r="H861" t="inlineStr"/>
      <c r="I861" t="inlineStr">
        <is>
          <t>1</t>
        </is>
      </c>
      <c r="J861" t="inlineStr"/>
      <c r="K861" t="inlineStr"/>
      <c r="L861" t="inlineStr"/>
      <c r="M861" t="inlineStr"/>
      <c r="N861" t="inlineStr"/>
      <c r="O861" t="inlineStr"/>
      <c r="P861" t="inlineStr"/>
      <c r="Q861" t="inlineStr"/>
      <c r="R861" t="inlineStr"/>
      <c r="S861" t="inlineStr"/>
    </row>
    <row r="862">
      <c r="A862">
        <f>Skills!A17</f>
        <v/>
      </c>
      <c r="B862">
        <f>Skills!B17</f>
        <v/>
      </c>
      <c r="C862">
        <f>Inputs!$B$3&gt;=66</f>
        <v/>
      </c>
      <c r="D862">
        <f>IF(Skills!C17=1,60+Inputs!$B$25+Inputs!$B$29,IF(Skills!C17=2,90+Inputs!$B$26+Inputs!$B$29,IF(Skills!C17=3,120+(Inputs!$B$27+1)+Inputs!$B$29,MAX(0,(Inputs!$B$3-100)*3)+Inputs!$B$28+Inputs!$B$29)))</f>
        <v/>
      </c>
      <c r="E862">
        <f>INDEX(FactorTable!$B$2:$Y$301, MATCH(ROUND(MIN(300,MAX(1,D862)),0), FactorTable!$A$2:$A$301,0), Skills!M17+1)</f>
        <v/>
      </c>
      <c r="F862">
        <f>IF(Skills!N17=TRUE,(Skills!L17/10)*(E862/1000),Skills!L17/10)+Skills!O17</f>
        <v/>
      </c>
      <c r="G862">
        <f>Skills!G17*IF(Skills!H17&gt;0,Skills!I17/Skills!H17,1)</f>
        <v/>
      </c>
      <c r="H862">
        <f>1-(1-Skills!J17/100)^Skills!K17</f>
        <v/>
      </c>
      <c r="I862" t="inlineStr">
        <is>
          <t>1</t>
        </is>
      </c>
      <c r="J862" t="inlineStr"/>
      <c r="K862" t="inlineStr"/>
      <c r="L862" t="inlineStr"/>
      <c r="M862" t="inlineStr"/>
      <c r="N862" t="inlineStr"/>
      <c r="O862">
        <f>(1-Summary!$B$11)*T862+Summary!$B$11*V862</f>
        <v/>
      </c>
      <c r="P862">
        <f>IF(B885=0,0,O862/B885)</f>
        <v/>
      </c>
      <c r="Q862" t="n">
        <v>0</v>
      </c>
      <c r="R862" t="n">
        <v>0</v>
      </c>
      <c r="S862">
        <f>IFERROR(O862/N862,0)</f>
        <v/>
      </c>
      <c r="T862" t="n">
        <v>0</v>
      </c>
      <c r="V862" t="n">
        <v>0</v>
      </c>
    </row>
    <row r="863">
      <c r="A863">
        <f>Skills!A18</f>
        <v/>
      </c>
      <c r="B863">
        <f>Skills!B18</f>
        <v/>
      </c>
      <c r="C863">
        <f>Inputs!$B$3&gt;=115</f>
        <v/>
      </c>
      <c r="D863">
        <f>IF(Skills!C18=1,60+Inputs!$B$25+Inputs!$B$29,IF(Skills!C18=2,90+Inputs!$B$26+Inputs!$B$29,IF(Skills!C18=3,120+(Inputs!$B$27+1)+Inputs!$B$29,MAX(0,(Inputs!$B$3-100)*3)+Inputs!$B$28+Inputs!$B$29)))</f>
        <v/>
      </c>
      <c r="E863">
        <f>INDEX(FactorTable!$B$2:$Y$301, MATCH(ROUND(MIN(300,MAX(1,D863)),0), FactorTable!$A$2:$A$301,0), Skills!M18+1)</f>
        <v/>
      </c>
      <c r="F863">
        <f>IF(Skills!N18=TRUE,(Skills!L18/10)*(E863/1000),Skills!L18/10)+Skills!O18</f>
        <v/>
      </c>
      <c r="G863">
        <f>Skills!G18*IF(Skills!H18&gt;0,Skills!I18/Skills!H18,1)</f>
        <v/>
      </c>
      <c r="H863">
        <f>1-(1-Skills!J18/100)^Skills!K18</f>
        <v/>
      </c>
      <c r="I863" t="inlineStr">
        <is>
          <t>1</t>
        </is>
      </c>
      <c r="J863" t="inlineStr"/>
      <c r="K863" t="inlineStr"/>
      <c r="L863" t="inlineStr"/>
      <c r="M863" t="inlineStr"/>
      <c r="N863" t="inlineStr"/>
      <c r="O863">
        <f>(1-Summary!$B$11)*T863+Summary!$B$11*V863</f>
        <v/>
      </c>
      <c r="P863">
        <f>IF(B885=0,0,O863/B885)</f>
        <v/>
      </c>
      <c r="Q863" t="n">
        <v>0</v>
      </c>
      <c r="R863" t="n">
        <v>0</v>
      </c>
      <c r="S863">
        <f>IFERROR(O863/N863,0)</f>
        <v/>
      </c>
      <c r="T863" t="n">
        <v>0</v>
      </c>
      <c r="V863" t="n">
        <v>0</v>
      </c>
    </row>
    <row r="864">
      <c r="A864">
        <f>Skills!A19</f>
        <v/>
      </c>
      <c r="B864">
        <f>Skills!B19</f>
        <v/>
      </c>
      <c r="C864">
        <f>Inputs!$B$3&gt;=15</f>
        <v/>
      </c>
      <c r="D864">
        <f>IF(Skills!C19=1,60+Inputs!$B$25+Inputs!$B$29,IF(Skills!C19=2,90+Inputs!$B$26+Inputs!$B$29,IF(Skills!C19=3,120+(Inputs!$B$27+1)+Inputs!$B$29,MAX(0,(Inputs!$B$3-100)*3)+Inputs!$B$28+Inputs!$B$29)))</f>
        <v/>
      </c>
      <c r="E864">
        <f>INDEX(FactorTable!$B$2:$Y$301, MATCH(ROUND(MIN(300,MAX(1,D864)),0), FactorTable!$A$2:$A$301,0), Skills!M19+1)</f>
        <v/>
      </c>
      <c r="F864">
        <f>IF(Skills!N19=TRUE,(Skills!L19/10)*(E864/1000),Skills!L19/10)+Skills!O19</f>
        <v/>
      </c>
      <c r="G864">
        <f>Skills!G19*IF(Skills!H19&gt;0,Skills!I19/Skills!H19,1)</f>
        <v/>
      </c>
      <c r="H864">
        <f>1-(1-Skills!J19/100)^Skills!K19</f>
        <v/>
      </c>
      <c r="I864" t="inlineStr">
        <is>
          <t>1</t>
        </is>
      </c>
      <c r="J864" t="inlineStr"/>
      <c r="K864" t="inlineStr"/>
      <c r="L864" t="inlineStr"/>
      <c r="M864" t="inlineStr"/>
      <c r="N864" t="inlineStr"/>
      <c r="O864">
        <f>(1-Summary!$B$11)*T864+Summary!$B$11*V864</f>
        <v/>
      </c>
      <c r="P864">
        <f>IF(B885=0,0,O864/B885)</f>
        <v/>
      </c>
      <c r="Q864" t="n">
        <v>0</v>
      </c>
      <c r="R864" t="n">
        <v>0</v>
      </c>
      <c r="S864">
        <f>IFERROR(O864/N864,0)</f>
        <v/>
      </c>
      <c r="T864" t="n">
        <v>0</v>
      </c>
      <c r="V864" t="n">
        <v>0</v>
      </c>
    </row>
    <row r="865">
      <c r="A865">
        <f>Skills!A20</f>
        <v/>
      </c>
      <c r="B865">
        <f>Skills!B20</f>
        <v/>
      </c>
      <c r="C865">
        <f>Inputs!$B$3&gt;=10</f>
        <v/>
      </c>
      <c r="D865">
        <f>IF(Skills!C20=1,60+Inputs!$B$25+Inputs!$B$29,IF(Skills!C20=2,90+Inputs!$B$26+Inputs!$B$29,IF(Skills!C20=3,120+(Inputs!$B$27+1)+Inputs!$B$29,MAX(0,(Inputs!$B$3-100)*3)+Inputs!$B$28+Inputs!$B$29)))</f>
        <v/>
      </c>
      <c r="E865">
        <f>INDEX(FactorTable!$B$2:$Y$301, MATCH(ROUND(MIN(300,MAX(1,D865)),0), FactorTable!$A$2:$A$301,0), Skills!M20+1)</f>
        <v/>
      </c>
      <c r="F865">
        <f>IF(Skills!N20=TRUE,(Skills!L20/10)*(E865/1000),Skills!L20/10)+Skills!O20</f>
        <v/>
      </c>
      <c r="G865">
        <f>Skills!G20*IF(Skills!H20&gt;0,Skills!I20/Skills!H20,1)</f>
        <v/>
      </c>
      <c r="H865">
        <f>1-(1-Skills!J20/100)^Skills!K20</f>
        <v/>
      </c>
      <c r="I865" t="inlineStr">
        <is>
          <t>1</t>
        </is>
      </c>
      <c r="J865" t="inlineStr"/>
      <c r="K865" t="inlineStr"/>
      <c r="L865" t="inlineStr"/>
      <c r="M865" t="inlineStr"/>
      <c r="N865" t="inlineStr"/>
      <c r="O865">
        <f>(1-Summary!$B$11)*T865+Summary!$B$11*V865</f>
        <v/>
      </c>
      <c r="P865">
        <f>IF(B885=0,0,O865/B885)</f>
        <v/>
      </c>
      <c r="Q865" t="n">
        <v>0</v>
      </c>
      <c r="R865" t="n">
        <v>0</v>
      </c>
      <c r="S865">
        <f>IFERROR(O865/N865,0)</f>
        <v/>
      </c>
      <c r="T865" t="n">
        <v>0</v>
      </c>
      <c r="V865" t="n">
        <v>0</v>
      </c>
    </row>
    <row r="866">
      <c r="A866">
        <f>Skills!A21</f>
        <v/>
      </c>
      <c r="B866">
        <f>Skills!B21</f>
        <v/>
      </c>
      <c r="C866">
        <f>Inputs!$B$3&gt;=33</f>
        <v/>
      </c>
      <c r="D866">
        <f>IF(Skills!C21=1,60+Inputs!$B$25+Inputs!$B$29,IF(Skills!C21=2,90+Inputs!$B$26+Inputs!$B$29,IF(Skills!C21=3,120+(Inputs!$B$27+1)+Inputs!$B$29,MAX(0,(Inputs!$B$3-100)*3)+Inputs!$B$28+Inputs!$B$29)))</f>
        <v/>
      </c>
      <c r="E866">
        <f>INDEX(FactorTable!$B$2:$Y$301, MATCH(ROUND(MIN(300,MAX(1,D866)),0), FactorTable!$A$2:$A$301,0), Skills!M21+1)</f>
        <v/>
      </c>
      <c r="F866">
        <f>IF(Skills!N21=TRUE,(Skills!L21/10)*(E866/1000),Skills!L21/10)+Skills!O21</f>
        <v/>
      </c>
      <c r="G866">
        <f>Skills!G21*IF(Skills!H21&gt;0,Skills!I21/Skills!H21,1)</f>
        <v/>
      </c>
      <c r="H866">
        <f>1-(1-Skills!J21/100)^Skills!K21</f>
        <v/>
      </c>
      <c r="I866" t="inlineStr">
        <is>
          <t>1</t>
        </is>
      </c>
      <c r="J866" t="inlineStr"/>
      <c r="K866" t="inlineStr"/>
      <c r="L866" t="inlineStr"/>
      <c r="M866" t="inlineStr"/>
      <c r="N866" t="inlineStr"/>
      <c r="O866">
        <f>(1-Summary!$B$11)*T866+Summary!$B$11*V866</f>
        <v/>
      </c>
      <c r="P866">
        <f>IF(B885=0,0,O866/B885)</f>
        <v/>
      </c>
      <c r="Q866" t="n">
        <v>0</v>
      </c>
      <c r="R866" t="n">
        <v>0</v>
      </c>
      <c r="S866">
        <f>IFERROR(O866/N866,0)</f>
        <v/>
      </c>
      <c r="T866" t="n">
        <v>0</v>
      </c>
      <c r="V866" t="n">
        <v>0</v>
      </c>
    </row>
    <row r="867">
      <c r="A867">
        <f>Skills!A22</f>
        <v/>
      </c>
      <c r="B867">
        <f>Skills!B22</f>
        <v/>
      </c>
      <c r="C867">
        <f>Inputs!$B$3&gt;=43</f>
        <v/>
      </c>
      <c r="D867">
        <f>IF(Skills!C22=1,60+Inputs!$B$25+Inputs!$B$29,IF(Skills!C22=2,90+Inputs!$B$26+Inputs!$B$29,IF(Skills!C22=3,120+(Inputs!$B$27+1)+Inputs!$B$29,MAX(0,(Inputs!$B$3-100)*3)+Inputs!$B$28+Inputs!$B$29)))</f>
        <v/>
      </c>
      <c r="E867">
        <f>INDEX(FactorTable!$B$2:$Y$301, MATCH(ROUND(MIN(300,MAX(1,D867)),0), FactorTable!$A$2:$A$301,0), Skills!M22+1)</f>
        <v/>
      </c>
      <c r="F867">
        <f>IF(Skills!N22=TRUE,(Skills!L22/10)*(E867/1000),Skills!L22/10)+Skills!O22</f>
        <v/>
      </c>
      <c r="G867">
        <f>Skills!G22*IF(Skills!H22&gt;0,Skills!I22/Skills!H22,1)</f>
        <v/>
      </c>
      <c r="H867">
        <f>1-(1-Skills!J22/100)^Skills!K22</f>
        <v/>
      </c>
      <c r="I867" t="inlineStr">
        <is>
          <t>1</t>
        </is>
      </c>
      <c r="J867" t="inlineStr"/>
      <c r="K867" t="inlineStr"/>
      <c r="L867" t="inlineStr"/>
      <c r="M867" t="inlineStr"/>
      <c r="N867" t="inlineStr"/>
      <c r="O867">
        <f>(1-Summary!$B$11)*T867+Summary!$B$11*V867</f>
        <v/>
      </c>
      <c r="P867">
        <f>IF(B885=0,0,O867/B885)</f>
        <v/>
      </c>
      <c r="Q867" t="n">
        <v>0</v>
      </c>
      <c r="R867" t="n">
        <v>0</v>
      </c>
      <c r="S867">
        <f>IFERROR(O867/N867,0)</f>
        <v/>
      </c>
      <c r="T867" t="n">
        <v>0</v>
      </c>
      <c r="V867" t="n">
        <v>0</v>
      </c>
    </row>
    <row r="868">
      <c r="A868">
        <f>Skills!A23</f>
        <v/>
      </c>
      <c r="B868">
        <f>Skills!B23</f>
        <v/>
      </c>
      <c r="C868">
        <f>Inputs!$B$3&gt;=38</f>
        <v/>
      </c>
      <c r="D868">
        <f>IF(Skills!C23=1,60+Inputs!$B$25+Inputs!$B$29,IF(Skills!C23=2,90+Inputs!$B$26+Inputs!$B$29,IF(Skills!C23=3,120+(Inputs!$B$27+1)+Inputs!$B$29,MAX(0,(Inputs!$B$3-100)*3)+Inputs!$B$28+Inputs!$B$29)))</f>
        <v/>
      </c>
      <c r="E868">
        <f>INDEX(FactorTable!$B$2:$Y$301, MATCH(ROUND(MIN(300,MAX(1,D868)),0), FactorTable!$A$2:$A$301,0), Skills!M23+1)</f>
        <v/>
      </c>
      <c r="F868">
        <f>IF(Skills!N23=TRUE,(Skills!L23/10)*(E868/1000),Skills!L23/10)+Skills!O23</f>
        <v/>
      </c>
      <c r="G868">
        <f>Skills!G23*IF(Skills!H23&gt;0,Skills!I23/Skills!H23,1)</f>
        <v/>
      </c>
      <c r="H868">
        <f>1-(1-Skills!J23/100)^Skills!K23</f>
        <v/>
      </c>
      <c r="I868" t="inlineStr">
        <is>
          <t>1</t>
        </is>
      </c>
      <c r="J868" t="inlineStr"/>
      <c r="K868" t="inlineStr"/>
      <c r="L868" t="inlineStr"/>
      <c r="M868" t="inlineStr"/>
      <c r="N868" t="inlineStr"/>
      <c r="O868">
        <f>(1-Summary!$B$11)*T868+Summary!$B$11*V868</f>
        <v/>
      </c>
      <c r="P868">
        <f>IF(B885=0,0,O868/B885)</f>
        <v/>
      </c>
      <c r="Q868" t="n">
        <v>0</v>
      </c>
      <c r="R868" t="n">
        <v>0</v>
      </c>
      <c r="S868">
        <f>IFERROR(O868/N868,0)</f>
        <v/>
      </c>
      <c r="T868" t="n">
        <v>0</v>
      </c>
      <c r="V868" t="n">
        <v>0</v>
      </c>
    </row>
    <row r="869">
      <c r="A869">
        <f>Skills!A24</f>
        <v/>
      </c>
      <c r="B869">
        <f>Skills!B24</f>
        <v/>
      </c>
      <c r="C869">
        <f>Inputs!$B$3&gt;=40</f>
        <v/>
      </c>
      <c r="D869">
        <f>IF(Skills!C24=1,60+Inputs!$B$25+Inputs!$B$29,IF(Skills!C24=2,90+Inputs!$B$26+Inputs!$B$29,IF(Skills!C24=3,120+(Inputs!$B$27+1)+Inputs!$B$29,MAX(0,(Inputs!$B$3-100)*3)+Inputs!$B$28+Inputs!$B$29)))</f>
        <v/>
      </c>
      <c r="E869">
        <f>INDEX(FactorTable!$B$2:$Y$301, MATCH(ROUND(MIN(300,MAX(1,D869)),0), FactorTable!$A$2:$A$301,0), Skills!M24+1)</f>
        <v/>
      </c>
      <c r="F869">
        <f>IF(Skills!N24=TRUE,(Skills!L24/10)*(E869/1000),Skills!L24/10)+Skills!O24</f>
        <v/>
      </c>
      <c r="G869">
        <f>Skills!G24*IF(Skills!H24&gt;0,Skills!I24/Skills!H24,1)</f>
        <v/>
      </c>
      <c r="H869">
        <f>1-(1-Skills!J24/100)^Skills!K24</f>
        <v/>
      </c>
      <c r="I869" t="inlineStr">
        <is>
          <t>1</t>
        </is>
      </c>
      <c r="J869" t="inlineStr"/>
      <c r="K869" t="inlineStr"/>
      <c r="L869" t="inlineStr"/>
      <c r="M869" t="inlineStr"/>
      <c r="N869" t="inlineStr"/>
      <c r="O869">
        <f>(1-Summary!$B$11)*T869+Summary!$B$11*V869</f>
        <v/>
      </c>
      <c r="P869">
        <f>IF(B885=0,0,O869/B885)</f>
        <v/>
      </c>
      <c r="Q869" t="n">
        <v>0</v>
      </c>
      <c r="R869" t="n">
        <v>0</v>
      </c>
      <c r="S869">
        <f>IFERROR(O869/N869,0)</f>
        <v/>
      </c>
      <c r="T869" t="n">
        <v>0</v>
      </c>
      <c r="V869" t="n">
        <v>0</v>
      </c>
    </row>
    <row r="870">
      <c r="A870">
        <f>Skills!A25</f>
        <v/>
      </c>
      <c r="B870">
        <f>Skills!B25</f>
        <v/>
      </c>
      <c r="C870">
        <f>Inputs!$B$3&gt;=72</f>
        <v/>
      </c>
      <c r="D870">
        <f>IF(Skills!C25=1,60+Inputs!$B$25+Inputs!$B$29,IF(Skills!C25=2,90+Inputs!$B$26+Inputs!$B$29,IF(Skills!C25=3,120+(Inputs!$B$27+1)+Inputs!$B$29,MAX(0,(Inputs!$B$3-100)*3)+Inputs!$B$28+Inputs!$B$29)))</f>
        <v/>
      </c>
      <c r="E870">
        <f>INDEX(FactorTable!$B$2:$Y$301, MATCH(ROUND(MIN(300,MAX(1,D870)),0), FactorTable!$A$2:$A$301,0), Skills!M25+1)</f>
        <v/>
      </c>
      <c r="F870">
        <f>IF(Skills!N25=TRUE,(Skills!L25/10)*(E870/1000),Skills!L25/10)+Skills!O25</f>
        <v/>
      </c>
      <c r="G870">
        <f>Skills!G25*IF(Skills!H25&gt;0,Skills!I25/Skills!H25,1)</f>
        <v/>
      </c>
      <c r="H870">
        <f>1-(1-Skills!J25/100)^Skills!K25</f>
        <v/>
      </c>
      <c r="I870" t="inlineStr">
        <is>
          <t>1</t>
        </is>
      </c>
      <c r="J870" t="inlineStr"/>
      <c r="K870" t="inlineStr"/>
      <c r="L870" t="inlineStr"/>
      <c r="M870" t="inlineStr"/>
      <c r="N870" t="inlineStr"/>
      <c r="O870">
        <f>(1-Summary!$B$11)*T870+Summary!$B$11*V870</f>
        <v/>
      </c>
      <c r="P870">
        <f>IF(B885=0,0,O870/B885)</f>
        <v/>
      </c>
      <c r="Q870" t="n">
        <v>0</v>
      </c>
      <c r="R870" t="n">
        <v>0</v>
      </c>
      <c r="S870">
        <f>IFERROR(O870/N870,0)</f>
        <v/>
      </c>
      <c r="T870" t="n">
        <v>0</v>
      </c>
      <c r="V870" t="n">
        <v>0</v>
      </c>
    </row>
    <row r="871">
      <c r="A871">
        <f>Skills!A26</f>
        <v/>
      </c>
      <c r="B871">
        <f>Skills!B26</f>
        <v/>
      </c>
      <c r="C871">
        <f>Inputs!$B$3&gt;=75</f>
        <v/>
      </c>
      <c r="D871">
        <f>IF(Skills!C26=1,60+Inputs!$B$25+Inputs!$B$29,IF(Skills!C26=2,90+Inputs!$B$26+Inputs!$B$29,IF(Skills!C26=3,120+(Inputs!$B$27+1)+Inputs!$B$29,MAX(0,(Inputs!$B$3-100)*3)+Inputs!$B$28+Inputs!$B$29)))</f>
        <v/>
      </c>
      <c r="E871">
        <f>INDEX(FactorTable!$B$2:$Y$301, MATCH(ROUND(MIN(300,MAX(1,D871)),0), FactorTable!$A$2:$A$301,0), Skills!M26+1)</f>
        <v/>
      </c>
      <c r="F871">
        <f>IF(Skills!N26=TRUE,(Skills!L26/10)*(E871/1000),Skills!L26/10)+Skills!O26</f>
        <v/>
      </c>
      <c r="G871">
        <f>Skills!G26*IF(Skills!H26&gt;0,Skills!I26/Skills!H26,1)</f>
        <v/>
      </c>
      <c r="H871">
        <f>1-(1-Skills!J26/100)^Skills!K26</f>
        <v/>
      </c>
      <c r="I871" t="inlineStr">
        <is>
          <t>1</t>
        </is>
      </c>
      <c r="J871" t="inlineStr"/>
      <c r="K871" t="inlineStr"/>
      <c r="L871" t="inlineStr"/>
      <c r="M871" t="inlineStr"/>
      <c r="N871" t="inlineStr"/>
      <c r="O871">
        <f>(1-Summary!$B$11)*T871+Summary!$B$11*V871</f>
        <v/>
      </c>
      <c r="P871">
        <f>IF(B885=0,0,O871/B885)</f>
        <v/>
      </c>
      <c r="Q871" t="n">
        <v>0</v>
      </c>
      <c r="R871" t="n">
        <v>0</v>
      </c>
      <c r="S871">
        <f>IFERROR(O871/N871,0)</f>
        <v/>
      </c>
      <c r="T871" t="n">
        <v>0</v>
      </c>
      <c r="V871" t="n">
        <v>0</v>
      </c>
    </row>
    <row r="872">
      <c r="A872">
        <f>Skills!A27</f>
        <v/>
      </c>
      <c r="B872">
        <f>Skills!B27</f>
        <v/>
      </c>
      <c r="C872">
        <f>Inputs!$B$3&gt;=117</f>
        <v/>
      </c>
      <c r="D872">
        <f>IF(Skills!C27=1,60+Inputs!$B$25+Inputs!$B$29,IF(Skills!C27=2,90+Inputs!$B$26+Inputs!$B$29,IF(Skills!C27=3,120+(Inputs!$B$27+1)+Inputs!$B$29,MAX(0,(Inputs!$B$3-100)*3)+Inputs!$B$28+Inputs!$B$29)))</f>
        <v/>
      </c>
      <c r="E872">
        <f>INDEX(FactorTable!$B$2:$Y$301, MATCH(ROUND(MIN(300,MAX(1,D872)),0), FactorTable!$A$2:$A$301,0), Skills!M27+1)</f>
        <v/>
      </c>
      <c r="F872">
        <f>IF(Skills!N27=TRUE,(Skills!L27/10)*(E872/1000),Skills!L27/10)+Skills!O27</f>
        <v/>
      </c>
      <c r="G872">
        <f>Skills!G27*IF(Skills!H27&gt;0,Skills!I27/Skills!H27,1)</f>
        <v/>
      </c>
      <c r="H872">
        <f>1-(1-Skills!J27/100)^Skills!K27</f>
        <v/>
      </c>
      <c r="I872" t="inlineStr">
        <is>
          <t>1</t>
        </is>
      </c>
      <c r="J872" t="inlineStr"/>
      <c r="K872" t="inlineStr"/>
      <c r="L872" t="inlineStr"/>
      <c r="M872" t="inlineStr"/>
      <c r="N872" t="inlineStr"/>
      <c r="O872">
        <f>(1-Summary!$B$11)*T872+Summary!$B$11*V872</f>
        <v/>
      </c>
      <c r="P872">
        <f>IF(B885=0,0,O872/B885)</f>
        <v/>
      </c>
      <c r="Q872" t="n">
        <v>0</v>
      </c>
      <c r="R872" t="n">
        <v>0</v>
      </c>
      <c r="S872">
        <f>IFERROR(O872/N872,0)</f>
        <v/>
      </c>
      <c r="T872" t="n">
        <v>0</v>
      </c>
      <c r="V872" t="n">
        <v>0</v>
      </c>
    </row>
    <row r="874">
      <c r="A874" t="inlineStr">
        <is>
          <t>Attack% Bucket Multiplier</t>
        </is>
      </c>
      <c r="B874">
        <f>(1+(((C862=TRUE)*F862)+((C869=TRUE)*(F869-Calc!F24))+(IF(ArtifactsInput!$M$21,CHOOSE(ArtifactsInput!$N$21+1,25,30,35,40,45,50)*(IF(OR(Inputs!$B$4="Chapter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75">
      <c r="A875" t="inlineStr">
        <is>
          <t>Global Crit Rate Bonus %</t>
        </is>
      </c>
      <c r="B875" t="n">
        <v>0</v>
      </c>
    </row>
    <row r="876">
      <c r="A876" t="inlineStr">
        <is>
          <t>Attack Speed Buff Bonus % (unused)</t>
        </is>
      </c>
      <c r="B876" t="n">
        <v>0</v>
      </c>
    </row>
    <row r="877">
      <c r="A877" t="inlineStr">
        <is>
          <t>Actions Per Second</t>
        </is>
      </c>
      <c r="B877">
        <f>1+MIN(150,150*(1-(1-(Inputs!$B$11+((C865=TRUE)*(F865-Calc!F20))+((C866=TRUE)*(F866-Calc!F21)))/150)*(1-B876/150)))/100</f>
        <v/>
      </c>
    </row>
    <row r="878">
      <c r="A878" t="inlineStr">
        <is>
          <t>Skill + Buff Cast Rate</t>
        </is>
      </c>
      <c r="B878">
        <f>IF(AND(Inputs!$B$38&lt;&gt;"pvp",Inputs!$B$43&gt;0),SUMPRODUCT((Skills!E2:E27=TRUE)*(C847:C872=TRUE)*R847:R872*Skills!F2:F27)/Inputs!$B$43,SUMPRODUCT((Skills!E2:E27=TRUE)*(C847:C872=TRUE)*Q847:Q872*Skills!F2:F27))</f>
        <v/>
      </c>
    </row>
    <row r="879">
      <c r="A879" t="inlineStr">
        <is>
          <t>Eight-Legs Easton Casts Per Second</t>
        </is>
      </c>
      <c r="B879">
        <f>MAX(0,B877-B878)</f>
        <v/>
      </c>
    </row>
    <row r="880">
      <c r="A880" t="inlineStr">
        <is>
          <t>Global Critical Damage Bonus % (unused)</t>
        </is>
      </c>
      <c r="B880" t="n">
        <v>0</v>
      </c>
    </row>
    <row r="881">
      <c r="A881" t="inlineStr">
        <is>
          <t>Global Final Damage Bonus % (Jolly Roger only)</t>
        </is>
      </c>
      <c r="B881">
        <f>((C863=TRUE)*F863)</f>
        <v/>
      </c>
    </row>
    <row r="882">
      <c r="A882" t="inlineStr">
        <is>
          <t>Buff-Casting Startup Delay (s, fixed-duration only)</t>
        </is>
      </c>
      <c r="B882">
        <f>IF(AND(Inputs!$B$38&lt;&gt;"pvp",Inputs!$B$43&gt;0),SUMPRODUCT((Skills!T2:T27&gt;0)*(Skills!E2:E27=TRUE)*(C847:C872=TRUE))/B877,0)</f>
        <v/>
      </c>
    </row>
    <row r="883">
      <c r="A883" t="inlineStr">
        <is>
          <t>Boss-Only Total DPS (this block's swept value)</t>
        </is>
      </c>
      <c r="B883">
        <f>SUM(T847:T872)</f>
        <v/>
      </c>
    </row>
    <row r="884">
      <c r="A884" t="inlineStr">
        <is>
          <t>Normal-Only Total DPS (this block's swept value)</t>
        </is>
      </c>
      <c r="B884">
        <f>SUM(V847:V872)</f>
        <v/>
      </c>
    </row>
    <row r="885">
      <c r="A885" s="6" t="inlineStr">
        <is>
          <t>TOTAL DPS</t>
        </is>
      </c>
      <c r="B885" s="6">
        <f>SUM(O847:O872)</f>
        <v/>
      </c>
    </row>
    <row r="888">
      <c r="A888" s="6" t="inlineStr">
        <is>
          <t>Stat: Skill Level Bonus — 4th Job</t>
        </is>
      </c>
    </row>
    <row r="889">
      <c r="A889" s="5" t="inlineStr">
        <is>
          <t>Key</t>
        </is>
      </c>
      <c r="B889" s="5" t="inlineStr">
        <is>
          <t>Name</t>
        </is>
      </c>
      <c r="C889" s="5" t="inlineStr">
        <is>
          <t>Unlocked</t>
        </is>
      </c>
      <c r="D889" s="5" t="inlineStr">
        <is>
          <t>InputLevel</t>
        </is>
      </c>
      <c r="E889" s="5" t="inlineStr">
        <is>
          <t>Factor</t>
        </is>
      </c>
      <c r="F889" s="5" t="inlineStr">
        <is>
          <t>CoefficientPercent</t>
        </is>
      </c>
      <c r="G889" s="5" t="inlineStr">
        <is>
          <t>EffectiveHits</t>
        </is>
      </c>
      <c r="H889" s="5" t="inlineStr">
        <is>
          <t>ProcProbability</t>
        </is>
      </c>
      <c r="I889" s="5" t="inlineStr">
        <is>
          <t>MapleHeroMultiplier</t>
        </is>
      </c>
      <c r="J889" s="5" t="inlineStr">
        <is>
          <t>BaseDamage</t>
        </is>
      </c>
      <c r="K889" s="5" t="inlineStr">
        <is>
          <t>BaseHitDamage</t>
        </is>
      </c>
      <c r="L889" s="5" t="inlineStr">
        <is>
          <t>NonCritAvg</t>
        </is>
      </c>
      <c r="M889" s="5" t="inlineStr">
        <is>
          <t>CritAvg</t>
        </is>
      </c>
      <c r="N889" s="5" t="inlineStr">
        <is>
          <t>ExpectedDamage(perHit)</t>
        </is>
      </c>
      <c r="O889" s="5" t="inlineStr">
        <is>
          <t>DPS</t>
        </is>
      </c>
      <c r="P889" s="5" t="inlineStr">
        <is>
          <t>% of Total</t>
        </is>
      </c>
      <c r="Q889" s="5" t="inlineStr">
        <is>
          <t>InvCooldown</t>
        </is>
      </c>
      <c r="R889" s="5" t="inlineStr">
        <is>
          <t>CastsInFight</t>
        </is>
      </c>
      <c r="S889" s="5" t="inlineStr">
        <is>
          <t>HitRate(perSec)</t>
        </is>
      </c>
      <c r="U889" t="inlineStr">
        <is>
          <t>helpers</t>
        </is>
      </c>
    </row>
    <row r="890">
      <c r="A890">
        <f>Skills!A2</f>
        <v/>
      </c>
      <c r="B890">
        <f>Skills!B2</f>
        <v/>
      </c>
      <c r="C890">
        <f>Inputs!$B$3&gt;=100</f>
        <v/>
      </c>
      <c r="D890" t="inlineStr"/>
      <c r="E890" t="inlineStr"/>
      <c r="F890">
        <f>U892+Skills!O2</f>
        <v/>
      </c>
      <c r="G890">
        <f>Skills!G2*IF(Skills!H2&gt;0,Skills!I2/Skills!H2,1)</f>
        <v/>
      </c>
      <c r="H890">
        <f>1-(1-Skills!J2/100)^Skills!K2</f>
        <v/>
      </c>
      <c r="I890" t="inlineStr">
        <is>
          <t>1</t>
        </is>
      </c>
      <c r="J890">
        <f>((Inputs!$B$6*(1+Inputs!$B$7/100))+(((Inputs!$B$12*(1+Inputs!$B$13/100))-(Inputs!$B$12*(1+Inputs!$B$13/100)))+0.25*(Inputs!$B$14-Inputs!$B$14))*(1+Inputs!$B$7/100))*(F890/100)</f>
        <v/>
      </c>
      <c r="K890">
        <f>J890*(1+((Inputs!$B$12*(1+Inputs!$B$13/100))*0.01+Inputs!$B$14*0.0025)/100)*(1+Inputs!$B$15/100)*(1+Inputs!$B$16/100)*(5000/(6000+Inputs!$B$42*(1-(100*(1-(1-(Inputs!$B$19+0)/100)*(1-CHOOSE(ArtifactsInput!$N$40+1,5,6,7,8,9,10)/100)^(ArtifactsInput!$M$40-ArtifactsInput!$M$40)))/100)))*(1+(Inputs!$B$24+((C914=TRUE)*(F914-Calc!F26))+B924)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911=TRUE)*(F911-Calc!F23))+((C915=TRUE)*(F915-Calc!F27))+(((IF(AND(ArtifactsInput!$M$42,((Inputs!$B$9+((C907=TRUE)*(F907-Calc!F19))+B918+(ArtifactsInput!$M$24-ArtifactsInput!$M$24)*CHOOSE(ArtifactsInput!$N$24+1,10,12,14,16,18,20)+IF(ArtifactsInput!$M$10,CHOOSE(ArtifactsInput!$N$10+1,15,18,21,24,27,30)*(IF(Inputs!$B$38="pvp",MIN(15,15)/15,IF(AND(Inputs!$B$38&lt;&gt;"pvp",Inputs!$B$43&gt;0),MIN(15,Inputs!$B$43)/(Inputs!$B$43),0))),0)))&gt;=100),MIN(100,((Inputs!$B$9+((C907=TRUE)*(F907-Calc!F19))+B918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907=TRUE)*(F907-Calc!F19))+B918+(ArtifactsInput!$M$24-ArtifactsInput!$M$24)*CHOOSE(ArtifactsInput!$N$24+1,10,12,14,16,18,20)+IF(ArtifactsInput!$M$10,CHOOSE(ArtifactsInput!$N$10+1,15,18,21,24,27,30)*(IF(Inputs!$B$38="pvp",MIN(15,15)/15,IF(AND(Inputs!$B$38&lt;&gt;"pvp",Inputs!$B$43&gt;0),MIN(15,Inputs!$B$43)/(Inputs!$B$43),0))),0)))&gt;=100),CHOOSE(ArtifactsInput!$N$42+1,40,48,56,64,72,80),0))))/100)*((1+(((C905=TRUE)*F905)+((C912=TRUE)*(F912-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890)</f>
        <v/>
      </c>
      <c r="L890">
        <f>K890*(MIN(Inputs!$B$22+((C910=TRUE)*(F910-Calc!F22)),(Inputs!$B$23+0+(IF(ArtifactsInput!$M$15,CHOOSE(ArtifactsInput!$N$15+1,25,30,35,40,45,50)/100*(Inputs!$B$11-Inputs!$B$11),0))))/100+(Inputs!$B$23+0+(IF(ArtifactsInput!$M$15,CHOOSE(ArtifactsInput!$N$15+1,25,30,35,40,45,50)/100*(Inputs!$B$11-Inputs!$B$11),0)))/100)/2</f>
        <v/>
      </c>
      <c r="M890">
        <f>L890*(1+(Inputs!$B$10+((C913=TRUE)*(F913-Calc!F25))+B923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0">
        <f>L890*(1-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890*(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0">
        <f>(1-Summary!$B$11)*T890+Summary!$B$11*V890</f>
        <v/>
      </c>
      <c r="P890">
        <f>IF(B928=0,0,O890/B928)</f>
        <v/>
      </c>
      <c r="Q890" t="n">
        <v>0</v>
      </c>
      <c r="R890" t="n">
        <v>0</v>
      </c>
      <c r="S890">
        <f>IFERROR(O890/N890,0)</f>
        <v/>
      </c>
      <c r="T890">
        <f>IF(C890,(Skills!G2*N890*B922)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890*(1-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890*(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890*(1-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890*(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0">
        <f>MAX(0,(Inputs!$B$3-100)*3)+(Inputs!$B$28+1)+Inputs!$B$29</f>
        <v/>
      </c>
      <c r="V890">
        <f>IF(C890,(Skills!G2*N890*B922)*IF(Inputs!$B$38="pvp",1,(1+(Inputs!$B$21+Skills!Q2+(IF(ArtifactsInput!$M$33,CHOOSE(ArtifactsInput!$N$33+1,30,36,42,48,54,60),0))+(IF(AND(ArtifactsInput!$M$35,Inputs!$B$4&lt;&gt;"Chapter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1">
      <c r="A891">
        <f>Skills!A3</f>
        <v/>
      </c>
      <c r="B891">
        <f>Skills!B3</f>
        <v/>
      </c>
      <c r="C891">
        <f>Inputs!$B$3&gt;=35</f>
        <v/>
      </c>
      <c r="D891">
        <f>IF(Skills!C3=1,60+Inputs!$B$25+Inputs!$B$29,IF(Skills!C3=2,90+Inputs!$B$26+Inputs!$B$29,IF(Skills!C3=3,120+Inputs!$B$27+Inputs!$B$29,MAX(0,(Inputs!$B$3-100)*3)+(Inputs!$B$28+1)+Inputs!$B$29)))</f>
        <v/>
      </c>
      <c r="E891">
        <f>INDEX(FactorTable!$B$2:$Y$301, MATCH(ROUND(MIN(300,MAX(1,D891)),0), FactorTable!$A$2:$A$301,0), Skills!M3+1)</f>
        <v/>
      </c>
      <c r="F891">
        <f>IF(Skills!N3=TRUE,(Skills!L3/10)*(E891/1000),Skills!L3/10)+Skills!O3</f>
        <v/>
      </c>
      <c r="G891">
        <f>Skills!G3*IF(Skills!H3&gt;0,Skills!I3/Skills!H3,1)</f>
        <v/>
      </c>
      <c r="H891">
        <f>1-(1-Skills!J3/100)^Skills!K3</f>
        <v/>
      </c>
      <c r="I891" t="inlineStr">
        <is>
          <t>1</t>
        </is>
      </c>
      <c r="J891">
        <f>((Inputs!$B$6*(1+Inputs!$B$7/100))+(((Inputs!$B$12*(1+Inputs!$B$13/100))-(Inputs!$B$12*(1+Inputs!$B$13/100)))+0.25*(Inputs!$B$14-Inputs!$B$14))*(1+Inputs!$B$7/100))*(F891/100)</f>
        <v/>
      </c>
      <c r="K891">
        <f>J891*(1+((Inputs!$B$12*(1+Inputs!$B$13/100))*0.01+Inputs!$B$14*0.0025)/100)*(1+Inputs!$B$15/100)*(1+Inputs!$B$16/100)*(5000/(6000+Inputs!$B$42*(1-(100*(1-(1-(Inputs!$B$19+0)/100)*(1-CHOOSE(ArtifactsInput!$N$40+1,5,6,7,8,9,10)/100)^(ArtifactsInput!$M$40-ArtifactsInput!$M$40)))/100)))*(1+(Inputs!$B$24+((C914=TRUE)*(F914-Calc!F26))+B924)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903=TRUE,F903,0)/100)*(1+(IF(Skills!A3="EIGHT_LEGS_EASTON",Inputs!$B$17+((C911=TRUE)*(F911-Calc!F23))+((C915=TRUE)*(F915-Calc!F27))+(((IF(AND(ArtifactsInput!$M$42,((Inputs!$B$9+((C907=TRUE)*(F907-Calc!F19))+B918+(ArtifactsInput!$M$24-ArtifactsInput!$M$24)*CHOOSE(ArtifactsInput!$N$24+1,10,12,14,16,18,20)+IF(ArtifactsInput!$M$10,CHOOSE(ArtifactsInput!$N$10+1,15,18,21,24,27,30)*(IF(Inputs!$B$38="pvp",MIN(15,15)/15,IF(AND(Inputs!$B$38&lt;&gt;"pvp",Inputs!$B$43&gt;0),MIN(15,Inputs!$B$43)/(Inputs!$B$43),0))),0)))&gt;=100),MIN(100,((Inputs!$B$9+((C907=TRUE)*(F907-Calc!F19))+B918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907=TRUE)*(F907-Calc!F19))+B918+(ArtifactsInput!$M$24-ArtifactsInput!$M$24)*CHOOSE(ArtifactsInput!$N$24+1,10,12,14,16,18,20)+IF(ArtifactsInput!$M$10,CHOOSE(ArtifactsInput!$N$10+1,15,18,21,24,27,30)*(IF(Inputs!$B$38="pvp",MIN(15,15)/15,IF(AND(Inputs!$B$38&lt;&gt;"pvp",Inputs!$B$43&gt;0),MIN(15,Inputs!$B$43)/(Inputs!$B$43),0))),0)))&gt;=100),CHOOSE(ArtifactsInput!$N$42+1,40,48,56,64,72,80),0))))/100)*((1+(((C905=TRUE)*F905)+((C912=TRUE)*(F912-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891)</f>
        <v/>
      </c>
      <c r="L891">
        <f>K891*(MIN(Inputs!$B$22+((C910=TRUE)*(F910-Calc!F22)),(Inputs!$B$23+0+(IF(ArtifactsInput!$M$15,CHOOSE(ArtifactsInput!$N$15+1,25,30,35,40,45,50)/100*(Inputs!$B$11-Inputs!$B$11),0))))/100+(Inputs!$B$23+0+(IF(ArtifactsInput!$M$15,CHOOSE(ArtifactsInput!$N$15+1,25,30,35,40,45,50)/100*(Inputs!$B$11-Inputs!$B$11),0)))/100)/2</f>
        <v/>
      </c>
      <c r="M891">
        <f>L891*(1+(Inputs!$B$10+((C913=TRUE)*(F913-Calc!F25))+B923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1">
        <f>L891*(1-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1">
        <f>(1-Summary!$B$11)*T891+Summary!$B$11*V891</f>
        <v/>
      </c>
      <c r="P891">
        <f>IF(B928=0,0,O891/B928)</f>
        <v/>
      </c>
      <c r="Q891">
        <f>IFERROR(1/(IF(Inputs!$B$38="pvp",15,MAX(0.1,Skills!D3-IF(Skills!E3=TRUE,Inputs!$B$32,0)))*(1-IF(AND(ArtifactsInput!$M$27,Inputs!$B$4="Chapter Hunt"),CHOOSE(ArtifactsInput!$N$27+1,20,24,28,32,36,40),0)/100)),0)</f>
        <v/>
      </c>
      <c r="R891">
        <f>IF(AND(Inputs!$B$38&lt;&gt;"pvp",Inputs!$B$43&gt;0),IF(MAX(0,Inputs!$B$43-B925)&lt;=0,0,(INT(MAX(0,Inputs!$B$43-B925)/(IF(Inputs!$B$38="pvp",15,MAX(0.1,Skills!D3-IF(Skills!E3=TRUE,Inputs!$B$32,0)))*(1-IF(AND(ArtifactsInput!$M$27,Inputs!$B$4="Chapter Hunt"),CHOOSE(ArtifactsInput!$N$27+1,20,24,28,32,36,40),0)/100)))+1)),0)</f>
        <v/>
      </c>
      <c r="S891">
        <f>IFERROR(O891/N891,0)</f>
        <v/>
      </c>
      <c r="T891">
        <f>IF(C891,(H891*N891*IF(AND(Inputs!$B$38&lt;&gt;"pvp",Inputs!$B$43&gt;0),((Skills!G3*((R891-1)*IF(Skills!H3&gt;0,Skills!I3/Skills!H3,1)+IF(Skills!H3&gt;0,MIN(Skills!I3,MAX(0,MAX(0,Inputs!$B$43-B925)-((R891-1)*(IF(Inputs!$B$38="pvp",15,MAX(0.1,Skills!D3-IF(Skills!E3=TRUE,Inputs!$B$32,0)))*(1-IF(AND(ArtifactsInput!$M$27,Inputs!$B$4="Chapter Hunt"),CHOOSE(ArtifactsInput!$N$27+1,20,24,28,32,36,40),0)/100)))))/Skills!H3,1)))/Inputs!$B$43),G891*Q891)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891*(1-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891*(1-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1">
        <f>INDEX(FactorTable!$B$2:$Y$301, MATCH(ROUND(MIN(300,MAX(1,U890)),0), FactorTable!$A$2:$A$301,0), 22)</f>
        <v/>
      </c>
      <c r="V891">
        <f>IF(C891,(H891*N891*IF(AND(Inputs!$B$38&lt;&gt;"pvp",Inputs!$B$43&gt;0),((Skills!G3*((R891-1)*IF(Skills!H3&gt;0,Skills!I3/Skills!H3,1)+IF(Skills!H3&gt;0,MIN(Skills!I3,MAX(0,MAX(0,Inputs!$B$43-B925)-((R891-1)*(IF(Inputs!$B$38="pvp",15,MAX(0.1,Skills!D3-IF(Skills!E3=TRUE,Inputs!$B$32,0)))*(1-IF(AND(ArtifactsInput!$M$27,Inputs!$B$4="Chapter Hunt"),CHOOSE(ArtifactsInput!$N$27+1,20,24,28,32,36,40),0)/100)))))/Skills!H3,1)))/Inputs!$B$43),G891*Q891))*IF(Inputs!$B$38="pvp",1,(1+(Inputs!$B$21+Skills!Q3+(IF(ArtifactsInput!$M$33,CHOOSE(ArtifactsInput!$N$33+1,30,36,42,48,54,60)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2">
      <c r="A892">
        <f>Skills!A4</f>
        <v/>
      </c>
      <c r="B892">
        <f>Skills!B4</f>
        <v/>
      </c>
      <c r="C892">
        <f>Inputs!$B$3&gt;=40</f>
        <v/>
      </c>
      <c r="D892">
        <f>IF(Skills!C4=1,60+Inputs!$B$25+Inputs!$B$29,IF(Skills!C4=2,90+Inputs!$B$26+Inputs!$B$29,IF(Skills!C4=3,120+Inputs!$B$27+Inputs!$B$29,MAX(0,(Inputs!$B$3-100)*3)+(Inputs!$B$28+1)+Inputs!$B$29)))</f>
        <v/>
      </c>
      <c r="E892">
        <f>INDEX(FactorTable!$B$2:$Y$301, MATCH(ROUND(MIN(300,MAX(1,D892)),0), FactorTable!$A$2:$A$301,0), Skills!M4+1)</f>
        <v/>
      </c>
      <c r="F892">
        <f>IF(Skills!N4=TRUE,(Skills!L4/10)*(E892/1000),Skills!L4/10)+Skills!O4</f>
        <v/>
      </c>
      <c r="G892">
        <f>Skills!G4*IF(Skills!H4&gt;0,Skills!I4/Skills!H4,1)</f>
        <v/>
      </c>
      <c r="H892">
        <f>1-(1-Skills!J4/100)^Skills!K4</f>
        <v/>
      </c>
      <c r="I892" t="inlineStr">
        <is>
          <t>1</t>
        </is>
      </c>
      <c r="J892">
        <f>((Inputs!$B$6*(1+Inputs!$B$7/100))+(((Inputs!$B$12*(1+Inputs!$B$13/100))-(Inputs!$B$12*(1+Inputs!$B$13/100)))+0.25*(Inputs!$B$14-Inputs!$B$14))*(1+Inputs!$B$7/100))*(F892/100)</f>
        <v/>
      </c>
      <c r="K892">
        <f>J892*(1+((Inputs!$B$12*(1+Inputs!$B$13/100))*0.01+Inputs!$B$14*0.0025)/100)*(1+Inputs!$B$15/100)*(1+Inputs!$B$16/100)*(5000/(6000+Inputs!$B$42*(1-(100*(1-(1-(Inputs!$B$19+0)/100)*(1-CHOOSE(ArtifactsInput!$N$40+1,5,6,7,8,9,10)/100)^(ArtifactsInput!$M$40-ArtifactsInput!$M$40)))/100)))*(1+(Inputs!$B$24+((C914=TRUE)*(F914-Calc!F26))+B924)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904=TRUE,F904,0)/100)*(1+(IF(Skills!A4="EIGHT_LEGS_EASTON",Inputs!$B$17+((C911=TRUE)*(F911-Calc!F23))+((C915=TRUE)*(F915-Calc!F27))+(((IF(AND(ArtifactsInput!$M$42,((Inputs!$B$9+((C907=TRUE)*(F907-Calc!F19))+B918+(ArtifactsInput!$M$24-ArtifactsInput!$M$24)*CHOOSE(ArtifactsInput!$N$24+1,10,12,14,16,18,20)+IF(ArtifactsInput!$M$10,CHOOSE(ArtifactsInput!$N$10+1,15,18,21,24,27,30)*(IF(Inputs!$B$38="pvp",MIN(15,15)/15,IF(AND(Inputs!$B$38&lt;&gt;"pvp",Inputs!$B$43&gt;0),MIN(15,Inputs!$B$43)/(Inputs!$B$43),0))),0)))&gt;=100),MIN(100,((Inputs!$B$9+((C907=TRUE)*(F907-Calc!F19))+B918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907=TRUE)*(F907-Calc!F19))+B918+(ArtifactsInput!$M$24-ArtifactsInput!$M$24)*CHOOSE(ArtifactsInput!$N$24+1,10,12,14,16,18,20)+IF(ArtifactsInput!$M$10,CHOOSE(ArtifactsInput!$N$10+1,15,18,21,24,27,30)*(IF(Inputs!$B$38="pvp",MIN(15,15)/15,IF(AND(Inputs!$B$38&lt;&gt;"pvp",Inputs!$B$43&gt;0),MIN(15,Inputs!$B$43)/(Inputs!$B$43),0))),0)))&gt;=100),CHOOSE(ArtifactsInput!$N$42+1,40,48,56,64,72,80),0))))/100)*((1+(((C905=TRUE)*F905)+((C912=TRUE)*(F912-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892)</f>
        <v/>
      </c>
      <c r="L892">
        <f>K892*(MIN(Inputs!$B$22+((C910=TRUE)*(F910-Calc!F22)),(Inputs!$B$23+0+(IF(ArtifactsInput!$M$15,CHOOSE(ArtifactsInput!$N$15+1,25,30,35,40,45,50)/100*(Inputs!$B$11-Inputs!$B$11),0))))/100+(Inputs!$B$23+0+(IF(ArtifactsInput!$M$15,CHOOSE(ArtifactsInput!$N$15+1,25,30,35,40,45,50)/100*(Inputs!$B$11-Inputs!$B$11),0)))/100)/2</f>
        <v/>
      </c>
      <c r="M892">
        <f>L892*(1+(Inputs!$B$10+((C913=TRUE)*(F913-Calc!F25))+B923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2">
        <f>L892*(1-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892*(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2">
        <f>(1-Summary!$B$11)*T892+Summary!$B$11*V892</f>
        <v/>
      </c>
      <c r="P892">
        <f>IF(B928=0,0,O892/B928)</f>
        <v/>
      </c>
      <c r="Q892">
        <f>IFERROR(1/(IF(Inputs!$B$38="pvp",15,MAX(0.1,Skills!D4-IF(Skills!E4=TRUE,Inputs!$B$32,0)))*(1-IF(AND(ArtifactsInput!$M$27,Inputs!$B$4="Chapter Hunt"),CHOOSE(ArtifactsInput!$N$27+1,20,24,28,32,36,40),0)/100)),0)</f>
        <v/>
      </c>
      <c r="R892">
        <f>IF(AND(Inputs!$B$38&lt;&gt;"pvp",Inputs!$B$43&gt;0),IF(MAX(0,Inputs!$B$43-B925)&lt;=0,0,(INT(MAX(0,Inputs!$B$43-B925)/(IF(Inputs!$B$38="pvp",15,MAX(0.1,Skills!D4-IF(Skills!E4=TRUE,Inputs!$B$32,0)))*(1-IF(AND(ArtifactsInput!$M$27,Inputs!$B$4="Chapter Hunt"),CHOOSE(ArtifactsInput!$N$27+1,20,24,28,32,36,40),0)/100)))+1)),0)</f>
        <v/>
      </c>
      <c r="S892">
        <f>IFERROR(O892/N892,0)</f>
        <v/>
      </c>
      <c r="T892">
        <f>IF(C892,(H892*N892*IF(AND(Inputs!$B$38&lt;&gt;"pvp",Inputs!$B$43&gt;0),((Skills!G4*((R892-1)*IF(Skills!H4&gt;0,Skills!I4/Skills!H4,1)+IF(Skills!H4&gt;0,MIN(Skills!I4,MAX(0,MAX(0,Inputs!$B$43-B925)-((R892-1)*(IF(Inputs!$B$38="pvp",15,MAX(0.1,Skills!D4-IF(Skills!E4=TRUE,Inputs!$B$32,0)))*(1-IF(AND(ArtifactsInput!$M$27,Inputs!$B$4="Chapter Hunt"),CHOOSE(ArtifactsInput!$N$27+1,20,24,28,32,36,40),0)/100)))))/Skills!H4,1)))/Inputs!$B$43),G892*Q892)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892*(1-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892*(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892*(1-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892*(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2">
        <f>290*U891/1000</f>
        <v/>
      </c>
      <c r="V892">
        <f>IF(C892,(H892*N892*IF(AND(Inputs!$B$38&lt;&gt;"pvp",Inputs!$B$43&gt;0),((Skills!G4*((R892-1)*IF(Skills!H4&gt;0,Skills!I4/Skills!H4,1)+IF(Skills!H4&gt;0,MIN(Skills!I4,MAX(0,MAX(0,Inputs!$B$43-B925)-((R892-1)*(IF(Inputs!$B$38="pvp",15,MAX(0.1,Skills!D4-IF(Skills!E4=TRUE,Inputs!$B$32,0)))*(1-IF(AND(ArtifactsInput!$M$27,Inputs!$B$4="Chapter Hunt"),CHOOSE(ArtifactsInput!$N$27+1,20,24,28,32,36,40),0)/100)))))/Skills!H4,1)))/Inputs!$B$43),G892*Q892))*IF(Inputs!$B$38="pvp",1,(1+(Inputs!$B$21+Skills!Q4+(IF(ArtifactsInput!$M$33,CHOOSE(ArtifactsInput!$N$33+1,30,36,42,48,54,60)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3">
      <c r="A893">
        <f>Skills!A5</f>
        <v/>
      </c>
      <c r="B893">
        <f>Skills!B5</f>
        <v/>
      </c>
      <c r="C893">
        <f>Inputs!$B$3&gt;=45</f>
        <v/>
      </c>
      <c r="D893">
        <f>IF(Skills!C5=1,60+Inputs!$B$25+Inputs!$B$29,IF(Skills!C5=2,90+Inputs!$B$26+Inputs!$B$29,IF(Skills!C5=3,120+Inputs!$B$27+Inputs!$B$29,MAX(0,(Inputs!$B$3-100)*3)+(Inputs!$B$28+1)+Inputs!$B$29)))</f>
        <v/>
      </c>
      <c r="E893">
        <f>INDEX(FactorTable!$B$2:$Y$301, MATCH(ROUND(MIN(300,MAX(1,D893)),0), FactorTable!$A$2:$A$301,0), Skills!M5+1)</f>
        <v/>
      </c>
      <c r="F893">
        <f>IF(Skills!N5=TRUE,(Skills!L5/10)*(E893/1000),Skills!L5/10)+Skills!O5</f>
        <v/>
      </c>
      <c r="G893">
        <f>Skills!G5*IF(Skills!H5&gt;0,Skills!I5/Skills!H5,1)</f>
        <v/>
      </c>
      <c r="H893">
        <f>1-(1-Skills!J5/100)^Skills!K5</f>
        <v/>
      </c>
      <c r="I893" t="inlineStr">
        <is>
          <t>1</t>
        </is>
      </c>
      <c r="J893">
        <f>((Inputs!$B$6*(1+Inputs!$B$7/100))+(((Inputs!$B$12*(1+Inputs!$B$13/100))-(Inputs!$B$12*(1+Inputs!$B$13/100)))+0.25*(Inputs!$B$14-Inputs!$B$14))*(1+Inputs!$B$7/100))*(F893/100)</f>
        <v/>
      </c>
      <c r="K893">
        <f>J893*(1+((Inputs!$B$12*(1+Inputs!$B$13/100))*0.01+Inputs!$B$14*0.0025)/100)*(1+Inputs!$B$15/100)*(1+Inputs!$B$16/100)*(5000/(6000+Inputs!$B$42*(1-(100*(1-(1-(Inputs!$B$19+0)/100)*(1-CHOOSE(ArtifactsInput!$N$40+1,5,6,7,8,9,10)/100)^(ArtifactsInput!$M$40-ArtifactsInput!$M$40)))/100)))*(1+(Inputs!$B$24+((C914=TRUE)*(F914-Calc!F26))+B924)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904=TRUE,F904,0)/100)*(1+(IF(Skills!A5="EIGHT_LEGS_EASTON",Inputs!$B$17+((C911=TRUE)*(F911-Calc!F23))+((C915=TRUE)*(F915-Calc!F27))+(((IF(AND(ArtifactsInput!$M$42,((Inputs!$B$9+((C907=TRUE)*(F907-Calc!F19))+B918+(ArtifactsInput!$M$24-ArtifactsInput!$M$24)*CHOOSE(ArtifactsInput!$N$24+1,10,12,14,16,18,20)+IF(ArtifactsInput!$M$10,CHOOSE(ArtifactsInput!$N$10+1,15,18,21,24,27,30)*(IF(Inputs!$B$38="pvp",MIN(15,15)/15,IF(AND(Inputs!$B$38&lt;&gt;"pvp",Inputs!$B$43&gt;0),MIN(15,Inputs!$B$43)/(Inputs!$B$43),0))),0)))&gt;=100),MIN(100,((Inputs!$B$9+((C907=TRUE)*(F907-Calc!F19))+B918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907=TRUE)*(F907-Calc!F19))+B918+(ArtifactsInput!$M$24-ArtifactsInput!$M$24)*CHOOSE(ArtifactsInput!$N$24+1,10,12,14,16,18,20)+IF(ArtifactsInput!$M$10,CHOOSE(ArtifactsInput!$N$10+1,15,18,21,24,27,30)*(IF(Inputs!$B$38="pvp",MIN(15,15)/15,IF(AND(Inputs!$B$38&lt;&gt;"pvp",Inputs!$B$43&gt;0),MIN(15,Inputs!$B$43)/(Inputs!$B$43),0))),0)))&gt;=100),CHOOSE(ArtifactsInput!$N$42+1,40,48,56,64,72,80),0))))/100)*((1+(((C905=TRUE)*F905)+((C912=TRUE)*(F912-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893)</f>
        <v/>
      </c>
      <c r="L893">
        <f>K893*(MIN(Inputs!$B$22+((C910=TRUE)*(F910-Calc!F22)),(Inputs!$B$23+0+(IF(ArtifactsInput!$M$15,CHOOSE(ArtifactsInput!$N$15+1,25,30,35,40,45,50)/100*(Inputs!$B$11-Inputs!$B$11),0))))/100+(Inputs!$B$23+0+(IF(ArtifactsInput!$M$15,CHOOSE(ArtifactsInput!$N$15+1,25,30,35,40,45,50)/100*(Inputs!$B$11-Inputs!$B$11),0)))/100)/2</f>
        <v/>
      </c>
      <c r="M893">
        <f>L893*(1+(Inputs!$B$10+((C913=TRUE)*(F913-Calc!F25))+B923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3">
        <f>L893*(1-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893*(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3">
        <f>(1-Summary!$B$11)*T893+Summary!$B$11*V893</f>
        <v/>
      </c>
      <c r="P893">
        <f>IF(B928=0,0,O893/B928)</f>
        <v/>
      </c>
      <c r="Q893">
        <f>IFERROR(1/(IF(Inputs!$B$38="pvp",15,MAX(0.1,Skills!D5-IF(Skills!E5=TRUE,Inputs!$B$32,0)))*(1-IF(AND(ArtifactsInput!$M$27,Inputs!$B$4="Chapter Hunt"),CHOOSE(ArtifactsInput!$N$27+1,20,24,28,32,36,40),0)/100)),0)</f>
        <v/>
      </c>
      <c r="R893">
        <f>IF(AND(Inputs!$B$38&lt;&gt;"pvp",Inputs!$B$43&gt;0),IF(MAX(0,Inputs!$B$43-B925)&lt;=0,0,(INT(MAX(0,Inputs!$B$43-B925)/(IF(Inputs!$B$38="pvp",15,MAX(0.1,Skills!D5-IF(Skills!E5=TRUE,Inputs!$B$32,0)))*(1-IF(AND(ArtifactsInput!$M$27,Inputs!$B$4="Chapter Hunt"),CHOOSE(ArtifactsInput!$N$27+1,20,24,28,32,36,40),0)/100)))+1)),0)</f>
        <v/>
      </c>
      <c r="S893">
        <f>IFERROR(O893/N893,0)</f>
        <v/>
      </c>
      <c r="T893">
        <f>IF(C893,(H893*N893*IF(AND(Inputs!$B$38&lt;&gt;"pvp",Inputs!$B$43&gt;0),((Skills!G5*((R893-1)*IF(Skills!H5&gt;0,Skills!I5/Skills!H5,1)+IF(Skills!H5&gt;0,MIN(Skills!I5,MAX(0,MAX(0,Inputs!$B$43-B925)-((R893-1)*(IF(Inputs!$B$38="pvp",15,MAX(0.1,Skills!D5-IF(Skills!E5=TRUE,Inputs!$B$32,0)))*(1-IF(AND(ArtifactsInput!$M$27,Inputs!$B$4="Chapter Hunt"),CHOOSE(ArtifactsInput!$N$27+1,20,24,28,32,36,40),0)/100)))))/Skills!H5,1)))/Inputs!$B$43),G893*Q893)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893*(1-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893*(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893*(1-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893*(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3">
        <f>IF(C893,(H893*N893*IF(AND(Inputs!$B$38&lt;&gt;"pvp",Inputs!$B$43&gt;0),((Skills!G5*((R893-1)*IF(Skills!H5&gt;0,Skills!I5/Skills!H5,1)+IF(Skills!H5&gt;0,MIN(Skills!I5,MAX(0,MAX(0,Inputs!$B$43-B925)-((R893-1)*(IF(Inputs!$B$38="pvp",15,MAX(0.1,Skills!D5-IF(Skills!E5=TRUE,Inputs!$B$32,0)))*(1-IF(AND(ArtifactsInput!$M$27,Inputs!$B$4="Chapter Hunt"),CHOOSE(ArtifactsInput!$N$27+1,20,24,28,32,36,40),0)/100)))))/Skills!H5,1)))/Inputs!$B$43),G893*Q893))*IF(Inputs!$B$38="pvp",1,(1+(Inputs!$B$21+Skills!Q5+(IF(ArtifactsInput!$M$33,CHOOSE(ArtifactsInput!$N$33+1,30,36,42,48,54,60)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4">
      <c r="A894">
        <f>Skills!A6</f>
        <v/>
      </c>
      <c r="B894">
        <f>Skills!B6</f>
        <v/>
      </c>
      <c r="C894">
        <f>Inputs!$B$3&gt;=63</f>
        <v/>
      </c>
      <c r="D894">
        <f>IF(Skills!C6=1,60+Inputs!$B$25+Inputs!$B$29,IF(Skills!C6=2,90+Inputs!$B$26+Inputs!$B$29,IF(Skills!C6=3,120+Inputs!$B$27+Inputs!$B$29,MAX(0,(Inputs!$B$3-100)*3)+(Inputs!$B$28+1)+Inputs!$B$29)))</f>
        <v/>
      </c>
      <c r="E894">
        <f>INDEX(FactorTable!$B$2:$Y$301, MATCH(ROUND(MIN(300,MAX(1,D894)),0), FactorTable!$A$2:$A$301,0), Skills!M6+1)</f>
        <v/>
      </c>
      <c r="F894">
        <f>IF(Skills!N6=TRUE,(Skills!L6/10)*(E894/1000),Skills!L6/10)+Skills!O6</f>
        <v/>
      </c>
      <c r="G894">
        <f>Skills!G6*IF(Skills!H6&gt;0,Skills!I6/Skills!H6,1)</f>
        <v/>
      </c>
      <c r="H894">
        <f>1-(1-Skills!J6/100)^Skills!K6</f>
        <v/>
      </c>
      <c r="I894" t="inlineStr">
        <is>
          <t>1</t>
        </is>
      </c>
      <c r="J894">
        <f>((Inputs!$B$6*(1+Inputs!$B$7/100))+(((Inputs!$B$12*(1+Inputs!$B$13/100))-(Inputs!$B$12*(1+Inputs!$B$13/100)))+0.25*(Inputs!$B$14-Inputs!$B$14))*(1+Inputs!$B$7/100))*(F894/100)</f>
        <v/>
      </c>
      <c r="K894">
        <f>J894*(1+((Inputs!$B$12*(1+Inputs!$B$13/100))*0.01+Inputs!$B$14*0.0025)/100)*(1+Inputs!$B$15/100)*(1+Inputs!$B$16/100)*(5000/(6000+Inputs!$B$42*(1-(100*(1-(1-(Inputs!$B$19+0)/100)*(1-CHOOSE(ArtifactsInput!$N$40+1,5,6,7,8,9,10)/100)^(ArtifactsInput!$M$40-ArtifactsInput!$M$40)))/100)))*(1+(Inputs!$B$24+((C914=TRUE)*(F914-Calc!F26))+B924)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903=TRUE,F903,0)/100)*(1+(IF(Skills!A6="EIGHT_LEGS_EASTON",Inputs!$B$17+((C911=TRUE)*(F911-Calc!F23))+((C915=TRUE)*(F915-Calc!F27))+(((IF(AND(ArtifactsInput!$M$42,((Inputs!$B$9+((C907=TRUE)*(F907-Calc!F19))+B918+(ArtifactsInput!$M$24-ArtifactsInput!$M$24)*CHOOSE(ArtifactsInput!$N$24+1,10,12,14,16,18,20)+IF(ArtifactsInput!$M$10,CHOOSE(ArtifactsInput!$N$10+1,15,18,21,24,27,30)*(IF(Inputs!$B$38="pvp",MIN(15,15)/15,IF(AND(Inputs!$B$38&lt;&gt;"pvp",Inputs!$B$43&gt;0),MIN(15,Inputs!$B$43)/(Inputs!$B$43),0))),0)))&gt;=100),MIN(100,((Inputs!$B$9+((C907=TRUE)*(F907-Calc!F19))+B918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907=TRUE)*(F907-Calc!F19))+B918+(ArtifactsInput!$M$24-ArtifactsInput!$M$24)*CHOOSE(ArtifactsInput!$N$24+1,10,12,14,16,18,20)+IF(ArtifactsInput!$M$10,CHOOSE(ArtifactsInput!$N$10+1,15,18,21,24,27,30)*(IF(Inputs!$B$38="pvp",MIN(15,15)/15,IF(AND(Inputs!$B$38&lt;&gt;"pvp",Inputs!$B$43&gt;0),MIN(15,Inputs!$B$43)/(Inputs!$B$43),0))),0)))&gt;=100),CHOOSE(ArtifactsInput!$N$42+1,40,48,56,64,72,80),0))))/100)*((1+(((C905=TRUE)*F905)+((C912=TRUE)*(F912-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894)</f>
        <v/>
      </c>
      <c r="L894">
        <f>K894*(MIN(Inputs!$B$22+((C910=TRUE)*(F910-Calc!F22)),(Inputs!$B$23+0+(IF(ArtifactsInput!$M$15,CHOOSE(ArtifactsInput!$N$15+1,25,30,35,40,45,50)/100*(Inputs!$B$11-Inputs!$B$11),0))))/100+(Inputs!$B$23+0+(IF(ArtifactsInput!$M$15,CHOOSE(ArtifactsInput!$N$15+1,25,30,35,40,45,50)/100*(Inputs!$B$11-Inputs!$B$11),0)))/100)/2</f>
        <v/>
      </c>
      <c r="M894">
        <f>L894*(1+(Inputs!$B$10+((C913=TRUE)*(F913-Calc!F25))+B923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4">
        <f>L894*(1-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894*(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4">
        <f>(1-Summary!$B$11)*T894+Summary!$B$11*V894</f>
        <v/>
      </c>
      <c r="P894">
        <f>IF(B928=0,0,O894/B928)</f>
        <v/>
      </c>
      <c r="Q894">
        <f>IFERROR(1/(IF(Inputs!$B$38="pvp",15,MAX(0.1,Skills!D6-IF(Skills!E6=TRUE,Inputs!$B$32,0)))*(1-IF(AND(ArtifactsInput!$M$27,Inputs!$B$4="Chapter Hunt"),CHOOSE(ArtifactsInput!$N$27+1,20,24,28,32,36,40),0)/100)),0)</f>
        <v/>
      </c>
      <c r="R894">
        <f>IF(AND(Inputs!$B$38&lt;&gt;"pvp",Inputs!$B$43&gt;0),IF(MAX(0,Inputs!$B$43-B925)&lt;=0,0,(INT(MAX(0,Inputs!$B$43-B925)/(IF(Inputs!$B$38="pvp",15,MAX(0.1,Skills!D6-IF(Skills!E6=TRUE,Inputs!$B$32,0)))*(1-IF(AND(ArtifactsInput!$M$27,Inputs!$B$4="Chapter Hunt"),CHOOSE(ArtifactsInput!$N$27+1,20,24,28,32,36,40),0)/100)))+1)),0)</f>
        <v/>
      </c>
      <c r="S894">
        <f>IFERROR(O894/N894,0)</f>
        <v/>
      </c>
      <c r="T894">
        <f>IF(C894,(H894*N894*IF(AND(Inputs!$B$38&lt;&gt;"pvp",Inputs!$B$43&gt;0),((Skills!G6*((R894-1)*IF(Skills!H6&gt;0,Skills!I6/Skills!H6,1)+IF(Skills!H6&gt;0,MIN(Skills!I6,MAX(0,MAX(0,Inputs!$B$43-B925)-((R894-1)*(IF(Inputs!$B$38="pvp",15,MAX(0.1,Skills!D6-IF(Skills!E6=TRUE,Inputs!$B$32,0)))*(1-IF(AND(ArtifactsInput!$M$27,Inputs!$B$4="Chapter Hunt"),CHOOSE(ArtifactsInput!$N$27+1,20,24,28,32,36,40),0)/100)))))/Skills!H6,1)))/Inputs!$B$43),G894*Q894)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894*(1-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894*(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894*(1-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894*(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4">
        <f>IF(C894,(H894*N894*IF(AND(Inputs!$B$38&lt;&gt;"pvp",Inputs!$B$43&gt;0),((Skills!G6*((R894-1)*IF(Skills!H6&gt;0,Skills!I6/Skills!H6,1)+IF(Skills!H6&gt;0,MIN(Skills!I6,MAX(0,MAX(0,Inputs!$B$43-B925)-((R894-1)*(IF(Inputs!$B$38="pvp",15,MAX(0.1,Skills!D6-IF(Skills!E6=TRUE,Inputs!$B$32,0)))*(1-IF(AND(ArtifactsInput!$M$27,Inputs!$B$4="Chapter Hunt"),CHOOSE(ArtifactsInput!$N$27+1,20,24,28,32,36,40),0)/100)))))/Skills!H6,1)))/Inputs!$B$43),G894*Q894))*IF(Inputs!$B$38="pvp",1,(1+(Inputs!$B$21+Skills!Q6+(IF(ArtifactsInput!$M$33,CHOOSE(ArtifactsInput!$N$33+1,30,36,42,48,54,60)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5">
      <c r="A895">
        <f>Skills!A7</f>
        <v/>
      </c>
      <c r="B895">
        <f>Skills!B7</f>
        <v/>
      </c>
      <c r="C895">
        <f>Inputs!$B$3&gt;=66</f>
        <v/>
      </c>
      <c r="D895">
        <f>IF(Skills!C7=1,60+Inputs!$B$25+Inputs!$B$29,IF(Skills!C7=2,90+Inputs!$B$26+Inputs!$B$29,IF(Skills!C7=3,120+Inputs!$B$27+Inputs!$B$29,MAX(0,(Inputs!$B$3-100)*3)+(Inputs!$B$28+1)+Inputs!$B$29)))</f>
        <v/>
      </c>
      <c r="E895">
        <f>INDEX(FactorTable!$B$2:$Y$301, MATCH(ROUND(MIN(300,MAX(1,D895)),0), FactorTable!$A$2:$A$301,0), Skills!M7+1)</f>
        <v/>
      </c>
      <c r="F895">
        <f>IF(Skills!N7=TRUE,(Skills!L7/10)*(E895/1000),Skills!L7/10)+Skills!O7</f>
        <v/>
      </c>
      <c r="G895">
        <f>Skills!G7*IF(Skills!H7&gt;0,Skills!I7/Skills!H7,1)</f>
        <v/>
      </c>
      <c r="H895">
        <f>1-(1-Skills!J7/100)^Skills!K7</f>
        <v/>
      </c>
      <c r="I895" t="inlineStr">
        <is>
          <t>1</t>
        </is>
      </c>
      <c r="J895">
        <f>((Inputs!$B$6*(1+Inputs!$B$7/100))+(((Inputs!$B$12*(1+Inputs!$B$13/100))-(Inputs!$B$12*(1+Inputs!$B$13/100)))+0.25*(Inputs!$B$14-Inputs!$B$14))*(1+Inputs!$B$7/100))*(F895/100)</f>
        <v/>
      </c>
      <c r="K895">
        <f>J895*(1+((Inputs!$B$12*(1+Inputs!$B$13/100))*0.01+Inputs!$B$14*0.0025)/100)*(1+Inputs!$B$15/100)*(1+Inputs!$B$16/100)*(5000/(6000+Inputs!$B$42*(1-(100*(1-(1-(Inputs!$B$19+0)/100)*(1-CHOOSE(ArtifactsInput!$N$40+1,5,6,7,8,9,10)/100)^(ArtifactsInput!$M$40-ArtifactsInput!$M$40)))/100)))*(1+(Inputs!$B$24+((C914=TRUE)*(F914-Calc!F26))+B924)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903=TRUE,F903,0)/100)*(1+(IF(Skills!A7="EIGHT_LEGS_EASTON",Inputs!$B$17+((C911=TRUE)*(F911-Calc!F23))+((C915=TRUE)*(F915-Calc!F27))+(((IF(AND(ArtifactsInput!$M$42,((Inputs!$B$9+((C907=TRUE)*(F907-Calc!F19))+B918+(ArtifactsInput!$M$24-ArtifactsInput!$M$24)*CHOOSE(ArtifactsInput!$N$24+1,10,12,14,16,18,20)+IF(ArtifactsInput!$M$10,CHOOSE(ArtifactsInput!$N$10+1,15,18,21,24,27,30)*(IF(Inputs!$B$38="pvp",MIN(15,15)/15,IF(AND(Inputs!$B$38&lt;&gt;"pvp",Inputs!$B$43&gt;0),MIN(15,Inputs!$B$43)/(Inputs!$B$43),0))),0)))&gt;=100),MIN(100,((Inputs!$B$9+((C907=TRUE)*(F907-Calc!F19))+B918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907=TRUE)*(F907-Calc!F19))+B918+(ArtifactsInput!$M$24-ArtifactsInput!$M$24)*CHOOSE(ArtifactsInput!$N$24+1,10,12,14,16,18,20)+IF(ArtifactsInput!$M$10,CHOOSE(ArtifactsInput!$N$10+1,15,18,21,24,27,30)*(IF(Inputs!$B$38="pvp",MIN(15,15)/15,IF(AND(Inputs!$B$38&lt;&gt;"pvp",Inputs!$B$43&gt;0),MIN(15,Inputs!$B$43)/(Inputs!$B$43),0))),0)))&gt;=100),CHOOSE(ArtifactsInput!$N$42+1,40,48,56,64,72,80),0))))/100)*((1+(((C905=TRUE)*F905)+((C912=TRUE)*(F912-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895)</f>
        <v/>
      </c>
      <c r="L895">
        <f>K895*(MIN(Inputs!$B$22+((C910=TRUE)*(F910-Calc!F22)),(Inputs!$B$23+0+(IF(ArtifactsInput!$M$15,CHOOSE(ArtifactsInput!$N$15+1,25,30,35,40,45,50)/100*(Inputs!$B$11-Inputs!$B$11),0))))/100+(Inputs!$B$23+0+(IF(ArtifactsInput!$M$15,CHOOSE(ArtifactsInput!$N$15+1,25,30,35,40,45,50)/100*(Inputs!$B$11-Inputs!$B$11),0)))/100)/2</f>
        <v/>
      </c>
      <c r="M895">
        <f>L895*(1+(Inputs!$B$10+((C913=TRUE)*(F913-Calc!F25))+B923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5">
        <f>L895*(1-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895*(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5">
        <f>(1-Summary!$B$11)*T895+Summary!$B$11*V895</f>
        <v/>
      </c>
      <c r="P895">
        <f>IF(B928=0,0,O895/B928)</f>
        <v/>
      </c>
      <c r="Q895">
        <f>IFERROR(1/(IF(Inputs!$B$38="pvp",15,MAX(0.1,Skills!D7-IF(Skills!E7=TRUE,Inputs!$B$32,0)))*(1-IF(AND(ArtifactsInput!$M$27,Inputs!$B$4="Chapter Hunt"),CHOOSE(ArtifactsInput!$N$27+1,20,24,28,32,36,40),0)/100)),0)</f>
        <v/>
      </c>
      <c r="R895">
        <f>IF(AND(Inputs!$B$38&lt;&gt;"pvp",Inputs!$B$43&gt;0),IF(MAX(0,Inputs!$B$43-B925)&lt;=0,0,(INT(MAX(0,Inputs!$B$43-B925)/(IF(Inputs!$B$38="pvp",15,MAX(0.1,Skills!D7-IF(Skills!E7=TRUE,Inputs!$B$32,0)))*(1-IF(AND(ArtifactsInput!$M$27,Inputs!$B$4="Chapter Hunt"),CHOOSE(ArtifactsInput!$N$27+1,20,24,28,32,36,40),0)/100)))+1)),0)</f>
        <v/>
      </c>
      <c r="S895">
        <f>IFERROR(O895/N895,0)</f>
        <v/>
      </c>
      <c r="T895">
        <f>IF(C895,(H895*N895*IF(AND(Inputs!$B$38&lt;&gt;"pvp",Inputs!$B$43&gt;0),((Skills!G7*((R895-1)*IF(Skills!H7&gt;0,Skills!I7/Skills!H7,1)+IF(Skills!H7&gt;0,MIN(Skills!I7,MAX(0,MAX(0,Inputs!$B$43-B925)-((R895-1)*(IF(Inputs!$B$38="pvp",15,MAX(0.1,Skills!D7-IF(Skills!E7=TRUE,Inputs!$B$32,0)))*(1-IF(AND(ArtifactsInput!$M$27,Inputs!$B$4="Chapter Hunt"),CHOOSE(ArtifactsInput!$N$27+1,20,24,28,32,36,40),0)/100)))))/Skills!H7,1)))/Inputs!$B$43),G895*Q895)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895*(1-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895*(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895*(1-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895*(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5">
        <f>IF(C895,(H895*N895*IF(AND(Inputs!$B$38&lt;&gt;"pvp",Inputs!$B$43&gt;0),((Skills!G7*((R895-1)*IF(Skills!H7&gt;0,Skills!I7/Skills!H7,1)+IF(Skills!H7&gt;0,MIN(Skills!I7,MAX(0,MAX(0,Inputs!$B$43-B925)-((R895-1)*(IF(Inputs!$B$38="pvp",15,MAX(0.1,Skills!D7-IF(Skills!E7=TRUE,Inputs!$B$32,0)))*(1-IF(AND(ArtifactsInput!$M$27,Inputs!$B$4="Chapter Hunt"),CHOOSE(ArtifactsInput!$N$27+1,20,24,28,32,36,40),0)/100)))))/Skills!H7,1)))/Inputs!$B$43),G895*Q895))*IF(Inputs!$B$38="pvp",1,(1+(Inputs!$B$21+Skills!Q7+(IF(ArtifactsInput!$M$33,CHOOSE(ArtifactsInput!$N$33+1,30,36,42,48,54,60)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6">
      <c r="A896">
        <f>Skills!A8</f>
        <v/>
      </c>
      <c r="B896">
        <f>Skills!B8</f>
        <v/>
      </c>
      <c r="C896">
        <f>Inputs!$B$3&gt;=100</f>
        <v/>
      </c>
      <c r="D896">
        <f>IF(Skills!C8=1,60+Inputs!$B$25+Inputs!$B$29,IF(Skills!C8=2,90+Inputs!$B$26+Inputs!$B$29,IF(Skills!C8=3,120+Inputs!$B$27+Inputs!$B$29,MAX(0,(Inputs!$B$3-100)*3)+(Inputs!$B$28+1)+Inputs!$B$29)))</f>
        <v/>
      </c>
      <c r="E896">
        <f>INDEX(FactorTable!$B$2:$Y$301, MATCH(ROUND(MIN(300,MAX(1,D896)),0), FactorTable!$A$2:$A$301,0), Skills!M8+1)</f>
        <v/>
      </c>
      <c r="F896">
        <f>IF(Skills!N8=TRUE,(Skills!L8/10)*(E896/1000),Skills!L8/10)+Skills!O8</f>
        <v/>
      </c>
      <c r="G896">
        <f>Skills!G8*IF(Skills!H8&gt;0,Skills!I8/Skills!H8,1)</f>
        <v/>
      </c>
      <c r="H896">
        <f>1-(1-Skills!J8/100)^Skills!K8</f>
        <v/>
      </c>
      <c r="I896" t="inlineStr">
        <is>
          <t>1</t>
        </is>
      </c>
      <c r="J896">
        <f>((Inputs!$B$6*(1+Inputs!$B$7/100))+(((Inputs!$B$12*(1+Inputs!$B$13/100))-(Inputs!$B$12*(1+Inputs!$B$13/100)))+0.25*(Inputs!$B$14-Inputs!$B$14))*(1+Inputs!$B$7/100))*(F896/100)</f>
        <v/>
      </c>
      <c r="K896">
        <f>J896*(1+((Inputs!$B$12*(1+Inputs!$B$13/100))*0.01+Inputs!$B$14*0.0025)/100)*(1+Inputs!$B$15/100)*(1+Inputs!$B$16/100)*(5000/(6000+Inputs!$B$42*(1-(100*(1-(1-(Inputs!$B$19+0)/100)*(1-CHOOSE(ArtifactsInput!$N$40+1,5,6,7,8,9,10)/100)^(ArtifactsInput!$M$40-ArtifactsInput!$M$40)))/100)))*(1+(Inputs!$B$24+((C914=TRUE)*(F914-Calc!F26))+B924)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911=TRUE)*(F911-Calc!F23))+((C915=TRUE)*(F915-Calc!F27))+(((IF(AND(ArtifactsInput!$M$42,((Inputs!$B$9+((C907=TRUE)*(F907-Calc!F19))+B918+(ArtifactsInput!$M$24-ArtifactsInput!$M$24)*CHOOSE(ArtifactsInput!$N$24+1,10,12,14,16,18,20)+IF(ArtifactsInput!$M$10,CHOOSE(ArtifactsInput!$N$10+1,15,18,21,24,27,30)*(IF(Inputs!$B$38="pvp",MIN(15,15)/15,IF(AND(Inputs!$B$38&lt;&gt;"pvp",Inputs!$B$43&gt;0),MIN(15,Inputs!$B$43)/(Inputs!$B$43),0))),0)))&gt;=100),MIN(100,((Inputs!$B$9+((C907=TRUE)*(F907-Calc!F19))+B918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907=TRUE)*(F907-Calc!F19))+B918+(ArtifactsInput!$M$24-ArtifactsInput!$M$24)*CHOOSE(ArtifactsInput!$N$24+1,10,12,14,16,18,20)+IF(ArtifactsInput!$M$10,CHOOSE(ArtifactsInput!$N$10+1,15,18,21,24,27,30)*(IF(Inputs!$B$38="pvp",MIN(15,15)/15,IF(AND(Inputs!$B$38&lt;&gt;"pvp",Inputs!$B$43&gt;0),MIN(15,Inputs!$B$43)/(Inputs!$B$43),0))),0)))&gt;=100),CHOOSE(ArtifactsInput!$N$42+1,40,48,56,64,72,80),0))))/100)*((1+(((C905=TRUE)*F905)+((C912=TRUE)*(F912-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896)</f>
        <v/>
      </c>
      <c r="L896">
        <f>K896*(MIN(Inputs!$B$22+((C910=TRUE)*(F910-Calc!F22)),(Inputs!$B$23+0+(IF(ArtifactsInput!$M$15,CHOOSE(ArtifactsInput!$N$15+1,25,30,35,40,45,50)/100*(Inputs!$B$11-Inputs!$B$11),0))))/100+(Inputs!$B$23+0+(IF(ArtifactsInput!$M$15,CHOOSE(ArtifactsInput!$N$15+1,25,30,35,40,45,50)/100*(Inputs!$B$11-Inputs!$B$11),0)))/100)/2</f>
        <v/>
      </c>
      <c r="M896">
        <f>L896*(1+(Inputs!$B$10+((C913=TRUE)*(F913-Calc!F25))+B923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6">
        <f>L896*(1-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896*(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6">
        <f>(1-Summary!$B$11)*T896+Summary!$B$11*V896</f>
        <v/>
      </c>
      <c r="P896">
        <f>IF(B928=0,0,O896/B928)</f>
        <v/>
      </c>
      <c r="Q896">
        <f>IFERROR(1/(IF(Inputs!$B$38="pvp",15,MAX(0.1,Skills!D8-IF(Skills!E8=TRUE,Inputs!$B$32,0)))*(1-IF(AND(ArtifactsInput!$M$27,Inputs!$B$4="Chapter Hunt"),CHOOSE(ArtifactsInput!$N$27+1,20,24,28,32,36,40),0)/100)),0)</f>
        <v/>
      </c>
      <c r="R896">
        <f>IF(AND(Inputs!$B$38&lt;&gt;"pvp",Inputs!$B$43&gt;0),IF(MAX(0,Inputs!$B$43-B925)&lt;=0,0,(INT(MAX(0,Inputs!$B$43-B925)/(IF(Inputs!$B$38="pvp",15,MAX(0.1,Skills!D8-IF(Skills!E8=TRUE,Inputs!$B$32,0)))*(1-IF(AND(ArtifactsInput!$M$27,Inputs!$B$4="Chapter Hunt"),CHOOSE(ArtifactsInput!$N$27+1,20,24,28,32,36,40),0)/100)))+1)),0)</f>
        <v/>
      </c>
      <c r="S896">
        <f>IFERROR(O896/N896,0)</f>
        <v/>
      </c>
      <c r="T896">
        <f>IF(C896,(H896*N896*IF(AND(Inputs!$B$38&lt;&gt;"pvp",Inputs!$B$43&gt;0),((Skills!G8*((R896-1)*IF(Skills!H8&gt;0,Skills!I8/Skills!H8,1)+IF(Skills!H8&gt;0,MIN(Skills!I8,MAX(0,MAX(0,Inputs!$B$43-B925)-((R896-1)*(IF(Inputs!$B$38="pvp",15,MAX(0.1,Skills!D8-IF(Skills!E8=TRUE,Inputs!$B$32,0)))*(1-IF(AND(ArtifactsInput!$M$27,Inputs!$B$4="Chapter Hunt"),CHOOSE(ArtifactsInput!$N$27+1,20,24,28,32,36,40),0)/100)))))/Skills!H8,1)))/Inputs!$B$43),G896*Q896)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896*(1-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896*(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896*(1-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896*(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6">
        <f>IF(C896,(H896*N896*IF(AND(Inputs!$B$38&lt;&gt;"pvp",Inputs!$B$43&gt;0),((Skills!G8*((R896-1)*IF(Skills!H8&gt;0,Skills!I8/Skills!H8,1)+IF(Skills!H8&gt;0,MIN(Skills!I8,MAX(0,MAX(0,Inputs!$B$43-B925)-((R896-1)*(IF(Inputs!$B$38="pvp",15,MAX(0.1,Skills!D8-IF(Skills!E8=TRUE,Inputs!$B$32,0)))*(1-IF(AND(ArtifactsInput!$M$27,Inputs!$B$4="Chapter Hunt"),CHOOSE(ArtifactsInput!$N$27+1,20,24,28,32,36,40),0)/100)))))/Skills!H8,1)))/Inputs!$B$43),G896*Q896))*IF(Inputs!$B$38="pvp",1,(1+(Inputs!$B$21+Skills!Q8+(IF(ArtifactsInput!$M$33,CHOOSE(ArtifactsInput!$N$33+1,30,36,42,48,54,60)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7">
      <c r="A897">
        <f>Skills!A9</f>
        <v/>
      </c>
      <c r="B897">
        <f>Skills!B9</f>
        <v/>
      </c>
      <c r="C897">
        <f>Inputs!$B$3&gt;=103</f>
        <v/>
      </c>
      <c r="D897">
        <f>IF(Skills!C9=1,60+Inputs!$B$25+Inputs!$B$29,IF(Skills!C9=2,90+Inputs!$B$26+Inputs!$B$29,IF(Skills!C9=3,120+Inputs!$B$27+Inputs!$B$29,MAX(0,(Inputs!$B$3-100)*3)+(Inputs!$B$28+1)+Inputs!$B$29)))</f>
        <v/>
      </c>
      <c r="E897">
        <f>INDEX(FactorTable!$B$2:$Y$301, MATCH(ROUND(MIN(300,MAX(1,D897)),0), FactorTable!$A$2:$A$301,0), Skills!M9+1)</f>
        <v/>
      </c>
      <c r="F897">
        <f>IF(Skills!N9=TRUE,(Skills!L9/10)*(E897/1000),Skills!L9/10)+Skills!O9</f>
        <v/>
      </c>
      <c r="G897">
        <f>Skills!G9*IF(Skills!H9&gt;0,Skills!I9/Skills!H9,1)</f>
        <v/>
      </c>
      <c r="H897">
        <f>1-(1-Skills!J9/100)^Skills!K9</f>
        <v/>
      </c>
      <c r="I897" t="inlineStr">
        <is>
          <t>1</t>
        </is>
      </c>
      <c r="J897">
        <f>((Inputs!$B$6*(1+Inputs!$B$7/100))+(((Inputs!$B$12*(1+Inputs!$B$13/100))-(Inputs!$B$12*(1+Inputs!$B$13/100)))+0.25*(Inputs!$B$14-Inputs!$B$14))*(1+Inputs!$B$7/100))*(F897/100)</f>
        <v/>
      </c>
      <c r="K897">
        <f>J897*(1+((Inputs!$B$12*(1+Inputs!$B$13/100))*0.01+Inputs!$B$14*0.0025)/100)*(1+Inputs!$B$15/100)*(1+Inputs!$B$16/100)*(5000/(6000+Inputs!$B$42*(1-(100*(1-(1-(Inputs!$B$19+0)/100)*(1-CHOOSE(ArtifactsInput!$N$40+1,5,6,7,8,9,10)/100)^(ArtifactsInput!$M$40-ArtifactsInput!$M$40)))/100)))*(1+(Inputs!$B$24+((C914=TRUE)*(F914-Calc!F26))+B924)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911=TRUE)*(F911-Calc!F23))+((C915=TRUE)*(F915-Calc!F27))+(((IF(AND(ArtifactsInput!$M$42,((Inputs!$B$9+((C907=TRUE)*(F907-Calc!F19))+B918+(ArtifactsInput!$M$24-ArtifactsInput!$M$24)*CHOOSE(ArtifactsInput!$N$24+1,10,12,14,16,18,20)+IF(ArtifactsInput!$M$10,CHOOSE(ArtifactsInput!$N$10+1,15,18,21,24,27,30)*(IF(Inputs!$B$38="pvp",MIN(15,15)/15,IF(AND(Inputs!$B$38&lt;&gt;"pvp",Inputs!$B$43&gt;0),MIN(15,Inputs!$B$43)/(Inputs!$B$43),0))),0)))&gt;=100),MIN(100,((Inputs!$B$9+((C907=TRUE)*(F907-Calc!F19))+B918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907=TRUE)*(F907-Calc!F19))+B918+(ArtifactsInput!$M$24-ArtifactsInput!$M$24)*CHOOSE(ArtifactsInput!$N$24+1,10,12,14,16,18,20)+IF(ArtifactsInput!$M$10,CHOOSE(ArtifactsInput!$N$10+1,15,18,21,24,27,30)*(IF(Inputs!$B$38="pvp",MIN(15,15)/15,IF(AND(Inputs!$B$38&lt;&gt;"pvp",Inputs!$B$43&gt;0),MIN(15,Inputs!$B$43)/(Inputs!$B$43),0))),0)))&gt;=100),CHOOSE(ArtifactsInput!$N$42+1,40,48,56,64,72,80),0))))/100)*((1+(((C905=TRUE)*F905)+((C912=TRUE)*(F912-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897)</f>
        <v/>
      </c>
      <c r="L897">
        <f>K897*(MIN(Inputs!$B$22+((C910=TRUE)*(F910-Calc!F22)),(Inputs!$B$23+0+(IF(ArtifactsInput!$M$15,CHOOSE(ArtifactsInput!$N$15+1,25,30,35,40,45,50)/100*(Inputs!$B$11-Inputs!$B$11),0))))/100+(Inputs!$B$23+0+(IF(ArtifactsInput!$M$15,CHOOSE(ArtifactsInput!$N$15+1,25,30,35,40,45,50)/100*(Inputs!$B$11-Inputs!$B$11),0)))/100)/2</f>
        <v/>
      </c>
      <c r="M897">
        <f>L897*(1+(Inputs!$B$10+((C913=TRUE)*(F913-Calc!F25))+B923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7">
        <f>L897*(1-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897*(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7">
        <f>(1-Summary!$B$11)*T897+Summary!$B$11*V897</f>
        <v/>
      </c>
      <c r="P897">
        <f>IF(B928=0,0,O897/B928)</f>
        <v/>
      </c>
      <c r="Q897">
        <f>IFERROR(1/(IF(Inputs!$B$38="pvp",15,MAX(0.1,Skills!D9-IF(Skills!E9=TRUE,Inputs!$B$32,0)))*(1-IF(AND(ArtifactsInput!$M$27,Inputs!$B$4="Chapter Hunt"),CHOOSE(ArtifactsInput!$N$27+1,20,24,28,32,36,40),0)/100)),0)</f>
        <v/>
      </c>
      <c r="R897">
        <f>IF(AND(Inputs!$B$38&lt;&gt;"pvp",Inputs!$B$43&gt;0),IF(MAX(0,Inputs!$B$43-B925)&lt;=0,0,(INT(MAX(0,Inputs!$B$43-B925)/(IF(Inputs!$B$38="pvp",15,MAX(0.1,Skills!D9-IF(Skills!E9=TRUE,Inputs!$B$32,0)))*(1-IF(AND(ArtifactsInput!$M$27,Inputs!$B$4="Chapter Hunt"),CHOOSE(ArtifactsInput!$N$27+1,20,24,28,32,36,40),0)/100)))+1)),0)</f>
        <v/>
      </c>
      <c r="S897">
        <f>IFERROR(O897/N897,0)</f>
        <v/>
      </c>
      <c r="T897">
        <f>IF(C897,(H897*N897*IF(AND(Inputs!$B$38&lt;&gt;"pvp",Inputs!$B$43&gt;0),((Skills!G9*((R897-1)*IF(Skills!H9&gt;0,Skills!I9/Skills!H9,1)+IF(Skills!H9&gt;0,MIN(Skills!I9,MAX(0,MAX(0,Inputs!$B$43-B925)-((R897-1)*(IF(Inputs!$B$38="pvp",15,MAX(0.1,Skills!D9-IF(Skills!E9=TRUE,Inputs!$B$32,0)))*(1-IF(AND(ArtifactsInput!$M$27,Inputs!$B$4="Chapter Hunt"),CHOOSE(ArtifactsInput!$N$27+1,20,24,28,32,36,40),0)/100)))))/Skills!H9,1)))/Inputs!$B$43),G897*Q897)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897*(1-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897*(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897*(1-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897*(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7">
        <f>IF(C897,(H897*N897*IF(AND(Inputs!$B$38&lt;&gt;"pvp",Inputs!$B$43&gt;0),((Skills!G9*((R897-1)*IF(Skills!H9&gt;0,Skills!I9/Skills!H9,1)+IF(Skills!H9&gt;0,MIN(Skills!I9,MAX(0,MAX(0,Inputs!$B$43-B925)-((R897-1)*(IF(Inputs!$B$38="pvp",15,MAX(0.1,Skills!D9-IF(Skills!E9=TRUE,Inputs!$B$32,0)))*(1-IF(AND(ArtifactsInput!$M$27,Inputs!$B$4="Chapter Hunt"),CHOOSE(ArtifactsInput!$N$27+1,20,24,28,32,36,40),0)/100)))))/Skills!H9,1)))/Inputs!$B$43),G897*Q897))*IF(Inputs!$B$38="pvp",1,(1+(Inputs!$B$21+Skills!Q9+(IF(ArtifactsInput!$M$33,CHOOSE(ArtifactsInput!$N$33+1,30,36,42,48,54,60)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8">
      <c r="A898">
        <f>Skills!A10</f>
        <v/>
      </c>
      <c r="B898">
        <f>Skills!B10</f>
        <v/>
      </c>
      <c r="C898">
        <f>Inputs!$B$3&gt;=113</f>
        <v/>
      </c>
      <c r="D898">
        <f>IF(Skills!C10=1,60+Inputs!$B$25+Inputs!$B$29,IF(Skills!C10=2,90+Inputs!$B$26+Inputs!$B$29,IF(Skills!C10=3,120+Inputs!$B$27+Inputs!$B$29,MAX(0,(Inputs!$B$3-100)*3)+(Inputs!$B$28+1)+Inputs!$B$29)))</f>
        <v/>
      </c>
      <c r="E898">
        <f>INDEX(FactorTable!$B$2:$Y$301, MATCH(ROUND(MIN(300,MAX(1,D898)),0), FactorTable!$A$2:$A$301,0), Skills!M10+1)</f>
        <v/>
      </c>
      <c r="F898">
        <f>IF(Skills!N10=TRUE,(Skills!L10/10)*(E898/1000),Skills!L10/10)+Skills!O10</f>
        <v/>
      </c>
      <c r="G898">
        <f>Skills!G10*IF(Skills!H10&gt;0,Skills!I10/Skills!H10,1)</f>
        <v/>
      </c>
      <c r="H898">
        <f>1-(1-Skills!J10/100)^Skills!K10</f>
        <v/>
      </c>
      <c r="I898" t="inlineStr">
        <is>
          <t>1</t>
        </is>
      </c>
      <c r="J898">
        <f>((Inputs!$B$6*(1+Inputs!$B$7/100))+(((Inputs!$B$12*(1+Inputs!$B$13/100))-(Inputs!$B$12*(1+Inputs!$B$13/100)))+0.25*(Inputs!$B$14-Inputs!$B$14))*(1+Inputs!$B$7/100))*(F898/100)</f>
        <v/>
      </c>
      <c r="K898">
        <f>J898*(1+((Inputs!$B$12*(1+Inputs!$B$13/100))*0.01+Inputs!$B$14*0.0025)/100)*(1+Inputs!$B$15/100)*(1+Inputs!$B$16/100)*(5000/(6000+Inputs!$B$42*(1-(100*(1-(1-(Inputs!$B$19+0)/100)*(1-CHOOSE(ArtifactsInput!$N$40+1,5,6,7,8,9,10)/100)^(ArtifactsInput!$M$40-ArtifactsInput!$M$40)))/100)))*(1+(Inputs!$B$24+((C914=TRUE)*(F914-Calc!F26))+B924)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911=TRUE)*(F911-Calc!F23))+((C915=TRUE)*(F915-Calc!F27))+(((IF(AND(ArtifactsInput!$M$42,((Inputs!$B$9+((C907=TRUE)*(F907-Calc!F19))+B918+(ArtifactsInput!$M$24-ArtifactsInput!$M$24)*CHOOSE(ArtifactsInput!$N$24+1,10,12,14,16,18,20)+IF(ArtifactsInput!$M$10,CHOOSE(ArtifactsInput!$N$10+1,15,18,21,24,27,30)*(IF(Inputs!$B$38="pvp",MIN(15,15)/15,IF(AND(Inputs!$B$38&lt;&gt;"pvp",Inputs!$B$43&gt;0),MIN(15,Inputs!$B$43)/(Inputs!$B$43),0))),0)))&gt;=100),MIN(100,((Inputs!$B$9+((C907=TRUE)*(F907-Calc!F19))+B918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907=TRUE)*(F907-Calc!F19))+B918+(ArtifactsInput!$M$24-ArtifactsInput!$M$24)*CHOOSE(ArtifactsInput!$N$24+1,10,12,14,16,18,20)+IF(ArtifactsInput!$M$10,CHOOSE(ArtifactsInput!$N$10+1,15,18,21,24,27,30)*(IF(Inputs!$B$38="pvp",MIN(15,15)/15,IF(AND(Inputs!$B$38&lt;&gt;"pvp",Inputs!$B$43&gt;0),MIN(15,Inputs!$B$43)/(Inputs!$B$43),0))),0)))&gt;=100),CHOOSE(ArtifactsInput!$N$42+1,40,48,56,64,72,80),0))))/100)*((1+(((C905=TRUE)*F905)+((C912=TRUE)*(F912-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898)</f>
        <v/>
      </c>
      <c r="L898">
        <f>K898*(MIN(Inputs!$B$22+((C910=TRUE)*(F910-Calc!F22)),(Inputs!$B$23+0+(IF(ArtifactsInput!$M$15,CHOOSE(ArtifactsInput!$N$15+1,25,30,35,40,45,50)/100*(Inputs!$B$11-Inputs!$B$11),0))))/100+(Inputs!$B$23+0+(IF(ArtifactsInput!$M$15,CHOOSE(ArtifactsInput!$N$15+1,25,30,35,40,45,50)/100*(Inputs!$B$11-Inputs!$B$11),0)))/100)/2</f>
        <v/>
      </c>
      <c r="M898">
        <f>L898*(1+(Inputs!$B$10+((C913=TRUE)*(F913-Calc!F25))+B923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8">
        <f>L898*(1-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898*(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8">
        <f>(1-Summary!$B$11)*T898+Summary!$B$11*V898</f>
        <v/>
      </c>
      <c r="P898">
        <f>IF(B928=0,0,O898/B928)</f>
        <v/>
      </c>
      <c r="Q898">
        <f>IFERROR(1/(IF(Inputs!$B$38="pvp",15,MAX(0.1,Skills!D10-IF(Skills!E10=TRUE,Inputs!$B$32,0)))*(1-IF(AND(ArtifactsInput!$M$27,Inputs!$B$4="Chapter Hunt"),CHOOSE(ArtifactsInput!$N$27+1,20,24,28,32,36,40),0)/100)),0)</f>
        <v/>
      </c>
      <c r="R898">
        <f>IF(AND(Inputs!$B$38&lt;&gt;"pvp",Inputs!$B$43&gt;0),IF(MAX(0,Inputs!$B$43-B925)&lt;=0,0,(INT(MAX(0,Inputs!$B$43-B925)/(IF(Inputs!$B$38="pvp",15,MAX(0.1,Skills!D10-IF(Skills!E10=TRUE,Inputs!$B$32,0)))*(1-IF(AND(ArtifactsInput!$M$27,Inputs!$B$4="Chapter Hunt"),CHOOSE(ArtifactsInput!$N$27+1,20,24,28,32,36,40),0)/100)))+1)),0)</f>
        <v/>
      </c>
      <c r="S898">
        <f>IFERROR(O898/N898,0)</f>
        <v/>
      </c>
      <c r="T898">
        <f>IF(C898,(H898*N898*IF(AND(Inputs!$B$38&lt;&gt;"pvp",Inputs!$B$43&gt;0),((Skills!G10*((R898-1)*IF(Skills!H10&gt;0,Skills!I10/Skills!H10,1)+IF(Skills!H10&gt;0,MIN(Skills!I10,MAX(0,MAX(0,Inputs!$B$43-B925)-((R898-1)*(IF(Inputs!$B$38="pvp",15,MAX(0.1,Skills!D10-IF(Skills!E10=TRUE,Inputs!$B$32,0)))*(1-IF(AND(ArtifactsInput!$M$27,Inputs!$B$4="Chapter Hunt"),CHOOSE(ArtifactsInput!$N$27+1,20,24,28,32,36,40),0)/100)))))/Skills!H10,1)))/Inputs!$B$43),G898*Q898)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898*(1-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898*(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898*(1-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898*(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8">
        <f>IF(C898,(H898*N898*IF(AND(Inputs!$B$38&lt;&gt;"pvp",Inputs!$B$43&gt;0),((Skills!G10*((R898-1)*IF(Skills!H10&gt;0,Skills!I10/Skills!H10,1)+IF(Skills!H10&gt;0,MIN(Skills!I10,MAX(0,MAX(0,Inputs!$B$43-B925)-((R898-1)*(IF(Inputs!$B$38="pvp",15,MAX(0.1,Skills!D10-IF(Skills!E10=TRUE,Inputs!$B$32,0)))*(1-IF(AND(ArtifactsInput!$M$27,Inputs!$B$4="Chapter Hunt"),CHOOSE(ArtifactsInput!$N$27+1,20,24,28,32,36,40),0)/100)))))/Skills!H10,1)))/Inputs!$B$43),G898*Q898))*IF(Inputs!$B$38="pvp",1,(1+(Inputs!$B$21+Skills!Q10+(IF(ArtifactsInput!$M$33,CHOOSE(ArtifactsInput!$N$33+1,30,36,42,48,54,60)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9">
      <c r="A899">
        <f>Skills!A11</f>
        <v/>
      </c>
      <c r="B899">
        <f>Skills!B11</f>
        <v/>
      </c>
      <c r="C899">
        <f>Inputs!$B$3&gt;=107</f>
        <v/>
      </c>
      <c r="D899">
        <f>IF(Skills!C11=1,60+Inputs!$B$25+Inputs!$B$29,IF(Skills!C11=2,90+Inputs!$B$26+Inputs!$B$29,IF(Skills!C11=3,120+Inputs!$B$27+Inputs!$B$29,MAX(0,(Inputs!$B$3-100)*3)+(Inputs!$B$28+1)+Inputs!$B$29)))</f>
        <v/>
      </c>
      <c r="E899">
        <f>INDEX(FactorTable!$B$2:$Y$301, MATCH(ROUND(MIN(300,MAX(1,D899)),0), FactorTable!$A$2:$A$301,0), Skills!M11+1)</f>
        <v/>
      </c>
      <c r="F899">
        <f>IF(Skills!N11=TRUE,(Skills!L11/10)*(E899/1000),Skills!L11/10)+Skills!O11</f>
        <v/>
      </c>
      <c r="G899">
        <f>Skills!G11*IF(Skills!H11&gt;0,Skills!I11/Skills!H11,1)</f>
        <v/>
      </c>
      <c r="H899">
        <f>1-(1-Skills!J11/100)^Skills!K11</f>
        <v/>
      </c>
      <c r="I899" t="inlineStr">
        <is>
          <t>1</t>
        </is>
      </c>
      <c r="J899">
        <f>((Inputs!$B$6*(1+Inputs!$B$7/100))+(((Inputs!$B$12*(1+Inputs!$B$13/100))-(Inputs!$B$12*(1+Inputs!$B$13/100)))+0.25*(Inputs!$B$14-Inputs!$B$14))*(1+Inputs!$B$7/100))*(F899/100)</f>
        <v/>
      </c>
      <c r="K899">
        <f>J899*(1+((Inputs!$B$12*(1+Inputs!$B$13/100))*0.01+Inputs!$B$14*0.0025)/100)*(1+Inputs!$B$15/100)*(1+Inputs!$B$16/100)*(5000/(6000+Inputs!$B$42*(1-(100*(1-(1-(Inputs!$B$19+0)/100)*(1-CHOOSE(ArtifactsInput!$N$40+1,5,6,7,8,9,10)/100)^(ArtifactsInput!$M$40-ArtifactsInput!$M$40)))/100)))*(1+(Inputs!$B$24+((C914=TRUE)*(F914-Calc!F26))+B924)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911=TRUE)*(F911-Calc!F23))+((C915=TRUE)*(F915-Calc!F27))+(((IF(AND(ArtifactsInput!$M$42,((Inputs!$B$9+((C907=TRUE)*(F907-Calc!F19))+B918+(ArtifactsInput!$M$24-ArtifactsInput!$M$24)*CHOOSE(ArtifactsInput!$N$24+1,10,12,14,16,18,20)+IF(ArtifactsInput!$M$10,CHOOSE(ArtifactsInput!$N$10+1,15,18,21,24,27,30)*(IF(Inputs!$B$38="pvp",MIN(15,15)/15,IF(AND(Inputs!$B$38&lt;&gt;"pvp",Inputs!$B$43&gt;0),MIN(15,Inputs!$B$43)/(Inputs!$B$43),0))),0)))&gt;=100),MIN(100,((Inputs!$B$9+((C907=TRUE)*(F907-Calc!F19))+B918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907=TRUE)*(F907-Calc!F19))+B918+(ArtifactsInput!$M$24-ArtifactsInput!$M$24)*CHOOSE(ArtifactsInput!$N$24+1,10,12,14,16,18,20)+IF(ArtifactsInput!$M$10,CHOOSE(ArtifactsInput!$N$10+1,15,18,21,24,27,30)*(IF(Inputs!$B$38="pvp",MIN(15,15)/15,IF(AND(Inputs!$B$38&lt;&gt;"pvp",Inputs!$B$43&gt;0),MIN(15,Inputs!$B$43)/(Inputs!$B$43),0))),0)))&gt;=100),CHOOSE(ArtifactsInput!$N$42+1,40,48,56,64,72,80),0))))/100)*((1+(((C905=TRUE)*F905)+((C912=TRUE)*(F912-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899)</f>
        <v/>
      </c>
      <c r="L899">
        <f>K899*(MIN(Inputs!$B$22+((C910=TRUE)*(F910-Calc!F22)),(Inputs!$B$23+0+(IF(ArtifactsInput!$M$15,CHOOSE(ArtifactsInput!$N$15+1,25,30,35,40,45,50)/100*(Inputs!$B$11-Inputs!$B$11),0))))/100+(Inputs!$B$23+0+(IF(ArtifactsInput!$M$15,CHOOSE(ArtifactsInput!$N$15+1,25,30,35,40,45,50)/100*(Inputs!$B$11-Inputs!$B$11),0)))/100)/2</f>
        <v/>
      </c>
      <c r="M899">
        <f>L899*(1+(Inputs!$B$10+((C913=TRUE)*(F913-Calc!F25))+B923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9">
        <f>L899*(1-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899*(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9">
        <f>(1-Summary!$B$11)*T899+Summary!$B$11*V899</f>
        <v/>
      </c>
      <c r="P899">
        <f>IF(B928=0,0,O899/B928)</f>
        <v/>
      </c>
      <c r="Q899">
        <f>IFERROR(1/(IF(Inputs!$B$38="pvp",15,MAX(0.1,Skills!D11-IF(Skills!E11=TRUE,Inputs!$B$32,0)))*(1-IF(AND(ArtifactsInput!$M$27,Inputs!$B$4="Chapter Hunt"),CHOOSE(ArtifactsInput!$N$27+1,20,24,28,32,36,40),0)/100)),0)</f>
        <v/>
      </c>
      <c r="R899">
        <f>IF(AND(Inputs!$B$38&lt;&gt;"pvp",Inputs!$B$43&gt;0),IF(MAX(0,Inputs!$B$43-B925)&lt;=0,0,(INT(MAX(0,Inputs!$B$43-B925)/(IF(Inputs!$B$38="pvp",15,MAX(0.1,Skills!D11-IF(Skills!E11=TRUE,Inputs!$B$32,0)))*(1-IF(AND(ArtifactsInput!$M$27,Inputs!$B$4="Chapter Hunt"),CHOOSE(ArtifactsInput!$N$27+1,20,24,28,32,36,40),0)/100)))+1)),0)</f>
        <v/>
      </c>
      <c r="S899">
        <f>IFERROR(O899/N899,0)</f>
        <v/>
      </c>
      <c r="T899">
        <f>IF(C899,(H899*N899*IF(AND(Inputs!$B$38&lt;&gt;"pvp",Inputs!$B$43&gt;0),((Skills!G11*((R899-1)*IF(Skills!H11&gt;0,Skills!I11/Skills!H11,1)+IF(Skills!H11&gt;0,MIN(Skills!I11,MAX(0,MAX(0,Inputs!$B$43-B925)-((R899-1)*(IF(Inputs!$B$38="pvp",15,MAX(0.1,Skills!D11-IF(Skills!E11=TRUE,Inputs!$B$32,0)))*(1-IF(AND(ArtifactsInput!$M$27,Inputs!$B$4="Chapter Hunt"),CHOOSE(ArtifactsInput!$N$27+1,20,24,28,32,36,40),0)/100)))))/Skills!H11,1)))/Inputs!$B$43),G899*Q899)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899*(1-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899*(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899*(1-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899*(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9">
        <f>IF(C899,(H899*N899*IF(AND(Inputs!$B$38&lt;&gt;"pvp",Inputs!$B$43&gt;0),((Skills!G11*((R899-1)*IF(Skills!H11&gt;0,Skills!I11/Skills!H11,1)+IF(Skills!H11&gt;0,MIN(Skills!I11,MAX(0,MAX(0,Inputs!$B$43-B925)-((R899-1)*(IF(Inputs!$B$38="pvp",15,MAX(0.1,Skills!D11-IF(Skills!E11=TRUE,Inputs!$B$32,0)))*(1-IF(AND(ArtifactsInput!$M$27,Inputs!$B$4="Chapter Hunt"),CHOOSE(ArtifactsInput!$N$27+1,20,24,28,32,36,40),0)/100)))))/Skills!H11,1)))/Inputs!$B$43),G899*Q899))*IF(Inputs!$B$38="pvp",1,(1+(Inputs!$B$21+Skills!Q11+(IF(ArtifactsInput!$M$33,CHOOSE(ArtifactsInput!$N$33+1,30,36,42,48,54,60)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0">
      <c r="A900">
        <f>Skills!A12</f>
        <v/>
      </c>
      <c r="B900">
        <f>Skills!B12</f>
        <v/>
      </c>
      <c r="C900">
        <f>Inputs!$B$3&gt;=110</f>
        <v/>
      </c>
      <c r="D900">
        <f>IF(Skills!C12=1,60+Inputs!$B$25+Inputs!$B$29,IF(Skills!C12=2,90+Inputs!$B$26+Inputs!$B$29,IF(Skills!C12=3,120+Inputs!$B$27+Inputs!$B$29,MAX(0,(Inputs!$B$3-100)*3)+(Inputs!$B$28+1)+Inputs!$B$29)))</f>
        <v/>
      </c>
      <c r="E900">
        <f>INDEX(FactorTable!$B$2:$Y$301, MATCH(ROUND(MIN(300,MAX(1,D900)),0), FactorTable!$A$2:$A$301,0), Skills!M12+1)</f>
        <v/>
      </c>
      <c r="F900">
        <f>IF(Skills!N12=TRUE,(Skills!L12/10)*(E900/1000),Skills!L12/10)+Skills!O12</f>
        <v/>
      </c>
      <c r="G900">
        <f>Skills!G12*IF(Skills!H12&gt;0,Skills!I12/Skills!H12,1)</f>
        <v/>
      </c>
      <c r="H900">
        <f>1-(1-Skills!J12/100)^Skills!K12</f>
        <v/>
      </c>
      <c r="I900" t="inlineStr">
        <is>
          <t>1</t>
        </is>
      </c>
      <c r="J900">
        <f>((Inputs!$B$6*(1+Inputs!$B$7/100))+(((Inputs!$B$12*(1+Inputs!$B$13/100))-(Inputs!$B$12*(1+Inputs!$B$13/100)))+0.25*(Inputs!$B$14-Inputs!$B$14))*(1+Inputs!$B$7/100))*(F900/100)</f>
        <v/>
      </c>
      <c r="K900">
        <f>J900*(1+((Inputs!$B$12*(1+Inputs!$B$13/100))*0.01+Inputs!$B$14*0.0025)/100)*(1+Inputs!$B$15/100)*(1+Inputs!$B$16/100)*(5000/(6000+Inputs!$B$42*(1-(100*(1-(1-(Inputs!$B$19+0)/100)*(1-CHOOSE(ArtifactsInput!$N$40+1,5,6,7,8,9,10)/100)^(ArtifactsInput!$M$40-ArtifactsInput!$M$40)))/100)))*(1+(Inputs!$B$24+((C914=TRUE)*(F914-Calc!F26))+B924)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911=TRUE)*(F911-Calc!F23))+((C915=TRUE)*(F915-Calc!F27))+(((IF(AND(ArtifactsInput!$M$42,((Inputs!$B$9+((C907=TRUE)*(F907-Calc!F19))+B918+(ArtifactsInput!$M$24-ArtifactsInput!$M$24)*CHOOSE(ArtifactsInput!$N$24+1,10,12,14,16,18,20)+IF(ArtifactsInput!$M$10,CHOOSE(ArtifactsInput!$N$10+1,15,18,21,24,27,30)*(IF(Inputs!$B$38="pvp",MIN(15,15)/15,IF(AND(Inputs!$B$38&lt;&gt;"pvp",Inputs!$B$43&gt;0),MIN(15,Inputs!$B$43)/(Inputs!$B$43),0))),0)))&gt;=100),MIN(100,((Inputs!$B$9+((C907=TRUE)*(F907-Calc!F19))+B918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907=TRUE)*(F907-Calc!F19))+B918+(ArtifactsInput!$M$24-ArtifactsInput!$M$24)*CHOOSE(ArtifactsInput!$N$24+1,10,12,14,16,18,20)+IF(ArtifactsInput!$M$10,CHOOSE(ArtifactsInput!$N$10+1,15,18,21,24,27,30)*(IF(Inputs!$B$38="pvp",MIN(15,15)/15,IF(AND(Inputs!$B$38&lt;&gt;"pvp",Inputs!$B$43&gt;0),MIN(15,Inputs!$B$43)/(Inputs!$B$43),0))),0)))&gt;=100),CHOOSE(ArtifactsInput!$N$42+1,40,48,56,64,72,80),0))))/100)*((1+(((C905=TRUE)*F905)+((C912=TRUE)*(F912-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900)</f>
        <v/>
      </c>
      <c r="L900">
        <f>K900*(MIN(Inputs!$B$22+((C910=TRUE)*(F910-Calc!F22)),(Inputs!$B$23+0+(IF(ArtifactsInput!$M$15,CHOOSE(ArtifactsInput!$N$15+1,25,30,35,40,45,50)/100*(Inputs!$B$11-Inputs!$B$11),0))))/100+(Inputs!$B$23+0+(IF(ArtifactsInput!$M$15,CHOOSE(ArtifactsInput!$N$15+1,25,30,35,40,45,50)/100*(Inputs!$B$11-Inputs!$B$11),0)))/100)/2</f>
        <v/>
      </c>
      <c r="M900">
        <f>L900*(1+(Inputs!$B$10+((C913=TRUE)*(F913-Calc!F25))+B923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0">
        <f>L900*(1-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900*(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0">
        <f>(1-Summary!$B$11)*T900+Summary!$B$11*V900</f>
        <v/>
      </c>
      <c r="P900">
        <f>IF(B928=0,0,O900/B928)</f>
        <v/>
      </c>
      <c r="Q900">
        <f>IFERROR(1/(IF(Inputs!$B$38="pvp",15,MAX(0.1,Skills!D12-IF(Skills!E12=TRUE,Inputs!$B$32,0)))*(1-IF(AND(ArtifactsInput!$M$27,Inputs!$B$4="Chapter Hunt"),CHOOSE(ArtifactsInput!$N$27+1,20,24,28,32,36,40),0)/100)),0)</f>
        <v/>
      </c>
      <c r="R900">
        <f>IF(AND(Inputs!$B$38&lt;&gt;"pvp",Inputs!$B$43&gt;0),IF(MAX(0,Inputs!$B$43-B925)&lt;=0,0,(INT(MAX(0,Inputs!$B$43-B925)/(IF(Inputs!$B$38="pvp",15,MAX(0.1,Skills!D12-IF(Skills!E12=TRUE,Inputs!$B$32,0)))*(1-IF(AND(ArtifactsInput!$M$27,Inputs!$B$4="Chapter Hunt"),CHOOSE(ArtifactsInput!$N$27+1,20,24,28,32,36,40),0)/100)))+1)),0)</f>
        <v/>
      </c>
      <c r="S900">
        <f>IFERROR(O900/N900,0)</f>
        <v/>
      </c>
      <c r="T900">
        <f>IF(C900,(H900*N900*IF(AND(Inputs!$B$38&lt;&gt;"pvp",Inputs!$B$43&gt;0),((Skills!G12*((R900-1)*IF(Skills!H12&gt;0,Skills!I12/Skills!H12,1)+IF(Skills!H12&gt;0,MIN(Skills!I12,MAX(0,MAX(0,Inputs!$B$43-B925)-((R900-1)*(IF(Inputs!$B$38="pvp",15,MAX(0.1,Skills!D12-IF(Skills!E12=TRUE,Inputs!$B$32,0)))*(1-IF(AND(ArtifactsInput!$M$27,Inputs!$B$4="Chapter Hunt"),CHOOSE(ArtifactsInput!$N$27+1,20,24,28,32,36,40),0)/100)))))/Skills!H12,1)))/Inputs!$B$43),G900*Q900)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900*(1-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900*(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900*(1-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900*(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00">
        <f>IF(C900,(H900*N900*IF(AND(Inputs!$B$38&lt;&gt;"pvp",Inputs!$B$43&gt;0),((Skills!G12*((R900-1)*IF(Skills!H12&gt;0,Skills!I12/Skills!H12,1)+IF(Skills!H12&gt;0,MIN(Skills!I12,MAX(0,MAX(0,Inputs!$B$43-B925)-((R900-1)*(IF(Inputs!$B$38="pvp",15,MAX(0.1,Skills!D12-IF(Skills!E12=TRUE,Inputs!$B$32,0)))*(1-IF(AND(ArtifactsInput!$M$27,Inputs!$B$4="Chapter Hunt"),CHOOSE(ArtifactsInput!$N$27+1,20,24,28,32,36,40),0)/100)))))/Skills!H12,1)))/Inputs!$B$43),G900*Q900))*IF(Inputs!$B$38="pvp",1,(1+(Inputs!$B$21+Skills!Q12+(IF(ArtifactsInput!$M$33,CHOOSE(ArtifactsInput!$N$33+1,30,36,42,48,54,60)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1">
      <c r="A901">
        <f>Skills!A13</f>
        <v/>
      </c>
      <c r="B901">
        <f>Skills!B13</f>
        <v/>
      </c>
      <c r="C901">
        <f>Inputs!$B$3&gt;=110</f>
        <v/>
      </c>
      <c r="D901">
        <f>IF(Skills!C13=1,60+Inputs!$B$25+Inputs!$B$29,IF(Skills!C13=2,90+Inputs!$B$26+Inputs!$B$29,IF(Skills!C13=3,120+Inputs!$B$27+Inputs!$B$29,MAX(0,(Inputs!$B$3-100)*3)+(Inputs!$B$28+1)+Inputs!$B$29)))</f>
        <v/>
      </c>
      <c r="E901">
        <f>INDEX(FactorTable!$B$2:$Y$301, MATCH(ROUND(MIN(300,MAX(1,D901)),0), FactorTable!$A$2:$A$301,0), Skills!M13+1)</f>
        <v/>
      </c>
      <c r="F901">
        <f>IF(Skills!N13=TRUE,(Skills!L13/10)*(E901/1000),Skills!L13/10)+Skills!O13</f>
        <v/>
      </c>
      <c r="G901">
        <f>Skills!G13*IF(Skills!H13&gt;0,Skills!I13/Skills!H13,1)</f>
        <v/>
      </c>
      <c r="H901">
        <f>1-(1-Skills!J13/100)^Skills!K13</f>
        <v/>
      </c>
      <c r="I901" t="inlineStr">
        <is>
          <t>1</t>
        </is>
      </c>
      <c r="J901">
        <f>((Inputs!$B$6*(1+Inputs!$B$7/100))+(((Inputs!$B$12*(1+Inputs!$B$13/100))-(Inputs!$B$12*(1+Inputs!$B$13/100)))+0.25*(Inputs!$B$14-Inputs!$B$14))*(1+Inputs!$B$7/100))*(F901/100)</f>
        <v/>
      </c>
      <c r="K901">
        <f>J901*(1+((Inputs!$B$12*(1+Inputs!$B$13/100))*0.01+Inputs!$B$14*0.0025)/100)*(1+Inputs!$B$15/100)*(1+Inputs!$B$16/100)*(5000/(6000+Inputs!$B$42*(1-(100*(1-(1-(Inputs!$B$19+0)/100)*(1-CHOOSE(ArtifactsInput!$N$40+1,5,6,7,8,9,10)/100)^(ArtifactsInput!$M$40-ArtifactsInput!$M$40)))/100)))*(1+(Inputs!$B$24+((C914=TRUE)*(F914-Calc!F26))+B924)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911=TRUE)*(F911-Calc!F23))+((C915=TRUE)*(F915-Calc!F27))+(((IF(AND(ArtifactsInput!$M$42,((Inputs!$B$9+((C907=TRUE)*(F907-Calc!F19))+B918+(ArtifactsInput!$M$24-ArtifactsInput!$M$24)*CHOOSE(ArtifactsInput!$N$24+1,10,12,14,16,18,20)+IF(ArtifactsInput!$M$10,CHOOSE(ArtifactsInput!$N$10+1,15,18,21,24,27,30)*(IF(Inputs!$B$38="pvp",MIN(15,15)/15,IF(AND(Inputs!$B$38&lt;&gt;"pvp",Inputs!$B$43&gt;0),MIN(15,Inputs!$B$43)/(Inputs!$B$43),0))),0)))&gt;=100),MIN(100,((Inputs!$B$9+((C907=TRUE)*(F907-Calc!F19))+B918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907=TRUE)*(F907-Calc!F19))+B918+(ArtifactsInput!$M$24-ArtifactsInput!$M$24)*CHOOSE(ArtifactsInput!$N$24+1,10,12,14,16,18,20)+IF(ArtifactsInput!$M$10,CHOOSE(ArtifactsInput!$N$10+1,15,18,21,24,27,30)*(IF(Inputs!$B$38="pvp",MIN(15,15)/15,IF(AND(Inputs!$B$38&lt;&gt;"pvp",Inputs!$B$43&gt;0),MIN(15,Inputs!$B$43)/(Inputs!$B$43),0))),0)))&gt;=100),CHOOSE(ArtifactsInput!$N$42+1,40,48,56,64,72,80),0))))/100)*((1+(((C905=TRUE)*F905)+((C912=TRUE)*(F912-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901)</f>
        <v/>
      </c>
      <c r="L901">
        <f>K901*(MIN(Inputs!$B$22+((C910=TRUE)*(F910-Calc!F22)),(Inputs!$B$23+0+(IF(ArtifactsInput!$M$15,CHOOSE(ArtifactsInput!$N$15+1,25,30,35,40,45,50)/100*(Inputs!$B$11-Inputs!$B$11),0))))/100+(Inputs!$B$23+0+(IF(ArtifactsInput!$M$15,CHOOSE(ArtifactsInput!$N$15+1,25,30,35,40,45,50)/100*(Inputs!$B$11-Inputs!$B$11),0)))/100)/2</f>
        <v/>
      </c>
      <c r="M901">
        <f>L901*(1+(Inputs!$B$10+((C913=TRUE)*(F913-Calc!F25))+B923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1">
        <f>L901*(1-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1">
        <f>(1-Summary!$B$11)*T901+Summary!$B$11*V901</f>
        <v/>
      </c>
      <c r="P901">
        <f>IF(B928=0,0,O901/B928)</f>
        <v/>
      </c>
      <c r="Q901">
        <f>IFERROR(1/(IF(Inputs!$B$38="pvp",15,MAX(0.1,Skills!D13-IF(Skills!E13=TRUE,Inputs!$B$32,0)))*(1-IF(AND(ArtifactsInput!$M$27,Inputs!$B$4="Chapter Hunt"),CHOOSE(ArtifactsInput!$N$27+1,20,24,28,32,36,40),0)/100)),0)</f>
        <v/>
      </c>
      <c r="R901">
        <f>IF(AND(Inputs!$B$38&lt;&gt;"pvp",Inputs!$B$43&gt;0),IF(MAX(0,Inputs!$B$43-B925)&lt;=0,0,(INT(MAX(0,Inputs!$B$43-B925)/(IF(Inputs!$B$38="pvp",15,MAX(0.1,Skills!D13-IF(Skills!E13=TRUE,Inputs!$B$32,0)))*(1-IF(AND(ArtifactsInput!$M$27,Inputs!$B$4="Chapter Hunt"),CHOOSE(ArtifactsInput!$N$27+1,20,24,28,32,36,40),0)/100)))+1)),0)</f>
        <v/>
      </c>
      <c r="S901">
        <f>IFERROR(O901/N901,0)</f>
        <v/>
      </c>
      <c r="T901">
        <f>IF(C901,(H901*N901*IF(AND(Inputs!$B$38&lt;&gt;"pvp",Inputs!$B$43&gt;0),((Skills!G13*((R901-1)*IF(Skills!H13&gt;0,Skills!I13/Skills!H13,1)+IF(Skills!H13&gt;0,MIN(Skills!I13,MAX(0,MAX(0,Inputs!$B$43-B925)-((R901-1)*(IF(Inputs!$B$38="pvp",15,MAX(0.1,Skills!D13-IF(Skills!E13=TRUE,Inputs!$B$32,0)))*(1-IF(AND(ArtifactsInput!$M$27,Inputs!$B$4="Chapter Hunt"),CHOOSE(ArtifactsInput!$N$27+1,20,24,28,32,36,40),0)/100)))))/Skills!H13,1)))/Inputs!$B$43),G901*Q901))*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901*(1-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901*(1-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01">
        <f>IF(C901,(H901*N901*IF(AND(Inputs!$B$38&lt;&gt;"pvp",Inputs!$B$43&gt;0),((Skills!G13*((R901-1)*IF(Skills!H13&gt;0,Skills!I13/Skills!H13,1)+IF(Skills!H13&gt;0,MIN(Skills!I13,MAX(0,MAX(0,Inputs!$B$43-B925)-((R901-1)*(IF(Inputs!$B$38="pvp",15,MAX(0.1,Skills!D13-IF(Skills!E13=TRUE,Inputs!$B$32,0)))*(1-IF(AND(ArtifactsInput!$M$27,Inputs!$B$4="Chapter Hunt"),CHOOSE(ArtifactsInput!$N$27+1,20,24,28,32,36,40),0)/100)))))/Skills!H13,1)))/Inputs!$B$43),G901*Q901))*IF(Inputs!$B$38="pvp",1,(1+(Inputs!$B$21+Skills!Q13+(IF(ArtifactsInput!$M$33,CHOOSE(ArtifactsInput!$N$33+1,30,36,42,48,54,60)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2">
      <c r="A902">
        <f>Skills!A14</f>
        <v/>
      </c>
      <c r="B902">
        <f>Skills!B14</f>
        <v/>
      </c>
      <c r="C902">
        <f>Inputs!$B$3&gt;=125</f>
        <v/>
      </c>
      <c r="D902">
        <f>IF(Skills!C14=1,60+Inputs!$B$25+Inputs!$B$29,IF(Skills!C14=2,90+Inputs!$B$26+Inputs!$B$29,IF(Skills!C14=3,120+Inputs!$B$27+Inputs!$B$29,MAX(0,(Inputs!$B$3-100)*3)+(Inputs!$B$28+1)+Inputs!$B$29)))</f>
        <v/>
      </c>
      <c r="E902">
        <f>INDEX(FactorTable!$B$2:$Y$301, MATCH(ROUND(MIN(300,MAX(1,D902)),0), FactorTable!$A$2:$A$301,0), Skills!M14+1)</f>
        <v/>
      </c>
      <c r="F902">
        <f>IF(Skills!N14=TRUE,(Skills!L14/10)*(E902/1000),Skills!L14/10)+Skills!O14</f>
        <v/>
      </c>
      <c r="G902">
        <f>Skills!G14*IF(Skills!H14&gt;0,Skills!I14/Skills!H14,1)</f>
        <v/>
      </c>
      <c r="H902">
        <f>1-(1-Skills!J14/100)^Skills!K14</f>
        <v/>
      </c>
      <c r="I902" t="inlineStr">
        <is>
          <t>1</t>
        </is>
      </c>
      <c r="J902">
        <f>((Inputs!$B$6*(1+Inputs!$B$7/100))+(((Inputs!$B$12*(1+Inputs!$B$13/100))-(Inputs!$B$12*(1+Inputs!$B$13/100)))+0.25*(Inputs!$B$14-Inputs!$B$14))*(1+Inputs!$B$7/100))*(F902/100)</f>
        <v/>
      </c>
      <c r="K902">
        <f>J902*(1+((Inputs!$B$12*(1+Inputs!$B$13/100))*0.01+Inputs!$B$14*0.0025)/100)*(1+Inputs!$B$15/100)*(1+Inputs!$B$16/100)*(5000/(6000+Inputs!$B$42*(1-(100*(1-(1-(Inputs!$B$19+0)/100)*(1-CHOOSE(ArtifactsInput!$N$40+1,5,6,7,8,9,10)/100)^(ArtifactsInput!$M$40-ArtifactsInput!$M$40)))/100)))*(1+(Inputs!$B$24+((C914=TRUE)*(F914-Calc!F26))+B924)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911=TRUE)*(F911-Calc!F23))+((C915=TRUE)*(F915-Calc!F27))+(((IF(AND(ArtifactsInput!$M$42,((Inputs!$B$9+((C907=TRUE)*(F907-Calc!F19))+B918+(ArtifactsInput!$M$24-ArtifactsInput!$M$24)*CHOOSE(ArtifactsInput!$N$24+1,10,12,14,16,18,20)+IF(ArtifactsInput!$M$10,CHOOSE(ArtifactsInput!$N$10+1,15,18,21,24,27,30)*(IF(Inputs!$B$38="pvp",MIN(15,15)/15,IF(AND(Inputs!$B$38&lt;&gt;"pvp",Inputs!$B$43&gt;0),MIN(15,Inputs!$B$43)/(Inputs!$B$43),0))),0)))&gt;=100),MIN(100,((Inputs!$B$9+((C907=TRUE)*(F907-Calc!F19))+B918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907=TRUE)*(F907-Calc!F19))+B918+(ArtifactsInput!$M$24-ArtifactsInput!$M$24)*CHOOSE(ArtifactsInput!$N$24+1,10,12,14,16,18,20)+IF(ArtifactsInput!$M$10,CHOOSE(ArtifactsInput!$N$10+1,15,18,21,24,27,30)*(IF(Inputs!$B$38="pvp",MIN(15,15)/15,IF(AND(Inputs!$B$38&lt;&gt;"pvp",Inputs!$B$43&gt;0),MIN(15,Inputs!$B$43)/(Inputs!$B$43),0))),0)))&gt;=100),CHOOSE(ArtifactsInput!$N$42+1,40,48,56,64,72,80),0))))/100)*((1+(((C905=TRUE)*F905)+((C912=TRUE)*(F912-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902)</f>
        <v/>
      </c>
      <c r="L902">
        <f>K902*(MIN(Inputs!$B$22+((C910=TRUE)*(F910-Calc!F22)),(Inputs!$B$23+0+(IF(ArtifactsInput!$M$15,CHOOSE(ArtifactsInput!$N$15+1,25,30,35,40,45,50)/100*(Inputs!$B$11-Inputs!$B$11),0))))/100+(Inputs!$B$23+0+(IF(ArtifactsInput!$M$15,CHOOSE(ArtifactsInput!$N$15+1,25,30,35,40,45,50)/100*(Inputs!$B$11-Inputs!$B$11),0)))/100)/2</f>
        <v/>
      </c>
      <c r="M902">
        <f>L902*(1+(Inputs!$B$10+((C913=TRUE)*(F913-Calc!F25))+B923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2">
        <f>L902*(1-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902*(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2">
        <f>(1-Summary!$B$11)*T902+Summary!$B$11*V902</f>
        <v/>
      </c>
      <c r="P902">
        <f>IF(B928=0,0,O902/B928)</f>
        <v/>
      </c>
      <c r="Q902" t="n">
        <v>0</v>
      </c>
      <c r="R902" t="n">
        <v>0</v>
      </c>
      <c r="S902">
        <f>IFERROR(O902/N902,0)</f>
        <v/>
      </c>
      <c r="T902">
        <f>IF(C902,(H902*N902*(B922+IF(AND(Inputs!$B$38&lt;&gt;"pvp",Inputs!$B$43&gt;0),((Skills!G8*((R896-1)*IF(Skills!H8&gt;0,Skills!I8/Skills!H8,1)+IF(Skills!H8&gt;0,MIN(Skills!I8,MAX(0,MAX(0,Inputs!$B$43-B925)-((R896-1)*(IF(Inputs!$B$38="pvp",15,MAX(0.1,Skills!D8-IF(Skills!E8=TRUE,Inputs!$B$32,0)))*(1-IF(AND(ArtifactsInput!$M$27,Inputs!$B$4="Chapter Hunt"),CHOOSE(ArtifactsInput!$N$27+1,20,24,28,32,36,40),0)/100)))))/Skills!H8,1)))/Inputs!$B$43),G896*Q896)+IF(AND(Inputs!$B$38&lt;&gt;"pvp",Inputs!$B$43&gt;0),((Skills!G11*((R899-1)*IF(Skills!H11&gt;0,Skills!I11/Skills!H11,1)+IF(Skills!H11&gt;0,MIN(Skills!I11,MAX(0,MAX(0,Inputs!$B$43-B925)-((R899-1)*(IF(Inputs!$B$38="pvp",15,MAX(0.1,Skills!D11-IF(Skills!E11=TRUE,Inputs!$B$32,0)))*(1-IF(AND(ArtifactsInput!$M$27,Inputs!$B$4="Chapter Hunt"),CHOOSE(ArtifactsInput!$N$27+1,20,24,28,32,36,40),0)/100)))))/Skills!H11,1)))/Inputs!$B$43),G899*Q899)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902*(1-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902*(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902*(1-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902*(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02">
        <f>IF(C902,(H902*N902*(B922+IF(AND(Inputs!$B$38&lt;&gt;"pvp",Inputs!$B$43&gt;0),((Skills!G8*((R896-1)*IF(Skills!H8&gt;0,Skills!I8/Skills!H8,1)+IF(Skills!H8&gt;0,MIN(Skills!I8,MAX(0,MAX(0,Inputs!$B$43-B925)-((R896-1)*(IF(Inputs!$B$38="pvp",15,MAX(0.1,Skills!D8-IF(Skills!E8=TRUE,Inputs!$B$32,0)))*(1-IF(AND(ArtifactsInput!$M$27,Inputs!$B$4="Chapter Hunt"),CHOOSE(ArtifactsInput!$N$27+1,20,24,28,32,36,40),0)/100)))))/Skills!H8,1)))/Inputs!$B$43),G896*Q896)+IF(AND(Inputs!$B$38&lt;&gt;"pvp",Inputs!$B$43&gt;0),((Skills!G11*((R899-1)*IF(Skills!H11&gt;0,Skills!I11/Skills!H11,1)+IF(Skills!H11&gt;0,MIN(Skills!I11,MAX(0,MAX(0,Inputs!$B$43-B925)-((R899-1)*(IF(Inputs!$B$38="pvp",15,MAX(0.1,Skills!D11-IF(Skills!E11=TRUE,Inputs!$B$32,0)))*(1-IF(AND(ArtifactsInput!$M$27,Inputs!$B$4="Chapter Hunt"),CHOOSE(ArtifactsInput!$N$27+1,20,24,28,32,36,40),0)/100)))))/Skills!H11,1)))/Inputs!$B$43),G899*Q899)))*IF(Inputs!$B$38="pvp",1,(1+(Inputs!$B$21+Skills!Q14+(IF(ArtifactsInput!$M$33,CHOOSE(ArtifactsInput!$N$33+1,30,36,42,48,54,60)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3">
      <c r="A903">
        <f>Skills!A15</f>
        <v/>
      </c>
      <c r="B903">
        <f>Skills!B15</f>
        <v/>
      </c>
      <c r="C903">
        <f>Inputs!$B$3&gt;=100</f>
        <v/>
      </c>
      <c r="D903">
        <f>IF(Skills!C15=1,60+Inputs!$B$25+Inputs!$B$29,IF(Skills!C15=2,90+Inputs!$B$26+Inputs!$B$29,IF(Skills!C15=3,120+Inputs!$B$27+Inputs!$B$29,MAX(0,(Inputs!$B$3-100)*3)+(Inputs!$B$28+1)+Inputs!$B$29)))</f>
        <v/>
      </c>
      <c r="E903">
        <f>INDEX(FactorTable!$B$2:$Y$301, MATCH(ROUND(MIN(300,MAX(1,D903)),0), FactorTable!$A$2:$A$301,0), Skills!M15+1)</f>
        <v/>
      </c>
      <c r="F903">
        <f>IF(Skills!N15=TRUE,(Skills!L15/10)*(E903/1000),Skills!L15/10)+Skills!O15</f>
        <v/>
      </c>
      <c r="G903" t="inlineStr"/>
      <c r="H903" t="inlineStr"/>
      <c r="I903" t="inlineStr">
        <is>
          <t>1</t>
        </is>
      </c>
      <c r="J903" t="inlineStr"/>
      <c r="K903" t="inlineStr"/>
      <c r="L903" t="inlineStr"/>
      <c r="M903" t="inlineStr"/>
      <c r="N903" t="inlineStr"/>
      <c r="O903" t="inlineStr"/>
      <c r="P903" t="inlineStr"/>
      <c r="Q903" t="inlineStr"/>
      <c r="R903" t="inlineStr"/>
      <c r="S903" t="inlineStr"/>
    </row>
    <row r="904">
      <c r="A904">
        <f>Skills!A16</f>
        <v/>
      </c>
      <c r="B904">
        <f>Skills!B16</f>
        <v/>
      </c>
      <c r="C904">
        <f>Inputs!$B$3&gt;=120</f>
        <v/>
      </c>
      <c r="D904">
        <f>IF(Skills!C16=1,60+Inputs!$B$25+Inputs!$B$29,IF(Skills!C16=2,90+Inputs!$B$26+Inputs!$B$29,IF(Skills!C16=3,120+Inputs!$B$27+Inputs!$B$29,MAX(0,(Inputs!$B$3-100)*3)+(Inputs!$B$28+1)+Inputs!$B$29)))</f>
        <v/>
      </c>
      <c r="E904">
        <f>INDEX(FactorTable!$B$2:$Y$301, MATCH(ROUND(MIN(300,MAX(1,D904)),0), FactorTable!$A$2:$A$301,0), Skills!M16+1)</f>
        <v/>
      </c>
      <c r="F904">
        <f>IF(Skills!N16=TRUE,(Skills!L16/10)*(E904/1000),Skills!L16/10)+Skills!O16</f>
        <v/>
      </c>
      <c r="G904" t="inlineStr"/>
      <c r="H904" t="inlineStr"/>
      <c r="I904" t="inlineStr">
        <is>
          <t>1</t>
        </is>
      </c>
      <c r="J904" t="inlineStr"/>
      <c r="K904" t="inlineStr"/>
      <c r="L904" t="inlineStr"/>
      <c r="M904" t="inlineStr"/>
      <c r="N904" t="inlineStr"/>
      <c r="O904" t="inlineStr"/>
      <c r="P904" t="inlineStr"/>
      <c r="Q904" t="inlineStr"/>
      <c r="R904" t="inlineStr"/>
      <c r="S904" t="inlineStr"/>
    </row>
    <row r="905">
      <c r="A905">
        <f>Skills!A17</f>
        <v/>
      </c>
      <c r="B905">
        <f>Skills!B17</f>
        <v/>
      </c>
      <c r="C905">
        <f>Inputs!$B$3&gt;=66</f>
        <v/>
      </c>
      <c r="D905">
        <f>IF(Skills!C17=1,60+Inputs!$B$25+Inputs!$B$29,IF(Skills!C17=2,90+Inputs!$B$26+Inputs!$B$29,IF(Skills!C17=3,120+Inputs!$B$27+Inputs!$B$29,MAX(0,(Inputs!$B$3-100)*3)+(Inputs!$B$28+1)+Inputs!$B$29)))</f>
        <v/>
      </c>
      <c r="E905">
        <f>INDEX(FactorTable!$B$2:$Y$301, MATCH(ROUND(MIN(300,MAX(1,D905)),0), FactorTable!$A$2:$A$301,0), Skills!M17+1)</f>
        <v/>
      </c>
      <c r="F905">
        <f>IF(Skills!N17=TRUE,(Skills!L17/10)*(E905/1000),Skills!L17/10)+Skills!O17</f>
        <v/>
      </c>
      <c r="G905">
        <f>Skills!G17*IF(Skills!H17&gt;0,Skills!I17/Skills!H17,1)</f>
        <v/>
      </c>
      <c r="H905">
        <f>1-(1-Skills!J17/100)^Skills!K17</f>
        <v/>
      </c>
      <c r="I905" t="inlineStr">
        <is>
          <t>1</t>
        </is>
      </c>
      <c r="J905" t="inlineStr"/>
      <c r="K905" t="inlineStr"/>
      <c r="L905" t="inlineStr"/>
      <c r="M905" t="inlineStr"/>
      <c r="N905" t="inlineStr"/>
      <c r="O905">
        <f>(1-Summary!$B$11)*T905+Summary!$B$11*V905</f>
        <v/>
      </c>
      <c r="P905">
        <f>IF(B928=0,0,O905/B928)</f>
        <v/>
      </c>
      <c r="Q905" t="n">
        <v>0</v>
      </c>
      <c r="R905" t="n">
        <v>0</v>
      </c>
      <c r="S905">
        <f>IFERROR(O905/N905,0)</f>
        <v/>
      </c>
      <c r="T905" t="n">
        <v>0</v>
      </c>
      <c r="V905" t="n">
        <v>0</v>
      </c>
    </row>
    <row r="906">
      <c r="A906">
        <f>Skills!A18</f>
        <v/>
      </c>
      <c r="B906">
        <f>Skills!B18</f>
        <v/>
      </c>
      <c r="C906">
        <f>Inputs!$B$3&gt;=115</f>
        <v/>
      </c>
      <c r="D906">
        <f>IF(Skills!C18=1,60+Inputs!$B$25+Inputs!$B$29,IF(Skills!C18=2,90+Inputs!$B$26+Inputs!$B$29,IF(Skills!C18=3,120+Inputs!$B$27+Inputs!$B$29,MAX(0,(Inputs!$B$3-100)*3)+(Inputs!$B$28+1)+Inputs!$B$29)))</f>
        <v/>
      </c>
      <c r="E906">
        <f>INDEX(FactorTable!$B$2:$Y$301, MATCH(ROUND(MIN(300,MAX(1,D906)),0), FactorTable!$A$2:$A$301,0), Skills!M18+1)</f>
        <v/>
      </c>
      <c r="F906">
        <f>IF(Skills!N18=TRUE,(Skills!L18/10)*(E906/1000),Skills!L18/10)+Skills!O18</f>
        <v/>
      </c>
      <c r="G906">
        <f>Skills!G18*IF(Skills!H18&gt;0,Skills!I18/Skills!H18,1)</f>
        <v/>
      </c>
      <c r="H906">
        <f>1-(1-Skills!J18/100)^Skills!K18</f>
        <v/>
      </c>
      <c r="I906" t="inlineStr">
        <is>
          <t>1</t>
        </is>
      </c>
      <c r="J906" t="inlineStr"/>
      <c r="K906" t="inlineStr"/>
      <c r="L906" t="inlineStr"/>
      <c r="M906" t="inlineStr"/>
      <c r="N906" t="inlineStr"/>
      <c r="O906">
        <f>(1-Summary!$B$11)*T906+Summary!$B$11*V906</f>
        <v/>
      </c>
      <c r="P906">
        <f>IF(B928=0,0,O906/B928)</f>
        <v/>
      </c>
      <c r="Q906" t="n">
        <v>0</v>
      </c>
      <c r="R906" t="n">
        <v>0</v>
      </c>
      <c r="S906">
        <f>IFERROR(O906/N906,0)</f>
        <v/>
      </c>
      <c r="T906" t="n">
        <v>0</v>
      </c>
      <c r="V906" t="n">
        <v>0</v>
      </c>
    </row>
    <row r="907">
      <c r="A907">
        <f>Skills!A19</f>
        <v/>
      </c>
      <c r="B907">
        <f>Skills!B19</f>
        <v/>
      </c>
      <c r="C907">
        <f>Inputs!$B$3&gt;=15</f>
        <v/>
      </c>
      <c r="D907">
        <f>IF(Skills!C19=1,60+Inputs!$B$25+Inputs!$B$29,IF(Skills!C19=2,90+Inputs!$B$26+Inputs!$B$29,IF(Skills!C19=3,120+Inputs!$B$27+Inputs!$B$29,MAX(0,(Inputs!$B$3-100)*3)+(Inputs!$B$28+1)+Inputs!$B$29)))</f>
        <v/>
      </c>
      <c r="E907">
        <f>INDEX(FactorTable!$B$2:$Y$301, MATCH(ROUND(MIN(300,MAX(1,D907)),0), FactorTable!$A$2:$A$301,0), Skills!M19+1)</f>
        <v/>
      </c>
      <c r="F907">
        <f>IF(Skills!N19=TRUE,(Skills!L19/10)*(E907/1000),Skills!L19/10)+Skills!O19</f>
        <v/>
      </c>
      <c r="G907">
        <f>Skills!G19*IF(Skills!H19&gt;0,Skills!I19/Skills!H19,1)</f>
        <v/>
      </c>
      <c r="H907">
        <f>1-(1-Skills!J19/100)^Skills!K19</f>
        <v/>
      </c>
      <c r="I907" t="inlineStr">
        <is>
          <t>1</t>
        </is>
      </c>
      <c r="J907" t="inlineStr"/>
      <c r="K907" t="inlineStr"/>
      <c r="L907" t="inlineStr"/>
      <c r="M907" t="inlineStr"/>
      <c r="N907" t="inlineStr"/>
      <c r="O907">
        <f>(1-Summary!$B$11)*T907+Summary!$B$11*V907</f>
        <v/>
      </c>
      <c r="P907">
        <f>IF(B928=0,0,O907/B928)</f>
        <v/>
      </c>
      <c r="Q907" t="n">
        <v>0</v>
      </c>
      <c r="R907" t="n">
        <v>0</v>
      </c>
      <c r="S907">
        <f>IFERROR(O907/N907,0)</f>
        <v/>
      </c>
      <c r="T907" t="n">
        <v>0</v>
      </c>
      <c r="V907" t="n">
        <v>0</v>
      </c>
    </row>
    <row r="908">
      <c r="A908">
        <f>Skills!A20</f>
        <v/>
      </c>
      <c r="B908">
        <f>Skills!B20</f>
        <v/>
      </c>
      <c r="C908">
        <f>Inputs!$B$3&gt;=10</f>
        <v/>
      </c>
      <c r="D908">
        <f>IF(Skills!C20=1,60+Inputs!$B$25+Inputs!$B$29,IF(Skills!C20=2,90+Inputs!$B$26+Inputs!$B$29,IF(Skills!C20=3,120+Inputs!$B$27+Inputs!$B$29,MAX(0,(Inputs!$B$3-100)*3)+(Inputs!$B$28+1)+Inputs!$B$29)))</f>
        <v/>
      </c>
      <c r="E908">
        <f>INDEX(FactorTable!$B$2:$Y$301, MATCH(ROUND(MIN(300,MAX(1,D908)),0), FactorTable!$A$2:$A$301,0), Skills!M20+1)</f>
        <v/>
      </c>
      <c r="F908">
        <f>IF(Skills!N20=TRUE,(Skills!L20/10)*(E908/1000),Skills!L20/10)+Skills!O20</f>
        <v/>
      </c>
      <c r="G908">
        <f>Skills!G20*IF(Skills!H20&gt;0,Skills!I20/Skills!H20,1)</f>
        <v/>
      </c>
      <c r="H908">
        <f>1-(1-Skills!J20/100)^Skills!K20</f>
        <v/>
      </c>
      <c r="I908" t="inlineStr">
        <is>
          <t>1</t>
        </is>
      </c>
      <c r="J908" t="inlineStr"/>
      <c r="K908" t="inlineStr"/>
      <c r="L908" t="inlineStr"/>
      <c r="M908" t="inlineStr"/>
      <c r="N908" t="inlineStr"/>
      <c r="O908">
        <f>(1-Summary!$B$11)*T908+Summary!$B$11*V908</f>
        <v/>
      </c>
      <c r="P908">
        <f>IF(B928=0,0,O908/B928)</f>
        <v/>
      </c>
      <c r="Q908" t="n">
        <v>0</v>
      </c>
      <c r="R908" t="n">
        <v>0</v>
      </c>
      <c r="S908">
        <f>IFERROR(O908/N908,0)</f>
        <v/>
      </c>
      <c r="T908" t="n">
        <v>0</v>
      </c>
      <c r="V908" t="n">
        <v>0</v>
      </c>
    </row>
    <row r="909">
      <c r="A909">
        <f>Skills!A21</f>
        <v/>
      </c>
      <c r="B909">
        <f>Skills!B21</f>
        <v/>
      </c>
      <c r="C909">
        <f>Inputs!$B$3&gt;=33</f>
        <v/>
      </c>
      <c r="D909">
        <f>IF(Skills!C21=1,60+Inputs!$B$25+Inputs!$B$29,IF(Skills!C21=2,90+Inputs!$B$26+Inputs!$B$29,IF(Skills!C21=3,120+Inputs!$B$27+Inputs!$B$29,MAX(0,(Inputs!$B$3-100)*3)+(Inputs!$B$28+1)+Inputs!$B$29)))</f>
        <v/>
      </c>
      <c r="E909">
        <f>INDEX(FactorTable!$B$2:$Y$301, MATCH(ROUND(MIN(300,MAX(1,D909)),0), FactorTable!$A$2:$A$301,0), Skills!M21+1)</f>
        <v/>
      </c>
      <c r="F909">
        <f>IF(Skills!N21=TRUE,(Skills!L21/10)*(E909/1000),Skills!L21/10)+Skills!O21</f>
        <v/>
      </c>
      <c r="G909">
        <f>Skills!G21*IF(Skills!H21&gt;0,Skills!I21/Skills!H21,1)</f>
        <v/>
      </c>
      <c r="H909">
        <f>1-(1-Skills!J21/100)^Skills!K21</f>
        <v/>
      </c>
      <c r="I909" t="inlineStr">
        <is>
          <t>1</t>
        </is>
      </c>
      <c r="J909" t="inlineStr"/>
      <c r="K909" t="inlineStr"/>
      <c r="L909" t="inlineStr"/>
      <c r="M909" t="inlineStr"/>
      <c r="N909" t="inlineStr"/>
      <c r="O909">
        <f>(1-Summary!$B$11)*T909+Summary!$B$11*V909</f>
        <v/>
      </c>
      <c r="P909">
        <f>IF(B928=0,0,O909/B928)</f>
        <v/>
      </c>
      <c r="Q909" t="n">
        <v>0</v>
      </c>
      <c r="R909" t="n">
        <v>0</v>
      </c>
      <c r="S909">
        <f>IFERROR(O909/N909,0)</f>
        <v/>
      </c>
      <c r="T909" t="n">
        <v>0</v>
      </c>
      <c r="V909" t="n">
        <v>0</v>
      </c>
    </row>
    <row r="910">
      <c r="A910">
        <f>Skills!A22</f>
        <v/>
      </c>
      <c r="B910">
        <f>Skills!B22</f>
        <v/>
      </c>
      <c r="C910">
        <f>Inputs!$B$3&gt;=43</f>
        <v/>
      </c>
      <c r="D910">
        <f>IF(Skills!C22=1,60+Inputs!$B$25+Inputs!$B$29,IF(Skills!C22=2,90+Inputs!$B$26+Inputs!$B$29,IF(Skills!C22=3,120+Inputs!$B$27+Inputs!$B$29,MAX(0,(Inputs!$B$3-100)*3)+(Inputs!$B$28+1)+Inputs!$B$29)))</f>
        <v/>
      </c>
      <c r="E910">
        <f>INDEX(FactorTable!$B$2:$Y$301, MATCH(ROUND(MIN(300,MAX(1,D910)),0), FactorTable!$A$2:$A$301,0), Skills!M22+1)</f>
        <v/>
      </c>
      <c r="F910">
        <f>IF(Skills!N22=TRUE,(Skills!L22/10)*(E910/1000),Skills!L22/10)+Skills!O22</f>
        <v/>
      </c>
      <c r="G910">
        <f>Skills!G22*IF(Skills!H22&gt;0,Skills!I22/Skills!H22,1)</f>
        <v/>
      </c>
      <c r="H910">
        <f>1-(1-Skills!J22/100)^Skills!K22</f>
        <v/>
      </c>
      <c r="I910" t="inlineStr">
        <is>
          <t>1</t>
        </is>
      </c>
      <c r="J910" t="inlineStr"/>
      <c r="K910" t="inlineStr"/>
      <c r="L910" t="inlineStr"/>
      <c r="M910" t="inlineStr"/>
      <c r="N910" t="inlineStr"/>
      <c r="O910">
        <f>(1-Summary!$B$11)*T910+Summary!$B$11*V910</f>
        <v/>
      </c>
      <c r="P910">
        <f>IF(B928=0,0,O910/B928)</f>
        <v/>
      </c>
      <c r="Q910" t="n">
        <v>0</v>
      </c>
      <c r="R910" t="n">
        <v>0</v>
      </c>
      <c r="S910">
        <f>IFERROR(O910/N910,0)</f>
        <v/>
      </c>
      <c r="T910" t="n">
        <v>0</v>
      </c>
      <c r="V910" t="n">
        <v>0</v>
      </c>
    </row>
    <row r="911">
      <c r="A911">
        <f>Skills!A23</f>
        <v/>
      </c>
      <c r="B911">
        <f>Skills!B23</f>
        <v/>
      </c>
      <c r="C911">
        <f>Inputs!$B$3&gt;=38</f>
        <v/>
      </c>
      <c r="D911">
        <f>IF(Skills!C23=1,60+Inputs!$B$25+Inputs!$B$29,IF(Skills!C23=2,90+Inputs!$B$26+Inputs!$B$29,IF(Skills!C23=3,120+Inputs!$B$27+Inputs!$B$29,MAX(0,(Inputs!$B$3-100)*3)+(Inputs!$B$28+1)+Inputs!$B$29)))</f>
        <v/>
      </c>
      <c r="E911">
        <f>INDEX(FactorTable!$B$2:$Y$301, MATCH(ROUND(MIN(300,MAX(1,D911)),0), FactorTable!$A$2:$A$301,0), Skills!M23+1)</f>
        <v/>
      </c>
      <c r="F911">
        <f>IF(Skills!N23=TRUE,(Skills!L23/10)*(E911/1000),Skills!L23/10)+Skills!O23</f>
        <v/>
      </c>
      <c r="G911">
        <f>Skills!G23*IF(Skills!H23&gt;0,Skills!I23/Skills!H23,1)</f>
        <v/>
      </c>
      <c r="H911">
        <f>1-(1-Skills!J23/100)^Skills!K23</f>
        <v/>
      </c>
      <c r="I911" t="inlineStr">
        <is>
          <t>1</t>
        </is>
      </c>
      <c r="J911" t="inlineStr"/>
      <c r="K911" t="inlineStr"/>
      <c r="L911" t="inlineStr"/>
      <c r="M911" t="inlineStr"/>
      <c r="N911" t="inlineStr"/>
      <c r="O911">
        <f>(1-Summary!$B$11)*T911+Summary!$B$11*V911</f>
        <v/>
      </c>
      <c r="P911">
        <f>IF(B928=0,0,O911/B928)</f>
        <v/>
      </c>
      <c r="Q911" t="n">
        <v>0</v>
      </c>
      <c r="R911" t="n">
        <v>0</v>
      </c>
      <c r="S911">
        <f>IFERROR(O911/N911,0)</f>
        <v/>
      </c>
      <c r="T911" t="n">
        <v>0</v>
      </c>
      <c r="V911" t="n">
        <v>0</v>
      </c>
    </row>
    <row r="912">
      <c r="A912">
        <f>Skills!A24</f>
        <v/>
      </c>
      <c r="B912">
        <f>Skills!B24</f>
        <v/>
      </c>
      <c r="C912">
        <f>Inputs!$B$3&gt;=40</f>
        <v/>
      </c>
      <c r="D912">
        <f>IF(Skills!C24=1,60+Inputs!$B$25+Inputs!$B$29,IF(Skills!C24=2,90+Inputs!$B$26+Inputs!$B$29,IF(Skills!C24=3,120+Inputs!$B$27+Inputs!$B$29,MAX(0,(Inputs!$B$3-100)*3)+(Inputs!$B$28+1)+Inputs!$B$29)))</f>
        <v/>
      </c>
      <c r="E912">
        <f>INDEX(FactorTable!$B$2:$Y$301, MATCH(ROUND(MIN(300,MAX(1,D912)),0), FactorTable!$A$2:$A$301,0), Skills!M24+1)</f>
        <v/>
      </c>
      <c r="F912">
        <f>IF(Skills!N24=TRUE,(Skills!L24/10)*(E912/1000),Skills!L24/10)+Skills!O24</f>
        <v/>
      </c>
      <c r="G912">
        <f>Skills!G24*IF(Skills!H24&gt;0,Skills!I24/Skills!H24,1)</f>
        <v/>
      </c>
      <c r="H912">
        <f>1-(1-Skills!J24/100)^Skills!K24</f>
        <v/>
      </c>
      <c r="I912" t="inlineStr">
        <is>
          <t>1</t>
        </is>
      </c>
      <c r="J912" t="inlineStr"/>
      <c r="K912" t="inlineStr"/>
      <c r="L912" t="inlineStr"/>
      <c r="M912" t="inlineStr"/>
      <c r="N912" t="inlineStr"/>
      <c r="O912">
        <f>(1-Summary!$B$11)*T912+Summary!$B$11*V912</f>
        <v/>
      </c>
      <c r="P912">
        <f>IF(B928=0,0,O912/B928)</f>
        <v/>
      </c>
      <c r="Q912" t="n">
        <v>0</v>
      </c>
      <c r="R912" t="n">
        <v>0</v>
      </c>
      <c r="S912">
        <f>IFERROR(O912/N912,0)</f>
        <v/>
      </c>
      <c r="T912" t="n">
        <v>0</v>
      </c>
      <c r="V912" t="n">
        <v>0</v>
      </c>
    </row>
    <row r="913">
      <c r="A913">
        <f>Skills!A25</f>
        <v/>
      </c>
      <c r="B913">
        <f>Skills!B25</f>
        <v/>
      </c>
      <c r="C913">
        <f>Inputs!$B$3&gt;=72</f>
        <v/>
      </c>
      <c r="D913">
        <f>IF(Skills!C25=1,60+Inputs!$B$25+Inputs!$B$29,IF(Skills!C25=2,90+Inputs!$B$26+Inputs!$B$29,IF(Skills!C25=3,120+Inputs!$B$27+Inputs!$B$29,MAX(0,(Inputs!$B$3-100)*3)+(Inputs!$B$28+1)+Inputs!$B$29)))</f>
        <v/>
      </c>
      <c r="E913">
        <f>INDEX(FactorTable!$B$2:$Y$301, MATCH(ROUND(MIN(300,MAX(1,D913)),0), FactorTable!$A$2:$A$301,0), Skills!M25+1)</f>
        <v/>
      </c>
      <c r="F913">
        <f>IF(Skills!N25=TRUE,(Skills!L25/10)*(E913/1000),Skills!L25/10)+Skills!O25</f>
        <v/>
      </c>
      <c r="G913">
        <f>Skills!G25*IF(Skills!H25&gt;0,Skills!I25/Skills!H25,1)</f>
        <v/>
      </c>
      <c r="H913">
        <f>1-(1-Skills!J25/100)^Skills!K25</f>
        <v/>
      </c>
      <c r="I913" t="inlineStr">
        <is>
          <t>1</t>
        </is>
      </c>
      <c r="J913" t="inlineStr"/>
      <c r="K913" t="inlineStr"/>
      <c r="L913" t="inlineStr"/>
      <c r="M913" t="inlineStr"/>
      <c r="N913" t="inlineStr"/>
      <c r="O913">
        <f>(1-Summary!$B$11)*T913+Summary!$B$11*V913</f>
        <v/>
      </c>
      <c r="P913">
        <f>IF(B928=0,0,O913/B928)</f>
        <v/>
      </c>
      <c r="Q913" t="n">
        <v>0</v>
      </c>
      <c r="R913" t="n">
        <v>0</v>
      </c>
      <c r="S913">
        <f>IFERROR(O913/N913,0)</f>
        <v/>
      </c>
      <c r="T913" t="n">
        <v>0</v>
      </c>
      <c r="V913" t="n">
        <v>0</v>
      </c>
    </row>
    <row r="914">
      <c r="A914">
        <f>Skills!A26</f>
        <v/>
      </c>
      <c r="B914">
        <f>Skills!B26</f>
        <v/>
      </c>
      <c r="C914">
        <f>Inputs!$B$3&gt;=75</f>
        <v/>
      </c>
      <c r="D914">
        <f>IF(Skills!C26=1,60+Inputs!$B$25+Inputs!$B$29,IF(Skills!C26=2,90+Inputs!$B$26+Inputs!$B$29,IF(Skills!C26=3,120+Inputs!$B$27+Inputs!$B$29,MAX(0,(Inputs!$B$3-100)*3)+(Inputs!$B$28+1)+Inputs!$B$29)))</f>
        <v/>
      </c>
      <c r="E914">
        <f>INDEX(FactorTable!$B$2:$Y$301, MATCH(ROUND(MIN(300,MAX(1,D914)),0), FactorTable!$A$2:$A$301,0), Skills!M26+1)</f>
        <v/>
      </c>
      <c r="F914">
        <f>IF(Skills!N26=TRUE,(Skills!L26/10)*(E914/1000),Skills!L26/10)+Skills!O26</f>
        <v/>
      </c>
      <c r="G914">
        <f>Skills!G26*IF(Skills!H26&gt;0,Skills!I26/Skills!H26,1)</f>
        <v/>
      </c>
      <c r="H914">
        <f>1-(1-Skills!J26/100)^Skills!K26</f>
        <v/>
      </c>
      <c r="I914" t="inlineStr">
        <is>
          <t>1</t>
        </is>
      </c>
      <c r="J914" t="inlineStr"/>
      <c r="K914" t="inlineStr"/>
      <c r="L914" t="inlineStr"/>
      <c r="M914" t="inlineStr"/>
      <c r="N914" t="inlineStr"/>
      <c r="O914">
        <f>(1-Summary!$B$11)*T914+Summary!$B$11*V914</f>
        <v/>
      </c>
      <c r="P914">
        <f>IF(B928=0,0,O914/B928)</f>
        <v/>
      </c>
      <c r="Q914" t="n">
        <v>0</v>
      </c>
      <c r="R914" t="n">
        <v>0</v>
      </c>
      <c r="S914">
        <f>IFERROR(O914/N914,0)</f>
        <v/>
      </c>
      <c r="T914" t="n">
        <v>0</v>
      </c>
      <c r="V914" t="n">
        <v>0</v>
      </c>
    </row>
    <row r="915">
      <c r="A915">
        <f>Skills!A27</f>
        <v/>
      </c>
      <c r="B915">
        <f>Skills!B27</f>
        <v/>
      </c>
      <c r="C915">
        <f>Inputs!$B$3&gt;=117</f>
        <v/>
      </c>
      <c r="D915">
        <f>IF(Skills!C27=1,60+Inputs!$B$25+Inputs!$B$29,IF(Skills!C27=2,90+Inputs!$B$26+Inputs!$B$29,IF(Skills!C27=3,120+Inputs!$B$27+Inputs!$B$29,MAX(0,(Inputs!$B$3-100)*3)+(Inputs!$B$28+1)+Inputs!$B$29)))</f>
        <v/>
      </c>
      <c r="E915">
        <f>INDEX(FactorTable!$B$2:$Y$301, MATCH(ROUND(MIN(300,MAX(1,D915)),0), FactorTable!$A$2:$A$301,0), Skills!M27+1)</f>
        <v/>
      </c>
      <c r="F915">
        <f>IF(Skills!N27=TRUE,(Skills!L27/10)*(E915/1000),Skills!L27/10)+Skills!O27</f>
        <v/>
      </c>
      <c r="G915">
        <f>Skills!G27*IF(Skills!H27&gt;0,Skills!I27/Skills!H27,1)</f>
        <v/>
      </c>
      <c r="H915">
        <f>1-(1-Skills!J27/100)^Skills!K27</f>
        <v/>
      </c>
      <c r="I915" t="inlineStr">
        <is>
          <t>1</t>
        </is>
      </c>
      <c r="J915" t="inlineStr"/>
      <c r="K915" t="inlineStr"/>
      <c r="L915" t="inlineStr"/>
      <c r="M915" t="inlineStr"/>
      <c r="N915" t="inlineStr"/>
      <c r="O915">
        <f>(1-Summary!$B$11)*T915+Summary!$B$11*V915</f>
        <v/>
      </c>
      <c r="P915">
        <f>IF(B928=0,0,O915/B928)</f>
        <v/>
      </c>
      <c r="Q915" t="n">
        <v>0</v>
      </c>
      <c r="R915" t="n">
        <v>0</v>
      </c>
      <c r="S915">
        <f>IFERROR(O915/N915,0)</f>
        <v/>
      </c>
      <c r="T915" t="n">
        <v>0</v>
      </c>
      <c r="V915" t="n">
        <v>0</v>
      </c>
    </row>
    <row r="917">
      <c r="A917" t="inlineStr">
        <is>
          <t>Attack% Bucket Multiplier</t>
        </is>
      </c>
      <c r="B917">
        <f>(1+(((C905=TRUE)*F905)+((C912=TRUE)*(F912-Calc!F24))+(IF(ArtifactsInput!$M$21,CHOOSE(ArtifactsInput!$N$21+1,25,30,35,40,45,50)*(IF(OR(Inputs!$B$4="Chapter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18">
      <c r="A918" t="inlineStr">
        <is>
          <t>Global Crit Rate Bonus %</t>
        </is>
      </c>
      <c r="B918" t="n">
        <v>0</v>
      </c>
    </row>
    <row r="919">
      <c r="A919" t="inlineStr">
        <is>
          <t>Attack Speed Buff Bonus % (unused)</t>
        </is>
      </c>
      <c r="B919" t="n">
        <v>0</v>
      </c>
    </row>
    <row r="920">
      <c r="A920" t="inlineStr">
        <is>
          <t>Actions Per Second</t>
        </is>
      </c>
      <c r="B920">
        <f>1+MIN(150,150*(1-(1-(Inputs!$B$11+((C908=TRUE)*(F908-Calc!F20))+((C909=TRUE)*(F909-Calc!F21)))/150)*(1-B919/150)))/100</f>
        <v/>
      </c>
    </row>
    <row r="921">
      <c r="A921" t="inlineStr">
        <is>
          <t>Skill + Buff Cast Rate</t>
        </is>
      </c>
      <c r="B921">
        <f>IF(AND(Inputs!$B$38&lt;&gt;"pvp",Inputs!$B$43&gt;0),SUMPRODUCT((Skills!E2:E27=TRUE)*(C890:C915=TRUE)*R890:R915*Skills!F2:F27)/Inputs!$B$43,SUMPRODUCT((Skills!E2:E27=TRUE)*(C890:C915=TRUE)*Q890:Q915*Skills!F2:F27))</f>
        <v/>
      </c>
    </row>
    <row r="922">
      <c r="A922" t="inlineStr">
        <is>
          <t>Eight-Legs Easton Casts Per Second</t>
        </is>
      </c>
      <c r="B922">
        <f>MAX(0,B920-B921)</f>
        <v/>
      </c>
    </row>
    <row r="923">
      <c r="A923" t="inlineStr">
        <is>
          <t>Global Critical Damage Bonus % (unused)</t>
        </is>
      </c>
      <c r="B923" t="n">
        <v>0</v>
      </c>
    </row>
    <row r="924">
      <c r="A924" t="inlineStr">
        <is>
          <t>Global Final Damage Bonus % (Jolly Roger only)</t>
        </is>
      </c>
      <c r="B924">
        <f>((C906=TRUE)*F906)</f>
        <v/>
      </c>
    </row>
    <row r="925">
      <c r="A925" t="inlineStr">
        <is>
          <t>Buff-Casting Startup Delay (s, fixed-duration only)</t>
        </is>
      </c>
      <c r="B925">
        <f>IF(AND(Inputs!$B$38&lt;&gt;"pvp",Inputs!$B$43&gt;0),SUMPRODUCT((Skills!T2:T27&gt;0)*(Skills!E2:E27=TRUE)*(C890:C915=TRUE))/B920,0)</f>
        <v/>
      </c>
    </row>
    <row r="926">
      <c r="A926" t="inlineStr">
        <is>
          <t>Boss-Only Total DPS (this block's swept value)</t>
        </is>
      </c>
      <c r="B926">
        <f>SUM(T890:T915)</f>
        <v/>
      </c>
    </row>
    <row r="927">
      <c r="A927" t="inlineStr">
        <is>
          <t>Normal-Only Total DPS (this block's swept value)</t>
        </is>
      </c>
      <c r="B927">
        <f>SUM(V890:V915)</f>
        <v/>
      </c>
    </row>
    <row r="928">
      <c r="A928" s="6" t="inlineStr">
        <is>
          <t>TOTAL DPS</t>
        </is>
      </c>
      <c r="B928" s="6">
        <f>SUM(O890:O915)</f>
        <v/>
      </c>
    </row>
    <row r="931">
      <c r="A931" s="6" t="inlineStr">
        <is>
          <t>Stat: Skill Level Bonus — All Skills</t>
        </is>
      </c>
    </row>
    <row r="932">
      <c r="A932" s="5" t="inlineStr">
        <is>
          <t>Key</t>
        </is>
      </c>
      <c r="B932" s="5" t="inlineStr">
        <is>
          <t>Name</t>
        </is>
      </c>
      <c r="C932" s="5" t="inlineStr">
        <is>
          <t>Unlocked</t>
        </is>
      </c>
      <c r="D932" s="5" t="inlineStr">
        <is>
          <t>InputLevel</t>
        </is>
      </c>
      <c r="E932" s="5" t="inlineStr">
        <is>
          <t>Factor</t>
        </is>
      </c>
      <c r="F932" s="5" t="inlineStr">
        <is>
          <t>CoefficientPercent</t>
        </is>
      </c>
      <c r="G932" s="5" t="inlineStr">
        <is>
          <t>EffectiveHits</t>
        </is>
      </c>
      <c r="H932" s="5" t="inlineStr">
        <is>
          <t>ProcProbability</t>
        </is>
      </c>
      <c r="I932" s="5" t="inlineStr">
        <is>
          <t>MapleHeroMultiplier</t>
        </is>
      </c>
      <c r="J932" s="5" t="inlineStr">
        <is>
          <t>BaseDamage</t>
        </is>
      </c>
      <c r="K932" s="5" t="inlineStr">
        <is>
          <t>BaseHitDamage</t>
        </is>
      </c>
      <c r="L932" s="5" t="inlineStr">
        <is>
          <t>NonCritAvg</t>
        </is>
      </c>
      <c r="M932" s="5" t="inlineStr">
        <is>
          <t>CritAvg</t>
        </is>
      </c>
      <c r="N932" s="5" t="inlineStr">
        <is>
          <t>ExpectedDamage(perHit)</t>
        </is>
      </c>
      <c r="O932" s="5" t="inlineStr">
        <is>
          <t>DPS</t>
        </is>
      </c>
      <c r="P932" s="5" t="inlineStr">
        <is>
          <t>% of Total</t>
        </is>
      </c>
      <c r="Q932" s="5" t="inlineStr">
        <is>
          <t>InvCooldown</t>
        </is>
      </c>
      <c r="R932" s="5" t="inlineStr">
        <is>
          <t>CastsInFight</t>
        </is>
      </c>
      <c r="S932" s="5" t="inlineStr">
        <is>
          <t>HitRate(perSec)</t>
        </is>
      </c>
      <c r="U932" t="inlineStr">
        <is>
          <t>helpers</t>
        </is>
      </c>
    </row>
    <row r="933">
      <c r="A933">
        <f>Skills!A2</f>
        <v/>
      </c>
      <c r="B933">
        <f>Skills!B2</f>
        <v/>
      </c>
      <c r="C933">
        <f>Inputs!$B$3&gt;=100</f>
        <v/>
      </c>
      <c r="D933" t="inlineStr"/>
      <c r="E933" t="inlineStr"/>
      <c r="F933">
        <f>U935+Skills!O2</f>
        <v/>
      </c>
      <c r="G933">
        <f>Skills!G2*IF(Skills!H2&gt;0,Skills!I2/Skills!H2,1)</f>
        <v/>
      </c>
      <c r="H933">
        <f>1-(1-Skills!J2/100)^Skills!K2</f>
        <v/>
      </c>
      <c r="I933" t="inlineStr">
        <is>
          <t>1</t>
        </is>
      </c>
      <c r="J933">
        <f>((Inputs!$B$6*(1+Inputs!$B$7/100))+(((Inputs!$B$12*(1+Inputs!$B$13/100))-(Inputs!$B$12*(1+Inputs!$B$13/100)))+0.25*(Inputs!$B$14-Inputs!$B$14))*(1+Inputs!$B$7/100))*(F933/100)</f>
        <v/>
      </c>
      <c r="K933">
        <f>J933*(1+((Inputs!$B$12*(1+Inputs!$B$13/100))*0.01+Inputs!$B$14*0.0025)/100)*(1+Inputs!$B$15/100)*(1+Inputs!$B$16/100)*(5000/(6000+Inputs!$B$42*(1-(100*(1-(1-(Inputs!$B$19+0)/100)*(1-CHOOSE(ArtifactsInput!$N$40+1,5,6,7,8,9,10)/100)^(ArtifactsInput!$M$40-ArtifactsInput!$M$40)))/100)))*(1+(Inputs!$B$24+((C957=TRUE)*(F957-Calc!F26))+B967)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954=TRUE)*(F954-Calc!F23))+((C958=TRUE)*(F958-Calc!F27))+(((IF(AND(ArtifactsInput!$M$42,((Inputs!$B$9+((C950=TRUE)*(F950-Calc!F19))+B961+(ArtifactsInput!$M$24-ArtifactsInput!$M$24)*CHOOSE(ArtifactsInput!$N$24+1,10,12,14,16,18,20)+IF(ArtifactsInput!$M$10,CHOOSE(ArtifactsInput!$N$10+1,15,18,21,24,27,30)*(IF(Inputs!$B$38="pvp",MIN(15,15)/15,IF(AND(Inputs!$B$38&lt;&gt;"pvp",Inputs!$B$43&gt;0),MIN(15,Inputs!$B$43)/(Inputs!$B$43),0))),0)))&gt;=100),MIN(100,((Inputs!$B$9+((C950=TRUE)*(F950-Calc!F19))+B961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950=TRUE)*(F950-Calc!F19))+B961+(ArtifactsInput!$M$24-ArtifactsInput!$M$24)*CHOOSE(ArtifactsInput!$N$24+1,10,12,14,16,18,20)+IF(ArtifactsInput!$M$10,CHOOSE(ArtifactsInput!$N$10+1,15,18,21,24,27,30)*(IF(Inputs!$B$38="pvp",MIN(15,15)/15,IF(AND(Inputs!$B$38&lt;&gt;"pvp",Inputs!$B$43&gt;0),MIN(15,Inputs!$B$43)/(Inputs!$B$43),0))),0)))&gt;=100),CHOOSE(ArtifactsInput!$N$42+1,40,48,56,64,72,80),0))))/100)*((1+(((C948=TRUE)*F948)+((C955=TRUE)*(F955-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933)</f>
        <v/>
      </c>
      <c r="L933">
        <f>K933*(MIN(Inputs!$B$22+((C953=TRUE)*(F953-Calc!F22)),(Inputs!$B$23+0+(IF(ArtifactsInput!$M$15,CHOOSE(ArtifactsInput!$N$15+1,25,30,35,40,45,50)/100*(Inputs!$B$11-Inputs!$B$11),0))))/100+(Inputs!$B$23+0+(IF(ArtifactsInput!$M$15,CHOOSE(ArtifactsInput!$N$15+1,25,30,35,40,45,50)/100*(Inputs!$B$11-Inputs!$B$11),0)))/100)/2</f>
        <v/>
      </c>
      <c r="M933">
        <f>L933*(1+(Inputs!$B$10+((C956=TRUE)*(F956-Calc!F25))+B966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3">
        <f>L933*(1-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933*(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3">
        <f>(1-Summary!$B$11)*T933+Summary!$B$11*V933</f>
        <v/>
      </c>
      <c r="P933">
        <f>IF(B971=0,0,O933/B971)</f>
        <v/>
      </c>
      <c r="Q933" t="n">
        <v>0</v>
      </c>
      <c r="R933" t="n">
        <v>0</v>
      </c>
      <c r="S933">
        <f>IFERROR(O933/N933,0)</f>
        <v/>
      </c>
      <c r="T933">
        <f>IF(C933,(Skills!G2*N933*B965)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933*(1-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933*(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933*(1-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933*(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3">
        <f>MAX(0,(Inputs!$B$3-100)*3)+Inputs!$B$28+(Inputs!$B$29+1)</f>
        <v/>
      </c>
      <c r="V933">
        <f>IF(C933,(Skills!G2*N933*B965)*IF(Inputs!$B$38="pvp",1,(1+(Inputs!$B$21+Skills!Q2+(IF(ArtifactsInput!$M$33,CHOOSE(ArtifactsInput!$N$33+1,30,36,42,48,54,60),0))+(IF(AND(ArtifactsInput!$M$35,Inputs!$B$4&lt;&gt;"Chapter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4">
      <c r="A934">
        <f>Skills!A3</f>
        <v/>
      </c>
      <c r="B934">
        <f>Skills!B3</f>
        <v/>
      </c>
      <c r="C934">
        <f>Inputs!$B$3&gt;=35</f>
        <v/>
      </c>
      <c r="D934">
        <f>IF(Skills!C3=1,60+Inputs!$B$25+(Inputs!$B$29+1),IF(Skills!C3=2,90+Inputs!$B$26+(Inputs!$B$29+1),IF(Skills!C3=3,120+Inputs!$B$27+(Inputs!$B$29+1),MAX(0,(Inputs!$B$3-100)*3)+Inputs!$B$28+(Inputs!$B$29+1))))</f>
        <v/>
      </c>
      <c r="E934">
        <f>INDEX(FactorTable!$B$2:$Y$301, MATCH(ROUND(MIN(300,MAX(1,D934)),0), FactorTable!$A$2:$A$301,0), Skills!M3+1)</f>
        <v/>
      </c>
      <c r="F934">
        <f>IF(Skills!N3=TRUE,(Skills!L3/10)*(E934/1000),Skills!L3/10)+Skills!O3</f>
        <v/>
      </c>
      <c r="G934">
        <f>Skills!G3*IF(Skills!H3&gt;0,Skills!I3/Skills!H3,1)</f>
        <v/>
      </c>
      <c r="H934">
        <f>1-(1-Skills!J3/100)^Skills!K3</f>
        <v/>
      </c>
      <c r="I934" t="inlineStr">
        <is>
          <t>1</t>
        </is>
      </c>
      <c r="J934">
        <f>((Inputs!$B$6*(1+Inputs!$B$7/100))+(((Inputs!$B$12*(1+Inputs!$B$13/100))-(Inputs!$B$12*(1+Inputs!$B$13/100)))+0.25*(Inputs!$B$14-Inputs!$B$14))*(1+Inputs!$B$7/100))*(F934/100)</f>
        <v/>
      </c>
      <c r="K934">
        <f>J934*(1+((Inputs!$B$12*(1+Inputs!$B$13/100))*0.01+Inputs!$B$14*0.0025)/100)*(1+Inputs!$B$15/100)*(1+Inputs!$B$16/100)*(5000/(6000+Inputs!$B$42*(1-(100*(1-(1-(Inputs!$B$19+0)/100)*(1-CHOOSE(ArtifactsInput!$N$40+1,5,6,7,8,9,10)/100)^(ArtifactsInput!$M$40-ArtifactsInput!$M$40)))/100)))*(1+(Inputs!$B$24+((C957=TRUE)*(F957-Calc!F26))+B967)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946=TRUE,F946,0)/100)*(1+(IF(Skills!A3="EIGHT_LEGS_EASTON",Inputs!$B$17+((C954=TRUE)*(F954-Calc!F23))+((C958=TRUE)*(F958-Calc!F27))+(((IF(AND(ArtifactsInput!$M$42,((Inputs!$B$9+((C950=TRUE)*(F950-Calc!F19))+B961+(ArtifactsInput!$M$24-ArtifactsInput!$M$24)*CHOOSE(ArtifactsInput!$N$24+1,10,12,14,16,18,20)+IF(ArtifactsInput!$M$10,CHOOSE(ArtifactsInput!$N$10+1,15,18,21,24,27,30)*(IF(Inputs!$B$38="pvp",MIN(15,15)/15,IF(AND(Inputs!$B$38&lt;&gt;"pvp",Inputs!$B$43&gt;0),MIN(15,Inputs!$B$43)/(Inputs!$B$43),0))),0)))&gt;=100),MIN(100,((Inputs!$B$9+((C950=TRUE)*(F950-Calc!F19))+B961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950=TRUE)*(F950-Calc!F19))+B961+(ArtifactsInput!$M$24-ArtifactsInput!$M$24)*CHOOSE(ArtifactsInput!$N$24+1,10,12,14,16,18,20)+IF(ArtifactsInput!$M$10,CHOOSE(ArtifactsInput!$N$10+1,15,18,21,24,27,30)*(IF(Inputs!$B$38="pvp",MIN(15,15)/15,IF(AND(Inputs!$B$38&lt;&gt;"pvp",Inputs!$B$43&gt;0),MIN(15,Inputs!$B$43)/(Inputs!$B$43),0))),0)))&gt;=100),CHOOSE(ArtifactsInput!$N$42+1,40,48,56,64,72,80),0))))/100)*((1+(((C948=TRUE)*F948)+((C955=TRUE)*(F955-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934)</f>
        <v/>
      </c>
      <c r="L934">
        <f>K934*(MIN(Inputs!$B$22+((C953=TRUE)*(F953-Calc!F22)),(Inputs!$B$23+0+(IF(ArtifactsInput!$M$15,CHOOSE(ArtifactsInput!$N$15+1,25,30,35,40,45,50)/100*(Inputs!$B$11-Inputs!$B$11),0))))/100+(Inputs!$B$23+0+(IF(ArtifactsInput!$M$15,CHOOSE(ArtifactsInput!$N$15+1,25,30,35,40,45,50)/100*(Inputs!$B$11-Inputs!$B$11),0)))/100)/2</f>
        <v/>
      </c>
      <c r="M934">
        <f>L934*(1+(Inputs!$B$10+((C956=TRUE)*(F956-Calc!F25))+B966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4">
        <f>L934*(1-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934*(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4">
        <f>(1-Summary!$B$11)*T934+Summary!$B$11*V934</f>
        <v/>
      </c>
      <c r="P934">
        <f>IF(B971=0,0,O934/B971)</f>
        <v/>
      </c>
      <c r="Q934">
        <f>IFERROR(1/(IF(Inputs!$B$38="pvp",15,MAX(0.1,Skills!D3-IF(Skills!E3=TRUE,Inputs!$B$32,0)))*(1-IF(AND(ArtifactsInput!$M$27,Inputs!$B$4="Chapter Hunt"),CHOOSE(ArtifactsInput!$N$27+1,20,24,28,32,36,40),0)/100)),0)</f>
        <v/>
      </c>
      <c r="R934">
        <f>IF(AND(Inputs!$B$38&lt;&gt;"pvp",Inputs!$B$43&gt;0),IF(MAX(0,Inputs!$B$43-B968)&lt;=0,0,(INT(MAX(0,Inputs!$B$43-B968)/(IF(Inputs!$B$38="pvp",15,MAX(0.1,Skills!D3-IF(Skills!E3=TRUE,Inputs!$B$32,0)))*(1-IF(AND(ArtifactsInput!$M$27,Inputs!$B$4="Chapter Hunt"),CHOOSE(ArtifactsInput!$N$27+1,20,24,28,32,36,40),0)/100)))+1)),0)</f>
        <v/>
      </c>
      <c r="S934">
        <f>IFERROR(O934/N934,0)</f>
        <v/>
      </c>
      <c r="T934">
        <f>IF(C934,(H934*N934*IF(AND(Inputs!$B$38&lt;&gt;"pvp",Inputs!$B$43&gt;0),((Skills!G3*((R934-1)*IF(Skills!H3&gt;0,Skills!I3/Skills!H3,1)+IF(Skills!H3&gt;0,MIN(Skills!I3,MAX(0,MAX(0,Inputs!$B$43-B968)-((R934-1)*(IF(Inputs!$B$38="pvp",15,MAX(0.1,Skills!D3-IF(Skills!E3=TRUE,Inputs!$B$32,0)))*(1-IF(AND(ArtifactsInput!$M$27,Inputs!$B$4="Chapter Hunt"),CHOOSE(ArtifactsInput!$N$27+1,20,24,28,32,36,40),0)/100)))))/Skills!H3,1)))/Inputs!$B$43),G934*Q934)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934*(1-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934*(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934*(1-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934*(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4">
        <f>INDEX(FactorTable!$B$2:$Y$301, MATCH(ROUND(MIN(300,MAX(1,U933)),0), FactorTable!$A$2:$A$301,0), 22)</f>
        <v/>
      </c>
      <c r="V934">
        <f>IF(C934,(H934*N934*IF(AND(Inputs!$B$38&lt;&gt;"pvp",Inputs!$B$43&gt;0),((Skills!G3*((R934-1)*IF(Skills!H3&gt;0,Skills!I3/Skills!H3,1)+IF(Skills!H3&gt;0,MIN(Skills!I3,MAX(0,MAX(0,Inputs!$B$43-B968)-((R934-1)*(IF(Inputs!$B$38="pvp",15,MAX(0.1,Skills!D3-IF(Skills!E3=TRUE,Inputs!$B$32,0)))*(1-IF(AND(ArtifactsInput!$M$27,Inputs!$B$4="Chapter Hunt"),CHOOSE(ArtifactsInput!$N$27+1,20,24,28,32,36,40),0)/100)))))/Skills!H3,1)))/Inputs!$B$43),G934*Q934))*IF(Inputs!$B$38="pvp",1,(1+(Inputs!$B$21+Skills!Q3+(IF(ArtifactsInput!$M$33,CHOOSE(ArtifactsInput!$N$33+1,30,36,42,48,54,60)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5">
      <c r="A935">
        <f>Skills!A4</f>
        <v/>
      </c>
      <c r="B935">
        <f>Skills!B4</f>
        <v/>
      </c>
      <c r="C935">
        <f>Inputs!$B$3&gt;=40</f>
        <v/>
      </c>
      <c r="D935">
        <f>IF(Skills!C4=1,60+Inputs!$B$25+(Inputs!$B$29+1),IF(Skills!C4=2,90+Inputs!$B$26+(Inputs!$B$29+1),IF(Skills!C4=3,120+Inputs!$B$27+(Inputs!$B$29+1),MAX(0,(Inputs!$B$3-100)*3)+Inputs!$B$28+(Inputs!$B$29+1))))</f>
        <v/>
      </c>
      <c r="E935">
        <f>INDEX(FactorTable!$B$2:$Y$301, MATCH(ROUND(MIN(300,MAX(1,D935)),0), FactorTable!$A$2:$A$301,0), Skills!M4+1)</f>
        <v/>
      </c>
      <c r="F935">
        <f>IF(Skills!N4=TRUE,(Skills!L4/10)*(E935/1000),Skills!L4/10)+Skills!O4</f>
        <v/>
      </c>
      <c r="G935">
        <f>Skills!G4*IF(Skills!H4&gt;0,Skills!I4/Skills!H4,1)</f>
        <v/>
      </c>
      <c r="H935">
        <f>1-(1-Skills!J4/100)^Skills!K4</f>
        <v/>
      </c>
      <c r="I935" t="inlineStr">
        <is>
          <t>1</t>
        </is>
      </c>
      <c r="J935">
        <f>((Inputs!$B$6*(1+Inputs!$B$7/100))+(((Inputs!$B$12*(1+Inputs!$B$13/100))-(Inputs!$B$12*(1+Inputs!$B$13/100)))+0.25*(Inputs!$B$14-Inputs!$B$14))*(1+Inputs!$B$7/100))*(F935/100)</f>
        <v/>
      </c>
      <c r="K935">
        <f>J935*(1+((Inputs!$B$12*(1+Inputs!$B$13/100))*0.01+Inputs!$B$14*0.0025)/100)*(1+Inputs!$B$15/100)*(1+Inputs!$B$16/100)*(5000/(6000+Inputs!$B$42*(1-(100*(1-(1-(Inputs!$B$19+0)/100)*(1-CHOOSE(ArtifactsInput!$N$40+1,5,6,7,8,9,10)/100)^(ArtifactsInput!$M$40-ArtifactsInput!$M$40)))/100)))*(1+(Inputs!$B$24+((C957=TRUE)*(F957-Calc!F26))+B967)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947=TRUE,F947,0)/100)*(1+(IF(Skills!A4="EIGHT_LEGS_EASTON",Inputs!$B$17+((C954=TRUE)*(F954-Calc!F23))+((C958=TRUE)*(F958-Calc!F27))+(((IF(AND(ArtifactsInput!$M$42,((Inputs!$B$9+((C950=TRUE)*(F950-Calc!F19))+B961+(ArtifactsInput!$M$24-ArtifactsInput!$M$24)*CHOOSE(ArtifactsInput!$N$24+1,10,12,14,16,18,20)+IF(ArtifactsInput!$M$10,CHOOSE(ArtifactsInput!$N$10+1,15,18,21,24,27,30)*(IF(Inputs!$B$38="pvp",MIN(15,15)/15,IF(AND(Inputs!$B$38&lt;&gt;"pvp",Inputs!$B$43&gt;0),MIN(15,Inputs!$B$43)/(Inputs!$B$43),0))),0)))&gt;=100),MIN(100,((Inputs!$B$9+((C950=TRUE)*(F950-Calc!F19))+B961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950=TRUE)*(F950-Calc!F19))+B961+(ArtifactsInput!$M$24-ArtifactsInput!$M$24)*CHOOSE(ArtifactsInput!$N$24+1,10,12,14,16,18,20)+IF(ArtifactsInput!$M$10,CHOOSE(ArtifactsInput!$N$10+1,15,18,21,24,27,30)*(IF(Inputs!$B$38="pvp",MIN(15,15)/15,IF(AND(Inputs!$B$38&lt;&gt;"pvp",Inputs!$B$43&gt;0),MIN(15,Inputs!$B$43)/(Inputs!$B$43),0))),0)))&gt;=100),CHOOSE(ArtifactsInput!$N$42+1,40,48,56,64,72,80),0))))/100)*((1+(((C948=TRUE)*F948)+((C955=TRUE)*(F955-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935)</f>
        <v/>
      </c>
      <c r="L935">
        <f>K935*(MIN(Inputs!$B$22+((C953=TRUE)*(F953-Calc!F22)),(Inputs!$B$23+0+(IF(ArtifactsInput!$M$15,CHOOSE(ArtifactsInput!$N$15+1,25,30,35,40,45,50)/100*(Inputs!$B$11-Inputs!$B$11),0))))/100+(Inputs!$B$23+0+(IF(ArtifactsInput!$M$15,CHOOSE(ArtifactsInput!$N$15+1,25,30,35,40,45,50)/100*(Inputs!$B$11-Inputs!$B$11),0)))/100)/2</f>
        <v/>
      </c>
      <c r="M935">
        <f>L935*(1+(Inputs!$B$10+((C956=TRUE)*(F956-Calc!F25))+B966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5">
        <f>L935*(1-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935*(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5">
        <f>(1-Summary!$B$11)*T935+Summary!$B$11*V935</f>
        <v/>
      </c>
      <c r="P935">
        <f>IF(B971=0,0,O935/B971)</f>
        <v/>
      </c>
      <c r="Q935">
        <f>IFERROR(1/(IF(Inputs!$B$38="pvp",15,MAX(0.1,Skills!D4-IF(Skills!E4=TRUE,Inputs!$B$32,0)))*(1-IF(AND(ArtifactsInput!$M$27,Inputs!$B$4="Chapter Hunt"),CHOOSE(ArtifactsInput!$N$27+1,20,24,28,32,36,40),0)/100)),0)</f>
        <v/>
      </c>
      <c r="R935">
        <f>IF(AND(Inputs!$B$38&lt;&gt;"pvp",Inputs!$B$43&gt;0),IF(MAX(0,Inputs!$B$43-B968)&lt;=0,0,(INT(MAX(0,Inputs!$B$43-B968)/(IF(Inputs!$B$38="pvp",15,MAX(0.1,Skills!D4-IF(Skills!E4=TRUE,Inputs!$B$32,0)))*(1-IF(AND(ArtifactsInput!$M$27,Inputs!$B$4="Chapter Hunt"),CHOOSE(ArtifactsInput!$N$27+1,20,24,28,32,36,40),0)/100)))+1)),0)</f>
        <v/>
      </c>
      <c r="S935">
        <f>IFERROR(O935/N935,0)</f>
        <v/>
      </c>
      <c r="T935">
        <f>IF(C935,(H935*N935*IF(AND(Inputs!$B$38&lt;&gt;"pvp",Inputs!$B$43&gt;0),((Skills!G4*((R935-1)*IF(Skills!H4&gt;0,Skills!I4/Skills!H4,1)+IF(Skills!H4&gt;0,MIN(Skills!I4,MAX(0,MAX(0,Inputs!$B$43-B968)-((R935-1)*(IF(Inputs!$B$38="pvp",15,MAX(0.1,Skills!D4-IF(Skills!E4=TRUE,Inputs!$B$32,0)))*(1-IF(AND(ArtifactsInput!$M$27,Inputs!$B$4="Chapter Hunt"),CHOOSE(ArtifactsInput!$N$27+1,20,24,28,32,36,40),0)/100)))))/Skills!H4,1)))/Inputs!$B$43),G935*Q935)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935*(1-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935*(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935*(1-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935*(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5">
        <f>290*U934/1000</f>
        <v/>
      </c>
      <c r="V935">
        <f>IF(C935,(H935*N935*IF(AND(Inputs!$B$38&lt;&gt;"pvp",Inputs!$B$43&gt;0),((Skills!G4*((R935-1)*IF(Skills!H4&gt;0,Skills!I4/Skills!H4,1)+IF(Skills!H4&gt;0,MIN(Skills!I4,MAX(0,MAX(0,Inputs!$B$43-B968)-((R935-1)*(IF(Inputs!$B$38="pvp",15,MAX(0.1,Skills!D4-IF(Skills!E4=TRUE,Inputs!$B$32,0)))*(1-IF(AND(ArtifactsInput!$M$27,Inputs!$B$4="Chapter Hunt"),CHOOSE(ArtifactsInput!$N$27+1,20,24,28,32,36,40),0)/100)))))/Skills!H4,1)))/Inputs!$B$43),G935*Q935))*IF(Inputs!$B$38="pvp",1,(1+(Inputs!$B$21+Skills!Q4+(IF(ArtifactsInput!$M$33,CHOOSE(ArtifactsInput!$N$33+1,30,36,42,48,54,60)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6">
      <c r="A936">
        <f>Skills!A5</f>
        <v/>
      </c>
      <c r="B936">
        <f>Skills!B5</f>
        <v/>
      </c>
      <c r="C936">
        <f>Inputs!$B$3&gt;=45</f>
        <v/>
      </c>
      <c r="D936">
        <f>IF(Skills!C5=1,60+Inputs!$B$25+(Inputs!$B$29+1),IF(Skills!C5=2,90+Inputs!$B$26+(Inputs!$B$29+1),IF(Skills!C5=3,120+Inputs!$B$27+(Inputs!$B$29+1),MAX(0,(Inputs!$B$3-100)*3)+Inputs!$B$28+(Inputs!$B$29+1))))</f>
        <v/>
      </c>
      <c r="E936">
        <f>INDEX(FactorTable!$B$2:$Y$301, MATCH(ROUND(MIN(300,MAX(1,D936)),0), FactorTable!$A$2:$A$301,0), Skills!M5+1)</f>
        <v/>
      </c>
      <c r="F936">
        <f>IF(Skills!N5=TRUE,(Skills!L5/10)*(E936/1000),Skills!L5/10)+Skills!O5</f>
        <v/>
      </c>
      <c r="G936">
        <f>Skills!G5*IF(Skills!H5&gt;0,Skills!I5/Skills!H5,1)</f>
        <v/>
      </c>
      <c r="H936">
        <f>1-(1-Skills!J5/100)^Skills!K5</f>
        <v/>
      </c>
      <c r="I936" t="inlineStr">
        <is>
          <t>1</t>
        </is>
      </c>
      <c r="J936">
        <f>((Inputs!$B$6*(1+Inputs!$B$7/100))+(((Inputs!$B$12*(1+Inputs!$B$13/100))-(Inputs!$B$12*(1+Inputs!$B$13/100)))+0.25*(Inputs!$B$14-Inputs!$B$14))*(1+Inputs!$B$7/100))*(F936/100)</f>
        <v/>
      </c>
      <c r="K936">
        <f>J936*(1+((Inputs!$B$12*(1+Inputs!$B$13/100))*0.01+Inputs!$B$14*0.0025)/100)*(1+Inputs!$B$15/100)*(1+Inputs!$B$16/100)*(5000/(6000+Inputs!$B$42*(1-(100*(1-(1-(Inputs!$B$19+0)/100)*(1-CHOOSE(ArtifactsInput!$N$40+1,5,6,7,8,9,10)/100)^(ArtifactsInput!$M$40-ArtifactsInput!$M$40)))/100)))*(1+(Inputs!$B$24+((C957=TRUE)*(F957-Calc!F26))+B967)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947=TRUE,F947,0)/100)*(1+(IF(Skills!A5="EIGHT_LEGS_EASTON",Inputs!$B$17+((C954=TRUE)*(F954-Calc!F23))+((C958=TRUE)*(F958-Calc!F27))+(((IF(AND(ArtifactsInput!$M$42,((Inputs!$B$9+((C950=TRUE)*(F950-Calc!F19))+B961+(ArtifactsInput!$M$24-ArtifactsInput!$M$24)*CHOOSE(ArtifactsInput!$N$24+1,10,12,14,16,18,20)+IF(ArtifactsInput!$M$10,CHOOSE(ArtifactsInput!$N$10+1,15,18,21,24,27,30)*(IF(Inputs!$B$38="pvp",MIN(15,15)/15,IF(AND(Inputs!$B$38&lt;&gt;"pvp",Inputs!$B$43&gt;0),MIN(15,Inputs!$B$43)/(Inputs!$B$43),0))),0)))&gt;=100),MIN(100,((Inputs!$B$9+((C950=TRUE)*(F950-Calc!F19))+B961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950=TRUE)*(F950-Calc!F19))+B961+(ArtifactsInput!$M$24-ArtifactsInput!$M$24)*CHOOSE(ArtifactsInput!$N$24+1,10,12,14,16,18,20)+IF(ArtifactsInput!$M$10,CHOOSE(ArtifactsInput!$N$10+1,15,18,21,24,27,30)*(IF(Inputs!$B$38="pvp",MIN(15,15)/15,IF(AND(Inputs!$B$38&lt;&gt;"pvp",Inputs!$B$43&gt;0),MIN(15,Inputs!$B$43)/(Inputs!$B$43),0))),0)))&gt;=100),CHOOSE(ArtifactsInput!$N$42+1,40,48,56,64,72,80),0))))/100)*((1+(((C948=TRUE)*F948)+((C955=TRUE)*(F955-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936)</f>
        <v/>
      </c>
      <c r="L936">
        <f>K936*(MIN(Inputs!$B$22+((C953=TRUE)*(F953-Calc!F22)),(Inputs!$B$23+0+(IF(ArtifactsInput!$M$15,CHOOSE(ArtifactsInput!$N$15+1,25,30,35,40,45,50)/100*(Inputs!$B$11-Inputs!$B$11),0))))/100+(Inputs!$B$23+0+(IF(ArtifactsInput!$M$15,CHOOSE(ArtifactsInput!$N$15+1,25,30,35,40,45,50)/100*(Inputs!$B$11-Inputs!$B$11),0)))/100)/2</f>
        <v/>
      </c>
      <c r="M936">
        <f>L936*(1+(Inputs!$B$10+((C956=TRUE)*(F956-Calc!F25))+B966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6">
        <f>L936*(1-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936*(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6">
        <f>(1-Summary!$B$11)*T936+Summary!$B$11*V936</f>
        <v/>
      </c>
      <c r="P936">
        <f>IF(B971=0,0,O936/B971)</f>
        <v/>
      </c>
      <c r="Q936">
        <f>IFERROR(1/(IF(Inputs!$B$38="pvp",15,MAX(0.1,Skills!D5-IF(Skills!E5=TRUE,Inputs!$B$32,0)))*(1-IF(AND(ArtifactsInput!$M$27,Inputs!$B$4="Chapter Hunt"),CHOOSE(ArtifactsInput!$N$27+1,20,24,28,32,36,40),0)/100)),0)</f>
        <v/>
      </c>
      <c r="R936">
        <f>IF(AND(Inputs!$B$38&lt;&gt;"pvp",Inputs!$B$43&gt;0),IF(MAX(0,Inputs!$B$43-B968)&lt;=0,0,(INT(MAX(0,Inputs!$B$43-B968)/(IF(Inputs!$B$38="pvp",15,MAX(0.1,Skills!D5-IF(Skills!E5=TRUE,Inputs!$B$32,0)))*(1-IF(AND(ArtifactsInput!$M$27,Inputs!$B$4="Chapter Hunt"),CHOOSE(ArtifactsInput!$N$27+1,20,24,28,32,36,40),0)/100)))+1)),0)</f>
        <v/>
      </c>
      <c r="S936">
        <f>IFERROR(O936/N936,0)</f>
        <v/>
      </c>
      <c r="T936">
        <f>IF(C936,(H936*N936*IF(AND(Inputs!$B$38&lt;&gt;"pvp",Inputs!$B$43&gt;0),((Skills!G5*((R936-1)*IF(Skills!H5&gt;0,Skills!I5/Skills!H5,1)+IF(Skills!H5&gt;0,MIN(Skills!I5,MAX(0,MAX(0,Inputs!$B$43-B968)-((R936-1)*(IF(Inputs!$B$38="pvp",15,MAX(0.1,Skills!D5-IF(Skills!E5=TRUE,Inputs!$B$32,0)))*(1-IF(AND(ArtifactsInput!$M$27,Inputs!$B$4="Chapter Hunt"),CHOOSE(ArtifactsInput!$N$27+1,20,24,28,32,36,40),0)/100)))))/Skills!H5,1)))/Inputs!$B$43),G936*Q936)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936*(1-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936*(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936*(1-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936*(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6">
        <f>IF(C936,(H936*N936*IF(AND(Inputs!$B$38&lt;&gt;"pvp",Inputs!$B$43&gt;0),((Skills!G5*((R936-1)*IF(Skills!H5&gt;0,Skills!I5/Skills!H5,1)+IF(Skills!H5&gt;0,MIN(Skills!I5,MAX(0,MAX(0,Inputs!$B$43-B968)-((R936-1)*(IF(Inputs!$B$38="pvp",15,MAX(0.1,Skills!D5-IF(Skills!E5=TRUE,Inputs!$B$32,0)))*(1-IF(AND(ArtifactsInput!$M$27,Inputs!$B$4="Chapter Hunt"),CHOOSE(ArtifactsInput!$N$27+1,20,24,28,32,36,40),0)/100)))))/Skills!H5,1)))/Inputs!$B$43),G936*Q936))*IF(Inputs!$B$38="pvp",1,(1+(Inputs!$B$21+Skills!Q5+(IF(ArtifactsInput!$M$33,CHOOSE(ArtifactsInput!$N$33+1,30,36,42,48,54,60)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7">
      <c r="A937">
        <f>Skills!A6</f>
        <v/>
      </c>
      <c r="B937">
        <f>Skills!B6</f>
        <v/>
      </c>
      <c r="C937">
        <f>Inputs!$B$3&gt;=63</f>
        <v/>
      </c>
      <c r="D937">
        <f>IF(Skills!C6=1,60+Inputs!$B$25+(Inputs!$B$29+1),IF(Skills!C6=2,90+Inputs!$B$26+(Inputs!$B$29+1),IF(Skills!C6=3,120+Inputs!$B$27+(Inputs!$B$29+1),MAX(0,(Inputs!$B$3-100)*3)+Inputs!$B$28+(Inputs!$B$29+1))))</f>
        <v/>
      </c>
      <c r="E937">
        <f>INDEX(FactorTable!$B$2:$Y$301, MATCH(ROUND(MIN(300,MAX(1,D937)),0), FactorTable!$A$2:$A$301,0), Skills!M6+1)</f>
        <v/>
      </c>
      <c r="F937">
        <f>IF(Skills!N6=TRUE,(Skills!L6/10)*(E937/1000),Skills!L6/10)+Skills!O6</f>
        <v/>
      </c>
      <c r="G937">
        <f>Skills!G6*IF(Skills!H6&gt;0,Skills!I6/Skills!H6,1)</f>
        <v/>
      </c>
      <c r="H937">
        <f>1-(1-Skills!J6/100)^Skills!K6</f>
        <v/>
      </c>
      <c r="I937" t="inlineStr">
        <is>
          <t>1</t>
        </is>
      </c>
      <c r="J937">
        <f>((Inputs!$B$6*(1+Inputs!$B$7/100))+(((Inputs!$B$12*(1+Inputs!$B$13/100))-(Inputs!$B$12*(1+Inputs!$B$13/100)))+0.25*(Inputs!$B$14-Inputs!$B$14))*(1+Inputs!$B$7/100))*(F937/100)</f>
        <v/>
      </c>
      <c r="K937">
        <f>J937*(1+((Inputs!$B$12*(1+Inputs!$B$13/100))*0.01+Inputs!$B$14*0.0025)/100)*(1+Inputs!$B$15/100)*(1+Inputs!$B$16/100)*(5000/(6000+Inputs!$B$42*(1-(100*(1-(1-(Inputs!$B$19+0)/100)*(1-CHOOSE(ArtifactsInput!$N$40+1,5,6,7,8,9,10)/100)^(ArtifactsInput!$M$40-ArtifactsInput!$M$40)))/100)))*(1+(Inputs!$B$24+((C957=TRUE)*(F957-Calc!F26))+B967)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946=TRUE,F946,0)/100)*(1+(IF(Skills!A6="EIGHT_LEGS_EASTON",Inputs!$B$17+((C954=TRUE)*(F954-Calc!F23))+((C958=TRUE)*(F958-Calc!F27))+(((IF(AND(ArtifactsInput!$M$42,((Inputs!$B$9+((C950=TRUE)*(F950-Calc!F19))+B961+(ArtifactsInput!$M$24-ArtifactsInput!$M$24)*CHOOSE(ArtifactsInput!$N$24+1,10,12,14,16,18,20)+IF(ArtifactsInput!$M$10,CHOOSE(ArtifactsInput!$N$10+1,15,18,21,24,27,30)*(IF(Inputs!$B$38="pvp",MIN(15,15)/15,IF(AND(Inputs!$B$38&lt;&gt;"pvp",Inputs!$B$43&gt;0),MIN(15,Inputs!$B$43)/(Inputs!$B$43),0))),0)))&gt;=100),MIN(100,((Inputs!$B$9+((C950=TRUE)*(F950-Calc!F19))+B961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950=TRUE)*(F950-Calc!F19))+B961+(ArtifactsInput!$M$24-ArtifactsInput!$M$24)*CHOOSE(ArtifactsInput!$N$24+1,10,12,14,16,18,20)+IF(ArtifactsInput!$M$10,CHOOSE(ArtifactsInput!$N$10+1,15,18,21,24,27,30)*(IF(Inputs!$B$38="pvp",MIN(15,15)/15,IF(AND(Inputs!$B$38&lt;&gt;"pvp",Inputs!$B$43&gt;0),MIN(15,Inputs!$B$43)/(Inputs!$B$43),0))),0)))&gt;=100),CHOOSE(ArtifactsInput!$N$42+1,40,48,56,64,72,80),0))))/100)*((1+(((C948=TRUE)*F948)+((C955=TRUE)*(F955-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937)</f>
        <v/>
      </c>
      <c r="L937">
        <f>K937*(MIN(Inputs!$B$22+((C953=TRUE)*(F953-Calc!F22)),(Inputs!$B$23+0+(IF(ArtifactsInput!$M$15,CHOOSE(ArtifactsInput!$N$15+1,25,30,35,40,45,50)/100*(Inputs!$B$11-Inputs!$B$11),0))))/100+(Inputs!$B$23+0+(IF(ArtifactsInput!$M$15,CHOOSE(ArtifactsInput!$N$15+1,25,30,35,40,45,50)/100*(Inputs!$B$11-Inputs!$B$11),0)))/100)/2</f>
        <v/>
      </c>
      <c r="M937">
        <f>L937*(1+(Inputs!$B$10+((C956=TRUE)*(F956-Calc!F25))+B966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7">
        <f>L937*(1-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937*(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7">
        <f>(1-Summary!$B$11)*T937+Summary!$B$11*V937</f>
        <v/>
      </c>
      <c r="P937">
        <f>IF(B971=0,0,O937/B971)</f>
        <v/>
      </c>
      <c r="Q937">
        <f>IFERROR(1/(IF(Inputs!$B$38="pvp",15,MAX(0.1,Skills!D6-IF(Skills!E6=TRUE,Inputs!$B$32,0)))*(1-IF(AND(ArtifactsInput!$M$27,Inputs!$B$4="Chapter Hunt"),CHOOSE(ArtifactsInput!$N$27+1,20,24,28,32,36,40),0)/100)),0)</f>
        <v/>
      </c>
      <c r="R937">
        <f>IF(AND(Inputs!$B$38&lt;&gt;"pvp",Inputs!$B$43&gt;0),IF(MAX(0,Inputs!$B$43-B968)&lt;=0,0,(INT(MAX(0,Inputs!$B$43-B968)/(IF(Inputs!$B$38="pvp",15,MAX(0.1,Skills!D6-IF(Skills!E6=TRUE,Inputs!$B$32,0)))*(1-IF(AND(ArtifactsInput!$M$27,Inputs!$B$4="Chapter Hunt"),CHOOSE(ArtifactsInput!$N$27+1,20,24,28,32,36,40),0)/100)))+1)),0)</f>
        <v/>
      </c>
      <c r="S937">
        <f>IFERROR(O937/N937,0)</f>
        <v/>
      </c>
      <c r="T937">
        <f>IF(C937,(H937*N937*IF(AND(Inputs!$B$38&lt;&gt;"pvp",Inputs!$B$43&gt;0),((Skills!G6*((R937-1)*IF(Skills!H6&gt;0,Skills!I6/Skills!H6,1)+IF(Skills!H6&gt;0,MIN(Skills!I6,MAX(0,MAX(0,Inputs!$B$43-B968)-((R937-1)*(IF(Inputs!$B$38="pvp",15,MAX(0.1,Skills!D6-IF(Skills!E6=TRUE,Inputs!$B$32,0)))*(1-IF(AND(ArtifactsInput!$M$27,Inputs!$B$4="Chapter Hunt"),CHOOSE(ArtifactsInput!$N$27+1,20,24,28,32,36,40),0)/100)))))/Skills!H6,1)))/Inputs!$B$43),G937*Q937)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937*(1-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937*(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937*(1-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937*(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7">
        <f>IF(C937,(H937*N937*IF(AND(Inputs!$B$38&lt;&gt;"pvp",Inputs!$B$43&gt;0),((Skills!G6*((R937-1)*IF(Skills!H6&gt;0,Skills!I6/Skills!H6,1)+IF(Skills!H6&gt;0,MIN(Skills!I6,MAX(0,MAX(0,Inputs!$B$43-B968)-((R937-1)*(IF(Inputs!$B$38="pvp",15,MAX(0.1,Skills!D6-IF(Skills!E6=TRUE,Inputs!$B$32,0)))*(1-IF(AND(ArtifactsInput!$M$27,Inputs!$B$4="Chapter Hunt"),CHOOSE(ArtifactsInput!$N$27+1,20,24,28,32,36,40),0)/100)))))/Skills!H6,1)))/Inputs!$B$43),G937*Q937))*IF(Inputs!$B$38="pvp",1,(1+(Inputs!$B$21+Skills!Q6+(IF(ArtifactsInput!$M$33,CHOOSE(ArtifactsInput!$N$33+1,30,36,42,48,54,60)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8">
      <c r="A938">
        <f>Skills!A7</f>
        <v/>
      </c>
      <c r="B938">
        <f>Skills!B7</f>
        <v/>
      </c>
      <c r="C938">
        <f>Inputs!$B$3&gt;=66</f>
        <v/>
      </c>
      <c r="D938">
        <f>IF(Skills!C7=1,60+Inputs!$B$25+(Inputs!$B$29+1),IF(Skills!C7=2,90+Inputs!$B$26+(Inputs!$B$29+1),IF(Skills!C7=3,120+Inputs!$B$27+(Inputs!$B$29+1),MAX(0,(Inputs!$B$3-100)*3)+Inputs!$B$28+(Inputs!$B$29+1))))</f>
        <v/>
      </c>
      <c r="E938">
        <f>INDEX(FactorTable!$B$2:$Y$301, MATCH(ROUND(MIN(300,MAX(1,D938)),0), FactorTable!$A$2:$A$301,0), Skills!M7+1)</f>
        <v/>
      </c>
      <c r="F938">
        <f>IF(Skills!N7=TRUE,(Skills!L7/10)*(E938/1000),Skills!L7/10)+Skills!O7</f>
        <v/>
      </c>
      <c r="G938">
        <f>Skills!G7*IF(Skills!H7&gt;0,Skills!I7/Skills!H7,1)</f>
        <v/>
      </c>
      <c r="H938">
        <f>1-(1-Skills!J7/100)^Skills!K7</f>
        <v/>
      </c>
      <c r="I938" t="inlineStr">
        <is>
          <t>1</t>
        </is>
      </c>
      <c r="J938">
        <f>((Inputs!$B$6*(1+Inputs!$B$7/100))+(((Inputs!$B$12*(1+Inputs!$B$13/100))-(Inputs!$B$12*(1+Inputs!$B$13/100)))+0.25*(Inputs!$B$14-Inputs!$B$14))*(1+Inputs!$B$7/100))*(F938/100)</f>
        <v/>
      </c>
      <c r="K938">
        <f>J938*(1+((Inputs!$B$12*(1+Inputs!$B$13/100))*0.01+Inputs!$B$14*0.0025)/100)*(1+Inputs!$B$15/100)*(1+Inputs!$B$16/100)*(5000/(6000+Inputs!$B$42*(1-(100*(1-(1-(Inputs!$B$19+0)/100)*(1-CHOOSE(ArtifactsInput!$N$40+1,5,6,7,8,9,10)/100)^(ArtifactsInput!$M$40-ArtifactsInput!$M$40)))/100)))*(1+(Inputs!$B$24+((C957=TRUE)*(F957-Calc!F26))+B967)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946=TRUE,F946,0)/100)*(1+(IF(Skills!A7="EIGHT_LEGS_EASTON",Inputs!$B$17+((C954=TRUE)*(F954-Calc!F23))+((C958=TRUE)*(F958-Calc!F27))+(((IF(AND(ArtifactsInput!$M$42,((Inputs!$B$9+((C950=TRUE)*(F950-Calc!F19))+B961+(ArtifactsInput!$M$24-ArtifactsInput!$M$24)*CHOOSE(ArtifactsInput!$N$24+1,10,12,14,16,18,20)+IF(ArtifactsInput!$M$10,CHOOSE(ArtifactsInput!$N$10+1,15,18,21,24,27,30)*(IF(Inputs!$B$38="pvp",MIN(15,15)/15,IF(AND(Inputs!$B$38&lt;&gt;"pvp",Inputs!$B$43&gt;0),MIN(15,Inputs!$B$43)/(Inputs!$B$43),0))),0)))&gt;=100),MIN(100,((Inputs!$B$9+((C950=TRUE)*(F950-Calc!F19))+B961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950=TRUE)*(F950-Calc!F19))+B961+(ArtifactsInput!$M$24-ArtifactsInput!$M$24)*CHOOSE(ArtifactsInput!$N$24+1,10,12,14,16,18,20)+IF(ArtifactsInput!$M$10,CHOOSE(ArtifactsInput!$N$10+1,15,18,21,24,27,30)*(IF(Inputs!$B$38="pvp",MIN(15,15)/15,IF(AND(Inputs!$B$38&lt;&gt;"pvp",Inputs!$B$43&gt;0),MIN(15,Inputs!$B$43)/(Inputs!$B$43),0))),0)))&gt;=100),CHOOSE(ArtifactsInput!$N$42+1,40,48,56,64,72,80),0))))/100)*((1+(((C948=TRUE)*F948)+((C955=TRUE)*(F955-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938)</f>
        <v/>
      </c>
      <c r="L938">
        <f>K938*(MIN(Inputs!$B$22+((C953=TRUE)*(F953-Calc!F22)),(Inputs!$B$23+0+(IF(ArtifactsInput!$M$15,CHOOSE(ArtifactsInput!$N$15+1,25,30,35,40,45,50)/100*(Inputs!$B$11-Inputs!$B$11),0))))/100+(Inputs!$B$23+0+(IF(ArtifactsInput!$M$15,CHOOSE(ArtifactsInput!$N$15+1,25,30,35,40,45,50)/100*(Inputs!$B$11-Inputs!$B$11),0)))/100)/2</f>
        <v/>
      </c>
      <c r="M938">
        <f>L938*(1+(Inputs!$B$10+((C956=TRUE)*(F956-Calc!F25))+B966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8">
        <f>L938*(1-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938*(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8">
        <f>(1-Summary!$B$11)*T938+Summary!$B$11*V938</f>
        <v/>
      </c>
      <c r="P938">
        <f>IF(B971=0,0,O938/B971)</f>
        <v/>
      </c>
      <c r="Q938">
        <f>IFERROR(1/(IF(Inputs!$B$38="pvp",15,MAX(0.1,Skills!D7-IF(Skills!E7=TRUE,Inputs!$B$32,0)))*(1-IF(AND(ArtifactsInput!$M$27,Inputs!$B$4="Chapter Hunt"),CHOOSE(ArtifactsInput!$N$27+1,20,24,28,32,36,40),0)/100)),0)</f>
        <v/>
      </c>
      <c r="R938">
        <f>IF(AND(Inputs!$B$38&lt;&gt;"pvp",Inputs!$B$43&gt;0),IF(MAX(0,Inputs!$B$43-B968)&lt;=0,0,(INT(MAX(0,Inputs!$B$43-B968)/(IF(Inputs!$B$38="pvp",15,MAX(0.1,Skills!D7-IF(Skills!E7=TRUE,Inputs!$B$32,0)))*(1-IF(AND(ArtifactsInput!$M$27,Inputs!$B$4="Chapter Hunt"),CHOOSE(ArtifactsInput!$N$27+1,20,24,28,32,36,40),0)/100)))+1)),0)</f>
        <v/>
      </c>
      <c r="S938">
        <f>IFERROR(O938/N938,0)</f>
        <v/>
      </c>
      <c r="T938">
        <f>IF(C938,(H938*N938*IF(AND(Inputs!$B$38&lt;&gt;"pvp",Inputs!$B$43&gt;0),((Skills!G7*((R938-1)*IF(Skills!H7&gt;0,Skills!I7/Skills!H7,1)+IF(Skills!H7&gt;0,MIN(Skills!I7,MAX(0,MAX(0,Inputs!$B$43-B968)-((R938-1)*(IF(Inputs!$B$38="pvp",15,MAX(0.1,Skills!D7-IF(Skills!E7=TRUE,Inputs!$B$32,0)))*(1-IF(AND(ArtifactsInput!$M$27,Inputs!$B$4="Chapter Hunt"),CHOOSE(ArtifactsInput!$N$27+1,20,24,28,32,36,40),0)/100)))))/Skills!H7,1)))/Inputs!$B$43),G938*Q938)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938*(1-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938*(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938*(1-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938*(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8">
        <f>IF(C938,(H938*N938*IF(AND(Inputs!$B$38&lt;&gt;"pvp",Inputs!$B$43&gt;0),((Skills!G7*((R938-1)*IF(Skills!H7&gt;0,Skills!I7/Skills!H7,1)+IF(Skills!H7&gt;0,MIN(Skills!I7,MAX(0,MAX(0,Inputs!$B$43-B968)-((R938-1)*(IF(Inputs!$B$38="pvp",15,MAX(0.1,Skills!D7-IF(Skills!E7=TRUE,Inputs!$B$32,0)))*(1-IF(AND(ArtifactsInput!$M$27,Inputs!$B$4="Chapter Hunt"),CHOOSE(ArtifactsInput!$N$27+1,20,24,28,32,36,40),0)/100)))))/Skills!H7,1)))/Inputs!$B$43),G938*Q938))*IF(Inputs!$B$38="pvp",1,(1+(Inputs!$B$21+Skills!Q7+(IF(ArtifactsInput!$M$33,CHOOSE(ArtifactsInput!$N$33+1,30,36,42,48,54,60)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9">
      <c r="A939">
        <f>Skills!A8</f>
        <v/>
      </c>
      <c r="B939">
        <f>Skills!B8</f>
        <v/>
      </c>
      <c r="C939">
        <f>Inputs!$B$3&gt;=100</f>
        <v/>
      </c>
      <c r="D939">
        <f>IF(Skills!C8=1,60+Inputs!$B$25+(Inputs!$B$29+1),IF(Skills!C8=2,90+Inputs!$B$26+(Inputs!$B$29+1),IF(Skills!C8=3,120+Inputs!$B$27+(Inputs!$B$29+1),MAX(0,(Inputs!$B$3-100)*3)+Inputs!$B$28+(Inputs!$B$29+1))))</f>
        <v/>
      </c>
      <c r="E939">
        <f>INDEX(FactorTable!$B$2:$Y$301, MATCH(ROUND(MIN(300,MAX(1,D939)),0), FactorTable!$A$2:$A$301,0), Skills!M8+1)</f>
        <v/>
      </c>
      <c r="F939">
        <f>IF(Skills!N8=TRUE,(Skills!L8/10)*(E939/1000),Skills!L8/10)+Skills!O8</f>
        <v/>
      </c>
      <c r="G939">
        <f>Skills!G8*IF(Skills!H8&gt;0,Skills!I8/Skills!H8,1)</f>
        <v/>
      </c>
      <c r="H939">
        <f>1-(1-Skills!J8/100)^Skills!K8</f>
        <v/>
      </c>
      <c r="I939" t="inlineStr">
        <is>
          <t>1</t>
        </is>
      </c>
      <c r="J939">
        <f>((Inputs!$B$6*(1+Inputs!$B$7/100))+(((Inputs!$B$12*(1+Inputs!$B$13/100))-(Inputs!$B$12*(1+Inputs!$B$13/100)))+0.25*(Inputs!$B$14-Inputs!$B$14))*(1+Inputs!$B$7/100))*(F939/100)</f>
        <v/>
      </c>
      <c r="K939">
        <f>J939*(1+((Inputs!$B$12*(1+Inputs!$B$13/100))*0.01+Inputs!$B$14*0.0025)/100)*(1+Inputs!$B$15/100)*(1+Inputs!$B$16/100)*(5000/(6000+Inputs!$B$42*(1-(100*(1-(1-(Inputs!$B$19+0)/100)*(1-CHOOSE(ArtifactsInput!$N$40+1,5,6,7,8,9,10)/100)^(ArtifactsInput!$M$40-ArtifactsInput!$M$40)))/100)))*(1+(Inputs!$B$24+((C957=TRUE)*(F957-Calc!F26))+B967)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954=TRUE)*(F954-Calc!F23))+((C958=TRUE)*(F958-Calc!F27))+(((IF(AND(ArtifactsInput!$M$42,((Inputs!$B$9+((C950=TRUE)*(F950-Calc!F19))+B961+(ArtifactsInput!$M$24-ArtifactsInput!$M$24)*CHOOSE(ArtifactsInput!$N$24+1,10,12,14,16,18,20)+IF(ArtifactsInput!$M$10,CHOOSE(ArtifactsInput!$N$10+1,15,18,21,24,27,30)*(IF(Inputs!$B$38="pvp",MIN(15,15)/15,IF(AND(Inputs!$B$38&lt;&gt;"pvp",Inputs!$B$43&gt;0),MIN(15,Inputs!$B$43)/(Inputs!$B$43),0))),0)))&gt;=100),MIN(100,((Inputs!$B$9+((C950=TRUE)*(F950-Calc!F19))+B961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950=TRUE)*(F950-Calc!F19))+B961+(ArtifactsInput!$M$24-ArtifactsInput!$M$24)*CHOOSE(ArtifactsInput!$N$24+1,10,12,14,16,18,20)+IF(ArtifactsInput!$M$10,CHOOSE(ArtifactsInput!$N$10+1,15,18,21,24,27,30)*(IF(Inputs!$B$38="pvp",MIN(15,15)/15,IF(AND(Inputs!$B$38&lt;&gt;"pvp",Inputs!$B$43&gt;0),MIN(15,Inputs!$B$43)/(Inputs!$B$43),0))),0)))&gt;=100),CHOOSE(ArtifactsInput!$N$42+1,40,48,56,64,72,80),0))))/100)*((1+(((C948=TRUE)*F948)+((C955=TRUE)*(F955-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939)</f>
        <v/>
      </c>
      <c r="L939">
        <f>K939*(MIN(Inputs!$B$22+((C953=TRUE)*(F953-Calc!F22)),(Inputs!$B$23+0+(IF(ArtifactsInput!$M$15,CHOOSE(ArtifactsInput!$N$15+1,25,30,35,40,45,50)/100*(Inputs!$B$11-Inputs!$B$11),0))))/100+(Inputs!$B$23+0+(IF(ArtifactsInput!$M$15,CHOOSE(ArtifactsInput!$N$15+1,25,30,35,40,45,50)/100*(Inputs!$B$11-Inputs!$B$11),0)))/100)/2</f>
        <v/>
      </c>
      <c r="M939">
        <f>L939*(1+(Inputs!$B$10+((C956=TRUE)*(F956-Calc!F25))+B966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9">
        <f>L939*(1-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939*(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9">
        <f>(1-Summary!$B$11)*T939+Summary!$B$11*V939</f>
        <v/>
      </c>
      <c r="P939">
        <f>IF(B971=0,0,O939/B971)</f>
        <v/>
      </c>
      <c r="Q939">
        <f>IFERROR(1/(IF(Inputs!$B$38="pvp",15,MAX(0.1,Skills!D8-IF(Skills!E8=TRUE,Inputs!$B$32,0)))*(1-IF(AND(ArtifactsInput!$M$27,Inputs!$B$4="Chapter Hunt"),CHOOSE(ArtifactsInput!$N$27+1,20,24,28,32,36,40),0)/100)),0)</f>
        <v/>
      </c>
      <c r="R939">
        <f>IF(AND(Inputs!$B$38&lt;&gt;"pvp",Inputs!$B$43&gt;0),IF(MAX(0,Inputs!$B$43-B968)&lt;=0,0,(INT(MAX(0,Inputs!$B$43-B968)/(IF(Inputs!$B$38="pvp",15,MAX(0.1,Skills!D8-IF(Skills!E8=TRUE,Inputs!$B$32,0)))*(1-IF(AND(ArtifactsInput!$M$27,Inputs!$B$4="Chapter Hunt"),CHOOSE(ArtifactsInput!$N$27+1,20,24,28,32,36,40),0)/100)))+1)),0)</f>
        <v/>
      </c>
      <c r="S939">
        <f>IFERROR(O939/N939,0)</f>
        <v/>
      </c>
      <c r="T939">
        <f>IF(C939,(H939*N939*IF(AND(Inputs!$B$38&lt;&gt;"pvp",Inputs!$B$43&gt;0),((Skills!G8*((R939-1)*IF(Skills!H8&gt;0,Skills!I8/Skills!H8,1)+IF(Skills!H8&gt;0,MIN(Skills!I8,MAX(0,MAX(0,Inputs!$B$43-B968)-((R939-1)*(IF(Inputs!$B$38="pvp",15,MAX(0.1,Skills!D8-IF(Skills!E8=TRUE,Inputs!$B$32,0)))*(1-IF(AND(ArtifactsInput!$M$27,Inputs!$B$4="Chapter Hunt"),CHOOSE(ArtifactsInput!$N$27+1,20,24,28,32,36,40),0)/100)))))/Skills!H8,1)))/Inputs!$B$43),G939*Q939)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939*(1-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939*(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939*(1-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939*(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9">
        <f>IF(C939,(H939*N939*IF(AND(Inputs!$B$38&lt;&gt;"pvp",Inputs!$B$43&gt;0),((Skills!G8*((R939-1)*IF(Skills!H8&gt;0,Skills!I8/Skills!H8,1)+IF(Skills!H8&gt;0,MIN(Skills!I8,MAX(0,MAX(0,Inputs!$B$43-B968)-((R939-1)*(IF(Inputs!$B$38="pvp",15,MAX(0.1,Skills!D8-IF(Skills!E8=TRUE,Inputs!$B$32,0)))*(1-IF(AND(ArtifactsInput!$M$27,Inputs!$B$4="Chapter Hunt"),CHOOSE(ArtifactsInput!$N$27+1,20,24,28,32,36,40),0)/100)))))/Skills!H8,1)))/Inputs!$B$43),G939*Q939))*IF(Inputs!$B$38="pvp",1,(1+(Inputs!$B$21+Skills!Q8+(IF(ArtifactsInput!$M$33,CHOOSE(ArtifactsInput!$N$33+1,30,36,42,48,54,60)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0">
      <c r="A940">
        <f>Skills!A9</f>
        <v/>
      </c>
      <c r="B940">
        <f>Skills!B9</f>
        <v/>
      </c>
      <c r="C940">
        <f>Inputs!$B$3&gt;=103</f>
        <v/>
      </c>
      <c r="D940">
        <f>IF(Skills!C9=1,60+Inputs!$B$25+(Inputs!$B$29+1),IF(Skills!C9=2,90+Inputs!$B$26+(Inputs!$B$29+1),IF(Skills!C9=3,120+Inputs!$B$27+(Inputs!$B$29+1),MAX(0,(Inputs!$B$3-100)*3)+Inputs!$B$28+(Inputs!$B$29+1))))</f>
        <v/>
      </c>
      <c r="E940">
        <f>INDEX(FactorTable!$B$2:$Y$301, MATCH(ROUND(MIN(300,MAX(1,D940)),0), FactorTable!$A$2:$A$301,0), Skills!M9+1)</f>
        <v/>
      </c>
      <c r="F940">
        <f>IF(Skills!N9=TRUE,(Skills!L9/10)*(E940/1000),Skills!L9/10)+Skills!O9</f>
        <v/>
      </c>
      <c r="G940">
        <f>Skills!G9*IF(Skills!H9&gt;0,Skills!I9/Skills!H9,1)</f>
        <v/>
      </c>
      <c r="H940">
        <f>1-(1-Skills!J9/100)^Skills!K9</f>
        <v/>
      </c>
      <c r="I940" t="inlineStr">
        <is>
          <t>1</t>
        </is>
      </c>
      <c r="J940">
        <f>((Inputs!$B$6*(1+Inputs!$B$7/100))+(((Inputs!$B$12*(1+Inputs!$B$13/100))-(Inputs!$B$12*(1+Inputs!$B$13/100)))+0.25*(Inputs!$B$14-Inputs!$B$14))*(1+Inputs!$B$7/100))*(F940/100)</f>
        <v/>
      </c>
      <c r="K940">
        <f>J940*(1+((Inputs!$B$12*(1+Inputs!$B$13/100))*0.01+Inputs!$B$14*0.0025)/100)*(1+Inputs!$B$15/100)*(1+Inputs!$B$16/100)*(5000/(6000+Inputs!$B$42*(1-(100*(1-(1-(Inputs!$B$19+0)/100)*(1-CHOOSE(ArtifactsInput!$N$40+1,5,6,7,8,9,10)/100)^(ArtifactsInput!$M$40-ArtifactsInput!$M$40)))/100)))*(1+(Inputs!$B$24+((C957=TRUE)*(F957-Calc!F26))+B967)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954=TRUE)*(F954-Calc!F23))+((C958=TRUE)*(F958-Calc!F27))+(((IF(AND(ArtifactsInput!$M$42,((Inputs!$B$9+((C950=TRUE)*(F950-Calc!F19))+B961+(ArtifactsInput!$M$24-ArtifactsInput!$M$24)*CHOOSE(ArtifactsInput!$N$24+1,10,12,14,16,18,20)+IF(ArtifactsInput!$M$10,CHOOSE(ArtifactsInput!$N$10+1,15,18,21,24,27,30)*(IF(Inputs!$B$38="pvp",MIN(15,15)/15,IF(AND(Inputs!$B$38&lt;&gt;"pvp",Inputs!$B$43&gt;0),MIN(15,Inputs!$B$43)/(Inputs!$B$43),0))),0)))&gt;=100),MIN(100,((Inputs!$B$9+((C950=TRUE)*(F950-Calc!F19))+B961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950=TRUE)*(F950-Calc!F19))+B961+(ArtifactsInput!$M$24-ArtifactsInput!$M$24)*CHOOSE(ArtifactsInput!$N$24+1,10,12,14,16,18,20)+IF(ArtifactsInput!$M$10,CHOOSE(ArtifactsInput!$N$10+1,15,18,21,24,27,30)*(IF(Inputs!$B$38="pvp",MIN(15,15)/15,IF(AND(Inputs!$B$38&lt;&gt;"pvp",Inputs!$B$43&gt;0),MIN(15,Inputs!$B$43)/(Inputs!$B$43),0))),0)))&gt;=100),CHOOSE(ArtifactsInput!$N$42+1,40,48,56,64,72,80),0))))/100)*((1+(((C948=TRUE)*F948)+((C955=TRUE)*(F955-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940)</f>
        <v/>
      </c>
      <c r="L940">
        <f>K940*(MIN(Inputs!$B$22+((C953=TRUE)*(F953-Calc!F22)),(Inputs!$B$23+0+(IF(ArtifactsInput!$M$15,CHOOSE(ArtifactsInput!$N$15+1,25,30,35,40,45,50)/100*(Inputs!$B$11-Inputs!$B$11),0))))/100+(Inputs!$B$23+0+(IF(ArtifactsInput!$M$15,CHOOSE(ArtifactsInput!$N$15+1,25,30,35,40,45,50)/100*(Inputs!$B$11-Inputs!$B$11),0)))/100)/2</f>
        <v/>
      </c>
      <c r="M940">
        <f>L940*(1+(Inputs!$B$10+((C956=TRUE)*(F956-Calc!F25))+B966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0">
        <f>L940*(1-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940*(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0">
        <f>(1-Summary!$B$11)*T940+Summary!$B$11*V940</f>
        <v/>
      </c>
      <c r="P940">
        <f>IF(B971=0,0,O940/B971)</f>
        <v/>
      </c>
      <c r="Q940">
        <f>IFERROR(1/(IF(Inputs!$B$38="pvp",15,MAX(0.1,Skills!D9-IF(Skills!E9=TRUE,Inputs!$B$32,0)))*(1-IF(AND(ArtifactsInput!$M$27,Inputs!$B$4="Chapter Hunt"),CHOOSE(ArtifactsInput!$N$27+1,20,24,28,32,36,40),0)/100)),0)</f>
        <v/>
      </c>
      <c r="R940">
        <f>IF(AND(Inputs!$B$38&lt;&gt;"pvp",Inputs!$B$43&gt;0),IF(MAX(0,Inputs!$B$43-B968)&lt;=0,0,(INT(MAX(0,Inputs!$B$43-B968)/(IF(Inputs!$B$38="pvp",15,MAX(0.1,Skills!D9-IF(Skills!E9=TRUE,Inputs!$B$32,0)))*(1-IF(AND(ArtifactsInput!$M$27,Inputs!$B$4="Chapter Hunt"),CHOOSE(ArtifactsInput!$N$27+1,20,24,28,32,36,40),0)/100)))+1)),0)</f>
        <v/>
      </c>
      <c r="S940">
        <f>IFERROR(O940/N940,0)</f>
        <v/>
      </c>
      <c r="T940">
        <f>IF(C940,(H940*N940*IF(AND(Inputs!$B$38&lt;&gt;"pvp",Inputs!$B$43&gt;0),((Skills!G9*((R940-1)*IF(Skills!H9&gt;0,Skills!I9/Skills!H9,1)+IF(Skills!H9&gt;0,MIN(Skills!I9,MAX(0,MAX(0,Inputs!$B$43-B968)-((R940-1)*(IF(Inputs!$B$38="pvp",15,MAX(0.1,Skills!D9-IF(Skills!E9=TRUE,Inputs!$B$32,0)))*(1-IF(AND(ArtifactsInput!$M$27,Inputs!$B$4="Chapter Hunt"),CHOOSE(ArtifactsInput!$N$27+1,20,24,28,32,36,40),0)/100)))))/Skills!H9,1)))/Inputs!$B$43),G940*Q940)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940*(1-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940*(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940*(1-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940*(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40">
        <f>IF(C940,(H940*N940*IF(AND(Inputs!$B$38&lt;&gt;"pvp",Inputs!$B$43&gt;0),((Skills!G9*((R940-1)*IF(Skills!H9&gt;0,Skills!I9/Skills!H9,1)+IF(Skills!H9&gt;0,MIN(Skills!I9,MAX(0,MAX(0,Inputs!$B$43-B968)-((R940-1)*(IF(Inputs!$B$38="pvp",15,MAX(0.1,Skills!D9-IF(Skills!E9=TRUE,Inputs!$B$32,0)))*(1-IF(AND(ArtifactsInput!$M$27,Inputs!$B$4="Chapter Hunt"),CHOOSE(ArtifactsInput!$N$27+1,20,24,28,32,36,40),0)/100)))))/Skills!H9,1)))/Inputs!$B$43),G940*Q940))*IF(Inputs!$B$38="pvp",1,(1+(Inputs!$B$21+Skills!Q9+(IF(ArtifactsInput!$M$33,CHOOSE(ArtifactsInput!$N$33+1,30,36,42,48,54,60)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1">
      <c r="A941">
        <f>Skills!A10</f>
        <v/>
      </c>
      <c r="B941">
        <f>Skills!B10</f>
        <v/>
      </c>
      <c r="C941">
        <f>Inputs!$B$3&gt;=113</f>
        <v/>
      </c>
      <c r="D941">
        <f>IF(Skills!C10=1,60+Inputs!$B$25+(Inputs!$B$29+1),IF(Skills!C10=2,90+Inputs!$B$26+(Inputs!$B$29+1),IF(Skills!C10=3,120+Inputs!$B$27+(Inputs!$B$29+1),MAX(0,(Inputs!$B$3-100)*3)+Inputs!$B$28+(Inputs!$B$29+1))))</f>
        <v/>
      </c>
      <c r="E941">
        <f>INDEX(FactorTable!$B$2:$Y$301, MATCH(ROUND(MIN(300,MAX(1,D941)),0), FactorTable!$A$2:$A$301,0), Skills!M10+1)</f>
        <v/>
      </c>
      <c r="F941">
        <f>IF(Skills!N10=TRUE,(Skills!L10/10)*(E941/1000),Skills!L10/10)+Skills!O10</f>
        <v/>
      </c>
      <c r="G941">
        <f>Skills!G10*IF(Skills!H10&gt;0,Skills!I10/Skills!H10,1)</f>
        <v/>
      </c>
      <c r="H941">
        <f>1-(1-Skills!J10/100)^Skills!K10</f>
        <v/>
      </c>
      <c r="I941" t="inlineStr">
        <is>
          <t>1</t>
        </is>
      </c>
      <c r="J941">
        <f>((Inputs!$B$6*(1+Inputs!$B$7/100))+(((Inputs!$B$12*(1+Inputs!$B$13/100))-(Inputs!$B$12*(1+Inputs!$B$13/100)))+0.25*(Inputs!$B$14-Inputs!$B$14))*(1+Inputs!$B$7/100))*(F941/100)</f>
        <v/>
      </c>
      <c r="K941">
        <f>J941*(1+((Inputs!$B$12*(1+Inputs!$B$13/100))*0.01+Inputs!$B$14*0.0025)/100)*(1+Inputs!$B$15/100)*(1+Inputs!$B$16/100)*(5000/(6000+Inputs!$B$42*(1-(100*(1-(1-(Inputs!$B$19+0)/100)*(1-CHOOSE(ArtifactsInput!$N$40+1,5,6,7,8,9,10)/100)^(ArtifactsInput!$M$40-ArtifactsInput!$M$40)))/100)))*(1+(Inputs!$B$24+((C957=TRUE)*(F957-Calc!F26))+B967)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954=TRUE)*(F954-Calc!F23))+((C958=TRUE)*(F958-Calc!F27))+(((IF(AND(ArtifactsInput!$M$42,((Inputs!$B$9+((C950=TRUE)*(F950-Calc!F19))+B961+(ArtifactsInput!$M$24-ArtifactsInput!$M$24)*CHOOSE(ArtifactsInput!$N$24+1,10,12,14,16,18,20)+IF(ArtifactsInput!$M$10,CHOOSE(ArtifactsInput!$N$10+1,15,18,21,24,27,30)*(IF(Inputs!$B$38="pvp",MIN(15,15)/15,IF(AND(Inputs!$B$38&lt;&gt;"pvp",Inputs!$B$43&gt;0),MIN(15,Inputs!$B$43)/(Inputs!$B$43),0))),0)))&gt;=100),MIN(100,((Inputs!$B$9+((C950=TRUE)*(F950-Calc!F19))+B961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950=TRUE)*(F950-Calc!F19))+B961+(ArtifactsInput!$M$24-ArtifactsInput!$M$24)*CHOOSE(ArtifactsInput!$N$24+1,10,12,14,16,18,20)+IF(ArtifactsInput!$M$10,CHOOSE(ArtifactsInput!$N$10+1,15,18,21,24,27,30)*(IF(Inputs!$B$38="pvp",MIN(15,15)/15,IF(AND(Inputs!$B$38&lt;&gt;"pvp",Inputs!$B$43&gt;0),MIN(15,Inputs!$B$43)/(Inputs!$B$43),0))),0)))&gt;=100),CHOOSE(ArtifactsInput!$N$42+1,40,48,56,64,72,80),0))))/100)*((1+(((C948=TRUE)*F948)+((C955=TRUE)*(F955-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941)</f>
        <v/>
      </c>
      <c r="L941">
        <f>K941*(MIN(Inputs!$B$22+((C953=TRUE)*(F953-Calc!F22)),(Inputs!$B$23+0+(IF(ArtifactsInput!$M$15,CHOOSE(ArtifactsInput!$N$15+1,25,30,35,40,45,50)/100*(Inputs!$B$11-Inputs!$B$11),0))))/100+(Inputs!$B$23+0+(IF(ArtifactsInput!$M$15,CHOOSE(ArtifactsInput!$N$15+1,25,30,35,40,45,50)/100*(Inputs!$B$11-Inputs!$B$11),0)))/100)/2</f>
        <v/>
      </c>
      <c r="M941">
        <f>L941*(1+(Inputs!$B$10+((C956=TRUE)*(F956-Calc!F25))+B966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1">
        <f>L941*(1-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941*(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1">
        <f>(1-Summary!$B$11)*T941+Summary!$B$11*V941</f>
        <v/>
      </c>
      <c r="P941">
        <f>IF(B971=0,0,O941/B971)</f>
        <v/>
      </c>
      <c r="Q941">
        <f>IFERROR(1/(IF(Inputs!$B$38="pvp",15,MAX(0.1,Skills!D10-IF(Skills!E10=TRUE,Inputs!$B$32,0)))*(1-IF(AND(ArtifactsInput!$M$27,Inputs!$B$4="Chapter Hunt"),CHOOSE(ArtifactsInput!$N$27+1,20,24,28,32,36,40),0)/100)),0)</f>
        <v/>
      </c>
      <c r="R941">
        <f>IF(AND(Inputs!$B$38&lt;&gt;"pvp",Inputs!$B$43&gt;0),IF(MAX(0,Inputs!$B$43-B968)&lt;=0,0,(INT(MAX(0,Inputs!$B$43-B968)/(IF(Inputs!$B$38="pvp",15,MAX(0.1,Skills!D10-IF(Skills!E10=TRUE,Inputs!$B$32,0)))*(1-IF(AND(ArtifactsInput!$M$27,Inputs!$B$4="Chapter Hunt"),CHOOSE(ArtifactsInput!$N$27+1,20,24,28,32,36,40),0)/100)))+1)),0)</f>
        <v/>
      </c>
      <c r="S941">
        <f>IFERROR(O941/N941,0)</f>
        <v/>
      </c>
      <c r="T941">
        <f>IF(C941,(H941*N941*IF(AND(Inputs!$B$38&lt;&gt;"pvp",Inputs!$B$43&gt;0),((Skills!G10*((R941-1)*IF(Skills!H10&gt;0,Skills!I10/Skills!H10,1)+IF(Skills!H10&gt;0,MIN(Skills!I10,MAX(0,MAX(0,Inputs!$B$43-B968)-((R941-1)*(IF(Inputs!$B$38="pvp",15,MAX(0.1,Skills!D10-IF(Skills!E10=TRUE,Inputs!$B$32,0)))*(1-IF(AND(ArtifactsInput!$M$27,Inputs!$B$4="Chapter Hunt"),CHOOSE(ArtifactsInput!$N$27+1,20,24,28,32,36,40),0)/100)))))/Skills!H10,1)))/Inputs!$B$43),G941*Q941)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941*(1-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941*(1-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41">
        <f>IF(C941,(H941*N941*IF(AND(Inputs!$B$38&lt;&gt;"pvp",Inputs!$B$43&gt;0),((Skills!G10*((R941-1)*IF(Skills!H10&gt;0,Skills!I10/Skills!H10,1)+IF(Skills!H10&gt;0,MIN(Skills!I10,MAX(0,MAX(0,Inputs!$B$43-B968)-((R941-1)*(IF(Inputs!$B$38="pvp",15,MAX(0.1,Skills!D10-IF(Skills!E10=TRUE,Inputs!$B$32,0)))*(1-IF(AND(ArtifactsInput!$M$27,Inputs!$B$4="Chapter Hunt"),CHOOSE(ArtifactsInput!$N$27+1,20,24,28,32,36,40),0)/100)))))/Skills!H10,1)))/Inputs!$B$43),G941*Q941))*IF(Inputs!$B$38="pvp",1,(1+(Inputs!$B$21+Skills!Q10+(IF(ArtifactsInput!$M$33,CHOOSE(ArtifactsInput!$N$33+1,30,36,42,48,54,60)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2">
      <c r="A942">
        <f>Skills!A11</f>
        <v/>
      </c>
      <c r="B942">
        <f>Skills!B11</f>
        <v/>
      </c>
      <c r="C942">
        <f>Inputs!$B$3&gt;=107</f>
        <v/>
      </c>
      <c r="D942">
        <f>IF(Skills!C11=1,60+Inputs!$B$25+(Inputs!$B$29+1),IF(Skills!C11=2,90+Inputs!$B$26+(Inputs!$B$29+1),IF(Skills!C11=3,120+Inputs!$B$27+(Inputs!$B$29+1),MAX(0,(Inputs!$B$3-100)*3)+Inputs!$B$28+(Inputs!$B$29+1))))</f>
        <v/>
      </c>
      <c r="E942">
        <f>INDEX(FactorTable!$B$2:$Y$301, MATCH(ROUND(MIN(300,MAX(1,D942)),0), FactorTable!$A$2:$A$301,0), Skills!M11+1)</f>
        <v/>
      </c>
      <c r="F942">
        <f>IF(Skills!N11=TRUE,(Skills!L11/10)*(E942/1000),Skills!L11/10)+Skills!O11</f>
        <v/>
      </c>
      <c r="G942">
        <f>Skills!G11*IF(Skills!H11&gt;0,Skills!I11/Skills!H11,1)</f>
        <v/>
      </c>
      <c r="H942">
        <f>1-(1-Skills!J11/100)^Skills!K11</f>
        <v/>
      </c>
      <c r="I942" t="inlineStr">
        <is>
          <t>1</t>
        </is>
      </c>
      <c r="J942">
        <f>((Inputs!$B$6*(1+Inputs!$B$7/100))+(((Inputs!$B$12*(1+Inputs!$B$13/100))-(Inputs!$B$12*(1+Inputs!$B$13/100)))+0.25*(Inputs!$B$14-Inputs!$B$14))*(1+Inputs!$B$7/100))*(F942/100)</f>
        <v/>
      </c>
      <c r="K942">
        <f>J942*(1+((Inputs!$B$12*(1+Inputs!$B$13/100))*0.01+Inputs!$B$14*0.0025)/100)*(1+Inputs!$B$15/100)*(1+Inputs!$B$16/100)*(5000/(6000+Inputs!$B$42*(1-(100*(1-(1-(Inputs!$B$19+0)/100)*(1-CHOOSE(ArtifactsInput!$N$40+1,5,6,7,8,9,10)/100)^(ArtifactsInput!$M$40-ArtifactsInput!$M$40)))/100)))*(1+(Inputs!$B$24+((C957=TRUE)*(F957-Calc!F26))+B967)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954=TRUE)*(F954-Calc!F23))+((C958=TRUE)*(F958-Calc!F27))+(((IF(AND(ArtifactsInput!$M$42,((Inputs!$B$9+((C950=TRUE)*(F950-Calc!F19))+B961+(ArtifactsInput!$M$24-ArtifactsInput!$M$24)*CHOOSE(ArtifactsInput!$N$24+1,10,12,14,16,18,20)+IF(ArtifactsInput!$M$10,CHOOSE(ArtifactsInput!$N$10+1,15,18,21,24,27,30)*(IF(Inputs!$B$38="pvp",MIN(15,15)/15,IF(AND(Inputs!$B$38&lt;&gt;"pvp",Inputs!$B$43&gt;0),MIN(15,Inputs!$B$43)/(Inputs!$B$43),0))),0)))&gt;=100),MIN(100,((Inputs!$B$9+((C950=TRUE)*(F950-Calc!F19))+B961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950=TRUE)*(F950-Calc!F19))+B961+(ArtifactsInput!$M$24-ArtifactsInput!$M$24)*CHOOSE(ArtifactsInput!$N$24+1,10,12,14,16,18,20)+IF(ArtifactsInput!$M$10,CHOOSE(ArtifactsInput!$N$10+1,15,18,21,24,27,30)*(IF(Inputs!$B$38="pvp",MIN(15,15)/15,IF(AND(Inputs!$B$38&lt;&gt;"pvp",Inputs!$B$43&gt;0),MIN(15,Inputs!$B$43)/(Inputs!$B$43),0))),0)))&gt;=100),CHOOSE(ArtifactsInput!$N$42+1,40,48,56,64,72,80),0))))/100)*((1+(((C948=TRUE)*F948)+((C955=TRUE)*(F955-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942)</f>
        <v/>
      </c>
      <c r="L942">
        <f>K942*(MIN(Inputs!$B$22+((C953=TRUE)*(F953-Calc!F22)),(Inputs!$B$23+0+(IF(ArtifactsInput!$M$15,CHOOSE(ArtifactsInput!$N$15+1,25,30,35,40,45,50)/100*(Inputs!$B$11-Inputs!$B$11),0))))/100+(Inputs!$B$23+0+(IF(ArtifactsInput!$M$15,CHOOSE(ArtifactsInput!$N$15+1,25,30,35,40,45,50)/100*(Inputs!$B$11-Inputs!$B$11),0)))/100)/2</f>
        <v/>
      </c>
      <c r="M942">
        <f>L942*(1+(Inputs!$B$10+((C956=TRUE)*(F956-Calc!F25))+B966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2">
        <f>L942*(1-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942*(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2">
        <f>(1-Summary!$B$11)*T942+Summary!$B$11*V942</f>
        <v/>
      </c>
      <c r="P942">
        <f>IF(B971=0,0,O942/B971)</f>
        <v/>
      </c>
      <c r="Q942">
        <f>IFERROR(1/(IF(Inputs!$B$38="pvp",15,MAX(0.1,Skills!D11-IF(Skills!E11=TRUE,Inputs!$B$32,0)))*(1-IF(AND(ArtifactsInput!$M$27,Inputs!$B$4="Chapter Hunt"),CHOOSE(ArtifactsInput!$N$27+1,20,24,28,32,36,40),0)/100)),0)</f>
        <v/>
      </c>
      <c r="R942">
        <f>IF(AND(Inputs!$B$38&lt;&gt;"pvp",Inputs!$B$43&gt;0),IF(MAX(0,Inputs!$B$43-B968)&lt;=0,0,(INT(MAX(0,Inputs!$B$43-B968)/(IF(Inputs!$B$38="pvp",15,MAX(0.1,Skills!D11-IF(Skills!E11=TRUE,Inputs!$B$32,0)))*(1-IF(AND(ArtifactsInput!$M$27,Inputs!$B$4="Chapter Hunt"),CHOOSE(ArtifactsInput!$N$27+1,20,24,28,32,36,40),0)/100)))+1)),0)</f>
        <v/>
      </c>
      <c r="S942">
        <f>IFERROR(O942/N942,0)</f>
        <v/>
      </c>
      <c r="T942">
        <f>IF(C942,(H942*N942*IF(AND(Inputs!$B$38&lt;&gt;"pvp",Inputs!$B$43&gt;0),((Skills!G11*((R942-1)*IF(Skills!H11&gt;0,Skills!I11/Skills!H11,1)+IF(Skills!H11&gt;0,MIN(Skills!I11,MAX(0,MAX(0,Inputs!$B$43-B968)-((R942-1)*(IF(Inputs!$B$38="pvp",15,MAX(0.1,Skills!D11-IF(Skills!E11=TRUE,Inputs!$B$32,0)))*(1-IF(AND(ArtifactsInput!$M$27,Inputs!$B$4="Chapter Hunt"),CHOOSE(ArtifactsInput!$N$27+1,20,24,28,32,36,40),0)/100)))))/Skills!H11,1)))/Inputs!$B$43),G942*Q942)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942*(1-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942*(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942*(1-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942*(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42">
        <f>IF(C942,(H942*N942*IF(AND(Inputs!$B$38&lt;&gt;"pvp",Inputs!$B$43&gt;0),((Skills!G11*((R942-1)*IF(Skills!H11&gt;0,Skills!I11/Skills!H11,1)+IF(Skills!H11&gt;0,MIN(Skills!I11,MAX(0,MAX(0,Inputs!$B$43-B968)-((R942-1)*(IF(Inputs!$B$38="pvp",15,MAX(0.1,Skills!D11-IF(Skills!E11=TRUE,Inputs!$B$32,0)))*(1-IF(AND(ArtifactsInput!$M$27,Inputs!$B$4="Chapter Hunt"),CHOOSE(ArtifactsInput!$N$27+1,20,24,28,32,36,40),0)/100)))))/Skills!H11,1)))/Inputs!$B$43),G942*Q942))*IF(Inputs!$B$38="pvp",1,(1+(Inputs!$B$21+Skills!Q11+(IF(ArtifactsInput!$M$33,CHOOSE(ArtifactsInput!$N$33+1,30,36,42,48,54,60)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3">
      <c r="A943">
        <f>Skills!A12</f>
        <v/>
      </c>
      <c r="B943">
        <f>Skills!B12</f>
        <v/>
      </c>
      <c r="C943">
        <f>Inputs!$B$3&gt;=110</f>
        <v/>
      </c>
      <c r="D943">
        <f>IF(Skills!C12=1,60+Inputs!$B$25+(Inputs!$B$29+1),IF(Skills!C12=2,90+Inputs!$B$26+(Inputs!$B$29+1),IF(Skills!C12=3,120+Inputs!$B$27+(Inputs!$B$29+1),MAX(0,(Inputs!$B$3-100)*3)+Inputs!$B$28+(Inputs!$B$29+1))))</f>
        <v/>
      </c>
      <c r="E943">
        <f>INDEX(FactorTable!$B$2:$Y$301, MATCH(ROUND(MIN(300,MAX(1,D943)),0), FactorTable!$A$2:$A$301,0), Skills!M12+1)</f>
        <v/>
      </c>
      <c r="F943">
        <f>IF(Skills!N12=TRUE,(Skills!L12/10)*(E943/1000),Skills!L12/10)+Skills!O12</f>
        <v/>
      </c>
      <c r="G943">
        <f>Skills!G12*IF(Skills!H12&gt;0,Skills!I12/Skills!H12,1)</f>
        <v/>
      </c>
      <c r="H943">
        <f>1-(1-Skills!J12/100)^Skills!K12</f>
        <v/>
      </c>
      <c r="I943" t="inlineStr">
        <is>
          <t>1</t>
        </is>
      </c>
      <c r="J943">
        <f>((Inputs!$B$6*(1+Inputs!$B$7/100))+(((Inputs!$B$12*(1+Inputs!$B$13/100))-(Inputs!$B$12*(1+Inputs!$B$13/100)))+0.25*(Inputs!$B$14-Inputs!$B$14))*(1+Inputs!$B$7/100))*(F943/100)</f>
        <v/>
      </c>
      <c r="K943">
        <f>J943*(1+((Inputs!$B$12*(1+Inputs!$B$13/100))*0.01+Inputs!$B$14*0.0025)/100)*(1+Inputs!$B$15/100)*(1+Inputs!$B$16/100)*(5000/(6000+Inputs!$B$42*(1-(100*(1-(1-(Inputs!$B$19+0)/100)*(1-CHOOSE(ArtifactsInput!$N$40+1,5,6,7,8,9,10)/100)^(ArtifactsInput!$M$40-ArtifactsInput!$M$40)))/100)))*(1+(Inputs!$B$24+((C957=TRUE)*(F957-Calc!F26))+B967)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954=TRUE)*(F954-Calc!F23))+((C958=TRUE)*(F958-Calc!F27))+(((IF(AND(ArtifactsInput!$M$42,((Inputs!$B$9+((C950=TRUE)*(F950-Calc!F19))+B961+(ArtifactsInput!$M$24-ArtifactsInput!$M$24)*CHOOSE(ArtifactsInput!$N$24+1,10,12,14,16,18,20)+IF(ArtifactsInput!$M$10,CHOOSE(ArtifactsInput!$N$10+1,15,18,21,24,27,30)*(IF(Inputs!$B$38="pvp",MIN(15,15)/15,IF(AND(Inputs!$B$38&lt;&gt;"pvp",Inputs!$B$43&gt;0),MIN(15,Inputs!$B$43)/(Inputs!$B$43),0))),0)))&gt;=100),MIN(100,((Inputs!$B$9+((C950=TRUE)*(F950-Calc!F19))+B961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950=TRUE)*(F950-Calc!F19))+B961+(ArtifactsInput!$M$24-ArtifactsInput!$M$24)*CHOOSE(ArtifactsInput!$N$24+1,10,12,14,16,18,20)+IF(ArtifactsInput!$M$10,CHOOSE(ArtifactsInput!$N$10+1,15,18,21,24,27,30)*(IF(Inputs!$B$38="pvp",MIN(15,15)/15,IF(AND(Inputs!$B$38&lt;&gt;"pvp",Inputs!$B$43&gt;0),MIN(15,Inputs!$B$43)/(Inputs!$B$43),0))),0)))&gt;=100),CHOOSE(ArtifactsInput!$N$42+1,40,48,56,64,72,80),0))))/100)*((1+(((C948=TRUE)*F948)+((C955=TRUE)*(F955-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943)</f>
        <v/>
      </c>
      <c r="L943">
        <f>K943*(MIN(Inputs!$B$22+((C953=TRUE)*(F953-Calc!F22)),(Inputs!$B$23+0+(IF(ArtifactsInput!$M$15,CHOOSE(ArtifactsInput!$N$15+1,25,30,35,40,45,50)/100*(Inputs!$B$11-Inputs!$B$11),0))))/100+(Inputs!$B$23+0+(IF(ArtifactsInput!$M$15,CHOOSE(ArtifactsInput!$N$15+1,25,30,35,40,45,50)/100*(Inputs!$B$11-Inputs!$B$11),0)))/100)/2</f>
        <v/>
      </c>
      <c r="M943">
        <f>L943*(1+(Inputs!$B$10+((C956=TRUE)*(F956-Calc!F25))+B966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3">
        <f>L943*(1-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943*(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3">
        <f>(1-Summary!$B$11)*T943+Summary!$B$11*V943</f>
        <v/>
      </c>
      <c r="P943">
        <f>IF(B971=0,0,O943/B971)</f>
        <v/>
      </c>
      <c r="Q943">
        <f>IFERROR(1/(IF(Inputs!$B$38="pvp",15,MAX(0.1,Skills!D12-IF(Skills!E12=TRUE,Inputs!$B$32,0)))*(1-IF(AND(ArtifactsInput!$M$27,Inputs!$B$4="Chapter Hunt"),CHOOSE(ArtifactsInput!$N$27+1,20,24,28,32,36,40),0)/100)),0)</f>
        <v/>
      </c>
      <c r="R943">
        <f>IF(AND(Inputs!$B$38&lt;&gt;"pvp",Inputs!$B$43&gt;0),IF(MAX(0,Inputs!$B$43-B968)&lt;=0,0,(INT(MAX(0,Inputs!$B$43-B968)/(IF(Inputs!$B$38="pvp",15,MAX(0.1,Skills!D12-IF(Skills!E12=TRUE,Inputs!$B$32,0)))*(1-IF(AND(ArtifactsInput!$M$27,Inputs!$B$4="Chapter Hunt"),CHOOSE(ArtifactsInput!$N$27+1,20,24,28,32,36,40),0)/100)))+1)),0)</f>
        <v/>
      </c>
      <c r="S943">
        <f>IFERROR(O943/N943,0)</f>
        <v/>
      </c>
      <c r="T943">
        <f>IF(C943,(H943*N943*IF(AND(Inputs!$B$38&lt;&gt;"pvp",Inputs!$B$43&gt;0),((Skills!G12*((R943-1)*IF(Skills!H12&gt;0,Skills!I12/Skills!H12,1)+IF(Skills!H12&gt;0,MIN(Skills!I12,MAX(0,MAX(0,Inputs!$B$43-B968)-((R943-1)*(IF(Inputs!$B$38="pvp",15,MAX(0.1,Skills!D12-IF(Skills!E12=TRUE,Inputs!$B$32,0)))*(1-IF(AND(ArtifactsInput!$M$27,Inputs!$B$4="Chapter Hunt"),CHOOSE(ArtifactsInput!$N$27+1,20,24,28,32,36,40),0)/100)))))/Skills!H12,1)))/Inputs!$B$43),G943*Q943)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943*(1-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943*(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943*(1-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943*(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43">
        <f>IF(C943,(H943*N943*IF(AND(Inputs!$B$38&lt;&gt;"pvp",Inputs!$B$43&gt;0),((Skills!G12*((R943-1)*IF(Skills!H12&gt;0,Skills!I12/Skills!H12,1)+IF(Skills!H12&gt;0,MIN(Skills!I12,MAX(0,MAX(0,Inputs!$B$43-B968)-((R943-1)*(IF(Inputs!$B$38="pvp",15,MAX(0.1,Skills!D12-IF(Skills!E12=TRUE,Inputs!$B$32,0)))*(1-IF(AND(ArtifactsInput!$M$27,Inputs!$B$4="Chapter Hunt"),CHOOSE(ArtifactsInput!$N$27+1,20,24,28,32,36,40),0)/100)))))/Skills!H12,1)))/Inputs!$B$43),G943*Q943))*IF(Inputs!$B$38="pvp",1,(1+(Inputs!$B$21+Skills!Q12+(IF(ArtifactsInput!$M$33,CHOOSE(ArtifactsInput!$N$33+1,30,36,42,48,54,60)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4">
      <c r="A944">
        <f>Skills!A13</f>
        <v/>
      </c>
      <c r="B944">
        <f>Skills!B13</f>
        <v/>
      </c>
      <c r="C944">
        <f>Inputs!$B$3&gt;=110</f>
        <v/>
      </c>
      <c r="D944">
        <f>IF(Skills!C13=1,60+Inputs!$B$25+(Inputs!$B$29+1),IF(Skills!C13=2,90+Inputs!$B$26+(Inputs!$B$29+1),IF(Skills!C13=3,120+Inputs!$B$27+(Inputs!$B$29+1),MAX(0,(Inputs!$B$3-100)*3)+Inputs!$B$28+(Inputs!$B$29+1))))</f>
        <v/>
      </c>
      <c r="E944">
        <f>INDEX(FactorTable!$B$2:$Y$301, MATCH(ROUND(MIN(300,MAX(1,D944)),0), FactorTable!$A$2:$A$301,0), Skills!M13+1)</f>
        <v/>
      </c>
      <c r="F944">
        <f>IF(Skills!N13=TRUE,(Skills!L13/10)*(E944/1000),Skills!L13/10)+Skills!O13</f>
        <v/>
      </c>
      <c r="G944">
        <f>Skills!G13*IF(Skills!H13&gt;0,Skills!I13/Skills!H13,1)</f>
        <v/>
      </c>
      <c r="H944">
        <f>1-(1-Skills!J13/100)^Skills!K13</f>
        <v/>
      </c>
      <c r="I944" t="inlineStr">
        <is>
          <t>1</t>
        </is>
      </c>
      <c r="J944">
        <f>((Inputs!$B$6*(1+Inputs!$B$7/100))+(((Inputs!$B$12*(1+Inputs!$B$13/100))-(Inputs!$B$12*(1+Inputs!$B$13/100)))+0.25*(Inputs!$B$14-Inputs!$B$14))*(1+Inputs!$B$7/100))*(F944/100)</f>
        <v/>
      </c>
      <c r="K944">
        <f>J944*(1+((Inputs!$B$12*(1+Inputs!$B$13/100))*0.01+Inputs!$B$14*0.0025)/100)*(1+Inputs!$B$15/100)*(1+Inputs!$B$16/100)*(5000/(6000+Inputs!$B$42*(1-(100*(1-(1-(Inputs!$B$19+0)/100)*(1-CHOOSE(ArtifactsInput!$N$40+1,5,6,7,8,9,10)/100)^(ArtifactsInput!$M$40-ArtifactsInput!$M$40)))/100)))*(1+(Inputs!$B$24+((C957=TRUE)*(F957-Calc!F26))+B967)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954=TRUE)*(F954-Calc!F23))+((C958=TRUE)*(F958-Calc!F27))+(((IF(AND(ArtifactsInput!$M$42,((Inputs!$B$9+((C950=TRUE)*(F950-Calc!F19))+B961+(ArtifactsInput!$M$24-ArtifactsInput!$M$24)*CHOOSE(ArtifactsInput!$N$24+1,10,12,14,16,18,20)+IF(ArtifactsInput!$M$10,CHOOSE(ArtifactsInput!$N$10+1,15,18,21,24,27,30)*(IF(Inputs!$B$38="pvp",MIN(15,15)/15,IF(AND(Inputs!$B$38&lt;&gt;"pvp",Inputs!$B$43&gt;0),MIN(15,Inputs!$B$43)/(Inputs!$B$43),0))),0)))&gt;=100),MIN(100,((Inputs!$B$9+((C950=TRUE)*(F950-Calc!F19))+B961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950=TRUE)*(F950-Calc!F19))+B961+(ArtifactsInput!$M$24-ArtifactsInput!$M$24)*CHOOSE(ArtifactsInput!$N$24+1,10,12,14,16,18,20)+IF(ArtifactsInput!$M$10,CHOOSE(ArtifactsInput!$N$10+1,15,18,21,24,27,30)*(IF(Inputs!$B$38="pvp",MIN(15,15)/15,IF(AND(Inputs!$B$38&lt;&gt;"pvp",Inputs!$B$43&gt;0),MIN(15,Inputs!$B$43)/(Inputs!$B$43),0))),0)))&gt;=100),CHOOSE(ArtifactsInput!$N$42+1,40,48,56,64,72,80),0))))/100)*((1+(((C948=TRUE)*F948)+((C955=TRUE)*(F955-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944)</f>
        <v/>
      </c>
      <c r="L944">
        <f>K944*(MIN(Inputs!$B$22+((C953=TRUE)*(F953-Calc!F22)),(Inputs!$B$23+0+(IF(ArtifactsInput!$M$15,CHOOSE(ArtifactsInput!$N$15+1,25,30,35,40,45,50)/100*(Inputs!$B$11-Inputs!$B$11),0))))/100+(Inputs!$B$23+0+(IF(ArtifactsInput!$M$15,CHOOSE(ArtifactsInput!$N$15+1,25,30,35,40,45,50)/100*(Inputs!$B$11-Inputs!$B$11),0)))/100)/2</f>
        <v/>
      </c>
      <c r="M944">
        <f>L944*(1+(Inputs!$B$10+((C956=TRUE)*(F956-Calc!F25))+B966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4">
        <f>L944*(1-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944*(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4">
        <f>(1-Summary!$B$11)*T944+Summary!$B$11*V944</f>
        <v/>
      </c>
      <c r="P944">
        <f>IF(B971=0,0,O944/B971)</f>
        <v/>
      </c>
      <c r="Q944">
        <f>IFERROR(1/(IF(Inputs!$B$38="pvp",15,MAX(0.1,Skills!D13-IF(Skills!E13=TRUE,Inputs!$B$32,0)))*(1-IF(AND(ArtifactsInput!$M$27,Inputs!$B$4="Chapter Hunt"),CHOOSE(ArtifactsInput!$N$27+1,20,24,28,32,36,40),0)/100)),0)</f>
        <v/>
      </c>
      <c r="R944">
        <f>IF(AND(Inputs!$B$38&lt;&gt;"pvp",Inputs!$B$43&gt;0),IF(MAX(0,Inputs!$B$43-B968)&lt;=0,0,(INT(MAX(0,Inputs!$B$43-B968)/(IF(Inputs!$B$38="pvp",15,MAX(0.1,Skills!D13-IF(Skills!E13=TRUE,Inputs!$B$32,0)))*(1-IF(AND(ArtifactsInput!$M$27,Inputs!$B$4="Chapter Hunt"),CHOOSE(ArtifactsInput!$N$27+1,20,24,28,32,36,40),0)/100)))+1)),0)</f>
        <v/>
      </c>
      <c r="S944">
        <f>IFERROR(O944/N944,0)</f>
        <v/>
      </c>
      <c r="T944">
        <f>IF(C944,(H944*N944*IF(AND(Inputs!$B$38&lt;&gt;"pvp",Inputs!$B$43&gt;0),((Skills!G13*((R944-1)*IF(Skills!H13&gt;0,Skills!I13/Skills!H13,1)+IF(Skills!H13&gt;0,MIN(Skills!I13,MAX(0,MAX(0,Inputs!$B$43-B968)-((R944-1)*(IF(Inputs!$B$38="pvp",15,MAX(0.1,Skills!D13-IF(Skills!E13=TRUE,Inputs!$B$32,0)))*(1-IF(AND(ArtifactsInput!$M$27,Inputs!$B$4="Chapter Hunt"),CHOOSE(ArtifactsInput!$N$27+1,20,24,28,32,36,40),0)/100)))))/Skills!H13,1)))/Inputs!$B$43),G944*Q944)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944*(1-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944*(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944*(1-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944*(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44">
        <f>IF(C944,(H944*N944*IF(AND(Inputs!$B$38&lt;&gt;"pvp",Inputs!$B$43&gt;0),((Skills!G13*((R944-1)*IF(Skills!H13&gt;0,Skills!I13/Skills!H13,1)+IF(Skills!H13&gt;0,MIN(Skills!I13,MAX(0,MAX(0,Inputs!$B$43-B968)-((R944-1)*(IF(Inputs!$B$38="pvp",15,MAX(0.1,Skills!D13-IF(Skills!E13=TRUE,Inputs!$B$32,0)))*(1-IF(AND(ArtifactsInput!$M$27,Inputs!$B$4="Chapter Hunt"),CHOOSE(ArtifactsInput!$N$27+1,20,24,28,32,36,40),0)/100)))))/Skills!H13,1)))/Inputs!$B$43),G944*Q944))*IF(Inputs!$B$38="pvp",1,(1+(Inputs!$B$21+Skills!Q13+(IF(ArtifactsInput!$M$33,CHOOSE(ArtifactsInput!$N$33+1,30,36,42,48,54,60)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5">
      <c r="A945">
        <f>Skills!A14</f>
        <v/>
      </c>
      <c r="B945">
        <f>Skills!B14</f>
        <v/>
      </c>
      <c r="C945">
        <f>Inputs!$B$3&gt;=125</f>
        <v/>
      </c>
      <c r="D945">
        <f>IF(Skills!C14=1,60+Inputs!$B$25+(Inputs!$B$29+1),IF(Skills!C14=2,90+Inputs!$B$26+(Inputs!$B$29+1),IF(Skills!C14=3,120+Inputs!$B$27+(Inputs!$B$29+1),MAX(0,(Inputs!$B$3-100)*3)+Inputs!$B$28+(Inputs!$B$29+1))))</f>
        <v/>
      </c>
      <c r="E945">
        <f>INDEX(FactorTable!$B$2:$Y$301, MATCH(ROUND(MIN(300,MAX(1,D945)),0), FactorTable!$A$2:$A$301,0), Skills!M14+1)</f>
        <v/>
      </c>
      <c r="F945">
        <f>IF(Skills!N14=TRUE,(Skills!L14/10)*(E945/1000),Skills!L14/10)+Skills!O14</f>
        <v/>
      </c>
      <c r="G945">
        <f>Skills!G14*IF(Skills!H14&gt;0,Skills!I14/Skills!H14,1)</f>
        <v/>
      </c>
      <c r="H945">
        <f>1-(1-Skills!J14/100)^Skills!K14</f>
        <v/>
      </c>
      <c r="I945" t="inlineStr">
        <is>
          <t>1</t>
        </is>
      </c>
      <c r="J945">
        <f>((Inputs!$B$6*(1+Inputs!$B$7/100))+(((Inputs!$B$12*(1+Inputs!$B$13/100))-(Inputs!$B$12*(1+Inputs!$B$13/100)))+0.25*(Inputs!$B$14-Inputs!$B$14))*(1+Inputs!$B$7/100))*(F945/100)</f>
        <v/>
      </c>
      <c r="K945">
        <f>J945*(1+((Inputs!$B$12*(1+Inputs!$B$13/100))*0.01+Inputs!$B$14*0.0025)/100)*(1+Inputs!$B$15/100)*(1+Inputs!$B$16/100)*(5000/(6000+Inputs!$B$42*(1-(100*(1-(1-(Inputs!$B$19+0)/100)*(1-CHOOSE(ArtifactsInput!$N$40+1,5,6,7,8,9,10)/100)^(ArtifactsInput!$M$40-ArtifactsInput!$M$40)))/100)))*(1+(Inputs!$B$24+((C957=TRUE)*(F957-Calc!F26))+B967)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954=TRUE)*(F954-Calc!F23))+((C958=TRUE)*(F958-Calc!F27))+(((IF(AND(ArtifactsInput!$M$42,((Inputs!$B$9+((C950=TRUE)*(F950-Calc!F19))+B961+(ArtifactsInput!$M$24-ArtifactsInput!$M$24)*CHOOSE(ArtifactsInput!$N$24+1,10,12,14,16,18,20)+IF(ArtifactsInput!$M$10,CHOOSE(ArtifactsInput!$N$10+1,15,18,21,24,27,30)*(IF(Inputs!$B$38="pvp",MIN(15,15)/15,IF(AND(Inputs!$B$38&lt;&gt;"pvp",Inputs!$B$43&gt;0),MIN(15,Inputs!$B$43)/(Inputs!$B$43),0))),0)))&gt;=100),MIN(100,((Inputs!$B$9+((C950=TRUE)*(F950-Calc!F19))+B961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950=TRUE)*(F950-Calc!F19))+B961+(ArtifactsInput!$M$24-ArtifactsInput!$M$24)*CHOOSE(ArtifactsInput!$N$24+1,10,12,14,16,18,20)+IF(ArtifactsInput!$M$10,CHOOSE(ArtifactsInput!$N$10+1,15,18,21,24,27,30)*(IF(Inputs!$B$38="pvp",MIN(15,15)/15,IF(AND(Inputs!$B$38&lt;&gt;"pvp",Inputs!$B$43&gt;0),MIN(15,Inputs!$B$43)/(Inputs!$B$43),0))),0)))&gt;=100),CHOOSE(ArtifactsInput!$N$42+1,40,48,56,64,72,80),0))))/100)*((1+(((C948=TRUE)*F948)+((C955=TRUE)*(F955-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945)</f>
        <v/>
      </c>
      <c r="L945">
        <f>K945*(MIN(Inputs!$B$22+((C953=TRUE)*(F953-Calc!F22)),(Inputs!$B$23+0+(IF(ArtifactsInput!$M$15,CHOOSE(ArtifactsInput!$N$15+1,25,30,35,40,45,50)/100*(Inputs!$B$11-Inputs!$B$11),0))))/100+(Inputs!$B$23+0+(IF(ArtifactsInput!$M$15,CHOOSE(ArtifactsInput!$N$15+1,25,30,35,40,45,50)/100*(Inputs!$B$11-Inputs!$B$11),0)))/100)/2</f>
        <v/>
      </c>
      <c r="M945">
        <f>L945*(1+(Inputs!$B$10+((C956=TRUE)*(F956-Calc!F25))+B966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5">
        <f>L945*(1-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945*(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5">
        <f>(1-Summary!$B$11)*T945+Summary!$B$11*V945</f>
        <v/>
      </c>
      <c r="P945">
        <f>IF(B971=0,0,O945/B971)</f>
        <v/>
      </c>
      <c r="Q945" t="n">
        <v>0</v>
      </c>
      <c r="R945" t="n">
        <v>0</v>
      </c>
      <c r="S945">
        <f>IFERROR(O945/N945,0)</f>
        <v/>
      </c>
      <c r="T945">
        <f>IF(C945,(H945*N945*(B965+IF(AND(Inputs!$B$38&lt;&gt;"pvp",Inputs!$B$43&gt;0),((Skills!G8*((R939-1)*IF(Skills!H8&gt;0,Skills!I8/Skills!H8,1)+IF(Skills!H8&gt;0,MIN(Skills!I8,MAX(0,MAX(0,Inputs!$B$43-B968)-((R939-1)*(IF(Inputs!$B$38="pvp",15,MAX(0.1,Skills!D8-IF(Skills!E8=TRUE,Inputs!$B$32,0)))*(1-IF(AND(ArtifactsInput!$M$27,Inputs!$B$4="Chapter Hunt"),CHOOSE(ArtifactsInput!$N$27+1,20,24,28,32,36,40),0)/100)))))/Skills!H8,1)))/Inputs!$B$43),G939*Q939)+IF(AND(Inputs!$B$38&lt;&gt;"pvp",Inputs!$B$43&gt;0),((Skills!G11*((R942-1)*IF(Skills!H11&gt;0,Skills!I11/Skills!H11,1)+IF(Skills!H11&gt;0,MIN(Skills!I11,MAX(0,MAX(0,Inputs!$B$43-B968)-((R942-1)*(IF(Inputs!$B$38="pvp",15,MAX(0.1,Skills!D11-IF(Skills!E11=TRUE,Inputs!$B$32,0)))*(1-IF(AND(ArtifactsInput!$M$27,Inputs!$B$4="Chapter Hunt"),CHOOSE(ArtifactsInput!$N$27+1,20,24,28,32,36,40),0)/100)))))/Skills!H11,1)))/Inputs!$B$43),G942*Q942)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945*(1-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945*(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945*(1-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945*(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45">
        <f>IF(C945,(H945*N945*(B965+IF(AND(Inputs!$B$38&lt;&gt;"pvp",Inputs!$B$43&gt;0),((Skills!G8*((R939-1)*IF(Skills!H8&gt;0,Skills!I8/Skills!H8,1)+IF(Skills!H8&gt;0,MIN(Skills!I8,MAX(0,MAX(0,Inputs!$B$43-B968)-((R939-1)*(IF(Inputs!$B$38="pvp",15,MAX(0.1,Skills!D8-IF(Skills!E8=TRUE,Inputs!$B$32,0)))*(1-IF(AND(ArtifactsInput!$M$27,Inputs!$B$4="Chapter Hunt"),CHOOSE(ArtifactsInput!$N$27+1,20,24,28,32,36,40),0)/100)))))/Skills!H8,1)))/Inputs!$B$43),G939*Q939)+IF(AND(Inputs!$B$38&lt;&gt;"pvp",Inputs!$B$43&gt;0),((Skills!G11*((R942-1)*IF(Skills!H11&gt;0,Skills!I11/Skills!H11,1)+IF(Skills!H11&gt;0,MIN(Skills!I11,MAX(0,MAX(0,Inputs!$B$43-B968)-((R942-1)*(IF(Inputs!$B$38="pvp",15,MAX(0.1,Skills!D11-IF(Skills!E11=TRUE,Inputs!$B$32,0)))*(1-IF(AND(ArtifactsInput!$M$27,Inputs!$B$4="Chapter Hunt"),CHOOSE(ArtifactsInput!$N$27+1,20,24,28,32,36,40),0)/100)))))/Skills!H11,1)))/Inputs!$B$43),G942*Q942)))*IF(Inputs!$B$38="pvp",1,(1+(Inputs!$B$21+Skills!Q14+(IF(ArtifactsInput!$M$33,CHOOSE(ArtifactsInput!$N$33+1,30,36,42,48,54,60)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6">
      <c r="A946">
        <f>Skills!A15</f>
        <v/>
      </c>
      <c r="B946">
        <f>Skills!B15</f>
        <v/>
      </c>
      <c r="C946">
        <f>Inputs!$B$3&gt;=100</f>
        <v/>
      </c>
      <c r="D946">
        <f>IF(Skills!C15=1,60+Inputs!$B$25+(Inputs!$B$29+1),IF(Skills!C15=2,90+Inputs!$B$26+(Inputs!$B$29+1),IF(Skills!C15=3,120+Inputs!$B$27+(Inputs!$B$29+1),MAX(0,(Inputs!$B$3-100)*3)+Inputs!$B$28+(Inputs!$B$29+1))))</f>
        <v/>
      </c>
      <c r="E946">
        <f>INDEX(FactorTable!$B$2:$Y$301, MATCH(ROUND(MIN(300,MAX(1,D946)),0), FactorTable!$A$2:$A$301,0), Skills!M15+1)</f>
        <v/>
      </c>
      <c r="F946">
        <f>IF(Skills!N15=TRUE,(Skills!L15/10)*(E946/1000),Skills!L15/10)+Skills!O15</f>
        <v/>
      </c>
      <c r="G946" t="inlineStr"/>
      <c r="H946" t="inlineStr"/>
      <c r="I946" t="inlineStr">
        <is>
          <t>1</t>
        </is>
      </c>
      <c r="J946" t="inlineStr"/>
      <c r="K946" t="inlineStr"/>
      <c r="L946" t="inlineStr"/>
      <c r="M946" t="inlineStr"/>
      <c r="N946" t="inlineStr"/>
      <c r="O946" t="inlineStr"/>
      <c r="P946" t="inlineStr"/>
      <c r="Q946" t="inlineStr"/>
      <c r="R946" t="inlineStr"/>
      <c r="S946" t="inlineStr"/>
    </row>
    <row r="947">
      <c r="A947">
        <f>Skills!A16</f>
        <v/>
      </c>
      <c r="B947">
        <f>Skills!B16</f>
        <v/>
      </c>
      <c r="C947">
        <f>Inputs!$B$3&gt;=120</f>
        <v/>
      </c>
      <c r="D947">
        <f>IF(Skills!C16=1,60+Inputs!$B$25+(Inputs!$B$29+1),IF(Skills!C16=2,90+Inputs!$B$26+(Inputs!$B$29+1),IF(Skills!C16=3,120+Inputs!$B$27+(Inputs!$B$29+1),MAX(0,(Inputs!$B$3-100)*3)+Inputs!$B$28+(Inputs!$B$29+1))))</f>
        <v/>
      </c>
      <c r="E947">
        <f>INDEX(FactorTable!$B$2:$Y$301, MATCH(ROUND(MIN(300,MAX(1,D947)),0), FactorTable!$A$2:$A$301,0), Skills!M16+1)</f>
        <v/>
      </c>
      <c r="F947">
        <f>IF(Skills!N16=TRUE,(Skills!L16/10)*(E947/1000),Skills!L16/10)+Skills!O16</f>
        <v/>
      </c>
      <c r="G947" t="inlineStr"/>
      <c r="H947" t="inlineStr"/>
      <c r="I947" t="inlineStr">
        <is>
          <t>1</t>
        </is>
      </c>
      <c r="J947" t="inlineStr"/>
      <c r="K947" t="inlineStr"/>
      <c r="L947" t="inlineStr"/>
      <c r="M947" t="inlineStr"/>
      <c r="N947" t="inlineStr"/>
      <c r="O947" t="inlineStr"/>
      <c r="P947" t="inlineStr"/>
      <c r="Q947" t="inlineStr"/>
      <c r="R947" t="inlineStr"/>
      <c r="S947" t="inlineStr"/>
    </row>
    <row r="948">
      <c r="A948">
        <f>Skills!A17</f>
        <v/>
      </c>
      <c r="B948">
        <f>Skills!B17</f>
        <v/>
      </c>
      <c r="C948">
        <f>Inputs!$B$3&gt;=66</f>
        <v/>
      </c>
      <c r="D948">
        <f>IF(Skills!C17=1,60+Inputs!$B$25+(Inputs!$B$29+1),IF(Skills!C17=2,90+Inputs!$B$26+(Inputs!$B$29+1),IF(Skills!C17=3,120+Inputs!$B$27+(Inputs!$B$29+1),MAX(0,(Inputs!$B$3-100)*3)+Inputs!$B$28+(Inputs!$B$29+1))))</f>
        <v/>
      </c>
      <c r="E948">
        <f>INDEX(FactorTable!$B$2:$Y$301, MATCH(ROUND(MIN(300,MAX(1,D948)),0), FactorTable!$A$2:$A$301,0), Skills!M17+1)</f>
        <v/>
      </c>
      <c r="F948">
        <f>IF(Skills!N17=TRUE,(Skills!L17/10)*(E948/1000),Skills!L17/10)+Skills!O17</f>
        <v/>
      </c>
      <c r="G948">
        <f>Skills!G17*IF(Skills!H17&gt;0,Skills!I17/Skills!H17,1)</f>
        <v/>
      </c>
      <c r="H948">
        <f>1-(1-Skills!J17/100)^Skills!K17</f>
        <v/>
      </c>
      <c r="I948" t="inlineStr">
        <is>
          <t>1</t>
        </is>
      </c>
      <c r="J948" t="inlineStr"/>
      <c r="K948" t="inlineStr"/>
      <c r="L948" t="inlineStr"/>
      <c r="M948" t="inlineStr"/>
      <c r="N948" t="inlineStr"/>
      <c r="O948">
        <f>(1-Summary!$B$11)*T948+Summary!$B$11*V948</f>
        <v/>
      </c>
      <c r="P948">
        <f>IF(B971=0,0,O948/B971)</f>
        <v/>
      </c>
      <c r="Q948" t="n">
        <v>0</v>
      </c>
      <c r="R948" t="n">
        <v>0</v>
      </c>
      <c r="S948">
        <f>IFERROR(O948/N948,0)</f>
        <v/>
      </c>
      <c r="T948" t="n">
        <v>0</v>
      </c>
      <c r="V948" t="n">
        <v>0</v>
      </c>
    </row>
    <row r="949">
      <c r="A949">
        <f>Skills!A18</f>
        <v/>
      </c>
      <c r="B949">
        <f>Skills!B18</f>
        <v/>
      </c>
      <c r="C949">
        <f>Inputs!$B$3&gt;=115</f>
        <v/>
      </c>
      <c r="D949">
        <f>IF(Skills!C18=1,60+Inputs!$B$25+(Inputs!$B$29+1),IF(Skills!C18=2,90+Inputs!$B$26+(Inputs!$B$29+1),IF(Skills!C18=3,120+Inputs!$B$27+(Inputs!$B$29+1),MAX(0,(Inputs!$B$3-100)*3)+Inputs!$B$28+(Inputs!$B$29+1))))</f>
        <v/>
      </c>
      <c r="E949">
        <f>INDEX(FactorTable!$B$2:$Y$301, MATCH(ROUND(MIN(300,MAX(1,D949)),0), FactorTable!$A$2:$A$301,0), Skills!M18+1)</f>
        <v/>
      </c>
      <c r="F949">
        <f>IF(Skills!N18=TRUE,(Skills!L18/10)*(E949/1000),Skills!L18/10)+Skills!O18</f>
        <v/>
      </c>
      <c r="G949">
        <f>Skills!G18*IF(Skills!H18&gt;0,Skills!I18/Skills!H18,1)</f>
        <v/>
      </c>
      <c r="H949">
        <f>1-(1-Skills!J18/100)^Skills!K18</f>
        <v/>
      </c>
      <c r="I949" t="inlineStr">
        <is>
          <t>1</t>
        </is>
      </c>
      <c r="J949" t="inlineStr"/>
      <c r="K949" t="inlineStr"/>
      <c r="L949" t="inlineStr"/>
      <c r="M949" t="inlineStr"/>
      <c r="N949" t="inlineStr"/>
      <c r="O949">
        <f>(1-Summary!$B$11)*T949+Summary!$B$11*V949</f>
        <v/>
      </c>
      <c r="P949">
        <f>IF(B971=0,0,O949/B971)</f>
        <v/>
      </c>
      <c r="Q949" t="n">
        <v>0</v>
      </c>
      <c r="R949" t="n">
        <v>0</v>
      </c>
      <c r="S949">
        <f>IFERROR(O949/N949,0)</f>
        <v/>
      </c>
      <c r="T949" t="n">
        <v>0</v>
      </c>
      <c r="V949" t="n">
        <v>0</v>
      </c>
    </row>
    <row r="950">
      <c r="A950">
        <f>Skills!A19</f>
        <v/>
      </c>
      <c r="B950">
        <f>Skills!B19</f>
        <v/>
      </c>
      <c r="C950">
        <f>Inputs!$B$3&gt;=15</f>
        <v/>
      </c>
      <c r="D950">
        <f>IF(Skills!C19=1,60+Inputs!$B$25+(Inputs!$B$29+1),IF(Skills!C19=2,90+Inputs!$B$26+(Inputs!$B$29+1),IF(Skills!C19=3,120+Inputs!$B$27+(Inputs!$B$29+1),MAX(0,(Inputs!$B$3-100)*3)+Inputs!$B$28+(Inputs!$B$29+1))))</f>
        <v/>
      </c>
      <c r="E950">
        <f>INDEX(FactorTable!$B$2:$Y$301, MATCH(ROUND(MIN(300,MAX(1,D950)),0), FactorTable!$A$2:$A$301,0), Skills!M19+1)</f>
        <v/>
      </c>
      <c r="F950">
        <f>IF(Skills!N19=TRUE,(Skills!L19/10)*(E950/1000),Skills!L19/10)+Skills!O19</f>
        <v/>
      </c>
      <c r="G950">
        <f>Skills!G19*IF(Skills!H19&gt;0,Skills!I19/Skills!H19,1)</f>
        <v/>
      </c>
      <c r="H950">
        <f>1-(1-Skills!J19/100)^Skills!K19</f>
        <v/>
      </c>
      <c r="I950" t="inlineStr">
        <is>
          <t>1</t>
        </is>
      </c>
      <c r="J950" t="inlineStr"/>
      <c r="K950" t="inlineStr"/>
      <c r="L950" t="inlineStr"/>
      <c r="M950" t="inlineStr"/>
      <c r="N950" t="inlineStr"/>
      <c r="O950">
        <f>(1-Summary!$B$11)*T950+Summary!$B$11*V950</f>
        <v/>
      </c>
      <c r="P950">
        <f>IF(B971=0,0,O950/B971)</f>
        <v/>
      </c>
      <c r="Q950" t="n">
        <v>0</v>
      </c>
      <c r="R950" t="n">
        <v>0</v>
      </c>
      <c r="S950">
        <f>IFERROR(O950/N950,0)</f>
        <v/>
      </c>
      <c r="T950" t="n">
        <v>0</v>
      </c>
      <c r="V950" t="n">
        <v>0</v>
      </c>
    </row>
    <row r="951">
      <c r="A951">
        <f>Skills!A20</f>
        <v/>
      </c>
      <c r="B951">
        <f>Skills!B20</f>
        <v/>
      </c>
      <c r="C951">
        <f>Inputs!$B$3&gt;=10</f>
        <v/>
      </c>
      <c r="D951">
        <f>IF(Skills!C20=1,60+Inputs!$B$25+(Inputs!$B$29+1),IF(Skills!C20=2,90+Inputs!$B$26+(Inputs!$B$29+1),IF(Skills!C20=3,120+Inputs!$B$27+(Inputs!$B$29+1),MAX(0,(Inputs!$B$3-100)*3)+Inputs!$B$28+(Inputs!$B$29+1))))</f>
        <v/>
      </c>
      <c r="E951">
        <f>INDEX(FactorTable!$B$2:$Y$301, MATCH(ROUND(MIN(300,MAX(1,D951)),0), FactorTable!$A$2:$A$301,0), Skills!M20+1)</f>
        <v/>
      </c>
      <c r="F951">
        <f>IF(Skills!N20=TRUE,(Skills!L20/10)*(E951/1000),Skills!L20/10)+Skills!O20</f>
        <v/>
      </c>
      <c r="G951">
        <f>Skills!G20*IF(Skills!H20&gt;0,Skills!I20/Skills!H20,1)</f>
        <v/>
      </c>
      <c r="H951">
        <f>1-(1-Skills!J20/100)^Skills!K20</f>
        <v/>
      </c>
      <c r="I951" t="inlineStr">
        <is>
          <t>1</t>
        </is>
      </c>
      <c r="J951" t="inlineStr"/>
      <c r="K951" t="inlineStr"/>
      <c r="L951" t="inlineStr"/>
      <c r="M951" t="inlineStr"/>
      <c r="N951" t="inlineStr"/>
      <c r="O951">
        <f>(1-Summary!$B$11)*T951+Summary!$B$11*V951</f>
        <v/>
      </c>
      <c r="P951">
        <f>IF(B971=0,0,O951/B971)</f>
        <v/>
      </c>
      <c r="Q951" t="n">
        <v>0</v>
      </c>
      <c r="R951" t="n">
        <v>0</v>
      </c>
      <c r="S951">
        <f>IFERROR(O951/N951,0)</f>
        <v/>
      </c>
      <c r="T951" t="n">
        <v>0</v>
      </c>
      <c r="V951" t="n">
        <v>0</v>
      </c>
    </row>
    <row r="952">
      <c r="A952">
        <f>Skills!A21</f>
        <v/>
      </c>
      <c r="B952">
        <f>Skills!B21</f>
        <v/>
      </c>
      <c r="C952">
        <f>Inputs!$B$3&gt;=33</f>
        <v/>
      </c>
      <c r="D952">
        <f>IF(Skills!C21=1,60+Inputs!$B$25+(Inputs!$B$29+1),IF(Skills!C21=2,90+Inputs!$B$26+(Inputs!$B$29+1),IF(Skills!C21=3,120+Inputs!$B$27+(Inputs!$B$29+1),MAX(0,(Inputs!$B$3-100)*3)+Inputs!$B$28+(Inputs!$B$29+1))))</f>
        <v/>
      </c>
      <c r="E952">
        <f>INDEX(FactorTable!$B$2:$Y$301, MATCH(ROUND(MIN(300,MAX(1,D952)),0), FactorTable!$A$2:$A$301,0), Skills!M21+1)</f>
        <v/>
      </c>
      <c r="F952">
        <f>IF(Skills!N21=TRUE,(Skills!L21/10)*(E952/1000),Skills!L21/10)+Skills!O21</f>
        <v/>
      </c>
      <c r="G952">
        <f>Skills!G21*IF(Skills!H21&gt;0,Skills!I21/Skills!H21,1)</f>
        <v/>
      </c>
      <c r="H952">
        <f>1-(1-Skills!J21/100)^Skills!K21</f>
        <v/>
      </c>
      <c r="I952" t="inlineStr">
        <is>
          <t>1</t>
        </is>
      </c>
      <c r="J952" t="inlineStr"/>
      <c r="K952" t="inlineStr"/>
      <c r="L952" t="inlineStr"/>
      <c r="M952" t="inlineStr"/>
      <c r="N952" t="inlineStr"/>
      <c r="O952">
        <f>(1-Summary!$B$11)*T952+Summary!$B$11*V952</f>
        <v/>
      </c>
      <c r="P952">
        <f>IF(B971=0,0,O952/B971)</f>
        <v/>
      </c>
      <c r="Q952" t="n">
        <v>0</v>
      </c>
      <c r="R952" t="n">
        <v>0</v>
      </c>
      <c r="S952">
        <f>IFERROR(O952/N952,0)</f>
        <v/>
      </c>
      <c r="T952" t="n">
        <v>0</v>
      </c>
      <c r="V952" t="n">
        <v>0</v>
      </c>
    </row>
    <row r="953">
      <c r="A953">
        <f>Skills!A22</f>
        <v/>
      </c>
      <c r="B953">
        <f>Skills!B22</f>
        <v/>
      </c>
      <c r="C953">
        <f>Inputs!$B$3&gt;=43</f>
        <v/>
      </c>
      <c r="D953">
        <f>IF(Skills!C22=1,60+Inputs!$B$25+(Inputs!$B$29+1),IF(Skills!C22=2,90+Inputs!$B$26+(Inputs!$B$29+1),IF(Skills!C22=3,120+Inputs!$B$27+(Inputs!$B$29+1),MAX(0,(Inputs!$B$3-100)*3)+Inputs!$B$28+(Inputs!$B$29+1))))</f>
        <v/>
      </c>
      <c r="E953">
        <f>INDEX(FactorTable!$B$2:$Y$301, MATCH(ROUND(MIN(300,MAX(1,D953)),0), FactorTable!$A$2:$A$301,0), Skills!M22+1)</f>
        <v/>
      </c>
      <c r="F953">
        <f>IF(Skills!N22=TRUE,(Skills!L22/10)*(E953/1000),Skills!L22/10)+Skills!O22</f>
        <v/>
      </c>
      <c r="G953">
        <f>Skills!G22*IF(Skills!H22&gt;0,Skills!I22/Skills!H22,1)</f>
        <v/>
      </c>
      <c r="H953">
        <f>1-(1-Skills!J22/100)^Skills!K22</f>
        <v/>
      </c>
      <c r="I953" t="inlineStr">
        <is>
          <t>1</t>
        </is>
      </c>
      <c r="J953" t="inlineStr"/>
      <c r="K953" t="inlineStr"/>
      <c r="L953" t="inlineStr"/>
      <c r="M953" t="inlineStr"/>
      <c r="N953" t="inlineStr"/>
      <c r="O953">
        <f>(1-Summary!$B$11)*T953+Summary!$B$11*V953</f>
        <v/>
      </c>
      <c r="P953">
        <f>IF(B971=0,0,O953/B971)</f>
        <v/>
      </c>
      <c r="Q953" t="n">
        <v>0</v>
      </c>
      <c r="R953" t="n">
        <v>0</v>
      </c>
      <c r="S953">
        <f>IFERROR(O953/N953,0)</f>
        <v/>
      </c>
      <c r="T953" t="n">
        <v>0</v>
      </c>
      <c r="V953" t="n">
        <v>0</v>
      </c>
    </row>
    <row r="954">
      <c r="A954">
        <f>Skills!A23</f>
        <v/>
      </c>
      <c r="B954">
        <f>Skills!B23</f>
        <v/>
      </c>
      <c r="C954">
        <f>Inputs!$B$3&gt;=38</f>
        <v/>
      </c>
      <c r="D954">
        <f>IF(Skills!C23=1,60+Inputs!$B$25+(Inputs!$B$29+1),IF(Skills!C23=2,90+Inputs!$B$26+(Inputs!$B$29+1),IF(Skills!C23=3,120+Inputs!$B$27+(Inputs!$B$29+1),MAX(0,(Inputs!$B$3-100)*3)+Inputs!$B$28+(Inputs!$B$29+1))))</f>
        <v/>
      </c>
      <c r="E954">
        <f>INDEX(FactorTable!$B$2:$Y$301, MATCH(ROUND(MIN(300,MAX(1,D954)),0), FactorTable!$A$2:$A$301,0), Skills!M23+1)</f>
        <v/>
      </c>
      <c r="F954">
        <f>IF(Skills!N23=TRUE,(Skills!L23/10)*(E954/1000),Skills!L23/10)+Skills!O23</f>
        <v/>
      </c>
      <c r="G954">
        <f>Skills!G23*IF(Skills!H23&gt;0,Skills!I23/Skills!H23,1)</f>
        <v/>
      </c>
      <c r="H954">
        <f>1-(1-Skills!J23/100)^Skills!K23</f>
        <v/>
      </c>
      <c r="I954" t="inlineStr">
        <is>
          <t>1</t>
        </is>
      </c>
      <c r="J954" t="inlineStr"/>
      <c r="K954" t="inlineStr"/>
      <c r="L954" t="inlineStr"/>
      <c r="M954" t="inlineStr"/>
      <c r="N954" t="inlineStr"/>
      <c r="O954">
        <f>(1-Summary!$B$11)*T954+Summary!$B$11*V954</f>
        <v/>
      </c>
      <c r="P954">
        <f>IF(B971=0,0,O954/B971)</f>
        <v/>
      </c>
      <c r="Q954" t="n">
        <v>0</v>
      </c>
      <c r="R954" t="n">
        <v>0</v>
      </c>
      <c r="S954">
        <f>IFERROR(O954/N954,0)</f>
        <v/>
      </c>
      <c r="T954" t="n">
        <v>0</v>
      </c>
      <c r="V954" t="n">
        <v>0</v>
      </c>
    </row>
    <row r="955">
      <c r="A955">
        <f>Skills!A24</f>
        <v/>
      </c>
      <c r="B955">
        <f>Skills!B24</f>
        <v/>
      </c>
      <c r="C955">
        <f>Inputs!$B$3&gt;=40</f>
        <v/>
      </c>
      <c r="D955">
        <f>IF(Skills!C24=1,60+Inputs!$B$25+(Inputs!$B$29+1),IF(Skills!C24=2,90+Inputs!$B$26+(Inputs!$B$29+1),IF(Skills!C24=3,120+Inputs!$B$27+(Inputs!$B$29+1),MAX(0,(Inputs!$B$3-100)*3)+Inputs!$B$28+(Inputs!$B$29+1))))</f>
        <v/>
      </c>
      <c r="E955">
        <f>INDEX(FactorTable!$B$2:$Y$301, MATCH(ROUND(MIN(300,MAX(1,D955)),0), FactorTable!$A$2:$A$301,0), Skills!M24+1)</f>
        <v/>
      </c>
      <c r="F955">
        <f>IF(Skills!N24=TRUE,(Skills!L24/10)*(E955/1000),Skills!L24/10)+Skills!O24</f>
        <v/>
      </c>
      <c r="G955">
        <f>Skills!G24*IF(Skills!H24&gt;0,Skills!I24/Skills!H24,1)</f>
        <v/>
      </c>
      <c r="H955">
        <f>1-(1-Skills!J24/100)^Skills!K24</f>
        <v/>
      </c>
      <c r="I955" t="inlineStr">
        <is>
          <t>1</t>
        </is>
      </c>
      <c r="J955" t="inlineStr"/>
      <c r="K955" t="inlineStr"/>
      <c r="L955" t="inlineStr"/>
      <c r="M955" t="inlineStr"/>
      <c r="N955" t="inlineStr"/>
      <c r="O955">
        <f>(1-Summary!$B$11)*T955+Summary!$B$11*V955</f>
        <v/>
      </c>
      <c r="P955">
        <f>IF(B971=0,0,O955/B971)</f>
        <v/>
      </c>
      <c r="Q955" t="n">
        <v>0</v>
      </c>
      <c r="R955" t="n">
        <v>0</v>
      </c>
      <c r="S955">
        <f>IFERROR(O955/N955,0)</f>
        <v/>
      </c>
      <c r="T955" t="n">
        <v>0</v>
      </c>
      <c r="V955" t="n">
        <v>0</v>
      </c>
    </row>
    <row r="956">
      <c r="A956">
        <f>Skills!A25</f>
        <v/>
      </c>
      <c r="B956">
        <f>Skills!B25</f>
        <v/>
      </c>
      <c r="C956">
        <f>Inputs!$B$3&gt;=72</f>
        <v/>
      </c>
      <c r="D956">
        <f>IF(Skills!C25=1,60+Inputs!$B$25+(Inputs!$B$29+1),IF(Skills!C25=2,90+Inputs!$B$26+(Inputs!$B$29+1),IF(Skills!C25=3,120+Inputs!$B$27+(Inputs!$B$29+1),MAX(0,(Inputs!$B$3-100)*3)+Inputs!$B$28+(Inputs!$B$29+1))))</f>
        <v/>
      </c>
      <c r="E956">
        <f>INDEX(FactorTable!$B$2:$Y$301, MATCH(ROUND(MIN(300,MAX(1,D956)),0), FactorTable!$A$2:$A$301,0), Skills!M25+1)</f>
        <v/>
      </c>
      <c r="F956">
        <f>IF(Skills!N25=TRUE,(Skills!L25/10)*(E956/1000),Skills!L25/10)+Skills!O25</f>
        <v/>
      </c>
      <c r="G956">
        <f>Skills!G25*IF(Skills!H25&gt;0,Skills!I25/Skills!H25,1)</f>
        <v/>
      </c>
      <c r="H956">
        <f>1-(1-Skills!J25/100)^Skills!K25</f>
        <v/>
      </c>
      <c r="I956" t="inlineStr">
        <is>
          <t>1</t>
        </is>
      </c>
      <c r="J956" t="inlineStr"/>
      <c r="K956" t="inlineStr"/>
      <c r="L956" t="inlineStr"/>
      <c r="M956" t="inlineStr"/>
      <c r="N956" t="inlineStr"/>
      <c r="O956">
        <f>(1-Summary!$B$11)*T956+Summary!$B$11*V956</f>
        <v/>
      </c>
      <c r="P956">
        <f>IF(B971=0,0,O956/B971)</f>
        <v/>
      </c>
      <c r="Q956" t="n">
        <v>0</v>
      </c>
      <c r="R956" t="n">
        <v>0</v>
      </c>
      <c r="S956">
        <f>IFERROR(O956/N956,0)</f>
        <v/>
      </c>
      <c r="T956" t="n">
        <v>0</v>
      </c>
      <c r="V956" t="n">
        <v>0</v>
      </c>
    </row>
    <row r="957">
      <c r="A957">
        <f>Skills!A26</f>
        <v/>
      </c>
      <c r="B957">
        <f>Skills!B26</f>
        <v/>
      </c>
      <c r="C957">
        <f>Inputs!$B$3&gt;=75</f>
        <v/>
      </c>
      <c r="D957">
        <f>IF(Skills!C26=1,60+Inputs!$B$25+(Inputs!$B$29+1),IF(Skills!C26=2,90+Inputs!$B$26+(Inputs!$B$29+1),IF(Skills!C26=3,120+Inputs!$B$27+(Inputs!$B$29+1),MAX(0,(Inputs!$B$3-100)*3)+Inputs!$B$28+(Inputs!$B$29+1))))</f>
        <v/>
      </c>
      <c r="E957">
        <f>INDEX(FactorTable!$B$2:$Y$301, MATCH(ROUND(MIN(300,MAX(1,D957)),0), FactorTable!$A$2:$A$301,0), Skills!M26+1)</f>
        <v/>
      </c>
      <c r="F957">
        <f>IF(Skills!N26=TRUE,(Skills!L26/10)*(E957/1000),Skills!L26/10)+Skills!O26</f>
        <v/>
      </c>
      <c r="G957">
        <f>Skills!G26*IF(Skills!H26&gt;0,Skills!I26/Skills!H26,1)</f>
        <v/>
      </c>
      <c r="H957">
        <f>1-(1-Skills!J26/100)^Skills!K26</f>
        <v/>
      </c>
      <c r="I957" t="inlineStr">
        <is>
          <t>1</t>
        </is>
      </c>
      <c r="J957" t="inlineStr"/>
      <c r="K957" t="inlineStr"/>
      <c r="L957" t="inlineStr"/>
      <c r="M957" t="inlineStr"/>
      <c r="N957" t="inlineStr"/>
      <c r="O957">
        <f>(1-Summary!$B$11)*T957+Summary!$B$11*V957</f>
        <v/>
      </c>
      <c r="P957">
        <f>IF(B971=0,0,O957/B971)</f>
        <v/>
      </c>
      <c r="Q957" t="n">
        <v>0</v>
      </c>
      <c r="R957" t="n">
        <v>0</v>
      </c>
      <c r="S957">
        <f>IFERROR(O957/N957,0)</f>
        <v/>
      </c>
      <c r="T957" t="n">
        <v>0</v>
      </c>
      <c r="V957" t="n">
        <v>0</v>
      </c>
    </row>
    <row r="958">
      <c r="A958">
        <f>Skills!A27</f>
        <v/>
      </c>
      <c r="B958">
        <f>Skills!B27</f>
        <v/>
      </c>
      <c r="C958">
        <f>Inputs!$B$3&gt;=117</f>
        <v/>
      </c>
      <c r="D958">
        <f>IF(Skills!C27=1,60+Inputs!$B$25+(Inputs!$B$29+1),IF(Skills!C27=2,90+Inputs!$B$26+(Inputs!$B$29+1),IF(Skills!C27=3,120+Inputs!$B$27+(Inputs!$B$29+1),MAX(0,(Inputs!$B$3-100)*3)+Inputs!$B$28+(Inputs!$B$29+1))))</f>
        <v/>
      </c>
      <c r="E958">
        <f>INDEX(FactorTable!$B$2:$Y$301, MATCH(ROUND(MIN(300,MAX(1,D958)),0), FactorTable!$A$2:$A$301,0), Skills!M27+1)</f>
        <v/>
      </c>
      <c r="F958">
        <f>IF(Skills!N27=TRUE,(Skills!L27/10)*(E958/1000),Skills!L27/10)+Skills!O27</f>
        <v/>
      </c>
      <c r="G958">
        <f>Skills!G27*IF(Skills!H27&gt;0,Skills!I27/Skills!H27,1)</f>
        <v/>
      </c>
      <c r="H958">
        <f>1-(1-Skills!J27/100)^Skills!K27</f>
        <v/>
      </c>
      <c r="I958" t="inlineStr">
        <is>
          <t>1</t>
        </is>
      </c>
      <c r="J958" t="inlineStr"/>
      <c r="K958" t="inlineStr"/>
      <c r="L958" t="inlineStr"/>
      <c r="M958" t="inlineStr"/>
      <c r="N958" t="inlineStr"/>
      <c r="O958">
        <f>(1-Summary!$B$11)*T958+Summary!$B$11*V958</f>
        <v/>
      </c>
      <c r="P958">
        <f>IF(B971=0,0,O958/B971)</f>
        <v/>
      </c>
      <c r="Q958" t="n">
        <v>0</v>
      </c>
      <c r="R958" t="n">
        <v>0</v>
      </c>
      <c r="S958">
        <f>IFERROR(O958/N958,0)</f>
        <v/>
      </c>
      <c r="T958" t="n">
        <v>0</v>
      </c>
      <c r="V958" t="n">
        <v>0</v>
      </c>
    </row>
    <row r="960">
      <c r="A960" t="inlineStr">
        <is>
          <t>Attack% Bucket Multiplier</t>
        </is>
      </c>
      <c r="B960">
        <f>(1+(((C948=TRUE)*F948)+((C955=TRUE)*(F955-Calc!F24))+(IF(ArtifactsInput!$M$21,CHOOSE(ArtifactsInput!$N$21+1,25,30,35,40,45,50)*(IF(OR(Inputs!$B$4="Chapter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61">
      <c r="A961" t="inlineStr">
        <is>
          <t>Global Crit Rate Bonus %</t>
        </is>
      </c>
      <c r="B961" t="n">
        <v>0</v>
      </c>
    </row>
    <row r="962">
      <c r="A962" t="inlineStr">
        <is>
          <t>Attack Speed Buff Bonus % (unused)</t>
        </is>
      </c>
      <c r="B962" t="n">
        <v>0</v>
      </c>
    </row>
    <row r="963">
      <c r="A963" t="inlineStr">
        <is>
          <t>Actions Per Second</t>
        </is>
      </c>
      <c r="B963">
        <f>1+MIN(150,150*(1-(1-(Inputs!$B$11+((C951=TRUE)*(F951-Calc!F20))+((C952=TRUE)*(F952-Calc!F21)))/150)*(1-B962/150)))/100</f>
        <v/>
      </c>
    </row>
    <row r="964">
      <c r="A964" t="inlineStr">
        <is>
          <t>Skill + Buff Cast Rate</t>
        </is>
      </c>
      <c r="B964">
        <f>IF(AND(Inputs!$B$38&lt;&gt;"pvp",Inputs!$B$43&gt;0),SUMPRODUCT((Skills!E2:E27=TRUE)*(C933:C958=TRUE)*R933:R958*Skills!F2:F27)/Inputs!$B$43,SUMPRODUCT((Skills!E2:E27=TRUE)*(C933:C958=TRUE)*Q933:Q958*Skills!F2:F27))</f>
        <v/>
      </c>
    </row>
    <row r="965">
      <c r="A965" t="inlineStr">
        <is>
          <t>Eight-Legs Easton Casts Per Second</t>
        </is>
      </c>
      <c r="B965">
        <f>MAX(0,B963-B964)</f>
        <v/>
      </c>
    </row>
    <row r="966">
      <c r="A966" t="inlineStr">
        <is>
          <t>Global Critical Damage Bonus % (unused)</t>
        </is>
      </c>
      <c r="B966" t="n">
        <v>0</v>
      </c>
    </row>
    <row r="967">
      <c r="A967" t="inlineStr">
        <is>
          <t>Global Final Damage Bonus % (Jolly Roger only)</t>
        </is>
      </c>
      <c r="B967">
        <f>((C949=TRUE)*F949)</f>
        <v/>
      </c>
    </row>
    <row r="968">
      <c r="A968" t="inlineStr">
        <is>
          <t>Buff-Casting Startup Delay (s, fixed-duration only)</t>
        </is>
      </c>
      <c r="B968">
        <f>IF(AND(Inputs!$B$38&lt;&gt;"pvp",Inputs!$B$43&gt;0),SUMPRODUCT((Skills!T2:T27&gt;0)*(Skills!E2:E27=TRUE)*(C933:C958=TRUE))/B963,0)</f>
        <v/>
      </c>
    </row>
    <row r="969">
      <c r="A969" t="inlineStr">
        <is>
          <t>Boss-Only Total DPS (this block's swept value)</t>
        </is>
      </c>
      <c r="B969">
        <f>SUM(T933:T958)</f>
        <v/>
      </c>
    </row>
    <row r="970">
      <c r="A970" t="inlineStr">
        <is>
          <t>Normal-Only Total DPS (this block's swept value)</t>
        </is>
      </c>
      <c r="B970">
        <f>SUM(V933:V958)</f>
        <v/>
      </c>
    </row>
    <row r="971">
      <c r="A971" s="6" t="inlineStr">
        <is>
          <t>TOTAL DPS</t>
        </is>
      </c>
      <c r="B971" s="6">
        <f>SUM(O933:O958)</f>
        <v/>
      </c>
    </row>
    <row r="974">
      <c r="A974" s="6" t="inlineStr">
        <is>
          <t>Stat: Flat ATTACK</t>
        </is>
      </c>
    </row>
    <row r="975">
      <c r="A975" s="5" t="inlineStr">
        <is>
          <t>Key</t>
        </is>
      </c>
      <c r="B975" s="5" t="inlineStr">
        <is>
          <t>Name</t>
        </is>
      </c>
      <c r="C975" s="5" t="inlineStr">
        <is>
          <t>Unlocked</t>
        </is>
      </c>
      <c r="D975" s="5" t="inlineStr">
        <is>
          <t>InputLevel</t>
        </is>
      </c>
      <c r="E975" s="5" t="inlineStr">
        <is>
          <t>Factor</t>
        </is>
      </c>
      <c r="F975" s="5" t="inlineStr">
        <is>
          <t>CoefficientPercent</t>
        </is>
      </c>
      <c r="G975" s="5" t="inlineStr">
        <is>
          <t>EffectiveHits</t>
        </is>
      </c>
      <c r="H975" s="5" t="inlineStr">
        <is>
          <t>ProcProbability</t>
        </is>
      </c>
      <c r="I975" s="5" t="inlineStr">
        <is>
          <t>MapleHeroMultiplier</t>
        </is>
      </c>
      <c r="J975" s="5" t="inlineStr">
        <is>
          <t>BaseDamage</t>
        </is>
      </c>
      <c r="K975" s="5" t="inlineStr">
        <is>
          <t>BaseHitDamage</t>
        </is>
      </c>
      <c r="L975" s="5" t="inlineStr">
        <is>
          <t>NonCritAvg</t>
        </is>
      </c>
      <c r="M975" s="5" t="inlineStr">
        <is>
          <t>CritAvg</t>
        </is>
      </c>
      <c r="N975" s="5" t="inlineStr">
        <is>
          <t>ExpectedDamage(perHit)</t>
        </is>
      </c>
      <c r="O975" s="5" t="inlineStr">
        <is>
          <t>DPS</t>
        </is>
      </c>
      <c r="P975" s="5" t="inlineStr">
        <is>
          <t>% of Total</t>
        </is>
      </c>
      <c r="Q975" s="5" t="inlineStr">
        <is>
          <t>InvCooldown</t>
        </is>
      </c>
      <c r="R975" s="5" t="inlineStr">
        <is>
          <t>CastsInFight</t>
        </is>
      </c>
      <c r="S975" s="5" t="inlineStr">
        <is>
          <t>HitRate(perSec)</t>
        </is>
      </c>
      <c r="U975" t="inlineStr">
        <is>
          <t>helpers</t>
        </is>
      </c>
    </row>
    <row r="976">
      <c r="A976">
        <f>Skills!A2</f>
        <v/>
      </c>
      <c r="B976">
        <f>Skills!B2</f>
        <v/>
      </c>
      <c r="C976">
        <f>Inputs!$B$3&gt;=100</f>
        <v/>
      </c>
      <c r="D976" t="inlineStr"/>
      <c r="E976" t="inlineStr"/>
      <c r="F976">
        <f>U978+Skills!O2</f>
        <v/>
      </c>
      <c r="G976">
        <f>Skills!G2*IF(Skills!H2&gt;0,Skills!I2/Skills!H2,1)</f>
        <v/>
      </c>
      <c r="H976">
        <f>1-(1-Skills!J2/100)^Skills!K2</f>
        <v/>
      </c>
      <c r="I976" t="inlineStr">
        <is>
          <t>1</t>
        </is>
      </c>
      <c r="J976">
        <f>(((Inputs!$B$6+1)*(1+Inputs!$B$7/100))+(((Inputs!$B$12*(1+Inputs!$B$13/100))-(Inputs!$B$12*(1+Inputs!$B$13/100)))+0.25*(Inputs!$B$14-Inputs!$B$14))*(1+Inputs!$B$7/100))*(F976/100)</f>
        <v/>
      </c>
      <c r="K976">
        <f>J976*(1+((Inputs!$B$12*(1+Inputs!$B$13/100))*0.01+Inputs!$B$14*0.0025)/100)*(1+Inputs!$B$15/100)*(1+Inputs!$B$16/100)*(5000/(6000+Inputs!$B$42*(1-(100*(1-(1-(Inputs!$B$19+0)/100)*(1-CHOOSE(ArtifactsInput!$N$40+1,5,6,7,8,9,10)/100)^(ArtifactsInput!$M$40-ArtifactsInput!$M$40)))/100)))*(1+(Inputs!$B$24+((C1000=TRUE)*(F1000-Calc!F26))+B1010)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997=TRUE)*(F997-Calc!F23))+((C1001=TRUE)*(F1001-Calc!F27))+(((IF(AND(ArtifactsInput!$M$42,((Inputs!$B$9+((C993=TRUE)*(F993-Calc!F19))+B1004+(ArtifactsInput!$M$24-ArtifactsInput!$M$24)*CHOOSE(ArtifactsInput!$N$24+1,10,12,14,16,18,20)+IF(ArtifactsInput!$M$10,CHOOSE(ArtifactsInput!$N$10+1,15,18,21,24,27,30)*(IF(Inputs!$B$38="pvp",MIN(15,15)/15,IF(AND(Inputs!$B$38&lt;&gt;"pvp",Inputs!$B$43&gt;0),MIN(15,Inputs!$B$43)/(Inputs!$B$43),0))),0)))&gt;=100),MIN(100,((Inputs!$B$9+((C993=TRUE)*(F993-Calc!F19))+B1004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993=TRUE)*(F993-Calc!F19))+B1004+(ArtifactsInput!$M$24-ArtifactsInput!$M$24)*CHOOSE(ArtifactsInput!$N$24+1,10,12,14,16,18,20)+IF(ArtifactsInput!$M$10,CHOOSE(ArtifactsInput!$N$10+1,15,18,21,24,27,30)*(IF(Inputs!$B$38="pvp",MIN(15,15)/15,IF(AND(Inputs!$B$38&lt;&gt;"pvp",Inputs!$B$43&gt;0),MIN(15,Inputs!$B$43)/(Inputs!$B$43),0))),0)))&gt;=100),CHOOSE(ArtifactsInput!$N$42+1,40,48,56,64,72,80),0))))/100)*((1+(((C991=TRUE)*F991)+((C998=TRUE)*(F998-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976)</f>
        <v/>
      </c>
      <c r="L976">
        <f>K976*(MIN(Inputs!$B$22+((C996=TRUE)*(F996-Calc!F22)),(Inputs!$B$23+0+(IF(ArtifactsInput!$M$15,CHOOSE(ArtifactsInput!$N$15+1,25,30,35,40,45,50)/100*(Inputs!$B$11-Inputs!$B$11),0))))/100+(Inputs!$B$23+0+(IF(ArtifactsInput!$M$15,CHOOSE(ArtifactsInput!$N$15+1,25,30,35,40,45,50)/100*(Inputs!$B$11-Inputs!$B$11),0)))/100)/2</f>
        <v/>
      </c>
      <c r="M976">
        <f>L976*(1+(Inputs!$B$10+((C999=TRUE)*(F999-Calc!F25))+B1009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6">
        <f>L976*(1-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976*(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6">
        <f>(1-Summary!$B$11)*T976+Summary!$B$11*V976</f>
        <v/>
      </c>
      <c r="P976">
        <f>IF(B1014=0,0,O976/B1014)</f>
        <v/>
      </c>
      <c r="Q976" t="n">
        <v>0</v>
      </c>
      <c r="R976" t="n">
        <v>0</v>
      </c>
      <c r="S976">
        <f>IFERROR(O976/N976,0)</f>
        <v/>
      </c>
      <c r="T976">
        <f>IF(C976,(Skills!G2*N976*B1008)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976*(1-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976*(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976*(1-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976*(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6">
        <f>MAX(0,(Inputs!$B$3-100)*3)+Inputs!$B$28+Inputs!$B$29</f>
        <v/>
      </c>
      <c r="V976">
        <f>IF(C976,(Skills!G2*N976*B1008)*IF(Inputs!$B$38="pvp",1,(1+(Inputs!$B$21+Skills!Q2+(IF(ArtifactsInput!$M$33,CHOOSE(ArtifactsInput!$N$33+1,30,36,42,48,54,60),0))+(IF(AND(ArtifactsInput!$M$35,Inputs!$B$4&lt;&gt;"Chapter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7">
      <c r="A977">
        <f>Skills!A3</f>
        <v/>
      </c>
      <c r="B977">
        <f>Skills!B3</f>
        <v/>
      </c>
      <c r="C977">
        <f>Inputs!$B$3&gt;=35</f>
        <v/>
      </c>
      <c r="D977">
        <f>IF(Skills!C3=1,60+Inputs!$B$25+Inputs!$B$29,IF(Skills!C3=2,90+Inputs!$B$26+Inputs!$B$29,IF(Skills!C3=3,120+Inputs!$B$27+Inputs!$B$29,MAX(0,(Inputs!$B$3-100)*3)+Inputs!$B$28+Inputs!$B$29)))</f>
        <v/>
      </c>
      <c r="E977">
        <f>INDEX(FactorTable!$B$2:$Y$301, MATCH(ROUND(MIN(300,MAX(1,D977)),0), FactorTable!$A$2:$A$301,0), Skills!M3+1)</f>
        <v/>
      </c>
      <c r="F977">
        <f>IF(Skills!N3=TRUE,(Skills!L3/10)*(E977/1000),Skills!L3/10)+Skills!O3</f>
        <v/>
      </c>
      <c r="G977">
        <f>Skills!G3*IF(Skills!H3&gt;0,Skills!I3/Skills!H3,1)</f>
        <v/>
      </c>
      <c r="H977">
        <f>1-(1-Skills!J3/100)^Skills!K3</f>
        <v/>
      </c>
      <c r="I977" t="inlineStr">
        <is>
          <t>1</t>
        </is>
      </c>
      <c r="J977">
        <f>(((Inputs!$B$6+1)*(1+Inputs!$B$7/100))+(((Inputs!$B$12*(1+Inputs!$B$13/100))-(Inputs!$B$12*(1+Inputs!$B$13/100)))+0.25*(Inputs!$B$14-Inputs!$B$14))*(1+Inputs!$B$7/100))*(F977/100)</f>
        <v/>
      </c>
      <c r="K977">
        <f>J977*(1+((Inputs!$B$12*(1+Inputs!$B$13/100))*0.01+Inputs!$B$14*0.0025)/100)*(1+Inputs!$B$15/100)*(1+Inputs!$B$16/100)*(5000/(6000+Inputs!$B$42*(1-(100*(1-(1-(Inputs!$B$19+0)/100)*(1-CHOOSE(ArtifactsInput!$N$40+1,5,6,7,8,9,10)/100)^(ArtifactsInput!$M$40-ArtifactsInput!$M$40)))/100)))*(1+(Inputs!$B$24+((C1000=TRUE)*(F1000-Calc!F26))+B1010)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989=TRUE,F989,0)/100)*(1+(IF(Skills!A3="EIGHT_LEGS_EASTON",Inputs!$B$17+((C997=TRUE)*(F997-Calc!F23))+((C1001=TRUE)*(F1001-Calc!F27))+(((IF(AND(ArtifactsInput!$M$42,((Inputs!$B$9+((C993=TRUE)*(F993-Calc!F19))+B1004+(ArtifactsInput!$M$24-ArtifactsInput!$M$24)*CHOOSE(ArtifactsInput!$N$24+1,10,12,14,16,18,20)+IF(ArtifactsInput!$M$10,CHOOSE(ArtifactsInput!$N$10+1,15,18,21,24,27,30)*(IF(Inputs!$B$38="pvp",MIN(15,15)/15,IF(AND(Inputs!$B$38&lt;&gt;"pvp",Inputs!$B$43&gt;0),MIN(15,Inputs!$B$43)/(Inputs!$B$43),0))),0)))&gt;=100),MIN(100,((Inputs!$B$9+((C993=TRUE)*(F993-Calc!F19))+B1004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993=TRUE)*(F993-Calc!F19))+B1004+(ArtifactsInput!$M$24-ArtifactsInput!$M$24)*CHOOSE(ArtifactsInput!$N$24+1,10,12,14,16,18,20)+IF(ArtifactsInput!$M$10,CHOOSE(ArtifactsInput!$N$10+1,15,18,21,24,27,30)*(IF(Inputs!$B$38="pvp",MIN(15,15)/15,IF(AND(Inputs!$B$38&lt;&gt;"pvp",Inputs!$B$43&gt;0),MIN(15,Inputs!$B$43)/(Inputs!$B$43),0))),0)))&gt;=100),CHOOSE(ArtifactsInput!$N$42+1,40,48,56,64,72,80),0))))/100)*((1+(((C991=TRUE)*F991)+((C998=TRUE)*(F998-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977)</f>
        <v/>
      </c>
      <c r="L977">
        <f>K977*(MIN(Inputs!$B$22+((C996=TRUE)*(F996-Calc!F22)),(Inputs!$B$23+0+(IF(ArtifactsInput!$M$15,CHOOSE(ArtifactsInput!$N$15+1,25,30,35,40,45,50)/100*(Inputs!$B$11-Inputs!$B$11),0))))/100+(Inputs!$B$23+0+(IF(ArtifactsInput!$M$15,CHOOSE(ArtifactsInput!$N$15+1,25,30,35,40,45,50)/100*(Inputs!$B$11-Inputs!$B$11),0)))/100)/2</f>
        <v/>
      </c>
      <c r="M977">
        <f>L977*(1+(Inputs!$B$10+((C999=TRUE)*(F999-Calc!F25))+B1009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7">
        <f>L977*(1-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977*(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7">
        <f>(1-Summary!$B$11)*T977+Summary!$B$11*V977</f>
        <v/>
      </c>
      <c r="P977">
        <f>IF(B1014=0,0,O977/B1014)</f>
        <v/>
      </c>
      <c r="Q977">
        <f>IFERROR(1/(IF(Inputs!$B$38="pvp",15,MAX(0.1,Skills!D3-IF(Skills!E3=TRUE,Inputs!$B$32,0)))*(1-IF(AND(ArtifactsInput!$M$27,Inputs!$B$4="Chapter Hunt"),CHOOSE(ArtifactsInput!$N$27+1,20,24,28,32,36,40),0)/100)),0)</f>
        <v/>
      </c>
      <c r="R977">
        <f>IF(AND(Inputs!$B$38&lt;&gt;"pvp",Inputs!$B$43&gt;0),IF(MAX(0,Inputs!$B$43-B1011)&lt;=0,0,(INT(MAX(0,Inputs!$B$43-B1011)/(IF(Inputs!$B$38="pvp",15,MAX(0.1,Skills!D3-IF(Skills!E3=TRUE,Inputs!$B$32,0)))*(1-IF(AND(ArtifactsInput!$M$27,Inputs!$B$4="Chapter Hunt"),CHOOSE(ArtifactsInput!$N$27+1,20,24,28,32,36,40),0)/100)))+1)),0)</f>
        <v/>
      </c>
      <c r="S977">
        <f>IFERROR(O977/N977,0)</f>
        <v/>
      </c>
      <c r="T977">
        <f>IF(C977,(H977*N977*IF(AND(Inputs!$B$38&lt;&gt;"pvp",Inputs!$B$43&gt;0),((Skills!G3*((R977-1)*IF(Skills!H3&gt;0,Skills!I3/Skills!H3,1)+IF(Skills!H3&gt;0,MIN(Skills!I3,MAX(0,MAX(0,Inputs!$B$43-B1011)-((R977-1)*(IF(Inputs!$B$38="pvp",15,MAX(0.1,Skills!D3-IF(Skills!E3=TRUE,Inputs!$B$32,0)))*(1-IF(AND(ArtifactsInput!$M$27,Inputs!$B$4="Chapter Hunt"),CHOOSE(ArtifactsInput!$N$27+1,20,24,28,32,36,40),0)/100)))))/Skills!H3,1)))/Inputs!$B$43),G977*Q977)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977*(1-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977*(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977*(1-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977*(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7">
        <f>INDEX(FactorTable!$B$2:$Y$301, MATCH(ROUND(MIN(300,MAX(1,U976)),0), FactorTable!$A$2:$A$301,0), 22)</f>
        <v/>
      </c>
      <c r="V977">
        <f>IF(C977,(H977*N977*IF(AND(Inputs!$B$38&lt;&gt;"pvp",Inputs!$B$43&gt;0),((Skills!G3*((R977-1)*IF(Skills!H3&gt;0,Skills!I3/Skills!H3,1)+IF(Skills!H3&gt;0,MIN(Skills!I3,MAX(0,MAX(0,Inputs!$B$43-B1011)-((R977-1)*(IF(Inputs!$B$38="pvp",15,MAX(0.1,Skills!D3-IF(Skills!E3=TRUE,Inputs!$B$32,0)))*(1-IF(AND(ArtifactsInput!$M$27,Inputs!$B$4="Chapter Hunt"),CHOOSE(ArtifactsInput!$N$27+1,20,24,28,32,36,40),0)/100)))))/Skills!H3,1)))/Inputs!$B$43),G977*Q977))*IF(Inputs!$B$38="pvp",1,(1+(Inputs!$B$21+Skills!Q3+(IF(ArtifactsInput!$M$33,CHOOSE(ArtifactsInput!$N$33+1,30,36,42,48,54,60)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8">
      <c r="A978">
        <f>Skills!A4</f>
        <v/>
      </c>
      <c r="B978">
        <f>Skills!B4</f>
        <v/>
      </c>
      <c r="C978">
        <f>Inputs!$B$3&gt;=40</f>
        <v/>
      </c>
      <c r="D978">
        <f>IF(Skills!C4=1,60+Inputs!$B$25+Inputs!$B$29,IF(Skills!C4=2,90+Inputs!$B$26+Inputs!$B$29,IF(Skills!C4=3,120+Inputs!$B$27+Inputs!$B$29,MAX(0,(Inputs!$B$3-100)*3)+Inputs!$B$28+Inputs!$B$29)))</f>
        <v/>
      </c>
      <c r="E978">
        <f>INDEX(FactorTable!$B$2:$Y$301, MATCH(ROUND(MIN(300,MAX(1,D978)),0), FactorTable!$A$2:$A$301,0), Skills!M4+1)</f>
        <v/>
      </c>
      <c r="F978">
        <f>IF(Skills!N4=TRUE,(Skills!L4/10)*(E978/1000),Skills!L4/10)+Skills!O4</f>
        <v/>
      </c>
      <c r="G978">
        <f>Skills!G4*IF(Skills!H4&gt;0,Skills!I4/Skills!H4,1)</f>
        <v/>
      </c>
      <c r="H978">
        <f>1-(1-Skills!J4/100)^Skills!K4</f>
        <v/>
      </c>
      <c r="I978" t="inlineStr">
        <is>
          <t>1</t>
        </is>
      </c>
      <c r="J978">
        <f>(((Inputs!$B$6+1)*(1+Inputs!$B$7/100))+(((Inputs!$B$12*(1+Inputs!$B$13/100))-(Inputs!$B$12*(1+Inputs!$B$13/100)))+0.25*(Inputs!$B$14-Inputs!$B$14))*(1+Inputs!$B$7/100))*(F978/100)</f>
        <v/>
      </c>
      <c r="K978">
        <f>J978*(1+((Inputs!$B$12*(1+Inputs!$B$13/100))*0.01+Inputs!$B$14*0.0025)/100)*(1+Inputs!$B$15/100)*(1+Inputs!$B$16/100)*(5000/(6000+Inputs!$B$42*(1-(100*(1-(1-(Inputs!$B$19+0)/100)*(1-CHOOSE(ArtifactsInput!$N$40+1,5,6,7,8,9,10)/100)^(ArtifactsInput!$M$40-ArtifactsInput!$M$40)))/100)))*(1+(Inputs!$B$24+((C1000=TRUE)*(F1000-Calc!F26))+B1010)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990=TRUE,F990,0)/100)*(1+(IF(Skills!A4="EIGHT_LEGS_EASTON",Inputs!$B$17+((C997=TRUE)*(F997-Calc!F23))+((C1001=TRUE)*(F1001-Calc!F27))+(((IF(AND(ArtifactsInput!$M$42,((Inputs!$B$9+((C993=TRUE)*(F993-Calc!F19))+B1004+(ArtifactsInput!$M$24-ArtifactsInput!$M$24)*CHOOSE(ArtifactsInput!$N$24+1,10,12,14,16,18,20)+IF(ArtifactsInput!$M$10,CHOOSE(ArtifactsInput!$N$10+1,15,18,21,24,27,30)*(IF(Inputs!$B$38="pvp",MIN(15,15)/15,IF(AND(Inputs!$B$38&lt;&gt;"pvp",Inputs!$B$43&gt;0),MIN(15,Inputs!$B$43)/(Inputs!$B$43),0))),0)))&gt;=100),MIN(100,((Inputs!$B$9+((C993=TRUE)*(F993-Calc!F19))+B1004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993=TRUE)*(F993-Calc!F19))+B1004+(ArtifactsInput!$M$24-ArtifactsInput!$M$24)*CHOOSE(ArtifactsInput!$N$24+1,10,12,14,16,18,20)+IF(ArtifactsInput!$M$10,CHOOSE(ArtifactsInput!$N$10+1,15,18,21,24,27,30)*(IF(Inputs!$B$38="pvp",MIN(15,15)/15,IF(AND(Inputs!$B$38&lt;&gt;"pvp",Inputs!$B$43&gt;0),MIN(15,Inputs!$B$43)/(Inputs!$B$43),0))),0)))&gt;=100),CHOOSE(ArtifactsInput!$N$42+1,40,48,56,64,72,80),0))))/100)*((1+(((C991=TRUE)*F991)+((C998=TRUE)*(F998-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978)</f>
        <v/>
      </c>
      <c r="L978">
        <f>K978*(MIN(Inputs!$B$22+((C996=TRUE)*(F996-Calc!F22)),(Inputs!$B$23+0+(IF(ArtifactsInput!$M$15,CHOOSE(ArtifactsInput!$N$15+1,25,30,35,40,45,50)/100*(Inputs!$B$11-Inputs!$B$11),0))))/100+(Inputs!$B$23+0+(IF(ArtifactsInput!$M$15,CHOOSE(ArtifactsInput!$N$15+1,25,30,35,40,45,50)/100*(Inputs!$B$11-Inputs!$B$11),0)))/100)/2</f>
        <v/>
      </c>
      <c r="M978">
        <f>L978*(1+(Inputs!$B$10+((C999=TRUE)*(F999-Calc!F25))+B1009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8">
        <f>L978*(1-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978*(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8">
        <f>(1-Summary!$B$11)*T978+Summary!$B$11*V978</f>
        <v/>
      </c>
      <c r="P978">
        <f>IF(B1014=0,0,O978/B1014)</f>
        <v/>
      </c>
      <c r="Q978">
        <f>IFERROR(1/(IF(Inputs!$B$38="pvp",15,MAX(0.1,Skills!D4-IF(Skills!E4=TRUE,Inputs!$B$32,0)))*(1-IF(AND(ArtifactsInput!$M$27,Inputs!$B$4="Chapter Hunt"),CHOOSE(ArtifactsInput!$N$27+1,20,24,28,32,36,40),0)/100)),0)</f>
        <v/>
      </c>
      <c r="R978">
        <f>IF(AND(Inputs!$B$38&lt;&gt;"pvp",Inputs!$B$43&gt;0),IF(MAX(0,Inputs!$B$43-B1011)&lt;=0,0,(INT(MAX(0,Inputs!$B$43-B1011)/(IF(Inputs!$B$38="pvp",15,MAX(0.1,Skills!D4-IF(Skills!E4=TRUE,Inputs!$B$32,0)))*(1-IF(AND(ArtifactsInput!$M$27,Inputs!$B$4="Chapter Hunt"),CHOOSE(ArtifactsInput!$N$27+1,20,24,28,32,36,40),0)/100)))+1)),0)</f>
        <v/>
      </c>
      <c r="S978">
        <f>IFERROR(O978/N978,0)</f>
        <v/>
      </c>
      <c r="T978">
        <f>IF(C978,(H978*N978*IF(AND(Inputs!$B$38&lt;&gt;"pvp",Inputs!$B$43&gt;0),((Skills!G4*((R978-1)*IF(Skills!H4&gt;0,Skills!I4/Skills!H4,1)+IF(Skills!H4&gt;0,MIN(Skills!I4,MAX(0,MAX(0,Inputs!$B$43-B1011)-((R978-1)*(IF(Inputs!$B$38="pvp",15,MAX(0.1,Skills!D4-IF(Skills!E4=TRUE,Inputs!$B$32,0)))*(1-IF(AND(ArtifactsInput!$M$27,Inputs!$B$4="Chapter Hunt"),CHOOSE(ArtifactsInput!$N$27+1,20,24,28,32,36,40),0)/100)))))/Skills!H4,1)))/Inputs!$B$43),G978*Q978)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978*(1-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978*(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978*(1-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978*(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8">
        <f>290*U977/1000</f>
        <v/>
      </c>
      <c r="V978">
        <f>IF(C978,(H978*N978*IF(AND(Inputs!$B$38&lt;&gt;"pvp",Inputs!$B$43&gt;0),((Skills!G4*((R978-1)*IF(Skills!H4&gt;0,Skills!I4/Skills!H4,1)+IF(Skills!H4&gt;0,MIN(Skills!I4,MAX(0,MAX(0,Inputs!$B$43-B1011)-((R978-1)*(IF(Inputs!$B$38="pvp",15,MAX(0.1,Skills!D4-IF(Skills!E4=TRUE,Inputs!$B$32,0)))*(1-IF(AND(ArtifactsInput!$M$27,Inputs!$B$4="Chapter Hunt"),CHOOSE(ArtifactsInput!$N$27+1,20,24,28,32,36,40),0)/100)))))/Skills!H4,1)))/Inputs!$B$43),G978*Q978))*IF(Inputs!$B$38="pvp",1,(1+(Inputs!$B$21+Skills!Q4+(IF(ArtifactsInput!$M$33,CHOOSE(ArtifactsInput!$N$33+1,30,36,42,48,54,60)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9">
      <c r="A979">
        <f>Skills!A5</f>
        <v/>
      </c>
      <c r="B979">
        <f>Skills!B5</f>
        <v/>
      </c>
      <c r="C979">
        <f>Inputs!$B$3&gt;=45</f>
        <v/>
      </c>
      <c r="D979">
        <f>IF(Skills!C5=1,60+Inputs!$B$25+Inputs!$B$29,IF(Skills!C5=2,90+Inputs!$B$26+Inputs!$B$29,IF(Skills!C5=3,120+Inputs!$B$27+Inputs!$B$29,MAX(0,(Inputs!$B$3-100)*3)+Inputs!$B$28+Inputs!$B$29)))</f>
        <v/>
      </c>
      <c r="E979">
        <f>INDEX(FactorTable!$B$2:$Y$301, MATCH(ROUND(MIN(300,MAX(1,D979)),0), FactorTable!$A$2:$A$301,0), Skills!M5+1)</f>
        <v/>
      </c>
      <c r="F979">
        <f>IF(Skills!N5=TRUE,(Skills!L5/10)*(E979/1000),Skills!L5/10)+Skills!O5</f>
        <v/>
      </c>
      <c r="G979">
        <f>Skills!G5*IF(Skills!H5&gt;0,Skills!I5/Skills!H5,1)</f>
        <v/>
      </c>
      <c r="H979">
        <f>1-(1-Skills!J5/100)^Skills!K5</f>
        <v/>
      </c>
      <c r="I979" t="inlineStr">
        <is>
          <t>1</t>
        </is>
      </c>
      <c r="J979">
        <f>(((Inputs!$B$6+1)*(1+Inputs!$B$7/100))+(((Inputs!$B$12*(1+Inputs!$B$13/100))-(Inputs!$B$12*(1+Inputs!$B$13/100)))+0.25*(Inputs!$B$14-Inputs!$B$14))*(1+Inputs!$B$7/100))*(F979/100)</f>
        <v/>
      </c>
      <c r="K979">
        <f>J979*(1+((Inputs!$B$12*(1+Inputs!$B$13/100))*0.01+Inputs!$B$14*0.0025)/100)*(1+Inputs!$B$15/100)*(1+Inputs!$B$16/100)*(5000/(6000+Inputs!$B$42*(1-(100*(1-(1-(Inputs!$B$19+0)/100)*(1-CHOOSE(ArtifactsInput!$N$40+1,5,6,7,8,9,10)/100)^(ArtifactsInput!$M$40-ArtifactsInput!$M$40)))/100)))*(1+(Inputs!$B$24+((C1000=TRUE)*(F1000-Calc!F26))+B1010)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990=TRUE,F990,0)/100)*(1+(IF(Skills!A5="EIGHT_LEGS_EASTON",Inputs!$B$17+((C997=TRUE)*(F997-Calc!F23))+((C1001=TRUE)*(F1001-Calc!F27))+(((IF(AND(ArtifactsInput!$M$42,((Inputs!$B$9+((C993=TRUE)*(F993-Calc!F19))+B1004+(ArtifactsInput!$M$24-ArtifactsInput!$M$24)*CHOOSE(ArtifactsInput!$N$24+1,10,12,14,16,18,20)+IF(ArtifactsInput!$M$10,CHOOSE(ArtifactsInput!$N$10+1,15,18,21,24,27,30)*(IF(Inputs!$B$38="pvp",MIN(15,15)/15,IF(AND(Inputs!$B$38&lt;&gt;"pvp",Inputs!$B$43&gt;0),MIN(15,Inputs!$B$43)/(Inputs!$B$43),0))),0)))&gt;=100),MIN(100,((Inputs!$B$9+((C993=TRUE)*(F993-Calc!F19))+B1004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993=TRUE)*(F993-Calc!F19))+B1004+(ArtifactsInput!$M$24-ArtifactsInput!$M$24)*CHOOSE(ArtifactsInput!$N$24+1,10,12,14,16,18,20)+IF(ArtifactsInput!$M$10,CHOOSE(ArtifactsInput!$N$10+1,15,18,21,24,27,30)*(IF(Inputs!$B$38="pvp",MIN(15,15)/15,IF(AND(Inputs!$B$38&lt;&gt;"pvp",Inputs!$B$43&gt;0),MIN(15,Inputs!$B$43)/(Inputs!$B$43),0))),0)))&gt;=100),CHOOSE(ArtifactsInput!$N$42+1,40,48,56,64,72,80),0))))/100)*((1+(((C991=TRUE)*F991)+((C998=TRUE)*(F998-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979)</f>
        <v/>
      </c>
      <c r="L979">
        <f>K979*(MIN(Inputs!$B$22+((C996=TRUE)*(F996-Calc!F22)),(Inputs!$B$23+0+(IF(ArtifactsInput!$M$15,CHOOSE(ArtifactsInput!$N$15+1,25,30,35,40,45,50)/100*(Inputs!$B$11-Inputs!$B$11),0))))/100+(Inputs!$B$23+0+(IF(ArtifactsInput!$M$15,CHOOSE(ArtifactsInput!$N$15+1,25,30,35,40,45,50)/100*(Inputs!$B$11-Inputs!$B$11),0)))/100)/2</f>
        <v/>
      </c>
      <c r="M979">
        <f>L979*(1+(Inputs!$B$10+((C999=TRUE)*(F999-Calc!F25))+B1009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9">
        <f>L979*(1-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979*(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9">
        <f>(1-Summary!$B$11)*T979+Summary!$B$11*V979</f>
        <v/>
      </c>
      <c r="P979">
        <f>IF(B1014=0,0,O979/B1014)</f>
        <v/>
      </c>
      <c r="Q979">
        <f>IFERROR(1/(IF(Inputs!$B$38="pvp",15,MAX(0.1,Skills!D5-IF(Skills!E5=TRUE,Inputs!$B$32,0)))*(1-IF(AND(ArtifactsInput!$M$27,Inputs!$B$4="Chapter Hunt"),CHOOSE(ArtifactsInput!$N$27+1,20,24,28,32,36,40),0)/100)),0)</f>
        <v/>
      </c>
      <c r="R979">
        <f>IF(AND(Inputs!$B$38&lt;&gt;"pvp",Inputs!$B$43&gt;0),IF(MAX(0,Inputs!$B$43-B1011)&lt;=0,0,(INT(MAX(0,Inputs!$B$43-B1011)/(IF(Inputs!$B$38="pvp",15,MAX(0.1,Skills!D5-IF(Skills!E5=TRUE,Inputs!$B$32,0)))*(1-IF(AND(ArtifactsInput!$M$27,Inputs!$B$4="Chapter Hunt"),CHOOSE(ArtifactsInput!$N$27+1,20,24,28,32,36,40),0)/100)))+1)),0)</f>
        <v/>
      </c>
      <c r="S979">
        <f>IFERROR(O979/N979,0)</f>
        <v/>
      </c>
      <c r="T979">
        <f>IF(C979,(H979*N979*IF(AND(Inputs!$B$38&lt;&gt;"pvp",Inputs!$B$43&gt;0),((Skills!G5*((R979-1)*IF(Skills!H5&gt;0,Skills!I5/Skills!H5,1)+IF(Skills!H5&gt;0,MIN(Skills!I5,MAX(0,MAX(0,Inputs!$B$43-B1011)-((R979-1)*(IF(Inputs!$B$38="pvp",15,MAX(0.1,Skills!D5-IF(Skills!E5=TRUE,Inputs!$B$32,0)))*(1-IF(AND(ArtifactsInput!$M$27,Inputs!$B$4="Chapter Hunt"),CHOOSE(ArtifactsInput!$N$27+1,20,24,28,32,36,40),0)/100)))))/Skills!H5,1)))/Inputs!$B$43),G979*Q979)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979*(1-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979*(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979*(1-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979*(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9">
        <f>IF(C979,(H979*N979*IF(AND(Inputs!$B$38&lt;&gt;"pvp",Inputs!$B$43&gt;0),((Skills!G5*((R979-1)*IF(Skills!H5&gt;0,Skills!I5/Skills!H5,1)+IF(Skills!H5&gt;0,MIN(Skills!I5,MAX(0,MAX(0,Inputs!$B$43-B1011)-((R979-1)*(IF(Inputs!$B$38="pvp",15,MAX(0.1,Skills!D5-IF(Skills!E5=TRUE,Inputs!$B$32,0)))*(1-IF(AND(ArtifactsInput!$M$27,Inputs!$B$4="Chapter Hunt"),CHOOSE(ArtifactsInput!$N$27+1,20,24,28,32,36,40),0)/100)))))/Skills!H5,1)))/Inputs!$B$43),G979*Q979))*IF(Inputs!$B$38="pvp",1,(1+(Inputs!$B$21+Skills!Q5+(IF(ArtifactsInput!$M$33,CHOOSE(ArtifactsInput!$N$33+1,30,36,42,48,54,60)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0">
      <c r="A980">
        <f>Skills!A6</f>
        <v/>
      </c>
      <c r="B980">
        <f>Skills!B6</f>
        <v/>
      </c>
      <c r="C980">
        <f>Inputs!$B$3&gt;=63</f>
        <v/>
      </c>
      <c r="D980">
        <f>IF(Skills!C6=1,60+Inputs!$B$25+Inputs!$B$29,IF(Skills!C6=2,90+Inputs!$B$26+Inputs!$B$29,IF(Skills!C6=3,120+Inputs!$B$27+Inputs!$B$29,MAX(0,(Inputs!$B$3-100)*3)+Inputs!$B$28+Inputs!$B$29)))</f>
        <v/>
      </c>
      <c r="E980">
        <f>INDEX(FactorTable!$B$2:$Y$301, MATCH(ROUND(MIN(300,MAX(1,D980)),0), FactorTable!$A$2:$A$301,0), Skills!M6+1)</f>
        <v/>
      </c>
      <c r="F980">
        <f>IF(Skills!N6=TRUE,(Skills!L6/10)*(E980/1000),Skills!L6/10)+Skills!O6</f>
        <v/>
      </c>
      <c r="G980">
        <f>Skills!G6*IF(Skills!H6&gt;0,Skills!I6/Skills!H6,1)</f>
        <v/>
      </c>
      <c r="H980">
        <f>1-(1-Skills!J6/100)^Skills!K6</f>
        <v/>
      </c>
      <c r="I980" t="inlineStr">
        <is>
          <t>1</t>
        </is>
      </c>
      <c r="J980">
        <f>(((Inputs!$B$6+1)*(1+Inputs!$B$7/100))+(((Inputs!$B$12*(1+Inputs!$B$13/100))-(Inputs!$B$12*(1+Inputs!$B$13/100)))+0.25*(Inputs!$B$14-Inputs!$B$14))*(1+Inputs!$B$7/100))*(F980/100)</f>
        <v/>
      </c>
      <c r="K980">
        <f>J980*(1+((Inputs!$B$12*(1+Inputs!$B$13/100))*0.01+Inputs!$B$14*0.0025)/100)*(1+Inputs!$B$15/100)*(1+Inputs!$B$16/100)*(5000/(6000+Inputs!$B$42*(1-(100*(1-(1-(Inputs!$B$19+0)/100)*(1-CHOOSE(ArtifactsInput!$N$40+1,5,6,7,8,9,10)/100)^(ArtifactsInput!$M$40-ArtifactsInput!$M$40)))/100)))*(1+(Inputs!$B$24+((C1000=TRUE)*(F1000-Calc!F26))+B1010)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989=TRUE,F989,0)/100)*(1+(IF(Skills!A6="EIGHT_LEGS_EASTON",Inputs!$B$17+((C997=TRUE)*(F997-Calc!F23))+((C1001=TRUE)*(F1001-Calc!F27))+(((IF(AND(ArtifactsInput!$M$42,((Inputs!$B$9+((C993=TRUE)*(F993-Calc!F19))+B1004+(ArtifactsInput!$M$24-ArtifactsInput!$M$24)*CHOOSE(ArtifactsInput!$N$24+1,10,12,14,16,18,20)+IF(ArtifactsInput!$M$10,CHOOSE(ArtifactsInput!$N$10+1,15,18,21,24,27,30)*(IF(Inputs!$B$38="pvp",MIN(15,15)/15,IF(AND(Inputs!$B$38&lt;&gt;"pvp",Inputs!$B$43&gt;0),MIN(15,Inputs!$B$43)/(Inputs!$B$43),0))),0)))&gt;=100),MIN(100,((Inputs!$B$9+((C993=TRUE)*(F993-Calc!F19))+B1004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993=TRUE)*(F993-Calc!F19))+B1004+(ArtifactsInput!$M$24-ArtifactsInput!$M$24)*CHOOSE(ArtifactsInput!$N$24+1,10,12,14,16,18,20)+IF(ArtifactsInput!$M$10,CHOOSE(ArtifactsInput!$N$10+1,15,18,21,24,27,30)*(IF(Inputs!$B$38="pvp",MIN(15,15)/15,IF(AND(Inputs!$B$38&lt;&gt;"pvp",Inputs!$B$43&gt;0),MIN(15,Inputs!$B$43)/(Inputs!$B$43),0))),0)))&gt;=100),CHOOSE(ArtifactsInput!$N$42+1,40,48,56,64,72,80),0))))/100)*((1+(((C991=TRUE)*F991)+((C998=TRUE)*(F998-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980)</f>
        <v/>
      </c>
      <c r="L980">
        <f>K980*(MIN(Inputs!$B$22+((C996=TRUE)*(F996-Calc!F22)),(Inputs!$B$23+0+(IF(ArtifactsInput!$M$15,CHOOSE(ArtifactsInput!$N$15+1,25,30,35,40,45,50)/100*(Inputs!$B$11-Inputs!$B$11),0))))/100+(Inputs!$B$23+0+(IF(ArtifactsInput!$M$15,CHOOSE(ArtifactsInput!$N$15+1,25,30,35,40,45,50)/100*(Inputs!$B$11-Inputs!$B$11),0)))/100)/2</f>
        <v/>
      </c>
      <c r="M980">
        <f>L980*(1+(Inputs!$B$10+((C999=TRUE)*(F999-Calc!F25))+B1009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0">
        <f>L980*(1-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980*(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0">
        <f>(1-Summary!$B$11)*T980+Summary!$B$11*V980</f>
        <v/>
      </c>
      <c r="P980">
        <f>IF(B1014=0,0,O980/B1014)</f>
        <v/>
      </c>
      <c r="Q980">
        <f>IFERROR(1/(IF(Inputs!$B$38="pvp",15,MAX(0.1,Skills!D6-IF(Skills!E6=TRUE,Inputs!$B$32,0)))*(1-IF(AND(ArtifactsInput!$M$27,Inputs!$B$4="Chapter Hunt"),CHOOSE(ArtifactsInput!$N$27+1,20,24,28,32,36,40),0)/100)),0)</f>
        <v/>
      </c>
      <c r="R980">
        <f>IF(AND(Inputs!$B$38&lt;&gt;"pvp",Inputs!$B$43&gt;0),IF(MAX(0,Inputs!$B$43-B1011)&lt;=0,0,(INT(MAX(0,Inputs!$B$43-B1011)/(IF(Inputs!$B$38="pvp",15,MAX(0.1,Skills!D6-IF(Skills!E6=TRUE,Inputs!$B$32,0)))*(1-IF(AND(ArtifactsInput!$M$27,Inputs!$B$4="Chapter Hunt"),CHOOSE(ArtifactsInput!$N$27+1,20,24,28,32,36,40),0)/100)))+1)),0)</f>
        <v/>
      </c>
      <c r="S980">
        <f>IFERROR(O980/N980,0)</f>
        <v/>
      </c>
      <c r="T980">
        <f>IF(C980,(H980*N980*IF(AND(Inputs!$B$38&lt;&gt;"pvp",Inputs!$B$43&gt;0),((Skills!G6*((R980-1)*IF(Skills!H6&gt;0,Skills!I6/Skills!H6,1)+IF(Skills!H6&gt;0,MIN(Skills!I6,MAX(0,MAX(0,Inputs!$B$43-B1011)-((R980-1)*(IF(Inputs!$B$38="pvp",15,MAX(0.1,Skills!D6-IF(Skills!E6=TRUE,Inputs!$B$32,0)))*(1-IF(AND(ArtifactsInput!$M$27,Inputs!$B$4="Chapter Hunt"),CHOOSE(ArtifactsInput!$N$27+1,20,24,28,32,36,40),0)/100)))))/Skills!H6,1)))/Inputs!$B$43),G980*Q980)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980*(1-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980*(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980*(1-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980*(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0">
        <f>IF(C980,(H980*N980*IF(AND(Inputs!$B$38&lt;&gt;"pvp",Inputs!$B$43&gt;0),((Skills!G6*((R980-1)*IF(Skills!H6&gt;0,Skills!I6/Skills!H6,1)+IF(Skills!H6&gt;0,MIN(Skills!I6,MAX(0,MAX(0,Inputs!$B$43-B1011)-((R980-1)*(IF(Inputs!$B$38="pvp",15,MAX(0.1,Skills!D6-IF(Skills!E6=TRUE,Inputs!$B$32,0)))*(1-IF(AND(ArtifactsInput!$M$27,Inputs!$B$4="Chapter Hunt"),CHOOSE(ArtifactsInput!$N$27+1,20,24,28,32,36,40),0)/100)))))/Skills!H6,1)))/Inputs!$B$43),G980*Q980))*IF(Inputs!$B$38="pvp",1,(1+(Inputs!$B$21+Skills!Q6+(IF(ArtifactsInput!$M$33,CHOOSE(ArtifactsInput!$N$33+1,30,36,42,48,54,60)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1">
      <c r="A981">
        <f>Skills!A7</f>
        <v/>
      </c>
      <c r="B981">
        <f>Skills!B7</f>
        <v/>
      </c>
      <c r="C981">
        <f>Inputs!$B$3&gt;=66</f>
        <v/>
      </c>
      <c r="D981">
        <f>IF(Skills!C7=1,60+Inputs!$B$25+Inputs!$B$29,IF(Skills!C7=2,90+Inputs!$B$26+Inputs!$B$29,IF(Skills!C7=3,120+Inputs!$B$27+Inputs!$B$29,MAX(0,(Inputs!$B$3-100)*3)+Inputs!$B$28+Inputs!$B$29)))</f>
        <v/>
      </c>
      <c r="E981">
        <f>INDEX(FactorTable!$B$2:$Y$301, MATCH(ROUND(MIN(300,MAX(1,D981)),0), FactorTable!$A$2:$A$301,0), Skills!M7+1)</f>
        <v/>
      </c>
      <c r="F981">
        <f>IF(Skills!N7=TRUE,(Skills!L7/10)*(E981/1000),Skills!L7/10)+Skills!O7</f>
        <v/>
      </c>
      <c r="G981">
        <f>Skills!G7*IF(Skills!H7&gt;0,Skills!I7/Skills!H7,1)</f>
        <v/>
      </c>
      <c r="H981">
        <f>1-(1-Skills!J7/100)^Skills!K7</f>
        <v/>
      </c>
      <c r="I981" t="inlineStr">
        <is>
          <t>1</t>
        </is>
      </c>
      <c r="J981">
        <f>(((Inputs!$B$6+1)*(1+Inputs!$B$7/100))+(((Inputs!$B$12*(1+Inputs!$B$13/100))-(Inputs!$B$12*(1+Inputs!$B$13/100)))+0.25*(Inputs!$B$14-Inputs!$B$14))*(1+Inputs!$B$7/100))*(F981/100)</f>
        <v/>
      </c>
      <c r="K981">
        <f>J981*(1+((Inputs!$B$12*(1+Inputs!$B$13/100))*0.01+Inputs!$B$14*0.0025)/100)*(1+Inputs!$B$15/100)*(1+Inputs!$B$16/100)*(5000/(6000+Inputs!$B$42*(1-(100*(1-(1-(Inputs!$B$19+0)/100)*(1-CHOOSE(ArtifactsInput!$N$40+1,5,6,7,8,9,10)/100)^(ArtifactsInput!$M$40-ArtifactsInput!$M$40)))/100)))*(1+(Inputs!$B$24+((C1000=TRUE)*(F1000-Calc!F26))+B1010)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989=TRUE,F989,0)/100)*(1+(IF(Skills!A7="EIGHT_LEGS_EASTON",Inputs!$B$17+((C997=TRUE)*(F997-Calc!F23))+((C1001=TRUE)*(F1001-Calc!F27))+(((IF(AND(ArtifactsInput!$M$42,((Inputs!$B$9+((C993=TRUE)*(F993-Calc!F19))+B1004+(ArtifactsInput!$M$24-ArtifactsInput!$M$24)*CHOOSE(ArtifactsInput!$N$24+1,10,12,14,16,18,20)+IF(ArtifactsInput!$M$10,CHOOSE(ArtifactsInput!$N$10+1,15,18,21,24,27,30)*(IF(Inputs!$B$38="pvp",MIN(15,15)/15,IF(AND(Inputs!$B$38&lt;&gt;"pvp",Inputs!$B$43&gt;0),MIN(15,Inputs!$B$43)/(Inputs!$B$43),0))),0)))&gt;=100),MIN(100,((Inputs!$B$9+((C993=TRUE)*(F993-Calc!F19))+B1004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993=TRUE)*(F993-Calc!F19))+B1004+(ArtifactsInput!$M$24-ArtifactsInput!$M$24)*CHOOSE(ArtifactsInput!$N$24+1,10,12,14,16,18,20)+IF(ArtifactsInput!$M$10,CHOOSE(ArtifactsInput!$N$10+1,15,18,21,24,27,30)*(IF(Inputs!$B$38="pvp",MIN(15,15)/15,IF(AND(Inputs!$B$38&lt;&gt;"pvp",Inputs!$B$43&gt;0),MIN(15,Inputs!$B$43)/(Inputs!$B$43),0))),0)))&gt;=100),CHOOSE(ArtifactsInput!$N$42+1,40,48,56,64,72,80),0))))/100)*((1+(((C991=TRUE)*F991)+((C998=TRUE)*(F998-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981)</f>
        <v/>
      </c>
      <c r="L981">
        <f>K981*(MIN(Inputs!$B$22+((C996=TRUE)*(F996-Calc!F22)),(Inputs!$B$23+0+(IF(ArtifactsInput!$M$15,CHOOSE(ArtifactsInput!$N$15+1,25,30,35,40,45,50)/100*(Inputs!$B$11-Inputs!$B$11),0))))/100+(Inputs!$B$23+0+(IF(ArtifactsInput!$M$15,CHOOSE(ArtifactsInput!$N$15+1,25,30,35,40,45,50)/100*(Inputs!$B$11-Inputs!$B$11),0)))/100)/2</f>
        <v/>
      </c>
      <c r="M981">
        <f>L981*(1+(Inputs!$B$10+((C999=TRUE)*(F999-Calc!F25))+B1009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1">
        <f>L981*(1-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981*(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1">
        <f>(1-Summary!$B$11)*T981+Summary!$B$11*V981</f>
        <v/>
      </c>
      <c r="P981">
        <f>IF(B1014=0,0,O981/B1014)</f>
        <v/>
      </c>
      <c r="Q981">
        <f>IFERROR(1/(IF(Inputs!$B$38="pvp",15,MAX(0.1,Skills!D7-IF(Skills!E7=TRUE,Inputs!$B$32,0)))*(1-IF(AND(ArtifactsInput!$M$27,Inputs!$B$4="Chapter Hunt"),CHOOSE(ArtifactsInput!$N$27+1,20,24,28,32,36,40),0)/100)),0)</f>
        <v/>
      </c>
      <c r="R981">
        <f>IF(AND(Inputs!$B$38&lt;&gt;"pvp",Inputs!$B$43&gt;0),IF(MAX(0,Inputs!$B$43-B1011)&lt;=0,0,(INT(MAX(0,Inputs!$B$43-B1011)/(IF(Inputs!$B$38="pvp",15,MAX(0.1,Skills!D7-IF(Skills!E7=TRUE,Inputs!$B$32,0)))*(1-IF(AND(ArtifactsInput!$M$27,Inputs!$B$4="Chapter Hunt"),CHOOSE(ArtifactsInput!$N$27+1,20,24,28,32,36,40),0)/100)))+1)),0)</f>
        <v/>
      </c>
      <c r="S981">
        <f>IFERROR(O981/N981,0)</f>
        <v/>
      </c>
      <c r="T981">
        <f>IF(C981,(H981*N981*IF(AND(Inputs!$B$38&lt;&gt;"pvp",Inputs!$B$43&gt;0),((Skills!G7*((R981-1)*IF(Skills!H7&gt;0,Skills!I7/Skills!H7,1)+IF(Skills!H7&gt;0,MIN(Skills!I7,MAX(0,MAX(0,Inputs!$B$43-B1011)-((R981-1)*(IF(Inputs!$B$38="pvp",15,MAX(0.1,Skills!D7-IF(Skills!E7=TRUE,Inputs!$B$32,0)))*(1-IF(AND(ArtifactsInput!$M$27,Inputs!$B$4="Chapter Hunt"),CHOOSE(ArtifactsInput!$N$27+1,20,24,28,32,36,40),0)/100)))))/Skills!H7,1)))/Inputs!$B$43),G981*Q981)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981*(1-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981*(1-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1">
        <f>IF(C981,(H981*N981*IF(AND(Inputs!$B$38&lt;&gt;"pvp",Inputs!$B$43&gt;0),((Skills!G7*((R981-1)*IF(Skills!H7&gt;0,Skills!I7/Skills!H7,1)+IF(Skills!H7&gt;0,MIN(Skills!I7,MAX(0,MAX(0,Inputs!$B$43-B1011)-((R981-1)*(IF(Inputs!$B$38="pvp",15,MAX(0.1,Skills!D7-IF(Skills!E7=TRUE,Inputs!$B$32,0)))*(1-IF(AND(ArtifactsInput!$M$27,Inputs!$B$4="Chapter Hunt"),CHOOSE(ArtifactsInput!$N$27+1,20,24,28,32,36,40),0)/100)))))/Skills!H7,1)))/Inputs!$B$43),G981*Q981))*IF(Inputs!$B$38="pvp",1,(1+(Inputs!$B$21+Skills!Q7+(IF(ArtifactsInput!$M$33,CHOOSE(ArtifactsInput!$N$33+1,30,36,42,48,54,60)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2">
      <c r="A982">
        <f>Skills!A8</f>
        <v/>
      </c>
      <c r="B982">
        <f>Skills!B8</f>
        <v/>
      </c>
      <c r="C982">
        <f>Inputs!$B$3&gt;=100</f>
        <v/>
      </c>
      <c r="D982">
        <f>IF(Skills!C8=1,60+Inputs!$B$25+Inputs!$B$29,IF(Skills!C8=2,90+Inputs!$B$26+Inputs!$B$29,IF(Skills!C8=3,120+Inputs!$B$27+Inputs!$B$29,MAX(0,(Inputs!$B$3-100)*3)+Inputs!$B$28+Inputs!$B$29)))</f>
        <v/>
      </c>
      <c r="E982">
        <f>INDEX(FactorTable!$B$2:$Y$301, MATCH(ROUND(MIN(300,MAX(1,D982)),0), FactorTable!$A$2:$A$301,0), Skills!M8+1)</f>
        <v/>
      </c>
      <c r="F982">
        <f>IF(Skills!N8=TRUE,(Skills!L8/10)*(E982/1000),Skills!L8/10)+Skills!O8</f>
        <v/>
      </c>
      <c r="G982">
        <f>Skills!G8*IF(Skills!H8&gt;0,Skills!I8/Skills!H8,1)</f>
        <v/>
      </c>
      <c r="H982">
        <f>1-(1-Skills!J8/100)^Skills!K8</f>
        <v/>
      </c>
      <c r="I982" t="inlineStr">
        <is>
          <t>1</t>
        </is>
      </c>
      <c r="J982">
        <f>(((Inputs!$B$6+1)*(1+Inputs!$B$7/100))+(((Inputs!$B$12*(1+Inputs!$B$13/100))-(Inputs!$B$12*(1+Inputs!$B$13/100)))+0.25*(Inputs!$B$14-Inputs!$B$14))*(1+Inputs!$B$7/100))*(F982/100)</f>
        <v/>
      </c>
      <c r="K982">
        <f>J982*(1+((Inputs!$B$12*(1+Inputs!$B$13/100))*0.01+Inputs!$B$14*0.0025)/100)*(1+Inputs!$B$15/100)*(1+Inputs!$B$16/100)*(5000/(6000+Inputs!$B$42*(1-(100*(1-(1-(Inputs!$B$19+0)/100)*(1-CHOOSE(ArtifactsInput!$N$40+1,5,6,7,8,9,10)/100)^(ArtifactsInput!$M$40-ArtifactsInput!$M$40)))/100)))*(1+(Inputs!$B$24+((C1000=TRUE)*(F1000-Calc!F26))+B1010)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997=TRUE)*(F997-Calc!F23))+((C1001=TRUE)*(F1001-Calc!F27))+(((IF(AND(ArtifactsInput!$M$42,((Inputs!$B$9+((C993=TRUE)*(F993-Calc!F19))+B1004+(ArtifactsInput!$M$24-ArtifactsInput!$M$24)*CHOOSE(ArtifactsInput!$N$24+1,10,12,14,16,18,20)+IF(ArtifactsInput!$M$10,CHOOSE(ArtifactsInput!$N$10+1,15,18,21,24,27,30)*(IF(Inputs!$B$38="pvp",MIN(15,15)/15,IF(AND(Inputs!$B$38&lt;&gt;"pvp",Inputs!$B$43&gt;0),MIN(15,Inputs!$B$43)/(Inputs!$B$43),0))),0)))&gt;=100),MIN(100,((Inputs!$B$9+((C993=TRUE)*(F993-Calc!F19))+B1004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993=TRUE)*(F993-Calc!F19))+B1004+(ArtifactsInput!$M$24-ArtifactsInput!$M$24)*CHOOSE(ArtifactsInput!$N$24+1,10,12,14,16,18,20)+IF(ArtifactsInput!$M$10,CHOOSE(ArtifactsInput!$N$10+1,15,18,21,24,27,30)*(IF(Inputs!$B$38="pvp",MIN(15,15)/15,IF(AND(Inputs!$B$38&lt;&gt;"pvp",Inputs!$B$43&gt;0),MIN(15,Inputs!$B$43)/(Inputs!$B$43),0))),0)))&gt;=100),CHOOSE(ArtifactsInput!$N$42+1,40,48,56,64,72,80),0))))/100)*((1+(((C991=TRUE)*F991)+((C998=TRUE)*(F998-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982)</f>
        <v/>
      </c>
      <c r="L982">
        <f>K982*(MIN(Inputs!$B$22+((C996=TRUE)*(F996-Calc!F22)),(Inputs!$B$23+0+(IF(ArtifactsInput!$M$15,CHOOSE(ArtifactsInput!$N$15+1,25,30,35,40,45,50)/100*(Inputs!$B$11-Inputs!$B$11),0))))/100+(Inputs!$B$23+0+(IF(ArtifactsInput!$M$15,CHOOSE(ArtifactsInput!$N$15+1,25,30,35,40,45,50)/100*(Inputs!$B$11-Inputs!$B$11),0)))/100)/2</f>
        <v/>
      </c>
      <c r="M982">
        <f>L982*(1+(Inputs!$B$10+((C999=TRUE)*(F999-Calc!F25))+B1009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2">
        <f>L982*(1-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982*(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2">
        <f>(1-Summary!$B$11)*T982+Summary!$B$11*V982</f>
        <v/>
      </c>
      <c r="P982">
        <f>IF(B1014=0,0,O982/B1014)</f>
        <v/>
      </c>
      <c r="Q982">
        <f>IFERROR(1/(IF(Inputs!$B$38="pvp",15,MAX(0.1,Skills!D8-IF(Skills!E8=TRUE,Inputs!$B$32,0)))*(1-IF(AND(ArtifactsInput!$M$27,Inputs!$B$4="Chapter Hunt"),CHOOSE(ArtifactsInput!$N$27+1,20,24,28,32,36,40),0)/100)),0)</f>
        <v/>
      </c>
      <c r="R982">
        <f>IF(AND(Inputs!$B$38&lt;&gt;"pvp",Inputs!$B$43&gt;0),IF(MAX(0,Inputs!$B$43-B1011)&lt;=0,0,(INT(MAX(0,Inputs!$B$43-B1011)/(IF(Inputs!$B$38="pvp",15,MAX(0.1,Skills!D8-IF(Skills!E8=TRUE,Inputs!$B$32,0)))*(1-IF(AND(ArtifactsInput!$M$27,Inputs!$B$4="Chapter Hunt"),CHOOSE(ArtifactsInput!$N$27+1,20,24,28,32,36,40),0)/100)))+1)),0)</f>
        <v/>
      </c>
      <c r="S982">
        <f>IFERROR(O982/N982,0)</f>
        <v/>
      </c>
      <c r="T982">
        <f>IF(C982,(H982*N982*IF(AND(Inputs!$B$38&lt;&gt;"pvp",Inputs!$B$43&gt;0),((Skills!G8*((R982-1)*IF(Skills!H8&gt;0,Skills!I8/Skills!H8,1)+IF(Skills!H8&gt;0,MIN(Skills!I8,MAX(0,MAX(0,Inputs!$B$43-B1011)-((R982-1)*(IF(Inputs!$B$38="pvp",15,MAX(0.1,Skills!D8-IF(Skills!E8=TRUE,Inputs!$B$32,0)))*(1-IF(AND(ArtifactsInput!$M$27,Inputs!$B$4="Chapter Hunt"),CHOOSE(ArtifactsInput!$N$27+1,20,24,28,32,36,40),0)/100)))))/Skills!H8,1)))/Inputs!$B$43),G982*Q982)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982*(1-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982*(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982*(1-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982*(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2">
        <f>IF(C982,(H982*N982*IF(AND(Inputs!$B$38&lt;&gt;"pvp",Inputs!$B$43&gt;0),((Skills!G8*((R982-1)*IF(Skills!H8&gt;0,Skills!I8/Skills!H8,1)+IF(Skills!H8&gt;0,MIN(Skills!I8,MAX(0,MAX(0,Inputs!$B$43-B1011)-((R982-1)*(IF(Inputs!$B$38="pvp",15,MAX(0.1,Skills!D8-IF(Skills!E8=TRUE,Inputs!$B$32,0)))*(1-IF(AND(ArtifactsInput!$M$27,Inputs!$B$4="Chapter Hunt"),CHOOSE(ArtifactsInput!$N$27+1,20,24,28,32,36,40),0)/100)))))/Skills!H8,1)))/Inputs!$B$43),G982*Q982))*IF(Inputs!$B$38="pvp",1,(1+(Inputs!$B$21+Skills!Q8+(IF(ArtifactsInput!$M$33,CHOOSE(ArtifactsInput!$N$33+1,30,36,42,48,54,60)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3">
      <c r="A983">
        <f>Skills!A9</f>
        <v/>
      </c>
      <c r="B983">
        <f>Skills!B9</f>
        <v/>
      </c>
      <c r="C983">
        <f>Inputs!$B$3&gt;=103</f>
        <v/>
      </c>
      <c r="D983">
        <f>IF(Skills!C9=1,60+Inputs!$B$25+Inputs!$B$29,IF(Skills!C9=2,90+Inputs!$B$26+Inputs!$B$29,IF(Skills!C9=3,120+Inputs!$B$27+Inputs!$B$29,MAX(0,(Inputs!$B$3-100)*3)+Inputs!$B$28+Inputs!$B$29)))</f>
        <v/>
      </c>
      <c r="E983">
        <f>INDEX(FactorTable!$B$2:$Y$301, MATCH(ROUND(MIN(300,MAX(1,D983)),0), FactorTable!$A$2:$A$301,0), Skills!M9+1)</f>
        <v/>
      </c>
      <c r="F983">
        <f>IF(Skills!N9=TRUE,(Skills!L9/10)*(E983/1000),Skills!L9/10)+Skills!O9</f>
        <v/>
      </c>
      <c r="G983">
        <f>Skills!G9*IF(Skills!H9&gt;0,Skills!I9/Skills!H9,1)</f>
        <v/>
      </c>
      <c r="H983">
        <f>1-(1-Skills!J9/100)^Skills!K9</f>
        <v/>
      </c>
      <c r="I983" t="inlineStr">
        <is>
          <t>1</t>
        </is>
      </c>
      <c r="J983">
        <f>(((Inputs!$B$6+1)*(1+Inputs!$B$7/100))+(((Inputs!$B$12*(1+Inputs!$B$13/100))-(Inputs!$B$12*(1+Inputs!$B$13/100)))+0.25*(Inputs!$B$14-Inputs!$B$14))*(1+Inputs!$B$7/100))*(F983/100)</f>
        <v/>
      </c>
      <c r="K983">
        <f>J983*(1+((Inputs!$B$12*(1+Inputs!$B$13/100))*0.01+Inputs!$B$14*0.0025)/100)*(1+Inputs!$B$15/100)*(1+Inputs!$B$16/100)*(5000/(6000+Inputs!$B$42*(1-(100*(1-(1-(Inputs!$B$19+0)/100)*(1-CHOOSE(ArtifactsInput!$N$40+1,5,6,7,8,9,10)/100)^(ArtifactsInput!$M$40-ArtifactsInput!$M$40)))/100)))*(1+(Inputs!$B$24+((C1000=TRUE)*(F1000-Calc!F26))+B1010)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997=TRUE)*(F997-Calc!F23))+((C1001=TRUE)*(F1001-Calc!F27))+(((IF(AND(ArtifactsInput!$M$42,((Inputs!$B$9+((C993=TRUE)*(F993-Calc!F19))+B1004+(ArtifactsInput!$M$24-ArtifactsInput!$M$24)*CHOOSE(ArtifactsInput!$N$24+1,10,12,14,16,18,20)+IF(ArtifactsInput!$M$10,CHOOSE(ArtifactsInput!$N$10+1,15,18,21,24,27,30)*(IF(Inputs!$B$38="pvp",MIN(15,15)/15,IF(AND(Inputs!$B$38&lt;&gt;"pvp",Inputs!$B$43&gt;0),MIN(15,Inputs!$B$43)/(Inputs!$B$43),0))),0)))&gt;=100),MIN(100,((Inputs!$B$9+((C993=TRUE)*(F993-Calc!F19))+B1004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993=TRUE)*(F993-Calc!F19))+B1004+(ArtifactsInput!$M$24-ArtifactsInput!$M$24)*CHOOSE(ArtifactsInput!$N$24+1,10,12,14,16,18,20)+IF(ArtifactsInput!$M$10,CHOOSE(ArtifactsInput!$N$10+1,15,18,21,24,27,30)*(IF(Inputs!$B$38="pvp",MIN(15,15)/15,IF(AND(Inputs!$B$38&lt;&gt;"pvp",Inputs!$B$43&gt;0),MIN(15,Inputs!$B$43)/(Inputs!$B$43),0))),0)))&gt;=100),CHOOSE(ArtifactsInput!$N$42+1,40,48,56,64,72,80),0))))/100)*((1+(((C991=TRUE)*F991)+((C998=TRUE)*(F998-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983)</f>
        <v/>
      </c>
      <c r="L983">
        <f>K983*(MIN(Inputs!$B$22+((C996=TRUE)*(F996-Calc!F22)),(Inputs!$B$23+0+(IF(ArtifactsInput!$M$15,CHOOSE(ArtifactsInput!$N$15+1,25,30,35,40,45,50)/100*(Inputs!$B$11-Inputs!$B$11),0))))/100+(Inputs!$B$23+0+(IF(ArtifactsInput!$M$15,CHOOSE(ArtifactsInput!$N$15+1,25,30,35,40,45,50)/100*(Inputs!$B$11-Inputs!$B$11),0)))/100)/2</f>
        <v/>
      </c>
      <c r="M983">
        <f>L983*(1+(Inputs!$B$10+((C999=TRUE)*(F999-Calc!F25))+B1009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3">
        <f>L983*(1-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983*(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3">
        <f>(1-Summary!$B$11)*T983+Summary!$B$11*V983</f>
        <v/>
      </c>
      <c r="P983">
        <f>IF(B1014=0,0,O983/B1014)</f>
        <v/>
      </c>
      <c r="Q983">
        <f>IFERROR(1/(IF(Inputs!$B$38="pvp",15,MAX(0.1,Skills!D9-IF(Skills!E9=TRUE,Inputs!$B$32,0)))*(1-IF(AND(ArtifactsInput!$M$27,Inputs!$B$4="Chapter Hunt"),CHOOSE(ArtifactsInput!$N$27+1,20,24,28,32,36,40),0)/100)),0)</f>
        <v/>
      </c>
      <c r="R983">
        <f>IF(AND(Inputs!$B$38&lt;&gt;"pvp",Inputs!$B$43&gt;0),IF(MAX(0,Inputs!$B$43-B1011)&lt;=0,0,(INT(MAX(0,Inputs!$B$43-B1011)/(IF(Inputs!$B$38="pvp",15,MAX(0.1,Skills!D9-IF(Skills!E9=TRUE,Inputs!$B$32,0)))*(1-IF(AND(ArtifactsInput!$M$27,Inputs!$B$4="Chapter Hunt"),CHOOSE(ArtifactsInput!$N$27+1,20,24,28,32,36,40),0)/100)))+1)),0)</f>
        <v/>
      </c>
      <c r="S983">
        <f>IFERROR(O983/N983,0)</f>
        <v/>
      </c>
      <c r="T983">
        <f>IF(C983,(H983*N983*IF(AND(Inputs!$B$38&lt;&gt;"pvp",Inputs!$B$43&gt;0),((Skills!G9*((R983-1)*IF(Skills!H9&gt;0,Skills!I9/Skills!H9,1)+IF(Skills!H9&gt;0,MIN(Skills!I9,MAX(0,MAX(0,Inputs!$B$43-B1011)-((R983-1)*(IF(Inputs!$B$38="pvp",15,MAX(0.1,Skills!D9-IF(Skills!E9=TRUE,Inputs!$B$32,0)))*(1-IF(AND(ArtifactsInput!$M$27,Inputs!$B$4="Chapter Hunt"),CHOOSE(ArtifactsInput!$N$27+1,20,24,28,32,36,40),0)/100)))))/Skills!H9,1)))/Inputs!$B$43),G983*Q983)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983*(1-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983*(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983*(1-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983*(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3">
        <f>IF(C983,(H983*N983*IF(AND(Inputs!$B$38&lt;&gt;"pvp",Inputs!$B$43&gt;0),((Skills!G9*((R983-1)*IF(Skills!H9&gt;0,Skills!I9/Skills!H9,1)+IF(Skills!H9&gt;0,MIN(Skills!I9,MAX(0,MAX(0,Inputs!$B$43-B1011)-((R983-1)*(IF(Inputs!$B$38="pvp",15,MAX(0.1,Skills!D9-IF(Skills!E9=TRUE,Inputs!$B$32,0)))*(1-IF(AND(ArtifactsInput!$M$27,Inputs!$B$4="Chapter Hunt"),CHOOSE(ArtifactsInput!$N$27+1,20,24,28,32,36,40),0)/100)))))/Skills!H9,1)))/Inputs!$B$43),G983*Q983))*IF(Inputs!$B$38="pvp",1,(1+(Inputs!$B$21+Skills!Q9+(IF(ArtifactsInput!$M$33,CHOOSE(ArtifactsInput!$N$33+1,30,36,42,48,54,60)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4">
      <c r="A984">
        <f>Skills!A10</f>
        <v/>
      </c>
      <c r="B984">
        <f>Skills!B10</f>
        <v/>
      </c>
      <c r="C984">
        <f>Inputs!$B$3&gt;=113</f>
        <v/>
      </c>
      <c r="D984">
        <f>IF(Skills!C10=1,60+Inputs!$B$25+Inputs!$B$29,IF(Skills!C10=2,90+Inputs!$B$26+Inputs!$B$29,IF(Skills!C10=3,120+Inputs!$B$27+Inputs!$B$29,MAX(0,(Inputs!$B$3-100)*3)+Inputs!$B$28+Inputs!$B$29)))</f>
        <v/>
      </c>
      <c r="E984">
        <f>INDEX(FactorTable!$B$2:$Y$301, MATCH(ROUND(MIN(300,MAX(1,D984)),0), FactorTable!$A$2:$A$301,0), Skills!M10+1)</f>
        <v/>
      </c>
      <c r="F984">
        <f>IF(Skills!N10=TRUE,(Skills!L10/10)*(E984/1000),Skills!L10/10)+Skills!O10</f>
        <v/>
      </c>
      <c r="G984">
        <f>Skills!G10*IF(Skills!H10&gt;0,Skills!I10/Skills!H10,1)</f>
        <v/>
      </c>
      <c r="H984">
        <f>1-(1-Skills!J10/100)^Skills!K10</f>
        <v/>
      </c>
      <c r="I984" t="inlineStr">
        <is>
          <t>1</t>
        </is>
      </c>
      <c r="J984">
        <f>(((Inputs!$B$6+1)*(1+Inputs!$B$7/100))+(((Inputs!$B$12*(1+Inputs!$B$13/100))-(Inputs!$B$12*(1+Inputs!$B$13/100)))+0.25*(Inputs!$B$14-Inputs!$B$14))*(1+Inputs!$B$7/100))*(F984/100)</f>
        <v/>
      </c>
      <c r="K984">
        <f>J984*(1+((Inputs!$B$12*(1+Inputs!$B$13/100))*0.01+Inputs!$B$14*0.0025)/100)*(1+Inputs!$B$15/100)*(1+Inputs!$B$16/100)*(5000/(6000+Inputs!$B$42*(1-(100*(1-(1-(Inputs!$B$19+0)/100)*(1-CHOOSE(ArtifactsInput!$N$40+1,5,6,7,8,9,10)/100)^(ArtifactsInput!$M$40-ArtifactsInput!$M$40)))/100)))*(1+(Inputs!$B$24+((C1000=TRUE)*(F1000-Calc!F26))+B1010)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997=TRUE)*(F997-Calc!F23))+((C1001=TRUE)*(F1001-Calc!F27))+(((IF(AND(ArtifactsInput!$M$42,((Inputs!$B$9+((C993=TRUE)*(F993-Calc!F19))+B1004+(ArtifactsInput!$M$24-ArtifactsInput!$M$24)*CHOOSE(ArtifactsInput!$N$24+1,10,12,14,16,18,20)+IF(ArtifactsInput!$M$10,CHOOSE(ArtifactsInput!$N$10+1,15,18,21,24,27,30)*(IF(Inputs!$B$38="pvp",MIN(15,15)/15,IF(AND(Inputs!$B$38&lt;&gt;"pvp",Inputs!$B$43&gt;0),MIN(15,Inputs!$B$43)/(Inputs!$B$43),0))),0)))&gt;=100),MIN(100,((Inputs!$B$9+((C993=TRUE)*(F993-Calc!F19))+B1004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993=TRUE)*(F993-Calc!F19))+B1004+(ArtifactsInput!$M$24-ArtifactsInput!$M$24)*CHOOSE(ArtifactsInput!$N$24+1,10,12,14,16,18,20)+IF(ArtifactsInput!$M$10,CHOOSE(ArtifactsInput!$N$10+1,15,18,21,24,27,30)*(IF(Inputs!$B$38="pvp",MIN(15,15)/15,IF(AND(Inputs!$B$38&lt;&gt;"pvp",Inputs!$B$43&gt;0),MIN(15,Inputs!$B$43)/(Inputs!$B$43),0))),0)))&gt;=100),CHOOSE(ArtifactsInput!$N$42+1,40,48,56,64,72,80),0))))/100)*((1+(((C991=TRUE)*F991)+((C998=TRUE)*(F998-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984)</f>
        <v/>
      </c>
      <c r="L984">
        <f>K984*(MIN(Inputs!$B$22+((C996=TRUE)*(F996-Calc!F22)),(Inputs!$B$23+0+(IF(ArtifactsInput!$M$15,CHOOSE(ArtifactsInput!$N$15+1,25,30,35,40,45,50)/100*(Inputs!$B$11-Inputs!$B$11),0))))/100+(Inputs!$B$23+0+(IF(ArtifactsInput!$M$15,CHOOSE(ArtifactsInput!$N$15+1,25,30,35,40,45,50)/100*(Inputs!$B$11-Inputs!$B$11),0)))/100)/2</f>
        <v/>
      </c>
      <c r="M984">
        <f>L984*(1+(Inputs!$B$10+((C999=TRUE)*(F999-Calc!F25))+B1009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4">
        <f>L984*(1-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984*(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4">
        <f>(1-Summary!$B$11)*T984+Summary!$B$11*V984</f>
        <v/>
      </c>
      <c r="P984">
        <f>IF(B1014=0,0,O984/B1014)</f>
        <v/>
      </c>
      <c r="Q984">
        <f>IFERROR(1/(IF(Inputs!$B$38="pvp",15,MAX(0.1,Skills!D10-IF(Skills!E10=TRUE,Inputs!$B$32,0)))*(1-IF(AND(ArtifactsInput!$M$27,Inputs!$B$4="Chapter Hunt"),CHOOSE(ArtifactsInput!$N$27+1,20,24,28,32,36,40),0)/100)),0)</f>
        <v/>
      </c>
      <c r="R984">
        <f>IF(AND(Inputs!$B$38&lt;&gt;"pvp",Inputs!$B$43&gt;0),IF(MAX(0,Inputs!$B$43-B1011)&lt;=0,0,(INT(MAX(0,Inputs!$B$43-B1011)/(IF(Inputs!$B$38="pvp",15,MAX(0.1,Skills!D10-IF(Skills!E10=TRUE,Inputs!$B$32,0)))*(1-IF(AND(ArtifactsInput!$M$27,Inputs!$B$4="Chapter Hunt"),CHOOSE(ArtifactsInput!$N$27+1,20,24,28,32,36,40),0)/100)))+1)),0)</f>
        <v/>
      </c>
      <c r="S984">
        <f>IFERROR(O984/N984,0)</f>
        <v/>
      </c>
      <c r="T984">
        <f>IF(C984,(H984*N984*IF(AND(Inputs!$B$38&lt;&gt;"pvp",Inputs!$B$43&gt;0),((Skills!G10*((R984-1)*IF(Skills!H10&gt;0,Skills!I10/Skills!H10,1)+IF(Skills!H10&gt;0,MIN(Skills!I10,MAX(0,MAX(0,Inputs!$B$43-B1011)-((R984-1)*(IF(Inputs!$B$38="pvp",15,MAX(0.1,Skills!D10-IF(Skills!E10=TRUE,Inputs!$B$32,0)))*(1-IF(AND(ArtifactsInput!$M$27,Inputs!$B$4="Chapter Hunt"),CHOOSE(ArtifactsInput!$N$27+1,20,24,28,32,36,40),0)/100)))))/Skills!H10,1)))/Inputs!$B$43),G984*Q984)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984*(1-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984*(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984*(1-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984*(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4">
        <f>IF(C984,(H984*N984*IF(AND(Inputs!$B$38&lt;&gt;"pvp",Inputs!$B$43&gt;0),((Skills!G10*((R984-1)*IF(Skills!H10&gt;0,Skills!I10/Skills!H10,1)+IF(Skills!H10&gt;0,MIN(Skills!I10,MAX(0,MAX(0,Inputs!$B$43-B1011)-((R984-1)*(IF(Inputs!$B$38="pvp",15,MAX(0.1,Skills!D10-IF(Skills!E10=TRUE,Inputs!$B$32,0)))*(1-IF(AND(ArtifactsInput!$M$27,Inputs!$B$4="Chapter Hunt"),CHOOSE(ArtifactsInput!$N$27+1,20,24,28,32,36,40),0)/100)))))/Skills!H10,1)))/Inputs!$B$43),G984*Q984))*IF(Inputs!$B$38="pvp",1,(1+(Inputs!$B$21+Skills!Q10+(IF(ArtifactsInput!$M$33,CHOOSE(ArtifactsInput!$N$33+1,30,36,42,48,54,60)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5">
      <c r="A985">
        <f>Skills!A11</f>
        <v/>
      </c>
      <c r="B985">
        <f>Skills!B11</f>
        <v/>
      </c>
      <c r="C985">
        <f>Inputs!$B$3&gt;=107</f>
        <v/>
      </c>
      <c r="D985">
        <f>IF(Skills!C11=1,60+Inputs!$B$25+Inputs!$B$29,IF(Skills!C11=2,90+Inputs!$B$26+Inputs!$B$29,IF(Skills!C11=3,120+Inputs!$B$27+Inputs!$B$29,MAX(0,(Inputs!$B$3-100)*3)+Inputs!$B$28+Inputs!$B$29)))</f>
        <v/>
      </c>
      <c r="E985">
        <f>INDEX(FactorTable!$B$2:$Y$301, MATCH(ROUND(MIN(300,MAX(1,D985)),0), FactorTable!$A$2:$A$301,0), Skills!M11+1)</f>
        <v/>
      </c>
      <c r="F985">
        <f>IF(Skills!N11=TRUE,(Skills!L11/10)*(E985/1000),Skills!L11/10)+Skills!O11</f>
        <v/>
      </c>
      <c r="G985">
        <f>Skills!G11*IF(Skills!H11&gt;0,Skills!I11/Skills!H11,1)</f>
        <v/>
      </c>
      <c r="H985">
        <f>1-(1-Skills!J11/100)^Skills!K11</f>
        <v/>
      </c>
      <c r="I985" t="inlineStr">
        <is>
          <t>1</t>
        </is>
      </c>
      <c r="J985">
        <f>(((Inputs!$B$6+1)*(1+Inputs!$B$7/100))+(((Inputs!$B$12*(1+Inputs!$B$13/100))-(Inputs!$B$12*(1+Inputs!$B$13/100)))+0.25*(Inputs!$B$14-Inputs!$B$14))*(1+Inputs!$B$7/100))*(F985/100)</f>
        <v/>
      </c>
      <c r="K985">
        <f>J985*(1+((Inputs!$B$12*(1+Inputs!$B$13/100))*0.01+Inputs!$B$14*0.0025)/100)*(1+Inputs!$B$15/100)*(1+Inputs!$B$16/100)*(5000/(6000+Inputs!$B$42*(1-(100*(1-(1-(Inputs!$B$19+0)/100)*(1-CHOOSE(ArtifactsInput!$N$40+1,5,6,7,8,9,10)/100)^(ArtifactsInput!$M$40-ArtifactsInput!$M$40)))/100)))*(1+(Inputs!$B$24+((C1000=TRUE)*(F1000-Calc!F26))+B1010)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997=TRUE)*(F997-Calc!F23))+((C1001=TRUE)*(F1001-Calc!F27))+(((IF(AND(ArtifactsInput!$M$42,((Inputs!$B$9+((C993=TRUE)*(F993-Calc!F19))+B1004+(ArtifactsInput!$M$24-ArtifactsInput!$M$24)*CHOOSE(ArtifactsInput!$N$24+1,10,12,14,16,18,20)+IF(ArtifactsInput!$M$10,CHOOSE(ArtifactsInput!$N$10+1,15,18,21,24,27,30)*(IF(Inputs!$B$38="pvp",MIN(15,15)/15,IF(AND(Inputs!$B$38&lt;&gt;"pvp",Inputs!$B$43&gt;0),MIN(15,Inputs!$B$43)/(Inputs!$B$43),0))),0)))&gt;=100),MIN(100,((Inputs!$B$9+((C993=TRUE)*(F993-Calc!F19))+B1004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993=TRUE)*(F993-Calc!F19))+B1004+(ArtifactsInput!$M$24-ArtifactsInput!$M$24)*CHOOSE(ArtifactsInput!$N$24+1,10,12,14,16,18,20)+IF(ArtifactsInput!$M$10,CHOOSE(ArtifactsInput!$N$10+1,15,18,21,24,27,30)*(IF(Inputs!$B$38="pvp",MIN(15,15)/15,IF(AND(Inputs!$B$38&lt;&gt;"pvp",Inputs!$B$43&gt;0),MIN(15,Inputs!$B$43)/(Inputs!$B$43),0))),0)))&gt;=100),CHOOSE(ArtifactsInput!$N$42+1,40,48,56,64,72,80),0))))/100)*((1+(((C991=TRUE)*F991)+((C998=TRUE)*(F998-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985)</f>
        <v/>
      </c>
      <c r="L985">
        <f>K985*(MIN(Inputs!$B$22+((C996=TRUE)*(F996-Calc!F22)),(Inputs!$B$23+0+(IF(ArtifactsInput!$M$15,CHOOSE(ArtifactsInput!$N$15+1,25,30,35,40,45,50)/100*(Inputs!$B$11-Inputs!$B$11),0))))/100+(Inputs!$B$23+0+(IF(ArtifactsInput!$M$15,CHOOSE(ArtifactsInput!$N$15+1,25,30,35,40,45,50)/100*(Inputs!$B$11-Inputs!$B$11),0)))/100)/2</f>
        <v/>
      </c>
      <c r="M985">
        <f>L985*(1+(Inputs!$B$10+((C999=TRUE)*(F999-Calc!F25))+B1009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5">
        <f>L985*(1-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985*(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5">
        <f>(1-Summary!$B$11)*T985+Summary!$B$11*V985</f>
        <v/>
      </c>
      <c r="P985">
        <f>IF(B1014=0,0,O985/B1014)</f>
        <v/>
      </c>
      <c r="Q985">
        <f>IFERROR(1/(IF(Inputs!$B$38="pvp",15,MAX(0.1,Skills!D11-IF(Skills!E11=TRUE,Inputs!$B$32,0)))*(1-IF(AND(ArtifactsInput!$M$27,Inputs!$B$4="Chapter Hunt"),CHOOSE(ArtifactsInput!$N$27+1,20,24,28,32,36,40),0)/100)),0)</f>
        <v/>
      </c>
      <c r="R985">
        <f>IF(AND(Inputs!$B$38&lt;&gt;"pvp",Inputs!$B$43&gt;0),IF(MAX(0,Inputs!$B$43-B1011)&lt;=0,0,(INT(MAX(0,Inputs!$B$43-B1011)/(IF(Inputs!$B$38="pvp",15,MAX(0.1,Skills!D11-IF(Skills!E11=TRUE,Inputs!$B$32,0)))*(1-IF(AND(ArtifactsInput!$M$27,Inputs!$B$4="Chapter Hunt"),CHOOSE(ArtifactsInput!$N$27+1,20,24,28,32,36,40),0)/100)))+1)),0)</f>
        <v/>
      </c>
      <c r="S985">
        <f>IFERROR(O985/N985,0)</f>
        <v/>
      </c>
      <c r="T985">
        <f>IF(C985,(H985*N985*IF(AND(Inputs!$B$38&lt;&gt;"pvp",Inputs!$B$43&gt;0),((Skills!G11*((R985-1)*IF(Skills!H11&gt;0,Skills!I11/Skills!H11,1)+IF(Skills!H11&gt;0,MIN(Skills!I11,MAX(0,MAX(0,Inputs!$B$43-B1011)-((R985-1)*(IF(Inputs!$B$38="pvp",15,MAX(0.1,Skills!D11-IF(Skills!E11=TRUE,Inputs!$B$32,0)))*(1-IF(AND(ArtifactsInput!$M$27,Inputs!$B$4="Chapter Hunt"),CHOOSE(ArtifactsInput!$N$27+1,20,24,28,32,36,40),0)/100)))))/Skills!H11,1)))/Inputs!$B$43),G985*Q985)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985*(1-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985*(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985*(1-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985*(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5">
        <f>IF(C985,(H985*N985*IF(AND(Inputs!$B$38&lt;&gt;"pvp",Inputs!$B$43&gt;0),((Skills!G11*((R985-1)*IF(Skills!H11&gt;0,Skills!I11/Skills!H11,1)+IF(Skills!H11&gt;0,MIN(Skills!I11,MAX(0,MAX(0,Inputs!$B$43-B1011)-((R985-1)*(IF(Inputs!$B$38="pvp",15,MAX(0.1,Skills!D11-IF(Skills!E11=TRUE,Inputs!$B$32,0)))*(1-IF(AND(ArtifactsInput!$M$27,Inputs!$B$4="Chapter Hunt"),CHOOSE(ArtifactsInput!$N$27+1,20,24,28,32,36,40),0)/100)))))/Skills!H11,1)))/Inputs!$B$43),G985*Q985))*IF(Inputs!$B$38="pvp",1,(1+(Inputs!$B$21+Skills!Q11+(IF(ArtifactsInput!$M$33,CHOOSE(ArtifactsInput!$N$33+1,30,36,42,48,54,60)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6">
      <c r="A986">
        <f>Skills!A12</f>
        <v/>
      </c>
      <c r="B986">
        <f>Skills!B12</f>
        <v/>
      </c>
      <c r="C986">
        <f>Inputs!$B$3&gt;=110</f>
        <v/>
      </c>
      <c r="D986">
        <f>IF(Skills!C12=1,60+Inputs!$B$25+Inputs!$B$29,IF(Skills!C12=2,90+Inputs!$B$26+Inputs!$B$29,IF(Skills!C12=3,120+Inputs!$B$27+Inputs!$B$29,MAX(0,(Inputs!$B$3-100)*3)+Inputs!$B$28+Inputs!$B$29)))</f>
        <v/>
      </c>
      <c r="E986">
        <f>INDEX(FactorTable!$B$2:$Y$301, MATCH(ROUND(MIN(300,MAX(1,D986)),0), FactorTable!$A$2:$A$301,0), Skills!M12+1)</f>
        <v/>
      </c>
      <c r="F986">
        <f>IF(Skills!N12=TRUE,(Skills!L12/10)*(E986/1000),Skills!L12/10)+Skills!O12</f>
        <v/>
      </c>
      <c r="G986">
        <f>Skills!G12*IF(Skills!H12&gt;0,Skills!I12/Skills!H12,1)</f>
        <v/>
      </c>
      <c r="H986">
        <f>1-(1-Skills!J12/100)^Skills!K12</f>
        <v/>
      </c>
      <c r="I986" t="inlineStr">
        <is>
          <t>1</t>
        </is>
      </c>
      <c r="J986">
        <f>(((Inputs!$B$6+1)*(1+Inputs!$B$7/100))+(((Inputs!$B$12*(1+Inputs!$B$13/100))-(Inputs!$B$12*(1+Inputs!$B$13/100)))+0.25*(Inputs!$B$14-Inputs!$B$14))*(1+Inputs!$B$7/100))*(F986/100)</f>
        <v/>
      </c>
      <c r="K986">
        <f>J986*(1+((Inputs!$B$12*(1+Inputs!$B$13/100))*0.01+Inputs!$B$14*0.0025)/100)*(1+Inputs!$B$15/100)*(1+Inputs!$B$16/100)*(5000/(6000+Inputs!$B$42*(1-(100*(1-(1-(Inputs!$B$19+0)/100)*(1-CHOOSE(ArtifactsInput!$N$40+1,5,6,7,8,9,10)/100)^(ArtifactsInput!$M$40-ArtifactsInput!$M$40)))/100)))*(1+(Inputs!$B$24+((C1000=TRUE)*(F1000-Calc!F26))+B1010)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997=TRUE)*(F997-Calc!F23))+((C1001=TRUE)*(F1001-Calc!F27))+(((IF(AND(ArtifactsInput!$M$42,((Inputs!$B$9+((C993=TRUE)*(F993-Calc!F19))+B1004+(ArtifactsInput!$M$24-ArtifactsInput!$M$24)*CHOOSE(ArtifactsInput!$N$24+1,10,12,14,16,18,20)+IF(ArtifactsInput!$M$10,CHOOSE(ArtifactsInput!$N$10+1,15,18,21,24,27,30)*(IF(Inputs!$B$38="pvp",MIN(15,15)/15,IF(AND(Inputs!$B$38&lt;&gt;"pvp",Inputs!$B$43&gt;0),MIN(15,Inputs!$B$43)/(Inputs!$B$43),0))),0)))&gt;=100),MIN(100,((Inputs!$B$9+((C993=TRUE)*(F993-Calc!F19))+B1004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993=TRUE)*(F993-Calc!F19))+B1004+(ArtifactsInput!$M$24-ArtifactsInput!$M$24)*CHOOSE(ArtifactsInput!$N$24+1,10,12,14,16,18,20)+IF(ArtifactsInput!$M$10,CHOOSE(ArtifactsInput!$N$10+1,15,18,21,24,27,30)*(IF(Inputs!$B$38="pvp",MIN(15,15)/15,IF(AND(Inputs!$B$38&lt;&gt;"pvp",Inputs!$B$43&gt;0),MIN(15,Inputs!$B$43)/(Inputs!$B$43),0))),0)))&gt;=100),CHOOSE(ArtifactsInput!$N$42+1,40,48,56,64,72,80),0))))/100)*((1+(((C991=TRUE)*F991)+((C998=TRUE)*(F998-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986)</f>
        <v/>
      </c>
      <c r="L986">
        <f>K986*(MIN(Inputs!$B$22+((C996=TRUE)*(F996-Calc!F22)),(Inputs!$B$23+0+(IF(ArtifactsInput!$M$15,CHOOSE(ArtifactsInput!$N$15+1,25,30,35,40,45,50)/100*(Inputs!$B$11-Inputs!$B$11),0))))/100+(Inputs!$B$23+0+(IF(ArtifactsInput!$M$15,CHOOSE(ArtifactsInput!$N$15+1,25,30,35,40,45,50)/100*(Inputs!$B$11-Inputs!$B$11),0)))/100)/2</f>
        <v/>
      </c>
      <c r="M986">
        <f>L986*(1+(Inputs!$B$10+((C999=TRUE)*(F999-Calc!F25))+B1009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6">
        <f>L986*(1-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986*(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6">
        <f>(1-Summary!$B$11)*T986+Summary!$B$11*V986</f>
        <v/>
      </c>
      <c r="P986">
        <f>IF(B1014=0,0,O986/B1014)</f>
        <v/>
      </c>
      <c r="Q986">
        <f>IFERROR(1/(IF(Inputs!$B$38="pvp",15,MAX(0.1,Skills!D12-IF(Skills!E12=TRUE,Inputs!$B$32,0)))*(1-IF(AND(ArtifactsInput!$M$27,Inputs!$B$4="Chapter Hunt"),CHOOSE(ArtifactsInput!$N$27+1,20,24,28,32,36,40),0)/100)),0)</f>
        <v/>
      </c>
      <c r="R986">
        <f>IF(AND(Inputs!$B$38&lt;&gt;"pvp",Inputs!$B$43&gt;0),IF(MAX(0,Inputs!$B$43-B1011)&lt;=0,0,(INT(MAX(0,Inputs!$B$43-B1011)/(IF(Inputs!$B$38="pvp",15,MAX(0.1,Skills!D12-IF(Skills!E12=TRUE,Inputs!$B$32,0)))*(1-IF(AND(ArtifactsInput!$M$27,Inputs!$B$4="Chapter Hunt"),CHOOSE(ArtifactsInput!$N$27+1,20,24,28,32,36,40),0)/100)))+1)),0)</f>
        <v/>
      </c>
      <c r="S986">
        <f>IFERROR(O986/N986,0)</f>
        <v/>
      </c>
      <c r="T986">
        <f>IF(C986,(H986*N986*IF(AND(Inputs!$B$38&lt;&gt;"pvp",Inputs!$B$43&gt;0),((Skills!G12*((R986-1)*IF(Skills!H12&gt;0,Skills!I12/Skills!H12,1)+IF(Skills!H12&gt;0,MIN(Skills!I12,MAX(0,MAX(0,Inputs!$B$43-B1011)-((R986-1)*(IF(Inputs!$B$38="pvp",15,MAX(0.1,Skills!D12-IF(Skills!E12=TRUE,Inputs!$B$32,0)))*(1-IF(AND(ArtifactsInput!$M$27,Inputs!$B$4="Chapter Hunt"),CHOOSE(ArtifactsInput!$N$27+1,20,24,28,32,36,40),0)/100)))))/Skills!H12,1)))/Inputs!$B$43),G986*Q986)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986*(1-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986*(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986*(1-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986*(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6">
        <f>IF(C986,(H986*N986*IF(AND(Inputs!$B$38&lt;&gt;"pvp",Inputs!$B$43&gt;0),((Skills!G12*((R986-1)*IF(Skills!H12&gt;0,Skills!I12/Skills!H12,1)+IF(Skills!H12&gt;0,MIN(Skills!I12,MAX(0,MAX(0,Inputs!$B$43-B1011)-((R986-1)*(IF(Inputs!$B$38="pvp",15,MAX(0.1,Skills!D12-IF(Skills!E12=TRUE,Inputs!$B$32,0)))*(1-IF(AND(ArtifactsInput!$M$27,Inputs!$B$4="Chapter Hunt"),CHOOSE(ArtifactsInput!$N$27+1,20,24,28,32,36,40),0)/100)))))/Skills!H12,1)))/Inputs!$B$43),G986*Q986))*IF(Inputs!$B$38="pvp",1,(1+(Inputs!$B$21+Skills!Q12+(IF(ArtifactsInput!$M$33,CHOOSE(ArtifactsInput!$N$33+1,30,36,42,48,54,60)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7">
      <c r="A987">
        <f>Skills!A13</f>
        <v/>
      </c>
      <c r="B987">
        <f>Skills!B13</f>
        <v/>
      </c>
      <c r="C987">
        <f>Inputs!$B$3&gt;=110</f>
        <v/>
      </c>
      <c r="D987">
        <f>IF(Skills!C13=1,60+Inputs!$B$25+Inputs!$B$29,IF(Skills!C13=2,90+Inputs!$B$26+Inputs!$B$29,IF(Skills!C13=3,120+Inputs!$B$27+Inputs!$B$29,MAX(0,(Inputs!$B$3-100)*3)+Inputs!$B$28+Inputs!$B$29)))</f>
        <v/>
      </c>
      <c r="E987">
        <f>INDEX(FactorTable!$B$2:$Y$301, MATCH(ROUND(MIN(300,MAX(1,D987)),0), FactorTable!$A$2:$A$301,0), Skills!M13+1)</f>
        <v/>
      </c>
      <c r="F987">
        <f>IF(Skills!N13=TRUE,(Skills!L13/10)*(E987/1000),Skills!L13/10)+Skills!O13</f>
        <v/>
      </c>
      <c r="G987">
        <f>Skills!G13*IF(Skills!H13&gt;0,Skills!I13/Skills!H13,1)</f>
        <v/>
      </c>
      <c r="H987">
        <f>1-(1-Skills!J13/100)^Skills!K13</f>
        <v/>
      </c>
      <c r="I987" t="inlineStr">
        <is>
          <t>1</t>
        </is>
      </c>
      <c r="J987">
        <f>(((Inputs!$B$6+1)*(1+Inputs!$B$7/100))+(((Inputs!$B$12*(1+Inputs!$B$13/100))-(Inputs!$B$12*(1+Inputs!$B$13/100)))+0.25*(Inputs!$B$14-Inputs!$B$14))*(1+Inputs!$B$7/100))*(F987/100)</f>
        <v/>
      </c>
      <c r="K987">
        <f>J987*(1+((Inputs!$B$12*(1+Inputs!$B$13/100))*0.01+Inputs!$B$14*0.0025)/100)*(1+Inputs!$B$15/100)*(1+Inputs!$B$16/100)*(5000/(6000+Inputs!$B$42*(1-(100*(1-(1-(Inputs!$B$19+0)/100)*(1-CHOOSE(ArtifactsInput!$N$40+1,5,6,7,8,9,10)/100)^(ArtifactsInput!$M$40-ArtifactsInput!$M$40)))/100)))*(1+(Inputs!$B$24+((C1000=TRUE)*(F1000-Calc!F26))+B1010)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997=TRUE)*(F997-Calc!F23))+((C1001=TRUE)*(F1001-Calc!F27))+(((IF(AND(ArtifactsInput!$M$42,((Inputs!$B$9+((C993=TRUE)*(F993-Calc!F19))+B1004+(ArtifactsInput!$M$24-ArtifactsInput!$M$24)*CHOOSE(ArtifactsInput!$N$24+1,10,12,14,16,18,20)+IF(ArtifactsInput!$M$10,CHOOSE(ArtifactsInput!$N$10+1,15,18,21,24,27,30)*(IF(Inputs!$B$38="pvp",MIN(15,15)/15,IF(AND(Inputs!$B$38&lt;&gt;"pvp",Inputs!$B$43&gt;0),MIN(15,Inputs!$B$43)/(Inputs!$B$43),0))),0)))&gt;=100),MIN(100,((Inputs!$B$9+((C993=TRUE)*(F993-Calc!F19))+B1004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993=TRUE)*(F993-Calc!F19))+B1004+(ArtifactsInput!$M$24-ArtifactsInput!$M$24)*CHOOSE(ArtifactsInput!$N$24+1,10,12,14,16,18,20)+IF(ArtifactsInput!$M$10,CHOOSE(ArtifactsInput!$N$10+1,15,18,21,24,27,30)*(IF(Inputs!$B$38="pvp",MIN(15,15)/15,IF(AND(Inputs!$B$38&lt;&gt;"pvp",Inputs!$B$43&gt;0),MIN(15,Inputs!$B$43)/(Inputs!$B$43),0))),0)))&gt;=100),CHOOSE(ArtifactsInput!$N$42+1,40,48,56,64,72,80),0))))/100)*((1+(((C991=TRUE)*F991)+((C998=TRUE)*(F998-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987)</f>
        <v/>
      </c>
      <c r="L987">
        <f>K987*(MIN(Inputs!$B$22+((C996=TRUE)*(F996-Calc!F22)),(Inputs!$B$23+0+(IF(ArtifactsInput!$M$15,CHOOSE(ArtifactsInput!$N$15+1,25,30,35,40,45,50)/100*(Inputs!$B$11-Inputs!$B$11),0))))/100+(Inputs!$B$23+0+(IF(ArtifactsInput!$M$15,CHOOSE(ArtifactsInput!$N$15+1,25,30,35,40,45,50)/100*(Inputs!$B$11-Inputs!$B$11),0)))/100)/2</f>
        <v/>
      </c>
      <c r="M987">
        <f>L987*(1+(Inputs!$B$10+((C999=TRUE)*(F999-Calc!F25))+B1009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7">
        <f>L987*(1-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987*(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7">
        <f>(1-Summary!$B$11)*T987+Summary!$B$11*V987</f>
        <v/>
      </c>
      <c r="P987">
        <f>IF(B1014=0,0,O987/B1014)</f>
        <v/>
      </c>
      <c r="Q987">
        <f>IFERROR(1/(IF(Inputs!$B$38="pvp",15,MAX(0.1,Skills!D13-IF(Skills!E13=TRUE,Inputs!$B$32,0)))*(1-IF(AND(ArtifactsInput!$M$27,Inputs!$B$4="Chapter Hunt"),CHOOSE(ArtifactsInput!$N$27+1,20,24,28,32,36,40),0)/100)),0)</f>
        <v/>
      </c>
      <c r="R987">
        <f>IF(AND(Inputs!$B$38&lt;&gt;"pvp",Inputs!$B$43&gt;0),IF(MAX(0,Inputs!$B$43-B1011)&lt;=0,0,(INT(MAX(0,Inputs!$B$43-B1011)/(IF(Inputs!$B$38="pvp",15,MAX(0.1,Skills!D13-IF(Skills!E13=TRUE,Inputs!$B$32,0)))*(1-IF(AND(ArtifactsInput!$M$27,Inputs!$B$4="Chapter Hunt"),CHOOSE(ArtifactsInput!$N$27+1,20,24,28,32,36,40),0)/100)))+1)),0)</f>
        <v/>
      </c>
      <c r="S987">
        <f>IFERROR(O987/N987,0)</f>
        <v/>
      </c>
      <c r="T987">
        <f>IF(C987,(H987*N987*IF(AND(Inputs!$B$38&lt;&gt;"pvp",Inputs!$B$43&gt;0),((Skills!G13*((R987-1)*IF(Skills!H13&gt;0,Skills!I13/Skills!H13,1)+IF(Skills!H13&gt;0,MIN(Skills!I13,MAX(0,MAX(0,Inputs!$B$43-B1011)-((R987-1)*(IF(Inputs!$B$38="pvp",15,MAX(0.1,Skills!D13-IF(Skills!E13=TRUE,Inputs!$B$32,0)))*(1-IF(AND(ArtifactsInput!$M$27,Inputs!$B$4="Chapter Hunt"),CHOOSE(ArtifactsInput!$N$27+1,20,24,28,32,36,40),0)/100)))))/Skills!H13,1)))/Inputs!$B$43),G987*Q987))*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987*(1-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987*(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987*(1-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987*(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7">
        <f>IF(C987,(H987*N987*IF(AND(Inputs!$B$38&lt;&gt;"pvp",Inputs!$B$43&gt;0),((Skills!G13*((R987-1)*IF(Skills!H13&gt;0,Skills!I13/Skills!H13,1)+IF(Skills!H13&gt;0,MIN(Skills!I13,MAX(0,MAX(0,Inputs!$B$43-B1011)-((R987-1)*(IF(Inputs!$B$38="pvp",15,MAX(0.1,Skills!D13-IF(Skills!E13=TRUE,Inputs!$B$32,0)))*(1-IF(AND(ArtifactsInput!$M$27,Inputs!$B$4="Chapter Hunt"),CHOOSE(ArtifactsInput!$N$27+1,20,24,28,32,36,40),0)/100)))))/Skills!H13,1)))/Inputs!$B$43),G987*Q987))*IF(Inputs!$B$38="pvp",1,(1+(Inputs!$B$21+Skills!Q13+(IF(ArtifactsInput!$M$33,CHOOSE(ArtifactsInput!$N$33+1,30,36,42,48,54,60)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8">
      <c r="A988">
        <f>Skills!A14</f>
        <v/>
      </c>
      <c r="B988">
        <f>Skills!B14</f>
        <v/>
      </c>
      <c r="C988">
        <f>Inputs!$B$3&gt;=125</f>
        <v/>
      </c>
      <c r="D988">
        <f>IF(Skills!C14=1,60+Inputs!$B$25+Inputs!$B$29,IF(Skills!C14=2,90+Inputs!$B$26+Inputs!$B$29,IF(Skills!C14=3,120+Inputs!$B$27+Inputs!$B$29,MAX(0,(Inputs!$B$3-100)*3)+Inputs!$B$28+Inputs!$B$29)))</f>
        <v/>
      </c>
      <c r="E988">
        <f>INDEX(FactorTable!$B$2:$Y$301, MATCH(ROUND(MIN(300,MAX(1,D988)),0), FactorTable!$A$2:$A$301,0), Skills!M14+1)</f>
        <v/>
      </c>
      <c r="F988">
        <f>IF(Skills!N14=TRUE,(Skills!L14/10)*(E988/1000),Skills!L14/10)+Skills!O14</f>
        <v/>
      </c>
      <c r="G988">
        <f>Skills!G14*IF(Skills!H14&gt;0,Skills!I14/Skills!H14,1)</f>
        <v/>
      </c>
      <c r="H988">
        <f>1-(1-Skills!J14/100)^Skills!K14</f>
        <v/>
      </c>
      <c r="I988" t="inlineStr">
        <is>
          <t>1</t>
        </is>
      </c>
      <c r="J988">
        <f>(((Inputs!$B$6+1)*(1+Inputs!$B$7/100))+(((Inputs!$B$12*(1+Inputs!$B$13/100))-(Inputs!$B$12*(1+Inputs!$B$13/100)))+0.25*(Inputs!$B$14-Inputs!$B$14))*(1+Inputs!$B$7/100))*(F988/100)</f>
        <v/>
      </c>
      <c r="K988">
        <f>J988*(1+((Inputs!$B$12*(1+Inputs!$B$13/100))*0.01+Inputs!$B$14*0.0025)/100)*(1+Inputs!$B$15/100)*(1+Inputs!$B$16/100)*(5000/(6000+Inputs!$B$42*(1-(100*(1-(1-(Inputs!$B$19+0)/100)*(1-CHOOSE(ArtifactsInput!$N$40+1,5,6,7,8,9,10)/100)^(ArtifactsInput!$M$40-ArtifactsInput!$M$40)))/100)))*(1+(Inputs!$B$24+((C1000=TRUE)*(F1000-Calc!F26))+B1010)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997=TRUE)*(F997-Calc!F23))+((C1001=TRUE)*(F1001-Calc!F27))+(((IF(AND(ArtifactsInput!$M$42,((Inputs!$B$9+((C993=TRUE)*(F993-Calc!F19))+B1004+(ArtifactsInput!$M$24-ArtifactsInput!$M$24)*CHOOSE(ArtifactsInput!$N$24+1,10,12,14,16,18,20)+IF(ArtifactsInput!$M$10,CHOOSE(ArtifactsInput!$N$10+1,15,18,21,24,27,30)*(IF(Inputs!$B$38="pvp",MIN(15,15)/15,IF(AND(Inputs!$B$38&lt;&gt;"pvp",Inputs!$B$43&gt;0),MIN(15,Inputs!$B$43)/(Inputs!$B$43),0))),0)))&gt;=100),MIN(100,((Inputs!$B$9+((C993=TRUE)*(F993-Calc!F19))+B1004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993=TRUE)*(F993-Calc!F19))+B1004+(ArtifactsInput!$M$24-ArtifactsInput!$M$24)*CHOOSE(ArtifactsInput!$N$24+1,10,12,14,16,18,20)+IF(ArtifactsInput!$M$10,CHOOSE(ArtifactsInput!$N$10+1,15,18,21,24,27,30)*(IF(Inputs!$B$38="pvp",MIN(15,15)/15,IF(AND(Inputs!$B$38&lt;&gt;"pvp",Inputs!$B$43&gt;0),MIN(15,Inputs!$B$43)/(Inputs!$B$43),0))),0)))&gt;=100),CHOOSE(ArtifactsInput!$N$42+1,40,48,56,64,72,80),0))))/100)*((1+(((C991=TRUE)*F991)+((C998=TRUE)*(F998-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988)</f>
        <v/>
      </c>
      <c r="L988">
        <f>K988*(MIN(Inputs!$B$22+((C996=TRUE)*(F996-Calc!F22)),(Inputs!$B$23+0+(IF(ArtifactsInput!$M$15,CHOOSE(ArtifactsInput!$N$15+1,25,30,35,40,45,50)/100*(Inputs!$B$11-Inputs!$B$11),0))))/100+(Inputs!$B$23+0+(IF(ArtifactsInput!$M$15,CHOOSE(ArtifactsInput!$N$15+1,25,30,35,40,45,50)/100*(Inputs!$B$11-Inputs!$B$11),0)))/100)/2</f>
        <v/>
      </c>
      <c r="M988">
        <f>L988*(1+(Inputs!$B$10+((C999=TRUE)*(F999-Calc!F25))+B1009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8">
        <f>L988*(1-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988*(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8">
        <f>(1-Summary!$B$11)*T988+Summary!$B$11*V988</f>
        <v/>
      </c>
      <c r="P988">
        <f>IF(B1014=0,0,O988/B1014)</f>
        <v/>
      </c>
      <c r="Q988" t="n">
        <v>0</v>
      </c>
      <c r="R988" t="n">
        <v>0</v>
      </c>
      <c r="S988">
        <f>IFERROR(O988/N988,0)</f>
        <v/>
      </c>
      <c r="T988">
        <f>IF(C988,(H988*N988*(B1008+IF(AND(Inputs!$B$38&lt;&gt;"pvp",Inputs!$B$43&gt;0),((Skills!G8*((R982-1)*IF(Skills!H8&gt;0,Skills!I8/Skills!H8,1)+IF(Skills!H8&gt;0,MIN(Skills!I8,MAX(0,MAX(0,Inputs!$B$43-B1011)-((R982-1)*(IF(Inputs!$B$38="pvp",15,MAX(0.1,Skills!D8-IF(Skills!E8=TRUE,Inputs!$B$32,0)))*(1-IF(AND(ArtifactsInput!$M$27,Inputs!$B$4="Chapter Hunt"),CHOOSE(ArtifactsInput!$N$27+1,20,24,28,32,36,40),0)/100)))))/Skills!H8,1)))/Inputs!$B$43),G982*Q982)+IF(AND(Inputs!$B$38&lt;&gt;"pvp",Inputs!$B$43&gt;0),((Skills!G11*((R985-1)*IF(Skills!H11&gt;0,Skills!I11/Skills!H11,1)+IF(Skills!H11&gt;0,MIN(Skills!I11,MAX(0,MAX(0,Inputs!$B$43-B1011)-((R985-1)*(IF(Inputs!$B$38="pvp",15,MAX(0.1,Skills!D11-IF(Skills!E11=TRUE,Inputs!$B$32,0)))*(1-IF(AND(ArtifactsInput!$M$27,Inputs!$B$4="Chapter Hunt"),CHOOSE(ArtifactsInput!$N$27+1,20,24,28,32,36,40),0)/100)))))/Skills!H11,1)))/Inputs!$B$43),G985*Q985)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988*(1-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988*(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988*(1-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988*(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8">
        <f>IF(C988,(H988*N988*(B1008+IF(AND(Inputs!$B$38&lt;&gt;"pvp",Inputs!$B$43&gt;0),((Skills!G8*((R982-1)*IF(Skills!H8&gt;0,Skills!I8/Skills!H8,1)+IF(Skills!H8&gt;0,MIN(Skills!I8,MAX(0,MAX(0,Inputs!$B$43-B1011)-((R982-1)*(IF(Inputs!$B$38="pvp",15,MAX(0.1,Skills!D8-IF(Skills!E8=TRUE,Inputs!$B$32,0)))*(1-IF(AND(ArtifactsInput!$M$27,Inputs!$B$4="Chapter Hunt"),CHOOSE(ArtifactsInput!$N$27+1,20,24,28,32,36,40),0)/100)))))/Skills!H8,1)))/Inputs!$B$43),G982*Q982)+IF(AND(Inputs!$B$38&lt;&gt;"pvp",Inputs!$B$43&gt;0),((Skills!G11*((R985-1)*IF(Skills!H11&gt;0,Skills!I11/Skills!H11,1)+IF(Skills!H11&gt;0,MIN(Skills!I11,MAX(0,MAX(0,Inputs!$B$43-B1011)-((R985-1)*(IF(Inputs!$B$38="pvp",15,MAX(0.1,Skills!D11-IF(Skills!E11=TRUE,Inputs!$B$32,0)))*(1-IF(AND(ArtifactsInput!$M$27,Inputs!$B$4="Chapter Hunt"),CHOOSE(ArtifactsInput!$N$27+1,20,24,28,32,36,40),0)/100)))))/Skills!H11,1)))/Inputs!$B$43),G985*Q985)))*IF(Inputs!$B$38="pvp",1,(1+(Inputs!$B$21+Skills!Q14+(IF(ArtifactsInput!$M$33,CHOOSE(ArtifactsInput!$N$33+1,30,36,42,48,54,60)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9">
      <c r="A989">
        <f>Skills!A15</f>
        <v/>
      </c>
      <c r="B989">
        <f>Skills!B15</f>
        <v/>
      </c>
      <c r="C989">
        <f>Inputs!$B$3&gt;=100</f>
        <v/>
      </c>
      <c r="D989">
        <f>IF(Skills!C15=1,60+Inputs!$B$25+Inputs!$B$29,IF(Skills!C15=2,90+Inputs!$B$26+Inputs!$B$29,IF(Skills!C15=3,120+Inputs!$B$27+Inputs!$B$29,MAX(0,(Inputs!$B$3-100)*3)+Inputs!$B$28+Inputs!$B$29)))</f>
        <v/>
      </c>
      <c r="E989">
        <f>INDEX(FactorTable!$B$2:$Y$301, MATCH(ROUND(MIN(300,MAX(1,D989)),0), FactorTable!$A$2:$A$301,0), Skills!M15+1)</f>
        <v/>
      </c>
      <c r="F989">
        <f>IF(Skills!N15=TRUE,(Skills!L15/10)*(E989/1000),Skills!L15/10)+Skills!O15</f>
        <v/>
      </c>
      <c r="G989" t="inlineStr"/>
      <c r="H989" t="inlineStr"/>
      <c r="I989" t="inlineStr">
        <is>
          <t>1</t>
        </is>
      </c>
      <c r="J989" t="inlineStr"/>
      <c r="K989" t="inlineStr"/>
      <c r="L989" t="inlineStr"/>
      <c r="M989" t="inlineStr"/>
      <c r="N989" t="inlineStr"/>
      <c r="O989" t="inlineStr"/>
      <c r="P989" t="inlineStr"/>
      <c r="Q989" t="inlineStr"/>
      <c r="R989" t="inlineStr"/>
      <c r="S989" t="inlineStr"/>
    </row>
    <row r="990">
      <c r="A990">
        <f>Skills!A16</f>
        <v/>
      </c>
      <c r="B990">
        <f>Skills!B16</f>
        <v/>
      </c>
      <c r="C990">
        <f>Inputs!$B$3&gt;=120</f>
        <v/>
      </c>
      <c r="D990">
        <f>IF(Skills!C16=1,60+Inputs!$B$25+Inputs!$B$29,IF(Skills!C16=2,90+Inputs!$B$26+Inputs!$B$29,IF(Skills!C16=3,120+Inputs!$B$27+Inputs!$B$29,MAX(0,(Inputs!$B$3-100)*3)+Inputs!$B$28+Inputs!$B$29)))</f>
        <v/>
      </c>
      <c r="E990">
        <f>INDEX(FactorTable!$B$2:$Y$301, MATCH(ROUND(MIN(300,MAX(1,D990)),0), FactorTable!$A$2:$A$301,0), Skills!M16+1)</f>
        <v/>
      </c>
      <c r="F990">
        <f>IF(Skills!N16=TRUE,(Skills!L16/10)*(E990/1000),Skills!L16/10)+Skills!O16</f>
        <v/>
      </c>
      <c r="G990" t="inlineStr"/>
      <c r="H990" t="inlineStr"/>
      <c r="I990" t="inlineStr">
        <is>
          <t>1</t>
        </is>
      </c>
      <c r="J990" t="inlineStr"/>
      <c r="K990" t="inlineStr"/>
      <c r="L990" t="inlineStr"/>
      <c r="M990" t="inlineStr"/>
      <c r="N990" t="inlineStr"/>
      <c r="O990" t="inlineStr"/>
      <c r="P990" t="inlineStr"/>
      <c r="Q990" t="inlineStr"/>
      <c r="R990" t="inlineStr"/>
      <c r="S990" t="inlineStr"/>
    </row>
    <row r="991">
      <c r="A991">
        <f>Skills!A17</f>
        <v/>
      </c>
      <c r="B991">
        <f>Skills!B17</f>
        <v/>
      </c>
      <c r="C991">
        <f>Inputs!$B$3&gt;=66</f>
        <v/>
      </c>
      <c r="D991">
        <f>IF(Skills!C17=1,60+Inputs!$B$25+Inputs!$B$29,IF(Skills!C17=2,90+Inputs!$B$26+Inputs!$B$29,IF(Skills!C17=3,120+Inputs!$B$27+Inputs!$B$29,MAX(0,(Inputs!$B$3-100)*3)+Inputs!$B$28+Inputs!$B$29)))</f>
        <v/>
      </c>
      <c r="E991">
        <f>INDEX(FactorTable!$B$2:$Y$301, MATCH(ROUND(MIN(300,MAX(1,D991)),0), FactorTable!$A$2:$A$301,0), Skills!M17+1)</f>
        <v/>
      </c>
      <c r="F991">
        <f>IF(Skills!N17=TRUE,(Skills!L17/10)*(E991/1000),Skills!L17/10)+Skills!O17</f>
        <v/>
      </c>
      <c r="G991">
        <f>Skills!G17*IF(Skills!H17&gt;0,Skills!I17/Skills!H17,1)</f>
        <v/>
      </c>
      <c r="H991">
        <f>1-(1-Skills!J17/100)^Skills!K17</f>
        <v/>
      </c>
      <c r="I991" t="inlineStr">
        <is>
          <t>1</t>
        </is>
      </c>
      <c r="J991" t="inlineStr"/>
      <c r="K991" t="inlineStr"/>
      <c r="L991" t="inlineStr"/>
      <c r="M991" t="inlineStr"/>
      <c r="N991" t="inlineStr"/>
      <c r="O991">
        <f>(1-Summary!$B$11)*T991+Summary!$B$11*V991</f>
        <v/>
      </c>
      <c r="P991">
        <f>IF(B1014=0,0,O991/B1014)</f>
        <v/>
      </c>
      <c r="Q991" t="n">
        <v>0</v>
      </c>
      <c r="R991" t="n">
        <v>0</v>
      </c>
      <c r="S991">
        <f>IFERROR(O991/N991,0)</f>
        <v/>
      </c>
      <c r="T991" t="n">
        <v>0</v>
      </c>
      <c r="V991" t="n">
        <v>0</v>
      </c>
    </row>
    <row r="992">
      <c r="A992">
        <f>Skills!A18</f>
        <v/>
      </c>
      <c r="B992">
        <f>Skills!B18</f>
        <v/>
      </c>
      <c r="C992">
        <f>Inputs!$B$3&gt;=115</f>
        <v/>
      </c>
      <c r="D992">
        <f>IF(Skills!C18=1,60+Inputs!$B$25+Inputs!$B$29,IF(Skills!C18=2,90+Inputs!$B$26+Inputs!$B$29,IF(Skills!C18=3,120+Inputs!$B$27+Inputs!$B$29,MAX(0,(Inputs!$B$3-100)*3)+Inputs!$B$28+Inputs!$B$29)))</f>
        <v/>
      </c>
      <c r="E992">
        <f>INDEX(FactorTable!$B$2:$Y$301, MATCH(ROUND(MIN(300,MAX(1,D992)),0), FactorTable!$A$2:$A$301,0), Skills!M18+1)</f>
        <v/>
      </c>
      <c r="F992">
        <f>IF(Skills!N18=TRUE,(Skills!L18/10)*(E992/1000),Skills!L18/10)+Skills!O18</f>
        <v/>
      </c>
      <c r="G992">
        <f>Skills!G18*IF(Skills!H18&gt;0,Skills!I18/Skills!H18,1)</f>
        <v/>
      </c>
      <c r="H992">
        <f>1-(1-Skills!J18/100)^Skills!K18</f>
        <v/>
      </c>
      <c r="I992" t="inlineStr">
        <is>
          <t>1</t>
        </is>
      </c>
      <c r="J992" t="inlineStr"/>
      <c r="K992" t="inlineStr"/>
      <c r="L992" t="inlineStr"/>
      <c r="M992" t="inlineStr"/>
      <c r="N992" t="inlineStr"/>
      <c r="O992">
        <f>(1-Summary!$B$11)*T992+Summary!$B$11*V992</f>
        <v/>
      </c>
      <c r="P992">
        <f>IF(B1014=0,0,O992/B1014)</f>
        <v/>
      </c>
      <c r="Q992" t="n">
        <v>0</v>
      </c>
      <c r="R992" t="n">
        <v>0</v>
      </c>
      <c r="S992">
        <f>IFERROR(O992/N992,0)</f>
        <v/>
      </c>
      <c r="T992" t="n">
        <v>0</v>
      </c>
      <c r="V992" t="n">
        <v>0</v>
      </c>
    </row>
    <row r="993">
      <c r="A993">
        <f>Skills!A19</f>
        <v/>
      </c>
      <c r="B993">
        <f>Skills!B19</f>
        <v/>
      </c>
      <c r="C993">
        <f>Inputs!$B$3&gt;=15</f>
        <v/>
      </c>
      <c r="D993">
        <f>IF(Skills!C19=1,60+Inputs!$B$25+Inputs!$B$29,IF(Skills!C19=2,90+Inputs!$B$26+Inputs!$B$29,IF(Skills!C19=3,120+Inputs!$B$27+Inputs!$B$29,MAX(0,(Inputs!$B$3-100)*3)+Inputs!$B$28+Inputs!$B$29)))</f>
        <v/>
      </c>
      <c r="E993">
        <f>INDEX(FactorTable!$B$2:$Y$301, MATCH(ROUND(MIN(300,MAX(1,D993)),0), FactorTable!$A$2:$A$301,0), Skills!M19+1)</f>
        <v/>
      </c>
      <c r="F993">
        <f>IF(Skills!N19=TRUE,(Skills!L19/10)*(E993/1000),Skills!L19/10)+Skills!O19</f>
        <v/>
      </c>
      <c r="G993">
        <f>Skills!G19*IF(Skills!H19&gt;0,Skills!I19/Skills!H19,1)</f>
        <v/>
      </c>
      <c r="H993">
        <f>1-(1-Skills!J19/100)^Skills!K19</f>
        <v/>
      </c>
      <c r="I993" t="inlineStr">
        <is>
          <t>1</t>
        </is>
      </c>
      <c r="J993" t="inlineStr"/>
      <c r="K993" t="inlineStr"/>
      <c r="L993" t="inlineStr"/>
      <c r="M993" t="inlineStr"/>
      <c r="N993" t="inlineStr"/>
      <c r="O993">
        <f>(1-Summary!$B$11)*T993+Summary!$B$11*V993</f>
        <v/>
      </c>
      <c r="P993">
        <f>IF(B1014=0,0,O993/B1014)</f>
        <v/>
      </c>
      <c r="Q993" t="n">
        <v>0</v>
      </c>
      <c r="R993" t="n">
        <v>0</v>
      </c>
      <c r="S993">
        <f>IFERROR(O993/N993,0)</f>
        <v/>
      </c>
      <c r="T993" t="n">
        <v>0</v>
      </c>
      <c r="V993" t="n">
        <v>0</v>
      </c>
    </row>
    <row r="994">
      <c r="A994">
        <f>Skills!A20</f>
        <v/>
      </c>
      <c r="B994">
        <f>Skills!B20</f>
        <v/>
      </c>
      <c r="C994">
        <f>Inputs!$B$3&gt;=10</f>
        <v/>
      </c>
      <c r="D994">
        <f>IF(Skills!C20=1,60+Inputs!$B$25+Inputs!$B$29,IF(Skills!C20=2,90+Inputs!$B$26+Inputs!$B$29,IF(Skills!C20=3,120+Inputs!$B$27+Inputs!$B$29,MAX(0,(Inputs!$B$3-100)*3)+Inputs!$B$28+Inputs!$B$29)))</f>
        <v/>
      </c>
      <c r="E994">
        <f>INDEX(FactorTable!$B$2:$Y$301, MATCH(ROUND(MIN(300,MAX(1,D994)),0), FactorTable!$A$2:$A$301,0), Skills!M20+1)</f>
        <v/>
      </c>
      <c r="F994">
        <f>IF(Skills!N20=TRUE,(Skills!L20/10)*(E994/1000),Skills!L20/10)+Skills!O20</f>
        <v/>
      </c>
      <c r="G994">
        <f>Skills!G20*IF(Skills!H20&gt;0,Skills!I20/Skills!H20,1)</f>
        <v/>
      </c>
      <c r="H994">
        <f>1-(1-Skills!J20/100)^Skills!K20</f>
        <v/>
      </c>
      <c r="I994" t="inlineStr">
        <is>
          <t>1</t>
        </is>
      </c>
      <c r="J994" t="inlineStr"/>
      <c r="K994" t="inlineStr"/>
      <c r="L994" t="inlineStr"/>
      <c r="M994" t="inlineStr"/>
      <c r="N994" t="inlineStr"/>
      <c r="O994">
        <f>(1-Summary!$B$11)*T994+Summary!$B$11*V994</f>
        <v/>
      </c>
      <c r="P994">
        <f>IF(B1014=0,0,O994/B1014)</f>
        <v/>
      </c>
      <c r="Q994" t="n">
        <v>0</v>
      </c>
      <c r="R994" t="n">
        <v>0</v>
      </c>
      <c r="S994">
        <f>IFERROR(O994/N994,0)</f>
        <v/>
      </c>
      <c r="T994" t="n">
        <v>0</v>
      </c>
      <c r="V994" t="n">
        <v>0</v>
      </c>
    </row>
    <row r="995">
      <c r="A995">
        <f>Skills!A21</f>
        <v/>
      </c>
      <c r="B995">
        <f>Skills!B21</f>
        <v/>
      </c>
      <c r="C995">
        <f>Inputs!$B$3&gt;=33</f>
        <v/>
      </c>
      <c r="D995">
        <f>IF(Skills!C21=1,60+Inputs!$B$25+Inputs!$B$29,IF(Skills!C21=2,90+Inputs!$B$26+Inputs!$B$29,IF(Skills!C21=3,120+Inputs!$B$27+Inputs!$B$29,MAX(0,(Inputs!$B$3-100)*3)+Inputs!$B$28+Inputs!$B$29)))</f>
        <v/>
      </c>
      <c r="E995">
        <f>INDEX(FactorTable!$B$2:$Y$301, MATCH(ROUND(MIN(300,MAX(1,D995)),0), FactorTable!$A$2:$A$301,0), Skills!M21+1)</f>
        <v/>
      </c>
      <c r="F995">
        <f>IF(Skills!N21=TRUE,(Skills!L21/10)*(E995/1000),Skills!L21/10)+Skills!O21</f>
        <v/>
      </c>
      <c r="G995">
        <f>Skills!G21*IF(Skills!H21&gt;0,Skills!I21/Skills!H21,1)</f>
        <v/>
      </c>
      <c r="H995">
        <f>1-(1-Skills!J21/100)^Skills!K21</f>
        <v/>
      </c>
      <c r="I995" t="inlineStr">
        <is>
          <t>1</t>
        </is>
      </c>
      <c r="J995" t="inlineStr"/>
      <c r="K995" t="inlineStr"/>
      <c r="L995" t="inlineStr"/>
      <c r="M995" t="inlineStr"/>
      <c r="N995" t="inlineStr"/>
      <c r="O995">
        <f>(1-Summary!$B$11)*T995+Summary!$B$11*V995</f>
        <v/>
      </c>
      <c r="P995">
        <f>IF(B1014=0,0,O995/B1014)</f>
        <v/>
      </c>
      <c r="Q995" t="n">
        <v>0</v>
      </c>
      <c r="R995" t="n">
        <v>0</v>
      </c>
      <c r="S995">
        <f>IFERROR(O995/N995,0)</f>
        <v/>
      </c>
      <c r="T995" t="n">
        <v>0</v>
      </c>
      <c r="V995" t="n">
        <v>0</v>
      </c>
    </row>
    <row r="996">
      <c r="A996">
        <f>Skills!A22</f>
        <v/>
      </c>
      <c r="B996">
        <f>Skills!B22</f>
        <v/>
      </c>
      <c r="C996">
        <f>Inputs!$B$3&gt;=43</f>
        <v/>
      </c>
      <c r="D996">
        <f>IF(Skills!C22=1,60+Inputs!$B$25+Inputs!$B$29,IF(Skills!C22=2,90+Inputs!$B$26+Inputs!$B$29,IF(Skills!C22=3,120+Inputs!$B$27+Inputs!$B$29,MAX(0,(Inputs!$B$3-100)*3)+Inputs!$B$28+Inputs!$B$29)))</f>
        <v/>
      </c>
      <c r="E996">
        <f>INDEX(FactorTable!$B$2:$Y$301, MATCH(ROUND(MIN(300,MAX(1,D996)),0), FactorTable!$A$2:$A$301,0), Skills!M22+1)</f>
        <v/>
      </c>
      <c r="F996">
        <f>IF(Skills!N22=TRUE,(Skills!L22/10)*(E996/1000),Skills!L22/10)+Skills!O22</f>
        <v/>
      </c>
      <c r="G996">
        <f>Skills!G22*IF(Skills!H22&gt;0,Skills!I22/Skills!H22,1)</f>
        <v/>
      </c>
      <c r="H996">
        <f>1-(1-Skills!J22/100)^Skills!K22</f>
        <v/>
      </c>
      <c r="I996" t="inlineStr">
        <is>
          <t>1</t>
        </is>
      </c>
      <c r="J996" t="inlineStr"/>
      <c r="K996" t="inlineStr"/>
      <c r="L996" t="inlineStr"/>
      <c r="M996" t="inlineStr"/>
      <c r="N996" t="inlineStr"/>
      <c r="O996">
        <f>(1-Summary!$B$11)*T996+Summary!$B$11*V996</f>
        <v/>
      </c>
      <c r="P996">
        <f>IF(B1014=0,0,O996/B1014)</f>
        <v/>
      </c>
      <c r="Q996" t="n">
        <v>0</v>
      </c>
      <c r="R996" t="n">
        <v>0</v>
      </c>
      <c r="S996">
        <f>IFERROR(O996/N996,0)</f>
        <v/>
      </c>
      <c r="T996" t="n">
        <v>0</v>
      </c>
      <c r="V996" t="n">
        <v>0</v>
      </c>
    </row>
    <row r="997">
      <c r="A997">
        <f>Skills!A23</f>
        <v/>
      </c>
      <c r="B997">
        <f>Skills!B23</f>
        <v/>
      </c>
      <c r="C997">
        <f>Inputs!$B$3&gt;=38</f>
        <v/>
      </c>
      <c r="D997">
        <f>IF(Skills!C23=1,60+Inputs!$B$25+Inputs!$B$29,IF(Skills!C23=2,90+Inputs!$B$26+Inputs!$B$29,IF(Skills!C23=3,120+Inputs!$B$27+Inputs!$B$29,MAX(0,(Inputs!$B$3-100)*3)+Inputs!$B$28+Inputs!$B$29)))</f>
        <v/>
      </c>
      <c r="E997">
        <f>INDEX(FactorTable!$B$2:$Y$301, MATCH(ROUND(MIN(300,MAX(1,D997)),0), FactorTable!$A$2:$A$301,0), Skills!M23+1)</f>
        <v/>
      </c>
      <c r="F997">
        <f>IF(Skills!N23=TRUE,(Skills!L23/10)*(E997/1000),Skills!L23/10)+Skills!O23</f>
        <v/>
      </c>
      <c r="G997">
        <f>Skills!G23*IF(Skills!H23&gt;0,Skills!I23/Skills!H23,1)</f>
        <v/>
      </c>
      <c r="H997">
        <f>1-(1-Skills!J23/100)^Skills!K23</f>
        <v/>
      </c>
      <c r="I997" t="inlineStr">
        <is>
          <t>1</t>
        </is>
      </c>
      <c r="J997" t="inlineStr"/>
      <c r="K997" t="inlineStr"/>
      <c r="L997" t="inlineStr"/>
      <c r="M997" t="inlineStr"/>
      <c r="N997" t="inlineStr"/>
      <c r="O997">
        <f>(1-Summary!$B$11)*T997+Summary!$B$11*V997</f>
        <v/>
      </c>
      <c r="P997">
        <f>IF(B1014=0,0,O997/B1014)</f>
        <v/>
      </c>
      <c r="Q997" t="n">
        <v>0</v>
      </c>
      <c r="R997" t="n">
        <v>0</v>
      </c>
      <c r="S997">
        <f>IFERROR(O997/N997,0)</f>
        <v/>
      </c>
      <c r="T997" t="n">
        <v>0</v>
      </c>
      <c r="V997" t="n">
        <v>0</v>
      </c>
    </row>
    <row r="998">
      <c r="A998">
        <f>Skills!A24</f>
        <v/>
      </c>
      <c r="B998">
        <f>Skills!B24</f>
        <v/>
      </c>
      <c r="C998">
        <f>Inputs!$B$3&gt;=40</f>
        <v/>
      </c>
      <c r="D998">
        <f>IF(Skills!C24=1,60+Inputs!$B$25+Inputs!$B$29,IF(Skills!C24=2,90+Inputs!$B$26+Inputs!$B$29,IF(Skills!C24=3,120+Inputs!$B$27+Inputs!$B$29,MAX(0,(Inputs!$B$3-100)*3)+Inputs!$B$28+Inputs!$B$29)))</f>
        <v/>
      </c>
      <c r="E998">
        <f>INDEX(FactorTable!$B$2:$Y$301, MATCH(ROUND(MIN(300,MAX(1,D998)),0), FactorTable!$A$2:$A$301,0), Skills!M24+1)</f>
        <v/>
      </c>
      <c r="F998">
        <f>IF(Skills!N24=TRUE,(Skills!L24/10)*(E998/1000),Skills!L24/10)+Skills!O24</f>
        <v/>
      </c>
      <c r="G998">
        <f>Skills!G24*IF(Skills!H24&gt;0,Skills!I24/Skills!H24,1)</f>
        <v/>
      </c>
      <c r="H998">
        <f>1-(1-Skills!J24/100)^Skills!K24</f>
        <v/>
      </c>
      <c r="I998" t="inlineStr">
        <is>
          <t>1</t>
        </is>
      </c>
      <c r="J998" t="inlineStr"/>
      <c r="K998" t="inlineStr"/>
      <c r="L998" t="inlineStr"/>
      <c r="M998" t="inlineStr"/>
      <c r="N998" t="inlineStr"/>
      <c r="O998">
        <f>(1-Summary!$B$11)*T998+Summary!$B$11*V998</f>
        <v/>
      </c>
      <c r="P998">
        <f>IF(B1014=0,0,O998/B1014)</f>
        <v/>
      </c>
      <c r="Q998" t="n">
        <v>0</v>
      </c>
      <c r="R998" t="n">
        <v>0</v>
      </c>
      <c r="S998">
        <f>IFERROR(O998/N998,0)</f>
        <v/>
      </c>
      <c r="T998" t="n">
        <v>0</v>
      </c>
      <c r="V998" t="n">
        <v>0</v>
      </c>
    </row>
    <row r="999">
      <c r="A999">
        <f>Skills!A25</f>
        <v/>
      </c>
      <c r="B999">
        <f>Skills!B25</f>
        <v/>
      </c>
      <c r="C999">
        <f>Inputs!$B$3&gt;=72</f>
        <v/>
      </c>
      <c r="D999">
        <f>IF(Skills!C25=1,60+Inputs!$B$25+Inputs!$B$29,IF(Skills!C25=2,90+Inputs!$B$26+Inputs!$B$29,IF(Skills!C25=3,120+Inputs!$B$27+Inputs!$B$29,MAX(0,(Inputs!$B$3-100)*3)+Inputs!$B$28+Inputs!$B$29)))</f>
        <v/>
      </c>
      <c r="E999">
        <f>INDEX(FactorTable!$B$2:$Y$301, MATCH(ROUND(MIN(300,MAX(1,D999)),0), FactorTable!$A$2:$A$301,0), Skills!M25+1)</f>
        <v/>
      </c>
      <c r="F999">
        <f>IF(Skills!N25=TRUE,(Skills!L25/10)*(E999/1000),Skills!L25/10)+Skills!O25</f>
        <v/>
      </c>
      <c r="G999">
        <f>Skills!G25*IF(Skills!H25&gt;0,Skills!I25/Skills!H25,1)</f>
        <v/>
      </c>
      <c r="H999">
        <f>1-(1-Skills!J25/100)^Skills!K25</f>
        <v/>
      </c>
      <c r="I999" t="inlineStr">
        <is>
          <t>1</t>
        </is>
      </c>
      <c r="J999" t="inlineStr"/>
      <c r="K999" t="inlineStr"/>
      <c r="L999" t="inlineStr"/>
      <c r="M999" t="inlineStr"/>
      <c r="N999" t="inlineStr"/>
      <c r="O999">
        <f>(1-Summary!$B$11)*T999+Summary!$B$11*V999</f>
        <v/>
      </c>
      <c r="P999">
        <f>IF(B1014=0,0,O999/B1014)</f>
        <v/>
      </c>
      <c r="Q999" t="n">
        <v>0</v>
      </c>
      <c r="R999" t="n">
        <v>0</v>
      </c>
      <c r="S999">
        <f>IFERROR(O999/N999,0)</f>
        <v/>
      </c>
      <c r="T999" t="n">
        <v>0</v>
      </c>
      <c r="V999" t="n">
        <v>0</v>
      </c>
    </row>
    <row r="1000">
      <c r="A1000">
        <f>Skills!A26</f>
        <v/>
      </c>
      <c r="B1000">
        <f>Skills!B26</f>
        <v/>
      </c>
      <c r="C1000">
        <f>Inputs!$B$3&gt;=75</f>
        <v/>
      </c>
      <c r="D1000">
        <f>IF(Skills!C26=1,60+Inputs!$B$25+Inputs!$B$29,IF(Skills!C26=2,90+Inputs!$B$26+Inputs!$B$29,IF(Skills!C26=3,120+Inputs!$B$27+Inputs!$B$29,MAX(0,(Inputs!$B$3-100)*3)+Inputs!$B$28+Inputs!$B$29)))</f>
        <v/>
      </c>
      <c r="E1000">
        <f>INDEX(FactorTable!$B$2:$Y$301, MATCH(ROUND(MIN(300,MAX(1,D1000)),0), FactorTable!$A$2:$A$301,0), Skills!M26+1)</f>
        <v/>
      </c>
      <c r="F1000">
        <f>IF(Skills!N26=TRUE,(Skills!L26/10)*(E1000/1000),Skills!L26/10)+Skills!O26</f>
        <v/>
      </c>
      <c r="G1000">
        <f>Skills!G26*IF(Skills!H26&gt;0,Skills!I26/Skills!H26,1)</f>
        <v/>
      </c>
      <c r="H1000">
        <f>1-(1-Skills!J26/100)^Skills!K26</f>
        <v/>
      </c>
      <c r="I1000" t="inlineStr">
        <is>
          <t>1</t>
        </is>
      </c>
      <c r="J1000" t="inlineStr"/>
      <c r="K1000" t="inlineStr"/>
      <c r="L1000" t="inlineStr"/>
      <c r="M1000" t="inlineStr"/>
      <c r="N1000" t="inlineStr"/>
      <c r="O1000">
        <f>(1-Summary!$B$11)*T1000+Summary!$B$11*V1000</f>
        <v/>
      </c>
      <c r="P1000">
        <f>IF(B1014=0,0,O1000/B1014)</f>
        <v/>
      </c>
      <c r="Q1000" t="n">
        <v>0</v>
      </c>
      <c r="R1000" t="n">
        <v>0</v>
      </c>
      <c r="S1000">
        <f>IFERROR(O1000/N1000,0)</f>
        <v/>
      </c>
      <c r="T1000" t="n">
        <v>0</v>
      </c>
      <c r="V1000" t="n">
        <v>0</v>
      </c>
    </row>
    <row r="1001">
      <c r="A1001">
        <f>Skills!A27</f>
        <v/>
      </c>
      <c r="B1001">
        <f>Skills!B27</f>
        <v/>
      </c>
      <c r="C1001">
        <f>Inputs!$B$3&gt;=117</f>
        <v/>
      </c>
      <c r="D1001">
        <f>IF(Skills!C27=1,60+Inputs!$B$25+Inputs!$B$29,IF(Skills!C27=2,90+Inputs!$B$26+Inputs!$B$29,IF(Skills!C27=3,120+Inputs!$B$27+Inputs!$B$29,MAX(0,(Inputs!$B$3-100)*3)+Inputs!$B$28+Inputs!$B$29)))</f>
        <v/>
      </c>
      <c r="E1001">
        <f>INDEX(FactorTable!$B$2:$Y$301, MATCH(ROUND(MIN(300,MAX(1,D1001)),0), FactorTable!$A$2:$A$301,0), Skills!M27+1)</f>
        <v/>
      </c>
      <c r="F1001">
        <f>IF(Skills!N27=TRUE,(Skills!L27/10)*(E1001/1000),Skills!L27/10)+Skills!O27</f>
        <v/>
      </c>
      <c r="G1001">
        <f>Skills!G27*IF(Skills!H27&gt;0,Skills!I27/Skills!H27,1)</f>
        <v/>
      </c>
      <c r="H1001">
        <f>1-(1-Skills!J27/100)^Skills!K27</f>
        <v/>
      </c>
      <c r="I1001" t="inlineStr">
        <is>
          <t>1</t>
        </is>
      </c>
      <c r="J1001" t="inlineStr"/>
      <c r="K1001" t="inlineStr"/>
      <c r="L1001" t="inlineStr"/>
      <c r="M1001" t="inlineStr"/>
      <c r="N1001" t="inlineStr"/>
      <c r="O1001">
        <f>(1-Summary!$B$11)*T1001+Summary!$B$11*V1001</f>
        <v/>
      </c>
      <c r="P1001">
        <f>IF(B1014=0,0,O1001/B1014)</f>
        <v/>
      </c>
      <c r="Q1001" t="n">
        <v>0</v>
      </c>
      <c r="R1001" t="n">
        <v>0</v>
      </c>
      <c r="S1001">
        <f>IFERROR(O1001/N1001,0)</f>
        <v/>
      </c>
      <c r="T1001" t="n">
        <v>0</v>
      </c>
      <c r="V1001" t="n">
        <v>0</v>
      </c>
    </row>
    <row r="1003">
      <c r="A1003" t="inlineStr">
        <is>
          <t>Attack% Bucket Multiplier</t>
        </is>
      </c>
      <c r="B1003">
        <f>(1+(((C991=TRUE)*F991)+((C998=TRUE)*(F998-Calc!F24))+(IF(ArtifactsInput!$M$21,CHOOSE(ArtifactsInput!$N$21+1,25,30,35,40,45,50)*(IF(OR(Inputs!$B$4="Chapter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04">
      <c r="A1004" t="inlineStr">
        <is>
          <t>Global Crit Rate Bonus %</t>
        </is>
      </c>
      <c r="B1004" t="n">
        <v>0</v>
      </c>
    </row>
    <row r="1005">
      <c r="A1005" t="inlineStr">
        <is>
          <t>Attack Speed Buff Bonus % (unused)</t>
        </is>
      </c>
      <c r="B1005" t="n">
        <v>0</v>
      </c>
    </row>
    <row r="1006">
      <c r="A1006" t="inlineStr">
        <is>
          <t>Actions Per Second</t>
        </is>
      </c>
      <c r="B1006">
        <f>1+MIN(150,150*(1-(1-(Inputs!$B$11+((C994=TRUE)*(F994-Calc!F20))+((C995=TRUE)*(F995-Calc!F21)))/150)*(1-B1005/150)))/100</f>
        <v/>
      </c>
    </row>
    <row r="1007">
      <c r="A1007" t="inlineStr">
        <is>
          <t>Skill + Buff Cast Rate</t>
        </is>
      </c>
      <c r="B1007">
        <f>IF(AND(Inputs!$B$38&lt;&gt;"pvp",Inputs!$B$43&gt;0),SUMPRODUCT((Skills!E2:E27=TRUE)*(C976:C1001=TRUE)*R976:R1001*Skills!F2:F27)/Inputs!$B$43,SUMPRODUCT((Skills!E2:E27=TRUE)*(C976:C1001=TRUE)*Q976:Q1001*Skills!F2:F27))</f>
        <v/>
      </c>
    </row>
    <row r="1008">
      <c r="A1008" t="inlineStr">
        <is>
          <t>Eight-Legs Easton Casts Per Second</t>
        </is>
      </c>
      <c r="B1008">
        <f>MAX(0,B1006-B1007)</f>
        <v/>
      </c>
    </row>
    <row r="1009">
      <c r="A1009" t="inlineStr">
        <is>
          <t>Global Critical Damage Bonus % (unused)</t>
        </is>
      </c>
      <c r="B1009" t="n">
        <v>0</v>
      </c>
    </row>
    <row r="1010">
      <c r="A1010" t="inlineStr">
        <is>
          <t>Global Final Damage Bonus % (Jolly Roger only)</t>
        </is>
      </c>
      <c r="B1010">
        <f>((C992=TRUE)*F992)</f>
        <v/>
      </c>
    </row>
    <row r="1011">
      <c r="A1011" t="inlineStr">
        <is>
          <t>Buff-Casting Startup Delay (s, fixed-duration only)</t>
        </is>
      </c>
      <c r="B1011">
        <f>IF(AND(Inputs!$B$38&lt;&gt;"pvp",Inputs!$B$43&gt;0),SUMPRODUCT((Skills!T2:T27&gt;0)*(Skills!E2:E27=TRUE)*(C976:C1001=TRUE))/B1006,0)</f>
        <v/>
      </c>
    </row>
    <row r="1012">
      <c r="A1012" t="inlineStr">
        <is>
          <t>Boss-Only Total DPS (this block's swept value)</t>
        </is>
      </c>
      <c r="B1012">
        <f>SUM(T976:T1001)</f>
        <v/>
      </c>
    </row>
    <row r="1013">
      <c r="A1013" t="inlineStr">
        <is>
          <t>Normal-Only Total DPS (this block's swept value)</t>
        </is>
      </c>
      <c r="B1013">
        <f>SUM(V976:V1001)</f>
        <v/>
      </c>
    </row>
    <row r="1014">
      <c r="A1014" s="6" t="inlineStr">
        <is>
          <t>TOTAL DPS</t>
        </is>
      </c>
      <c r="B1014" s="6">
        <f>SUM(O976:O1001)</f>
        <v/>
      </c>
    </row>
    <row r="1017">
      <c r="A1017" s="6" t="inlineStr">
        <is>
          <t>Stat: ATTACK %</t>
        </is>
      </c>
    </row>
    <row r="1018">
      <c r="A1018" s="5" t="inlineStr">
        <is>
          <t>Key</t>
        </is>
      </c>
      <c r="B1018" s="5" t="inlineStr">
        <is>
          <t>Name</t>
        </is>
      </c>
      <c r="C1018" s="5" t="inlineStr">
        <is>
          <t>Unlocked</t>
        </is>
      </c>
      <c r="D1018" s="5" t="inlineStr">
        <is>
          <t>InputLevel</t>
        </is>
      </c>
      <c r="E1018" s="5" t="inlineStr">
        <is>
          <t>Factor</t>
        </is>
      </c>
      <c r="F1018" s="5" t="inlineStr">
        <is>
          <t>CoefficientPercent</t>
        </is>
      </c>
      <c r="G1018" s="5" t="inlineStr">
        <is>
          <t>EffectiveHits</t>
        </is>
      </c>
      <c r="H1018" s="5" t="inlineStr">
        <is>
          <t>ProcProbability</t>
        </is>
      </c>
      <c r="I1018" s="5" t="inlineStr">
        <is>
          <t>MapleHeroMultiplier</t>
        </is>
      </c>
      <c r="J1018" s="5" t="inlineStr">
        <is>
          <t>BaseDamage</t>
        </is>
      </c>
      <c r="K1018" s="5" t="inlineStr">
        <is>
          <t>BaseHitDamage</t>
        </is>
      </c>
      <c r="L1018" s="5" t="inlineStr">
        <is>
          <t>NonCritAvg</t>
        </is>
      </c>
      <c r="M1018" s="5" t="inlineStr">
        <is>
          <t>CritAvg</t>
        </is>
      </c>
      <c r="N1018" s="5" t="inlineStr">
        <is>
          <t>ExpectedDamage(perHit)</t>
        </is>
      </c>
      <c r="O1018" s="5" t="inlineStr">
        <is>
          <t>DPS</t>
        </is>
      </c>
      <c r="P1018" s="5" t="inlineStr">
        <is>
          <t>% of Total</t>
        </is>
      </c>
      <c r="Q1018" s="5" t="inlineStr">
        <is>
          <t>InvCooldown</t>
        </is>
      </c>
      <c r="R1018" s="5" t="inlineStr">
        <is>
          <t>CastsInFight</t>
        </is>
      </c>
      <c r="S1018" s="5" t="inlineStr">
        <is>
          <t>HitRate(perSec)</t>
        </is>
      </c>
      <c r="U1018" t="inlineStr">
        <is>
          <t>helpers</t>
        </is>
      </c>
    </row>
    <row r="1019">
      <c r="A1019">
        <f>Skills!A2</f>
        <v/>
      </c>
      <c r="B1019">
        <f>Skills!B2</f>
        <v/>
      </c>
      <c r="C1019">
        <f>Inputs!$B$3&gt;=100</f>
        <v/>
      </c>
      <c r="D1019" t="inlineStr"/>
      <c r="E1019" t="inlineStr"/>
      <c r="F1019">
        <f>U1021+Skills!O2</f>
        <v/>
      </c>
      <c r="G1019">
        <f>Skills!G2*IF(Skills!H2&gt;0,Skills!I2/Skills!H2,1)</f>
        <v/>
      </c>
      <c r="H1019">
        <f>1-(1-Skills!J2/100)^Skills!K2</f>
        <v/>
      </c>
      <c r="I1019" t="inlineStr">
        <is>
          <t>1</t>
        </is>
      </c>
      <c r="J1019">
        <f>((Inputs!$B$6*(1+(Inputs!$B$7+1)/100))+(((Inputs!$B$12*(1+Inputs!$B$13/100))-(Inputs!$B$12*(1+Inputs!$B$13/100)))+0.25*(Inputs!$B$14-Inputs!$B$14))*(1+(Inputs!$B$7+1)/100))*(F1019/100)</f>
        <v/>
      </c>
      <c r="K1019">
        <f>J1019*(1+((Inputs!$B$12*(1+Inputs!$B$13/100))*0.01+Inputs!$B$14*0.0025)/100)*(1+Inputs!$B$15/100)*(1+Inputs!$B$16/100)*(5000/(6000+Inputs!$B$42*(1-(100*(1-(1-(Inputs!$B$19+0)/100)*(1-CHOOSE(ArtifactsInput!$N$40+1,5,6,7,8,9,10)/100)^(ArtifactsInput!$M$40-ArtifactsInput!$M$40)))/100)))*(1+(Inputs!$B$24+((C1043=TRUE)*(F1043-Calc!F26))+B1053)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1040=TRUE)*(F1040-Calc!F23))+((C1044=TRUE)*(F1044-Calc!F27))+(((IF(AND(ArtifactsInput!$M$42,((Inputs!$B$9+((C1036=TRUE)*(F1036-Calc!F19))+B1047+(ArtifactsInput!$M$24-ArtifactsInput!$M$24)*CHOOSE(ArtifactsInput!$N$24+1,10,12,14,16,18,20)+IF(ArtifactsInput!$M$10,CHOOSE(ArtifactsInput!$N$10+1,15,18,21,24,27,30)*(IF(Inputs!$B$38="pvp",MIN(15,15)/15,IF(AND(Inputs!$B$38&lt;&gt;"pvp",Inputs!$B$43&gt;0),MIN(15,Inputs!$B$43)/(Inputs!$B$43),0))),0)))&gt;=100),MIN(100,((Inputs!$B$9+((C1036=TRUE)*(F1036-Calc!F19))+B1047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1036=TRUE)*(F1036-Calc!F19))+B1047+(ArtifactsInput!$M$24-ArtifactsInput!$M$24)*CHOOSE(ArtifactsInput!$N$24+1,10,12,14,16,18,20)+IF(ArtifactsInput!$M$10,CHOOSE(ArtifactsInput!$N$10+1,15,18,21,24,27,30)*(IF(Inputs!$B$38="pvp",MIN(15,15)/15,IF(AND(Inputs!$B$38&lt;&gt;"pvp",Inputs!$B$43&gt;0),MIN(15,Inputs!$B$43)/(Inputs!$B$43),0))),0)))&gt;=100),CHOOSE(ArtifactsInput!$N$42+1,40,48,56,64,72,80),0))))/100)*((1+(((C1034=TRUE)*F1034)+((C1041=TRUE)*(F1041-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1019)</f>
        <v/>
      </c>
      <c r="L1019">
        <f>K1019*(MIN(Inputs!$B$22+((C1039=TRUE)*(F1039-Calc!F22)),(Inputs!$B$23+0+(IF(ArtifactsInput!$M$15,CHOOSE(ArtifactsInput!$N$15+1,25,30,35,40,45,50)/100*(Inputs!$B$11-Inputs!$B$11),0))))/100+(Inputs!$B$23+0+(IF(ArtifactsInput!$M$15,CHOOSE(ArtifactsInput!$N$15+1,25,30,35,40,45,50)/100*(Inputs!$B$11-Inputs!$B$11),0)))/100)/2</f>
        <v/>
      </c>
      <c r="M1019">
        <f>L1019*(1+(Inputs!$B$10+((C1042=TRUE)*(F1042-Calc!F25))+B1052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9">
        <f>L1019*(1-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1019*(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9">
        <f>(1-Summary!$B$11)*T1019+Summary!$B$11*V1019</f>
        <v/>
      </c>
      <c r="P1019">
        <f>IF(B1057=0,0,O1019/B1057)</f>
        <v/>
      </c>
      <c r="Q1019" t="n">
        <v>0</v>
      </c>
      <c r="R1019" t="n">
        <v>0</v>
      </c>
      <c r="S1019">
        <f>IFERROR(O1019/N1019,0)</f>
        <v/>
      </c>
      <c r="T1019">
        <f>IF(C1019,(Skills!G2*N1019*B1051)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1019*(1-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1019*(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1019*(1-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1019*(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9">
        <f>MAX(0,(Inputs!$B$3-100)*3)+Inputs!$B$28+Inputs!$B$29</f>
        <v/>
      </c>
      <c r="V1019">
        <f>IF(C1019,(Skills!G2*N1019*B1051)*IF(Inputs!$B$38="pvp",1,(1+(Inputs!$B$21+Skills!Q2+(IF(ArtifactsInput!$M$33,CHOOSE(ArtifactsInput!$N$33+1,30,36,42,48,54,60),0))+(IF(AND(ArtifactsInput!$M$35,Inputs!$B$4&lt;&gt;"Chapter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0">
      <c r="A1020">
        <f>Skills!A3</f>
        <v/>
      </c>
      <c r="B1020">
        <f>Skills!B3</f>
        <v/>
      </c>
      <c r="C1020">
        <f>Inputs!$B$3&gt;=35</f>
        <v/>
      </c>
      <c r="D1020">
        <f>IF(Skills!C3=1,60+Inputs!$B$25+Inputs!$B$29,IF(Skills!C3=2,90+Inputs!$B$26+Inputs!$B$29,IF(Skills!C3=3,120+Inputs!$B$27+Inputs!$B$29,MAX(0,(Inputs!$B$3-100)*3)+Inputs!$B$28+Inputs!$B$29)))</f>
        <v/>
      </c>
      <c r="E1020">
        <f>INDEX(FactorTable!$B$2:$Y$301, MATCH(ROUND(MIN(300,MAX(1,D1020)),0), FactorTable!$A$2:$A$301,0), Skills!M3+1)</f>
        <v/>
      </c>
      <c r="F1020">
        <f>IF(Skills!N3=TRUE,(Skills!L3/10)*(E1020/1000),Skills!L3/10)+Skills!O3</f>
        <v/>
      </c>
      <c r="G1020">
        <f>Skills!G3*IF(Skills!H3&gt;0,Skills!I3/Skills!H3,1)</f>
        <v/>
      </c>
      <c r="H1020">
        <f>1-(1-Skills!J3/100)^Skills!K3</f>
        <v/>
      </c>
      <c r="I1020" t="inlineStr">
        <is>
          <t>1</t>
        </is>
      </c>
      <c r="J1020">
        <f>((Inputs!$B$6*(1+(Inputs!$B$7+1)/100))+(((Inputs!$B$12*(1+Inputs!$B$13/100))-(Inputs!$B$12*(1+Inputs!$B$13/100)))+0.25*(Inputs!$B$14-Inputs!$B$14))*(1+(Inputs!$B$7+1)/100))*(F1020/100)</f>
        <v/>
      </c>
      <c r="K1020">
        <f>J1020*(1+((Inputs!$B$12*(1+Inputs!$B$13/100))*0.01+Inputs!$B$14*0.0025)/100)*(1+Inputs!$B$15/100)*(1+Inputs!$B$16/100)*(5000/(6000+Inputs!$B$42*(1-(100*(1-(1-(Inputs!$B$19+0)/100)*(1-CHOOSE(ArtifactsInput!$N$40+1,5,6,7,8,9,10)/100)^(ArtifactsInput!$M$40-ArtifactsInput!$M$40)))/100)))*(1+(Inputs!$B$24+((C1043=TRUE)*(F1043-Calc!F26))+B1053)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1032=TRUE,F1032,0)/100)*(1+(IF(Skills!A3="EIGHT_LEGS_EASTON",Inputs!$B$17+((C1040=TRUE)*(F1040-Calc!F23))+((C1044=TRUE)*(F1044-Calc!F27))+(((IF(AND(ArtifactsInput!$M$42,((Inputs!$B$9+((C1036=TRUE)*(F1036-Calc!F19))+B1047+(ArtifactsInput!$M$24-ArtifactsInput!$M$24)*CHOOSE(ArtifactsInput!$N$24+1,10,12,14,16,18,20)+IF(ArtifactsInput!$M$10,CHOOSE(ArtifactsInput!$N$10+1,15,18,21,24,27,30)*(IF(Inputs!$B$38="pvp",MIN(15,15)/15,IF(AND(Inputs!$B$38&lt;&gt;"pvp",Inputs!$B$43&gt;0),MIN(15,Inputs!$B$43)/(Inputs!$B$43),0))),0)))&gt;=100),MIN(100,((Inputs!$B$9+((C1036=TRUE)*(F1036-Calc!F19))+B1047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1036=TRUE)*(F1036-Calc!F19))+B1047+(ArtifactsInput!$M$24-ArtifactsInput!$M$24)*CHOOSE(ArtifactsInput!$N$24+1,10,12,14,16,18,20)+IF(ArtifactsInput!$M$10,CHOOSE(ArtifactsInput!$N$10+1,15,18,21,24,27,30)*(IF(Inputs!$B$38="pvp",MIN(15,15)/15,IF(AND(Inputs!$B$38&lt;&gt;"pvp",Inputs!$B$43&gt;0),MIN(15,Inputs!$B$43)/(Inputs!$B$43),0))),0)))&gt;=100),CHOOSE(ArtifactsInput!$N$42+1,40,48,56,64,72,80),0))))/100)*((1+(((C1034=TRUE)*F1034)+((C1041=TRUE)*(F1041-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1020)</f>
        <v/>
      </c>
      <c r="L1020">
        <f>K1020*(MIN(Inputs!$B$22+((C1039=TRUE)*(F1039-Calc!F22)),(Inputs!$B$23+0+(IF(ArtifactsInput!$M$15,CHOOSE(ArtifactsInput!$N$15+1,25,30,35,40,45,50)/100*(Inputs!$B$11-Inputs!$B$11),0))))/100+(Inputs!$B$23+0+(IF(ArtifactsInput!$M$15,CHOOSE(ArtifactsInput!$N$15+1,25,30,35,40,45,50)/100*(Inputs!$B$11-Inputs!$B$11),0)))/100)/2</f>
        <v/>
      </c>
      <c r="M1020">
        <f>L1020*(1+(Inputs!$B$10+((C1042=TRUE)*(F1042-Calc!F25))+B1052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0">
        <f>L1020*(1-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1020*(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0">
        <f>(1-Summary!$B$11)*T1020+Summary!$B$11*V1020</f>
        <v/>
      </c>
      <c r="P1020">
        <f>IF(B1057=0,0,O1020/B1057)</f>
        <v/>
      </c>
      <c r="Q1020">
        <f>IFERROR(1/(IF(Inputs!$B$38="pvp",15,MAX(0.1,Skills!D3-IF(Skills!E3=TRUE,Inputs!$B$32,0)))*(1-IF(AND(ArtifactsInput!$M$27,Inputs!$B$4="Chapter Hunt"),CHOOSE(ArtifactsInput!$N$27+1,20,24,28,32,36,40),0)/100)),0)</f>
        <v/>
      </c>
      <c r="R1020">
        <f>IF(AND(Inputs!$B$38&lt;&gt;"pvp",Inputs!$B$43&gt;0),IF(MAX(0,Inputs!$B$43-B1054)&lt;=0,0,(INT(MAX(0,Inputs!$B$43-B1054)/(IF(Inputs!$B$38="pvp",15,MAX(0.1,Skills!D3-IF(Skills!E3=TRUE,Inputs!$B$32,0)))*(1-IF(AND(ArtifactsInput!$M$27,Inputs!$B$4="Chapter Hunt"),CHOOSE(ArtifactsInput!$N$27+1,20,24,28,32,36,40),0)/100)))+1)),0)</f>
        <v/>
      </c>
      <c r="S1020">
        <f>IFERROR(O1020/N1020,0)</f>
        <v/>
      </c>
      <c r="T1020">
        <f>IF(C1020,(H1020*N1020*IF(AND(Inputs!$B$38&lt;&gt;"pvp",Inputs!$B$43&gt;0),((Skills!G3*((R1020-1)*IF(Skills!H3&gt;0,Skills!I3/Skills!H3,1)+IF(Skills!H3&gt;0,MIN(Skills!I3,MAX(0,MAX(0,Inputs!$B$43-B1054)-((R1020-1)*(IF(Inputs!$B$38="pvp",15,MAX(0.1,Skills!D3-IF(Skills!E3=TRUE,Inputs!$B$32,0)))*(1-IF(AND(ArtifactsInput!$M$27,Inputs!$B$4="Chapter Hunt"),CHOOSE(ArtifactsInput!$N$27+1,20,24,28,32,36,40),0)/100)))))/Skills!H3,1)))/Inputs!$B$43),G1020*Q1020)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1020*(1-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1020*(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1020*(1-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1020*(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20">
        <f>INDEX(FactorTable!$B$2:$Y$301, MATCH(ROUND(MIN(300,MAX(1,U1019)),0), FactorTable!$A$2:$A$301,0), 22)</f>
        <v/>
      </c>
      <c r="V1020">
        <f>IF(C1020,(H1020*N1020*IF(AND(Inputs!$B$38&lt;&gt;"pvp",Inputs!$B$43&gt;0),((Skills!G3*((R1020-1)*IF(Skills!H3&gt;0,Skills!I3/Skills!H3,1)+IF(Skills!H3&gt;0,MIN(Skills!I3,MAX(0,MAX(0,Inputs!$B$43-B1054)-((R1020-1)*(IF(Inputs!$B$38="pvp",15,MAX(0.1,Skills!D3-IF(Skills!E3=TRUE,Inputs!$B$32,0)))*(1-IF(AND(ArtifactsInput!$M$27,Inputs!$B$4="Chapter Hunt"),CHOOSE(ArtifactsInput!$N$27+1,20,24,28,32,36,40),0)/100)))))/Skills!H3,1)))/Inputs!$B$43),G1020*Q1020))*IF(Inputs!$B$38="pvp",1,(1+(Inputs!$B$21+Skills!Q3+(IF(ArtifactsInput!$M$33,CHOOSE(ArtifactsInput!$N$33+1,30,36,42,48,54,60)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1">
      <c r="A1021">
        <f>Skills!A4</f>
        <v/>
      </c>
      <c r="B1021">
        <f>Skills!B4</f>
        <v/>
      </c>
      <c r="C1021">
        <f>Inputs!$B$3&gt;=40</f>
        <v/>
      </c>
      <c r="D1021">
        <f>IF(Skills!C4=1,60+Inputs!$B$25+Inputs!$B$29,IF(Skills!C4=2,90+Inputs!$B$26+Inputs!$B$29,IF(Skills!C4=3,120+Inputs!$B$27+Inputs!$B$29,MAX(0,(Inputs!$B$3-100)*3)+Inputs!$B$28+Inputs!$B$29)))</f>
        <v/>
      </c>
      <c r="E1021">
        <f>INDEX(FactorTable!$B$2:$Y$301, MATCH(ROUND(MIN(300,MAX(1,D1021)),0), FactorTable!$A$2:$A$301,0), Skills!M4+1)</f>
        <v/>
      </c>
      <c r="F1021">
        <f>IF(Skills!N4=TRUE,(Skills!L4/10)*(E1021/1000),Skills!L4/10)+Skills!O4</f>
        <v/>
      </c>
      <c r="G1021">
        <f>Skills!G4*IF(Skills!H4&gt;0,Skills!I4/Skills!H4,1)</f>
        <v/>
      </c>
      <c r="H1021">
        <f>1-(1-Skills!J4/100)^Skills!K4</f>
        <v/>
      </c>
      <c r="I1021" t="inlineStr">
        <is>
          <t>1</t>
        </is>
      </c>
      <c r="J1021">
        <f>((Inputs!$B$6*(1+(Inputs!$B$7+1)/100))+(((Inputs!$B$12*(1+Inputs!$B$13/100))-(Inputs!$B$12*(1+Inputs!$B$13/100)))+0.25*(Inputs!$B$14-Inputs!$B$14))*(1+(Inputs!$B$7+1)/100))*(F1021/100)</f>
        <v/>
      </c>
      <c r="K1021">
        <f>J1021*(1+((Inputs!$B$12*(1+Inputs!$B$13/100))*0.01+Inputs!$B$14*0.0025)/100)*(1+Inputs!$B$15/100)*(1+Inputs!$B$16/100)*(5000/(6000+Inputs!$B$42*(1-(100*(1-(1-(Inputs!$B$19+0)/100)*(1-CHOOSE(ArtifactsInput!$N$40+1,5,6,7,8,9,10)/100)^(ArtifactsInput!$M$40-ArtifactsInput!$M$40)))/100)))*(1+(Inputs!$B$24+((C1043=TRUE)*(F1043-Calc!F26))+B1053)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1033=TRUE,F1033,0)/100)*(1+(IF(Skills!A4="EIGHT_LEGS_EASTON",Inputs!$B$17+((C1040=TRUE)*(F1040-Calc!F23))+((C1044=TRUE)*(F1044-Calc!F27))+(((IF(AND(ArtifactsInput!$M$42,((Inputs!$B$9+((C1036=TRUE)*(F1036-Calc!F19))+B1047+(ArtifactsInput!$M$24-ArtifactsInput!$M$24)*CHOOSE(ArtifactsInput!$N$24+1,10,12,14,16,18,20)+IF(ArtifactsInput!$M$10,CHOOSE(ArtifactsInput!$N$10+1,15,18,21,24,27,30)*(IF(Inputs!$B$38="pvp",MIN(15,15)/15,IF(AND(Inputs!$B$38&lt;&gt;"pvp",Inputs!$B$43&gt;0),MIN(15,Inputs!$B$43)/(Inputs!$B$43),0))),0)))&gt;=100),MIN(100,((Inputs!$B$9+((C1036=TRUE)*(F1036-Calc!F19))+B1047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1036=TRUE)*(F1036-Calc!F19))+B1047+(ArtifactsInput!$M$24-ArtifactsInput!$M$24)*CHOOSE(ArtifactsInput!$N$24+1,10,12,14,16,18,20)+IF(ArtifactsInput!$M$10,CHOOSE(ArtifactsInput!$N$10+1,15,18,21,24,27,30)*(IF(Inputs!$B$38="pvp",MIN(15,15)/15,IF(AND(Inputs!$B$38&lt;&gt;"pvp",Inputs!$B$43&gt;0),MIN(15,Inputs!$B$43)/(Inputs!$B$43),0))),0)))&gt;=100),CHOOSE(ArtifactsInput!$N$42+1,40,48,56,64,72,80),0))))/100)*((1+(((C1034=TRUE)*F1034)+((C1041=TRUE)*(F1041-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1021)</f>
        <v/>
      </c>
      <c r="L1021">
        <f>K1021*(MIN(Inputs!$B$22+((C1039=TRUE)*(F1039-Calc!F22)),(Inputs!$B$23+0+(IF(ArtifactsInput!$M$15,CHOOSE(ArtifactsInput!$N$15+1,25,30,35,40,45,50)/100*(Inputs!$B$11-Inputs!$B$11),0))))/100+(Inputs!$B$23+0+(IF(ArtifactsInput!$M$15,CHOOSE(ArtifactsInput!$N$15+1,25,30,35,40,45,50)/100*(Inputs!$B$11-Inputs!$B$11),0)))/100)/2</f>
        <v/>
      </c>
      <c r="M1021">
        <f>L1021*(1+(Inputs!$B$10+((C1042=TRUE)*(F1042-Calc!F25))+B1052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1">
        <f>L1021*(1-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1">
        <f>(1-Summary!$B$11)*T1021+Summary!$B$11*V1021</f>
        <v/>
      </c>
      <c r="P1021">
        <f>IF(B1057=0,0,O1021/B1057)</f>
        <v/>
      </c>
      <c r="Q1021">
        <f>IFERROR(1/(IF(Inputs!$B$38="pvp",15,MAX(0.1,Skills!D4-IF(Skills!E4=TRUE,Inputs!$B$32,0)))*(1-IF(AND(ArtifactsInput!$M$27,Inputs!$B$4="Chapter Hunt"),CHOOSE(ArtifactsInput!$N$27+1,20,24,28,32,36,40),0)/100)),0)</f>
        <v/>
      </c>
      <c r="R1021">
        <f>IF(AND(Inputs!$B$38&lt;&gt;"pvp",Inputs!$B$43&gt;0),IF(MAX(0,Inputs!$B$43-B1054)&lt;=0,0,(INT(MAX(0,Inputs!$B$43-B1054)/(IF(Inputs!$B$38="pvp",15,MAX(0.1,Skills!D4-IF(Skills!E4=TRUE,Inputs!$B$32,0)))*(1-IF(AND(ArtifactsInput!$M$27,Inputs!$B$4="Chapter Hunt"),CHOOSE(ArtifactsInput!$N$27+1,20,24,28,32,36,40),0)/100)))+1)),0)</f>
        <v/>
      </c>
      <c r="S1021">
        <f>IFERROR(O1021/N1021,0)</f>
        <v/>
      </c>
      <c r="T1021">
        <f>IF(C1021,(H1021*N1021*IF(AND(Inputs!$B$38&lt;&gt;"pvp",Inputs!$B$43&gt;0),((Skills!G4*((R1021-1)*IF(Skills!H4&gt;0,Skills!I4/Skills!H4,1)+IF(Skills!H4&gt;0,MIN(Skills!I4,MAX(0,MAX(0,Inputs!$B$43-B1054)-((R1021-1)*(IF(Inputs!$B$38="pvp",15,MAX(0.1,Skills!D4-IF(Skills!E4=TRUE,Inputs!$B$32,0)))*(1-IF(AND(ArtifactsInput!$M$27,Inputs!$B$4="Chapter Hunt"),CHOOSE(ArtifactsInput!$N$27+1,20,24,28,32,36,40),0)/100)))))/Skills!H4,1)))/Inputs!$B$43),G1021*Q1021)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1021*(1-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1021*(1-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21">
        <f>290*U1020/1000</f>
        <v/>
      </c>
      <c r="V1021">
        <f>IF(C1021,(H1021*N1021*IF(AND(Inputs!$B$38&lt;&gt;"pvp",Inputs!$B$43&gt;0),((Skills!G4*((R1021-1)*IF(Skills!H4&gt;0,Skills!I4/Skills!H4,1)+IF(Skills!H4&gt;0,MIN(Skills!I4,MAX(0,MAX(0,Inputs!$B$43-B1054)-((R1021-1)*(IF(Inputs!$B$38="pvp",15,MAX(0.1,Skills!D4-IF(Skills!E4=TRUE,Inputs!$B$32,0)))*(1-IF(AND(ArtifactsInput!$M$27,Inputs!$B$4="Chapter Hunt"),CHOOSE(ArtifactsInput!$N$27+1,20,24,28,32,36,40),0)/100)))))/Skills!H4,1)))/Inputs!$B$43),G1021*Q1021))*IF(Inputs!$B$38="pvp",1,(1+(Inputs!$B$21+Skills!Q4+(IF(ArtifactsInput!$M$33,CHOOSE(ArtifactsInput!$N$33+1,30,36,42,48,54,60)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2">
      <c r="A1022">
        <f>Skills!A5</f>
        <v/>
      </c>
      <c r="B1022">
        <f>Skills!B5</f>
        <v/>
      </c>
      <c r="C1022">
        <f>Inputs!$B$3&gt;=45</f>
        <v/>
      </c>
      <c r="D1022">
        <f>IF(Skills!C5=1,60+Inputs!$B$25+Inputs!$B$29,IF(Skills!C5=2,90+Inputs!$B$26+Inputs!$B$29,IF(Skills!C5=3,120+Inputs!$B$27+Inputs!$B$29,MAX(0,(Inputs!$B$3-100)*3)+Inputs!$B$28+Inputs!$B$29)))</f>
        <v/>
      </c>
      <c r="E1022">
        <f>INDEX(FactorTable!$B$2:$Y$301, MATCH(ROUND(MIN(300,MAX(1,D1022)),0), FactorTable!$A$2:$A$301,0), Skills!M5+1)</f>
        <v/>
      </c>
      <c r="F1022">
        <f>IF(Skills!N5=TRUE,(Skills!L5/10)*(E1022/1000),Skills!L5/10)+Skills!O5</f>
        <v/>
      </c>
      <c r="G1022">
        <f>Skills!G5*IF(Skills!H5&gt;0,Skills!I5/Skills!H5,1)</f>
        <v/>
      </c>
      <c r="H1022">
        <f>1-(1-Skills!J5/100)^Skills!K5</f>
        <v/>
      </c>
      <c r="I1022" t="inlineStr">
        <is>
          <t>1</t>
        </is>
      </c>
      <c r="J1022">
        <f>((Inputs!$B$6*(1+(Inputs!$B$7+1)/100))+(((Inputs!$B$12*(1+Inputs!$B$13/100))-(Inputs!$B$12*(1+Inputs!$B$13/100)))+0.25*(Inputs!$B$14-Inputs!$B$14))*(1+(Inputs!$B$7+1)/100))*(F1022/100)</f>
        <v/>
      </c>
      <c r="K1022">
        <f>J1022*(1+((Inputs!$B$12*(1+Inputs!$B$13/100))*0.01+Inputs!$B$14*0.0025)/100)*(1+Inputs!$B$15/100)*(1+Inputs!$B$16/100)*(5000/(6000+Inputs!$B$42*(1-(100*(1-(1-(Inputs!$B$19+0)/100)*(1-CHOOSE(ArtifactsInput!$N$40+1,5,6,7,8,9,10)/100)^(ArtifactsInput!$M$40-ArtifactsInput!$M$40)))/100)))*(1+(Inputs!$B$24+((C1043=TRUE)*(F1043-Calc!F26))+B1053)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1033=TRUE,F1033,0)/100)*(1+(IF(Skills!A5="EIGHT_LEGS_EASTON",Inputs!$B$17+((C1040=TRUE)*(F1040-Calc!F23))+((C1044=TRUE)*(F1044-Calc!F27))+(((IF(AND(ArtifactsInput!$M$42,((Inputs!$B$9+((C1036=TRUE)*(F1036-Calc!F19))+B1047+(ArtifactsInput!$M$24-ArtifactsInput!$M$24)*CHOOSE(ArtifactsInput!$N$24+1,10,12,14,16,18,20)+IF(ArtifactsInput!$M$10,CHOOSE(ArtifactsInput!$N$10+1,15,18,21,24,27,30)*(IF(Inputs!$B$38="pvp",MIN(15,15)/15,IF(AND(Inputs!$B$38&lt;&gt;"pvp",Inputs!$B$43&gt;0),MIN(15,Inputs!$B$43)/(Inputs!$B$43),0))),0)))&gt;=100),MIN(100,((Inputs!$B$9+((C1036=TRUE)*(F1036-Calc!F19))+B1047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1036=TRUE)*(F1036-Calc!F19))+B1047+(ArtifactsInput!$M$24-ArtifactsInput!$M$24)*CHOOSE(ArtifactsInput!$N$24+1,10,12,14,16,18,20)+IF(ArtifactsInput!$M$10,CHOOSE(ArtifactsInput!$N$10+1,15,18,21,24,27,30)*(IF(Inputs!$B$38="pvp",MIN(15,15)/15,IF(AND(Inputs!$B$38&lt;&gt;"pvp",Inputs!$B$43&gt;0),MIN(15,Inputs!$B$43)/(Inputs!$B$43),0))),0)))&gt;=100),CHOOSE(ArtifactsInput!$N$42+1,40,48,56,64,72,80),0))))/100)*((1+(((C1034=TRUE)*F1034)+((C1041=TRUE)*(F1041-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1022)</f>
        <v/>
      </c>
      <c r="L1022">
        <f>K1022*(MIN(Inputs!$B$22+((C1039=TRUE)*(F1039-Calc!F22)),(Inputs!$B$23+0+(IF(ArtifactsInput!$M$15,CHOOSE(ArtifactsInput!$N$15+1,25,30,35,40,45,50)/100*(Inputs!$B$11-Inputs!$B$11),0))))/100+(Inputs!$B$23+0+(IF(ArtifactsInput!$M$15,CHOOSE(ArtifactsInput!$N$15+1,25,30,35,40,45,50)/100*(Inputs!$B$11-Inputs!$B$11),0)))/100)/2</f>
        <v/>
      </c>
      <c r="M1022">
        <f>L1022*(1+(Inputs!$B$10+((C1042=TRUE)*(F1042-Calc!F25))+B1052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2">
        <f>L1022*(1-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1022*(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2">
        <f>(1-Summary!$B$11)*T1022+Summary!$B$11*V1022</f>
        <v/>
      </c>
      <c r="P1022">
        <f>IF(B1057=0,0,O1022/B1057)</f>
        <v/>
      </c>
      <c r="Q1022">
        <f>IFERROR(1/(IF(Inputs!$B$38="pvp",15,MAX(0.1,Skills!D5-IF(Skills!E5=TRUE,Inputs!$B$32,0)))*(1-IF(AND(ArtifactsInput!$M$27,Inputs!$B$4="Chapter Hunt"),CHOOSE(ArtifactsInput!$N$27+1,20,24,28,32,36,40),0)/100)),0)</f>
        <v/>
      </c>
      <c r="R1022">
        <f>IF(AND(Inputs!$B$38&lt;&gt;"pvp",Inputs!$B$43&gt;0),IF(MAX(0,Inputs!$B$43-B1054)&lt;=0,0,(INT(MAX(0,Inputs!$B$43-B1054)/(IF(Inputs!$B$38="pvp",15,MAX(0.1,Skills!D5-IF(Skills!E5=TRUE,Inputs!$B$32,0)))*(1-IF(AND(ArtifactsInput!$M$27,Inputs!$B$4="Chapter Hunt"),CHOOSE(ArtifactsInput!$N$27+1,20,24,28,32,36,40),0)/100)))+1)),0)</f>
        <v/>
      </c>
      <c r="S1022">
        <f>IFERROR(O1022/N1022,0)</f>
        <v/>
      </c>
      <c r="T1022">
        <f>IF(C1022,(H1022*N1022*IF(AND(Inputs!$B$38&lt;&gt;"pvp",Inputs!$B$43&gt;0),((Skills!G5*((R1022-1)*IF(Skills!H5&gt;0,Skills!I5/Skills!H5,1)+IF(Skills!H5&gt;0,MIN(Skills!I5,MAX(0,MAX(0,Inputs!$B$43-B1054)-((R1022-1)*(IF(Inputs!$B$38="pvp",15,MAX(0.1,Skills!D5-IF(Skills!E5=TRUE,Inputs!$B$32,0)))*(1-IF(AND(ArtifactsInput!$M$27,Inputs!$B$4="Chapter Hunt"),CHOOSE(ArtifactsInput!$N$27+1,20,24,28,32,36,40),0)/100)))))/Skills!H5,1)))/Inputs!$B$43),G1022*Q1022)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1022*(1-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1022*(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1022*(1-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1022*(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2">
        <f>IF(C1022,(H1022*N1022*IF(AND(Inputs!$B$38&lt;&gt;"pvp",Inputs!$B$43&gt;0),((Skills!G5*((R1022-1)*IF(Skills!H5&gt;0,Skills!I5/Skills!H5,1)+IF(Skills!H5&gt;0,MIN(Skills!I5,MAX(0,MAX(0,Inputs!$B$43-B1054)-((R1022-1)*(IF(Inputs!$B$38="pvp",15,MAX(0.1,Skills!D5-IF(Skills!E5=TRUE,Inputs!$B$32,0)))*(1-IF(AND(ArtifactsInput!$M$27,Inputs!$B$4="Chapter Hunt"),CHOOSE(ArtifactsInput!$N$27+1,20,24,28,32,36,40),0)/100)))))/Skills!H5,1)))/Inputs!$B$43),G1022*Q1022))*IF(Inputs!$B$38="pvp",1,(1+(Inputs!$B$21+Skills!Q5+(IF(ArtifactsInput!$M$33,CHOOSE(ArtifactsInput!$N$33+1,30,36,42,48,54,60)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3">
      <c r="A1023">
        <f>Skills!A6</f>
        <v/>
      </c>
      <c r="B1023">
        <f>Skills!B6</f>
        <v/>
      </c>
      <c r="C1023">
        <f>Inputs!$B$3&gt;=63</f>
        <v/>
      </c>
      <c r="D1023">
        <f>IF(Skills!C6=1,60+Inputs!$B$25+Inputs!$B$29,IF(Skills!C6=2,90+Inputs!$B$26+Inputs!$B$29,IF(Skills!C6=3,120+Inputs!$B$27+Inputs!$B$29,MAX(0,(Inputs!$B$3-100)*3)+Inputs!$B$28+Inputs!$B$29)))</f>
        <v/>
      </c>
      <c r="E1023">
        <f>INDEX(FactorTable!$B$2:$Y$301, MATCH(ROUND(MIN(300,MAX(1,D1023)),0), FactorTable!$A$2:$A$301,0), Skills!M6+1)</f>
        <v/>
      </c>
      <c r="F1023">
        <f>IF(Skills!N6=TRUE,(Skills!L6/10)*(E1023/1000),Skills!L6/10)+Skills!O6</f>
        <v/>
      </c>
      <c r="G1023">
        <f>Skills!G6*IF(Skills!H6&gt;0,Skills!I6/Skills!H6,1)</f>
        <v/>
      </c>
      <c r="H1023">
        <f>1-(1-Skills!J6/100)^Skills!K6</f>
        <v/>
      </c>
      <c r="I1023" t="inlineStr">
        <is>
          <t>1</t>
        </is>
      </c>
      <c r="J1023">
        <f>((Inputs!$B$6*(1+(Inputs!$B$7+1)/100))+(((Inputs!$B$12*(1+Inputs!$B$13/100))-(Inputs!$B$12*(1+Inputs!$B$13/100)))+0.25*(Inputs!$B$14-Inputs!$B$14))*(1+(Inputs!$B$7+1)/100))*(F1023/100)</f>
        <v/>
      </c>
      <c r="K1023">
        <f>J1023*(1+((Inputs!$B$12*(1+Inputs!$B$13/100))*0.01+Inputs!$B$14*0.0025)/100)*(1+Inputs!$B$15/100)*(1+Inputs!$B$16/100)*(5000/(6000+Inputs!$B$42*(1-(100*(1-(1-(Inputs!$B$19+0)/100)*(1-CHOOSE(ArtifactsInput!$N$40+1,5,6,7,8,9,10)/100)^(ArtifactsInput!$M$40-ArtifactsInput!$M$40)))/100)))*(1+(Inputs!$B$24+((C1043=TRUE)*(F1043-Calc!F26))+B1053)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1032=TRUE,F1032,0)/100)*(1+(IF(Skills!A6="EIGHT_LEGS_EASTON",Inputs!$B$17+((C1040=TRUE)*(F1040-Calc!F23))+((C1044=TRUE)*(F1044-Calc!F27))+(((IF(AND(ArtifactsInput!$M$42,((Inputs!$B$9+((C1036=TRUE)*(F1036-Calc!F19))+B1047+(ArtifactsInput!$M$24-ArtifactsInput!$M$24)*CHOOSE(ArtifactsInput!$N$24+1,10,12,14,16,18,20)+IF(ArtifactsInput!$M$10,CHOOSE(ArtifactsInput!$N$10+1,15,18,21,24,27,30)*(IF(Inputs!$B$38="pvp",MIN(15,15)/15,IF(AND(Inputs!$B$38&lt;&gt;"pvp",Inputs!$B$43&gt;0),MIN(15,Inputs!$B$43)/(Inputs!$B$43),0))),0)))&gt;=100),MIN(100,((Inputs!$B$9+((C1036=TRUE)*(F1036-Calc!F19))+B1047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1036=TRUE)*(F1036-Calc!F19))+B1047+(ArtifactsInput!$M$24-ArtifactsInput!$M$24)*CHOOSE(ArtifactsInput!$N$24+1,10,12,14,16,18,20)+IF(ArtifactsInput!$M$10,CHOOSE(ArtifactsInput!$N$10+1,15,18,21,24,27,30)*(IF(Inputs!$B$38="pvp",MIN(15,15)/15,IF(AND(Inputs!$B$38&lt;&gt;"pvp",Inputs!$B$43&gt;0),MIN(15,Inputs!$B$43)/(Inputs!$B$43),0))),0)))&gt;=100),CHOOSE(ArtifactsInput!$N$42+1,40,48,56,64,72,80),0))))/100)*((1+(((C1034=TRUE)*F1034)+((C1041=TRUE)*(F1041-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1023)</f>
        <v/>
      </c>
      <c r="L1023">
        <f>K1023*(MIN(Inputs!$B$22+((C1039=TRUE)*(F1039-Calc!F22)),(Inputs!$B$23+0+(IF(ArtifactsInput!$M$15,CHOOSE(ArtifactsInput!$N$15+1,25,30,35,40,45,50)/100*(Inputs!$B$11-Inputs!$B$11),0))))/100+(Inputs!$B$23+0+(IF(ArtifactsInput!$M$15,CHOOSE(ArtifactsInput!$N$15+1,25,30,35,40,45,50)/100*(Inputs!$B$11-Inputs!$B$11),0)))/100)/2</f>
        <v/>
      </c>
      <c r="M1023">
        <f>L1023*(1+(Inputs!$B$10+((C1042=TRUE)*(F1042-Calc!F25))+B1052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3">
        <f>L1023*(1-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1023*(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3">
        <f>(1-Summary!$B$11)*T1023+Summary!$B$11*V1023</f>
        <v/>
      </c>
      <c r="P1023">
        <f>IF(B1057=0,0,O1023/B1057)</f>
        <v/>
      </c>
      <c r="Q1023">
        <f>IFERROR(1/(IF(Inputs!$B$38="pvp",15,MAX(0.1,Skills!D6-IF(Skills!E6=TRUE,Inputs!$B$32,0)))*(1-IF(AND(ArtifactsInput!$M$27,Inputs!$B$4="Chapter Hunt"),CHOOSE(ArtifactsInput!$N$27+1,20,24,28,32,36,40),0)/100)),0)</f>
        <v/>
      </c>
      <c r="R1023">
        <f>IF(AND(Inputs!$B$38&lt;&gt;"pvp",Inputs!$B$43&gt;0),IF(MAX(0,Inputs!$B$43-B1054)&lt;=0,0,(INT(MAX(0,Inputs!$B$43-B1054)/(IF(Inputs!$B$38="pvp",15,MAX(0.1,Skills!D6-IF(Skills!E6=TRUE,Inputs!$B$32,0)))*(1-IF(AND(ArtifactsInput!$M$27,Inputs!$B$4="Chapter Hunt"),CHOOSE(ArtifactsInput!$N$27+1,20,24,28,32,36,40),0)/100)))+1)),0)</f>
        <v/>
      </c>
      <c r="S1023">
        <f>IFERROR(O1023/N1023,0)</f>
        <v/>
      </c>
      <c r="T1023">
        <f>IF(C1023,(H1023*N1023*IF(AND(Inputs!$B$38&lt;&gt;"pvp",Inputs!$B$43&gt;0),((Skills!G6*((R1023-1)*IF(Skills!H6&gt;0,Skills!I6/Skills!H6,1)+IF(Skills!H6&gt;0,MIN(Skills!I6,MAX(0,MAX(0,Inputs!$B$43-B1054)-((R1023-1)*(IF(Inputs!$B$38="pvp",15,MAX(0.1,Skills!D6-IF(Skills!E6=TRUE,Inputs!$B$32,0)))*(1-IF(AND(ArtifactsInput!$M$27,Inputs!$B$4="Chapter Hunt"),CHOOSE(ArtifactsInput!$N$27+1,20,24,28,32,36,40),0)/100)))))/Skills!H6,1)))/Inputs!$B$43),G1023*Q1023)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1023*(1-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1023*(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1023*(1-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1023*(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3">
        <f>IF(C1023,(H1023*N1023*IF(AND(Inputs!$B$38&lt;&gt;"pvp",Inputs!$B$43&gt;0),((Skills!G6*((R1023-1)*IF(Skills!H6&gt;0,Skills!I6/Skills!H6,1)+IF(Skills!H6&gt;0,MIN(Skills!I6,MAX(0,MAX(0,Inputs!$B$43-B1054)-((R1023-1)*(IF(Inputs!$B$38="pvp",15,MAX(0.1,Skills!D6-IF(Skills!E6=TRUE,Inputs!$B$32,0)))*(1-IF(AND(ArtifactsInput!$M$27,Inputs!$B$4="Chapter Hunt"),CHOOSE(ArtifactsInput!$N$27+1,20,24,28,32,36,40),0)/100)))))/Skills!H6,1)))/Inputs!$B$43),G1023*Q1023))*IF(Inputs!$B$38="pvp",1,(1+(Inputs!$B$21+Skills!Q6+(IF(ArtifactsInput!$M$33,CHOOSE(ArtifactsInput!$N$33+1,30,36,42,48,54,60)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4">
      <c r="A1024">
        <f>Skills!A7</f>
        <v/>
      </c>
      <c r="B1024">
        <f>Skills!B7</f>
        <v/>
      </c>
      <c r="C1024">
        <f>Inputs!$B$3&gt;=66</f>
        <v/>
      </c>
      <c r="D1024">
        <f>IF(Skills!C7=1,60+Inputs!$B$25+Inputs!$B$29,IF(Skills!C7=2,90+Inputs!$B$26+Inputs!$B$29,IF(Skills!C7=3,120+Inputs!$B$27+Inputs!$B$29,MAX(0,(Inputs!$B$3-100)*3)+Inputs!$B$28+Inputs!$B$29)))</f>
        <v/>
      </c>
      <c r="E1024">
        <f>INDEX(FactorTable!$B$2:$Y$301, MATCH(ROUND(MIN(300,MAX(1,D1024)),0), FactorTable!$A$2:$A$301,0), Skills!M7+1)</f>
        <v/>
      </c>
      <c r="F1024">
        <f>IF(Skills!N7=TRUE,(Skills!L7/10)*(E1024/1000),Skills!L7/10)+Skills!O7</f>
        <v/>
      </c>
      <c r="G1024">
        <f>Skills!G7*IF(Skills!H7&gt;0,Skills!I7/Skills!H7,1)</f>
        <v/>
      </c>
      <c r="H1024">
        <f>1-(1-Skills!J7/100)^Skills!K7</f>
        <v/>
      </c>
      <c r="I1024" t="inlineStr">
        <is>
          <t>1</t>
        </is>
      </c>
      <c r="J1024">
        <f>((Inputs!$B$6*(1+(Inputs!$B$7+1)/100))+(((Inputs!$B$12*(1+Inputs!$B$13/100))-(Inputs!$B$12*(1+Inputs!$B$13/100)))+0.25*(Inputs!$B$14-Inputs!$B$14))*(1+(Inputs!$B$7+1)/100))*(F1024/100)</f>
        <v/>
      </c>
      <c r="K1024">
        <f>J1024*(1+((Inputs!$B$12*(1+Inputs!$B$13/100))*0.01+Inputs!$B$14*0.0025)/100)*(1+Inputs!$B$15/100)*(1+Inputs!$B$16/100)*(5000/(6000+Inputs!$B$42*(1-(100*(1-(1-(Inputs!$B$19+0)/100)*(1-CHOOSE(ArtifactsInput!$N$40+1,5,6,7,8,9,10)/100)^(ArtifactsInput!$M$40-ArtifactsInput!$M$40)))/100)))*(1+(Inputs!$B$24+((C1043=TRUE)*(F1043-Calc!F26))+B1053)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1032=TRUE,F1032,0)/100)*(1+(IF(Skills!A7="EIGHT_LEGS_EASTON",Inputs!$B$17+((C1040=TRUE)*(F1040-Calc!F23))+((C1044=TRUE)*(F1044-Calc!F27))+(((IF(AND(ArtifactsInput!$M$42,((Inputs!$B$9+((C1036=TRUE)*(F1036-Calc!F19))+B1047+(ArtifactsInput!$M$24-ArtifactsInput!$M$24)*CHOOSE(ArtifactsInput!$N$24+1,10,12,14,16,18,20)+IF(ArtifactsInput!$M$10,CHOOSE(ArtifactsInput!$N$10+1,15,18,21,24,27,30)*(IF(Inputs!$B$38="pvp",MIN(15,15)/15,IF(AND(Inputs!$B$38&lt;&gt;"pvp",Inputs!$B$43&gt;0),MIN(15,Inputs!$B$43)/(Inputs!$B$43),0))),0)))&gt;=100),MIN(100,((Inputs!$B$9+((C1036=TRUE)*(F1036-Calc!F19))+B1047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1036=TRUE)*(F1036-Calc!F19))+B1047+(ArtifactsInput!$M$24-ArtifactsInput!$M$24)*CHOOSE(ArtifactsInput!$N$24+1,10,12,14,16,18,20)+IF(ArtifactsInput!$M$10,CHOOSE(ArtifactsInput!$N$10+1,15,18,21,24,27,30)*(IF(Inputs!$B$38="pvp",MIN(15,15)/15,IF(AND(Inputs!$B$38&lt;&gt;"pvp",Inputs!$B$43&gt;0),MIN(15,Inputs!$B$43)/(Inputs!$B$43),0))),0)))&gt;=100),CHOOSE(ArtifactsInput!$N$42+1,40,48,56,64,72,80),0))))/100)*((1+(((C1034=TRUE)*F1034)+((C1041=TRUE)*(F1041-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1024)</f>
        <v/>
      </c>
      <c r="L1024">
        <f>K1024*(MIN(Inputs!$B$22+((C1039=TRUE)*(F1039-Calc!F22)),(Inputs!$B$23+0+(IF(ArtifactsInput!$M$15,CHOOSE(ArtifactsInput!$N$15+1,25,30,35,40,45,50)/100*(Inputs!$B$11-Inputs!$B$11),0))))/100+(Inputs!$B$23+0+(IF(ArtifactsInput!$M$15,CHOOSE(ArtifactsInput!$N$15+1,25,30,35,40,45,50)/100*(Inputs!$B$11-Inputs!$B$11),0)))/100)/2</f>
        <v/>
      </c>
      <c r="M1024">
        <f>L1024*(1+(Inputs!$B$10+((C1042=TRUE)*(F1042-Calc!F25))+B1052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4">
        <f>L1024*(1-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1024*(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4">
        <f>(1-Summary!$B$11)*T1024+Summary!$B$11*V1024</f>
        <v/>
      </c>
      <c r="P1024">
        <f>IF(B1057=0,0,O1024/B1057)</f>
        <v/>
      </c>
      <c r="Q1024">
        <f>IFERROR(1/(IF(Inputs!$B$38="pvp",15,MAX(0.1,Skills!D7-IF(Skills!E7=TRUE,Inputs!$B$32,0)))*(1-IF(AND(ArtifactsInput!$M$27,Inputs!$B$4="Chapter Hunt"),CHOOSE(ArtifactsInput!$N$27+1,20,24,28,32,36,40),0)/100)),0)</f>
        <v/>
      </c>
      <c r="R1024">
        <f>IF(AND(Inputs!$B$38&lt;&gt;"pvp",Inputs!$B$43&gt;0),IF(MAX(0,Inputs!$B$43-B1054)&lt;=0,0,(INT(MAX(0,Inputs!$B$43-B1054)/(IF(Inputs!$B$38="pvp",15,MAX(0.1,Skills!D7-IF(Skills!E7=TRUE,Inputs!$B$32,0)))*(1-IF(AND(ArtifactsInput!$M$27,Inputs!$B$4="Chapter Hunt"),CHOOSE(ArtifactsInput!$N$27+1,20,24,28,32,36,40),0)/100)))+1)),0)</f>
        <v/>
      </c>
      <c r="S1024">
        <f>IFERROR(O1024/N1024,0)</f>
        <v/>
      </c>
      <c r="T1024">
        <f>IF(C1024,(H1024*N1024*IF(AND(Inputs!$B$38&lt;&gt;"pvp",Inputs!$B$43&gt;0),((Skills!G7*((R1024-1)*IF(Skills!H7&gt;0,Skills!I7/Skills!H7,1)+IF(Skills!H7&gt;0,MIN(Skills!I7,MAX(0,MAX(0,Inputs!$B$43-B1054)-((R1024-1)*(IF(Inputs!$B$38="pvp",15,MAX(0.1,Skills!D7-IF(Skills!E7=TRUE,Inputs!$B$32,0)))*(1-IF(AND(ArtifactsInput!$M$27,Inputs!$B$4="Chapter Hunt"),CHOOSE(ArtifactsInput!$N$27+1,20,24,28,32,36,40),0)/100)))))/Skills!H7,1)))/Inputs!$B$43),G1024*Q1024)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1024*(1-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1024*(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1024*(1-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1024*(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4">
        <f>IF(C1024,(H1024*N1024*IF(AND(Inputs!$B$38&lt;&gt;"pvp",Inputs!$B$43&gt;0),((Skills!G7*((R1024-1)*IF(Skills!H7&gt;0,Skills!I7/Skills!H7,1)+IF(Skills!H7&gt;0,MIN(Skills!I7,MAX(0,MAX(0,Inputs!$B$43-B1054)-((R1024-1)*(IF(Inputs!$B$38="pvp",15,MAX(0.1,Skills!D7-IF(Skills!E7=TRUE,Inputs!$B$32,0)))*(1-IF(AND(ArtifactsInput!$M$27,Inputs!$B$4="Chapter Hunt"),CHOOSE(ArtifactsInput!$N$27+1,20,24,28,32,36,40),0)/100)))))/Skills!H7,1)))/Inputs!$B$43),G1024*Q1024))*IF(Inputs!$B$38="pvp",1,(1+(Inputs!$B$21+Skills!Q7+(IF(ArtifactsInput!$M$33,CHOOSE(ArtifactsInput!$N$33+1,30,36,42,48,54,60)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5">
      <c r="A1025">
        <f>Skills!A8</f>
        <v/>
      </c>
      <c r="B1025">
        <f>Skills!B8</f>
        <v/>
      </c>
      <c r="C1025">
        <f>Inputs!$B$3&gt;=100</f>
        <v/>
      </c>
      <c r="D1025">
        <f>IF(Skills!C8=1,60+Inputs!$B$25+Inputs!$B$29,IF(Skills!C8=2,90+Inputs!$B$26+Inputs!$B$29,IF(Skills!C8=3,120+Inputs!$B$27+Inputs!$B$29,MAX(0,(Inputs!$B$3-100)*3)+Inputs!$B$28+Inputs!$B$29)))</f>
        <v/>
      </c>
      <c r="E1025">
        <f>INDEX(FactorTable!$B$2:$Y$301, MATCH(ROUND(MIN(300,MAX(1,D1025)),0), FactorTable!$A$2:$A$301,0), Skills!M8+1)</f>
        <v/>
      </c>
      <c r="F1025">
        <f>IF(Skills!N8=TRUE,(Skills!L8/10)*(E1025/1000),Skills!L8/10)+Skills!O8</f>
        <v/>
      </c>
      <c r="G1025">
        <f>Skills!G8*IF(Skills!H8&gt;0,Skills!I8/Skills!H8,1)</f>
        <v/>
      </c>
      <c r="H1025">
        <f>1-(1-Skills!J8/100)^Skills!K8</f>
        <v/>
      </c>
      <c r="I1025" t="inlineStr">
        <is>
          <t>1</t>
        </is>
      </c>
      <c r="J1025">
        <f>((Inputs!$B$6*(1+(Inputs!$B$7+1)/100))+(((Inputs!$B$12*(1+Inputs!$B$13/100))-(Inputs!$B$12*(1+Inputs!$B$13/100)))+0.25*(Inputs!$B$14-Inputs!$B$14))*(1+(Inputs!$B$7+1)/100))*(F1025/100)</f>
        <v/>
      </c>
      <c r="K1025">
        <f>J1025*(1+((Inputs!$B$12*(1+Inputs!$B$13/100))*0.01+Inputs!$B$14*0.0025)/100)*(1+Inputs!$B$15/100)*(1+Inputs!$B$16/100)*(5000/(6000+Inputs!$B$42*(1-(100*(1-(1-(Inputs!$B$19+0)/100)*(1-CHOOSE(ArtifactsInput!$N$40+1,5,6,7,8,9,10)/100)^(ArtifactsInput!$M$40-ArtifactsInput!$M$40)))/100)))*(1+(Inputs!$B$24+((C1043=TRUE)*(F1043-Calc!F26))+B1053)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1040=TRUE)*(F1040-Calc!F23))+((C1044=TRUE)*(F1044-Calc!F27))+(((IF(AND(ArtifactsInput!$M$42,((Inputs!$B$9+((C1036=TRUE)*(F1036-Calc!F19))+B1047+(ArtifactsInput!$M$24-ArtifactsInput!$M$24)*CHOOSE(ArtifactsInput!$N$24+1,10,12,14,16,18,20)+IF(ArtifactsInput!$M$10,CHOOSE(ArtifactsInput!$N$10+1,15,18,21,24,27,30)*(IF(Inputs!$B$38="pvp",MIN(15,15)/15,IF(AND(Inputs!$B$38&lt;&gt;"pvp",Inputs!$B$43&gt;0),MIN(15,Inputs!$B$43)/(Inputs!$B$43),0))),0)))&gt;=100),MIN(100,((Inputs!$B$9+((C1036=TRUE)*(F1036-Calc!F19))+B1047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1036=TRUE)*(F1036-Calc!F19))+B1047+(ArtifactsInput!$M$24-ArtifactsInput!$M$24)*CHOOSE(ArtifactsInput!$N$24+1,10,12,14,16,18,20)+IF(ArtifactsInput!$M$10,CHOOSE(ArtifactsInput!$N$10+1,15,18,21,24,27,30)*(IF(Inputs!$B$38="pvp",MIN(15,15)/15,IF(AND(Inputs!$B$38&lt;&gt;"pvp",Inputs!$B$43&gt;0),MIN(15,Inputs!$B$43)/(Inputs!$B$43),0))),0)))&gt;=100),CHOOSE(ArtifactsInput!$N$42+1,40,48,56,64,72,80),0))))/100)*((1+(((C1034=TRUE)*F1034)+((C1041=TRUE)*(F1041-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1025)</f>
        <v/>
      </c>
      <c r="L1025">
        <f>K1025*(MIN(Inputs!$B$22+((C1039=TRUE)*(F1039-Calc!F22)),(Inputs!$B$23+0+(IF(ArtifactsInput!$M$15,CHOOSE(ArtifactsInput!$N$15+1,25,30,35,40,45,50)/100*(Inputs!$B$11-Inputs!$B$11),0))))/100+(Inputs!$B$23+0+(IF(ArtifactsInput!$M$15,CHOOSE(ArtifactsInput!$N$15+1,25,30,35,40,45,50)/100*(Inputs!$B$11-Inputs!$B$11),0)))/100)/2</f>
        <v/>
      </c>
      <c r="M1025">
        <f>L1025*(1+(Inputs!$B$10+((C1042=TRUE)*(F1042-Calc!F25))+B1052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5">
        <f>L1025*(1-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1025*(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5">
        <f>(1-Summary!$B$11)*T1025+Summary!$B$11*V1025</f>
        <v/>
      </c>
      <c r="P1025">
        <f>IF(B1057=0,0,O1025/B1057)</f>
        <v/>
      </c>
      <c r="Q1025">
        <f>IFERROR(1/(IF(Inputs!$B$38="pvp",15,MAX(0.1,Skills!D8-IF(Skills!E8=TRUE,Inputs!$B$32,0)))*(1-IF(AND(ArtifactsInput!$M$27,Inputs!$B$4="Chapter Hunt"),CHOOSE(ArtifactsInput!$N$27+1,20,24,28,32,36,40),0)/100)),0)</f>
        <v/>
      </c>
      <c r="R1025">
        <f>IF(AND(Inputs!$B$38&lt;&gt;"pvp",Inputs!$B$43&gt;0),IF(MAX(0,Inputs!$B$43-B1054)&lt;=0,0,(INT(MAX(0,Inputs!$B$43-B1054)/(IF(Inputs!$B$38="pvp",15,MAX(0.1,Skills!D8-IF(Skills!E8=TRUE,Inputs!$B$32,0)))*(1-IF(AND(ArtifactsInput!$M$27,Inputs!$B$4="Chapter Hunt"),CHOOSE(ArtifactsInput!$N$27+1,20,24,28,32,36,40),0)/100)))+1)),0)</f>
        <v/>
      </c>
      <c r="S1025">
        <f>IFERROR(O1025/N1025,0)</f>
        <v/>
      </c>
      <c r="T1025">
        <f>IF(C1025,(H1025*N1025*IF(AND(Inputs!$B$38&lt;&gt;"pvp",Inputs!$B$43&gt;0),((Skills!G8*((R1025-1)*IF(Skills!H8&gt;0,Skills!I8/Skills!H8,1)+IF(Skills!H8&gt;0,MIN(Skills!I8,MAX(0,MAX(0,Inputs!$B$43-B1054)-((R1025-1)*(IF(Inputs!$B$38="pvp",15,MAX(0.1,Skills!D8-IF(Skills!E8=TRUE,Inputs!$B$32,0)))*(1-IF(AND(ArtifactsInput!$M$27,Inputs!$B$4="Chapter Hunt"),CHOOSE(ArtifactsInput!$N$27+1,20,24,28,32,36,40),0)/100)))))/Skills!H8,1)))/Inputs!$B$43),G1025*Q1025)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1025*(1-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1025*(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1025*(1-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1025*(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5">
        <f>IF(C1025,(H1025*N1025*IF(AND(Inputs!$B$38&lt;&gt;"pvp",Inputs!$B$43&gt;0),((Skills!G8*((R1025-1)*IF(Skills!H8&gt;0,Skills!I8/Skills!H8,1)+IF(Skills!H8&gt;0,MIN(Skills!I8,MAX(0,MAX(0,Inputs!$B$43-B1054)-((R1025-1)*(IF(Inputs!$B$38="pvp",15,MAX(0.1,Skills!D8-IF(Skills!E8=TRUE,Inputs!$B$32,0)))*(1-IF(AND(ArtifactsInput!$M$27,Inputs!$B$4="Chapter Hunt"),CHOOSE(ArtifactsInput!$N$27+1,20,24,28,32,36,40),0)/100)))))/Skills!H8,1)))/Inputs!$B$43),G1025*Q1025))*IF(Inputs!$B$38="pvp",1,(1+(Inputs!$B$21+Skills!Q8+(IF(ArtifactsInput!$M$33,CHOOSE(ArtifactsInput!$N$33+1,30,36,42,48,54,60)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6">
      <c r="A1026">
        <f>Skills!A9</f>
        <v/>
      </c>
      <c r="B1026">
        <f>Skills!B9</f>
        <v/>
      </c>
      <c r="C1026">
        <f>Inputs!$B$3&gt;=103</f>
        <v/>
      </c>
      <c r="D1026">
        <f>IF(Skills!C9=1,60+Inputs!$B$25+Inputs!$B$29,IF(Skills!C9=2,90+Inputs!$B$26+Inputs!$B$29,IF(Skills!C9=3,120+Inputs!$B$27+Inputs!$B$29,MAX(0,(Inputs!$B$3-100)*3)+Inputs!$B$28+Inputs!$B$29)))</f>
        <v/>
      </c>
      <c r="E1026">
        <f>INDEX(FactorTable!$B$2:$Y$301, MATCH(ROUND(MIN(300,MAX(1,D1026)),0), FactorTable!$A$2:$A$301,0), Skills!M9+1)</f>
        <v/>
      </c>
      <c r="F1026">
        <f>IF(Skills!N9=TRUE,(Skills!L9/10)*(E1026/1000),Skills!L9/10)+Skills!O9</f>
        <v/>
      </c>
      <c r="G1026">
        <f>Skills!G9*IF(Skills!H9&gt;0,Skills!I9/Skills!H9,1)</f>
        <v/>
      </c>
      <c r="H1026">
        <f>1-(1-Skills!J9/100)^Skills!K9</f>
        <v/>
      </c>
      <c r="I1026" t="inlineStr">
        <is>
          <t>1</t>
        </is>
      </c>
      <c r="J1026">
        <f>((Inputs!$B$6*(1+(Inputs!$B$7+1)/100))+(((Inputs!$B$12*(1+Inputs!$B$13/100))-(Inputs!$B$12*(1+Inputs!$B$13/100)))+0.25*(Inputs!$B$14-Inputs!$B$14))*(1+(Inputs!$B$7+1)/100))*(F1026/100)</f>
        <v/>
      </c>
      <c r="K1026">
        <f>J1026*(1+((Inputs!$B$12*(1+Inputs!$B$13/100))*0.01+Inputs!$B$14*0.0025)/100)*(1+Inputs!$B$15/100)*(1+Inputs!$B$16/100)*(5000/(6000+Inputs!$B$42*(1-(100*(1-(1-(Inputs!$B$19+0)/100)*(1-CHOOSE(ArtifactsInput!$N$40+1,5,6,7,8,9,10)/100)^(ArtifactsInput!$M$40-ArtifactsInput!$M$40)))/100)))*(1+(Inputs!$B$24+((C1043=TRUE)*(F1043-Calc!F26))+B1053)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1040=TRUE)*(F1040-Calc!F23))+((C1044=TRUE)*(F1044-Calc!F27))+(((IF(AND(ArtifactsInput!$M$42,((Inputs!$B$9+((C1036=TRUE)*(F1036-Calc!F19))+B1047+(ArtifactsInput!$M$24-ArtifactsInput!$M$24)*CHOOSE(ArtifactsInput!$N$24+1,10,12,14,16,18,20)+IF(ArtifactsInput!$M$10,CHOOSE(ArtifactsInput!$N$10+1,15,18,21,24,27,30)*(IF(Inputs!$B$38="pvp",MIN(15,15)/15,IF(AND(Inputs!$B$38&lt;&gt;"pvp",Inputs!$B$43&gt;0),MIN(15,Inputs!$B$43)/(Inputs!$B$43),0))),0)))&gt;=100),MIN(100,((Inputs!$B$9+((C1036=TRUE)*(F1036-Calc!F19))+B1047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1036=TRUE)*(F1036-Calc!F19))+B1047+(ArtifactsInput!$M$24-ArtifactsInput!$M$24)*CHOOSE(ArtifactsInput!$N$24+1,10,12,14,16,18,20)+IF(ArtifactsInput!$M$10,CHOOSE(ArtifactsInput!$N$10+1,15,18,21,24,27,30)*(IF(Inputs!$B$38="pvp",MIN(15,15)/15,IF(AND(Inputs!$B$38&lt;&gt;"pvp",Inputs!$B$43&gt;0),MIN(15,Inputs!$B$43)/(Inputs!$B$43),0))),0)))&gt;=100),CHOOSE(ArtifactsInput!$N$42+1,40,48,56,64,72,80),0))))/100)*((1+(((C1034=TRUE)*F1034)+((C1041=TRUE)*(F1041-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1026)</f>
        <v/>
      </c>
      <c r="L1026">
        <f>K1026*(MIN(Inputs!$B$22+((C1039=TRUE)*(F1039-Calc!F22)),(Inputs!$B$23+0+(IF(ArtifactsInput!$M$15,CHOOSE(ArtifactsInput!$N$15+1,25,30,35,40,45,50)/100*(Inputs!$B$11-Inputs!$B$11),0))))/100+(Inputs!$B$23+0+(IF(ArtifactsInput!$M$15,CHOOSE(ArtifactsInput!$N$15+1,25,30,35,40,45,50)/100*(Inputs!$B$11-Inputs!$B$11),0)))/100)/2</f>
        <v/>
      </c>
      <c r="M1026">
        <f>L1026*(1+(Inputs!$B$10+((C1042=TRUE)*(F1042-Calc!F25))+B1052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6">
        <f>L1026*(1-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1026*(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6">
        <f>(1-Summary!$B$11)*T1026+Summary!$B$11*V1026</f>
        <v/>
      </c>
      <c r="P1026">
        <f>IF(B1057=0,0,O1026/B1057)</f>
        <v/>
      </c>
      <c r="Q1026">
        <f>IFERROR(1/(IF(Inputs!$B$38="pvp",15,MAX(0.1,Skills!D9-IF(Skills!E9=TRUE,Inputs!$B$32,0)))*(1-IF(AND(ArtifactsInput!$M$27,Inputs!$B$4="Chapter Hunt"),CHOOSE(ArtifactsInput!$N$27+1,20,24,28,32,36,40),0)/100)),0)</f>
        <v/>
      </c>
      <c r="R1026">
        <f>IF(AND(Inputs!$B$38&lt;&gt;"pvp",Inputs!$B$43&gt;0),IF(MAX(0,Inputs!$B$43-B1054)&lt;=0,0,(INT(MAX(0,Inputs!$B$43-B1054)/(IF(Inputs!$B$38="pvp",15,MAX(0.1,Skills!D9-IF(Skills!E9=TRUE,Inputs!$B$32,0)))*(1-IF(AND(ArtifactsInput!$M$27,Inputs!$B$4="Chapter Hunt"),CHOOSE(ArtifactsInput!$N$27+1,20,24,28,32,36,40),0)/100)))+1)),0)</f>
        <v/>
      </c>
      <c r="S1026">
        <f>IFERROR(O1026/N1026,0)</f>
        <v/>
      </c>
      <c r="T1026">
        <f>IF(C1026,(H1026*N1026*IF(AND(Inputs!$B$38&lt;&gt;"pvp",Inputs!$B$43&gt;0),((Skills!G9*((R1026-1)*IF(Skills!H9&gt;0,Skills!I9/Skills!H9,1)+IF(Skills!H9&gt;0,MIN(Skills!I9,MAX(0,MAX(0,Inputs!$B$43-B1054)-((R1026-1)*(IF(Inputs!$B$38="pvp",15,MAX(0.1,Skills!D9-IF(Skills!E9=TRUE,Inputs!$B$32,0)))*(1-IF(AND(ArtifactsInput!$M$27,Inputs!$B$4="Chapter Hunt"),CHOOSE(ArtifactsInput!$N$27+1,20,24,28,32,36,40),0)/100)))))/Skills!H9,1)))/Inputs!$B$43),G1026*Q1026)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1026*(1-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1026*(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1026*(1-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1026*(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6">
        <f>IF(C1026,(H1026*N1026*IF(AND(Inputs!$B$38&lt;&gt;"pvp",Inputs!$B$43&gt;0),((Skills!G9*((R1026-1)*IF(Skills!H9&gt;0,Skills!I9/Skills!H9,1)+IF(Skills!H9&gt;0,MIN(Skills!I9,MAX(0,MAX(0,Inputs!$B$43-B1054)-((R1026-1)*(IF(Inputs!$B$38="pvp",15,MAX(0.1,Skills!D9-IF(Skills!E9=TRUE,Inputs!$B$32,0)))*(1-IF(AND(ArtifactsInput!$M$27,Inputs!$B$4="Chapter Hunt"),CHOOSE(ArtifactsInput!$N$27+1,20,24,28,32,36,40),0)/100)))))/Skills!H9,1)))/Inputs!$B$43),G1026*Q1026))*IF(Inputs!$B$38="pvp",1,(1+(Inputs!$B$21+Skills!Q9+(IF(ArtifactsInput!$M$33,CHOOSE(ArtifactsInput!$N$33+1,30,36,42,48,54,60)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7">
      <c r="A1027">
        <f>Skills!A10</f>
        <v/>
      </c>
      <c r="B1027">
        <f>Skills!B10</f>
        <v/>
      </c>
      <c r="C1027">
        <f>Inputs!$B$3&gt;=113</f>
        <v/>
      </c>
      <c r="D1027">
        <f>IF(Skills!C10=1,60+Inputs!$B$25+Inputs!$B$29,IF(Skills!C10=2,90+Inputs!$B$26+Inputs!$B$29,IF(Skills!C10=3,120+Inputs!$B$27+Inputs!$B$29,MAX(0,(Inputs!$B$3-100)*3)+Inputs!$B$28+Inputs!$B$29)))</f>
        <v/>
      </c>
      <c r="E1027">
        <f>INDEX(FactorTable!$B$2:$Y$301, MATCH(ROUND(MIN(300,MAX(1,D1027)),0), FactorTable!$A$2:$A$301,0), Skills!M10+1)</f>
        <v/>
      </c>
      <c r="F1027">
        <f>IF(Skills!N10=TRUE,(Skills!L10/10)*(E1027/1000),Skills!L10/10)+Skills!O10</f>
        <v/>
      </c>
      <c r="G1027">
        <f>Skills!G10*IF(Skills!H10&gt;0,Skills!I10/Skills!H10,1)</f>
        <v/>
      </c>
      <c r="H1027">
        <f>1-(1-Skills!J10/100)^Skills!K10</f>
        <v/>
      </c>
      <c r="I1027" t="inlineStr">
        <is>
          <t>1</t>
        </is>
      </c>
      <c r="J1027">
        <f>((Inputs!$B$6*(1+(Inputs!$B$7+1)/100))+(((Inputs!$B$12*(1+Inputs!$B$13/100))-(Inputs!$B$12*(1+Inputs!$B$13/100)))+0.25*(Inputs!$B$14-Inputs!$B$14))*(1+(Inputs!$B$7+1)/100))*(F1027/100)</f>
        <v/>
      </c>
      <c r="K1027">
        <f>J1027*(1+((Inputs!$B$12*(1+Inputs!$B$13/100))*0.01+Inputs!$B$14*0.0025)/100)*(1+Inputs!$B$15/100)*(1+Inputs!$B$16/100)*(5000/(6000+Inputs!$B$42*(1-(100*(1-(1-(Inputs!$B$19+0)/100)*(1-CHOOSE(ArtifactsInput!$N$40+1,5,6,7,8,9,10)/100)^(ArtifactsInput!$M$40-ArtifactsInput!$M$40)))/100)))*(1+(Inputs!$B$24+((C1043=TRUE)*(F1043-Calc!F26))+B1053)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1040=TRUE)*(F1040-Calc!F23))+((C1044=TRUE)*(F1044-Calc!F27))+(((IF(AND(ArtifactsInput!$M$42,((Inputs!$B$9+((C1036=TRUE)*(F1036-Calc!F19))+B1047+(ArtifactsInput!$M$24-ArtifactsInput!$M$24)*CHOOSE(ArtifactsInput!$N$24+1,10,12,14,16,18,20)+IF(ArtifactsInput!$M$10,CHOOSE(ArtifactsInput!$N$10+1,15,18,21,24,27,30)*(IF(Inputs!$B$38="pvp",MIN(15,15)/15,IF(AND(Inputs!$B$38&lt;&gt;"pvp",Inputs!$B$43&gt;0),MIN(15,Inputs!$B$43)/(Inputs!$B$43),0))),0)))&gt;=100),MIN(100,((Inputs!$B$9+((C1036=TRUE)*(F1036-Calc!F19))+B1047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1036=TRUE)*(F1036-Calc!F19))+B1047+(ArtifactsInput!$M$24-ArtifactsInput!$M$24)*CHOOSE(ArtifactsInput!$N$24+1,10,12,14,16,18,20)+IF(ArtifactsInput!$M$10,CHOOSE(ArtifactsInput!$N$10+1,15,18,21,24,27,30)*(IF(Inputs!$B$38="pvp",MIN(15,15)/15,IF(AND(Inputs!$B$38&lt;&gt;"pvp",Inputs!$B$43&gt;0),MIN(15,Inputs!$B$43)/(Inputs!$B$43),0))),0)))&gt;=100),CHOOSE(ArtifactsInput!$N$42+1,40,48,56,64,72,80),0))))/100)*((1+(((C1034=TRUE)*F1034)+((C1041=TRUE)*(F1041-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1027)</f>
        <v/>
      </c>
      <c r="L1027">
        <f>K1027*(MIN(Inputs!$B$22+((C1039=TRUE)*(F1039-Calc!F22)),(Inputs!$B$23+0+(IF(ArtifactsInput!$M$15,CHOOSE(ArtifactsInput!$N$15+1,25,30,35,40,45,50)/100*(Inputs!$B$11-Inputs!$B$11),0))))/100+(Inputs!$B$23+0+(IF(ArtifactsInput!$M$15,CHOOSE(ArtifactsInput!$N$15+1,25,30,35,40,45,50)/100*(Inputs!$B$11-Inputs!$B$11),0)))/100)/2</f>
        <v/>
      </c>
      <c r="M1027">
        <f>L1027*(1+(Inputs!$B$10+((C1042=TRUE)*(F1042-Calc!F25))+B1052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7">
        <f>L1027*(1-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1027*(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7">
        <f>(1-Summary!$B$11)*T1027+Summary!$B$11*V1027</f>
        <v/>
      </c>
      <c r="P1027">
        <f>IF(B1057=0,0,O1027/B1057)</f>
        <v/>
      </c>
      <c r="Q1027">
        <f>IFERROR(1/(IF(Inputs!$B$38="pvp",15,MAX(0.1,Skills!D10-IF(Skills!E10=TRUE,Inputs!$B$32,0)))*(1-IF(AND(ArtifactsInput!$M$27,Inputs!$B$4="Chapter Hunt"),CHOOSE(ArtifactsInput!$N$27+1,20,24,28,32,36,40),0)/100)),0)</f>
        <v/>
      </c>
      <c r="R1027">
        <f>IF(AND(Inputs!$B$38&lt;&gt;"pvp",Inputs!$B$43&gt;0),IF(MAX(0,Inputs!$B$43-B1054)&lt;=0,0,(INT(MAX(0,Inputs!$B$43-B1054)/(IF(Inputs!$B$38="pvp",15,MAX(0.1,Skills!D10-IF(Skills!E10=TRUE,Inputs!$B$32,0)))*(1-IF(AND(ArtifactsInput!$M$27,Inputs!$B$4="Chapter Hunt"),CHOOSE(ArtifactsInput!$N$27+1,20,24,28,32,36,40),0)/100)))+1)),0)</f>
        <v/>
      </c>
      <c r="S1027">
        <f>IFERROR(O1027/N1027,0)</f>
        <v/>
      </c>
      <c r="T1027">
        <f>IF(C1027,(H1027*N1027*IF(AND(Inputs!$B$38&lt;&gt;"pvp",Inputs!$B$43&gt;0),((Skills!G10*((R1027-1)*IF(Skills!H10&gt;0,Skills!I10/Skills!H10,1)+IF(Skills!H10&gt;0,MIN(Skills!I10,MAX(0,MAX(0,Inputs!$B$43-B1054)-((R1027-1)*(IF(Inputs!$B$38="pvp",15,MAX(0.1,Skills!D10-IF(Skills!E10=TRUE,Inputs!$B$32,0)))*(1-IF(AND(ArtifactsInput!$M$27,Inputs!$B$4="Chapter Hunt"),CHOOSE(ArtifactsInput!$N$27+1,20,24,28,32,36,40),0)/100)))))/Skills!H10,1)))/Inputs!$B$43),G1027*Q1027)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1027*(1-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1027*(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1027*(1-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1027*(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7">
        <f>IF(C1027,(H1027*N1027*IF(AND(Inputs!$B$38&lt;&gt;"pvp",Inputs!$B$43&gt;0),((Skills!G10*((R1027-1)*IF(Skills!H10&gt;0,Skills!I10/Skills!H10,1)+IF(Skills!H10&gt;0,MIN(Skills!I10,MAX(0,MAX(0,Inputs!$B$43-B1054)-((R1027-1)*(IF(Inputs!$B$38="pvp",15,MAX(0.1,Skills!D10-IF(Skills!E10=TRUE,Inputs!$B$32,0)))*(1-IF(AND(ArtifactsInput!$M$27,Inputs!$B$4="Chapter Hunt"),CHOOSE(ArtifactsInput!$N$27+1,20,24,28,32,36,40),0)/100)))))/Skills!H10,1)))/Inputs!$B$43),G1027*Q1027))*IF(Inputs!$B$38="pvp",1,(1+(Inputs!$B$21+Skills!Q10+(IF(ArtifactsInput!$M$33,CHOOSE(ArtifactsInput!$N$33+1,30,36,42,48,54,60)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8">
      <c r="A1028">
        <f>Skills!A11</f>
        <v/>
      </c>
      <c r="B1028">
        <f>Skills!B11</f>
        <v/>
      </c>
      <c r="C1028">
        <f>Inputs!$B$3&gt;=107</f>
        <v/>
      </c>
      <c r="D1028">
        <f>IF(Skills!C11=1,60+Inputs!$B$25+Inputs!$B$29,IF(Skills!C11=2,90+Inputs!$B$26+Inputs!$B$29,IF(Skills!C11=3,120+Inputs!$B$27+Inputs!$B$29,MAX(0,(Inputs!$B$3-100)*3)+Inputs!$B$28+Inputs!$B$29)))</f>
        <v/>
      </c>
      <c r="E1028">
        <f>INDEX(FactorTable!$B$2:$Y$301, MATCH(ROUND(MIN(300,MAX(1,D1028)),0), FactorTable!$A$2:$A$301,0), Skills!M11+1)</f>
        <v/>
      </c>
      <c r="F1028">
        <f>IF(Skills!N11=TRUE,(Skills!L11/10)*(E1028/1000),Skills!L11/10)+Skills!O11</f>
        <v/>
      </c>
      <c r="G1028">
        <f>Skills!G11*IF(Skills!H11&gt;0,Skills!I11/Skills!H11,1)</f>
        <v/>
      </c>
      <c r="H1028">
        <f>1-(1-Skills!J11/100)^Skills!K11</f>
        <v/>
      </c>
      <c r="I1028" t="inlineStr">
        <is>
          <t>1</t>
        </is>
      </c>
      <c r="J1028">
        <f>((Inputs!$B$6*(1+(Inputs!$B$7+1)/100))+(((Inputs!$B$12*(1+Inputs!$B$13/100))-(Inputs!$B$12*(1+Inputs!$B$13/100)))+0.25*(Inputs!$B$14-Inputs!$B$14))*(1+(Inputs!$B$7+1)/100))*(F1028/100)</f>
        <v/>
      </c>
      <c r="K1028">
        <f>J1028*(1+((Inputs!$B$12*(1+Inputs!$B$13/100))*0.01+Inputs!$B$14*0.0025)/100)*(1+Inputs!$B$15/100)*(1+Inputs!$B$16/100)*(5000/(6000+Inputs!$B$42*(1-(100*(1-(1-(Inputs!$B$19+0)/100)*(1-CHOOSE(ArtifactsInput!$N$40+1,5,6,7,8,9,10)/100)^(ArtifactsInput!$M$40-ArtifactsInput!$M$40)))/100)))*(1+(Inputs!$B$24+((C1043=TRUE)*(F1043-Calc!F26))+B1053)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1040=TRUE)*(F1040-Calc!F23))+((C1044=TRUE)*(F1044-Calc!F27))+(((IF(AND(ArtifactsInput!$M$42,((Inputs!$B$9+((C1036=TRUE)*(F1036-Calc!F19))+B1047+(ArtifactsInput!$M$24-ArtifactsInput!$M$24)*CHOOSE(ArtifactsInput!$N$24+1,10,12,14,16,18,20)+IF(ArtifactsInput!$M$10,CHOOSE(ArtifactsInput!$N$10+1,15,18,21,24,27,30)*(IF(Inputs!$B$38="pvp",MIN(15,15)/15,IF(AND(Inputs!$B$38&lt;&gt;"pvp",Inputs!$B$43&gt;0),MIN(15,Inputs!$B$43)/(Inputs!$B$43),0))),0)))&gt;=100),MIN(100,((Inputs!$B$9+((C1036=TRUE)*(F1036-Calc!F19))+B1047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1036=TRUE)*(F1036-Calc!F19))+B1047+(ArtifactsInput!$M$24-ArtifactsInput!$M$24)*CHOOSE(ArtifactsInput!$N$24+1,10,12,14,16,18,20)+IF(ArtifactsInput!$M$10,CHOOSE(ArtifactsInput!$N$10+1,15,18,21,24,27,30)*(IF(Inputs!$B$38="pvp",MIN(15,15)/15,IF(AND(Inputs!$B$38&lt;&gt;"pvp",Inputs!$B$43&gt;0),MIN(15,Inputs!$B$43)/(Inputs!$B$43),0))),0)))&gt;=100),CHOOSE(ArtifactsInput!$N$42+1,40,48,56,64,72,80),0))))/100)*((1+(((C1034=TRUE)*F1034)+((C1041=TRUE)*(F1041-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1028)</f>
        <v/>
      </c>
      <c r="L1028">
        <f>K1028*(MIN(Inputs!$B$22+((C1039=TRUE)*(F1039-Calc!F22)),(Inputs!$B$23+0+(IF(ArtifactsInput!$M$15,CHOOSE(ArtifactsInput!$N$15+1,25,30,35,40,45,50)/100*(Inputs!$B$11-Inputs!$B$11),0))))/100+(Inputs!$B$23+0+(IF(ArtifactsInput!$M$15,CHOOSE(ArtifactsInput!$N$15+1,25,30,35,40,45,50)/100*(Inputs!$B$11-Inputs!$B$11),0)))/100)/2</f>
        <v/>
      </c>
      <c r="M1028">
        <f>L1028*(1+(Inputs!$B$10+((C1042=TRUE)*(F1042-Calc!F25))+B1052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8">
        <f>L1028*(1-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1028*(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8">
        <f>(1-Summary!$B$11)*T1028+Summary!$B$11*V1028</f>
        <v/>
      </c>
      <c r="P1028">
        <f>IF(B1057=0,0,O1028/B1057)</f>
        <v/>
      </c>
      <c r="Q1028">
        <f>IFERROR(1/(IF(Inputs!$B$38="pvp",15,MAX(0.1,Skills!D11-IF(Skills!E11=TRUE,Inputs!$B$32,0)))*(1-IF(AND(ArtifactsInput!$M$27,Inputs!$B$4="Chapter Hunt"),CHOOSE(ArtifactsInput!$N$27+1,20,24,28,32,36,40),0)/100)),0)</f>
        <v/>
      </c>
      <c r="R1028">
        <f>IF(AND(Inputs!$B$38&lt;&gt;"pvp",Inputs!$B$43&gt;0),IF(MAX(0,Inputs!$B$43-B1054)&lt;=0,0,(INT(MAX(0,Inputs!$B$43-B1054)/(IF(Inputs!$B$38="pvp",15,MAX(0.1,Skills!D11-IF(Skills!E11=TRUE,Inputs!$B$32,0)))*(1-IF(AND(ArtifactsInput!$M$27,Inputs!$B$4="Chapter Hunt"),CHOOSE(ArtifactsInput!$N$27+1,20,24,28,32,36,40),0)/100)))+1)),0)</f>
        <v/>
      </c>
      <c r="S1028">
        <f>IFERROR(O1028/N1028,0)</f>
        <v/>
      </c>
      <c r="T1028">
        <f>IF(C1028,(H1028*N1028*IF(AND(Inputs!$B$38&lt;&gt;"pvp",Inputs!$B$43&gt;0),((Skills!G11*((R1028-1)*IF(Skills!H11&gt;0,Skills!I11/Skills!H11,1)+IF(Skills!H11&gt;0,MIN(Skills!I11,MAX(0,MAX(0,Inputs!$B$43-B1054)-((R1028-1)*(IF(Inputs!$B$38="pvp",15,MAX(0.1,Skills!D11-IF(Skills!E11=TRUE,Inputs!$B$32,0)))*(1-IF(AND(ArtifactsInput!$M$27,Inputs!$B$4="Chapter Hunt"),CHOOSE(ArtifactsInput!$N$27+1,20,24,28,32,36,40),0)/100)))))/Skills!H11,1)))/Inputs!$B$43),G1028*Q1028)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1028*(1-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1028*(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1028*(1-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1028*(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8">
        <f>IF(C1028,(H1028*N1028*IF(AND(Inputs!$B$38&lt;&gt;"pvp",Inputs!$B$43&gt;0),((Skills!G11*((R1028-1)*IF(Skills!H11&gt;0,Skills!I11/Skills!H11,1)+IF(Skills!H11&gt;0,MIN(Skills!I11,MAX(0,MAX(0,Inputs!$B$43-B1054)-((R1028-1)*(IF(Inputs!$B$38="pvp",15,MAX(0.1,Skills!D11-IF(Skills!E11=TRUE,Inputs!$B$32,0)))*(1-IF(AND(ArtifactsInput!$M$27,Inputs!$B$4="Chapter Hunt"),CHOOSE(ArtifactsInput!$N$27+1,20,24,28,32,36,40),0)/100)))))/Skills!H11,1)))/Inputs!$B$43),G1028*Q1028))*IF(Inputs!$B$38="pvp",1,(1+(Inputs!$B$21+Skills!Q11+(IF(ArtifactsInput!$M$33,CHOOSE(ArtifactsInput!$N$33+1,30,36,42,48,54,60)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9">
      <c r="A1029">
        <f>Skills!A12</f>
        <v/>
      </c>
      <c r="B1029">
        <f>Skills!B12</f>
        <v/>
      </c>
      <c r="C1029">
        <f>Inputs!$B$3&gt;=110</f>
        <v/>
      </c>
      <c r="D1029">
        <f>IF(Skills!C12=1,60+Inputs!$B$25+Inputs!$B$29,IF(Skills!C12=2,90+Inputs!$B$26+Inputs!$B$29,IF(Skills!C12=3,120+Inputs!$B$27+Inputs!$B$29,MAX(0,(Inputs!$B$3-100)*3)+Inputs!$B$28+Inputs!$B$29)))</f>
        <v/>
      </c>
      <c r="E1029">
        <f>INDEX(FactorTable!$B$2:$Y$301, MATCH(ROUND(MIN(300,MAX(1,D1029)),0), FactorTable!$A$2:$A$301,0), Skills!M12+1)</f>
        <v/>
      </c>
      <c r="F1029">
        <f>IF(Skills!N12=TRUE,(Skills!L12/10)*(E1029/1000),Skills!L12/10)+Skills!O12</f>
        <v/>
      </c>
      <c r="G1029">
        <f>Skills!G12*IF(Skills!H12&gt;0,Skills!I12/Skills!H12,1)</f>
        <v/>
      </c>
      <c r="H1029">
        <f>1-(1-Skills!J12/100)^Skills!K12</f>
        <v/>
      </c>
      <c r="I1029" t="inlineStr">
        <is>
          <t>1</t>
        </is>
      </c>
      <c r="J1029">
        <f>((Inputs!$B$6*(1+(Inputs!$B$7+1)/100))+(((Inputs!$B$12*(1+Inputs!$B$13/100))-(Inputs!$B$12*(1+Inputs!$B$13/100)))+0.25*(Inputs!$B$14-Inputs!$B$14))*(1+(Inputs!$B$7+1)/100))*(F1029/100)</f>
        <v/>
      </c>
      <c r="K1029">
        <f>J1029*(1+((Inputs!$B$12*(1+Inputs!$B$13/100))*0.01+Inputs!$B$14*0.0025)/100)*(1+Inputs!$B$15/100)*(1+Inputs!$B$16/100)*(5000/(6000+Inputs!$B$42*(1-(100*(1-(1-(Inputs!$B$19+0)/100)*(1-CHOOSE(ArtifactsInput!$N$40+1,5,6,7,8,9,10)/100)^(ArtifactsInput!$M$40-ArtifactsInput!$M$40)))/100)))*(1+(Inputs!$B$24+((C1043=TRUE)*(F1043-Calc!F26))+B1053)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1040=TRUE)*(F1040-Calc!F23))+((C1044=TRUE)*(F1044-Calc!F27))+(((IF(AND(ArtifactsInput!$M$42,((Inputs!$B$9+((C1036=TRUE)*(F1036-Calc!F19))+B1047+(ArtifactsInput!$M$24-ArtifactsInput!$M$24)*CHOOSE(ArtifactsInput!$N$24+1,10,12,14,16,18,20)+IF(ArtifactsInput!$M$10,CHOOSE(ArtifactsInput!$N$10+1,15,18,21,24,27,30)*(IF(Inputs!$B$38="pvp",MIN(15,15)/15,IF(AND(Inputs!$B$38&lt;&gt;"pvp",Inputs!$B$43&gt;0),MIN(15,Inputs!$B$43)/(Inputs!$B$43),0))),0)))&gt;=100),MIN(100,((Inputs!$B$9+((C1036=TRUE)*(F1036-Calc!F19))+B1047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1036=TRUE)*(F1036-Calc!F19))+B1047+(ArtifactsInput!$M$24-ArtifactsInput!$M$24)*CHOOSE(ArtifactsInput!$N$24+1,10,12,14,16,18,20)+IF(ArtifactsInput!$M$10,CHOOSE(ArtifactsInput!$N$10+1,15,18,21,24,27,30)*(IF(Inputs!$B$38="pvp",MIN(15,15)/15,IF(AND(Inputs!$B$38&lt;&gt;"pvp",Inputs!$B$43&gt;0),MIN(15,Inputs!$B$43)/(Inputs!$B$43),0))),0)))&gt;=100),CHOOSE(ArtifactsInput!$N$42+1,40,48,56,64,72,80),0))))/100)*((1+(((C1034=TRUE)*F1034)+((C1041=TRUE)*(F1041-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1029)</f>
        <v/>
      </c>
      <c r="L1029">
        <f>K1029*(MIN(Inputs!$B$22+((C1039=TRUE)*(F1039-Calc!F22)),(Inputs!$B$23+0+(IF(ArtifactsInput!$M$15,CHOOSE(ArtifactsInput!$N$15+1,25,30,35,40,45,50)/100*(Inputs!$B$11-Inputs!$B$11),0))))/100+(Inputs!$B$23+0+(IF(ArtifactsInput!$M$15,CHOOSE(ArtifactsInput!$N$15+1,25,30,35,40,45,50)/100*(Inputs!$B$11-Inputs!$B$11),0)))/100)/2</f>
        <v/>
      </c>
      <c r="M1029">
        <f>L1029*(1+(Inputs!$B$10+((C1042=TRUE)*(F1042-Calc!F25))+B1052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9">
        <f>L1029*(1-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1029*(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9">
        <f>(1-Summary!$B$11)*T1029+Summary!$B$11*V1029</f>
        <v/>
      </c>
      <c r="P1029">
        <f>IF(B1057=0,0,O1029/B1057)</f>
        <v/>
      </c>
      <c r="Q1029">
        <f>IFERROR(1/(IF(Inputs!$B$38="pvp",15,MAX(0.1,Skills!D12-IF(Skills!E12=TRUE,Inputs!$B$32,0)))*(1-IF(AND(ArtifactsInput!$M$27,Inputs!$B$4="Chapter Hunt"),CHOOSE(ArtifactsInput!$N$27+1,20,24,28,32,36,40),0)/100)),0)</f>
        <v/>
      </c>
      <c r="R1029">
        <f>IF(AND(Inputs!$B$38&lt;&gt;"pvp",Inputs!$B$43&gt;0),IF(MAX(0,Inputs!$B$43-B1054)&lt;=0,0,(INT(MAX(0,Inputs!$B$43-B1054)/(IF(Inputs!$B$38="pvp",15,MAX(0.1,Skills!D12-IF(Skills!E12=TRUE,Inputs!$B$32,0)))*(1-IF(AND(ArtifactsInput!$M$27,Inputs!$B$4="Chapter Hunt"),CHOOSE(ArtifactsInput!$N$27+1,20,24,28,32,36,40),0)/100)))+1)),0)</f>
        <v/>
      </c>
      <c r="S1029">
        <f>IFERROR(O1029/N1029,0)</f>
        <v/>
      </c>
      <c r="T1029">
        <f>IF(C1029,(H1029*N1029*IF(AND(Inputs!$B$38&lt;&gt;"pvp",Inputs!$B$43&gt;0),((Skills!G12*((R1029-1)*IF(Skills!H12&gt;0,Skills!I12/Skills!H12,1)+IF(Skills!H12&gt;0,MIN(Skills!I12,MAX(0,MAX(0,Inputs!$B$43-B1054)-((R1029-1)*(IF(Inputs!$B$38="pvp",15,MAX(0.1,Skills!D12-IF(Skills!E12=TRUE,Inputs!$B$32,0)))*(1-IF(AND(ArtifactsInput!$M$27,Inputs!$B$4="Chapter Hunt"),CHOOSE(ArtifactsInput!$N$27+1,20,24,28,32,36,40),0)/100)))))/Skills!H12,1)))/Inputs!$B$43),G1029*Q1029)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1029*(1-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1029*(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1029*(1-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1029*(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9">
        <f>IF(C1029,(H1029*N1029*IF(AND(Inputs!$B$38&lt;&gt;"pvp",Inputs!$B$43&gt;0),((Skills!G12*((R1029-1)*IF(Skills!H12&gt;0,Skills!I12/Skills!H12,1)+IF(Skills!H12&gt;0,MIN(Skills!I12,MAX(0,MAX(0,Inputs!$B$43-B1054)-((R1029-1)*(IF(Inputs!$B$38="pvp",15,MAX(0.1,Skills!D12-IF(Skills!E12=TRUE,Inputs!$B$32,0)))*(1-IF(AND(ArtifactsInput!$M$27,Inputs!$B$4="Chapter Hunt"),CHOOSE(ArtifactsInput!$N$27+1,20,24,28,32,36,40),0)/100)))))/Skills!H12,1)))/Inputs!$B$43),G1029*Q1029))*IF(Inputs!$B$38="pvp",1,(1+(Inputs!$B$21+Skills!Q12+(IF(ArtifactsInput!$M$33,CHOOSE(ArtifactsInput!$N$33+1,30,36,42,48,54,60)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0">
      <c r="A1030">
        <f>Skills!A13</f>
        <v/>
      </c>
      <c r="B1030">
        <f>Skills!B13</f>
        <v/>
      </c>
      <c r="C1030">
        <f>Inputs!$B$3&gt;=110</f>
        <v/>
      </c>
      <c r="D1030">
        <f>IF(Skills!C13=1,60+Inputs!$B$25+Inputs!$B$29,IF(Skills!C13=2,90+Inputs!$B$26+Inputs!$B$29,IF(Skills!C13=3,120+Inputs!$B$27+Inputs!$B$29,MAX(0,(Inputs!$B$3-100)*3)+Inputs!$B$28+Inputs!$B$29)))</f>
        <v/>
      </c>
      <c r="E1030">
        <f>INDEX(FactorTable!$B$2:$Y$301, MATCH(ROUND(MIN(300,MAX(1,D1030)),0), FactorTable!$A$2:$A$301,0), Skills!M13+1)</f>
        <v/>
      </c>
      <c r="F1030">
        <f>IF(Skills!N13=TRUE,(Skills!L13/10)*(E1030/1000),Skills!L13/10)+Skills!O13</f>
        <v/>
      </c>
      <c r="G1030">
        <f>Skills!G13*IF(Skills!H13&gt;0,Skills!I13/Skills!H13,1)</f>
        <v/>
      </c>
      <c r="H1030">
        <f>1-(1-Skills!J13/100)^Skills!K13</f>
        <v/>
      </c>
      <c r="I1030" t="inlineStr">
        <is>
          <t>1</t>
        </is>
      </c>
      <c r="J1030">
        <f>((Inputs!$B$6*(1+(Inputs!$B$7+1)/100))+(((Inputs!$B$12*(1+Inputs!$B$13/100))-(Inputs!$B$12*(1+Inputs!$B$13/100)))+0.25*(Inputs!$B$14-Inputs!$B$14))*(1+(Inputs!$B$7+1)/100))*(F1030/100)</f>
        <v/>
      </c>
      <c r="K1030">
        <f>J1030*(1+((Inputs!$B$12*(1+Inputs!$B$13/100))*0.01+Inputs!$B$14*0.0025)/100)*(1+Inputs!$B$15/100)*(1+Inputs!$B$16/100)*(5000/(6000+Inputs!$B$42*(1-(100*(1-(1-(Inputs!$B$19+0)/100)*(1-CHOOSE(ArtifactsInput!$N$40+1,5,6,7,8,9,10)/100)^(ArtifactsInput!$M$40-ArtifactsInput!$M$40)))/100)))*(1+(Inputs!$B$24+((C1043=TRUE)*(F1043-Calc!F26))+B1053)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1040=TRUE)*(F1040-Calc!F23))+((C1044=TRUE)*(F1044-Calc!F27))+(((IF(AND(ArtifactsInput!$M$42,((Inputs!$B$9+((C1036=TRUE)*(F1036-Calc!F19))+B1047+(ArtifactsInput!$M$24-ArtifactsInput!$M$24)*CHOOSE(ArtifactsInput!$N$24+1,10,12,14,16,18,20)+IF(ArtifactsInput!$M$10,CHOOSE(ArtifactsInput!$N$10+1,15,18,21,24,27,30)*(IF(Inputs!$B$38="pvp",MIN(15,15)/15,IF(AND(Inputs!$B$38&lt;&gt;"pvp",Inputs!$B$43&gt;0),MIN(15,Inputs!$B$43)/(Inputs!$B$43),0))),0)))&gt;=100),MIN(100,((Inputs!$B$9+((C1036=TRUE)*(F1036-Calc!F19))+B1047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1036=TRUE)*(F1036-Calc!F19))+B1047+(ArtifactsInput!$M$24-ArtifactsInput!$M$24)*CHOOSE(ArtifactsInput!$N$24+1,10,12,14,16,18,20)+IF(ArtifactsInput!$M$10,CHOOSE(ArtifactsInput!$N$10+1,15,18,21,24,27,30)*(IF(Inputs!$B$38="pvp",MIN(15,15)/15,IF(AND(Inputs!$B$38&lt;&gt;"pvp",Inputs!$B$43&gt;0),MIN(15,Inputs!$B$43)/(Inputs!$B$43),0))),0)))&gt;=100),CHOOSE(ArtifactsInput!$N$42+1,40,48,56,64,72,80),0))))/100)*((1+(((C1034=TRUE)*F1034)+((C1041=TRUE)*(F1041-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1030)</f>
        <v/>
      </c>
      <c r="L1030">
        <f>K1030*(MIN(Inputs!$B$22+((C1039=TRUE)*(F1039-Calc!F22)),(Inputs!$B$23+0+(IF(ArtifactsInput!$M$15,CHOOSE(ArtifactsInput!$N$15+1,25,30,35,40,45,50)/100*(Inputs!$B$11-Inputs!$B$11),0))))/100+(Inputs!$B$23+0+(IF(ArtifactsInput!$M$15,CHOOSE(ArtifactsInput!$N$15+1,25,30,35,40,45,50)/100*(Inputs!$B$11-Inputs!$B$11),0)))/100)/2</f>
        <v/>
      </c>
      <c r="M1030">
        <f>L1030*(1+(Inputs!$B$10+((C1042=TRUE)*(F1042-Calc!F25))+B1052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0">
        <f>L1030*(1-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1030*(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0">
        <f>(1-Summary!$B$11)*T1030+Summary!$B$11*V1030</f>
        <v/>
      </c>
      <c r="P1030">
        <f>IF(B1057=0,0,O1030/B1057)</f>
        <v/>
      </c>
      <c r="Q1030">
        <f>IFERROR(1/(IF(Inputs!$B$38="pvp",15,MAX(0.1,Skills!D13-IF(Skills!E13=TRUE,Inputs!$B$32,0)))*(1-IF(AND(ArtifactsInput!$M$27,Inputs!$B$4="Chapter Hunt"),CHOOSE(ArtifactsInput!$N$27+1,20,24,28,32,36,40),0)/100)),0)</f>
        <v/>
      </c>
      <c r="R1030">
        <f>IF(AND(Inputs!$B$38&lt;&gt;"pvp",Inputs!$B$43&gt;0),IF(MAX(0,Inputs!$B$43-B1054)&lt;=0,0,(INT(MAX(0,Inputs!$B$43-B1054)/(IF(Inputs!$B$38="pvp",15,MAX(0.1,Skills!D13-IF(Skills!E13=TRUE,Inputs!$B$32,0)))*(1-IF(AND(ArtifactsInput!$M$27,Inputs!$B$4="Chapter Hunt"),CHOOSE(ArtifactsInput!$N$27+1,20,24,28,32,36,40),0)/100)))+1)),0)</f>
        <v/>
      </c>
      <c r="S1030">
        <f>IFERROR(O1030/N1030,0)</f>
        <v/>
      </c>
      <c r="T1030">
        <f>IF(C1030,(H1030*N1030*IF(AND(Inputs!$B$38&lt;&gt;"pvp",Inputs!$B$43&gt;0),((Skills!G13*((R1030-1)*IF(Skills!H13&gt;0,Skills!I13/Skills!H13,1)+IF(Skills!H13&gt;0,MIN(Skills!I13,MAX(0,MAX(0,Inputs!$B$43-B1054)-((R1030-1)*(IF(Inputs!$B$38="pvp",15,MAX(0.1,Skills!D13-IF(Skills!E13=TRUE,Inputs!$B$32,0)))*(1-IF(AND(ArtifactsInput!$M$27,Inputs!$B$4="Chapter Hunt"),CHOOSE(ArtifactsInput!$N$27+1,20,24,28,32,36,40),0)/100)))))/Skills!H13,1)))/Inputs!$B$43),G1030*Q1030)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1030*(1-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1030*(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1030*(1-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1030*(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0">
        <f>IF(C1030,(H1030*N1030*IF(AND(Inputs!$B$38&lt;&gt;"pvp",Inputs!$B$43&gt;0),((Skills!G13*((R1030-1)*IF(Skills!H13&gt;0,Skills!I13/Skills!H13,1)+IF(Skills!H13&gt;0,MIN(Skills!I13,MAX(0,MAX(0,Inputs!$B$43-B1054)-((R1030-1)*(IF(Inputs!$B$38="pvp",15,MAX(0.1,Skills!D13-IF(Skills!E13=TRUE,Inputs!$B$32,0)))*(1-IF(AND(ArtifactsInput!$M$27,Inputs!$B$4="Chapter Hunt"),CHOOSE(ArtifactsInput!$N$27+1,20,24,28,32,36,40),0)/100)))))/Skills!H13,1)))/Inputs!$B$43),G1030*Q1030))*IF(Inputs!$B$38="pvp",1,(1+(Inputs!$B$21+Skills!Q13+(IF(ArtifactsInput!$M$33,CHOOSE(ArtifactsInput!$N$33+1,30,36,42,48,54,60)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1">
      <c r="A1031">
        <f>Skills!A14</f>
        <v/>
      </c>
      <c r="B1031">
        <f>Skills!B14</f>
        <v/>
      </c>
      <c r="C1031">
        <f>Inputs!$B$3&gt;=125</f>
        <v/>
      </c>
      <c r="D1031">
        <f>IF(Skills!C14=1,60+Inputs!$B$25+Inputs!$B$29,IF(Skills!C14=2,90+Inputs!$B$26+Inputs!$B$29,IF(Skills!C14=3,120+Inputs!$B$27+Inputs!$B$29,MAX(0,(Inputs!$B$3-100)*3)+Inputs!$B$28+Inputs!$B$29)))</f>
        <v/>
      </c>
      <c r="E1031">
        <f>INDEX(FactorTable!$B$2:$Y$301, MATCH(ROUND(MIN(300,MAX(1,D1031)),0), FactorTable!$A$2:$A$301,0), Skills!M14+1)</f>
        <v/>
      </c>
      <c r="F1031">
        <f>IF(Skills!N14=TRUE,(Skills!L14/10)*(E1031/1000),Skills!L14/10)+Skills!O14</f>
        <v/>
      </c>
      <c r="G1031">
        <f>Skills!G14*IF(Skills!H14&gt;0,Skills!I14/Skills!H14,1)</f>
        <v/>
      </c>
      <c r="H1031">
        <f>1-(1-Skills!J14/100)^Skills!K14</f>
        <v/>
      </c>
      <c r="I1031" t="inlineStr">
        <is>
          <t>1</t>
        </is>
      </c>
      <c r="J1031">
        <f>((Inputs!$B$6*(1+(Inputs!$B$7+1)/100))+(((Inputs!$B$12*(1+Inputs!$B$13/100))-(Inputs!$B$12*(1+Inputs!$B$13/100)))+0.25*(Inputs!$B$14-Inputs!$B$14))*(1+(Inputs!$B$7+1)/100))*(F1031/100)</f>
        <v/>
      </c>
      <c r="K1031">
        <f>J1031*(1+((Inputs!$B$12*(1+Inputs!$B$13/100))*0.01+Inputs!$B$14*0.0025)/100)*(1+Inputs!$B$15/100)*(1+Inputs!$B$16/100)*(5000/(6000+Inputs!$B$42*(1-(100*(1-(1-(Inputs!$B$19+0)/100)*(1-CHOOSE(ArtifactsInput!$N$40+1,5,6,7,8,9,10)/100)^(ArtifactsInput!$M$40-ArtifactsInput!$M$40)))/100)))*(1+(Inputs!$B$24+((C1043=TRUE)*(F1043-Calc!F26))+B1053)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1040=TRUE)*(F1040-Calc!F23))+((C1044=TRUE)*(F1044-Calc!F27))+(((IF(AND(ArtifactsInput!$M$42,((Inputs!$B$9+((C1036=TRUE)*(F1036-Calc!F19))+B1047+(ArtifactsInput!$M$24-ArtifactsInput!$M$24)*CHOOSE(ArtifactsInput!$N$24+1,10,12,14,16,18,20)+IF(ArtifactsInput!$M$10,CHOOSE(ArtifactsInput!$N$10+1,15,18,21,24,27,30)*(IF(Inputs!$B$38="pvp",MIN(15,15)/15,IF(AND(Inputs!$B$38&lt;&gt;"pvp",Inputs!$B$43&gt;0),MIN(15,Inputs!$B$43)/(Inputs!$B$43),0))),0)))&gt;=100),MIN(100,((Inputs!$B$9+((C1036=TRUE)*(F1036-Calc!F19))+B1047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1036=TRUE)*(F1036-Calc!F19))+B1047+(ArtifactsInput!$M$24-ArtifactsInput!$M$24)*CHOOSE(ArtifactsInput!$N$24+1,10,12,14,16,18,20)+IF(ArtifactsInput!$M$10,CHOOSE(ArtifactsInput!$N$10+1,15,18,21,24,27,30)*(IF(Inputs!$B$38="pvp",MIN(15,15)/15,IF(AND(Inputs!$B$38&lt;&gt;"pvp",Inputs!$B$43&gt;0),MIN(15,Inputs!$B$43)/(Inputs!$B$43),0))),0)))&gt;=100),CHOOSE(ArtifactsInput!$N$42+1,40,48,56,64,72,80),0))))/100)*((1+(((C1034=TRUE)*F1034)+((C1041=TRUE)*(F1041-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1031)</f>
        <v/>
      </c>
      <c r="L1031">
        <f>K1031*(MIN(Inputs!$B$22+((C1039=TRUE)*(F1039-Calc!F22)),(Inputs!$B$23+0+(IF(ArtifactsInput!$M$15,CHOOSE(ArtifactsInput!$N$15+1,25,30,35,40,45,50)/100*(Inputs!$B$11-Inputs!$B$11),0))))/100+(Inputs!$B$23+0+(IF(ArtifactsInput!$M$15,CHOOSE(ArtifactsInput!$N$15+1,25,30,35,40,45,50)/100*(Inputs!$B$11-Inputs!$B$11),0)))/100)/2</f>
        <v/>
      </c>
      <c r="M1031">
        <f>L1031*(1+(Inputs!$B$10+((C1042=TRUE)*(F1042-Calc!F25))+B1052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1">
        <f>L1031*(1-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1">
        <f>(1-Summary!$B$11)*T1031+Summary!$B$11*V1031</f>
        <v/>
      </c>
      <c r="P1031">
        <f>IF(B1057=0,0,O1031/B1057)</f>
        <v/>
      </c>
      <c r="Q1031" t="n">
        <v>0</v>
      </c>
      <c r="R1031" t="n">
        <v>0</v>
      </c>
      <c r="S1031">
        <f>IFERROR(O1031/N1031,0)</f>
        <v/>
      </c>
      <c r="T1031">
        <f>IF(C1031,(H1031*N1031*(B1051+IF(AND(Inputs!$B$38&lt;&gt;"pvp",Inputs!$B$43&gt;0),((Skills!G8*((R1025-1)*IF(Skills!H8&gt;0,Skills!I8/Skills!H8,1)+IF(Skills!H8&gt;0,MIN(Skills!I8,MAX(0,MAX(0,Inputs!$B$43-B1054)-((R1025-1)*(IF(Inputs!$B$38="pvp",15,MAX(0.1,Skills!D8-IF(Skills!E8=TRUE,Inputs!$B$32,0)))*(1-IF(AND(ArtifactsInput!$M$27,Inputs!$B$4="Chapter Hunt"),CHOOSE(ArtifactsInput!$N$27+1,20,24,28,32,36,40),0)/100)))))/Skills!H8,1)))/Inputs!$B$43),G1025*Q1025)+IF(AND(Inputs!$B$38&lt;&gt;"pvp",Inputs!$B$43&gt;0),((Skills!G11*((R1028-1)*IF(Skills!H11&gt;0,Skills!I11/Skills!H11,1)+IF(Skills!H11&gt;0,MIN(Skills!I11,MAX(0,MAX(0,Inputs!$B$43-B1054)-((R1028-1)*(IF(Inputs!$B$38="pvp",15,MAX(0.1,Skills!D11-IF(Skills!E11=TRUE,Inputs!$B$32,0)))*(1-IF(AND(ArtifactsInput!$M$27,Inputs!$B$4="Chapter Hunt"),CHOOSE(ArtifactsInput!$N$27+1,20,24,28,32,36,40),0)/100)))))/Skills!H11,1)))/Inputs!$B$43),G1028*Q1028)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1031*(1-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1031*(1-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1">
        <f>IF(C1031,(H1031*N1031*(B1051+IF(AND(Inputs!$B$38&lt;&gt;"pvp",Inputs!$B$43&gt;0),((Skills!G8*((R1025-1)*IF(Skills!H8&gt;0,Skills!I8/Skills!H8,1)+IF(Skills!H8&gt;0,MIN(Skills!I8,MAX(0,MAX(0,Inputs!$B$43-B1054)-((R1025-1)*(IF(Inputs!$B$38="pvp",15,MAX(0.1,Skills!D8-IF(Skills!E8=TRUE,Inputs!$B$32,0)))*(1-IF(AND(ArtifactsInput!$M$27,Inputs!$B$4="Chapter Hunt"),CHOOSE(ArtifactsInput!$N$27+1,20,24,28,32,36,40),0)/100)))))/Skills!H8,1)))/Inputs!$B$43),G1025*Q1025)+IF(AND(Inputs!$B$38&lt;&gt;"pvp",Inputs!$B$43&gt;0),((Skills!G11*((R1028-1)*IF(Skills!H11&gt;0,Skills!I11/Skills!H11,1)+IF(Skills!H11&gt;0,MIN(Skills!I11,MAX(0,MAX(0,Inputs!$B$43-B1054)-((R1028-1)*(IF(Inputs!$B$38="pvp",15,MAX(0.1,Skills!D11-IF(Skills!E11=TRUE,Inputs!$B$32,0)))*(1-IF(AND(ArtifactsInput!$M$27,Inputs!$B$4="Chapter Hunt"),CHOOSE(ArtifactsInput!$N$27+1,20,24,28,32,36,40),0)/100)))))/Skills!H11,1)))/Inputs!$B$43),G1028*Q1028)))*IF(Inputs!$B$38="pvp",1,(1+(Inputs!$B$21+Skills!Q14+(IF(ArtifactsInput!$M$33,CHOOSE(ArtifactsInput!$N$33+1,30,36,42,48,54,60)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2">
      <c r="A1032">
        <f>Skills!A15</f>
        <v/>
      </c>
      <c r="B1032">
        <f>Skills!B15</f>
        <v/>
      </c>
      <c r="C1032">
        <f>Inputs!$B$3&gt;=100</f>
        <v/>
      </c>
      <c r="D1032">
        <f>IF(Skills!C15=1,60+Inputs!$B$25+Inputs!$B$29,IF(Skills!C15=2,90+Inputs!$B$26+Inputs!$B$29,IF(Skills!C15=3,120+Inputs!$B$27+Inputs!$B$29,MAX(0,(Inputs!$B$3-100)*3)+Inputs!$B$28+Inputs!$B$29)))</f>
        <v/>
      </c>
      <c r="E1032">
        <f>INDEX(FactorTable!$B$2:$Y$301, MATCH(ROUND(MIN(300,MAX(1,D1032)),0), FactorTable!$A$2:$A$301,0), Skills!M15+1)</f>
        <v/>
      </c>
      <c r="F1032">
        <f>IF(Skills!N15=TRUE,(Skills!L15/10)*(E1032/1000),Skills!L15/10)+Skills!O15</f>
        <v/>
      </c>
      <c r="G1032" t="inlineStr"/>
      <c r="H1032" t="inlineStr"/>
      <c r="I1032" t="inlineStr">
        <is>
          <t>1</t>
        </is>
      </c>
      <c r="J1032" t="inlineStr"/>
      <c r="K1032" t="inlineStr"/>
      <c r="L1032" t="inlineStr"/>
      <c r="M1032" t="inlineStr"/>
      <c r="N1032" t="inlineStr"/>
      <c r="O1032" t="inlineStr"/>
      <c r="P1032" t="inlineStr"/>
      <c r="Q1032" t="inlineStr"/>
      <c r="R1032" t="inlineStr"/>
      <c r="S1032" t="inlineStr"/>
    </row>
    <row r="1033">
      <c r="A1033">
        <f>Skills!A16</f>
        <v/>
      </c>
      <c r="B1033">
        <f>Skills!B16</f>
        <v/>
      </c>
      <c r="C1033">
        <f>Inputs!$B$3&gt;=120</f>
        <v/>
      </c>
      <c r="D1033">
        <f>IF(Skills!C16=1,60+Inputs!$B$25+Inputs!$B$29,IF(Skills!C16=2,90+Inputs!$B$26+Inputs!$B$29,IF(Skills!C16=3,120+Inputs!$B$27+Inputs!$B$29,MAX(0,(Inputs!$B$3-100)*3)+Inputs!$B$28+Inputs!$B$29)))</f>
        <v/>
      </c>
      <c r="E1033">
        <f>INDEX(FactorTable!$B$2:$Y$301, MATCH(ROUND(MIN(300,MAX(1,D1033)),0), FactorTable!$A$2:$A$301,0), Skills!M16+1)</f>
        <v/>
      </c>
      <c r="F1033">
        <f>IF(Skills!N16=TRUE,(Skills!L16/10)*(E1033/1000),Skills!L16/10)+Skills!O16</f>
        <v/>
      </c>
      <c r="G1033" t="inlineStr"/>
      <c r="H1033" t="inlineStr"/>
      <c r="I1033" t="inlineStr">
        <is>
          <t>1</t>
        </is>
      </c>
      <c r="J1033" t="inlineStr"/>
      <c r="K1033" t="inlineStr"/>
      <c r="L1033" t="inlineStr"/>
      <c r="M1033" t="inlineStr"/>
      <c r="N1033" t="inlineStr"/>
      <c r="O1033" t="inlineStr"/>
      <c r="P1033" t="inlineStr"/>
      <c r="Q1033" t="inlineStr"/>
      <c r="R1033" t="inlineStr"/>
      <c r="S1033" t="inlineStr"/>
    </row>
    <row r="1034">
      <c r="A1034">
        <f>Skills!A17</f>
        <v/>
      </c>
      <c r="B1034">
        <f>Skills!B17</f>
        <v/>
      </c>
      <c r="C1034">
        <f>Inputs!$B$3&gt;=66</f>
        <v/>
      </c>
      <c r="D1034">
        <f>IF(Skills!C17=1,60+Inputs!$B$25+Inputs!$B$29,IF(Skills!C17=2,90+Inputs!$B$26+Inputs!$B$29,IF(Skills!C17=3,120+Inputs!$B$27+Inputs!$B$29,MAX(0,(Inputs!$B$3-100)*3)+Inputs!$B$28+Inputs!$B$29)))</f>
        <v/>
      </c>
      <c r="E1034">
        <f>INDEX(FactorTable!$B$2:$Y$301, MATCH(ROUND(MIN(300,MAX(1,D1034)),0), FactorTable!$A$2:$A$301,0), Skills!M17+1)</f>
        <v/>
      </c>
      <c r="F1034">
        <f>IF(Skills!N17=TRUE,(Skills!L17/10)*(E1034/1000),Skills!L17/10)+Skills!O17</f>
        <v/>
      </c>
      <c r="G1034">
        <f>Skills!G17*IF(Skills!H17&gt;0,Skills!I17/Skills!H17,1)</f>
        <v/>
      </c>
      <c r="H1034">
        <f>1-(1-Skills!J17/100)^Skills!K17</f>
        <v/>
      </c>
      <c r="I1034" t="inlineStr">
        <is>
          <t>1</t>
        </is>
      </c>
      <c r="J1034" t="inlineStr"/>
      <c r="K1034" t="inlineStr"/>
      <c r="L1034" t="inlineStr"/>
      <c r="M1034" t="inlineStr"/>
      <c r="N1034" t="inlineStr"/>
      <c r="O1034">
        <f>(1-Summary!$B$11)*T1034+Summary!$B$11*V1034</f>
        <v/>
      </c>
      <c r="P1034">
        <f>IF(B1057=0,0,O1034/B1057)</f>
        <v/>
      </c>
      <c r="Q1034" t="n">
        <v>0</v>
      </c>
      <c r="R1034" t="n">
        <v>0</v>
      </c>
      <c r="S1034">
        <f>IFERROR(O1034/N1034,0)</f>
        <v/>
      </c>
      <c r="T1034" t="n">
        <v>0</v>
      </c>
      <c r="V1034" t="n">
        <v>0</v>
      </c>
    </row>
    <row r="1035">
      <c r="A1035">
        <f>Skills!A18</f>
        <v/>
      </c>
      <c r="B1035">
        <f>Skills!B18</f>
        <v/>
      </c>
      <c r="C1035">
        <f>Inputs!$B$3&gt;=115</f>
        <v/>
      </c>
      <c r="D1035">
        <f>IF(Skills!C18=1,60+Inputs!$B$25+Inputs!$B$29,IF(Skills!C18=2,90+Inputs!$B$26+Inputs!$B$29,IF(Skills!C18=3,120+Inputs!$B$27+Inputs!$B$29,MAX(0,(Inputs!$B$3-100)*3)+Inputs!$B$28+Inputs!$B$29)))</f>
        <v/>
      </c>
      <c r="E1035">
        <f>INDEX(FactorTable!$B$2:$Y$301, MATCH(ROUND(MIN(300,MAX(1,D1035)),0), FactorTable!$A$2:$A$301,0), Skills!M18+1)</f>
        <v/>
      </c>
      <c r="F1035">
        <f>IF(Skills!N18=TRUE,(Skills!L18/10)*(E1035/1000),Skills!L18/10)+Skills!O18</f>
        <v/>
      </c>
      <c r="G1035">
        <f>Skills!G18*IF(Skills!H18&gt;0,Skills!I18/Skills!H18,1)</f>
        <v/>
      </c>
      <c r="H1035">
        <f>1-(1-Skills!J18/100)^Skills!K18</f>
        <v/>
      </c>
      <c r="I1035" t="inlineStr">
        <is>
          <t>1</t>
        </is>
      </c>
      <c r="J1035" t="inlineStr"/>
      <c r="K1035" t="inlineStr"/>
      <c r="L1035" t="inlineStr"/>
      <c r="M1035" t="inlineStr"/>
      <c r="N1035" t="inlineStr"/>
      <c r="O1035">
        <f>(1-Summary!$B$11)*T1035+Summary!$B$11*V1035</f>
        <v/>
      </c>
      <c r="P1035">
        <f>IF(B1057=0,0,O1035/B1057)</f>
        <v/>
      </c>
      <c r="Q1035" t="n">
        <v>0</v>
      </c>
      <c r="R1035" t="n">
        <v>0</v>
      </c>
      <c r="S1035">
        <f>IFERROR(O1035/N1035,0)</f>
        <v/>
      </c>
      <c r="T1035" t="n">
        <v>0</v>
      </c>
      <c r="V1035" t="n">
        <v>0</v>
      </c>
    </row>
    <row r="1036">
      <c r="A1036">
        <f>Skills!A19</f>
        <v/>
      </c>
      <c r="B1036">
        <f>Skills!B19</f>
        <v/>
      </c>
      <c r="C1036">
        <f>Inputs!$B$3&gt;=15</f>
        <v/>
      </c>
      <c r="D1036">
        <f>IF(Skills!C19=1,60+Inputs!$B$25+Inputs!$B$29,IF(Skills!C19=2,90+Inputs!$B$26+Inputs!$B$29,IF(Skills!C19=3,120+Inputs!$B$27+Inputs!$B$29,MAX(0,(Inputs!$B$3-100)*3)+Inputs!$B$28+Inputs!$B$29)))</f>
        <v/>
      </c>
      <c r="E1036">
        <f>INDEX(FactorTable!$B$2:$Y$301, MATCH(ROUND(MIN(300,MAX(1,D1036)),0), FactorTable!$A$2:$A$301,0), Skills!M19+1)</f>
        <v/>
      </c>
      <c r="F1036">
        <f>IF(Skills!N19=TRUE,(Skills!L19/10)*(E1036/1000),Skills!L19/10)+Skills!O19</f>
        <v/>
      </c>
      <c r="G1036">
        <f>Skills!G19*IF(Skills!H19&gt;0,Skills!I19/Skills!H19,1)</f>
        <v/>
      </c>
      <c r="H1036">
        <f>1-(1-Skills!J19/100)^Skills!K19</f>
        <v/>
      </c>
      <c r="I1036" t="inlineStr">
        <is>
          <t>1</t>
        </is>
      </c>
      <c r="J1036" t="inlineStr"/>
      <c r="K1036" t="inlineStr"/>
      <c r="L1036" t="inlineStr"/>
      <c r="M1036" t="inlineStr"/>
      <c r="N1036" t="inlineStr"/>
      <c r="O1036">
        <f>(1-Summary!$B$11)*T1036+Summary!$B$11*V1036</f>
        <v/>
      </c>
      <c r="P1036">
        <f>IF(B1057=0,0,O1036/B1057)</f>
        <v/>
      </c>
      <c r="Q1036" t="n">
        <v>0</v>
      </c>
      <c r="R1036" t="n">
        <v>0</v>
      </c>
      <c r="S1036">
        <f>IFERROR(O1036/N1036,0)</f>
        <v/>
      </c>
      <c r="T1036" t="n">
        <v>0</v>
      </c>
      <c r="V1036" t="n">
        <v>0</v>
      </c>
    </row>
    <row r="1037">
      <c r="A1037">
        <f>Skills!A20</f>
        <v/>
      </c>
      <c r="B1037">
        <f>Skills!B20</f>
        <v/>
      </c>
      <c r="C1037">
        <f>Inputs!$B$3&gt;=10</f>
        <v/>
      </c>
      <c r="D1037">
        <f>IF(Skills!C20=1,60+Inputs!$B$25+Inputs!$B$29,IF(Skills!C20=2,90+Inputs!$B$26+Inputs!$B$29,IF(Skills!C20=3,120+Inputs!$B$27+Inputs!$B$29,MAX(0,(Inputs!$B$3-100)*3)+Inputs!$B$28+Inputs!$B$29)))</f>
        <v/>
      </c>
      <c r="E1037">
        <f>INDEX(FactorTable!$B$2:$Y$301, MATCH(ROUND(MIN(300,MAX(1,D1037)),0), FactorTable!$A$2:$A$301,0), Skills!M20+1)</f>
        <v/>
      </c>
      <c r="F1037">
        <f>IF(Skills!N20=TRUE,(Skills!L20/10)*(E1037/1000),Skills!L20/10)+Skills!O20</f>
        <v/>
      </c>
      <c r="G1037">
        <f>Skills!G20*IF(Skills!H20&gt;0,Skills!I20/Skills!H20,1)</f>
        <v/>
      </c>
      <c r="H1037">
        <f>1-(1-Skills!J20/100)^Skills!K20</f>
        <v/>
      </c>
      <c r="I1037" t="inlineStr">
        <is>
          <t>1</t>
        </is>
      </c>
      <c r="J1037" t="inlineStr"/>
      <c r="K1037" t="inlineStr"/>
      <c r="L1037" t="inlineStr"/>
      <c r="M1037" t="inlineStr"/>
      <c r="N1037" t="inlineStr"/>
      <c r="O1037">
        <f>(1-Summary!$B$11)*T1037+Summary!$B$11*V1037</f>
        <v/>
      </c>
      <c r="P1037">
        <f>IF(B1057=0,0,O1037/B1057)</f>
        <v/>
      </c>
      <c r="Q1037" t="n">
        <v>0</v>
      </c>
      <c r="R1037" t="n">
        <v>0</v>
      </c>
      <c r="S1037">
        <f>IFERROR(O1037/N1037,0)</f>
        <v/>
      </c>
      <c r="T1037" t="n">
        <v>0</v>
      </c>
      <c r="V1037" t="n">
        <v>0</v>
      </c>
    </row>
    <row r="1038">
      <c r="A1038">
        <f>Skills!A21</f>
        <v/>
      </c>
      <c r="B1038">
        <f>Skills!B21</f>
        <v/>
      </c>
      <c r="C1038">
        <f>Inputs!$B$3&gt;=33</f>
        <v/>
      </c>
      <c r="D1038">
        <f>IF(Skills!C21=1,60+Inputs!$B$25+Inputs!$B$29,IF(Skills!C21=2,90+Inputs!$B$26+Inputs!$B$29,IF(Skills!C21=3,120+Inputs!$B$27+Inputs!$B$29,MAX(0,(Inputs!$B$3-100)*3)+Inputs!$B$28+Inputs!$B$29)))</f>
        <v/>
      </c>
      <c r="E1038">
        <f>INDEX(FactorTable!$B$2:$Y$301, MATCH(ROUND(MIN(300,MAX(1,D1038)),0), FactorTable!$A$2:$A$301,0), Skills!M21+1)</f>
        <v/>
      </c>
      <c r="F1038">
        <f>IF(Skills!N21=TRUE,(Skills!L21/10)*(E1038/1000),Skills!L21/10)+Skills!O21</f>
        <v/>
      </c>
      <c r="G1038">
        <f>Skills!G21*IF(Skills!H21&gt;0,Skills!I21/Skills!H21,1)</f>
        <v/>
      </c>
      <c r="H1038">
        <f>1-(1-Skills!J21/100)^Skills!K21</f>
        <v/>
      </c>
      <c r="I1038" t="inlineStr">
        <is>
          <t>1</t>
        </is>
      </c>
      <c r="J1038" t="inlineStr"/>
      <c r="K1038" t="inlineStr"/>
      <c r="L1038" t="inlineStr"/>
      <c r="M1038" t="inlineStr"/>
      <c r="N1038" t="inlineStr"/>
      <c r="O1038">
        <f>(1-Summary!$B$11)*T1038+Summary!$B$11*V1038</f>
        <v/>
      </c>
      <c r="P1038">
        <f>IF(B1057=0,0,O1038/B1057)</f>
        <v/>
      </c>
      <c r="Q1038" t="n">
        <v>0</v>
      </c>
      <c r="R1038" t="n">
        <v>0</v>
      </c>
      <c r="S1038">
        <f>IFERROR(O1038/N1038,0)</f>
        <v/>
      </c>
      <c r="T1038" t="n">
        <v>0</v>
      </c>
      <c r="V1038" t="n">
        <v>0</v>
      </c>
    </row>
    <row r="1039">
      <c r="A1039">
        <f>Skills!A22</f>
        <v/>
      </c>
      <c r="B1039">
        <f>Skills!B22</f>
        <v/>
      </c>
      <c r="C1039">
        <f>Inputs!$B$3&gt;=43</f>
        <v/>
      </c>
      <c r="D1039">
        <f>IF(Skills!C22=1,60+Inputs!$B$25+Inputs!$B$29,IF(Skills!C22=2,90+Inputs!$B$26+Inputs!$B$29,IF(Skills!C22=3,120+Inputs!$B$27+Inputs!$B$29,MAX(0,(Inputs!$B$3-100)*3)+Inputs!$B$28+Inputs!$B$29)))</f>
        <v/>
      </c>
      <c r="E1039">
        <f>INDEX(FactorTable!$B$2:$Y$301, MATCH(ROUND(MIN(300,MAX(1,D1039)),0), FactorTable!$A$2:$A$301,0), Skills!M22+1)</f>
        <v/>
      </c>
      <c r="F1039">
        <f>IF(Skills!N22=TRUE,(Skills!L22/10)*(E1039/1000),Skills!L22/10)+Skills!O22</f>
        <v/>
      </c>
      <c r="G1039">
        <f>Skills!G22*IF(Skills!H22&gt;0,Skills!I22/Skills!H22,1)</f>
        <v/>
      </c>
      <c r="H1039">
        <f>1-(1-Skills!J22/100)^Skills!K22</f>
        <v/>
      </c>
      <c r="I1039" t="inlineStr">
        <is>
          <t>1</t>
        </is>
      </c>
      <c r="J1039" t="inlineStr"/>
      <c r="K1039" t="inlineStr"/>
      <c r="L1039" t="inlineStr"/>
      <c r="M1039" t="inlineStr"/>
      <c r="N1039" t="inlineStr"/>
      <c r="O1039">
        <f>(1-Summary!$B$11)*T1039+Summary!$B$11*V1039</f>
        <v/>
      </c>
      <c r="P1039">
        <f>IF(B1057=0,0,O1039/B1057)</f>
        <v/>
      </c>
      <c r="Q1039" t="n">
        <v>0</v>
      </c>
      <c r="R1039" t="n">
        <v>0</v>
      </c>
      <c r="S1039">
        <f>IFERROR(O1039/N1039,0)</f>
        <v/>
      </c>
      <c r="T1039" t="n">
        <v>0</v>
      </c>
      <c r="V1039" t="n">
        <v>0</v>
      </c>
    </row>
    <row r="1040">
      <c r="A1040">
        <f>Skills!A23</f>
        <v/>
      </c>
      <c r="B1040">
        <f>Skills!B23</f>
        <v/>
      </c>
      <c r="C1040">
        <f>Inputs!$B$3&gt;=38</f>
        <v/>
      </c>
      <c r="D1040">
        <f>IF(Skills!C23=1,60+Inputs!$B$25+Inputs!$B$29,IF(Skills!C23=2,90+Inputs!$B$26+Inputs!$B$29,IF(Skills!C23=3,120+Inputs!$B$27+Inputs!$B$29,MAX(0,(Inputs!$B$3-100)*3)+Inputs!$B$28+Inputs!$B$29)))</f>
        <v/>
      </c>
      <c r="E1040">
        <f>INDEX(FactorTable!$B$2:$Y$301, MATCH(ROUND(MIN(300,MAX(1,D1040)),0), FactorTable!$A$2:$A$301,0), Skills!M23+1)</f>
        <v/>
      </c>
      <c r="F1040">
        <f>IF(Skills!N23=TRUE,(Skills!L23/10)*(E1040/1000),Skills!L23/10)+Skills!O23</f>
        <v/>
      </c>
      <c r="G1040">
        <f>Skills!G23*IF(Skills!H23&gt;0,Skills!I23/Skills!H23,1)</f>
        <v/>
      </c>
      <c r="H1040">
        <f>1-(1-Skills!J23/100)^Skills!K23</f>
        <v/>
      </c>
      <c r="I1040" t="inlineStr">
        <is>
          <t>1</t>
        </is>
      </c>
      <c r="J1040" t="inlineStr"/>
      <c r="K1040" t="inlineStr"/>
      <c r="L1040" t="inlineStr"/>
      <c r="M1040" t="inlineStr"/>
      <c r="N1040" t="inlineStr"/>
      <c r="O1040">
        <f>(1-Summary!$B$11)*T1040+Summary!$B$11*V1040</f>
        <v/>
      </c>
      <c r="P1040">
        <f>IF(B1057=0,0,O1040/B1057)</f>
        <v/>
      </c>
      <c r="Q1040" t="n">
        <v>0</v>
      </c>
      <c r="R1040" t="n">
        <v>0</v>
      </c>
      <c r="S1040">
        <f>IFERROR(O1040/N1040,0)</f>
        <v/>
      </c>
      <c r="T1040" t="n">
        <v>0</v>
      </c>
      <c r="V1040" t="n">
        <v>0</v>
      </c>
    </row>
    <row r="1041">
      <c r="A1041">
        <f>Skills!A24</f>
        <v/>
      </c>
      <c r="B1041">
        <f>Skills!B24</f>
        <v/>
      </c>
      <c r="C1041">
        <f>Inputs!$B$3&gt;=40</f>
        <v/>
      </c>
      <c r="D1041">
        <f>IF(Skills!C24=1,60+Inputs!$B$25+Inputs!$B$29,IF(Skills!C24=2,90+Inputs!$B$26+Inputs!$B$29,IF(Skills!C24=3,120+Inputs!$B$27+Inputs!$B$29,MAX(0,(Inputs!$B$3-100)*3)+Inputs!$B$28+Inputs!$B$29)))</f>
        <v/>
      </c>
      <c r="E1041">
        <f>INDEX(FactorTable!$B$2:$Y$301, MATCH(ROUND(MIN(300,MAX(1,D1041)),0), FactorTable!$A$2:$A$301,0), Skills!M24+1)</f>
        <v/>
      </c>
      <c r="F1041">
        <f>IF(Skills!N24=TRUE,(Skills!L24/10)*(E1041/1000),Skills!L24/10)+Skills!O24</f>
        <v/>
      </c>
      <c r="G1041">
        <f>Skills!G24*IF(Skills!H24&gt;0,Skills!I24/Skills!H24,1)</f>
        <v/>
      </c>
      <c r="H1041">
        <f>1-(1-Skills!J24/100)^Skills!K24</f>
        <v/>
      </c>
      <c r="I1041" t="inlineStr">
        <is>
          <t>1</t>
        </is>
      </c>
      <c r="J1041" t="inlineStr"/>
      <c r="K1041" t="inlineStr"/>
      <c r="L1041" t="inlineStr"/>
      <c r="M1041" t="inlineStr"/>
      <c r="N1041" t="inlineStr"/>
      <c r="O1041">
        <f>(1-Summary!$B$11)*T1041+Summary!$B$11*V1041</f>
        <v/>
      </c>
      <c r="P1041">
        <f>IF(B1057=0,0,O1041/B1057)</f>
        <v/>
      </c>
      <c r="Q1041" t="n">
        <v>0</v>
      </c>
      <c r="R1041" t="n">
        <v>0</v>
      </c>
      <c r="S1041">
        <f>IFERROR(O1041/N1041,0)</f>
        <v/>
      </c>
      <c r="T1041" t="n">
        <v>0</v>
      </c>
      <c r="V1041" t="n">
        <v>0</v>
      </c>
    </row>
    <row r="1042">
      <c r="A1042">
        <f>Skills!A25</f>
        <v/>
      </c>
      <c r="B1042">
        <f>Skills!B25</f>
        <v/>
      </c>
      <c r="C1042">
        <f>Inputs!$B$3&gt;=72</f>
        <v/>
      </c>
      <c r="D1042">
        <f>IF(Skills!C25=1,60+Inputs!$B$25+Inputs!$B$29,IF(Skills!C25=2,90+Inputs!$B$26+Inputs!$B$29,IF(Skills!C25=3,120+Inputs!$B$27+Inputs!$B$29,MAX(0,(Inputs!$B$3-100)*3)+Inputs!$B$28+Inputs!$B$29)))</f>
        <v/>
      </c>
      <c r="E1042">
        <f>INDEX(FactorTable!$B$2:$Y$301, MATCH(ROUND(MIN(300,MAX(1,D1042)),0), FactorTable!$A$2:$A$301,0), Skills!M25+1)</f>
        <v/>
      </c>
      <c r="F1042">
        <f>IF(Skills!N25=TRUE,(Skills!L25/10)*(E1042/1000),Skills!L25/10)+Skills!O25</f>
        <v/>
      </c>
      <c r="G1042">
        <f>Skills!G25*IF(Skills!H25&gt;0,Skills!I25/Skills!H25,1)</f>
        <v/>
      </c>
      <c r="H1042">
        <f>1-(1-Skills!J25/100)^Skills!K25</f>
        <v/>
      </c>
      <c r="I1042" t="inlineStr">
        <is>
          <t>1</t>
        </is>
      </c>
      <c r="J1042" t="inlineStr"/>
      <c r="K1042" t="inlineStr"/>
      <c r="L1042" t="inlineStr"/>
      <c r="M1042" t="inlineStr"/>
      <c r="N1042" t="inlineStr"/>
      <c r="O1042">
        <f>(1-Summary!$B$11)*T1042+Summary!$B$11*V1042</f>
        <v/>
      </c>
      <c r="P1042">
        <f>IF(B1057=0,0,O1042/B1057)</f>
        <v/>
      </c>
      <c r="Q1042" t="n">
        <v>0</v>
      </c>
      <c r="R1042" t="n">
        <v>0</v>
      </c>
      <c r="S1042">
        <f>IFERROR(O1042/N1042,0)</f>
        <v/>
      </c>
      <c r="T1042" t="n">
        <v>0</v>
      </c>
      <c r="V1042" t="n">
        <v>0</v>
      </c>
    </row>
    <row r="1043">
      <c r="A1043">
        <f>Skills!A26</f>
        <v/>
      </c>
      <c r="B1043">
        <f>Skills!B26</f>
        <v/>
      </c>
      <c r="C1043">
        <f>Inputs!$B$3&gt;=75</f>
        <v/>
      </c>
      <c r="D1043">
        <f>IF(Skills!C26=1,60+Inputs!$B$25+Inputs!$B$29,IF(Skills!C26=2,90+Inputs!$B$26+Inputs!$B$29,IF(Skills!C26=3,120+Inputs!$B$27+Inputs!$B$29,MAX(0,(Inputs!$B$3-100)*3)+Inputs!$B$28+Inputs!$B$29)))</f>
        <v/>
      </c>
      <c r="E1043">
        <f>INDEX(FactorTable!$B$2:$Y$301, MATCH(ROUND(MIN(300,MAX(1,D1043)),0), FactorTable!$A$2:$A$301,0), Skills!M26+1)</f>
        <v/>
      </c>
      <c r="F1043">
        <f>IF(Skills!N26=TRUE,(Skills!L26/10)*(E1043/1000),Skills!L26/10)+Skills!O26</f>
        <v/>
      </c>
      <c r="G1043">
        <f>Skills!G26*IF(Skills!H26&gt;0,Skills!I26/Skills!H26,1)</f>
        <v/>
      </c>
      <c r="H1043">
        <f>1-(1-Skills!J26/100)^Skills!K26</f>
        <v/>
      </c>
      <c r="I1043" t="inlineStr">
        <is>
          <t>1</t>
        </is>
      </c>
      <c r="J1043" t="inlineStr"/>
      <c r="K1043" t="inlineStr"/>
      <c r="L1043" t="inlineStr"/>
      <c r="M1043" t="inlineStr"/>
      <c r="N1043" t="inlineStr"/>
      <c r="O1043">
        <f>(1-Summary!$B$11)*T1043+Summary!$B$11*V1043</f>
        <v/>
      </c>
      <c r="P1043">
        <f>IF(B1057=0,0,O1043/B1057)</f>
        <v/>
      </c>
      <c r="Q1043" t="n">
        <v>0</v>
      </c>
      <c r="R1043" t="n">
        <v>0</v>
      </c>
      <c r="S1043">
        <f>IFERROR(O1043/N1043,0)</f>
        <v/>
      </c>
      <c r="T1043" t="n">
        <v>0</v>
      </c>
      <c r="V1043" t="n">
        <v>0</v>
      </c>
    </row>
    <row r="1044">
      <c r="A1044">
        <f>Skills!A27</f>
        <v/>
      </c>
      <c r="B1044">
        <f>Skills!B27</f>
        <v/>
      </c>
      <c r="C1044">
        <f>Inputs!$B$3&gt;=117</f>
        <v/>
      </c>
      <c r="D1044">
        <f>IF(Skills!C27=1,60+Inputs!$B$25+Inputs!$B$29,IF(Skills!C27=2,90+Inputs!$B$26+Inputs!$B$29,IF(Skills!C27=3,120+Inputs!$B$27+Inputs!$B$29,MAX(0,(Inputs!$B$3-100)*3)+Inputs!$B$28+Inputs!$B$29)))</f>
        <v/>
      </c>
      <c r="E1044">
        <f>INDEX(FactorTable!$B$2:$Y$301, MATCH(ROUND(MIN(300,MAX(1,D1044)),0), FactorTable!$A$2:$A$301,0), Skills!M27+1)</f>
        <v/>
      </c>
      <c r="F1044">
        <f>IF(Skills!N27=TRUE,(Skills!L27/10)*(E1044/1000),Skills!L27/10)+Skills!O27</f>
        <v/>
      </c>
      <c r="G1044">
        <f>Skills!G27*IF(Skills!H27&gt;0,Skills!I27/Skills!H27,1)</f>
        <v/>
      </c>
      <c r="H1044">
        <f>1-(1-Skills!J27/100)^Skills!K27</f>
        <v/>
      </c>
      <c r="I1044" t="inlineStr">
        <is>
          <t>1</t>
        </is>
      </c>
      <c r="J1044" t="inlineStr"/>
      <c r="K1044" t="inlineStr"/>
      <c r="L1044" t="inlineStr"/>
      <c r="M1044" t="inlineStr"/>
      <c r="N1044" t="inlineStr"/>
      <c r="O1044">
        <f>(1-Summary!$B$11)*T1044+Summary!$B$11*V1044</f>
        <v/>
      </c>
      <c r="P1044">
        <f>IF(B1057=0,0,O1044/B1057)</f>
        <v/>
      </c>
      <c r="Q1044" t="n">
        <v>0</v>
      </c>
      <c r="R1044" t="n">
        <v>0</v>
      </c>
      <c r="S1044">
        <f>IFERROR(O1044/N1044,0)</f>
        <v/>
      </c>
      <c r="T1044" t="n">
        <v>0</v>
      </c>
      <c r="V1044" t="n">
        <v>0</v>
      </c>
    </row>
    <row r="1046">
      <c r="A1046" t="inlineStr">
        <is>
          <t>Attack% Bucket Multiplier</t>
        </is>
      </c>
      <c r="B1046">
        <f>(1+(((C1034=TRUE)*F1034)+((C1041=TRUE)*(F1041-Calc!F24))+(IF(ArtifactsInput!$M$21,CHOOSE(ArtifactsInput!$N$21+1,25,30,35,40,45,50)*(IF(OR(Inputs!$B$4="Chapter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47">
      <c r="A1047" t="inlineStr">
        <is>
          <t>Global Crit Rate Bonus %</t>
        </is>
      </c>
      <c r="B1047" t="n">
        <v>0</v>
      </c>
    </row>
    <row r="1048">
      <c r="A1048" t="inlineStr">
        <is>
          <t>Attack Speed Buff Bonus % (unused)</t>
        </is>
      </c>
      <c r="B1048" t="n">
        <v>0</v>
      </c>
    </row>
    <row r="1049">
      <c r="A1049" t="inlineStr">
        <is>
          <t>Actions Per Second</t>
        </is>
      </c>
      <c r="B1049">
        <f>1+MIN(150,150*(1-(1-(Inputs!$B$11+((C1037=TRUE)*(F1037-Calc!F20))+((C1038=TRUE)*(F1038-Calc!F21)))/150)*(1-B1048/150)))/100</f>
        <v/>
      </c>
    </row>
    <row r="1050">
      <c r="A1050" t="inlineStr">
        <is>
          <t>Skill + Buff Cast Rate</t>
        </is>
      </c>
      <c r="B1050">
        <f>IF(AND(Inputs!$B$38&lt;&gt;"pvp",Inputs!$B$43&gt;0),SUMPRODUCT((Skills!E2:E27=TRUE)*(C1019:C1044=TRUE)*R1019:R1044*Skills!F2:F27)/Inputs!$B$43,SUMPRODUCT((Skills!E2:E27=TRUE)*(C1019:C1044=TRUE)*Q1019:Q1044*Skills!F2:F27))</f>
        <v/>
      </c>
    </row>
    <row r="1051">
      <c r="A1051" t="inlineStr">
        <is>
          <t>Eight-Legs Easton Casts Per Second</t>
        </is>
      </c>
      <c r="B1051">
        <f>MAX(0,B1049-B1050)</f>
        <v/>
      </c>
    </row>
    <row r="1052">
      <c r="A1052" t="inlineStr">
        <is>
          <t>Global Critical Damage Bonus % (unused)</t>
        </is>
      </c>
      <c r="B1052" t="n">
        <v>0</v>
      </c>
    </row>
    <row r="1053">
      <c r="A1053" t="inlineStr">
        <is>
          <t>Global Final Damage Bonus % (Jolly Roger only)</t>
        </is>
      </c>
      <c r="B1053">
        <f>((C1035=TRUE)*F1035)</f>
        <v/>
      </c>
    </row>
    <row r="1054">
      <c r="A1054" t="inlineStr">
        <is>
          <t>Buff-Casting Startup Delay (s, fixed-duration only)</t>
        </is>
      </c>
      <c r="B1054">
        <f>IF(AND(Inputs!$B$38&lt;&gt;"pvp",Inputs!$B$43&gt;0),SUMPRODUCT((Skills!T2:T27&gt;0)*(Skills!E2:E27=TRUE)*(C1019:C1044=TRUE))/B1049,0)</f>
        <v/>
      </c>
    </row>
    <row r="1055">
      <c r="A1055" t="inlineStr">
        <is>
          <t>Boss-Only Total DPS (this block's swept value)</t>
        </is>
      </c>
      <c r="B1055">
        <f>SUM(T1019:T1044)</f>
        <v/>
      </c>
    </row>
    <row r="1056">
      <c r="A1056" t="inlineStr">
        <is>
          <t>Normal-Only Total DPS (this block's swept value)</t>
        </is>
      </c>
      <c r="B1056">
        <f>SUM(V1019:V1044)</f>
        <v/>
      </c>
    </row>
    <row r="1057">
      <c r="A1057" s="6" t="inlineStr">
        <is>
          <t>TOTAL DPS</t>
        </is>
      </c>
      <c r="B1057" s="6">
        <f>SUM(O1019:O1044)</f>
        <v/>
      </c>
    </row>
    <row r="1060">
      <c r="A1060" s="6" t="inlineStr">
        <is>
          <t>Stat: Skill Cooldown Decrease (seconds)</t>
        </is>
      </c>
    </row>
    <row r="1061">
      <c r="A1061" s="5" t="inlineStr">
        <is>
          <t>Key</t>
        </is>
      </c>
      <c r="B1061" s="5" t="inlineStr">
        <is>
          <t>Name</t>
        </is>
      </c>
      <c r="C1061" s="5" t="inlineStr">
        <is>
          <t>Unlocked</t>
        </is>
      </c>
      <c r="D1061" s="5" t="inlineStr">
        <is>
          <t>InputLevel</t>
        </is>
      </c>
      <c r="E1061" s="5" t="inlineStr">
        <is>
          <t>Factor</t>
        </is>
      </c>
      <c r="F1061" s="5" t="inlineStr">
        <is>
          <t>CoefficientPercent</t>
        </is>
      </c>
      <c r="G1061" s="5" t="inlineStr">
        <is>
          <t>EffectiveHits</t>
        </is>
      </c>
      <c r="H1061" s="5" t="inlineStr">
        <is>
          <t>ProcProbability</t>
        </is>
      </c>
      <c r="I1061" s="5" t="inlineStr">
        <is>
          <t>MapleHeroMultiplier</t>
        </is>
      </c>
      <c r="J1061" s="5" t="inlineStr">
        <is>
          <t>BaseDamage</t>
        </is>
      </c>
      <c r="K1061" s="5" t="inlineStr">
        <is>
          <t>BaseHitDamage</t>
        </is>
      </c>
      <c r="L1061" s="5" t="inlineStr">
        <is>
          <t>NonCritAvg</t>
        </is>
      </c>
      <c r="M1061" s="5" t="inlineStr">
        <is>
          <t>CritAvg</t>
        </is>
      </c>
      <c r="N1061" s="5" t="inlineStr">
        <is>
          <t>ExpectedDamage(perHit)</t>
        </is>
      </c>
      <c r="O1061" s="5" t="inlineStr">
        <is>
          <t>DPS</t>
        </is>
      </c>
      <c r="P1061" s="5" t="inlineStr">
        <is>
          <t>% of Total</t>
        </is>
      </c>
      <c r="Q1061" s="5" t="inlineStr">
        <is>
          <t>InvCooldown</t>
        </is>
      </c>
      <c r="R1061" s="5" t="inlineStr">
        <is>
          <t>CastsInFight</t>
        </is>
      </c>
      <c r="S1061" s="5" t="inlineStr">
        <is>
          <t>HitRate(perSec)</t>
        </is>
      </c>
      <c r="U1061" t="inlineStr">
        <is>
          <t>helpers</t>
        </is>
      </c>
    </row>
    <row r="1062">
      <c r="A1062">
        <f>Skills!A2</f>
        <v/>
      </c>
      <c r="B1062">
        <f>Skills!B2</f>
        <v/>
      </c>
      <c r="C1062">
        <f>Inputs!$B$3&gt;=100</f>
        <v/>
      </c>
      <c r="D1062" t="inlineStr"/>
      <c r="E1062" t="inlineStr"/>
      <c r="F1062">
        <f>U1064+Skills!O2</f>
        <v/>
      </c>
      <c r="G1062">
        <f>Skills!G2*IF(Skills!H2&gt;0,Skills!I2/Skills!H2,1)</f>
        <v/>
      </c>
      <c r="H1062">
        <f>1-(1-Skills!J2/100)^Skills!K2</f>
        <v/>
      </c>
      <c r="I1062" t="inlineStr">
        <is>
          <t>1</t>
        </is>
      </c>
      <c r="J1062">
        <f>((Inputs!$B$6*(1+Inputs!$B$7/100))+(((Inputs!$B$12*(1+Inputs!$B$13/100))-(Inputs!$B$12*(1+Inputs!$B$13/100)))+0.25*(Inputs!$B$14-Inputs!$B$14))*(1+Inputs!$B$7/100))*(F1062/100)</f>
        <v/>
      </c>
      <c r="K1062">
        <f>J1062*(1+((Inputs!$B$12*(1+Inputs!$B$13/100))*0.01+Inputs!$B$14*0.0025)/100)*(1+Inputs!$B$15/100)*(1+Inputs!$B$16/100)*(5000/(6000+Inputs!$B$42*(1-(100*(1-(1-(Inputs!$B$19+0)/100)*(1-CHOOSE(ArtifactsInput!$N$40+1,5,6,7,8,9,10)/100)^(ArtifactsInput!$M$40-ArtifactsInput!$M$40)))/100)))*(1+(Inputs!$B$24+((C1086=TRUE)*(F1086-Calc!F26))+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1083=TRUE)*(F1083-Calc!F23))+((C1087=TRUE)*(F1087-Calc!F27))+(((IF(AND(ArtifactsInput!$M$42,((Inputs!$B$9+((C1079=TRUE)*(F1079-Calc!F19))+B1090+(ArtifactsInput!$M$24-ArtifactsInput!$M$24)*CHOOSE(ArtifactsInput!$N$24+1,10,12,14,16,18,20)+IF(ArtifactsInput!$M$10,CHOOSE(ArtifactsInput!$N$10+1,15,18,21,24,27,30)*(IF(Inputs!$B$38="pvp",MIN(15,15)/15,IF(AND(Inputs!$B$38&lt;&gt;"pvp",Inputs!$B$43&gt;0),MIN(15,Inputs!$B$43)/(Inputs!$B$43),0))),0)))&gt;=100),MIN(100,((Inputs!$B$9+((C1079=TRUE)*(F1079-Calc!F19))+B1090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1079=TRUE)*(F1079-Calc!F19))+B1090+(ArtifactsInput!$M$24-ArtifactsInput!$M$24)*CHOOSE(ArtifactsInput!$N$24+1,10,12,14,16,18,20)+IF(ArtifactsInput!$M$10,CHOOSE(ArtifactsInput!$N$10+1,15,18,21,24,27,30)*(IF(Inputs!$B$38="pvp",MIN(15,15)/15,IF(AND(Inputs!$B$38&lt;&gt;"pvp",Inputs!$B$43&gt;0),MIN(15,Inputs!$B$43)/(Inputs!$B$43),0))),0)))&gt;=100),CHOOSE(ArtifactsInput!$N$42+1,40,48,56,64,72,80),0))))/100)*((1+(((C1077=TRUE)*F1077)+((C1084=TRUE)*(F1084-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1062)</f>
        <v/>
      </c>
      <c r="L1062">
        <f>K1062*(MIN(Inputs!$B$22+((C1082=TRUE)*(F1082-Calc!F22)),(Inputs!$B$23+0+(IF(ArtifactsInput!$M$15,CHOOSE(ArtifactsInput!$N$15+1,25,30,35,40,45,50)/100*(Inputs!$B$11-Inputs!$B$11),0))))/100+(Inputs!$B$23+0+(IF(ArtifactsInput!$M$15,CHOOSE(ArtifactsInput!$N$15+1,25,30,35,40,45,50)/100*(Inputs!$B$11-Inputs!$B$11),0)))/100)/2</f>
        <v/>
      </c>
      <c r="M1062">
        <f>L1062*(1+(Inputs!$B$10+((C1085=TRUE)*(F1085-Calc!F25))+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2">
        <f>L1062*(1-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1062*(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2">
        <f>(1-Summary!$B$11)*T1062+Summary!$B$11*V1062</f>
        <v/>
      </c>
      <c r="P1062">
        <f>IF(B1100=0,0,O1062/B1100)</f>
        <v/>
      </c>
      <c r="Q1062" t="n">
        <v>0</v>
      </c>
      <c r="R1062" t="n">
        <v>0</v>
      </c>
      <c r="S1062">
        <f>IFERROR(O1062/N1062,0)</f>
        <v/>
      </c>
      <c r="T1062">
        <f>IF(C1062,(Skills!G2*N1062*B1094)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1062*(1-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1062*(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1062*(1-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1062*(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2">
        <f>MAX(0,(Inputs!$B$3-100)*3)+Inputs!$B$28+Inputs!$B$29</f>
        <v/>
      </c>
      <c r="V1062">
        <f>IF(C1062,(Skills!G2*N1062*B1094)*IF(Inputs!$B$38="pvp",1,(1+(Inputs!$B$21+Skills!Q2+(IF(ArtifactsInput!$M$33,CHOOSE(ArtifactsInput!$N$33+1,30,36,42,48,54,60),0))+(IF(AND(ArtifactsInput!$M$35,Inputs!$B$4&lt;&gt;"Chapter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3">
      <c r="A1063">
        <f>Skills!A3</f>
        <v/>
      </c>
      <c r="B1063">
        <f>Skills!B3</f>
        <v/>
      </c>
      <c r="C1063">
        <f>Inputs!$B$3&gt;=35</f>
        <v/>
      </c>
      <c r="D1063">
        <f>IF(Skills!C3=1,60+Inputs!$B$25+Inputs!$B$29,IF(Skills!C3=2,90+Inputs!$B$26+Inputs!$B$29,IF(Skills!C3=3,120+Inputs!$B$27+Inputs!$B$29,MAX(0,(Inputs!$B$3-100)*3)+Inputs!$B$28+Inputs!$B$29)))</f>
        <v/>
      </c>
      <c r="E1063">
        <f>INDEX(FactorTable!$B$2:$Y$301, MATCH(ROUND(MIN(300,MAX(1,D1063)),0), FactorTable!$A$2:$A$301,0), Skills!M3+1)</f>
        <v/>
      </c>
      <c r="F1063">
        <f>IF(Skills!N3=TRUE,(Skills!L3/10)*(E1063/1000),Skills!L3/10)+Skills!O3</f>
        <v/>
      </c>
      <c r="G1063">
        <f>Skills!G3*IF(Skills!H3&gt;0,Skills!I3/Skills!H3,1)</f>
        <v/>
      </c>
      <c r="H1063">
        <f>1-(1-Skills!J3/100)^Skills!K3</f>
        <v/>
      </c>
      <c r="I1063" t="inlineStr">
        <is>
          <t>1</t>
        </is>
      </c>
      <c r="J1063">
        <f>((Inputs!$B$6*(1+Inputs!$B$7/100))+(((Inputs!$B$12*(1+Inputs!$B$13/100))-(Inputs!$B$12*(1+Inputs!$B$13/100)))+0.25*(Inputs!$B$14-Inputs!$B$14))*(1+Inputs!$B$7/100))*(F1063/100)</f>
        <v/>
      </c>
      <c r="K1063">
        <f>J1063*(1+((Inputs!$B$12*(1+Inputs!$B$13/100))*0.01+Inputs!$B$14*0.0025)/100)*(1+Inputs!$B$15/100)*(1+Inputs!$B$16/100)*(5000/(6000+Inputs!$B$42*(1-(100*(1-(1-(Inputs!$B$19+0)/100)*(1-CHOOSE(ArtifactsInput!$N$40+1,5,6,7,8,9,10)/100)^(ArtifactsInput!$M$40-ArtifactsInput!$M$40)))/100)))*(1+(Inputs!$B$24+((C1086=TRUE)*(F1086-Calc!F26))+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1075=TRUE,F1075,0)/100)*(1+(IF(Skills!A3="EIGHT_LEGS_EASTON",Inputs!$B$17+((C1083=TRUE)*(F1083-Calc!F23))+((C1087=TRUE)*(F1087-Calc!F27))+(((IF(AND(ArtifactsInput!$M$42,((Inputs!$B$9+((C1079=TRUE)*(F1079-Calc!F19))+B1090+(ArtifactsInput!$M$24-ArtifactsInput!$M$24)*CHOOSE(ArtifactsInput!$N$24+1,10,12,14,16,18,20)+IF(ArtifactsInput!$M$10,CHOOSE(ArtifactsInput!$N$10+1,15,18,21,24,27,30)*(IF(Inputs!$B$38="pvp",MIN(15,15)/15,IF(AND(Inputs!$B$38&lt;&gt;"pvp",Inputs!$B$43&gt;0),MIN(15,Inputs!$B$43)/(Inputs!$B$43),0))),0)))&gt;=100),MIN(100,((Inputs!$B$9+((C1079=TRUE)*(F1079-Calc!F19))+B1090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1079=TRUE)*(F1079-Calc!F19))+B1090+(ArtifactsInput!$M$24-ArtifactsInput!$M$24)*CHOOSE(ArtifactsInput!$N$24+1,10,12,14,16,18,20)+IF(ArtifactsInput!$M$10,CHOOSE(ArtifactsInput!$N$10+1,15,18,21,24,27,30)*(IF(Inputs!$B$38="pvp",MIN(15,15)/15,IF(AND(Inputs!$B$38&lt;&gt;"pvp",Inputs!$B$43&gt;0),MIN(15,Inputs!$B$43)/(Inputs!$B$43),0))),0)))&gt;=100),CHOOSE(ArtifactsInput!$N$42+1,40,48,56,64,72,80),0))))/100)*((1+(((C1077=TRUE)*F1077)+((C1084=TRUE)*(F1084-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1063)</f>
        <v/>
      </c>
      <c r="L1063">
        <f>K1063*(MIN(Inputs!$B$22+((C1082=TRUE)*(F1082-Calc!F22)),(Inputs!$B$23+0+(IF(ArtifactsInput!$M$15,CHOOSE(ArtifactsInput!$N$15+1,25,30,35,40,45,50)/100*(Inputs!$B$11-Inputs!$B$11),0))))/100+(Inputs!$B$23+0+(IF(ArtifactsInput!$M$15,CHOOSE(ArtifactsInput!$N$15+1,25,30,35,40,45,50)/100*(Inputs!$B$11-Inputs!$B$11),0)))/100)/2</f>
        <v/>
      </c>
      <c r="M1063">
        <f>L1063*(1+(Inputs!$B$10+((C1085=TRUE)*(F1085-Calc!F25))+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3">
        <f>L1063*(1-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1063*(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3">
        <f>(1-Summary!$B$11)*T1063+Summary!$B$11*V1063</f>
        <v/>
      </c>
      <c r="P1063">
        <f>IF(B1100=0,0,O1063/B1100)</f>
        <v/>
      </c>
      <c r="Q1063">
        <f>IFERROR(1/(IF(Inputs!$B$38="pvp",15,MAX(0.1,Skills!D3-IF(Skills!E3=TRUE,(Inputs!$B$32+1),0)))*(1-IF(AND(ArtifactsInput!$M$27,Inputs!$B$4="Chapter Hunt"),CHOOSE(ArtifactsInput!$N$27+1,20,24,28,32,36,40),0)/100)),0)</f>
        <v/>
      </c>
      <c r="R1063">
        <f>IF(AND(Inputs!$B$38&lt;&gt;"pvp",Inputs!$B$43&gt;0),IF(MAX(0,Inputs!$B$43-B1097)&lt;=0,0,(INT(MAX(0,Inputs!$B$43-B1097)/(IF(Inputs!$B$38="pvp",15,MAX(0.1,Skills!D3-IF(Skills!E3=TRUE,(Inputs!$B$32+1),0)))*(1-IF(AND(ArtifactsInput!$M$27,Inputs!$B$4="Chapter Hunt"),CHOOSE(ArtifactsInput!$N$27+1,20,24,28,32,36,40),0)/100)))+1)),0)</f>
        <v/>
      </c>
      <c r="S1063">
        <f>IFERROR(O1063/N1063,0)</f>
        <v/>
      </c>
      <c r="T1063">
        <f>IF(C1063,(H1063*N1063*IF(AND(Inputs!$B$38&lt;&gt;"pvp",Inputs!$B$43&gt;0),((Skills!G3*((R1063-1)*IF(Skills!H3&gt;0,Skills!I3/Skills!H3,1)+IF(Skills!H3&gt;0,MIN(Skills!I3,MAX(0,MAX(0,Inputs!$B$43-B1097)-((R1063-1)*(IF(Inputs!$B$38="pvp",15,MAX(0.1,Skills!D3-IF(Skills!E3=TRUE,(Inputs!$B$32+1),0)))*(1-IF(AND(ArtifactsInput!$M$27,Inputs!$B$4="Chapter Hunt"),CHOOSE(ArtifactsInput!$N$27+1,20,24,28,32,36,40),0)/100)))))/Skills!H3,1)))/Inputs!$B$43),G1063*Q1063)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1063*(1-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1063*(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1063*(1-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1063*(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3">
        <f>INDEX(FactorTable!$B$2:$Y$301, MATCH(ROUND(MIN(300,MAX(1,U1062)),0), FactorTable!$A$2:$A$301,0), 22)</f>
        <v/>
      </c>
      <c r="V1063">
        <f>IF(C1063,(H1063*N1063*IF(AND(Inputs!$B$38&lt;&gt;"pvp",Inputs!$B$43&gt;0),((Skills!G3*((R1063-1)*IF(Skills!H3&gt;0,Skills!I3/Skills!H3,1)+IF(Skills!H3&gt;0,MIN(Skills!I3,MAX(0,MAX(0,Inputs!$B$43-B1097)-((R1063-1)*(IF(Inputs!$B$38="pvp",15,MAX(0.1,Skills!D3-IF(Skills!E3=TRUE,(Inputs!$B$32+1),0)))*(1-IF(AND(ArtifactsInput!$M$27,Inputs!$B$4="Chapter Hunt"),CHOOSE(ArtifactsInput!$N$27+1,20,24,28,32,36,40),0)/100)))))/Skills!H3,1)))/Inputs!$B$43),G1063*Q1063))*IF(Inputs!$B$38="pvp",1,(1+(Inputs!$B$21+Skills!Q3+(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4">
      <c r="A1064">
        <f>Skills!A4</f>
        <v/>
      </c>
      <c r="B1064">
        <f>Skills!B4</f>
        <v/>
      </c>
      <c r="C1064">
        <f>Inputs!$B$3&gt;=40</f>
        <v/>
      </c>
      <c r="D1064">
        <f>IF(Skills!C4=1,60+Inputs!$B$25+Inputs!$B$29,IF(Skills!C4=2,90+Inputs!$B$26+Inputs!$B$29,IF(Skills!C4=3,120+Inputs!$B$27+Inputs!$B$29,MAX(0,(Inputs!$B$3-100)*3)+Inputs!$B$28+Inputs!$B$29)))</f>
        <v/>
      </c>
      <c r="E1064">
        <f>INDEX(FactorTable!$B$2:$Y$301, MATCH(ROUND(MIN(300,MAX(1,D1064)),0), FactorTable!$A$2:$A$301,0), Skills!M4+1)</f>
        <v/>
      </c>
      <c r="F1064">
        <f>IF(Skills!N4=TRUE,(Skills!L4/10)*(E1064/1000),Skills!L4/10)+Skills!O4</f>
        <v/>
      </c>
      <c r="G1064">
        <f>Skills!G4*IF(Skills!H4&gt;0,Skills!I4/Skills!H4,1)</f>
        <v/>
      </c>
      <c r="H1064">
        <f>1-(1-Skills!J4/100)^Skills!K4</f>
        <v/>
      </c>
      <c r="I1064" t="inlineStr">
        <is>
          <t>1</t>
        </is>
      </c>
      <c r="J1064">
        <f>((Inputs!$B$6*(1+Inputs!$B$7/100))+(((Inputs!$B$12*(1+Inputs!$B$13/100))-(Inputs!$B$12*(1+Inputs!$B$13/100)))+0.25*(Inputs!$B$14-Inputs!$B$14))*(1+Inputs!$B$7/100))*(F1064/100)</f>
        <v/>
      </c>
      <c r="K1064">
        <f>J1064*(1+((Inputs!$B$12*(1+Inputs!$B$13/100))*0.01+Inputs!$B$14*0.0025)/100)*(1+Inputs!$B$15/100)*(1+Inputs!$B$16/100)*(5000/(6000+Inputs!$B$42*(1-(100*(1-(1-(Inputs!$B$19+0)/100)*(1-CHOOSE(ArtifactsInput!$N$40+1,5,6,7,8,9,10)/100)^(ArtifactsInput!$M$40-ArtifactsInput!$M$40)))/100)))*(1+(Inputs!$B$24+((C1086=TRUE)*(F1086-Calc!F26))+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1076=TRUE,F1076,0)/100)*(1+(IF(Skills!A4="EIGHT_LEGS_EASTON",Inputs!$B$17+((C1083=TRUE)*(F1083-Calc!F23))+((C1087=TRUE)*(F1087-Calc!F27))+(((IF(AND(ArtifactsInput!$M$42,((Inputs!$B$9+((C1079=TRUE)*(F1079-Calc!F19))+B1090+(ArtifactsInput!$M$24-ArtifactsInput!$M$24)*CHOOSE(ArtifactsInput!$N$24+1,10,12,14,16,18,20)+IF(ArtifactsInput!$M$10,CHOOSE(ArtifactsInput!$N$10+1,15,18,21,24,27,30)*(IF(Inputs!$B$38="pvp",MIN(15,15)/15,IF(AND(Inputs!$B$38&lt;&gt;"pvp",Inputs!$B$43&gt;0),MIN(15,Inputs!$B$43)/(Inputs!$B$43),0))),0)))&gt;=100),MIN(100,((Inputs!$B$9+((C1079=TRUE)*(F1079-Calc!F19))+B1090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1079=TRUE)*(F1079-Calc!F19))+B1090+(ArtifactsInput!$M$24-ArtifactsInput!$M$24)*CHOOSE(ArtifactsInput!$N$24+1,10,12,14,16,18,20)+IF(ArtifactsInput!$M$10,CHOOSE(ArtifactsInput!$N$10+1,15,18,21,24,27,30)*(IF(Inputs!$B$38="pvp",MIN(15,15)/15,IF(AND(Inputs!$B$38&lt;&gt;"pvp",Inputs!$B$43&gt;0),MIN(15,Inputs!$B$43)/(Inputs!$B$43),0))),0)))&gt;=100),CHOOSE(ArtifactsInput!$N$42+1,40,48,56,64,72,80),0))))/100)*((1+(((C1077=TRUE)*F1077)+((C1084=TRUE)*(F1084-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1064)</f>
        <v/>
      </c>
      <c r="L1064">
        <f>K1064*(MIN(Inputs!$B$22+((C1082=TRUE)*(F1082-Calc!F22)),(Inputs!$B$23+0+(IF(ArtifactsInput!$M$15,CHOOSE(ArtifactsInput!$N$15+1,25,30,35,40,45,50)/100*(Inputs!$B$11-Inputs!$B$11),0))))/100+(Inputs!$B$23+0+(IF(ArtifactsInput!$M$15,CHOOSE(ArtifactsInput!$N$15+1,25,30,35,40,45,50)/100*(Inputs!$B$11-Inputs!$B$11),0)))/100)/2</f>
        <v/>
      </c>
      <c r="M1064">
        <f>L1064*(1+(Inputs!$B$10+((C1085=TRUE)*(F1085-Calc!F25))+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4">
        <f>L1064*(1-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1064*(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4">
        <f>(1-Summary!$B$11)*T1064+Summary!$B$11*V1064</f>
        <v/>
      </c>
      <c r="P1064">
        <f>IF(B1100=0,0,O1064/B1100)</f>
        <v/>
      </c>
      <c r="Q1064">
        <f>IFERROR(1/(IF(Inputs!$B$38="pvp",15,MAX(0.1,Skills!D4-IF(Skills!E4=TRUE,(Inputs!$B$32+1),0)))*(1-IF(AND(ArtifactsInput!$M$27,Inputs!$B$4="Chapter Hunt"),CHOOSE(ArtifactsInput!$N$27+1,20,24,28,32,36,40),0)/100)),0)</f>
        <v/>
      </c>
      <c r="R1064">
        <f>IF(AND(Inputs!$B$38&lt;&gt;"pvp",Inputs!$B$43&gt;0),IF(MAX(0,Inputs!$B$43-B1097)&lt;=0,0,(INT(MAX(0,Inputs!$B$43-B1097)/(IF(Inputs!$B$38="pvp",15,MAX(0.1,Skills!D4-IF(Skills!E4=TRUE,(Inputs!$B$32+1),0)))*(1-IF(AND(ArtifactsInput!$M$27,Inputs!$B$4="Chapter Hunt"),CHOOSE(ArtifactsInput!$N$27+1,20,24,28,32,36,40),0)/100)))+1)),0)</f>
        <v/>
      </c>
      <c r="S1064">
        <f>IFERROR(O1064/N1064,0)</f>
        <v/>
      </c>
      <c r="T1064">
        <f>IF(C1064,(H1064*N1064*IF(AND(Inputs!$B$38&lt;&gt;"pvp",Inputs!$B$43&gt;0),((Skills!G4*((R1064-1)*IF(Skills!H4&gt;0,Skills!I4/Skills!H4,1)+IF(Skills!H4&gt;0,MIN(Skills!I4,MAX(0,MAX(0,Inputs!$B$43-B1097)-((R1064-1)*(IF(Inputs!$B$38="pvp",15,MAX(0.1,Skills!D4-IF(Skills!E4=TRUE,(Inputs!$B$32+1),0)))*(1-IF(AND(ArtifactsInput!$M$27,Inputs!$B$4="Chapter Hunt"),CHOOSE(ArtifactsInput!$N$27+1,20,24,28,32,36,40),0)/100)))))/Skills!H4,1)))/Inputs!$B$43),G1064*Q1064)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1064*(1-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1064*(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1064*(1-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1064*(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4">
        <f>290*U1063/1000</f>
        <v/>
      </c>
      <c r="V1064">
        <f>IF(C1064,(H1064*N1064*IF(AND(Inputs!$B$38&lt;&gt;"pvp",Inputs!$B$43&gt;0),((Skills!G4*((R1064-1)*IF(Skills!H4&gt;0,Skills!I4/Skills!H4,1)+IF(Skills!H4&gt;0,MIN(Skills!I4,MAX(0,MAX(0,Inputs!$B$43-B1097)-((R1064-1)*(IF(Inputs!$B$38="pvp",15,MAX(0.1,Skills!D4-IF(Skills!E4=TRUE,(Inputs!$B$32+1),0)))*(1-IF(AND(ArtifactsInput!$M$27,Inputs!$B$4="Chapter Hunt"),CHOOSE(ArtifactsInput!$N$27+1,20,24,28,32,36,40),0)/100)))))/Skills!H4,1)))/Inputs!$B$43),G1064*Q1064))*IF(Inputs!$B$38="pvp",1,(1+(Inputs!$B$21+Skills!Q4+(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5">
      <c r="A1065">
        <f>Skills!A5</f>
        <v/>
      </c>
      <c r="B1065">
        <f>Skills!B5</f>
        <v/>
      </c>
      <c r="C1065">
        <f>Inputs!$B$3&gt;=45</f>
        <v/>
      </c>
      <c r="D1065">
        <f>IF(Skills!C5=1,60+Inputs!$B$25+Inputs!$B$29,IF(Skills!C5=2,90+Inputs!$B$26+Inputs!$B$29,IF(Skills!C5=3,120+Inputs!$B$27+Inputs!$B$29,MAX(0,(Inputs!$B$3-100)*3)+Inputs!$B$28+Inputs!$B$29)))</f>
        <v/>
      </c>
      <c r="E1065">
        <f>INDEX(FactorTable!$B$2:$Y$301, MATCH(ROUND(MIN(300,MAX(1,D1065)),0), FactorTable!$A$2:$A$301,0), Skills!M5+1)</f>
        <v/>
      </c>
      <c r="F1065">
        <f>IF(Skills!N5=TRUE,(Skills!L5/10)*(E1065/1000),Skills!L5/10)+Skills!O5</f>
        <v/>
      </c>
      <c r="G1065">
        <f>Skills!G5*IF(Skills!H5&gt;0,Skills!I5/Skills!H5,1)</f>
        <v/>
      </c>
      <c r="H1065">
        <f>1-(1-Skills!J5/100)^Skills!K5</f>
        <v/>
      </c>
      <c r="I1065" t="inlineStr">
        <is>
          <t>1</t>
        </is>
      </c>
      <c r="J1065">
        <f>((Inputs!$B$6*(1+Inputs!$B$7/100))+(((Inputs!$B$12*(1+Inputs!$B$13/100))-(Inputs!$B$12*(1+Inputs!$B$13/100)))+0.25*(Inputs!$B$14-Inputs!$B$14))*(1+Inputs!$B$7/100))*(F1065/100)</f>
        <v/>
      </c>
      <c r="K1065">
        <f>J1065*(1+((Inputs!$B$12*(1+Inputs!$B$13/100))*0.01+Inputs!$B$14*0.0025)/100)*(1+Inputs!$B$15/100)*(1+Inputs!$B$16/100)*(5000/(6000+Inputs!$B$42*(1-(100*(1-(1-(Inputs!$B$19+0)/100)*(1-CHOOSE(ArtifactsInput!$N$40+1,5,6,7,8,9,10)/100)^(ArtifactsInput!$M$40-ArtifactsInput!$M$40)))/100)))*(1+(Inputs!$B$24+((C1086=TRUE)*(F1086-Calc!F26))+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1076=TRUE,F1076,0)/100)*(1+(IF(Skills!A5="EIGHT_LEGS_EASTON",Inputs!$B$17+((C1083=TRUE)*(F1083-Calc!F23))+((C1087=TRUE)*(F1087-Calc!F27))+(((IF(AND(ArtifactsInput!$M$42,((Inputs!$B$9+((C1079=TRUE)*(F1079-Calc!F19))+B1090+(ArtifactsInput!$M$24-ArtifactsInput!$M$24)*CHOOSE(ArtifactsInput!$N$24+1,10,12,14,16,18,20)+IF(ArtifactsInput!$M$10,CHOOSE(ArtifactsInput!$N$10+1,15,18,21,24,27,30)*(IF(Inputs!$B$38="pvp",MIN(15,15)/15,IF(AND(Inputs!$B$38&lt;&gt;"pvp",Inputs!$B$43&gt;0),MIN(15,Inputs!$B$43)/(Inputs!$B$43),0))),0)))&gt;=100),MIN(100,((Inputs!$B$9+((C1079=TRUE)*(F1079-Calc!F19))+B1090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1079=TRUE)*(F1079-Calc!F19))+B1090+(ArtifactsInput!$M$24-ArtifactsInput!$M$24)*CHOOSE(ArtifactsInput!$N$24+1,10,12,14,16,18,20)+IF(ArtifactsInput!$M$10,CHOOSE(ArtifactsInput!$N$10+1,15,18,21,24,27,30)*(IF(Inputs!$B$38="pvp",MIN(15,15)/15,IF(AND(Inputs!$B$38&lt;&gt;"pvp",Inputs!$B$43&gt;0),MIN(15,Inputs!$B$43)/(Inputs!$B$43),0))),0)))&gt;=100),CHOOSE(ArtifactsInput!$N$42+1,40,48,56,64,72,80),0))))/100)*((1+(((C1077=TRUE)*F1077)+((C1084=TRUE)*(F1084-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1065)</f>
        <v/>
      </c>
      <c r="L1065">
        <f>K1065*(MIN(Inputs!$B$22+((C1082=TRUE)*(F1082-Calc!F22)),(Inputs!$B$23+0+(IF(ArtifactsInput!$M$15,CHOOSE(ArtifactsInput!$N$15+1,25,30,35,40,45,50)/100*(Inputs!$B$11-Inputs!$B$11),0))))/100+(Inputs!$B$23+0+(IF(ArtifactsInput!$M$15,CHOOSE(ArtifactsInput!$N$15+1,25,30,35,40,45,50)/100*(Inputs!$B$11-Inputs!$B$11),0)))/100)/2</f>
        <v/>
      </c>
      <c r="M1065">
        <f>L1065*(1+(Inputs!$B$10+((C1085=TRUE)*(F1085-Calc!F25))+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5">
        <f>L1065*(1-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1065*(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5">
        <f>(1-Summary!$B$11)*T1065+Summary!$B$11*V1065</f>
        <v/>
      </c>
      <c r="P1065">
        <f>IF(B1100=0,0,O1065/B1100)</f>
        <v/>
      </c>
      <c r="Q1065">
        <f>IFERROR(1/(IF(Inputs!$B$38="pvp",15,MAX(0.1,Skills!D5-IF(Skills!E5=TRUE,(Inputs!$B$32+1),0)))*(1-IF(AND(ArtifactsInput!$M$27,Inputs!$B$4="Chapter Hunt"),CHOOSE(ArtifactsInput!$N$27+1,20,24,28,32,36,40),0)/100)),0)</f>
        <v/>
      </c>
      <c r="R1065">
        <f>IF(AND(Inputs!$B$38&lt;&gt;"pvp",Inputs!$B$43&gt;0),IF(MAX(0,Inputs!$B$43-B1097)&lt;=0,0,(INT(MAX(0,Inputs!$B$43-B1097)/(IF(Inputs!$B$38="pvp",15,MAX(0.1,Skills!D5-IF(Skills!E5=TRUE,(Inputs!$B$32+1),0)))*(1-IF(AND(ArtifactsInput!$M$27,Inputs!$B$4="Chapter Hunt"),CHOOSE(ArtifactsInput!$N$27+1,20,24,28,32,36,40),0)/100)))+1)),0)</f>
        <v/>
      </c>
      <c r="S1065">
        <f>IFERROR(O1065/N1065,0)</f>
        <v/>
      </c>
      <c r="T1065">
        <f>IF(C1065,(H1065*N1065*IF(AND(Inputs!$B$38&lt;&gt;"pvp",Inputs!$B$43&gt;0),((Skills!G5*((R1065-1)*IF(Skills!H5&gt;0,Skills!I5/Skills!H5,1)+IF(Skills!H5&gt;0,MIN(Skills!I5,MAX(0,MAX(0,Inputs!$B$43-B1097)-((R1065-1)*(IF(Inputs!$B$38="pvp",15,MAX(0.1,Skills!D5-IF(Skills!E5=TRUE,(Inputs!$B$32+1),0)))*(1-IF(AND(ArtifactsInput!$M$27,Inputs!$B$4="Chapter Hunt"),CHOOSE(ArtifactsInput!$N$27+1,20,24,28,32,36,40),0)/100)))))/Skills!H5,1)))/Inputs!$B$43),G1065*Q1065)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1065*(1-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1065*(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1065*(1-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1065*(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5">
        <f>IF(C1065,(H1065*N1065*IF(AND(Inputs!$B$38&lt;&gt;"pvp",Inputs!$B$43&gt;0),((Skills!G5*((R1065-1)*IF(Skills!H5&gt;0,Skills!I5/Skills!H5,1)+IF(Skills!H5&gt;0,MIN(Skills!I5,MAX(0,MAX(0,Inputs!$B$43-B1097)-((R1065-1)*(IF(Inputs!$B$38="pvp",15,MAX(0.1,Skills!D5-IF(Skills!E5=TRUE,(Inputs!$B$32+1),0)))*(1-IF(AND(ArtifactsInput!$M$27,Inputs!$B$4="Chapter Hunt"),CHOOSE(ArtifactsInput!$N$27+1,20,24,28,32,36,40),0)/100)))))/Skills!H5,1)))/Inputs!$B$43),G1065*Q1065))*IF(Inputs!$B$38="pvp",1,(1+(Inputs!$B$21+Skills!Q5+(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6">
      <c r="A1066">
        <f>Skills!A6</f>
        <v/>
      </c>
      <c r="B1066">
        <f>Skills!B6</f>
        <v/>
      </c>
      <c r="C1066">
        <f>Inputs!$B$3&gt;=63</f>
        <v/>
      </c>
      <c r="D1066">
        <f>IF(Skills!C6=1,60+Inputs!$B$25+Inputs!$B$29,IF(Skills!C6=2,90+Inputs!$B$26+Inputs!$B$29,IF(Skills!C6=3,120+Inputs!$B$27+Inputs!$B$29,MAX(0,(Inputs!$B$3-100)*3)+Inputs!$B$28+Inputs!$B$29)))</f>
        <v/>
      </c>
      <c r="E1066">
        <f>INDEX(FactorTable!$B$2:$Y$301, MATCH(ROUND(MIN(300,MAX(1,D1066)),0), FactorTable!$A$2:$A$301,0), Skills!M6+1)</f>
        <v/>
      </c>
      <c r="F1066">
        <f>IF(Skills!N6=TRUE,(Skills!L6/10)*(E1066/1000),Skills!L6/10)+Skills!O6</f>
        <v/>
      </c>
      <c r="G1066">
        <f>Skills!G6*IF(Skills!H6&gt;0,Skills!I6/Skills!H6,1)</f>
        <v/>
      </c>
      <c r="H1066">
        <f>1-(1-Skills!J6/100)^Skills!K6</f>
        <v/>
      </c>
      <c r="I1066" t="inlineStr">
        <is>
          <t>1</t>
        </is>
      </c>
      <c r="J1066">
        <f>((Inputs!$B$6*(1+Inputs!$B$7/100))+(((Inputs!$B$12*(1+Inputs!$B$13/100))-(Inputs!$B$12*(1+Inputs!$B$13/100)))+0.25*(Inputs!$B$14-Inputs!$B$14))*(1+Inputs!$B$7/100))*(F1066/100)</f>
        <v/>
      </c>
      <c r="K1066">
        <f>J1066*(1+((Inputs!$B$12*(1+Inputs!$B$13/100))*0.01+Inputs!$B$14*0.0025)/100)*(1+Inputs!$B$15/100)*(1+Inputs!$B$16/100)*(5000/(6000+Inputs!$B$42*(1-(100*(1-(1-(Inputs!$B$19+0)/100)*(1-CHOOSE(ArtifactsInput!$N$40+1,5,6,7,8,9,10)/100)^(ArtifactsInput!$M$40-ArtifactsInput!$M$40)))/100)))*(1+(Inputs!$B$24+((C1086=TRUE)*(F1086-Calc!F26))+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1075=TRUE,F1075,0)/100)*(1+(IF(Skills!A6="EIGHT_LEGS_EASTON",Inputs!$B$17+((C1083=TRUE)*(F1083-Calc!F23))+((C1087=TRUE)*(F1087-Calc!F27))+(((IF(AND(ArtifactsInput!$M$42,((Inputs!$B$9+((C1079=TRUE)*(F1079-Calc!F19))+B1090+(ArtifactsInput!$M$24-ArtifactsInput!$M$24)*CHOOSE(ArtifactsInput!$N$24+1,10,12,14,16,18,20)+IF(ArtifactsInput!$M$10,CHOOSE(ArtifactsInput!$N$10+1,15,18,21,24,27,30)*(IF(Inputs!$B$38="pvp",MIN(15,15)/15,IF(AND(Inputs!$B$38&lt;&gt;"pvp",Inputs!$B$43&gt;0),MIN(15,Inputs!$B$43)/(Inputs!$B$43),0))),0)))&gt;=100),MIN(100,((Inputs!$B$9+((C1079=TRUE)*(F1079-Calc!F19))+B1090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1079=TRUE)*(F1079-Calc!F19))+B1090+(ArtifactsInput!$M$24-ArtifactsInput!$M$24)*CHOOSE(ArtifactsInput!$N$24+1,10,12,14,16,18,20)+IF(ArtifactsInput!$M$10,CHOOSE(ArtifactsInput!$N$10+1,15,18,21,24,27,30)*(IF(Inputs!$B$38="pvp",MIN(15,15)/15,IF(AND(Inputs!$B$38&lt;&gt;"pvp",Inputs!$B$43&gt;0),MIN(15,Inputs!$B$43)/(Inputs!$B$43),0))),0)))&gt;=100),CHOOSE(ArtifactsInput!$N$42+1,40,48,56,64,72,80),0))))/100)*((1+(((C1077=TRUE)*F1077)+((C1084=TRUE)*(F1084-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1066)</f>
        <v/>
      </c>
      <c r="L1066">
        <f>K1066*(MIN(Inputs!$B$22+((C1082=TRUE)*(F1082-Calc!F22)),(Inputs!$B$23+0+(IF(ArtifactsInput!$M$15,CHOOSE(ArtifactsInput!$N$15+1,25,30,35,40,45,50)/100*(Inputs!$B$11-Inputs!$B$11),0))))/100+(Inputs!$B$23+0+(IF(ArtifactsInput!$M$15,CHOOSE(ArtifactsInput!$N$15+1,25,30,35,40,45,50)/100*(Inputs!$B$11-Inputs!$B$11),0)))/100)/2</f>
        <v/>
      </c>
      <c r="M1066">
        <f>L1066*(1+(Inputs!$B$10+((C1085=TRUE)*(F1085-Calc!F25))+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6">
        <f>L1066*(1-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1066*(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6">
        <f>(1-Summary!$B$11)*T1066+Summary!$B$11*V1066</f>
        <v/>
      </c>
      <c r="P1066">
        <f>IF(B1100=0,0,O1066/B1100)</f>
        <v/>
      </c>
      <c r="Q1066">
        <f>IFERROR(1/(IF(Inputs!$B$38="pvp",15,MAX(0.1,Skills!D6-IF(Skills!E6=TRUE,(Inputs!$B$32+1),0)))*(1-IF(AND(ArtifactsInput!$M$27,Inputs!$B$4="Chapter Hunt"),CHOOSE(ArtifactsInput!$N$27+1,20,24,28,32,36,40),0)/100)),0)</f>
        <v/>
      </c>
      <c r="R1066">
        <f>IF(AND(Inputs!$B$38&lt;&gt;"pvp",Inputs!$B$43&gt;0),IF(MAX(0,Inputs!$B$43-B1097)&lt;=0,0,(INT(MAX(0,Inputs!$B$43-B1097)/(IF(Inputs!$B$38="pvp",15,MAX(0.1,Skills!D6-IF(Skills!E6=TRUE,(Inputs!$B$32+1),0)))*(1-IF(AND(ArtifactsInput!$M$27,Inputs!$B$4="Chapter Hunt"),CHOOSE(ArtifactsInput!$N$27+1,20,24,28,32,36,40),0)/100)))+1)),0)</f>
        <v/>
      </c>
      <c r="S1066">
        <f>IFERROR(O1066/N1066,0)</f>
        <v/>
      </c>
      <c r="T1066">
        <f>IF(C1066,(H1066*N1066*IF(AND(Inputs!$B$38&lt;&gt;"pvp",Inputs!$B$43&gt;0),((Skills!G6*((R1066-1)*IF(Skills!H6&gt;0,Skills!I6/Skills!H6,1)+IF(Skills!H6&gt;0,MIN(Skills!I6,MAX(0,MAX(0,Inputs!$B$43-B1097)-((R1066-1)*(IF(Inputs!$B$38="pvp",15,MAX(0.1,Skills!D6-IF(Skills!E6=TRUE,(Inputs!$B$32+1),0)))*(1-IF(AND(ArtifactsInput!$M$27,Inputs!$B$4="Chapter Hunt"),CHOOSE(ArtifactsInput!$N$27+1,20,24,28,32,36,40),0)/100)))))/Skills!H6,1)))/Inputs!$B$43),G1066*Q1066)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1066*(1-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1066*(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1066*(1-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1066*(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6">
        <f>IF(C1066,(H1066*N1066*IF(AND(Inputs!$B$38&lt;&gt;"pvp",Inputs!$B$43&gt;0),((Skills!G6*((R1066-1)*IF(Skills!H6&gt;0,Skills!I6/Skills!H6,1)+IF(Skills!H6&gt;0,MIN(Skills!I6,MAX(0,MAX(0,Inputs!$B$43-B1097)-((R1066-1)*(IF(Inputs!$B$38="pvp",15,MAX(0.1,Skills!D6-IF(Skills!E6=TRUE,(Inputs!$B$32+1),0)))*(1-IF(AND(ArtifactsInput!$M$27,Inputs!$B$4="Chapter Hunt"),CHOOSE(ArtifactsInput!$N$27+1,20,24,28,32,36,40),0)/100)))))/Skills!H6,1)))/Inputs!$B$43),G1066*Q1066))*IF(Inputs!$B$38="pvp",1,(1+(Inputs!$B$21+Skills!Q6+(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7">
      <c r="A1067">
        <f>Skills!A7</f>
        <v/>
      </c>
      <c r="B1067">
        <f>Skills!B7</f>
        <v/>
      </c>
      <c r="C1067">
        <f>Inputs!$B$3&gt;=66</f>
        <v/>
      </c>
      <c r="D1067">
        <f>IF(Skills!C7=1,60+Inputs!$B$25+Inputs!$B$29,IF(Skills!C7=2,90+Inputs!$B$26+Inputs!$B$29,IF(Skills!C7=3,120+Inputs!$B$27+Inputs!$B$29,MAX(0,(Inputs!$B$3-100)*3)+Inputs!$B$28+Inputs!$B$29)))</f>
        <v/>
      </c>
      <c r="E1067">
        <f>INDEX(FactorTable!$B$2:$Y$301, MATCH(ROUND(MIN(300,MAX(1,D1067)),0), FactorTable!$A$2:$A$301,0), Skills!M7+1)</f>
        <v/>
      </c>
      <c r="F1067">
        <f>IF(Skills!N7=TRUE,(Skills!L7/10)*(E1067/1000),Skills!L7/10)+Skills!O7</f>
        <v/>
      </c>
      <c r="G1067">
        <f>Skills!G7*IF(Skills!H7&gt;0,Skills!I7/Skills!H7,1)</f>
        <v/>
      </c>
      <c r="H1067">
        <f>1-(1-Skills!J7/100)^Skills!K7</f>
        <v/>
      </c>
      <c r="I1067" t="inlineStr">
        <is>
          <t>1</t>
        </is>
      </c>
      <c r="J1067">
        <f>((Inputs!$B$6*(1+Inputs!$B$7/100))+(((Inputs!$B$12*(1+Inputs!$B$13/100))-(Inputs!$B$12*(1+Inputs!$B$13/100)))+0.25*(Inputs!$B$14-Inputs!$B$14))*(1+Inputs!$B$7/100))*(F1067/100)</f>
        <v/>
      </c>
      <c r="K1067">
        <f>J1067*(1+((Inputs!$B$12*(1+Inputs!$B$13/100))*0.01+Inputs!$B$14*0.0025)/100)*(1+Inputs!$B$15/100)*(1+Inputs!$B$16/100)*(5000/(6000+Inputs!$B$42*(1-(100*(1-(1-(Inputs!$B$19+0)/100)*(1-CHOOSE(ArtifactsInput!$N$40+1,5,6,7,8,9,10)/100)^(ArtifactsInput!$M$40-ArtifactsInput!$M$40)))/100)))*(1+(Inputs!$B$24+((C1086=TRUE)*(F1086-Calc!F26))+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1075=TRUE,F1075,0)/100)*(1+(IF(Skills!A7="EIGHT_LEGS_EASTON",Inputs!$B$17+((C1083=TRUE)*(F1083-Calc!F23))+((C1087=TRUE)*(F1087-Calc!F27))+(((IF(AND(ArtifactsInput!$M$42,((Inputs!$B$9+((C1079=TRUE)*(F1079-Calc!F19))+B1090+(ArtifactsInput!$M$24-ArtifactsInput!$M$24)*CHOOSE(ArtifactsInput!$N$24+1,10,12,14,16,18,20)+IF(ArtifactsInput!$M$10,CHOOSE(ArtifactsInput!$N$10+1,15,18,21,24,27,30)*(IF(Inputs!$B$38="pvp",MIN(15,15)/15,IF(AND(Inputs!$B$38&lt;&gt;"pvp",Inputs!$B$43&gt;0),MIN(15,Inputs!$B$43)/(Inputs!$B$43),0))),0)))&gt;=100),MIN(100,((Inputs!$B$9+((C1079=TRUE)*(F1079-Calc!F19))+B1090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1079=TRUE)*(F1079-Calc!F19))+B1090+(ArtifactsInput!$M$24-ArtifactsInput!$M$24)*CHOOSE(ArtifactsInput!$N$24+1,10,12,14,16,18,20)+IF(ArtifactsInput!$M$10,CHOOSE(ArtifactsInput!$N$10+1,15,18,21,24,27,30)*(IF(Inputs!$B$38="pvp",MIN(15,15)/15,IF(AND(Inputs!$B$38&lt;&gt;"pvp",Inputs!$B$43&gt;0),MIN(15,Inputs!$B$43)/(Inputs!$B$43),0))),0)))&gt;=100),CHOOSE(ArtifactsInput!$N$42+1,40,48,56,64,72,80),0))))/100)*((1+(((C1077=TRUE)*F1077)+((C1084=TRUE)*(F1084-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1067)</f>
        <v/>
      </c>
      <c r="L1067">
        <f>K1067*(MIN(Inputs!$B$22+((C1082=TRUE)*(F1082-Calc!F22)),(Inputs!$B$23+0+(IF(ArtifactsInput!$M$15,CHOOSE(ArtifactsInput!$N$15+1,25,30,35,40,45,50)/100*(Inputs!$B$11-Inputs!$B$11),0))))/100+(Inputs!$B$23+0+(IF(ArtifactsInput!$M$15,CHOOSE(ArtifactsInput!$N$15+1,25,30,35,40,45,50)/100*(Inputs!$B$11-Inputs!$B$11),0)))/100)/2</f>
        <v/>
      </c>
      <c r="M1067">
        <f>L1067*(1+(Inputs!$B$10+((C1085=TRUE)*(F1085-Calc!F25))+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7">
        <f>L1067*(1-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1067*(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7">
        <f>(1-Summary!$B$11)*T1067+Summary!$B$11*V1067</f>
        <v/>
      </c>
      <c r="P1067">
        <f>IF(B1100=0,0,O1067/B1100)</f>
        <v/>
      </c>
      <c r="Q1067">
        <f>IFERROR(1/(IF(Inputs!$B$38="pvp",15,MAX(0.1,Skills!D7-IF(Skills!E7=TRUE,(Inputs!$B$32+1),0)))*(1-IF(AND(ArtifactsInput!$M$27,Inputs!$B$4="Chapter Hunt"),CHOOSE(ArtifactsInput!$N$27+1,20,24,28,32,36,40),0)/100)),0)</f>
        <v/>
      </c>
      <c r="R1067">
        <f>IF(AND(Inputs!$B$38&lt;&gt;"pvp",Inputs!$B$43&gt;0),IF(MAX(0,Inputs!$B$43-B1097)&lt;=0,0,(INT(MAX(0,Inputs!$B$43-B1097)/(IF(Inputs!$B$38="pvp",15,MAX(0.1,Skills!D7-IF(Skills!E7=TRUE,(Inputs!$B$32+1),0)))*(1-IF(AND(ArtifactsInput!$M$27,Inputs!$B$4="Chapter Hunt"),CHOOSE(ArtifactsInput!$N$27+1,20,24,28,32,36,40),0)/100)))+1)),0)</f>
        <v/>
      </c>
      <c r="S1067">
        <f>IFERROR(O1067/N1067,0)</f>
        <v/>
      </c>
      <c r="T1067">
        <f>IF(C1067,(H1067*N1067*IF(AND(Inputs!$B$38&lt;&gt;"pvp",Inputs!$B$43&gt;0),((Skills!G7*((R1067-1)*IF(Skills!H7&gt;0,Skills!I7/Skills!H7,1)+IF(Skills!H7&gt;0,MIN(Skills!I7,MAX(0,MAX(0,Inputs!$B$43-B1097)-((R1067-1)*(IF(Inputs!$B$38="pvp",15,MAX(0.1,Skills!D7-IF(Skills!E7=TRUE,(Inputs!$B$32+1),0)))*(1-IF(AND(ArtifactsInput!$M$27,Inputs!$B$4="Chapter Hunt"),CHOOSE(ArtifactsInput!$N$27+1,20,24,28,32,36,40),0)/100)))))/Skills!H7,1)))/Inputs!$B$43),G1067*Q1067)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1067*(1-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1067*(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1067*(1-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1067*(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7">
        <f>IF(C1067,(H1067*N1067*IF(AND(Inputs!$B$38&lt;&gt;"pvp",Inputs!$B$43&gt;0),((Skills!G7*((R1067-1)*IF(Skills!H7&gt;0,Skills!I7/Skills!H7,1)+IF(Skills!H7&gt;0,MIN(Skills!I7,MAX(0,MAX(0,Inputs!$B$43-B1097)-((R1067-1)*(IF(Inputs!$B$38="pvp",15,MAX(0.1,Skills!D7-IF(Skills!E7=TRUE,(Inputs!$B$32+1),0)))*(1-IF(AND(ArtifactsInput!$M$27,Inputs!$B$4="Chapter Hunt"),CHOOSE(ArtifactsInput!$N$27+1,20,24,28,32,36,40),0)/100)))))/Skills!H7,1)))/Inputs!$B$43),G1067*Q1067))*IF(Inputs!$B$38="pvp",1,(1+(Inputs!$B$21+Skills!Q7+(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8">
      <c r="A1068">
        <f>Skills!A8</f>
        <v/>
      </c>
      <c r="B1068">
        <f>Skills!B8</f>
        <v/>
      </c>
      <c r="C1068">
        <f>Inputs!$B$3&gt;=100</f>
        <v/>
      </c>
      <c r="D1068">
        <f>IF(Skills!C8=1,60+Inputs!$B$25+Inputs!$B$29,IF(Skills!C8=2,90+Inputs!$B$26+Inputs!$B$29,IF(Skills!C8=3,120+Inputs!$B$27+Inputs!$B$29,MAX(0,(Inputs!$B$3-100)*3)+Inputs!$B$28+Inputs!$B$29)))</f>
        <v/>
      </c>
      <c r="E1068">
        <f>INDEX(FactorTable!$B$2:$Y$301, MATCH(ROUND(MIN(300,MAX(1,D1068)),0), FactorTable!$A$2:$A$301,0), Skills!M8+1)</f>
        <v/>
      </c>
      <c r="F1068">
        <f>IF(Skills!N8=TRUE,(Skills!L8/10)*(E1068/1000),Skills!L8/10)+Skills!O8</f>
        <v/>
      </c>
      <c r="G1068">
        <f>Skills!G8*IF(Skills!H8&gt;0,Skills!I8/Skills!H8,1)</f>
        <v/>
      </c>
      <c r="H1068">
        <f>1-(1-Skills!J8/100)^Skills!K8</f>
        <v/>
      </c>
      <c r="I1068" t="inlineStr">
        <is>
          <t>1</t>
        </is>
      </c>
      <c r="J1068">
        <f>((Inputs!$B$6*(1+Inputs!$B$7/100))+(((Inputs!$B$12*(1+Inputs!$B$13/100))-(Inputs!$B$12*(1+Inputs!$B$13/100)))+0.25*(Inputs!$B$14-Inputs!$B$14))*(1+Inputs!$B$7/100))*(F1068/100)</f>
        <v/>
      </c>
      <c r="K1068">
        <f>J1068*(1+((Inputs!$B$12*(1+Inputs!$B$13/100))*0.01+Inputs!$B$14*0.0025)/100)*(1+Inputs!$B$15/100)*(1+Inputs!$B$16/100)*(5000/(6000+Inputs!$B$42*(1-(100*(1-(1-(Inputs!$B$19+0)/100)*(1-CHOOSE(ArtifactsInput!$N$40+1,5,6,7,8,9,10)/100)^(ArtifactsInput!$M$40-ArtifactsInput!$M$40)))/100)))*(1+(Inputs!$B$24+((C1086=TRUE)*(F1086-Calc!F26))+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1083=TRUE)*(F1083-Calc!F23))+((C1087=TRUE)*(F1087-Calc!F27))+(((IF(AND(ArtifactsInput!$M$42,((Inputs!$B$9+((C1079=TRUE)*(F1079-Calc!F19))+B1090+(ArtifactsInput!$M$24-ArtifactsInput!$M$24)*CHOOSE(ArtifactsInput!$N$24+1,10,12,14,16,18,20)+IF(ArtifactsInput!$M$10,CHOOSE(ArtifactsInput!$N$10+1,15,18,21,24,27,30)*(IF(Inputs!$B$38="pvp",MIN(15,15)/15,IF(AND(Inputs!$B$38&lt;&gt;"pvp",Inputs!$B$43&gt;0),MIN(15,Inputs!$B$43)/(Inputs!$B$43),0))),0)))&gt;=100),MIN(100,((Inputs!$B$9+((C1079=TRUE)*(F1079-Calc!F19))+B1090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1079=TRUE)*(F1079-Calc!F19))+B1090+(ArtifactsInput!$M$24-ArtifactsInput!$M$24)*CHOOSE(ArtifactsInput!$N$24+1,10,12,14,16,18,20)+IF(ArtifactsInput!$M$10,CHOOSE(ArtifactsInput!$N$10+1,15,18,21,24,27,30)*(IF(Inputs!$B$38="pvp",MIN(15,15)/15,IF(AND(Inputs!$B$38&lt;&gt;"pvp",Inputs!$B$43&gt;0),MIN(15,Inputs!$B$43)/(Inputs!$B$43),0))),0)))&gt;=100),CHOOSE(ArtifactsInput!$N$42+1,40,48,56,64,72,80),0))))/100)*((1+(((C1077=TRUE)*F1077)+((C1084=TRUE)*(F1084-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1068)</f>
        <v/>
      </c>
      <c r="L1068">
        <f>K1068*(MIN(Inputs!$B$22+((C1082=TRUE)*(F1082-Calc!F22)),(Inputs!$B$23+0+(IF(ArtifactsInput!$M$15,CHOOSE(ArtifactsInput!$N$15+1,25,30,35,40,45,50)/100*(Inputs!$B$11-Inputs!$B$11),0))))/100+(Inputs!$B$23+0+(IF(ArtifactsInput!$M$15,CHOOSE(ArtifactsInput!$N$15+1,25,30,35,40,45,50)/100*(Inputs!$B$11-Inputs!$B$11),0)))/100)/2</f>
        <v/>
      </c>
      <c r="M1068">
        <f>L1068*(1+(Inputs!$B$10+((C1085=TRUE)*(F1085-Calc!F25))+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8">
        <f>L1068*(1-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1068*(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8">
        <f>(1-Summary!$B$11)*T1068+Summary!$B$11*V1068</f>
        <v/>
      </c>
      <c r="P1068">
        <f>IF(B1100=0,0,O1068/B1100)</f>
        <v/>
      </c>
      <c r="Q1068">
        <f>IFERROR(1/(IF(Inputs!$B$38="pvp",15,MAX(0.1,Skills!D8-IF(Skills!E8=TRUE,(Inputs!$B$32+1),0)))*(1-IF(AND(ArtifactsInput!$M$27,Inputs!$B$4="Chapter Hunt"),CHOOSE(ArtifactsInput!$N$27+1,20,24,28,32,36,40),0)/100)),0)</f>
        <v/>
      </c>
      <c r="R1068">
        <f>IF(AND(Inputs!$B$38&lt;&gt;"pvp",Inputs!$B$43&gt;0),IF(MAX(0,Inputs!$B$43-B1097)&lt;=0,0,(INT(MAX(0,Inputs!$B$43-B1097)/(IF(Inputs!$B$38="pvp",15,MAX(0.1,Skills!D8-IF(Skills!E8=TRUE,(Inputs!$B$32+1),0)))*(1-IF(AND(ArtifactsInput!$M$27,Inputs!$B$4="Chapter Hunt"),CHOOSE(ArtifactsInput!$N$27+1,20,24,28,32,36,40),0)/100)))+1)),0)</f>
        <v/>
      </c>
      <c r="S1068">
        <f>IFERROR(O1068/N1068,0)</f>
        <v/>
      </c>
      <c r="T1068">
        <f>IF(C1068,(H1068*N1068*IF(AND(Inputs!$B$38&lt;&gt;"pvp",Inputs!$B$43&gt;0),((Skills!G8*((R1068-1)*IF(Skills!H8&gt;0,Skills!I8/Skills!H8,1)+IF(Skills!H8&gt;0,MIN(Skills!I8,MAX(0,MAX(0,Inputs!$B$43-B1097)-((R1068-1)*(IF(Inputs!$B$38="pvp",15,MAX(0.1,Skills!D8-IF(Skills!E8=TRUE,(Inputs!$B$32+1),0)))*(1-IF(AND(ArtifactsInput!$M$27,Inputs!$B$4="Chapter Hunt"),CHOOSE(ArtifactsInput!$N$27+1,20,24,28,32,36,40),0)/100)))))/Skills!H8,1)))/Inputs!$B$43),G1068*Q1068)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1068*(1-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1068*(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1068*(1-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1068*(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8">
        <f>IF(C1068,(H1068*N1068*IF(AND(Inputs!$B$38&lt;&gt;"pvp",Inputs!$B$43&gt;0),((Skills!G8*((R1068-1)*IF(Skills!H8&gt;0,Skills!I8/Skills!H8,1)+IF(Skills!H8&gt;0,MIN(Skills!I8,MAX(0,MAX(0,Inputs!$B$43-B1097)-((R1068-1)*(IF(Inputs!$B$38="pvp",15,MAX(0.1,Skills!D8-IF(Skills!E8=TRUE,(Inputs!$B$32+1),0)))*(1-IF(AND(ArtifactsInput!$M$27,Inputs!$B$4="Chapter Hunt"),CHOOSE(ArtifactsInput!$N$27+1,20,24,28,32,36,40),0)/100)))))/Skills!H8,1)))/Inputs!$B$43),G1068*Q1068))*IF(Inputs!$B$38="pvp",1,(1+(Inputs!$B$21+Skills!Q8+(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9">
      <c r="A1069">
        <f>Skills!A9</f>
        <v/>
      </c>
      <c r="B1069">
        <f>Skills!B9</f>
        <v/>
      </c>
      <c r="C1069">
        <f>Inputs!$B$3&gt;=103</f>
        <v/>
      </c>
      <c r="D1069">
        <f>IF(Skills!C9=1,60+Inputs!$B$25+Inputs!$B$29,IF(Skills!C9=2,90+Inputs!$B$26+Inputs!$B$29,IF(Skills!C9=3,120+Inputs!$B$27+Inputs!$B$29,MAX(0,(Inputs!$B$3-100)*3)+Inputs!$B$28+Inputs!$B$29)))</f>
        <v/>
      </c>
      <c r="E1069">
        <f>INDEX(FactorTable!$B$2:$Y$301, MATCH(ROUND(MIN(300,MAX(1,D1069)),0), FactorTable!$A$2:$A$301,0), Skills!M9+1)</f>
        <v/>
      </c>
      <c r="F1069">
        <f>IF(Skills!N9=TRUE,(Skills!L9/10)*(E1069/1000),Skills!L9/10)+Skills!O9</f>
        <v/>
      </c>
      <c r="G1069">
        <f>Skills!G9*IF(Skills!H9&gt;0,Skills!I9/Skills!H9,1)</f>
        <v/>
      </c>
      <c r="H1069">
        <f>1-(1-Skills!J9/100)^Skills!K9</f>
        <v/>
      </c>
      <c r="I1069" t="inlineStr">
        <is>
          <t>1</t>
        </is>
      </c>
      <c r="J1069">
        <f>((Inputs!$B$6*(1+Inputs!$B$7/100))+(((Inputs!$B$12*(1+Inputs!$B$13/100))-(Inputs!$B$12*(1+Inputs!$B$13/100)))+0.25*(Inputs!$B$14-Inputs!$B$14))*(1+Inputs!$B$7/100))*(F1069/100)</f>
        <v/>
      </c>
      <c r="K1069">
        <f>J1069*(1+((Inputs!$B$12*(1+Inputs!$B$13/100))*0.01+Inputs!$B$14*0.0025)/100)*(1+Inputs!$B$15/100)*(1+Inputs!$B$16/100)*(5000/(6000+Inputs!$B$42*(1-(100*(1-(1-(Inputs!$B$19+0)/100)*(1-CHOOSE(ArtifactsInput!$N$40+1,5,6,7,8,9,10)/100)^(ArtifactsInput!$M$40-ArtifactsInput!$M$40)))/100)))*(1+(Inputs!$B$24+((C1086=TRUE)*(F1086-Calc!F26))+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1083=TRUE)*(F1083-Calc!F23))+((C1087=TRUE)*(F1087-Calc!F27))+(((IF(AND(ArtifactsInput!$M$42,((Inputs!$B$9+((C1079=TRUE)*(F1079-Calc!F19))+B1090+(ArtifactsInput!$M$24-ArtifactsInput!$M$24)*CHOOSE(ArtifactsInput!$N$24+1,10,12,14,16,18,20)+IF(ArtifactsInput!$M$10,CHOOSE(ArtifactsInput!$N$10+1,15,18,21,24,27,30)*(IF(Inputs!$B$38="pvp",MIN(15,15)/15,IF(AND(Inputs!$B$38&lt;&gt;"pvp",Inputs!$B$43&gt;0),MIN(15,Inputs!$B$43)/(Inputs!$B$43),0))),0)))&gt;=100),MIN(100,((Inputs!$B$9+((C1079=TRUE)*(F1079-Calc!F19))+B1090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1079=TRUE)*(F1079-Calc!F19))+B1090+(ArtifactsInput!$M$24-ArtifactsInput!$M$24)*CHOOSE(ArtifactsInput!$N$24+1,10,12,14,16,18,20)+IF(ArtifactsInput!$M$10,CHOOSE(ArtifactsInput!$N$10+1,15,18,21,24,27,30)*(IF(Inputs!$B$38="pvp",MIN(15,15)/15,IF(AND(Inputs!$B$38&lt;&gt;"pvp",Inputs!$B$43&gt;0),MIN(15,Inputs!$B$43)/(Inputs!$B$43),0))),0)))&gt;=100),CHOOSE(ArtifactsInput!$N$42+1,40,48,56,64,72,80),0))))/100)*((1+(((C1077=TRUE)*F1077)+((C1084=TRUE)*(F1084-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1069)</f>
        <v/>
      </c>
      <c r="L1069">
        <f>K1069*(MIN(Inputs!$B$22+((C1082=TRUE)*(F1082-Calc!F22)),(Inputs!$B$23+0+(IF(ArtifactsInput!$M$15,CHOOSE(ArtifactsInput!$N$15+1,25,30,35,40,45,50)/100*(Inputs!$B$11-Inputs!$B$11),0))))/100+(Inputs!$B$23+0+(IF(ArtifactsInput!$M$15,CHOOSE(ArtifactsInput!$N$15+1,25,30,35,40,45,50)/100*(Inputs!$B$11-Inputs!$B$11),0)))/100)/2</f>
        <v/>
      </c>
      <c r="M1069">
        <f>L1069*(1+(Inputs!$B$10+((C1085=TRUE)*(F1085-Calc!F25))+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9">
        <f>L1069*(1-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1069*(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9">
        <f>(1-Summary!$B$11)*T1069+Summary!$B$11*V1069</f>
        <v/>
      </c>
      <c r="P1069">
        <f>IF(B1100=0,0,O1069/B1100)</f>
        <v/>
      </c>
      <c r="Q1069">
        <f>IFERROR(1/(IF(Inputs!$B$38="pvp",15,MAX(0.1,Skills!D9-IF(Skills!E9=TRUE,(Inputs!$B$32+1),0)))*(1-IF(AND(ArtifactsInput!$M$27,Inputs!$B$4="Chapter Hunt"),CHOOSE(ArtifactsInput!$N$27+1,20,24,28,32,36,40),0)/100)),0)</f>
        <v/>
      </c>
      <c r="R1069">
        <f>IF(AND(Inputs!$B$38&lt;&gt;"pvp",Inputs!$B$43&gt;0),IF(MAX(0,Inputs!$B$43-B1097)&lt;=0,0,(INT(MAX(0,Inputs!$B$43-B1097)/(IF(Inputs!$B$38="pvp",15,MAX(0.1,Skills!D9-IF(Skills!E9=TRUE,(Inputs!$B$32+1),0)))*(1-IF(AND(ArtifactsInput!$M$27,Inputs!$B$4="Chapter Hunt"),CHOOSE(ArtifactsInput!$N$27+1,20,24,28,32,36,40),0)/100)))+1)),0)</f>
        <v/>
      </c>
      <c r="S1069">
        <f>IFERROR(O1069/N1069,0)</f>
        <v/>
      </c>
      <c r="T1069">
        <f>IF(C1069,(H1069*N1069*IF(AND(Inputs!$B$38&lt;&gt;"pvp",Inputs!$B$43&gt;0),((Skills!G9*((R1069-1)*IF(Skills!H9&gt;0,Skills!I9/Skills!H9,1)+IF(Skills!H9&gt;0,MIN(Skills!I9,MAX(0,MAX(0,Inputs!$B$43-B1097)-((R1069-1)*(IF(Inputs!$B$38="pvp",15,MAX(0.1,Skills!D9-IF(Skills!E9=TRUE,(Inputs!$B$32+1),0)))*(1-IF(AND(ArtifactsInput!$M$27,Inputs!$B$4="Chapter Hunt"),CHOOSE(ArtifactsInput!$N$27+1,20,24,28,32,36,40),0)/100)))))/Skills!H9,1)))/Inputs!$B$43),G1069*Q1069)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1069*(1-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1069*(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1069*(1-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1069*(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9">
        <f>IF(C1069,(H1069*N1069*IF(AND(Inputs!$B$38&lt;&gt;"pvp",Inputs!$B$43&gt;0),((Skills!G9*((R1069-1)*IF(Skills!H9&gt;0,Skills!I9/Skills!H9,1)+IF(Skills!H9&gt;0,MIN(Skills!I9,MAX(0,MAX(0,Inputs!$B$43-B1097)-((R1069-1)*(IF(Inputs!$B$38="pvp",15,MAX(0.1,Skills!D9-IF(Skills!E9=TRUE,(Inputs!$B$32+1),0)))*(1-IF(AND(ArtifactsInput!$M$27,Inputs!$B$4="Chapter Hunt"),CHOOSE(ArtifactsInput!$N$27+1,20,24,28,32,36,40),0)/100)))))/Skills!H9,1)))/Inputs!$B$43),G1069*Q1069))*IF(Inputs!$B$38="pvp",1,(1+(Inputs!$B$21+Skills!Q9+(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0">
      <c r="A1070">
        <f>Skills!A10</f>
        <v/>
      </c>
      <c r="B1070">
        <f>Skills!B10</f>
        <v/>
      </c>
      <c r="C1070">
        <f>Inputs!$B$3&gt;=113</f>
        <v/>
      </c>
      <c r="D1070">
        <f>IF(Skills!C10=1,60+Inputs!$B$25+Inputs!$B$29,IF(Skills!C10=2,90+Inputs!$B$26+Inputs!$B$29,IF(Skills!C10=3,120+Inputs!$B$27+Inputs!$B$29,MAX(0,(Inputs!$B$3-100)*3)+Inputs!$B$28+Inputs!$B$29)))</f>
        <v/>
      </c>
      <c r="E1070">
        <f>INDEX(FactorTable!$B$2:$Y$301, MATCH(ROUND(MIN(300,MAX(1,D1070)),0), FactorTable!$A$2:$A$301,0), Skills!M10+1)</f>
        <v/>
      </c>
      <c r="F1070">
        <f>IF(Skills!N10=TRUE,(Skills!L10/10)*(E1070/1000),Skills!L10/10)+Skills!O10</f>
        <v/>
      </c>
      <c r="G1070">
        <f>Skills!G10*IF(Skills!H10&gt;0,Skills!I10/Skills!H10,1)</f>
        <v/>
      </c>
      <c r="H1070">
        <f>1-(1-Skills!J10/100)^Skills!K10</f>
        <v/>
      </c>
      <c r="I1070" t="inlineStr">
        <is>
          <t>1</t>
        </is>
      </c>
      <c r="J1070">
        <f>((Inputs!$B$6*(1+Inputs!$B$7/100))+(((Inputs!$B$12*(1+Inputs!$B$13/100))-(Inputs!$B$12*(1+Inputs!$B$13/100)))+0.25*(Inputs!$B$14-Inputs!$B$14))*(1+Inputs!$B$7/100))*(F1070/100)</f>
        <v/>
      </c>
      <c r="K1070">
        <f>J1070*(1+((Inputs!$B$12*(1+Inputs!$B$13/100))*0.01+Inputs!$B$14*0.0025)/100)*(1+Inputs!$B$15/100)*(1+Inputs!$B$16/100)*(5000/(6000+Inputs!$B$42*(1-(100*(1-(1-(Inputs!$B$19+0)/100)*(1-CHOOSE(ArtifactsInput!$N$40+1,5,6,7,8,9,10)/100)^(ArtifactsInput!$M$40-ArtifactsInput!$M$40)))/100)))*(1+(Inputs!$B$24+((C1086=TRUE)*(F1086-Calc!F26))+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1083=TRUE)*(F1083-Calc!F23))+((C1087=TRUE)*(F1087-Calc!F27))+(((IF(AND(ArtifactsInput!$M$42,((Inputs!$B$9+((C1079=TRUE)*(F1079-Calc!F19))+B1090+(ArtifactsInput!$M$24-ArtifactsInput!$M$24)*CHOOSE(ArtifactsInput!$N$24+1,10,12,14,16,18,20)+IF(ArtifactsInput!$M$10,CHOOSE(ArtifactsInput!$N$10+1,15,18,21,24,27,30)*(IF(Inputs!$B$38="pvp",MIN(15,15)/15,IF(AND(Inputs!$B$38&lt;&gt;"pvp",Inputs!$B$43&gt;0),MIN(15,Inputs!$B$43)/(Inputs!$B$43),0))),0)))&gt;=100),MIN(100,((Inputs!$B$9+((C1079=TRUE)*(F1079-Calc!F19))+B1090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1079=TRUE)*(F1079-Calc!F19))+B1090+(ArtifactsInput!$M$24-ArtifactsInput!$M$24)*CHOOSE(ArtifactsInput!$N$24+1,10,12,14,16,18,20)+IF(ArtifactsInput!$M$10,CHOOSE(ArtifactsInput!$N$10+1,15,18,21,24,27,30)*(IF(Inputs!$B$38="pvp",MIN(15,15)/15,IF(AND(Inputs!$B$38&lt;&gt;"pvp",Inputs!$B$43&gt;0),MIN(15,Inputs!$B$43)/(Inputs!$B$43),0))),0)))&gt;=100),CHOOSE(ArtifactsInput!$N$42+1,40,48,56,64,72,80),0))))/100)*((1+(((C1077=TRUE)*F1077)+((C1084=TRUE)*(F1084-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1070)</f>
        <v/>
      </c>
      <c r="L1070">
        <f>K1070*(MIN(Inputs!$B$22+((C1082=TRUE)*(F1082-Calc!F22)),(Inputs!$B$23+0+(IF(ArtifactsInput!$M$15,CHOOSE(ArtifactsInput!$N$15+1,25,30,35,40,45,50)/100*(Inputs!$B$11-Inputs!$B$11),0))))/100+(Inputs!$B$23+0+(IF(ArtifactsInput!$M$15,CHOOSE(ArtifactsInput!$N$15+1,25,30,35,40,45,50)/100*(Inputs!$B$11-Inputs!$B$11),0)))/100)/2</f>
        <v/>
      </c>
      <c r="M1070">
        <f>L1070*(1+(Inputs!$B$10+((C1085=TRUE)*(F1085-Calc!F25))+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0">
        <f>L1070*(1-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1070*(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0">
        <f>(1-Summary!$B$11)*T1070+Summary!$B$11*V1070</f>
        <v/>
      </c>
      <c r="P1070">
        <f>IF(B1100=0,0,O1070/B1100)</f>
        <v/>
      </c>
      <c r="Q1070">
        <f>IFERROR(1/(IF(Inputs!$B$38="pvp",15,MAX(0.1,Skills!D10-IF(Skills!E10=TRUE,(Inputs!$B$32+1),0)))*(1-IF(AND(ArtifactsInput!$M$27,Inputs!$B$4="Chapter Hunt"),CHOOSE(ArtifactsInput!$N$27+1,20,24,28,32,36,40),0)/100)),0)</f>
        <v/>
      </c>
      <c r="R1070">
        <f>IF(AND(Inputs!$B$38&lt;&gt;"pvp",Inputs!$B$43&gt;0),IF(MAX(0,Inputs!$B$43-B1097)&lt;=0,0,(INT(MAX(0,Inputs!$B$43-B1097)/(IF(Inputs!$B$38="pvp",15,MAX(0.1,Skills!D10-IF(Skills!E10=TRUE,(Inputs!$B$32+1),0)))*(1-IF(AND(ArtifactsInput!$M$27,Inputs!$B$4="Chapter Hunt"),CHOOSE(ArtifactsInput!$N$27+1,20,24,28,32,36,40),0)/100)))+1)),0)</f>
        <v/>
      </c>
      <c r="S1070">
        <f>IFERROR(O1070/N1070,0)</f>
        <v/>
      </c>
      <c r="T1070">
        <f>IF(C1070,(H1070*N1070*IF(AND(Inputs!$B$38&lt;&gt;"pvp",Inputs!$B$43&gt;0),((Skills!G10*((R1070-1)*IF(Skills!H10&gt;0,Skills!I10/Skills!H10,1)+IF(Skills!H10&gt;0,MIN(Skills!I10,MAX(0,MAX(0,Inputs!$B$43-B1097)-((R1070-1)*(IF(Inputs!$B$38="pvp",15,MAX(0.1,Skills!D10-IF(Skills!E10=TRUE,(Inputs!$B$32+1),0)))*(1-IF(AND(ArtifactsInput!$M$27,Inputs!$B$4="Chapter Hunt"),CHOOSE(ArtifactsInput!$N$27+1,20,24,28,32,36,40),0)/100)))))/Skills!H10,1)))/Inputs!$B$43),G1070*Q1070)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1070*(1-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1070*(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1070*(1-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1070*(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0">
        <f>IF(C1070,(H1070*N1070*IF(AND(Inputs!$B$38&lt;&gt;"pvp",Inputs!$B$43&gt;0),((Skills!G10*((R1070-1)*IF(Skills!H10&gt;0,Skills!I10/Skills!H10,1)+IF(Skills!H10&gt;0,MIN(Skills!I10,MAX(0,MAX(0,Inputs!$B$43-B1097)-((R1070-1)*(IF(Inputs!$B$38="pvp",15,MAX(0.1,Skills!D10-IF(Skills!E10=TRUE,(Inputs!$B$32+1),0)))*(1-IF(AND(ArtifactsInput!$M$27,Inputs!$B$4="Chapter Hunt"),CHOOSE(ArtifactsInput!$N$27+1,20,24,28,32,36,40),0)/100)))))/Skills!H10,1)))/Inputs!$B$43),G1070*Q1070))*IF(Inputs!$B$38="pvp",1,(1+(Inputs!$B$21+Skills!Q10+(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1">
      <c r="A1071">
        <f>Skills!A11</f>
        <v/>
      </c>
      <c r="B1071">
        <f>Skills!B11</f>
        <v/>
      </c>
      <c r="C1071">
        <f>Inputs!$B$3&gt;=107</f>
        <v/>
      </c>
      <c r="D1071">
        <f>IF(Skills!C11=1,60+Inputs!$B$25+Inputs!$B$29,IF(Skills!C11=2,90+Inputs!$B$26+Inputs!$B$29,IF(Skills!C11=3,120+Inputs!$B$27+Inputs!$B$29,MAX(0,(Inputs!$B$3-100)*3)+Inputs!$B$28+Inputs!$B$29)))</f>
        <v/>
      </c>
      <c r="E1071">
        <f>INDEX(FactorTable!$B$2:$Y$301, MATCH(ROUND(MIN(300,MAX(1,D1071)),0), FactorTable!$A$2:$A$301,0), Skills!M11+1)</f>
        <v/>
      </c>
      <c r="F1071">
        <f>IF(Skills!N11=TRUE,(Skills!L11/10)*(E1071/1000),Skills!L11/10)+Skills!O11</f>
        <v/>
      </c>
      <c r="G1071">
        <f>Skills!G11*IF(Skills!H11&gt;0,Skills!I11/Skills!H11,1)</f>
        <v/>
      </c>
      <c r="H1071">
        <f>1-(1-Skills!J11/100)^Skills!K11</f>
        <v/>
      </c>
      <c r="I1071" t="inlineStr">
        <is>
          <t>1</t>
        </is>
      </c>
      <c r="J1071">
        <f>((Inputs!$B$6*(1+Inputs!$B$7/100))+(((Inputs!$B$12*(1+Inputs!$B$13/100))-(Inputs!$B$12*(1+Inputs!$B$13/100)))+0.25*(Inputs!$B$14-Inputs!$B$14))*(1+Inputs!$B$7/100))*(F1071/100)</f>
        <v/>
      </c>
      <c r="K1071">
        <f>J1071*(1+((Inputs!$B$12*(1+Inputs!$B$13/100))*0.01+Inputs!$B$14*0.0025)/100)*(1+Inputs!$B$15/100)*(1+Inputs!$B$16/100)*(5000/(6000+Inputs!$B$42*(1-(100*(1-(1-(Inputs!$B$19+0)/100)*(1-CHOOSE(ArtifactsInput!$N$40+1,5,6,7,8,9,10)/100)^(ArtifactsInput!$M$40-ArtifactsInput!$M$40)))/100)))*(1+(Inputs!$B$24+((C1086=TRUE)*(F1086-Calc!F26))+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1083=TRUE)*(F1083-Calc!F23))+((C1087=TRUE)*(F1087-Calc!F27))+(((IF(AND(ArtifactsInput!$M$42,((Inputs!$B$9+((C1079=TRUE)*(F1079-Calc!F19))+B1090+(ArtifactsInput!$M$24-ArtifactsInput!$M$24)*CHOOSE(ArtifactsInput!$N$24+1,10,12,14,16,18,20)+IF(ArtifactsInput!$M$10,CHOOSE(ArtifactsInput!$N$10+1,15,18,21,24,27,30)*(IF(Inputs!$B$38="pvp",MIN(15,15)/15,IF(AND(Inputs!$B$38&lt;&gt;"pvp",Inputs!$B$43&gt;0),MIN(15,Inputs!$B$43)/(Inputs!$B$43),0))),0)))&gt;=100),MIN(100,((Inputs!$B$9+((C1079=TRUE)*(F1079-Calc!F19))+B1090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1079=TRUE)*(F1079-Calc!F19))+B1090+(ArtifactsInput!$M$24-ArtifactsInput!$M$24)*CHOOSE(ArtifactsInput!$N$24+1,10,12,14,16,18,20)+IF(ArtifactsInput!$M$10,CHOOSE(ArtifactsInput!$N$10+1,15,18,21,24,27,30)*(IF(Inputs!$B$38="pvp",MIN(15,15)/15,IF(AND(Inputs!$B$38&lt;&gt;"pvp",Inputs!$B$43&gt;0),MIN(15,Inputs!$B$43)/(Inputs!$B$43),0))),0)))&gt;=100),CHOOSE(ArtifactsInput!$N$42+1,40,48,56,64,72,80),0))))/100)*((1+(((C1077=TRUE)*F1077)+((C1084=TRUE)*(F1084-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1071)</f>
        <v/>
      </c>
      <c r="L1071">
        <f>K1071*(MIN(Inputs!$B$22+((C1082=TRUE)*(F1082-Calc!F22)),(Inputs!$B$23+0+(IF(ArtifactsInput!$M$15,CHOOSE(ArtifactsInput!$N$15+1,25,30,35,40,45,50)/100*(Inputs!$B$11-Inputs!$B$11),0))))/100+(Inputs!$B$23+0+(IF(ArtifactsInput!$M$15,CHOOSE(ArtifactsInput!$N$15+1,25,30,35,40,45,50)/100*(Inputs!$B$11-Inputs!$B$11),0)))/100)/2</f>
        <v/>
      </c>
      <c r="M1071">
        <f>L1071*(1+(Inputs!$B$10+((C1085=TRUE)*(F1085-Calc!F25))+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1">
        <f>L1071*(1-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1071*(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1">
        <f>(1-Summary!$B$11)*T1071+Summary!$B$11*V1071</f>
        <v/>
      </c>
      <c r="P1071">
        <f>IF(B1100=0,0,O1071/B1100)</f>
        <v/>
      </c>
      <c r="Q1071">
        <f>IFERROR(1/(IF(Inputs!$B$38="pvp",15,MAX(0.1,Skills!D11-IF(Skills!E11=TRUE,(Inputs!$B$32+1),0)))*(1-IF(AND(ArtifactsInput!$M$27,Inputs!$B$4="Chapter Hunt"),CHOOSE(ArtifactsInput!$N$27+1,20,24,28,32,36,40),0)/100)),0)</f>
        <v/>
      </c>
      <c r="R1071">
        <f>IF(AND(Inputs!$B$38&lt;&gt;"pvp",Inputs!$B$43&gt;0),IF(MAX(0,Inputs!$B$43-B1097)&lt;=0,0,(INT(MAX(0,Inputs!$B$43-B1097)/(IF(Inputs!$B$38="pvp",15,MAX(0.1,Skills!D11-IF(Skills!E11=TRUE,(Inputs!$B$32+1),0)))*(1-IF(AND(ArtifactsInput!$M$27,Inputs!$B$4="Chapter Hunt"),CHOOSE(ArtifactsInput!$N$27+1,20,24,28,32,36,40),0)/100)))+1)),0)</f>
        <v/>
      </c>
      <c r="S1071">
        <f>IFERROR(O1071/N1071,0)</f>
        <v/>
      </c>
      <c r="T1071">
        <f>IF(C1071,(H1071*N1071*IF(AND(Inputs!$B$38&lt;&gt;"pvp",Inputs!$B$43&gt;0),((Skills!G11*((R1071-1)*IF(Skills!H11&gt;0,Skills!I11/Skills!H11,1)+IF(Skills!H11&gt;0,MIN(Skills!I11,MAX(0,MAX(0,Inputs!$B$43-B1097)-((R1071-1)*(IF(Inputs!$B$38="pvp",15,MAX(0.1,Skills!D11-IF(Skills!E11=TRUE,(Inputs!$B$32+1),0)))*(1-IF(AND(ArtifactsInput!$M$27,Inputs!$B$4="Chapter Hunt"),CHOOSE(ArtifactsInput!$N$27+1,20,24,28,32,36,40),0)/100)))))/Skills!H11,1)))/Inputs!$B$43),G1071*Q1071)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1071*(1-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1071*(1-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1">
        <f>IF(C1071,(H1071*N1071*IF(AND(Inputs!$B$38&lt;&gt;"pvp",Inputs!$B$43&gt;0),((Skills!G11*((R1071-1)*IF(Skills!H11&gt;0,Skills!I11/Skills!H11,1)+IF(Skills!H11&gt;0,MIN(Skills!I11,MAX(0,MAX(0,Inputs!$B$43-B1097)-((R1071-1)*(IF(Inputs!$B$38="pvp",15,MAX(0.1,Skills!D11-IF(Skills!E11=TRUE,(Inputs!$B$32+1),0)))*(1-IF(AND(ArtifactsInput!$M$27,Inputs!$B$4="Chapter Hunt"),CHOOSE(ArtifactsInput!$N$27+1,20,24,28,32,36,40),0)/100)))))/Skills!H11,1)))/Inputs!$B$43),G1071*Q1071))*IF(Inputs!$B$38="pvp",1,(1+(Inputs!$B$21+Skills!Q11+(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2">
      <c r="A1072">
        <f>Skills!A12</f>
        <v/>
      </c>
      <c r="B1072">
        <f>Skills!B12</f>
        <v/>
      </c>
      <c r="C1072">
        <f>Inputs!$B$3&gt;=110</f>
        <v/>
      </c>
      <c r="D1072">
        <f>IF(Skills!C12=1,60+Inputs!$B$25+Inputs!$B$29,IF(Skills!C12=2,90+Inputs!$B$26+Inputs!$B$29,IF(Skills!C12=3,120+Inputs!$B$27+Inputs!$B$29,MAX(0,(Inputs!$B$3-100)*3)+Inputs!$B$28+Inputs!$B$29)))</f>
        <v/>
      </c>
      <c r="E1072">
        <f>INDEX(FactorTable!$B$2:$Y$301, MATCH(ROUND(MIN(300,MAX(1,D1072)),0), FactorTable!$A$2:$A$301,0), Skills!M12+1)</f>
        <v/>
      </c>
      <c r="F1072">
        <f>IF(Skills!N12=TRUE,(Skills!L12/10)*(E1072/1000),Skills!L12/10)+Skills!O12</f>
        <v/>
      </c>
      <c r="G1072">
        <f>Skills!G12*IF(Skills!H12&gt;0,Skills!I12/Skills!H12,1)</f>
        <v/>
      </c>
      <c r="H1072">
        <f>1-(1-Skills!J12/100)^Skills!K12</f>
        <v/>
      </c>
      <c r="I1072" t="inlineStr">
        <is>
          <t>1</t>
        </is>
      </c>
      <c r="J1072">
        <f>((Inputs!$B$6*(1+Inputs!$B$7/100))+(((Inputs!$B$12*(1+Inputs!$B$13/100))-(Inputs!$B$12*(1+Inputs!$B$13/100)))+0.25*(Inputs!$B$14-Inputs!$B$14))*(1+Inputs!$B$7/100))*(F1072/100)</f>
        <v/>
      </c>
      <c r="K1072">
        <f>J1072*(1+((Inputs!$B$12*(1+Inputs!$B$13/100))*0.01+Inputs!$B$14*0.0025)/100)*(1+Inputs!$B$15/100)*(1+Inputs!$B$16/100)*(5000/(6000+Inputs!$B$42*(1-(100*(1-(1-(Inputs!$B$19+0)/100)*(1-CHOOSE(ArtifactsInput!$N$40+1,5,6,7,8,9,10)/100)^(ArtifactsInput!$M$40-ArtifactsInput!$M$40)))/100)))*(1+(Inputs!$B$24+((C1086=TRUE)*(F1086-Calc!F26))+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1083=TRUE)*(F1083-Calc!F23))+((C1087=TRUE)*(F1087-Calc!F27))+(((IF(AND(ArtifactsInput!$M$42,((Inputs!$B$9+((C1079=TRUE)*(F1079-Calc!F19))+B1090+(ArtifactsInput!$M$24-ArtifactsInput!$M$24)*CHOOSE(ArtifactsInput!$N$24+1,10,12,14,16,18,20)+IF(ArtifactsInput!$M$10,CHOOSE(ArtifactsInput!$N$10+1,15,18,21,24,27,30)*(IF(Inputs!$B$38="pvp",MIN(15,15)/15,IF(AND(Inputs!$B$38&lt;&gt;"pvp",Inputs!$B$43&gt;0),MIN(15,Inputs!$B$43)/(Inputs!$B$43),0))),0)))&gt;=100),MIN(100,((Inputs!$B$9+((C1079=TRUE)*(F1079-Calc!F19))+B1090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1079=TRUE)*(F1079-Calc!F19))+B1090+(ArtifactsInput!$M$24-ArtifactsInput!$M$24)*CHOOSE(ArtifactsInput!$N$24+1,10,12,14,16,18,20)+IF(ArtifactsInput!$M$10,CHOOSE(ArtifactsInput!$N$10+1,15,18,21,24,27,30)*(IF(Inputs!$B$38="pvp",MIN(15,15)/15,IF(AND(Inputs!$B$38&lt;&gt;"pvp",Inputs!$B$43&gt;0),MIN(15,Inputs!$B$43)/(Inputs!$B$43),0))),0)))&gt;=100),CHOOSE(ArtifactsInput!$N$42+1,40,48,56,64,72,80),0))))/100)*((1+(((C1077=TRUE)*F1077)+((C1084=TRUE)*(F1084-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1072)</f>
        <v/>
      </c>
      <c r="L1072">
        <f>K1072*(MIN(Inputs!$B$22+((C1082=TRUE)*(F1082-Calc!F22)),(Inputs!$B$23+0+(IF(ArtifactsInput!$M$15,CHOOSE(ArtifactsInput!$N$15+1,25,30,35,40,45,50)/100*(Inputs!$B$11-Inputs!$B$11),0))))/100+(Inputs!$B$23+0+(IF(ArtifactsInput!$M$15,CHOOSE(ArtifactsInput!$N$15+1,25,30,35,40,45,50)/100*(Inputs!$B$11-Inputs!$B$11),0)))/100)/2</f>
        <v/>
      </c>
      <c r="M1072">
        <f>L1072*(1+(Inputs!$B$10+((C1085=TRUE)*(F1085-Calc!F25))+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2">
        <f>L1072*(1-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1072*(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2">
        <f>(1-Summary!$B$11)*T1072+Summary!$B$11*V1072</f>
        <v/>
      </c>
      <c r="P1072">
        <f>IF(B1100=0,0,O1072/B1100)</f>
        <v/>
      </c>
      <c r="Q1072">
        <f>IFERROR(1/(IF(Inputs!$B$38="pvp",15,MAX(0.1,Skills!D12-IF(Skills!E12=TRUE,(Inputs!$B$32+1),0)))*(1-IF(AND(ArtifactsInput!$M$27,Inputs!$B$4="Chapter Hunt"),CHOOSE(ArtifactsInput!$N$27+1,20,24,28,32,36,40),0)/100)),0)</f>
        <v/>
      </c>
      <c r="R1072">
        <f>IF(AND(Inputs!$B$38&lt;&gt;"pvp",Inputs!$B$43&gt;0),IF(MAX(0,Inputs!$B$43-B1097)&lt;=0,0,(INT(MAX(0,Inputs!$B$43-B1097)/(IF(Inputs!$B$38="pvp",15,MAX(0.1,Skills!D12-IF(Skills!E12=TRUE,(Inputs!$B$32+1),0)))*(1-IF(AND(ArtifactsInput!$M$27,Inputs!$B$4="Chapter Hunt"),CHOOSE(ArtifactsInput!$N$27+1,20,24,28,32,36,40),0)/100)))+1)),0)</f>
        <v/>
      </c>
      <c r="S1072">
        <f>IFERROR(O1072/N1072,0)</f>
        <v/>
      </c>
      <c r="T1072">
        <f>IF(C1072,(H1072*N1072*IF(AND(Inputs!$B$38&lt;&gt;"pvp",Inputs!$B$43&gt;0),((Skills!G12*((R1072-1)*IF(Skills!H12&gt;0,Skills!I12/Skills!H12,1)+IF(Skills!H12&gt;0,MIN(Skills!I12,MAX(0,MAX(0,Inputs!$B$43-B1097)-((R1072-1)*(IF(Inputs!$B$38="pvp",15,MAX(0.1,Skills!D12-IF(Skills!E12=TRUE,(Inputs!$B$32+1),0)))*(1-IF(AND(ArtifactsInput!$M$27,Inputs!$B$4="Chapter Hunt"),CHOOSE(ArtifactsInput!$N$27+1,20,24,28,32,36,40),0)/100)))))/Skills!H12,1)))/Inputs!$B$43),G1072*Q1072)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1072*(1-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1072*(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1072*(1-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1072*(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2">
        <f>IF(C1072,(H1072*N1072*IF(AND(Inputs!$B$38&lt;&gt;"pvp",Inputs!$B$43&gt;0),((Skills!G12*((R1072-1)*IF(Skills!H12&gt;0,Skills!I12/Skills!H12,1)+IF(Skills!H12&gt;0,MIN(Skills!I12,MAX(0,MAX(0,Inputs!$B$43-B1097)-((R1072-1)*(IF(Inputs!$B$38="pvp",15,MAX(0.1,Skills!D12-IF(Skills!E12=TRUE,(Inputs!$B$32+1),0)))*(1-IF(AND(ArtifactsInput!$M$27,Inputs!$B$4="Chapter Hunt"),CHOOSE(ArtifactsInput!$N$27+1,20,24,28,32,36,40),0)/100)))))/Skills!H12,1)))/Inputs!$B$43),G1072*Q1072))*IF(Inputs!$B$38="pvp",1,(1+(Inputs!$B$21+Skills!Q12+(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3">
      <c r="A1073">
        <f>Skills!A13</f>
        <v/>
      </c>
      <c r="B1073">
        <f>Skills!B13</f>
        <v/>
      </c>
      <c r="C1073">
        <f>Inputs!$B$3&gt;=110</f>
        <v/>
      </c>
      <c r="D1073">
        <f>IF(Skills!C13=1,60+Inputs!$B$25+Inputs!$B$29,IF(Skills!C13=2,90+Inputs!$B$26+Inputs!$B$29,IF(Skills!C13=3,120+Inputs!$B$27+Inputs!$B$29,MAX(0,(Inputs!$B$3-100)*3)+Inputs!$B$28+Inputs!$B$29)))</f>
        <v/>
      </c>
      <c r="E1073">
        <f>INDEX(FactorTable!$B$2:$Y$301, MATCH(ROUND(MIN(300,MAX(1,D1073)),0), FactorTable!$A$2:$A$301,0), Skills!M13+1)</f>
        <v/>
      </c>
      <c r="F1073">
        <f>IF(Skills!N13=TRUE,(Skills!L13/10)*(E1073/1000),Skills!L13/10)+Skills!O13</f>
        <v/>
      </c>
      <c r="G1073">
        <f>Skills!G13*IF(Skills!H13&gt;0,Skills!I13/Skills!H13,1)</f>
        <v/>
      </c>
      <c r="H1073">
        <f>1-(1-Skills!J13/100)^Skills!K13</f>
        <v/>
      </c>
      <c r="I1073" t="inlineStr">
        <is>
          <t>1</t>
        </is>
      </c>
      <c r="J1073">
        <f>((Inputs!$B$6*(1+Inputs!$B$7/100))+(((Inputs!$B$12*(1+Inputs!$B$13/100))-(Inputs!$B$12*(1+Inputs!$B$13/100)))+0.25*(Inputs!$B$14-Inputs!$B$14))*(1+Inputs!$B$7/100))*(F1073/100)</f>
        <v/>
      </c>
      <c r="K1073">
        <f>J1073*(1+((Inputs!$B$12*(1+Inputs!$B$13/100))*0.01+Inputs!$B$14*0.0025)/100)*(1+Inputs!$B$15/100)*(1+Inputs!$B$16/100)*(5000/(6000+Inputs!$B$42*(1-(100*(1-(1-(Inputs!$B$19+0)/100)*(1-CHOOSE(ArtifactsInput!$N$40+1,5,6,7,8,9,10)/100)^(ArtifactsInput!$M$40-ArtifactsInput!$M$40)))/100)))*(1+(Inputs!$B$24+((C1086=TRUE)*(F1086-Calc!F26))+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1083=TRUE)*(F1083-Calc!F23))+((C1087=TRUE)*(F1087-Calc!F27))+(((IF(AND(ArtifactsInput!$M$42,((Inputs!$B$9+((C1079=TRUE)*(F1079-Calc!F19))+B1090+(ArtifactsInput!$M$24-ArtifactsInput!$M$24)*CHOOSE(ArtifactsInput!$N$24+1,10,12,14,16,18,20)+IF(ArtifactsInput!$M$10,CHOOSE(ArtifactsInput!$N$10+1,15,18,21,24,27,30)*(IF(Inputs!$B$38="pvp",MIN(15,15)/15,IF(AND(Inputs!$B$38&lt;&gt;"pvp",Inputs!$B$43&gt;0),MIN(15,Inputs!$B$43)/(Inputs!$B$43),0))),0)))&gt;=100),MIN(100,((Inputs!$B$9+((C1079=TRUE)*(F1079-Calc!F19))+B1090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1079=TRUE)*(F1079-Calc!F19))+B1090+(ArtifactsInput!$M$24-ArtifactsInput!$M$24)*CHOOSE(ArtifactsInput!$N$24+1,10,12,14,16,18,20)+IF(ArtifactsInput!$M$10,CHOOSE(ArtifactsInput!$N$10+1,15,18,21,24,27,30)*(IF(Inputs!$B$38="pvp",MIN(15,15)/15,IF(AND(Inputs!$B$38&lt;&gt;"pvp",Inputs!$B$43&gt;0),MIN(15,Inputs!$B$43)/(Inputs!$B$43),0))),0)))&gt;=100),CHOOSE(ArtifactsInput!$N$42+1,40,48,56,64,72,80),0))))/100)*((1+(((C1077=TRUE)*F1077)+((C1084=TRUE)*(F1084-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1073)</f>
        <v/>
      </c>
      <c r="L1073">
        <f>K1073*(MIN(Inputs!$B$22+((C1082=TRUE)*(F1082-Calc!F22)),(Inputs!$B$23+0+(IF(ArtifactsInput!$M$15,CHOOSE(ArtifactsInput!$N$15+1,25,30,35,40,45,50)/100*(Inputs!$B$11-Inputs!$B$11),0))))/100+(Inputs!$B$23+0+(IF(ArtifactsInput!$M$15,CHOOSE(ArtifactsInput!$N$15+1,25,30,35,40,45,50)/100*(Inputs!$B$11-Inputs!$B$11),0)))/100)/2</f>
        <v/>
      </c>
      <c r="M1073">
        <f>L1073*(1+(Inputs!$B$10+((C1085=TRUE)*(F1085-Calc!F25))+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3">
        <f>L1073*(1-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1073*(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3">
        <f>(1-Summary!$B$11)*T1073+Summary!$B$11*V1073</f>
        <v/>
      </c>
      <c r="P1073">
        <f>IF(B1100=0,0,O1073/B1100)</f>
        <v/>
      </c>
      <c r="Q1073">
        <f>IFERROR(1/(IF(Inputs!$B$38="pvp",15,MAX(0.1,Skills!D13-IF(Skills!E13=TRUE,(Inputs!$B$32+1),0)))*(1-IF(AND(ArtifactsInput!$M$27,Inputs!$B$4="Chapter Hunt"),CHOOSE(ArtifactsInput!$N$27+1,20,24,28,32,36,40),0)/100)),0)</f>
        <v/>
      </c>
      <c r="R1073">
        <f>IF(AND(Inputs!$B$38&lt;&gt;"pvp",Inputs!$B$43&gt;0),IF(MAX(0,Inputs!$B$43-B1097)&lt;=0,0,(INT(MAX(0,Inputs!$B$43-B1097)/(IF(Inputs!$B$38="pvp",15,MAX(0.1,Skills!D13-IF(Skills!E13=TRUE,(Inputs!$B$32+1),0)))*(1-IF(AND(ArtifactsInput!$M$27,Inputs!$B$4="Chapter Hunt"),CHOOSE(ArtifactsInput!$N$27+1,20,24,28,32,36,40),0)/100)))+1)),0)</f>
        <v/>
      </c>
      <c r="S1073">
        <f>IFERROR(O1073/N1073,0)</f>
        <v/>
      </c>
      <c r="T1073">
        <f>IF(C1073,(H1073*N1073*IF(AND(Inputs!$B$38&lt;&gt;"pvp",Inputs!$B$43&gt;0),((Skills!G13*((R1073-1)*IF(Skills!H13&gt;0,Skills!I13/Skills!H13,1)+IF(Skills!H13&gt;0,MIN(Skills!I13,MAX(0,MAX(0,Inputs!$B$43-B1097)-((R1073-1)*(IF(Inputs!$B$38="pvp",15,MAX(0.1,Skills!D13-IF(Skills!E13=TRUE,(Inputs!$B$32+1),0)))*(1-IF(AND(ArtifactsInput!$M$27,Inputs!$B$4="Chapter Hunt"),CHOOSE(ArtifactsInput!$N$27+1,20,24,28,32,36,40),0)/100)))))/Skills!H13,1)))/Inputs!$B$43),G1073*Q1073))*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1073*(1-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1073*(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1073*(1-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1073*(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3">
        <f>IF(C1073,(H1073*N1073*IF(AND(Inputs!$B$38&lt;&gt;"pvp",Inputs!$B$43&gt;0),((Skills!G13*((R1073-1)*IF(Skills!H13&gt;0,Skills!I13/Skills!H13,1)+IF(Skills!H13&gt;0,MIN(Skills!I13,MAX(0,MAX(0,Inputs!$B$43-B1097)-((R1073-1)*(IF(Inputs!$B$38="pvp",15,MAX(0.1,Skills!D13-IF(Skills!E13=TRUE,(Inputs!$B$32+1),0)))*(1-IF(AND(ArtifactsInput!$M$27,Inputs!$B$4="Chapter Hunt"),CHOOSE(ArtifactsInput!$N$27+1,20,24,28,32,36,40),0)/100)))))/Skills!H13,1)))/Inputs!$B$43),G1073*Q1073))*IF(Inputs!$B$38="pvp",1,(1+(Inputs!$B$21+Skills!Q13+(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4">
      <c r="A1074">
        <f>Skills!A14</f>
        <v/>
      </c>
      <c r="B1074">
        <f>Skills!B14</f>
        <v/>
      </c>
      <c r="C1074">
        <f>Inputs!$B$3&gt;=125</f>
        <v/>
      </c>
      <c r="D1074">
        <f>IF(Skills!C14=1,60+Inputs!$B$25+Inputs!$B$29,IF(Skills!C14=2,90+Inputs!$B$26+Inputs!$B$29,IF(Skills!C14=3,120+Inputs!$B$27+Inputs!$B$29,MAX(0,(Inputs!$B$3-100)*3)+Inputs!$B$28+Inputs!$B$29)))</f>
        <v/>
      </c>
      <c r="E1074">
        <f>INDEX(FactorTable!$B$2:$Y$301, MATCH(ROUND(MIN(300,MAX(1,D1074)),0), FactorTable!$A$2:$A$301,0), Skills!M14+1)</f>
        <v/>
      </c>
      <c r="F1074">
        <f>IF(Skills!N14=TRUE,(Skills!L14/10)*(E1074/1000),Skills!L14/10)+Skills!O14</f>
        <v/>
      </c>
      <c r="G1074">
        <f>Skills!G14*IF(Skills!H14&gt;0,Skills!I14/Skills!H14,1)</f>
        <v/>
      </c>
      <c r="H1074">
        <f>1-(1-Skills!J14/100)^Skills!K14</f>
        <v/>
      </c>
      <c r="I1074" t="inlineStr">
        <is>
          <t>1</t>
        </is>
      </c>
      <c r="J1074">
        <f>((Inputs!$B$6*(1+Inputs!$B$7/100))+(((Inputs!$B$12*(1+Inputs!$B$13/100))-(Inputs!$B$12*(1+Inputs!$B$13/100)))+0.25*(Inputs!$B$14-Inputs!$B$14))*(1+Inputs!$B$7/100))*(F1074/100)</f>
        <v/>
      </c>
      <c r="K1074">
        <f>J1074*(1+((Inputs!$B$12*(1+Inputs!$B$13/100))*0.01+Inputs!$B$14*0.0025)/100)*(1+Inputs!$B$15/100)*(1+Inputs!$B$16/100)*(5000/(6000+Inputs!$B$42*(1-(100*(1-(1-(Inputs!$B$19+0)/100)*(1-CHOOSE(ArtifactsInput!$N$40+1,5,6,7,8,9,10)/100)^(ArtifactsInput!$M$40-ArtifactsInput!$M$40)))/100)))*(1+(Inputs!$B$24+((C1086=TRUE)*(F1086-Calc!F26))+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1083=TRUE)*(F1083-Calc!F23))+((C1087=TRUE)*(F1087-Calc!F27))+(((IF(AND(ArtifactsInput!$M$42,((Inputs!$B$9+((C1079=TRUE)*(F1079-Calc!F19))+B1090+(ArtifactsInput!$M$24-ArtifactsInput!$M$24)*CHOOSE(ArtifactsInput!$N$24+1,10,12,14,16,18,20)+IF(ArtifactsInput!$M$10,CHOOSE(ArtifactsInput!$N$10+1,15,18,21,24,27,30)*(IF(Inputs!$B$38="pvp",MIN(15,15)/15,IF(AND(Inputs!$B$38&lt;&gt;"pvp",Inputs!$B$43&gt;0),MIN(15,Inputs!$B$43)/(Inputs!$B$43),0))),0)))&gt;=100),MIN(100,((Inputs!$B$9+((C1079=TRUE)*(F1079-Calc!F19))+B1090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1079=TRUE)*(F1079-Calc!F19))+B1090+(ArtifactsInput!$M$24-ArtifactsInput!$M$24)*CHOOSE(ArtifactsInput!$N$24+1,10,12,14,16,18,20)+IF(ArtifactsInput!$M$10,CHOOSE(ArtifactsInput!$N$10+1,15,18,21,24,27,30)*(IF(Inputs!$B$38="pvp",MIN(15,15)/15,IF(AND(Inputs!$B$38&lt;&gt;"pvp",Inputs!$B$43&gt;0),MIN(15,Inputs!$B$43)/(Inputs!$B$43),0))),0)))&gt;=100),CHOOSE(ArtifactsInput!$N$42+1,40,48,56,64,72,80),0))))/100)*((1+(((C1077=TRUE)*F1077)+((C1084=TRUE)*(F1084-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1074)</f>
        <v/>
      </c>
      <c r="L1074">
        <f>K1074*(MIN(Inputs!$B$22+((C1082=TRUE)*(F1082-Calc!F22)),(Inputs!$B$23+0+(IF(ArtifactsInput!$M$15,CHOOSE(ArtifactsInput!$N$15+1,25,30,35,40,45,50)/100*(Inputs!$B$11-Inputs!$B$11),0))))/100+(Inputs!$B$23+0+(IF(ArtifactsInput!$M$15,CHOOSE(ArtifactsInput!$N$15+1,25,30,35,40,45,50)/100*(Inputs!$B$11-Inputs!$B$11),0)))/100)/2</f>
        <v/>
      </c>
      <c r="M1074">
        <f>L1074*(1+(Inputs!$B$10+((C1085=TRUE)*(F1085-Calc!F25))+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4">
        <f>L1074*(1-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1074*(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4">
        <f>(1-Summary!$B$11)*T1074+Summary!$B$11*V1074</f>
        <v/>
      </c>
      <c r="P1074">
        <f>IF(B1100=0,0,O1074/B1100)</f>
        <v/>
      </c>
      <c r="Q1074" t="n">
        <v>0</v>
      </c>
      <c r="R1074" t="n">
        <v>0</v>
      </c>
      <c r="S1074">
        <f>IFERROR(O1074/N1074,0)</f>
        <v/>
      </c>
      <c r="T1074">
        <f>IF(C1074,(H1074*N1074*(B1094+IF(AND(Inputs!$B$38&lt;&gt;"pvp",Inputs!$B$43&gt;0),((Skills!G8*((R1068-1)*IF(Skills!H8&gt;0,Skills!I8/Skills!H8,1)+IF(Skills!H8&gt;0,MIN(Skills!I8,MAX(0,MAX(0,Inputs!$B$43-B1097)-((R1068-1)*(IF(Inputs!$B$38="pvp",15,MAX(0.1,Skills!D8-IF(Skills!E8=TRUE,(Inputs!$B$32+1),0)))*(1-IF(AND(ArtifactsInput!$M$27,Inputs!$B$4="Chapter Hunt"),CHOOSE(ArtifactsInput!$N$27+1,20,24,28,32,36,40),0)/100)))))/Skills!H8,1)))/Inputs!$B$43),G1068*Q1068)+IF(AND(Inputs!$B$38&lt;&gt;"pvp",Inputs!$B$43&gt;0),((Skills!G11*((R1071-1)*IF(Skills!H11&gt;0,Skills!I11/Skills!H11,1)+IF(Skills!H11&gt;0,MIN(Skills!I11,MAX(0,MAX(0,Inputs!$B$43-B1097)-((R1071-1)*(IF(Inputs!$B$38="pvp",15,MAX(0.1,Skills!D11-IF(Skills!E11=TRUE,(Inputs!$B$32+1),0)))*(1-IF(AND(ArtifactsInput!$M$27,Inputs!$B$4="Chapter Hunt"),CHOOSE(ArtifactsInput!$N$27+1,20,24,28,32,36,40),0)/100)))))/Skills!H11,1)))/Inputs!$B$43),G1071*Q1071)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1074*(1-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1074*(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1074*(1-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1074*(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4">
        <f>IF(C1074,(H1074*N1074*(B1094+IF(AND(Inputs!$B$38&lt;&gt;"pvp",Inputs!$B$43&gt;0),((Skills!G8*((R1068-1)*IF(Skills!H8&gt;0,Skills!I8/Skills!H8,1)+IF(Skills!H8&gt;0,MIN(Skills!I8,MAX(0,MAX(0,Inputs!$B$43-B1097)-((R1068-1)*(IF(Inputs!$B$38="pvp",15,MAX(0.1,Skills!D8-IF(Skills!E8=TRUE,(Inputs!$B$32+1),0)))*(1-IF(AND(ArtifactsInput!$M$27,Inputs!$B$4="Chapter Hunt"),CHOOSE(ArtifactsInput!$N$27+1,20,24,28,32,36,40),0)/100)))))/Skills!H8,1)))/Inputs!$B$43),G1068*Q1068)+IF(AND(Inputs!$B$38&lt;&gt;"pvp",Inputs!$B$43&gt;0),((Skills!G11*((R1071-1)*IF(Skills!H11&gt;0,Skills!I11/Skills!H11,1)+IF(Skills!H11&gt;0,MIN(Skills!I11,MAX(0,MAX(0,Inputs!$B$43-B1097)-((R1071-1)*(IF(Inputs!$B$38="pvp",15,MAX(0.1,Skills!D11-IF(Skills!E11=TRUE,(Inputs!$B$32+1),0)))*(1-IF(AND(ArtifactsInput!$M$27,Inputs!$B$4="Chapter Hunt"),CHOOSE(ArtifactsInput!$N$27+1,20,24,28,32,36,40),0)/100)))))/Skills!H11,1)))/Inputs!$B$43),G1071*Q1071)))*IF(Inputs!$B$38="pvp",1,(1+(Inputs!$B$21+Skills!Q14+(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5">
      <c r="A1075">
        <f>Skills!A15</f>
        <v/>
      </c>
      <c r="B1075">
        <f>Skills!B15</f>
        <v/>
      </c>
      <c r="C1075">
        <f>Inputs!$B$3&gt;=100</f>
        <v/>
      </c>
      <c r="D1075">
        <f>IF(Skills!C15=1,60+Inputs!$B$25+Inputs!$B$29,IF(Skills!C15=2,90+Inputs!$B$26+Inputs!$B$29,IF(Skills!C15=3,120+Inputs!$B$27+Inputs!$B$29,MAX(0,(Inputs!$B$3-100)*3)+Inputs!$B$28+Inputs!$B$29)))</f>
        <v/>
      </c>
      <c r="E1075">
        <f>INDEX(FactorTable!$B$2:$Y$301, MATCH(ROUND(MIN(300,MAX(1,D1075)),0), FactorTable!$A$2:$A$301,0), Skills!M15+1)</f>
        <v/>
      </c>
      <c r="F1075">
        <f>IF(Skills!N15=TRUE,(Skills!L15/10)*(E1075/1000),Skills!L15/10)+Skills!O15</f>
        <v/>
      </c>
      <c r="G1075" t="inlineStr"/>
      <c r="H1075" t="inlineStr"/>
      <c r="I1075" t="inlineStr">
        <is>
          <t>1</t>
        </is>
      </c>
      <c r="J1075" t="inlineStr"/>
      <c r="K1075" t="inlineStr"/>
      <c r="L1075" t="inlineStr"/>
      <c r="M1075" t="inlineStr"/>
      <c r="N1075" t="inlineStr"/>
      <c r="O1075" t="inlineStr"/>
      <c r="P1075" t="inlineStr"/>
      <c r="Q1075" t="inlineStr"/>
      <c r="R1075" t="inlineStr"/>
      <c r="S1075" t="inlineStr"/>
    </row>
    <row r="1076">
      <c r="A1076">
        <f>Skills!A16</f>
        <v/>
      </c>
      <c r="B1076">
        <f>Skills!B16</f>
        <v/>
      </c>
      <c r="C1076">
        <f>Inputs!$B$3&gt;=120</f>
        <v/>
      </c>
      <c r="D1076">
        <f>IF(Skills!C16=1,60+Inputs!$B$25+Inputs!$B$29,IF(Skills!C16=2,90+Inputs!$B$26+Inputs!$B$29,IF(Skills!C16=3,120+Inputs!$B$27+Inputs!$B$29,MAX(0,(Inputs!$B$3-100)*3)+Inputs!$B$28+Inputs!$B$29)))</f>
        <v/>
      </c>
      <c r="E1076">
        <f>INDEX(FactorTable!$B$2:$Y$301, MATCH(ROUND(MIN(300,MAX(1,D1076)),0), FactorTable!$A$2:$A$301,0), Skills!M16+1)</f>
        <v/>
      </c>
      <c r="F1076">
        <f>IF(Skills!N16=TRUE,(Skills!L16/10)*(E1076/1000),Skills!L16/10)+Skills!O16</f>
        <v/>
      </c>
      <c r="G1076" t="inlineStr"/>
      <c r="H1076" t="inlineStr"/>
      <c r="I1076" t="inlineStr">
        <is>
          <t>1</t>
        </is>
      </c>
      <c r="J1076" t="inlineStr"/>
      <c r="K1076" t="inlineStr"/>
      <c r="L1076" t="inlineStr"/>
      <c r="M1076" t="inlineStr"/>
      <c r="N1076" t="inlineStr"/>
      <c r="O1076" t="inlineStr"/>
      <c r="P1076" t="inlineStr"/>
      <c r="Q1076" t="inlineStr"/>
      <c r="R1076" t="inlineStr"/>
      <c r="S1076" t="inlineStr"/>
    </row>
    <row r="1077">
      <c r="A1077">
        <f>Skills!A17</f>
        <v/>
      </c>
      <c r="B1077">
        <f>Skills!B17</f>
        <v/>
      </c>
      <c r="C1077">
        <f>Inputs!$B$3&gt;=66</f>
        <v/>
      </c>
      <c r="D1077">
        <f>IF(Skills!C17=1,60+Inputs!$B$25+Inputs!$B$29,IF(Skills!C17=2,90+Inputs!$B$26+Inputs!$B$29,IF(Skills!C17=3,120+Inputs!$B$27+Inputs!$B$29,MAX(0,(Inputs!$B$3-100)*3)+Inputs!$B$28+Inputs!$B$29)))</f>
        <v/>
      </c>
      <c r="E1077">
        <f>INDEX(FactorTable!$B$2:$Y$301, MATCH(ROUND(MIN(300,MAX(1,D1077)),0), FactorTable!$A$2:$A$301,0), Skills!M17+1)</f>
        <v/>
      </c>
      <c r="F1077">
        <f>IF(Skills!N17=TRUE,(Skills!L17/10)*(E1077/1000),Skills!L17/10)+Skills!O17</f>
        <v/>
      </c>
      <c r="G1077">
        <f>Skills!G17*IF(Skills!H17&gt;0,Skills!I17/Skills!H17,1)</f>
        <v/>
      </c>
      <c r="H1077">
        <f>1-(1-Skills!J17/100)^Skills!K17</f>
        <v/>
      </c>
      <c r="I1077" t="inlineStr">
        <is>
          <t>1</t>
        </is>
      </c>
      <c r="J1077" t="inlineStr"/>
      <c r="K1077" t="inlineStr"/>
      <c r="L1077" t="inlineStr"/>
      <c r="M1077" t="inlineStr"/>
      <c r="N1077" t="inlineStr"/>
      <c r="O1077">
        <f>(1-Summary!$B$11)*T1077+Summary!$B$11*V1077</f>
        <v/>
      </c>
      <c r="P1077">
        <f>IF(B1100=0,0,O1077/B1100)</f>
        <v/>
      </c>
      <c r="Q1077" t="n">
        <v>0</v>
      </c>
      <c r="R1077" t="n">
        <v>0</v>
      </c>
      <c r="S1077">
        <f>IFERROR(O1077/N1077,0)</f>
        <v/>
      </c>
      <c r="T1077" t="n">
        <v>0</v>
      </c>
      <c r="V1077" t="n">
        <v>0</v>
      </c>
    </row>
    <row r="1078">
      <c r="A1078">
        <f>Skills!A18</f>
        <v/>
      </c>
      <c r="B1078">
        <f>Skills!B18</f>
        <v/>
      </c>
      <c r="C1078">
        <f>Inputs!$B$3&gt;=115</f>
        <v/>
      </c>
      <c r="D1078">
        <f>IF(Skills!C18=1,60+Inputs!$B$25+Inputs!$B$29,IF(Skills!C18=2,90+Inputs!$B$26+Inputs!$B$29,IF(Skills!C18=3,120+Inputs!$B$27+Inputs!$B$29,MAX(0,(Inputs!$B$3-100)*3)+Inputs!$B$28+Inputs!$B$29)))</f>
        <v/>
      </c>
      <c r="E1078">
        <f>INDEX(FactorTable!$B$2:$Y$301, MATCH(ROUND(MIN(300,MAX(1,D1078)),0), FactorTable!$A$2:$A$301,0), Skills!M18+1)</f>
        <v/>
      </c>
      <c r="F1078">
        <f>IF(Skills!N18=TRUE,(Skills!L18/10)*(E1078/1000),Skills!L18/10)+Skills!O18</f>
        <v/>
      </c>
      <c r="G1078">
        <f>Skills!G18*IF(Skills!H18&gt;0,Skills!I18/Skills!H18,1)</f>
        <v/>
      </c>
      <c r="H1078">
        <f>1-(1-Skills!J18/100)^Skills!K18</f>
        <v/>
      </c>
      <c r="I1078" t="inlineStr">
        <is>
          <t>1</t>
        </is>
      </c>
      <c r="J1078" t="inlineStr"/>
      <c r="K1078" t="inlineStr"/>
      <c r="L1078" t="inlineStr"/>
      <c r="M1078" t="inlineStr"/>
      <c r="N1078" t="inlineStr"/>
      <c r="O1078">
        <f>(1-Summary!$B$11)*T1078+Summary!$B$11*V1078</f>
        <v/>
      </c>
      <c r="P1078">
        <f>IF(B1100=0,0,O1078/B1100)</f>
        <v/>
      </c>
      <c r="Q1078" t="n">
        <v>0</v>
      </c>
      <c r="R1078" t="n">
        <v>0</v>
      </c>
      <c r="S1078">
        <f>IFERROR(O1078/N1078,0)</f>
        <v/>
      </c>
      <c r="T1078" t="n">
        <v>0</v>
      </c>
      <c r="V1078" t="n">
        <v>0</v>
      </c>
    </row>
    <row r="1079">
      <c r="A1079">
        <f>Skills!A19</f>
        <v/>
      </c>
      <c r="B1079">
        <f>Skills!B19</f>
        <v/>
      </c>
      <c r="C1079">
        <f>Inputs!$B$3&gt;=15</f>
        <v/>
      </c>
      <c r="D1079">
        <f>IF(Skills!C19=1,60+Inputs!$B$25+Inputs!$B$29,IF(Skills!C19=2,90+Inputs!$B$26+Inputs!$B$29,IF(Skills!C19=3,120+Inputs!$B$27+Inputs!$B$29,MAX(0,(Inputs!$B$3-100)*3)+Inputs!$B$28+Inputs!$B$29)))</f>
        <v/>
      </c>
      <c r="E1079">
        <f>INDEX(FactorTable!$B$2:$Y$301, MATCH(ROUND(MIN(300,MAX(1,D1079)),0), FactorTable!$A$2:$A$301,0), Skills!M19+1)</f>
        <v/>
      </c>
      <c r="F1079">
        <f>IF(Skills!N19=TRUE,(Skills!L19/10)*(E1079/1000),Skills!L19/10)+Skills!O19</f>
        <v/>
      </c>
      <c r="G1079">
        <f>Skills!G19*IF(Skills!H19&gt;0,Skills!I19/Skills!H19,1)</f>
        <v/>
      </c>
      <c r="H1079">
        <f>1-(1-Skills!J19/100)^Skills!K19</f>
        <v/>
      </c>
      <c r="I1079" t="inlineStr">
        <is>
          <t>1</t>
        </is>
      </c>
      <c r="J1079" t="inlineStr"/>
      <c r="K1079" t="inlineStr"/>
      <c r="L1079" t="inlineStr"/>
      <c r="M1079" t="inlineStr"/>
      <c r="N1079" t="inlineStr"/>
      <c r="O1079">
        <f>(1-Summary!$B$11)*T1079+Summary!$B$11*V1079</f>
        <v/>
      </c>
      <c r="P1079">
        <f>IF(B1100=0,0,O1079/B1100)</f>
        <v/>
      </c>
      <c r="Q1079" t="n">
        <v>0</v>
      </c>
      <c r="R1079" t="n">
        <v>0</v>
      </c>
      <c r="S1079">
        <f>IFERROR(O1079/N1079,0)</f>
        <v/>
      </c>
      <c r="T1079" t="n">
        <v>0</v>
      </c>
      <c r="V1079" t="n">
        <v>0</v>
      </c>
    </row>
    <row r="1080">
      <c r="A1080">
        <f>Skills!A20</f>
        <v/>
      </c>
      <c r="B1080">
        <f>Skills!B20</f>
        <v/>
      </c>
      <c r="C1080">
        <f>Inputs!$B$3&gt;=10</f>
        <v/>
      </c>
      <c r="D1080">
        <f>IF(Skills!C20=1,60+Inputs!$B$25+Inputs!$B$29,IF(Skills!C20=2,90+Inputs!$B$26+Inputs!$B$29,IF(Skills!C20=3,120+Inputs!$B$27+Inputs!$B$29,MAX(0,(Inputs!$B$3-100)*3)+Inputs!$B$28+Inputs!$B$29)))</f>
        <v/>
      </c>
      <c r="E1080">
        <f>INDEX(FactorTable!$B$2:$Y$301, MATCH(ROUND(MIN(300,MAX(1,D1080)),0), FactorTable!$A$2:$A$301,0), Skills!M20+1)</f>
        <v/>
      </c>
      <c r="F1080">
        <f>IF(Skills!N20=TRUE,(Skills!L20/10)*(E1080/1000),Skills!L20/10)+Skills!O20</f>
        <v/>
      </c>
      <c r="G1080">
        <f>Skills!G20*IF(Skills!H20&gt;0,Skills!I20/Skills!H20,1)</f>
        <v/>
      </c>
      <c r="H1080">
        <f>1-(1-Skills!J20/100)^Skills!K20</f>
        <v/>
      </c>
      <c r="I1080" t="inlineStr">
        <is>
          <t>1</t>
        </is>
      </c>
      <c r="J1080" t="inlineStr"/>
      <c r="K1080" t="inlineStr"/>
      <c r="L1080" t="inlineStr"/>
      <c r="M1080" t="inlineStr"/>
      <c r="N1080" t="inlineStr"/>
      <c r="O1080">
        <f>(1-Summary!$B$11)*T1080+Summary!$B$11*V1080</f>
        <v/>
      </c>
      <c r="P1080">
        <f>IF(B1100=0,0,O1080/B1100)</f>
        <v/>
      </c>
      <c r="Q1080" t="n">
        <v>0</v>
      </c>
      <c r="R1080" t="n">
        <v>0</v>
      </c>
      <c r="S1080">
        <f>IFERROR(O1080/N1080,0)</f>
        <v/>
      </c>
      <c r="T1080" t="n">
        <v>0</v>
      </c>
      <c r="V1080" t="n">
        <v>0</v>
      </c>
    </row>
    <row r="1081">
      <c r="A1081">
        <f>Skills!A21</f>
        <v/>
      </c>
      <c r="B1081">
        <f>Skills!B21</f>
        <v/>
      </c>
      <c r="C1081">
        <f>Inputs!$B$3&gt;=33</f>
        <v/>
      </c>
      <c r="D1081">
        <f>IF(Skills!C21=1,60+Inputs!$B$25+Inputs!$B$29,IF(Skills!C21=2,90+Inputs!$B$26+Inputs!$B$29,IF(Skills!C21=3,120+Inputs!$B$27+Inputs!$B$29,MAX(0,(Inputs!$B$3-100)*3)+Inputs!$B$28+Inputs!$B$29)))</f>
        <v/>
      </c>
      <c r="E1081">
        <f>INDEX(FactorTable!$B$2:$Y$301, MATCH(ROUND(MIN(300,MAX(1,D1081)),0), FactorTable!$A$2:$A$301,0), Skills!M21+1)</f>
        <v/>
      </c>
      <c r="F1081">
        <f>IF(Skills!N21=TRUE,(Skills!L21/10)*(E1081/1000),Skills!L21/10)+Skills!O21</f>
        <v/>
      </c>
      <c r="G1081">
        <f>Skills!G21*IF(Skills!H21&gt;0,Skills!I21/Skills!H21,1)</f>
        <v/>
      </c>
      <c r="H1081">
        <f>1-(1-Skills!J21/100)^Skills!K21</f>
        <v/>
      </c>
      <c r="I1081" t="inlineStr">
        <is>
          <t>1</t>
        </is>
      </c>
      <c r="J1081" t="inlineStr"/>
      <c r="K1081" t="inlineStr"/>
      <c r="L1081" t="inlineStr"/>
      <c r="M1081" t="inlineStr"/>
      <c r="N1081" t="inlineStr"/>
      <c r="O1081">
        <f>(1-Summary!$B$11)*T1081+Summary!$B$11*V1081</f>
        <v/>
      </c>
      <c r="P1081">
        <f>IF(B1100=0,0,O1081/B1100)</f>
        <v/>
      </c>
      <c r="Q1081" t="n">
        <v>0</v>
      </c>
      <c r="R1081" t="n">
        <v>0</v>
      </c>
      <c r="S1081">
        <f>IFERROR(O1081/N1081,0)</f>
        <v/>
      </c>
      <c r="T1081" t="n">
        <v>0</v>
      </c>
      <c r="V1081" t="n">
        <v>0</v>
      </c>
    </row>
    <row r="1082">
      <c r="A1082">
        <f>Skills!A22</f>
        <v/>
      </c>
      <c r="B1082">
        <f>Skills!B22</f>
        <v/>
      </c>
      <c r="C1082">
        <f>Inputs!$B$3&gt;=43</f>
        <v/>
      </c>
      <c r="D1082">
        <f>IF(Skills!C22=1,60+Inputs!$B$25+Inputs!$B$29,IF(Skills!C22=2,90+Inputs!$B$26+Inputs!$B$29,IF(Skills!C22=3,120+Inputs!$B$27+Inputs!$B$29,MAX(0,(Inputs!$B$3-100)*3)+Inputs!$B$28+Inputs!$B$29)))</f>
        <v/>
      </c>
      <c r="E1082">
        <f>INDEX(FactorTable!$B$2:$Y$301, MATCH(ROUND(MIN(300,MAX(1,D1082)),0), FactorTable!$A$2:$A$301,0), Skills!M22+1)</f>
        <v/>
      </c>
      <c r="F1082">
        <f>IF(Skills!N22=TRUE,(Skills!L22/10)*(E1082/1000),Skills!L22/10)+Skills!O22</f>
        <v/>
      </c>
      <c r="G1082">
        <f>Skills!G22*IF(Skills!H22&gt;0,Skills!I22/Skills!H22,1)</f>
        <v/>
      </c>
      <c r="H1082">
        <f>1-(1-Skills!J22/100)^Skills!K22</f>
        <v/>
      </c>
      <c r="I1082" t="inlineStr">
        <is>
          <t>1</t>
        </is>
      </c>
      <c r="J1082" t="inlineStr"/>
      <c r="K1082" t="inlineStr"/>
      <c r="L1082" t="inlineStr"/>
      <c r="M1082" t="inlineStr"/>
      <c r="N1082" t="inlineStr"/>
      <c r="O1082">
        <f>(1-Summary!$B$11)*T1082+Summary!$B$11*V1082</f>
        <v/>
      </c>
      <c r="P1082">
        <f>IF(B1100=0,0,O1082/B1100)</f>
        <v/>
      </c>
      <c r="Q1082" t="n">
        <v>0</v>
      </c>
      <c r="R1082" t="n">
        <v>0</v>
      </c>
      <c r="S1082">
        <f>IFERROR(O1082/N1082,0)</f>
        <v/>
      </c>
      <c r="T1082" t="n">
        <v>0</v>
      </c>
      <c r="V1082" t="n">
        <v>0</v>
      </c>
    </row>
    <row r="1083">
      <c r="A1083">
        <f>Skills!A23</f>
        <v/>
      </c>
      <c r="B1083">
        <f>Skills!B23</f>
        <v/>
      </c>
      <c r="C1083">
        <f>Inputs!$B$3&gt;=38</f>
        <v/>
      </c>
      <c r="D1083">
        <f>IF(Skills!C23=1,60+Inputs!$B$25+Inputs!$B$29,IF(Skills!C23=2,90+Inputs!$B$26+Inputs!$B$29,IF(Skills!C23=3,120+Inputs!$B$27+Inputs!$B$29,MAX(0,(Inputs!$B$3-100)*3)+Inputs!$B$28+Inputs!$B$29)))</f>
        <v/>
      </c>
      <c r="E1083">
        <f>INDEX(FactorTable!$B$2:$Y$301, MATCH(ROUND(MIN(300,MAX(1,D1083)),0), FactorTable!$A$2:$A$301,0), Skills!M23+1)</f>
        <v/>
      </c>
      <c r="F1083">
        <f>IF(Skills!N23=TRUE,(Skills!L23/10)*(E1083/1000),Skills!L23/10)+Skills!O23</f>
        <v/>
      </c>
      <c r="G1083">
        <f>Skills!G23*IF(Skills!H23&gt;0,Skills!I23/Skills!H23,1)</f>
        <v/>
      </c>
      <c r="H1083">
        <f>1-(1-Skills!J23/100)^Skills!K23</f>
        <v/>
      </c>
      <c r="I1083" t="inlineStr">
        <is>
          <t>1</t>
        </is>
      </c>
      <c r="J1083" t="inlineStr"/>
      <c r="K1083" t="inlineStr"/>
      <c r="L1083" t="inlineStr"/>
      <c r="M1083" t="inlineStr"/>
      <c r="N1083" t="inlineStr"/>
      <c r="O1083">
        <f>(1-Summary!$B$11)*T1083+Summary!$B$11*V1083</f>
        <v/>
      </c>
      <c r="P1083">
        <f>IF(B1100=0,0,O1083/B1100)</f>
        <v/>
      </c>
      <c r="Q1083" t="n">
        <v>0</v>
      </c>
      <c r="R1083" t="n">
        <v>0</v>
      </c>
      <c r="S1083">
        <f>IFERROR(O1083/N1083,0)</f>
        <v/>
      </c>
      <c r="T1083" t="n">
        <v>0</v>
      </c>
      <c r="V1083" t="n">
        <v>0</v>
      </c>
    </row>
    <row r="1084">
      <c r="A1084">
        <f>Skills!A24</f>
        <v/>
      </c>
      <c r="B1084">
        <f>Skills!B24</f>
        <v/>
      </c>
      <c r="C1084">
        <f>Inputs!$B$3&gt;=40</f>
        <v/>
      </c>
      <c r="D1084">
        <f>IF(Skills!C24=1,60+Inputs!$B$25+Inputs!$B$29,IF(Skills!C24=2,90+Inputs!$B$26+Inputs!$B$29,IF(Skills!C24=3,120+Inputs!$B$27+Inputs!$B$29,MAX(0,(Inputs!$B$3-100)*3)+Inputs!$B$28+Inputs!$B$29)))</f>
        <v/>
      </c>
      <c r="E1084">
        <f>INDEX(FactorTable!$B$2:$Y$301, MATCH(ROUND(MIN(300,MAX(1,D1084)),0), FactorTable!$A$2:$A$301,0), Skills!M24+1)</f>
        <v/>
      </c>
      <c r="F1084">
        <f>IF(Skills!N24=TRUE,(Skills!L24/10)*(E1084/1000),Skills!L24/10)+Skills!O24</f>
        <v/>
      </c>
      <c r="G1084">
        <f>Skills!G24*IF(Skills!H24&gt;0,Skills!I24/Skills!H24,1)</f>
        <v/>
      </c>
      <c r="H1084">
        <f>1-(1-Skills!J24/100)^Skills!K24</f>
        <v/>
      </c>
      <c r="I1084" t="inlineStr">
        <is>
          <t>1</t>
        </is>
      </c>
      <c r="J1084" t="inlineStr"/>
      <c r="K1084" t="inlineStr"/>
      <c r="L1084" t="inlineStr"/>
      <c r="M1084" t="inlineStr"/>
      <c r="N1084" t="inlineStr"/>
      <c r="O1084">
        <f>(1-Summary!$B$11)*T1084+Summary!$B$11*V1084</f>
        <v/>
      </c>
      <c r="P1084">
        <f>IF(B1100=0,0,O1084/B1100)</f>
        <v/>
      </c>
      <c r="Q1084" t="n">
        <v>0</v>
      </c>
      <c r="R1084" t="n">
        <v>0</v>
      </c>
      <c r="S1084">
        <f>IFERROR(O1084/N1084,0)</f>
        <v/>
      </c>
      <c r="T1084" t="n">
        <v>0</v>
      </c>
      <c r="V1084" t="n">
        <v>0</v>
      </c>
    </row>
    <row r="1085">
      <c r="A1085">
        <f>Skills!A25</f>
        <v/>
      </c>
      <c r="B1085">
        <f>Skills!B25</f>
        <v/>
      </c>
      <c r="C1085">
        <f>Inputs!$B$3&gt;=72</f>
        <v/>
      </c>
      <c r="D1085">
        <f>IF(Skills!C25=1,60+Inputs!$B$25+Inputs!$B$29,IF(Skills!C25=2,90+Inputs!$B$26+Inputs!$B$29,IF(Skills!C25=3,120+Inputs!$B$27+Inputs!$B$29,MAX(0,(Inputs!$B$3-100)*3)+Inputs!$B$28+Inputs!$B$29)))</f>
        <v/>
      </c>
      <c r="E1085">
        <f>INDEX(FactorTable!$B$2:$Y$301, MATCH(ROUND(MIN(300,MAX(1,D1085)),0), FactorTable!$A$2:$A$301,0), Skills!M25+1)</f>
        <v/>
      </c>
      <c r="F1085">
        <f>IF(Skills!N25=TRUE,(Skills!L25/10)*(E1085/1000),Skills!L25/10)+Skills!O25</f>
        <v/>
      </c>
      <c r="G1085">
        <f>Skills!G25*IF(Skills!H25&gt;0,Skills!I25/Skills!H25,1)</f>
        <v/>
      </c>
      <c r="H1085">
        <f>1-(1-Skills!J25/100)^Skills!K25</f>
        <v/>
      </c>
      <c r="I1085" t="inlineStr">
        <is>
          <t>1</t>
        </is>
      </c>
      <c r="J1085" t="inlineStr"/>
      <c r="K1085" t="inlineStr"/>
      <c r="L1085" t="inlineStr"/>
      <c r="M1085" t="inlineStr"/>
      <c r="N1085" t="inlineStr"/>
      <c r="O1085">
        <f>(1-Summary!$B$11)*T1085+Summary!$B$11*V1085</f>
        <v/>
      </c>
      <c r="P1085">
        <f>IF(B1100=0,0,O1085/B1100)</f>
        <v/>
      </c>
      <c r="Q1085" t="n">
        <v>0</v>
      </c>
      <c r="R1085" t="n">
        <v>0</v>
      </c>
      <c r="S1085">
        <f>IFERROR(O1085/N1085,0)</f>
        <v/>
      </c>
      <c r="T1085" t="n">
        <v>0</v>
      </c>
      <c r="V1085" t="n">
        <v>0</v>
      </c>
    </row>
    <row r="1086">
      <c r="A1086">
        <f>Skills!A26</f>
        <v/>
      </c>
      <c r="B1086">
        <f>Skills!B26</f>
        <v/>
      </c>
      <c r="C1086">
        <f>Inputs!$B$3&gt;=75</f>
        <v/>
      </c>
      <c r="D1086">
        <f>IF(Skills!C26=1,60+Inputs!$B$25+Inputs!$B$29,IF(Skills!C26=2,90+Inputs!$B$26+Inputs!$B$29,IF(Skills!C26=3,120+Inputs!$B$27+Inputs!$B$29,MAX(0,(Inputs!$B$3-100)*3)+Inputs!$B$28+Inputs!$B$29)))</f>
        <v/>
      </c>
      <c r="E1086">
        <f>INDEX(FactorTable!$B$2:$Y$301, MATCH(ROUND(MIN(300,MAX(1,D1086)),0), FactorTable!$A$2:$A$301,0), Skills!M26+1)</f>
        <v/>
      </c>
      <c r="F1086">
        <f>IF(Skills!N26=TRUE,(Skills!L26/10)*(E1086/1000),Skills!L26/10)+Skills!O26</f>
        <v/>
      </c>
      <c r="G1086">
        <f>Skills!G26*IF(Skills!H26&gt;0,Skills!I26/Skills!H26,1)</f>
        <v/>
      </c>
      <c r="H1086">
        <f>1-(1-Skills!J26/100)^Skills!K26</f>
        <v/>
      </c>
      <c r="I1086" t="inlineStr">
        <is>
          <t>1</t>
        </is>
      </c>
      <c r="J1086" t="inlineStr"/>
      <c r="K1086" t="inlineStr"/>
      <c r="L1086" t="inlineStr"/>
      <c r="M1086" t="inlineStr"/>
      <c r="N1086" t="inlineStr"/>
      <c r="O1086">
        <f>(1-Summary!$B$11)*T1086+Summary!$B$11*V1086</f>
        <v/>
      </c>
      <c r="P1086">
        <f>IF(B1100=0,0,O1086/B1100)</f>
        <v/>
      </c>
      <c r="Q1086" t="n">
        <v>0</v>
      </c>
      <c r="R1086" t="n">
        <v>0</v>
      </c>
      <c r="S1086">
        <f>IFERROR(O1086/N1086,0)</f>
        <v/>
      </c>
      <c r="T1086" t="n">
        <v>0</v>
      </c>
      <c r="V1086" t="n">
        <v>0</v>
      </c>
    </row>
    <row r="1087">
      <c r="A1087">
        <f>Skills!A27</f>
        <v/>
      </c>
      <c r="B1087">
        <f>Skills!B27</f>
        <v/>
      </c>
      <c r="C1087">
        <f>Inputs!$B$3&gt;=117</f>
        <v/>
      </c>
      <c r="D1087">
        <f>IF(Skills!C27=1,60+Inputs!$B$25+Inputs!$B$29,IF(Skills!C27=2,90+Inputs!$B$26+Inputs!$B$29,IF(Skills!C27=3,120+Inputs!$B$27+Inputs!$B$29,MAX(0,(Inputs!$B$3-100)*3)+Inputs!$B$28+Inputs!$B$29)))</f>
        <v/>
      </c>
      <c r="E1087">
        <f>INDEX(FactorTable!$B$2:$Y$301, MATCH(ROUND(MIN(300,MAX(1,D1087)),0), FactorTable!$A$2:$A$301,0), Skills!M27+1)</f>
        <v/>
      </c>
      <c r="F1087">
        <f>IF(Skills!N27=TRUE,(Skills!L27/10)*(E1087/1000),Skills!L27/10)+Skills!O27</f>
        <v/>
      </c>
      <c r="G1087">
        <f>Skills!G27*IF(Skills!H27&gt;0,Skills!I27/Skills!H27,1)</f>
        <v/>
      </c>
      <c r="H1087">
        <f>1-(1-Skills!J27/100)^Skills!K27</f>
        <v/>
      </c>
      <c r="I1087" t="inlineStr">
        <is>
          <t>1</t>
        </is>
      </c>
      <c r="J1087" t="inlineStr"/>
      <c r="K1087" t="inlineStr"/>
      <c r="L1087" t="inlineStr"/>
      <c r="M1087" t="inlineStr"/>
      <c r="N1087" t="inlineStr"/>
      <c r="O1087">
        <f>(1-Summary!$B$11)*T1087+Summary!$B$11*V1087</f>
        <v/>
      </c>
      <c r="P1087">
        <f>IF(B1100=0,0,O1087/B1100)</f>
        <v/>
      </c>
      <c r="Q1087" t="n">
        <v>0</v>
      </c>
      <c r="R1087" t="n">
        <v>0</v>
      </c>
      <c r="S1087">
        <f>IFERROR(O1087/N1087,0)</f>
        <v/>
      </c>
      <c r="T1087" t="n">
        <v>0</v>
      </c>
      <c r="V1087" t="n">
        <v>0</v>
      </c>
    </row>
    <row r="1089">
      <c r="A1089" t="inlineStr">
        <is>
          <t>Attack% Bucket Multiplier</t>
        </is>
      </c>
      <c r="B1089">
        <f>(1+(((C1077=TRUE)*F1077)+((C1084=TRUE)*(F1084-Calc!F24))+(IF(ArtifactsInput!$M$21,CHOOSE(ArtifactsInput!$N$21+1,25,30,35,40,45,50)*(IF(OR(Inputs!$B$4="Chapter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90">
      <c r="A1090" t="inlineStr">
        <is>
          <t>Global Crit Rate Bonus %</t>
        </is>
      </c>
      <c r="B1090" t="n">
        <v>0</v>
      </c>
    </row>
    <row r="1091">
      <c r="A1091" t="inlineStr">
        <is>
          <t>Attack Speed Buff Bonus % (unused)</t>
        </is>
      </c>
      <c r="B1091" t="n">
        <v>0</v>
      </c>
    </row>
    <row r="1092">
      <c r="A1092" t="inlineStr">
        <is>
          <t>Actions Per Second</t>
        </is>
      </c>
      <c r="B1092">
        <f>1+MIN(150,150*(1-(1-(Inputs!$B$11+((C1080=TRUE)*(F1080-Calc!F20))+((C1081=TRUE)*(F1081-Calc!F21)))/150)*(1-B1091/150)))/100</f>
        <v/>
      </c>
    </row>
    <row r="1093">
      <c r="A1093" t="inlineStr">
        <is>
          <t>Skill + Buff Cast Rate</t>
        </is>
      </c>
      <c r="B1093">
        <f>IF(AND(Inputs!$B$38&lt;&gt;"pvp",Inputs!$B$43&gt;0),SUMPRODUCT((Skills!E2:E27=TRUE)*(C1062:C1087=TRUE)*R1062:R1087*Skills!F2:F27)/Inputs!$B$43,SUMPRODUCT((Skills!E2:E27=TRUE)*(C1062:C1087=TRUE)*Q1062:Q1087*Skills!F2:F27))</f>
        <v/>
      </c>
    </row>
    <row r="1094">
      <c r="A1094" t="inlineStr">
        <is>
          <t>Eight-Legs Easton Casts Per Second</t>
        </is>
      </c>
      <c r="B1094">
        <f>MAX(0,B1092-B1093)</f>
        <v/>
      </c>
    </row>
    <row r="1095">
      <c r="A1095" t="inlineStr">
        <is>
          <t>Global Critical Damage Bonus % (unused)</t>
        </is>
      </c>
      <c r="B1095" t="n">
        <v>0</v>
      </c>
    </row>
    <row r="1096">
      <c r="A1096" t="inlineStr">
        <is>
          <t>Global Final Damage Bonus % (Jolly Roger only)</t>
        </is>
      </c>
      <c r="B1096">
        <f>((C1078=TRUE)*F1078)</f>
        <v/>
      </c>
    </row>
    <row r="1097">
      <c r="A1097" t="inlineStr">
        <is>
          <t>Buff-Casting Startup Delay (s, fixed-duration only)</t>
        </is>
      </c>
      <c r="B1097">
        <f>IF(AND(Inputs!$B$38&lt;&gt;"pvp",Inputs!$B$43&gt;0),SUMPRODUCT((Skills!T2:T27&gt;0)*(Skills!E2:E27=TRUE)*(C1062:C1087=TRUE))/B1092,0)</f>
        <v/>
      </c>
    </row>
    <row r="1098">
      <c r="A1098" t="inlineStr">
        <is>
          <t>Boss-Only Total DPS (this block's swept value)</t>
        </is>
      </c>
      <c r="B1098">
        <f>SUM(T1062:T1087)</f>
        <v/>
      </c>
    </row>
    <row r="1099">
      <c r="A1099" t="inlineStr">
        <is>
          <t>Normal-Only Total DPS (this block's swept value)</t>
        </is>
      </c>
      <c r="B1099">
        <f>SUM(V1062:V1087)</f>
        <v/>
      </c>
    </row>
    <row r="1100">
      <c r="A1100" s="6" t="inlineStr">
        <is>
          <t>TOTAL DPS</t>
        </is>
      </c>
      <c r="B1100" s="6">
        <f>SUM(O1062:O1087)</f>
        <v/>
      </c>
    </row>
    <row r="1103">
      <c r="A1103" s="6" t="inlineStr">
        <is>
          <t>Stat: Basic Attack Target Increase (flat)</t>
        </is>
      </c>
    </row>
    <row r="1104">
      <c r="A1104" s="5" t="inlineStr">
        <is>
          <t>Key</t>
        </is>
      </c>
      <c r="B1104" s="5" t="inlineStr">
        <is>
          <t>Name</t>
        </is>
      </c>
      <c r="C1104" s="5" t="inlineStr">
        <is>
          <t>Unlocked</t>
        </is>
      </c>
      <c r="D1104" s="5" t="inlineStr">
        <is>
          <t>InputLevel</t>
        </is>
      </c>
      <c r="E1104" s="5" t="inlineStr">
        <is>
          <t>Factor</t>
        </is>
      </c>
      <c r="F1104" s="5" t="inlineStr">
        <is>
          <t>CoefficientPercent</t>
        </is>
      </c>
      <c r="G1104" s="5" t="inlineStr">
        <is>
          <t>EffectiveHits</t>
        </is>
      </c>
      <c r="H1104" s="5" t="inlineStr">
        <is>
          <t>ProcProbability</t>
        </is>
      </c>
      <c r="I1104" s="5" t="inlineStr">
        <is>
          <t>MapleHeroMultiplier</t>
        </is>
      </c>
      <c r="J1104" s="5" t="inlineStr">
        <is>
          <t>BaseDamage</t>
        </is>
      </c>
      <c r="K1104" s="5" t="inlineStr">
        <is>
          <t>BaseHitDamage</t>
        </is>
      </c>
      <c r="L1104" s="5" t="inlineStr">
        <is>
          <t>NonCritAvg</t>
        </is>
      </c>
      <c r="M1104" s="5" t="inlineStr">
        <is>
          <t>CritAvg</t>
        </is>
      </c>
      <c r="N1104" s="5" t="inlineStr">
        <is>
          <t>ExpectedDamage(perHit)</t>
        </is>
      </c>
      <c r="O1104" s="5" t="inlineStr">
        <is>
          <t>DPS</t>
        </is>
      </c>
      <c r="P1104" s="5" t="inlineStr">
        <is>
          <t>% of Total</t>
        </is>
      </c>
      <c r="Q1104" s="5" t="inlineStr">
        <is>
          <t>InvCooldown</t>
        </is>
      </c>
      <c r="R1104" s="5" t="inlineStr">
        <is>
          <t>CastsInFight</t>
        </is>
      </c>
      <c r="S1104" s="5" t="inlineStr">
        <is>
          <t>HitRate(perSec)</t>
        </is>
      </c>
      <c r="U1104" t="inlineStr">
        <is>
          <t>helpers</t>
        </is>
      </c>
    </row>
    <row r="1105">
      <c r="A1105">
        <f>Skills!A2</f>
        <v/>
      </c>
      <c r="B1105">
        <f>Skills!B2</f>
        <v/>
      </c>
      <c r="C1105">
        <f>Inputs!$B$3&gt;=100</f>
        <v/>
      </c>
      <c r="D1105" t="inlineStr"/>
      <c r="E1105" t="inlineStr"/>
      <c r="F1105">
        <f>U1107+Skills!O2</f>
        <v/>
      </c>
      <c r="G1105">
        <f>Skills!G2*IF(Skills!H2&gt;0,Skills!I2/Skills!H2,1)</f>
        <v/>
      </c>
      <c r="H1105">
        <f>1-(1-Skills!J2/100)^Skills!K2</f>
        <v/>
      </c>
      <c r="I1105" t="inlineStr">
        <is>
          <t>1</t>
        </is>
      </c>
      <c r="J1105">
        <f>((Inputs!$B$6*(1+Inputs!$B$7/100))+(((Inputs!$B$12*(1+Inputs!$B$13/100))-(Inputs!$B$12*(1+Inputs!$B$13/100)))+0.25*(Inputs!$B$14-Inputs!$B$14))*(1+Inputs!$B$7/100))*(F1105/100)</f>
        <v/>
      </c>
      <c r="K1105">
        <f>J1105*(1+((Inputs!$B$12*(1+Inputs!$B$13/100))*0.01+Inputs!$B$14*0.0025)/100)*(1+Inputs!$B$15/100)*(1+Inputs!$B$16/100)*(5000/(6000+Inputs!$B$42*(1-(100*(1-(1-(Inputs!$B$19+0)/100)*(1-CHOOSE(ArtifactsInput!$N$40+1,5,6,7,8,9,10)/100)^(ArtifactsInput!$M$40-ArtifactsInput!$M$40)))/100)))*(1+(Inputs!$B$24+((C1129=TRUE)*(F1129-Calc!F26))+B1139)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1126=TRUE)*(F1126-Calc!F23))+((C1130=TRUE)*(F1130-Calc!F27))+(((IF(AND(ArtifactsInput!$M$42,((Inputs!$B$9+((C1122=TRUE)*(F1122-Calc!F19))+B1133+(ArtifactsInput!$M$24-ArtifactsInput!$M$24)*CHOOSE(ArtifactsInput!$N$24+1,10,12,14,16,18,20)+IF(ArtifactsInput!$M$10,CHOOSE(ArtifactsInput!$N$10+1,15,18,21,24,27,30)*(IF(Inputs!$B$38="pvp",MIN(15,15)/15,IF(AND(Inputs!$B$38&lt;&gt;"pvp",Inputs!$B$43&gt;0),MIN(15,Inputs!$B$43)/(Inputs!$B$43),0))),0)))&gt;=100),MIN(100,((Inputs!$B$9+((C1122=TRUE)*(F1122-Calc!F19))+B1133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1122=TRUE)*(F1122-Calc!F19))+B1133+(ArtifactsInput!$M$24-ArtifactsInput!$M$24)*CHOOSE(ArtifactsInput!$N$24+1,10,12,14,16,18,20)+IF(ArtifactsInput!$M$10,CHOOSE(ArtifactsInput!$N$10+1,15,18,21,24,27,30)*(IF(Inputs!$B$38="pvp",MIN(15,15)/15,IF(AND(Inputs!$B$38&lt;&gt;"pvp",Inputs!$B$43&gt;0),MIN(15,Inputs!$B$43)/(Inputs!$B$43),0))),0)))&gt;=100),CHOOSE(ArtifactsInput!$N$42+1,40,48,56,64,72,80),0))))/100)*((1+(((C1120=TRUE)*F1120)+((C1127=TRUE)*(F1127-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1105)</f>
        <v/>
      </c>
      <c r="L1105">
        <f>K1105*(MIN(Inputs!$B$22+((C1125=TRUE)*(F1125-Calc!F22)),(Inputs!$B$23+0+(IF(ArtifactsInput!$M$15,CHOOSE(ArtifactsInput!$N$15+1,25,30,35,40,45,50)/100*(Inputs!$B$11-Inputs!$B$11),0))))/100+(Inputs!$B$23+0+(IF(ArtifactsInput!$M$15,CHOOSE(ArtifactsInput!$N$15+1,25,30,35,40,45,50)/100*(Inputs!$B$11-Inputs!$B$11),0)))/100)/2</f>
        <v/>
      </c>
      <c r="M1105">
        <f>L1105*(1+(Inputs!$B$10+((C1128=TRUE)*(F1128-Calc!F25))+B1138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5">
        <f>L1105*(1-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1105*(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5">
        <f>(1-Summary!$B$11)*T1105+Summary!$B$11*V1105</f>
        <v/>
      </c>
      <c r="P1105">
        <f>IF(B1143=0,0,O1105/B1143)</f>
        <v/>
      </c>
      <c r="Q1105" t="n">
        <v>0</v>
      </c>
      <c r="R1105" t="n">
        <v>0</v>
      </c>
      <c r="S1105">
        <f>IFERROR(O1105/N1105,0)</f>
        <v/>
      </c>
      <c r="T1105">
        <f>IF(C1105,(Skills!G2*N1105*B1137)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1105*(1-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1105*(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1105*(1-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1105*(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5">
        <f>MAX(0,(Inputs!$B$3-100)*3)+Inputs!$B$28+Inputs!$B$29</f>
        <v/>
      </c>
      <c r="V1105">
        <f>IF(C1105,(Skills!G2*N1105*B1137)*IF(Inputs!$B$38="pvp",1,(1+(Inputs!$B$21+Skills!Q2+(IF(ArtifactsInput!$M$33,CHOOSE(ArtifactsInput!$N$33+1,30,36,42,48,54,60),0))+(IF(AND(ArtifactsInput!$M$35,Inputs!$B$4&lt;&gt;"Chapter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6">
      <c r="A1106">
        <f>Skills!A3</f>
        <v/>
      </c>
      <c r="B1106">
        <f>Skills!B3</f>
        <v/>
      </c>
      <c r="C1106">
        <f>Inputs!$B$3&gt;=35</f>
        <v/>
      </c>
      <c r="D1106">
        <f>IF(Skills!C3=1,60+Inputs!$B$25+Inputs!$B$29,IF(Skills!C3=2,90+Inputs!$B$26+Inputs!$B$29,IF(Skills!C3=3,120+Inputs!$B$27+Inputs!$B$29,MAX(0,(Inputs!$B$3-100)*3)+Inputs!$B$28+Inputs!$B$29)))</f>
        <v/>
      </c>
      <c r="E1106">
        <f>INDEX(FactorTable!$B$2:$Y$301, MATCH(ROUND(MIN(300,MAX(1,D1106)),0), FactorTable!$A$2:$A$301,0), Skills!M3+1)</f>
        <v/>
      </c>
      <c r="F1106">
        <f>IF(Skills!N3=TRUE,(Skills!L3/10)*(E1106/1000),Skills!L3/10)+Skills!O3</f>
        <v/>
      </c>
      <c r="G1106">
        <f>Skills!G3*IF(Skills!H3&gt;0,Skills!I3/Skills!H3,1)</f>
        <v/>
      </c>
      <c r="H1106">
        <f>1-(1-Skills!J3/100)^Skills!K3</f>
        <v/>
      </c>
      <c r="I1106" t="inlineStr">
        <is>
          <t>1</t>
        </is>
      </c>
      <c r="J1106">
        <f>((Inputs!$B$6*(1+Inputs!$B$7/100))+(((Inputs!$B$12*(1+Inputs!$B$13/100))-(Inputs!$B$12*(1+Inputs!$B$13/100)))+0.25*(Inputs!$B$14-Inputs!$B$14))*(1+Inputs!$B$7/100))*(F1106/100)</f>
        <v/>
      </c>
      <c r="K1106">
        <f>J1106*(1+((Inputs!$B$12*(1+Inputs!$B$13/100))*0.01+Inputs!$B$14*0.0025)/100)*(1+Inputs!$B$15/100)*(1+Inputs!$B$16/100)*(5000/(6000+Inputs!$B$42*(1-(100*(1-(1-(Inputs!$B$19+0)/100)*(1-CHOOSE(ArtifactsInput!$N$40+1,5,6,7,8,9,10)/100)^(ArtifactsInput!$M$40-ArtifactsInput!$M$40)))/100)))*(1+(Inputs!$B$24+((C1129=TRUE)*(F1129-Calc!F26))+B1139)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1118=TRUE,F1118,0)/100)*(1+(IF(Skills!A3="EIGHT_LEGS_EASTON",Inputs!$B$17+((C1126=TRUE)*(F1126-Calc!F23))+((C1130=TRUE)*(F1130-Calc!F27))+(((IF(AND(ArtifactsInput!$M$42,((Inputs!$B$9+((C1122=TRUE)*(F1122-Calc!F19))+B1133+(ArtifactsInput!$M$24-ArtifactsInput!$M$24)*CHOOSE(ArtifactsInput!$N$24+1,10,12,14,16,18,20)+IF(ArtifactsInput!$M$10,CHOOSE(ArtifactsInput!$N$10+1,15,18,21,24,27,30)*(IF(Inputs!$B$38="pvp",MIN(15,15)/15,IF(AND(Inputs!$B$38&lt;&gt;"pvp",Inputs!$B$43&gt;0),MIN(15,Inputs!$B$43)/(Inputs!$B$43),0))),0)))&gt;=100),MIN(100,((Inputs!$B$9+((C1122=TRUE)*(F1122-Calc!F19))+B1133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1122=TRUE)*(F1122-Calc!F19))+B1133+(ArtifactsInput!$M$24-ArtifactsInput!$M$24)*CHOOSE(ArtifactsInput!$N$24+1,10,12,14,16,18,20)+IF(ArtifactsInput!$M$10,CHOOSE(ArtifactsInput!$N$10+1,15,18,21,24,27,30)*(IF(Inputs!$B$38="pvp",MIN(15,15)/15,IF(AND(Inputs!$B$38&lt;&gt;"pvp",Inputs!$B$43&gt;0),MIN(15,Inputs!$B$43)/(Inputs!$B$43),0))),0)))&gt;=100),CHOOSE(ArtifactsInput!$N$42+1,40,48,56,64,72,80),0))))/100)*((1+(((C1120=TRUE)*F1120)+((C1127=TRUE)*(F1127-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1106)</f>
        <v/>
      </c>
      <c r="L1106">
        <f>K1106*(MIN(Inputs!$B$22+((C1125=TRUE)*(F1125-Calc!F22)),(Inputs!$B$23+0+(IF(ArtifactsInput!$M$15,CHOOSE(ArtifactsInput!$N$15+1,25,30,35,40,45,50)/100*(Inputs!$B$11-Inputs!$B$11),0))))/100+(Inputs!$B$23+0+(IF(ArtifactsInput!$M$15,CHOOSE(ArtifactsInput!$N$15+1,25,30,35,40,45,50)/100*(Inputs!$B$11-Inputs!$B$11),0)))/100)/2</f>
        <v/>
      </c>
      <c r="M1106">
        <f>L1106*(1+(Inputs!$B$10+((C1128=TRUE)*(F1128-Calc!F25))+B1138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6">
        <f>L1106*(1-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1106*(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6">
        <f>(1-Summary!$B$11)*T1106+Summary!$B$11*V1106</f>
        <v/>
      </c>
      <c r="P1106">
        <f>IF(B1143=0,0,O1106/B1143)</f>
        <v/>
      </c>
      <c r="Q1106">
        <f>IFERROR(1/(IF(Inputs!$B$38="pvp",15,MAX(0.1,Skills!D3-IF(Skills!E3=TRUE,Inputs!$B$32,0)))*(1-IF(AND(ArtifactsInput!$M$27,Inputs!$B$4="Chapter Hunt"),CHOOSE(ArtifactsInput!$N$27+1,20,24,28,32,36,40),0)/100)),0)</f>
        <v/>
      </c>
      <c r="R1106">
        <f>IF(AND(Inputs!$B$38&lt;&gt;"pvp",Inputs!$B$43&gt;0),IF(MAX(0,Inputs!$B$43-B1140)&lt;=0,0,(INT(MAX(0,Inputs!$B$43-B1140)/(IF(Inputs!$B$38="pvp",15,MAX(0.1,Skills!D3-IF(Skills!E3=TRUE,Inputs!$B$32,0)))*(1-IF(AND(ArtifactsInput!$M$27,Inputs!$B$4="Chapter Hunt"),CHOOSE(ArtifactsInput!$N$27+1,20,24,28,32,36,40),0)/100)))+1)),0)</f>
        <v/>
      </c>
      <c r="S1106">
        <f>IFERROR(O1106/N1106,0)</f>
        <v/>
      </c>
      <c r="T1106">
        <f>IF(C1106,(H1106*N1106*IF(AND(Inputs!$B$38&lt;&gt;"pvp",Inputs!$B$43&gt;0),((Skills!G3*((R1106-1)*IF(Skills!H3&gt;0,Skills!I3/Skills!H3,1)+IF(Skills!H3&gt;0,MIN(Skills!I3,MAX(0,MAX(0,Inputs!$B$43-B1140)-((R1106-1)*(IF(Inputs!$B$38="pvp",15,MAX(0.1,Skills!D3-IF(Skills!E3=TRUE,Inputs!$B$32,0)))*(1-IF(AND(ArtifactsInput!$M$27,Inputs!$B$4="Chapter Hunt"),CHOOSE(ArtifactsInput!$N$27+1,20,24,28,32,36,40),0)/100)))))/Skills!H3,1)))/Inputs!$B$43),G1106*Q1106)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1106*(1-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1106*(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1106*(1-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1106*(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6">
        <f>INDEX(FactorTable!$B$2:$Y$301, MATCH(ROUND(MIN(300,MAX(1,U1105)),0), FactorTable!$A$2:$A$301,0), 22)</f>
        <v/>
      </c>
      <c r="V1106">
        <f>IF(C1106,(H1106*N1106*IF(AND(Inputs!$B$38&lt;&gt;"pvp",Inputs!$B$43&gt;0),((Skills!G3*((R1106-1)*IF(Skills!H3&gt;0,Skills!I3/Skills!H3,1)+IF(Skills!H3&gt;0,MIN(Skills!I3,MAX(0,MAX(0,Inputs!$B$43-B1140)-((R1106-1)*(IF(Inputs!$B$38="pvp",15,MAX(0.1,Skills!D3-IF(Skills!E3=TRUE,Inputs!$B$32,0)))*(1-IF(AND(ArtifactsInput!$M$27,Inputs!$B$4="Chapter Hunt"),CHOOSE(ArtifactsInput!$N$27+1,20,24,28,32,36,40),0)/100)))))/Skills!H3,1)))/Inputs!$B$43),G1106*Q1106))*IF(Inputs!$B$38="pvp",1,(1+(Inputs!$B$21+Skills!Q3+(IF(ArtifactsInput!$M$33,CHOOSE(ArtifactsInput!$N$33+1,30,36,42,48,54,60)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7">
      <c r="A1107">
        <f>Skills!A4</f>
        <v/>
      </c>
      <c r="B1107">
        <f>Skills!B4</f>
        <v/>
      </c>
      <c r="C1107">
        <f>Inputs!$B$3&gt;=40</f>
        <v/>
      </c>
      <c r="D1107">
        <f>IF(Skills!C4=1,60+Inputs!$B$25+Inputs!$B$29,IF(Skills!C4=2,90+Inputs!$B$26+Inputs!$B$29,IF(Skills!C4=3,120+Inputs!$B$27+Inputs!$B$29,MAX(0,(Inputs!$B$3-100)*3)+Inputs!$B$28+Inputs!$B$29)))</f>
        <v/>
      </c>
      <c r="E1107">
        <f>INDEX(FactorTable!$B$2:$Y$301, MATCH(ROUND(MIN(300,MAX(1,D1107)),0), FactorTable!$A$2:$A$301,0), Skills!M4+1)</f>
        <v/>
      </c>
      <c r="F1107">
        <f>IF(Skills!N4=TRUE,(Skills!L4/10)*(E1107/1000),Skills!L4/10)+Skills!O4</f>
        <v/>
      </c>
      <c r="G1107">
        <f>Skills!G4*IF(Skills!H4&gt;0,Skills!I4/Skills!H4,1)</f>
        <v/>
      </c>
      <c r="H1107">
        <f>1-(1-Skills!J4/100)^Skills!K4</f>
        <v/>
      </c>
      <c r="I1107" t="inlineStr">
        <is>
          <t>1</t>
        </is>
      </c>
      <c r="J1107">
        <f>((Inputs!$B$6*(1+Inputs!$B$7/100))+(((Inputs!$B$12*(1+Inputs!$B$13/100))-(Inputs!$B$12*(1+Inputs!$B$13/100)))+0.25*(Inputs!$B$14-Inputs!$B$14))*(1+Inputs!$B$7/100))*(F1107/100)</f>
        <v/>
      </c>
      <c r="K1107">
        <f>J1107*(1+((Inputs!$B$12*(1+Inputs!$B$13/100))*0.01+Inputs!$B$14*0.0025)/100)*(1+Inputs!$B$15/100)*(1+Inputs!$B$16/100)*(5000/(6000+Inputs!$B$42*(1-(100*(1-(1-(Inputs!$B$19+0)/100)*(1-CHOOSE(ArtifactsInput!$N$40+1,5,6,7,8,9,10)/100)^(ArtifactsInput!$M$40-ArtifactsInput!$M$40)))/100)))*(1+(Inputs!$B$24+((C1129=TRUE)*(F1129-Calc!F26))+B1139)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1119=TRUE,F1119,0)/100)*(1+(IF(Skills!A4="EIGHT_LEGS_EASTON",Inputs!$B$17+((C1126=TRUE)*(F1126-Calc!F23))+((C1130=TRUE)*(F1130-Calc!F27))+(((IF(AND(ArtifactsInput!$M$42,((Inputs!$B$9+((C1122=TRUE)*(F1122-Calc!F19))+B1133+(ArtifactsInput!$M$24-ArtifactsInput!$M$24)*CHOOSE(ArtifactsInput!$N$24+1,10,12,14,16,18,20)+IF(ArtifactsInput!$M$10,CHOOSE(ArtifactsInput!$N$10+1,15,18,21,24,27,30)*(IF(Inputs!$B$38="pvp",MIN(15,15)/15,IF(AND(Inputs!$B$38&lt;&gt;"pvp",Inputs!$B$43&gt;0),MIN(15,Inputs!$B$43)/(Inputs!$B$43),0))),0)))&gt;=100),MIN(100,((Inputs!$B$9+((C1122=TRUE)*(F1122-Calc!F19))+B1133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1122=TRUE)*(F1122-Calc!F19))+B1133+(ArtifactsInput!$M$24-ArtifactsInput!$M$24)*CHOOSE(ArtifactsInput!$N$24+1,10,12,14,16,18,20)+IF(ArtifactsInput!$M$10,CHOOSE(ArtifactsInput!$N$10+1,15,18,21,24,27,30)*(IF(Inputs!$B$38="pvp",MIN(15,15)/15,IF(AND(Inputs!$B$38&lt;&gt;"pvp",Inputs!$B$43&gt;0),MIN(15,Inputs!$B$43)/(Inputs!$B$43),0))),0)))&gt;=100),CHOOSE(ArtifactsInput!$N$42+1,40,48,56,64,72,80),0))))/100)*((1+(((C1120=TRUE)*F1120)+((C1127=TRUE)*(F1127-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1107)</f>
        <v/>
      </c>
      <c r="L1107">
        <f>K1107*(MIN(Inputs!$B$22+((C1125=TRUE)*(F1125-Calc!F22)),(Inputs!$B$23+0+(IF(ArtifactsInput!$M$15,CHOOSE(ArtifactsInput!$N$15+1,25,30,35,40,45,50)/100*(Inputs!$B$11-Inputs!$B$11),0))))/100+(Inputs!$B$23+0+(IF(ArtifactsInput!$M$15,CHOOSE(ArtifactsInput!$N$15+1,25,30,35,40,45,50)/100*(Inputs!$B$11-Inputs!$B$11),0)))/100)/2</f>
        <v/>
      </c>
      <c r="M1107">
        <f>L1107*(1+(Inputs!$B$10+((C1128=TRUE)*(F1128-Calc!F25))+B1138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7">
        <f>L1107*(1-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1107*(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7">
        <f>(1-Summary!$B$11)*T1107+Summary!$B$11*V1107</f>
        <v/>
      </c>
      <c r="P1107">
        <f>IF(B1143=0,0,O1107/B1143)</f>
        <v/>
      </c>
      <c r="Q1107">
        <f>IFERROR(1/(IF(Inputs!$B$38="pvp",15,MAX(0.1,Skills!D4-IF(Skills!E4=TRUE,Inputs!$B$32,0)))*(1-IF(AND(ArtifactsInput!$M$27,Inputs!$B$4="Chapter Hunt"),CHOOSE(ArtifactsInput!$N$27+1,20,24,28,32,36,40),0)/100)),0)</f>
        <v/>
      </c>
      <c r="R1107">
        <f>IF(AND(Inputs!$B$38&lt;&gt;"pvp",Inputs!$B$43&gt;0),IF(MAX(0,Inputs!$B$43-B1140)&lt;=0,0,(INT(MAX(0,Inputs!$B$43-B1140)/(IF(Inputs!$B$38="pvp",15,MAX(0.1,Skills!D4-IF(Skills!E4=TRUE,Inputs!$B$32,0)))*(1-IF(AND(ArtifactsInput!$M$27,Inputs!$B$4="Chapter Hunt"),CHOOSE(ArtifactsInput!$N$27+1,20,24,28,32,36,40),0)/100)))+1)),0)</f>
        <v/>
      </c>
      <c r="S1107">
        <f>IFERROR(O1107/N1107,0)</f>
        <v/>
      </c>
      <c r="T1107">
        <f>IF(C1107,(H1107*N1107*IF(AND(Inputs!$B$38&lt;&gt;"pvp",Inputs!$B$43&gt;0),((Skills!G4*((R1107-1)*IF(Skills!H4&gt;0,Skills!I4/Skills!H4,1)+IF(Skills!H4&gt;0,MIN(Skills!I4,MAX(0,MAX(0,Inputs!$B$43-B1140)-((R1107-1)*(IF(Inputs!$B$38="pvp",15,MAX(0.1,Skills!D4-IF(Skills!E4=TRUE,Inputs!$B$32,0)))*(1-IF(AND(ArtifactsInput!$M$27,Inputs!$B$4="Chapter Hunt"),CHOOSE(ArtifactsInput!$N$27+1,20,24,28,32,36,40),0)/100)))))/Skills!H4,1)))/Inputs!$B$43),G1107*Q1107)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1107*(1-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1107*(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1107*(1-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1107*(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7">
        <f>290*U1106/1000</f>
        <v/>
      </c>
      <c r="V1107">
        <f>IF(C1107,(H1107*N1107*IF(AND(Inputs!$B$38&lt;&gt;"pvp",Inputs!$B$43&gt;0),((Skills!G4*((R1107-1)*IF(Skills!H4&gt;0,Skills!I4/Skills!H4,1)+IF(Skills!H4&gt;0,MIN(Skills!I4,MAX(0,MAX(0,Inputs!$B$43-B1140)-((R1107-1)*(IF(Inputs!$B$38="pvp",15,MAX(0.1,Skills!D4-IF(Skills!E4=TRUE,Inputs!$B$32,0)))*(1-IF(AND(ArtifactsInput!$M$27,Inputs!$B$4="Chapter Hunt"),CHOOSE(ArtifactsInput!$N$27+1,20,24,28,32,36,40),0)/100)))))/Skills!H4,1)))/Inputs!$B$43),G1107*Q1107))*IF(Inputs!$B$38="pvp",1,(1+(Inputs!$B$21+Skills!Q4+(IF(ArtifactsInput!$M$33,CHOOSE(ArtifactsInput!$N$33+1,30,36,42,48,54,60)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8">
      <c r="A1108">
        <f>Skills!A5</f>
        <v/>
      </c>
      <c r="B1108">
        <f>Skills!B5</f>
        <v/>
      </c>
      <c r="C1108">
        <f>Inputs!$B$3&gt;=45</f>
        <v/>
      </c>
      <c r="D1108">
        <f>IF(Skills!C5=1,60+Inputs!$B$25+Inputs!$B$29,IF(Skills!C5=2,90+Inputs!$B$26+Inputs!$B$29,IF(Skills!C5=3,120+Inputs!$B$27+Inputs!$B$29,MAX(0,(Inputs!$B$3-100)*3)+Inputs!$B$28+Inputs!$B$29)))</f>
        <v/>
      </c>
      <c r="E1108">
        <f>INDEX(FactorTable!$B$2:$Y$301, MATCH(ROUND(MIN(300,MAX(1,D1108)),0), FactorTable!$A$2:$A$301,0), Skills!M5+1)</f>
        <v/>
      </c>
      <c r="F1108">
        <f>IF(Skills!N5=TRUE,(Skills!L5/10)*(E1108/1000),Skills!L5/10)+Skills!O5</f>
        <v/>
      </c>
      <c r="G1108">
        <f>Skills!G5*IF(Skills!H5&gt;0,Skills!I5/Skills!H5,1)</f>
        <v/>
      </c>
      <c r="H1108">
        <f>1-(1-Skills!J5/100)^Skills!K5</f>
        <v/>
      </c>
      <c r="I1108" t="inlineStr">
        <is>
          <t>1</t>
        </is>
      </c>
      <c r="J1108">
        <f>((Inputs!$B$6*(1+Inputs!$B$7/100))+(((Inputs!$B$12*(1+Inputs!$B$13/100))-(Inputs!$B$12*(1+Inputs!$B$13/100)))+0.25*(Inputs!$B$14-Inputs!$B$14))*(1+Inputs!$B$7/100))*(F1108/100)</f>
        <v/>
      </c>
      <c r="K1108">
        <f>J1108*(1+((Inputs!$B$12*(1+Inputs!$B$13/100))*0.01+Inputs!$B$14*0.0025)/100)*(1+Inputs!$B$15/100)*(1+Inputs!$B$16/100)*(5000/(6000+Inputs!$B$42*(1-(100*(1-(1-(Inputs!$B$19+0)/100)*(1-CHOOSE(ArtifactsInput!$N$40+1,5,6,7,8,9,10)/100)^(ArtifactsInput!$M$40-ArtifactsInput!$M$40)))/100)))*(1+(Inputs!$B$24+((C1129=TRUE)*(F1129-Calc!F26))+B1139)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1119=TRUE,F1119,0)/100)*(1+(IF(Skills!A5="EIGHT_LEGS_EASTON",Inputs!$B$17+((C1126=TRUE)*(F1126-Calc!F23))+((C1130=TRUE)*(F1130-Calc!F27))+(((IF(AND(ArtifactsInput!$M$42,((Inputs!$B$9+((C1122=TRUE)*(F1122-Calc!F19))+B1133+(ArtifactsInput!$M$24-ArtifactsInput!$M$24)*CHOOSE(ArtifactsInput!$N$24+1,10,12,14,16,18,20)+IF(ArtifactsInput!$M$10,CHOOSE(ArtifactsInput!$N$10+1,15,18,21,24,27,30)*(IF(Inputs!$B$38="pvp",MIN(15,15)/15,IF(AND(Inputs!$B$38&lt;&gt;"pvp",Inputs!$B$43&gt;0),MIN(15,Inputs!$B$43)/(Inputs!$B$43),0))),0)))&gt;=100),MIN(100,((Inputs!$B$9+((C1122=TRUE)*(F1122-Calc!F19))+B1133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1122=TRUE)*(F1122-Calc!F19))+B1133+(ArtifactsInput!$M$24-ArtifactsInput!$M$24)*CHOOSE(ArtifactsInput!$N$24+1,10,12,14,16,18,20)+IF(ArtifactsInput!$M$10,CHOOSE(ArtifactsInput!$N$10+1,15,18,21,24,27,30)*(IF(Inputs!$B$38="pvp",MIN(15,15)/15,IF(AND(Inputs!$B$38&lt;&gt;"pvp",Inputs!$B$43&gt;0),MIN(15,Inputs!$B$43)/(Inputs!$B$43),0))),0)))&gt;=100),CHOOSE(ArtifactsInput!$N$42+1,40,48,56,64,72,80),0))))/100)*((1+(((C1120=TRUE)*F1120)+((C1127=TRUE)*(F1127-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1108)</f>
        <v/>
      </c>
      <c r="L1108">
        <f>K1108*(MIN(Inputs!$B$22+((C1125=TRUE)*(F1125-Calc!F22)),(Inputs!$B$23+0+(IF(ArtifactsInput!$M$15,CHOOSE(ArtifactsInput!$N$15+1,25,30,35,40,45,50)/100*(Inputs!$B$11-Inputs!$B$11),0))))/100+(Inputs!$B$23+0+(IF(ArtifactsInput!$M$15,CHOOSE(ArtifactsInput!$N$15+1,25,30,35,40,45,50)/100*(Inputs!$B$11-Inputs!$B$11),0)))/100)/2</f>
        <v/>
      </c>
      <c r="M1108">
        <f>L1108*(1+(Inputs!$B$10+((C1128=TRUE)*(F1128-Calc!F25))+B1138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8">
        <f>L1108*(1-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1108*(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8">
        <f>(1-Summary!$B$11)*T1108+Summary!$B$11*V1108</f>
        <v/>
      </c>
      <c r="P1108">
        <f>IF(B1143=0,0,O1108/B1143)</f>
        <v/>
      </c>
      <c r="Q1108">
        <f>IFERROR(1/(IF(Inputs!$B$38="pvp",15,MAX(0.1,Skills!D5-IF(Skills!E5=TRUE,Inputs!$B$32,0)))*(1-IF(AND(ArtifactsInput!$M$27,Inputs!$B$4="Chapter Hunt"),CHOOSE(ArtifactsInput!$N$27+1,20,24,28,32,36,40),0)/100)),0)</f>
        <v/>
      </c>
      <c r="R1108">
        <f>IF(AND(Inputs!$B$38&lt;&gt;"pvp",Inputs!$B$43&gt;0),IF(MAX(0,Inputs!$B$43-B1140)&lt;=0,0,(INT(MAX(0,Inputs!$B$43-B1140)/(IF(Inputs!$B$38="pvp",15,MAX(0.1,Skills!D5-IF(Skills!E5=TRUE,Inputs!$B$32,0)))*(1-IF(AND(ArtifactsInput!$M$27,Inputs!$B$4="Chapter Hunt"),CHOOSE(ArtifactsInput!$N$27+1,20,24,28,32,36,40),0)/100)))+1)),0)</f>
        <v/>
      </c>
      <c r="S1108">
        <f>IFERROR(O1108/N1108,0)</f>
        <v/>
      </c>
      <c r="T1108">
        <f>IF(C1108,(H1108*N1108*IF(AND(Inputs!$B$38&lt;&gt;"pvp",Inputs!$B$43&gt;0),((Skills!G5*((R1108-1)*IF(Skills!H5&gt;0,Skills!I5/Skills!H5,1)+IF(Skills!H5&gt;0,MIN(Skills!I5,MAX(0,MAX(0,Inputs!$B$43-B1140)-((R1108-1)*(IF(Inputs!$B$38="pvp",15,MAX(0.1,Skills!D5-IF(Skills!E5=TRUE,Inputs!$B$32,0)))*(1-IF(AND(ArtifactsInput!$M$27,Inputs!$B$4="Chapter Hunt"),CHOOSE(ArtifactsInput!$N$27+1,20,24,28,32,36,40),0)/100)))))/Skills!H5,1)))/Inputs!$B$43),G1108*Q1108)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1108*(1-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1108*(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1108*(1-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1108*(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08">
        <f>IF(C1108,(H1108*N1108*IF(AND(Inputs!$B$38&lt;&gt;"pvp",Inputs!$B$43&gt;0),((Skills!G5*((R1108-1)*IF(Skills!H5&gt;0,Skills!I5/Skills!H5,1)+IF(Skills!H5&gt;0,MIN(Skills!I5,MAX(0,MAX(0,Inputs!$B$43-B1140)-((R1108-1)*(IF(Inputs!$B$38="pvp",15,MAX(0.1,Skills!D5-IF(Skills!E5=TRUE,Inputs!$B$32,0)))*(1-IF(AND(ArtifactsInput!$M$27,Inputs!$B$4="Chapter Hunt"),CHOOSE(ArtifactsInput!$N$27+1,20,24,28,32,36,40),0)/100)))))/Skills!H5,1)))/Inputs!$B$43),G1108*Q1108))*IF(Inputs!$B$38="pvp",1,(1+(Inputs!$B$21+Skills!Q5+(IF(ArtifactsInput!$M$33,CHOOSE(ArtifactsInput!$N$33+1,30,36,42,48,54,60)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9">
      <c r="A1109">
        <f>Skills!A6</f>
        <v/>
      </c>
      <c r="B1109">
        <f>Skills!B6</f>
        <v/>
      </c>
      <c r="C1109">
        <f>Inputs!$B$3&gt;=63</f>
        <v/>
      </c>
      <c r="D1109">
        <f>IF(Skills!C6=1,60+Inputs!$B$25+Inputs!$B$29,IF(Skills!C6=2,90+Inputs!$B$26+Inputs!$B$29,IF(Skills!C6=3,120+Inputs!$B$27+Inputs!$B$29,MAX(0,(Inputs!$B$3-100)*3)+Inputs!$B$28+Inputs!$B$29)))</f>
        <v/>
      </c>
      <c r="E1109">
        <f>INDEX(FactorTable!$B$2:$Y$301, MATCH(ROUND(MIN(300,MAX(1,D1109)),0), FactorTable!$A$2:$A$301,0), Skills!M6+1)</f>
        <v/>
      </c>
      <c r="F1109">
        <f>IF(Skills!N6=TRUE,(Skills!L6/10)*(E1109/1000),Skills!L6/10)+Skills!O6</f>
        <v/>
      </c>
      <c r="G1109">
        <f>Skills!G6*IF(Skills!H6&gt;0,Skills!I6/Skills!H6,1)</f>
        <v/>
      </c>
      <c r="H1109">
        <f>1-(1-Skills!J6/100)^Skills!K6</f>
        <v/>
      </c>
      <c r="I1109" t="inlineStr">
        <is>
          <t>1</t>
        </is>
      </c>
      <c r="J1109">
        <f>((Inputs!$B$6*(1+Inputs!$B$7/100))+(((Inputs!$B$12*(1+Inputs!$B$13/100))-(Inputs!$B$12*(1+Inputs!$B$13/100)))+0.25*(Inputs!$B$14-Inputs!$B$14))*(1+Inputs!$B$7/100))*(F1109/100)</f>
        <v/>
      </c>
      <c r="K1109">
        <f>J1109*(1+((Inputs!$B$12*(1+Inputs!$B$13/100))*0.01+Inputs!$B$14*0.0025)/100)*(1+Inputs!$B$15/100)*(1+Inputs!$B$16/100)*(5000/(6000+Inputs!$B$42*(1-(100*(1-(1-(Inputs!$B$19+0)/100)*(1-CHOOSE(ArtifactsInput!$N$40+1,5,6,7,8,9,10)/100)^(ArtifactsInput!$M$40-ArtifactsInput!$M$40)))/100)))*(1+(Inputs!$B$24+((C1129=TRUE)*(F1129-Calc!F26))+B1139)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1118=TRUE,F1118,0)/100)*(1+(IF(Skills!A6="EIGHT_LEGS_EASTON",Inputs!$B$17+((C1126=TRUE)*(F1126-Calc!F23))+((C1130=TRUE)*(F1130-Calc!F27))+(((IF(AND(ArtifactsInput!$M$42,((Inputs!$B$9+((C1122=TRUE)*(F1122-Calc!F19))+B1133+(ArtifactsInput!$M$24-ArtifactsInput!$M$24)*CHOOSE(ArtifactsInput!$N$24+1,10,12,14,16,18,20)+IF(ArtifactsInput!$M$10,CHOOSE(ArtifactsInput!$N$10+1,15,18,21,24,27,30)*(IF(Inputs!$B$38="pvp",MIN(15,15)/15,IF(AND(Inputs!$B$38&lt;&gt;"pvp",Inputs!$B$43&gt;0),MIN(15,Inputs!$B$43)/(Inputs!$B$43),0))),0)))&gt;=100),MIN(100,((Inputs!$B$9+((C1122=TRUE)*(F1122-Calc!F19))+B1133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1122=TRUE)*(F1122-Calc!F19))+B1133+(ArtifactsInput!$M$24-ArtifactsInput!$M$24)*CHOOSE(ArtifactsInput!$N$24+1,10,12,14,16,18,20)+IF(ArtifactsInput!$M$10,CHOOSE(ArtifactsInput!$N$10+1,15,18,21,24,27,30)*(IF(Inputs!$B$38="pvp",MIN(15,15)/15,IF(AND(Inputs!$B$38&lt;&gt;"pvp",Inputs!$B$43&gt;0),MIN(15,Inputs!$B$43)/(Inputs!$B$43),0))),0)))&gt;=100),CHOOSE(ArtifactsInput!$N$42+1,40,48,56,64,72,80),0))))/100)*((1+(((C1120=TRUE)*F1120)+((C1127=TRUE)*(F1127-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1109)</f>
        <v/>
      </c>
      <c r="L1109">
        <f>K1109*(MIN(Inputs!$B$22+((C1125=TRUE)*(F1125-Calc!F22)),(Inputs!$B$23+0+(IF(ArtifactsInput!$M$15,CHOOSE(ArtifactsInput!$N$15+1,25,30,35,40,45,50)/100*(Inputs!$B$11-Inputs!$B$11),0))))/100+(Inputs!$B$23+0+(IF(ArtifactsInput!$M$15,CHOOSE(ArtifactsInput!$N$15+1,25,30,35,40,45,50)/100*(Inputs!$B$11-Inputs!$B$11),0)))/100)/2</f>
        <v/>
      </c>
      <c r="M1109">
        <f>L1109*(1+(Inputs!$B$10+((C1128=TRUE)*(F1128-Calc!F25))+B1138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9">
        <f>L1109*(1-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1109*(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9">
        <f>(1-Summary!$B$11)*T1109+Summary!$B$11*V1109</f>
        <v/>
      </c>
      <c r="P1109">
        <f>IF(B1143=0,0,O1109/B1143)</f>
        <v/>
      </c>
      <c r="Q1109">
        <f>IFERROR(1/(IF(Inputs!$B$38="pvp",15,MAX(0.1,Skills!D6-IF(Skills!E6=TRUE,Inputs!$B$32,0)))*(1-IF(AND(ArtifactsInput!$M$27,Inputs!$B$4="Chapter Hunt"),CHOOSE(ArtifactsInput!$N$27+1,20,24,28,32,36,40),0)/100)),0)</f>
        <v/>
      </c>
      <c r="R1109">
        <f>IF(AND(Inputs!$B$38&lt;&gt;"pvp",Inputs!$B$43&gt;0),IF(MAX(0,Inputs!$B$43-B1140)&lt;=0,0,(INT(MAX(0,Inputs!$B$43-B1140)/(IF(Inputs!$B$38="pvp",15,MAX(0.1,Skills!D6-IF(Skills!E6=TRUE,Inputs!$B$32,0)))*(1-IF(AND(ArtifactsInput!$M$27,Inputs!$B$4="Chapter Hunt"),CHOOSE(ArtifactsInput!$N$27+1,20,24,28,32,36,40),0)/100)))+1)),0)</f>
        <v/>
      </c>
      <c r="S1109">
        <f>IFERROR(O1109/N1109,0)</f>
        <v/>
      </c>
      <c r="T1109">
        <f>IF(C1109,(H1109*N1109*IF(AND(Inputs!$B$38&lt;&gt;"pvp",Inputs!$B$43&gt;0),((Skills!G6*((R1109-1)*IF(Skills!H6&gt;0,Skills!I6/Skills!H6,1)+IF(Skills!H6&gt;0,MIN(Skills!I6,MAX(0,MAX(0,Inputs!$B$43-B1140)-((R1109-1)*(IF(Inputs!$B$38="pvp",15,MAX(0.1,Skills!D6-IF(Skills!E6=TRUE,Inputs!$B$32,0)))*(1-IF(AND(ArtifactsInput!$M$27,Inputs!$B$4="Chapter Hunt"),CHOOSE(ArtifactsInput!$N$27+1,20,24,28,32,36,40),0)/100)))))/Skills!H6,1)))/Inputs!$B$43),G1109*Q1109)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1109*(1-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1109*(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1109*(1-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1109*(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09">
        <f>IF(C1109,(H1109*N1109*IF(AND(Inputs!$B$38&lt;&gt;"pvp",Inputs!$B$43&gt;0),((Skills!G6*((R1109-1)*IF(Skills!H6&gt;0,Skills!I6/Skills!H6,1)+IF(Skills!H6&gt;0,MIN(Skills!I6,MAX(0,MAX(0,Inputs!$B$43-B1140)-((R1109-1)*(IF(Inputs!$B$38="pvp",15,MAX(0.1,Skills!D6-IF(Skills!E6=TRUE,Inputs!$B$32,0)))*(1-IF(AND(ArtifactsInput!$M$27,Inputs!$B$4="Chapter Hunt"),CHOOSE(ArtifactsInput!$N$27+1,20,24,28,32,36,40),0)/100)))))/Skills!H6,1)))/Inputs!$B$43),G1109*Q1109))*IF(Inputs!$B$38="pvp",1,(1+(Inputs!$B$21+Skills!Q6+(IF(ArtifactsInput!$M$33,CHOOSE(ArtifactsInput!$N$33+1,30,36,42,48,54,60)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0">
      <c r="A1110">
        <f>Skills!A7</f>
        <v/>
      </c>
      <c r="B1110">
        <f>Skills!B7</f>
        <v/>
      </c>
      <c r="C1110">
        <f>Inputs!$B$3&gt;=66</f>
        <v/>
      </c>
      <c r="D1110">
        <f>IF(Skills!C7=1,60+Inputs!$B$25+Inputs!$B$29,IF(Skills!C7=2,90+Inputs!$B$26+Inputs!$B$29,IF(Skills!C7=3,120+Inputs!$B$27+Inputs!$B$29,MAX(0,(Inputs!$B$3-100)*3)+Inputs!$B$28+Inputs!$B$29)))</f>
        <v/>
      </c>
      <c r="E1110">
        <f>INDEX(FactorTable!$B$2:$Y$301, MATCH(ROUND(MIN(300,MAX(1,D1110)),0), FactorTable!$A$2:$A$301,0), Skills!M7+1)</f>
        <v/>
      </c>
      <c r="F1110">
        <f>IF(Skills!N7=TRUE,(Skills!L7/10)*(E1110/1000),Skills!L7/10)+Skills!O7</f>
        <v/>
      </c>
      <c r="G1110">
        <f>Skills!G7*IF(Skills!H7&gt;0,Skills!I7/Skills!H7,1)</f>
        <v/>
      </c>
      <c r="H1110">
        <f>1-(1-Skills!J7/100)^Skills!K7</f>
        <v/>
      </c>
      <c r="I1110" t="inlineStr">
        <is>
          <t>1</t>
        </is>
      </c>
      <c r="J1110">
        <f>((Inputs!$B$6*(1+Inputs!$B$7/100))+(((Inputs!$B$12*(1+Inputs!$B$13/100))-(Inputs!$B$12*(1+Inputs!$B$13/100)))+0.25*(Inputs!$B$14-Inputs!$B$14))*(1+Inputs!$B$7/100))*(F1110/100)</f>
        <v/>
      </c>
      <c r="K1110">
        <f>J1110*(1+((Inputs!$B$12*(1+Inputs!$B$13/100))*0.01+Inputs!$B$14*0.0025)/100)*(1+Inputs!$B$15/100)*(1+Inputs!$B$16/100)*(5000/(6000+Inputs!$B$42*(1-(100*(1-(1-(Inputs!$B$19+0)/100)*(1-CHOOSE(ArtifactsInput!$N$40+1,5,6,7,8,9,10)/100)^(ArtifactsInput!$M$40-ArtifactsInput!$M$40)))/100)))*(1+(Inputs!$B$24+((C1129=TRUE)*(F1129-Calc!F26))+B1139)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1118=TRUE,F1118,0)/100)*(1+(IF(Skills!A7="EIGHT_LEGS_EASTON",Inputs!$B$17+((C1126=TRUE)*(F1126-Calc!F23))+((C1130=TRUE)*(F1130-Calc!F27))+(((IF(AND(ArtifactsInput!$M$42,((Inputs!$B$9+((C1122=TRUE)*(F1122-Calc!F19))+B1133+(ArtifactsInput!$M$24-ArtifactsInput!$M$24)*CHOOSE(ArtifactsInput!$N$24+1,10,12,14,16,18,20)+IF(ArtifactsInput!$M$10,CHOOSE(ArtifactsInput!$N$10+1,15,18,21,24,27,30)*(IF(Inputs!$B$38="pvp",MIN(15,15)/15,IF(AND(Inputs!$B$38&lt;&gt;"pvp",Inputs!$B$43&gt;0),MIN(15,Inputs!$B$43)/(Inputs!$B$43),0))),0)))&gt;=100),MIN(100,((Inputs!$B$9+((C1122=TRUE)*(F1122-Calc!F19))+B1133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1122=TRUE)*(F1122-Calc!F19))+B1133+(ArtifactsInput!$M$24-ArtifactsInput!$M$24)*CHOOSE(ArtifactsInput!$N$24+1,10,12,14,16,18,20)+IF(ArtifactsInput!$M$10,CHOOSE(ArtifactsInput!$N$10+1,15,18,21,24,27,30)*(IF(Inputs!$B$38="pvp",MIN(15,15)/15,IF(AND(Inputs!$B$38&lt;&gt;"pvp",Inputs!$B$43&gt;0),MIN(15,Inputs!$B$43)/(Inputs!$B$43),0))),0)))&gt;=100),CHOOSE(ArtifactsInput!$N$42+1,40,48,56,64,72,80),0))))/100)*((1+(((C1120=TRUE)*F1120)+((C1127=TRUE)*(F1127-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1110)</f>
        <v/>
      </c>
      <c r="L1110">
        <f>K1110*(MIN(Inputs!$B$22+((C1125=TRUE)*(F1125-Calc!F22)),(Inputs!$B$23+0+(IF(ArtifactsInput!$M$15,CHOOSE(ArtifactsInput!$N$15+1,25,30,35,40,45,50)/100*(Inputs!$B$11-Inputs!$B$11),0))))/100+(Inputs!$B$23+0+(IF(ArtifactsInput!$M$15,CHOOSE(ArtifactsInput!$N$15+1,25,30,35,40,45,50)/100*(Inputs!$B$11-Inputs!$B$11),0)))/100)/2</f>
        <v/>
      </c>
      <c r="M1110">
        <f>L1110*(1+(Inputs!$B$10+((C1128=TRUE)*(F1128-Calc!F25))+B1138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0">
        <f>L1110*(1-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1110*(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0">
        <f>(1-Summary!$B$11)*T1110+Summary!$B$11*V1110</f>
        <v/>
      </c>
      <c r="P1110">
        <f>IF(B1143=0,0,O1110/B1143)</f>
        <v/>
      </c>
      <c r="Q1110">
        <f>IFERROR(1/(IF(Inputs!$B$38="pvp",15,MAX(0.1,Skills!D7-IF(Skills!E7=TRUE,Inputs!$B$32,0)))*(1-IF(AND(ArtifactsInput!$M$27,Inputs!$B$4="Chapter Hunt"),CHOOSE(ArtifactsInput!$N$27+1,20,24,28,32,36,40),0)/100)),0)</f>
        <v/>
      </c>
      <c r="R1110">
        <f>IF(AND(Inputs!$B$38&lt;&gt;"pvp",Inputs!$B$43&gt;0),IF(MAX(0,Inputs!$B$43-B1140)&lt;=0,0,(INT(MAX(0,Inputs!$B$43-B1140)/(IF(Inputs!$B$38="pvp",15,MAX(0.1,Skills!D7-IF(Skills!E7=TRUE,Inputs!$B$32,0)))*(1-IF(AND(ArtifactsInput!$M$27,Inputs!$B$4="Chapter Hunt"),CHOOSE(ArtifactsInput!$N$27+1,20,24,28,32,36,40),0)/100)))+1)),0)</f>
        <v/>
      </c>
      <c r="S1110">
        <f>IFERROR(O1110/N1110,0)</f>
        <v/>
      </c>
      <c r="T1110">
        <f>IF(C1110,(H1110*N1110*IF(AND(Inputs!$B$38&lt;&gt;"pvp",Inputs!$B$43&gt;0),((Skills!G7*((R1110-1)*IF(Skills!H7&gt;0,Skills!I7/Skills!H7,1)+IF(Skills!H7&gt;0,MIN(Skills!I7,MAX(0,MAX(0,Inputs!$B$43-B1140)-((R1110-1)*(IF(Inputs!$B$38="pvp",15,MAX(0.1,Skills!D7-IF(Skills!E7=TRUE,Inputs!$B$32,0)))*(1-IF(AND(ArtifactsInput!$M$27,Inputs!$B$4="Chapter Hunt"),CHOOSE(ArtifactsInput!$N$27+1,20,24,28,32,36,40),0)/100)))))/Skills!H7,1)))/Inputs!$B$43),G1110*Q1110)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1110*(1-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1110*(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1110*(1-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1110*(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0">
        <f>IF(C1110,(H1110*N1110*IF(AND(Inputs!$B$38&lt;&gt;"pvp",Inputs!$B$43&gt;0),((Skills!G7*((R1110-1)*IF(Skills!H7&gt;0,Skills!I7/Skills!H7,1)+IF(Skills!H7&gt;0,MIN(Skills!I7,MAX(0,MAX(0,Inputs!$B$43-B1140)-((R1110-1)*(IF(Inputs!$B$38="pvp",15,MAX(0.1,Skills!D7-IF(Skills!E7=TRUE,Inputs!$B$32,0)))*(1-IF(AND(ArtifactsInput!$M$27,Inputs!$B$4="Chapter Hunt"),CHOOSE(ArtifactsInput!$N$27+1,20,24,28,32,36,40),0)/100)))))/Skills!H7,1)))/Inputs!$B$43),G1110*Q1110))*IF(Inputs!$B$38="pvp",1,(1+(Inputs!$B$21+Skills!Q7+(IF(ArtifactsInput!$M$33,CHOOSE(ArtifactsInput!$N$33+1,30,36,42,48,54,60)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1">
      <c r="A1111">
        <f>Skills!A8</f>
        <v/>
      </c>
      <c r="B1111">
        <f>Skills!B8</f>
        <v/>
      </c>
      <c r="C1111">
        <f>Inputs!$B$3&gt;=100</f>
        <v/>
      </c>
      <c r="D1111">
        <f>IF(Skills!C8=1,60+Inputs!$B$25+Inputs!$B$29,IF(Skills!C8=2,90+Inputs!$B$26+Inputs!$B$29,IF(Skills!C8=3,120+Inputs!$B$27+Inputs!$B$29,MAX(0,(Inputs!$B$3-100)*3)+Inputs!$B$28+Inputs!$B$29)))</f>
        <v/>
      </c>
      <c r="E1111">
        <f>INDEX(FactorTable!$B$2:$Y$301, MATCH(ROUND(MIN(300,MAX(1,D1111)),0), FactorTable!$A$2:$A$301,0), Skills!M8+1)</f>
        <v/>
      </c>
      <c r="F1111">
        <f>IF(Skills!N8=TRUE,(Skills!L8/10)*(E1111/1000),Skills!L8/10)+Skills!O8</f>
        <v/>
      </c>
      <c r="G1111">
        <f>Skills!G8*IF(Skills!H8&gt;0,Skills!I8/Skills!H8,1)</f>
        <v/>
      </c>
      <c r="H1111">
        <f>1-(1-Skills!J8/100)^Skills!K8</f>
        <v/>
      </c>
      <c r="I1111" t="inlineStr">
        <is>
          <t>1</t>
        </is>
      </c>
      <c r="J1111">
        <f>((Inputs!$B$6*(1+Inputs!$B$7/100))+(((Inputs!$B$12*(1+Inputs!$B$13/100))-(Inputs!$B$12*(1+Inputs!$B$13/100)))+0.25*(Inputs!$B$14-Inputs!$B$14))*(1+Inputs!$B$7/100))*(F1111/100)</f>
        <v/>
      </c>
      <c r="K1111">
        <f>J1111*(1+((Inputs!$B$12*(1+Inputs!$B$13/100))*0.01+Inputs!$B$14*0.0025)/100)*(1+Inputs!$B$15/100)*(1+Inputs!$B$16/100)*(5000/(6000+Inputs!$B$42*(1-(100*(1-(1-(Inputs!$B$19+0)/100)*(1-CHOOSE(ArtifactsInput!$N$40+1,5,6,7,8,9,10)/100)^(ArtifactsInput!$M$40-ArtifactsInput!$M$40)))/100)))*(1+(Inputs!$B$24+((C1129=TRUE)*(F1129-Calc!F26))+B1139)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1126=TRUE)*(F1126-Calc!F23))+((C1130=TRUE)*(F1130-Calc!F27))+(((IF(AND(ArtifactsInput!$M$42,((Inputs!$B$9+((C1122=TRUE)*(F1122-Calc!F19))+B1133+(ArtifactsInput!$M$24-ArtifactsInput!$M$24)*CHOOSE(ArtifactsInput!$N$24+1,10,12,14,16,18,20)+IF(ArtifactsInput!$M$10,CHOOSE(ArtifactsInput!$N$10+1,15,18,21,24,27,30)*(IF(Inputs!$B$38="pvp",MIN(15,15)/15,IF(AND(Inputs!$B$38&lt;&gt;"pvp",Inputs!$B$43&gt;0),MIN(15,Inputs!$B$43)/(Inputs!$B$43),0))),0)))&gt;=100),MIN(100,((Inputs!$B$9+((C1122=TRUE)*(F1122-Calc!F19))+B1133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1122=TRUE)*(F1122-Calc!F19))+B1133+(ArtifactsInput!$M$24-ArtifactsInput!$M$24)*CHOOSE(ArtifactsInput!$N$24+1,10,12,14,16,18,20)+IF(ArtifactsInput!$M$10,CHOOSE(ArtifactsInput!$N$10+1,15,18,21,24,27,30)*(IF(Inputs!$B$38="pvp",MIN(15,15)/15,IF(AND(Inputs!$B$38&lt;&gt;"pvp",Inputs!$B$43&gt;0),MIN(15,Inputs!$B$43)/(Inputs!$B$43),0))),0)))&gt;=100),CHOOSE(ArtifactsInput!$N$42+1,40,48,56,64,72,80),0))))/100)*((1+(((C1120=TRUE)*F1120)+((C1127=TRUE)*(F1127-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1111)</f>
        <v/>
      </c>
      <c r="L1111">
        <f>K1111*(MIN(Inputs!$B$22+((C1125=TRUE)*(F1125-Calc!F22)),(Inputs!$B$23+0+(IF(ArtifactsInput!$M$15,CHOOSE(ArtifactsInput!$N$15+1,25,30,35,40,45,50)/100*(Inputs!$B$11-Inputs!$B$11),0))))/100+(Inputs!$B$23+0+(IF(ArtifactsInput!$M$15,CHOOSE(ArtifactsInput!$N$15+1,25,30,35,40,45,50)/100*(Inputs!$B$11-Inputs!$B$11),0)))/100)/2</f>
        <v/>
      </c>
      <c r="M1111">
        <f>L1111*(1+(Inputs!$B$10+((C1128=TRUE)*(F1128-Calc!F25))+B1138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1">
        <f>L1111*(1-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1111*(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1">
        <f>(1-Summary!$B$11)*T1111+Summary!$B$11*V1111</f>
        <v/>
      </c>
      <c r="P1111">
        <f>IF(B1143=0,0,O1111/B1143)</f>
        <v/>
      </c>
      <c r="Q1111">
        <f>IFERROR(1/(IF(Inputs!$B$38="pvp",15,MAX(0.1,Skills!D8-IF(Skills!E8=TRUE,Inputs!$B$32,0)))*(1-IF(AND(ArtifactsInput!$M$27,Inputs!$B$4="Chapter Hunt"),CHOOSE(ArtifactsInput!$N$27+1,20,24,28,32,36,40),0)/100)),0)</f>
        <v/>
      </c>
      <c r="R1111">
        <f>IF(AND(Inputs!$B$38&lt;&gt;"pvp",Inputs!$B$43&gt;0),IF(MAX(0,Inputs!$B$43-B1140)&lt;=0,0,(INT(MAX(0,Inputs!$B$43-B1140)/(IF(Inputs!$B$38="pvp",15,MAX(0.1,Skills!D8-IF(Skills!E8=TRUE,Inputs!$B$32,0)))*(1-IF(AND(ArtifactsInput!$M$27,Inputs!$B$4="Chapter Hunt"),CHOOSE(ArtifactsInput!$N$27+1,20,24,28,32,36,40),0)/100)))+1)),0)</f>
        <v/>
      </c>
      <c r="S1111">
        <f>IFERROR(O1111/N1111,0)</f>
        <v/>
      </c>
      <c r="T1111">
        <f>IF(C1111,(H1111*N1111*IF(AND(Inputs!$B$38&lt;&gt;"pvp",Inputs!$B$43&gt;0),((Skills!G8*((R1111-1)*IF(Skills!H8&gt;0,Skills!I8/Skills!H8,1)+IF(Skills!H8&gt;0,MIN(Skills!I8,MAX(0,MAX(0,Inputs!$B$43-B1140)-((R1111-1)*(IF(Inputs!$B$38="pvp",15,MAX(0.1,Skills!D8-IF(Skills!E8=TRUE,Inputs!$B$32,0)))*(1-IF(AND(ArtifactsInput!$M$27,Inputs!$B$4="Chapter Hunt"),CHOOSE(ArtifactsInput!$N$27+1,20,24,28,32,36,40),0)/100)))))/Skills!H8,1)))/Inputs!$B$43),G1111*Q1111)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1111*(1-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1111*(1-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1">
        <f>IF(C1111,(H1111*N1111*IF(AND(Inputs!$B$38&lt;&gt;"pvp",Inputs!$B$43&gt;0),((Skills!G8*((R1111-1)*IF(Skills!H8&gt;0,Skills!I8/Skills!H8,1)+IF(Skills!H8&gt;0,MIN(Skills!I8,MAX(0,MAX(0,Inputs!$B$43-B1140)-((R1111-1)*(IF(Inputs!$B$38="pvp",15,MAX(0.1,Skills!D8-IF(Skills!E8=TRUE,Inputs!$B$32,0)))*(1-IF(AND(ArtifactsInput!$M$27,Inputs!$B$4="Chapter Hunt"),CHOOSE(ArtifactsInput!$N$27+1,20,24,28,32,36,40),0)/100)))))/Skills!H8,1)))/Inputs!$B$43),G1111*Q1111))*IF(Inputs!$B$38="pvp",1,(1+(Inputs!$B$21+Skills!Q8+(IF(ArtifactsInput!$M$33,CHOOSE(ArtifactsInput!$N$33+1,30,36,42,48,54,60)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2">
      <c r="A1112">
        <f>Skills!A9</f>
        <v/>
      </c>
      <c r="B1112">
        <f>Skills!B9</f>
        <v/>
      </c>
      <c r="C1112">
        <f>Inputs!$B$3&gt;=103</f>
        <v/>
      </c>
      <c r="D1112">
        <f>IF(Skills!C9=1,60+Inputs!$B$25+Inputs!$B$29,IF(Skills!C9=2,90+Inputs!$B$26+Inputs!$B$29,IF(Skills!C9=3,120+Inputs!$B$27+Inputs!$B$29,MAX(0,(Inputs!$B$3-100)*3)+Inputs!$B$28+Inputs!$B$29)))</f>
        <v/>
      </c>
      <c r="E1112">
        <f>INDEX(FactorTable!$B$2:$Y$301, MATCH(ROUND(MIN(300,MAX(1,D1112)),0), FactorTable!$A$2:$A$301,0), Skills!M9+1)</f>
        <v/>
      </c>
      <c r="F1112">
        <f>IF(Skills!N9=TRUE,(Skills!L9/10)*(E1112/1000),Skills!L9/10)+Skills!O9</f>
        <v/>
      </c>
      <c r="G1112">
        <f>Skills!G9*IF(Skills!H9&gt;0,Skills!I9/Skills!H9,1)</f>
        <v/>
      </c>
      <c r="H1112">
        <f>1-(1-Skills!J9/100)^Skills!K9</f>
        <v/>
      </c>
      <c r="I1112" t="inlineStr">
        <is>
          <t>1</t>
        </is>
      </c>
      <c r="J1112">
        <f>((Inputs!$B$6*(1+Inputs!$B$7/100))+(((Inputs!$B$12*(1+Inputs!$B$13/100))-(Inputs!$B$12*(1+Inputs!$B$13/100)))+0.25*(Inputs!$B$14-Inputs!$B$14))*(1+Inputs!$B$7/100))*(F1112/100)</f>
        <v/>
      </c>
      <c r="K1112">
        <f>J1112*(1+((Inputs!$B$12*(1+Inputs!$B$13/100))*0.01+Inputs!$B$14*0.0025)/100)*(1+Inputs!$B$15/100)*(1+Inputs!$B$16/100)*(5000/(6000+Inputs!$B$42*(1-(100*(1-(1-(Inputs!$B$19+0)/100)*(1-CHOOSE(ArtifactsInput!$N$40+1,5,6,7,8,9,10)/100)^(ArtifactsInput!$M$40-ArtifactsInput!$M$40)))/100)))*(1+(Inputs!$B$24+((C1129=TRUE)*(F1129-Calc!F26))+B1139)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1126=TRUE)*(F1126-Calc!F23))+((C1130=TRUE)*(F1130-Calc!F27))+(((IF(AND(ArtifactsInput!$M$42,((Inputs!$B$9+((C1122=TRUE)*(F1122-Calc!F19))+B1133+(ArtifactsInput!$M$24-ArtifactsInput!$M$24)*CHOOSE(ArtifactsInput!$N$24+1,10,12,14,16,18,20)+IF(ArtifactsInput!$M$10,CHOOSE(ArtifactsInput!$N$10+1,15,18,21,24,27,30)*(IF(Inputs!$B$38="pvp",MIN(15,15)/15,IF(AND(Inputs!$B$38&lt;&gt;"pvp",Inputs!$B$43&gt;0),MIN(15,Inputs!$B$43)/(Inputs!$B$43),0))),0)))&gt;=100),MIN(100,((Inputs!$B$9+((C1122=TRUE)*(F1122-Calc!F19))+B1133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1122=TRUE)*(F1122-Calc!F19))+B1133+(ArtifactsInput!$M$24-ArtifactsInput!$M$24)*CHOOSE(ArtifactsInput!$N$24+1,10,12,14,16,18,20)+IF(ArtifactsInput!$M$10,CHOOSE(ArtifactsInput!$N$10+1,15,18,21,24,27,30)*(IF(Inputs!$B$38="pvp",MIN(15,15)/15,IF(AND(Inputs!$B$38&lt;&gt;"pvp",Inputs!$B$43&gt;0),MIN(15,Inputs!$B$43)/(Inputs!$B$43),0))),0)))&gt;=100),CHOOSE(ArtifactsInput!$N$42+1,40,48,56,64,72,80),0))))/100)*((1+(((C1120=TRUE)*F1120)+((C1127=TRUE)*(F1127-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1112)</f>
        <v/>
      </c>
      <c r="L1112">
        <f>K1112*(MIN(Inputs!$B$22+((C1125=TRUE)*(F1125-Calc!F22)),(Inputs!$B$23+0+(IF(ArtifactsInput!$M$15,CHOOSE(ArtifactsInput!$N$15+1,25,30,35,40,45,50)/100*(Inputs!$B$11-Inputs!$B$11),0))))/100+(Inputs!$B$23+0+(IF(ArtifactsInput!$M$15,CHOOSE(ArtifactsInput!$N$15+1,25,30,35,40,45,50)/100*(Inputs!$B$11-Inputs!$B$11),0)))/100)/2</f>
        <v/>
      </c>
      <c r="M1112">
        <f>L1112*(1+(Inputs!$B$10+((C1128=TRUE)*(F1128-Calc!F25))+B1138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2">
        <f>L1112*(1-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1112*(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2">
        <f>(1-Summary!$B$11)*T1112+Summary!$B$11*V1112</f>
        <v/>
      </c>
      <c r="P1112">
        <f>IF(B1143=0,0,O1112/B1143)</f>
        <v/>
      </c>
      <c r="Q1112">
        <f>IFERROR(1/(IF(Inputs!$B$38="pvp",15,MAX(0.1,Skills!D9-IF(Skills!E9=TRUE,Inputs!$B$32,0)))*(1-IF(AND(ArtifactsInput!$M$27,Inputs!$B$4="Chapter Hunt"),CHOOSE(ArtifactsInput!$N$27+1,20,24,28,32,36,40),0)/100)),0)</f>
        <v/>
      </c>
      <c r="R1112">
        <f>IF(AND(Inputs!$B$38&lt;&gt;"pvp",Inputs!$B$43&gt;0),IF(MAX(0,Inputs!$B$43-B1140)&lt;=0,0,(INT(MAX(0,Inputs!$B$43-B1140)/(IF(Inputs!$B$38="pvp",15,MAX(0.1,Skills!D9-IF(Skills!E9=TRUE,Inputs!$B$32,0)))*(1-IF(AND(ArtifactsInput!$M$27,Inputs!$B$4="Chapter Hunt"),CHOOSE(ArtifactsInput!$N$27+1,20,24,28,32,36,40),0)/100)))+1)),0)</f>
        <v/>
      </c>
      <c r="S1112">
        <f>IFERROR(O1112/N1112,0)</f>
        <v/>
      </c>
      <c r="T1112">
        <f>IF(C1112,(H1112*N1112*IF(AND(Inputs!$B$38&lt;&gt;"pvp",Inputs!$B$43&gt;0),((Skills!G9*((R1112-1)*IF(Skills!H9&gt;0,Skills!I9/Skills!H9,1)+IF(Skills!H9&gt;0,MIN(Skills!I9,MAX(0,MAX(0,Inputs!$B$43-B1140)-((R1112-1)*(IF(Inputs!$B$38="pvp",15,MAX(0.1,Skills!D9-IF(Skills!E9=TRUE,Inputs!$B$32,0)))*(1-IF(AND(ArtifactsInput!$M$27,Inputs!$B$4="Chapter Hunt"),CHOOSE(ArtifactsInput!$N$27+1,20,24,28,32,36,40),0)/100)))))/Skills!H9,1)))/Inputs!$B$43),G1112*Q1112)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1112*(1-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1112*(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1112*(1-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1112*(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2">
        <f>IF(C1112,(H1112*N1112*IF(AND(Inputs!$B$38&lt;&gt;"pvp",Inputs!$B$43&gt;0),((Skills!G9*((R1112-1)*IF(Skills!H9&gt;0,Skills!I9/Skills!H9,1)+IF(Skills!H9&gt;0,MIN(Skills!I9,MAX(0,MAX(0,Inputs!$B$43-B1140)-((R1112-1)*(IF(Inputs!$B$38="pvp",15,MAX(0.1,Skills!D9-IF(Skills!E9=TRUE,Inputs!$B$32,0)))*(1-IF(AND(ArtifactsInput!$M$27,Inputs!$B$4="Chapter Hunt"),CHOOSE(ArtifactsInput!$N$27+1,20,24,28,32,36,40),0)/100)))))/Skills!H9,1)))/Inputs!$B$43),G1112*Q1112))*IF(Inputs!$B$38="pvp",1,(1+(Inputs!$B$21+Skills!Q9+(IF(ArtifactsInput!$M$33,CHOOSE(ArtifactsInput!$N$33+1,30,36,42,48,54,60)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3">
      <c r="A1113">
        <f>Skills!A10</f>
        <v/>
      </c>
      <c r="B1113">
        <f>Skills!B10</f>
        <v/>
      </c>
      <c r="C1113">
        <f>Inputs!$B$3&gt;=113</f>
        <v/>
      </c>
      <c r="D1113">
        <f>IF(Skills!C10=1,60+Inputs!$B$25+Inputs!$B$29,IF(Skills!C10=2,90+Inputs!$B$26+Inputs!$B$29,IF(Skills!C10=3,120+Inputs!$B$27+Inputs!$B$29,MAX(0,(Inputs!$B$3-100)*3)+Inputs!$B$28+Inputs!$B$29)))</f>
        <v/>
      </c>
      <c r="E1113">
        <f>INDEX(FactorTable!$B$2:$Y$301, MATCH(ROUND(MIN(300,MAX(1,D1113)),0), FactorTable!$A$2:$A$301,0), Skills!M10+1)</f>
        <v/>
      </c>
      <c r="F1113">
        <f>IF(Skills!N10=TRUE,(Skills!L10/10)*(E1113/1000),Skills!L10/10)+Skills!O10</f>
        <v/>
      </c>
      <c r="G1113">
        <f>Skills!G10*IF(Skills!H10&gt;0,Skills!I10/Skills!H10,1)</f>
        <v/>
      </c>
      <c r="H1113">
        <f>1-(1-Skills!J10/100)^Skills!K10</f>
        <v/>
      </c>
      <c r="I1113" t="inlineStr">
        <is>
          <t>1</t>
        </is>
      </c>
      <c r="J1113">
        <f>((Inputs!$B$6*(1+Inputs!$B$7/100))+(((Inputs!$B$12*(1+Inputs!$B$13/100))-(Inputs!$B$12*(1+Inputs!$B$13/100)))+0.25*(Inputs!$B$14-Inputs!$B$14))*(1+Inputs!$B$7/100))*(F1113/100)</f>
        <v/>
      </c>
      <c r="K1113">
        <f>J1113*(1+((Inputs!$B$12*(1+Inputs!$B$13/100))*0.01+Inputs!$B$14*0.0025)/100)*(1+Inputs!$B$15/100)*(1+Inputs!$B$16/100)*(5000/(6000+Inputs!$B$42*(1-(100*(1-(1-(Inputs!$B$19+0)/100)*(1-CHOOSE(ArtifactsInput!$N$40+1,5,6,7,8,9,10)/100)^(ArtifactsInput!$M$40-ArtifactsInput!$M$40)))/100)))*(1+(Inputs!$B$24+((C1129=TRUE)*(F1129-Calc!F26))+B1139)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1126=TRUE)*(F1126-Calc!F23))+((C1130=TRUE)*(F1130-Calc!F27))+(((IF(AND(ArtifactsInput!$M$42,((Inputs!$B$9+((C1122=TRUE)*(F1122-Calc!F19))+B1133+(ArtifactsInput!$M$24-ArtifactsInput!$M$24)*CHOOSE(ArtifactsInput!$N$24+1,10,12,14,16,18,20)+IF(ArtifactsInput!$M$10,CHOOSE(ArtifactsInput!$N$10+1,15,18,21,24,27,30)*(IF(Inputs!$B$38="pvp",MIN(15,15)/15,IF(AND(Inputs!$B$38&lt;&gt;"pvp",Inputs!$B$43&gt;0),MIN(15,Inputs!$B$43)/(Inputs!$B$43),0))),0)))&gt;=100),MIN(100,((Inputs!$B$9+((C1122=TRUE)*(F1122-Calc!F19))+B1133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1122=TRUE)*(F1122-Calc!F19))+B1133+(ArtifactsInput!$M$24-ArtifactsInput!$M$24)*CHOOSE(ArtifactsInput!$N$24+1,10,12,14,16,18,20)+IF(ArtifactsInput!$M$10,CHOOSE(ArtifactsInput!$N$10+1,15,18,21,24,27,30)*(IF(Inputs!$B$38="pvp",MIN(15,15)/15,IF(AND(Inputs!$B$38&lt;&gt;"pvp",Inputs!$B$43&gt;0),MIN(15,Inputs!$B$43)/(Inputs!$B$43),0))),0)))&gt;=100),CHOOSE(ArtifactsInput!$N$42+1,40,48,56,64,72,80),0))))/100)*((1+(((C1120=TRUE)*F1120)+((C1127=TRUE)*(F1127-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1113)</f>
        <v/>
      </c>
      <c r="L1113">
        <f>K1113*(MIN(Inputs!$B$22+((C1125=TRUE)*(F1125-Calc!F22)),(Inputs!$B$23+0+(IF(ArtifactsInput!$M$15,CHOOSE(ArtifactsInput!$N$15+1,25,30,35,40,45,50)/100*(Inputs!$B$11-Inputs!$B$11),0))))/100+(Inputs!$B$23+0+(IF(ArtifactsInput!$M$15,CHOOSE(ArtifactsInput!$N$15+1,25,30,35,40,45,50)/100*(Inputs!$B$11-Inputs!$B$11),0)))/100)/2</f>
        <v/>
      </c>
      <c r="M1113">
        <f>L1113*(1+(Inputs!$B$10+((C1128=TRUE)*(F1128-Calc!F25))+B1138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3">
        <f>L1113*(1-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1113*(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3">
        <f>(1-Summary!$B$11)*T1113+Summary!$B$11*V1113</f>
        <v/>
      </c>
      <c r="P1113">
        <f>IF(B1143=0,0,O1113/B1143)</f>
        <v/>
      </c>
      <c r="Q1113">
        <f>IFERROR(1/(IF(Inputs!$B$38="pvp",15,MAX(0.1,Skills!D10-IF(Skills!E10=TRUE,Inputs!$B$32,0)))*(1-IF(AND(ArtifactsInput!$M$27,Inputs!$B$4="Chapter Hunt"),CHOOSE(ArtifactsInput!$N$27+1,20,24,28,32,36,40),0)/100)),0)</f>
        <v/>
      </c>
      <c r="R1113">
        <f>IF(AND(Inputs!$B$38&lt;&gt;"pvp",Inputs!$B$43&gt;0),IF(MAX(0,Inputs!$B$43-B1140)&lt;=0,0,(INT(MAX(0,Inputs!$B$43-B1140)/(IF(Inputs!$B$38="pvp",15,MAX(0.1,Skills!D10-IF(Skills!E10=TRUE,Inputs!$B$32,0)))*(1-IF(AND(ArtifactsInput!$M$27,Inputs!$B$4="Chapter Hunt"),CHOOSE(ArtifactsInput!$N$27+1,20,24,28,32,36,40),0)/100)))+1)),0)</f>
        <v/>
      </c>
      <c r="S1113">
        <f>IFERROR(O1113/N1113,0)</f>
        <v/>
      </c>
      <c r="T1113">
        <f>IF(C1113,(H1113*N1113*IF(AND(Inputs!$B$38&lt;&gt;"pvp",Inputs!$B$43&gt;0),((Skills!G10*((R1113-1)*IF(Skills!H10&gt;0,Skills!I10/Skills!H10,1)+IF(Skills!H10&gt;0,MIN(Skills!I10,MAX(0,MAX(0,Inputs!$B$43-B1140)-((R1113-1)*(IF(Inputs!$B$38="pvp",15,MAX(0.1,Skills!D10-IF(Skills!E10=TRUE,Inputs!$B$32,0)))*(1-IF(AND(ArtifactsInput!$M$27,Inputs!$B$4="Chapter Hunt"),CHOOSE(ArtifactsInput!$N$27+1,20,24,28,32,36,40),0)/100)))))/Skills!H10,1)))/Inputs!$B$43),G1113*Q1113)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1113*(1-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1113*(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1113*(1-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1113*(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3">
        <f>IF(C1113,(H1113*N1113*IF(AND(Inputs!$B$38&lt;&gt;"pvp",Inputs!$B$43&gt;0),((Skills!G10*((R1113-1)*IF(Skills!H10&gt;0,Skills!I10/Skills!H10,1)+IF(Skills!H10&gt;0,MIN(Skills!I10,MAX(0,MAX(0,Inputs!$B$43-B1140)-((R1113-1)*(IF(Inputs!$B$38="pvp",15,MAX(0.1,Skills!D10-IF(Skills!E10=TRUE,Inputs!$B$32,0)))*(1-IF(AND(ArtifactsInput!$M$27,Inputs!$B$4="Chapter Hunt"),CHOOSE(ArtifactsInput!$N$27+1,20,24,28,32,36,40),0)/100)))))/Skills!H10,1)))/Inputs!$B$43),G1113*Q1113))*IF(Inputs!$B$38="pvp",1,(1+(Inputs!$B$21+Skills!Q10+(IF(ArtifactsInput!$M$33,CHOOSE(ArtifactsInput!$N$33+1,30,36,42,48,54,60)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4">
      <c r="A1114">
        <f>Skills!A11</f>
        <v/>
      </c>
      <c r="B1114">
        <f>Skills!B11</f>
        <v/>
      </c>
      <c r="C1114">
        <f>Inputs!$B$3&gt;=107</f>
        <v/>
      </c>
      <c r="D1114">
        <f>IF(Skills!C11=1,60+Inputs!$B$25+Inputs!$B$29,IF(Skills!C11=2,90+Inputs!$B$26+Inputs!$B$29,IF(Skills!C11=3,120+Inputs!$B$27+Inputs!$B$29,MAX(0,(Inputs!$B$3-100)*3)+Inputs!$B$28+Inputs!$B$29)))</f>
        <v/>
      </c>
      <c r="E1114">
        <f>INDEX(FactorTable!$B$2:$Y$301, MATCH(ROUND(MIN(300,MAX(1,D1114)),0), FactorTable!$A$2:$A$301,0), Skills!M11+1)</f>
        <v/>
      </c>
      <c r="F1114">
        <f>IF(Skills!N11=TRUE,(Skills!L11/10)*(E1114/1000),Skills!L11/10)+Skills!O11</f>
        <v/>
      </c>
      <c r="G1114">
        <f>Skills!G11*IF(Skills!H11&gt;0,Skills!I11/Skills!H11,1)</f>
        <v/>
      </c>
      <c r="H1114">
        <f>1-(1-Skills!J11/100)^Skills!K11</f>
        <v/>
      </c>
      <c r="I1114" t="inlineStr">
        <is>
          <t>1</t>
        </is>
      </c>
      <c r="J1114">
        <f>((Inputs!$B$6*(1+Inputs!$B$7/100))+(((Inputs!$B$12*(1+Inputs!$B$13/100))-(Inputs!$B$12*(1+Inputs!$B$13/100)))+0.25*(Inputs!$B$14-Inputs!$B$14))*(1+Inputs!$B$7/100))*(F1114/100)</f>
        <v/>
      </c>
      <c r="K1114">
        <f>J1114*(1+((Inputs!$B$12*(1+Inputs!$B$13/100))*0.01+Inputs!$B$14*0.0025)/100)*(1+Inputs!$B$15/100)*(1+Inputs!$B$16/100)*(5000/(6000+Inputs!$B$42*(1-(100*(1-(1-(Inputs!$B$19+0)/100)*(1-CHOOSE(ArtifactsInput!$N$40+1,5,6,7,8,9,10)/100)^(ArtifactsInput!$M$40-ArtifactsInput!$M$40)))/100)))*(1+(Inputs!$B$24+((C1129=TRUE)*(F1129-Calc!F26))+B1139)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1126=TRUE)*(F1126-Calc!F23))+((C1130=TRUE)*(F1130-Calc!F27))+(((IF(AND(ArtifactsInput!$M$42,((Inputs!$B$9+((C1122=TRUE)*(F1122-Calc!F19))+B1133+(ArtifactsInput!$M$24-ArtifactsInput!$M$24)*CHOOSE(ArtifactsInput!$N$24+1,10,12,14,16,18,20)+IF(ArtifactsInput!$M$10,CHOOSE(ArtifactsInput!$N$10+1,15,18,21,24,27,30)*(IF(Inputs!$B$38="pvp",MIN(15,15)/15,IF(AND(Inputs!$B$38&lt;&gt;"pvp",Inputs!$B$43&gt;0),MIN(15,Inputs!$B$43)/(Inputs!$B$43),0))),0)))&gt;=100),MIN(100,((Inputs!$B$9+((C1122=TRUE)*(F1122-Calc!F19))+B1133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1122=TRUE)*(F1122-Calc!F19))+B1133+(ArtifactsInput!$M$24-ArtifactsInput!$M$24)*CHOOSE(ArtifactsInput!$N$24+1,10,12,14,16,18,20)+IF(ArtifactsInput!$M$10,CHOOSE(ArtifactsInput!$N$10+1,15,18,21,24,27,30)*(IF(Inputs!$B$38="pvp",MIN(15,15)/15,IF(AND(Inputs!$B$38&lt;&gt;"pvp",Inputs!$B$43&gt;0),MIN(15,Inputs!$B$43)/(Inputs!$B$43),0))),0)))&gt;=100),CHOOSE(ArtifactsInput!$N$42+1,40,48,56,64,72,80),0))))/100)*((1+(((C1120=TRUE)*F1120)+((C1127=TRUE)*(F1127-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1114)</f>
        <v/>
      </c>
      <c r="L1114">
        <f>K1114*(MIN(Inputs!$B$22+((C1125=TRUE)*(F1125-Calc!F22)),(Inputs!$B$23+0+(IF(ArtifactsInput!$M$15,CHOOSE(ArtifactsInput!$N$15+1,25,30,35,40,45,50)/100*(Inputs!$B$11-Inputs!$B$11),0))))/100+(Inputs!$B$23+0+(IF(ArtifactsInput!$M$15,CHOOSE(ArtifactsInput!$N$15+1,25,30,35,40,45,50)/100*(Inputs!$B$11-Inputs!$B$11),0)))/100)/2</f>
        <v/>
      </c>
      <c r="M1114">
        <f>L1114*(1+(Inputs!$B$10+((C1128=TRUE)*(F1128-Calc!F25))+B1138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4">
        <f>L1114*(1-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1114*(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4">
        <f>(1-Summary!$B$11)*T1114+Summary!$B$11*V1114</f>
        <v/>
      </c>
      <c r="P1114">
        <f>IF(B1143=0,0,O1114/B1143)</f>
        <v/>
      </c>
      <c r="Q1114">
        <f>IFERROR(1/(IF(Inputs!$B$38="pvp",15,MAX(0.1,Skills!D11-IF(Skills!E11=TRUE,Inputs!$B$32,0)))*(1-IF(AND(ArtifactsInput!$M$27,Inputs!$B$4="Chapter Hunt"),CHOOSE(ArtifactsInput!$N$27+1,20,24,28,32,36,40),0)/100)),0)</f>
        <v/>
      </c>
      <c r="R1114">
        <f>IF(AND(Inputs!$B$38&lt;&gt;"pvp",Inputs!$B$43&gt;0),IF(MAX(0,Inputs!$B$43-B1140)&lt;=0,0,(INT(MAX(0,Inputs!$B$43-B1140)/(IF(Inputs!$B$38="pvp",15,MAX(0.1,Skills!D11-IF(Skills!E11=TRUE,Inputs!$B$32,0)))*(1-IF(AND(ArtifactsInput!$M$27,Inputs!$B$4="Chapter Hunt"),CHOOSE(ArtifactsInput!$N$27+1,20,24,28,32,36,40),0)/100)))+1)),0)</f>
        <v/>
      </c>
      <c r="S1114">
        <f>IFERROR(O1114/N1114,0)</f>
        <v/>
      </c>
      <c r="T1114">
        <f>IF(C1114,(H1114*N1114*IF(AND(Inputs!$B$38&lt;&gt;"pvp",Inputs!$B$43&gt;0),((Skills!G11*((R1114-1)*IF(Skills!H11&gt;0,Skills!I11/Skills!H11,1)+IF(Skills!H11&gt;0,MIN(Skills!I11,MAX(0,MAX(0,Inputs!$B$43-B1140)-((R1114-1)*(IF(Inputs!$B$38="pvp",15,MAX(0.1,Skills!D11-IF(Skills!E11=TRUE,Inputs!$B$32,0)))*(1-IF(AND(ArtifactsInput!$M$27,Inputs!$B$4="Chapter Hunt"),CHOOSE(ArtifactsInput!$N$27+1,20,24,28,32,36,40),0)/100)))))/Skills!H11,1)))/Inputs!$B$43),G1114*Q1114)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1114*(1-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1114*(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1114*(1-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1114*(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4">
        <f>IF(C1114,(H1114*N1114*IF(AND(Inputs!$B$38&lt;&gt;"pvp",Inputs!$B$43&gt;0),((Skills!G11*((R1114-1)*IF(Skills!H11&gt;0,Skills!I11/Skills!H11,1)+IF(Skills!H11&gt;0,MIN(Skills!I11,MAX(0,MAX(0,Inputs!$B$43-B1140)-((R1114-1)*(IF(Inputs!$B$38="pvp",15,MAX(0.1,Skills!D11-IF(Skills!E11=TRUE,Inputs!$B$32,0)))*(1-IF(AND(ArtifactsInput!$M$27,Inputs!$B$4="Chapter Hunt"),CHOOSE(ArtifactsInput!$N$27+1,20,24,28,32,36,40),0)/100)))))/Skills!H11,1)))/Inputs!$B$43),G1114*Q1114))*IF(Inputs!$B$38="pvp",1,(1+(Inputs!$B$21+Skills!Q11+(IF(ArtifactsInput!$M$33,CHOOSE(ArtifactsInput!$N$33+1,30,36,42,48,54,60)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5">
      <c r="A1115">
        <f>Skills!A12</f>
        <v/>
      </c>
      <c r="B1115">
        <f>Skills!B12</f>
        <v/>
      </c>
      <c r="C1115">
        <f>Inputs!$B$3&gt;=110</f>
        <v/>
      </c>
      <c r="D1115">
        <f>IF(Skills!C12=1,60+Inputs!$B$25+Inputs!$B$29,IF(Skills!C12=2,90+Inputs!$B$26+Inputs!$B$29,IF(Skills!C12=3,120+Inputs!$B$27+Inputs!$B$29,MAX(0,(Inputs!$B$3-100)*3)+Inputs!$B$28+Inputs!$B$29)))</f>
        <v/>
      </c>
      <c r="E1115">
        <f>INDEX(FactorTable!$B$2:$Y$301, MATCH(ROUND(MIN(300,MAX(1,D1115)),0), FactorTable!$A$2:$A$301,0), Skills!M12+1)</f>
        <v/>
      </c>
      <c r="F1115">
        <f>IF(Skills!N12=TRUE,(Skills!L12/10)*(E1115/1000),Skills!L12/10)+Skills!O12</f>
        <v/>
      </c>
      <c r="G1115">
        <f>Skills!G12*IF(Skills!H12&gt;0,Skills!I12/Skills!H12,1)</f>
        <v/>
      </c>
      <c r="H1115">
        <f>1-(1-Skills!J12/100)^Skills!K12</f>
        <v/>
      </c>
      <c r="I1115" t="inlineStr">
        <is>
          <t>1</t>
        </is>
      </c>
      <c r="J1115">
        <f>((Inputs!$B$6*(1+Inputs!$B$7/100))+(((Inputs!$B$12*(1+Inputs!$B$13/100))-(Inputs!$B$12*(1+Inputs!$B$13/100)))+0.25*(Inputs!$B$14-Inputs!$B$14))*(1+Inputs!$B$7/100))*(F1115/100)</f>
        <v/>
      </c>
      <c r="K1115">
        <f>J1115*(1+((Inputs!$B$12*(1+Inputs!$B$13/100))*0.01+Inputs!$B$14*0.0025)/100)*(1+Inputs!$B$15/100)*(1+Inputs!$B$16/100)*(5000/(6000+Inputs!$B$42*(1-(100*(1-(1-(Inputs!$B$19+0)/100)*(1-CHOOSE(ArtifactsInput!$N$40+1,5,6,7,8,9,10)/100)^(ArtifactsInput!$M$40-ArtifactsInput!$M$40)))/100)))*(1+(Inputs!$B$24+((C1129=TRUE)*(F1129-Calc!F26))+B1139)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1126=TRUE)*(F1126-Calc!F23))+((C1130=TRUE)*(F1130-Calc!F27))+(((IF(AND(ArtifactsInput!$M$42,((Inputs!$B$9+((C1122=TRUE)*(F1122-Calc!F19))+B1133+(ArtifactsInput!$M$24-ArtifactsInput!$M$24)*CHOOSE(ArtifactsInput!$N$24+1,10,12,14,16,18,20)+IF(ArtifactsInput!$M$10,CHOOSE(ArtifactsInput!$N$10+1,15,18,21,24,27,30)*(IF(Inputs!$B$38="pvp",MIN(15,15)/15,IF(AND(Inputs!$B$38&lt;&gt;"pvp",Inputs!$B$43&gt;0),MIN(15,Inputs!$B$43)/(Inputs!$B$43),0))),0)))&gt;=100),MIN(100,((Inputs!$B$9+((C1122=TRUE)*(F1122-Calc!F19))+B1133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1122=TRUE)*(F1122-Calc!F19))+B1133+(ArtifactsInput!$M$24-ArtifactsInput!$M$24)*CHOOSE(ArtifactsInput!$N$24+1,10,12,14,16,18,20)+IF(ArtifactsInput!$M$10,CHOOSE(ArtifactsInput!$N$10+1,15,18,21,24,27,30)*(IF(Inputs!$B$38="pvp",MIN(15,15)/15,IF(AND(Inputs!$B$38&lt;&gt;"pvp",Inputs!$B$43&gt;0),MIN(15,Inputs!$B$43)/(Inputs!$B$43),0))),0)))&gt;=100),CHOOSE(ArtifactsInput!$N$42+1,40,48,56,64,72,80),0))))/100)*((1+(((C1120=TRUE)*F1120)+((C1127=TRUE)*(F1127-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1115)</f>
        <v/>
      </c>
      <c r="L1115">
        <f>K1115*(MIN(Inputs!$B$22+((C1125=TRUE)*(F1125-Calc!F22)),(Inputs!$B$23+0+(IF(ArtifactsInput!$M$15,CHOOSE(ArtifactsInput!$N$15+1,25,30,35,40,45,50)/100*(Inputs!$B$11-Inputs!$B$11),0))))/100+(Inputs!$B$23+0+(IF(ArtifactsInput!$M$15,CHOOSE(ArtifactsInput!$N$15+1,25,30,35,40,45,50)/100*(Inputs!$B$11-Inputs!$B$11),0)))/100)/2</f>
        <v/>
      </c>
      <c r="M1115">
        <f>L1115*(1+(Inputs!$B$10+((C1128=TRUE)*(F1128-Calc!F25))+B1138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5">
        <f>L1115*(1-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1115*(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5">
        <f>(1-Summary!$B$11)*T1115+Summary!$B$11*V1115</f>
        <v/>
      </c>
      <c r="P1115">
        <f>IF(B1143=0,0,O1115/B1143)</f>
        <v/>
      </c>
      <c r="Q1115">
        <f>IFERROR(1/(IF(Inputs!$B$38="pvp",15,MAX(0.1,Skills!D12-IF(Skills!E12=TRUE,Inputs!$B$32,0)))*(1-IF(AND(ArtifactsInput!$M$27,Inputs!$B$4="Chapter Hunt"),CHOOSE(ArtifactsInput!$N$27+1,20,24,28,32,36,40),0)/100)),0)</f>
        <v/>
      </c>
      <c r="R1115">
        <f>IF(AND(Inputs!$B$38&lt;&gt;"pvp",Inputs!$B$43&gt;0),IF(MAX(0,Inputs!$B$43-B1140)&lt;=0,0,(INT(MAX(0,Inputs!$B$43-B1140)/(IF(Inputs!$B$38="pvp",15,MAX(0.1,Skills!D12-IF(Skills!E12=TRUE,Inputs!$B$32,0)))*(1-IF(AND(ArtifactsInput!$M$27,Inputs!$B$4="Chapter Hunt"),CHOOSE(ArtifactsInput!$N$27+1,20,24,28,32,36,40),0)/100)))+1)),0)</f>
        <v/>
      </c>
      <c r="S1115">
        <f>IFERROR(O1115/N1115,0)</f>
        <v/>
      </c>
      <c r="T1115">
        <f>IF(C1115,(H1115*N1115*IF(AND(Inputs!$B$38&lt;&gt;"pvp",Inputs!$B$43&gt;0),((Skills!G12*((R1115-1)*IF(Skills!H12&gt;0,Skills!I12/Skills!H12,1)+IF(Skills!H12&gt;0,MIN(Skills!I12,MAX(0,MAX(0,Inputs!$B$43-B1140)-((R1115-1)*(IF(Inputs!$B$38="pvp",15,MAX(0.1,Skills!D12-IF(Skills!E12=TRUE,Inputs!$B$32,0)))*(1-IF(AND(ArtifactsInput!$M$27,Inputs!$B$4="Chapter Hunt"),CHOOSE(ArtifactsInput!$N$27+1,20,24,28,32,36,40),0)/100)))))/Skills!H12,1)))/Inputs!$B$43),G1115*Q1115)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1115*(1-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1115*(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1115*(1-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1115*(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5">
        <f>IF(C1115,(H1115*N1115*IF(AND(Inputs!$B$38&lt;&gt;"pvp",Inputs!$B$43&gt;0),((Skills!G12*((R1115-1)*IF(Skills!H12&gt;0,Skills!I12/Skills!H12,1)+IF(Skills!H12&gt;0,MIN(Skills!I12,MAX(0,MAX(0,Inputs!$B$43-B1140)-((R1115-1)*(IF(Inputs!$B$38="pvp",15,MAX(0.1,Skills!D12-IF(Skills!E12=TRUE,Inputs!$B$32,0)))*(1-IF(AND(ArtifactsInput!$M$27,Inputs!$B$4="Chapter Hunt"),CHOOSE(ArtifactsInput!$N$27+1,20,24,28,32,36,40),0)/100)))))/Skills!H12,1)))/Inputs!$B$43),G1115*Q1115))*IF(Inputs!$B$38="pvp",1,(1+(Inputs!$B$21+Skills!Q12+(IF(ArtifactsInput!$M$33,CHOOSE(ArtifactsInput!$N$33+1,30,36,42,48,54,60)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6">
      <c r="A1116">
        <f>Skills!A13</f>
        <v/>
      </c>
      <c r="B1116">
        <f>Skills!B13</f>
        <v/>
      </c>
      <c r="C1116">
        <f>Inputs!$B$3&gt;=110</f>
        <v/>
      </c>
      <c r="D1116">
        <f>IF(Skills!C13=1,60+Inputs!$B$25+Inputs!$B$29,IF(Skills!C13=2,90+Inputs!$B$26+Inputs!$B$29,IF(Skills!C13=3,120+Inputs!$B$27+Inputs!$B$29,MAX(0,(Inputs!$B$3-100)*3)+Inputs!$B$28+Inputs!$B$29)))</f>
        <v/>
      </c>
      <c r="E1116">
        <f>INDEX(FactorTable!$B$2:$Y$301, MATCH(ROUND(MIN(300,MAX(1,D1116)),0), FactorTable!$A$2:$A$301,0), Skills!M13+1)</f>
        <v/>
      </c>
      <c r="F1116">
        <f>IF(Skills!N13=TRUE,(Skills!L13/10)*(E1116/1000),Skills!L13/10)+Skills!O13</f>
        <v/>
      </c>
      <c r="G1116">
        <f>Skills!G13*IF(Skills!H13&gt;0,Skills!I13/Skills!H13,1)</f>
        <v/>
      </c>
      <c r="H1116">
        <f>1-(1-Skills!J13/100)^Skills!K13</f>
        <v/>
      </c>
      <c r="I1116" t="inlineStr">
        <is>
          <t>1</t>
        </is>
      </c>
      <c r="J1116">
        <f>((Inputs!$B$6*(1+Inputs!$B$7/100))+(((Inputs!$B$12*(1+Inputs!$B$13/100))-(Inputs!$B$12*(1+Inputs!$B$13/100)))+0.25*(Inputs!$B$14-Inputs!$B$14))*(1+Inputs!$B$7/100))*(F1116/100)</f>
        <v/>
      </c>
      <c r="K1116">
        <f>J1116*(1+((Inputs!$B$12*(1+Inputs!$B$13/100))*0.01+Inputs!$B$14*0.0025)/100)*(1+Inputs!$B$15/100)*(1+Inputs!$B$16/100)*(5000/(6000+Inputs!$B$42*(1-(100*(1-(1-(Inputs!$B$19+0)/100)*(1-CHOOSE(ArtifactsInput!$N$40+1,5,6,7,8,9,10)/100)^(ArtifactsInput!$M$40-ArtifactsInput!$M$40)))/100)))*(1+(Inputs!$B$24+((C1129=TRUE)*(F1129-Calc!F26))+B1139)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1126=TRUE)*(F1126-Calc!F23))+((C1130=TRUE)*(F1130-Calc!F27))+(((IF(AND(ArtifactsInput!$M$42,((Inputs!$B$9+((C1122=TRUE)*(F1122-Calc!F19))+B1133+(ArtifactsInput!$M$24-ArtifactsInput!$M$24)*CHOOSE(ArtifactsInput!$N$24+1,10,12,14,16,18,20)+IF(ArtifactsInput!$M$10,CHOOSE(ArtifactsInput!$N$10+1,15,18,21,24,27,30)*(IF(Inputs!$B$38="pvp",MIN(15,15)/15,IF(AND(Inputs!$B$38&lt;&gt;"pvp",Inputs!$B$43&gt;0),MIN(15,Inputs!$B$43)/(Inputs!$B$43),0))),0)))&gt;=100),MIN(100,((Inputs!$B$9+((C1122=TRUE)*(F1122-Calc!F19))+B1133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1122=TRUE)*(F1122-Calc!F19))+B1133+(ArtifactsInput!$M$24-ArtifactsInput!$M$24)*CHOOSE(ArtifactsInput!$N$24+1,10,12,14,16,18,20)+IF(ArtifactsInput!$M$10,CHOOSE(ArtifactsInput!$N$10+1,15,18,21,24,27,30)*(IF(Inputs!$B$38="pvp",MIN(15,15)/15,IF(AND(Inputs!$B$38&lt;&gt;"pvp",Inputs!$B$43&gt;0),MIN(15,Inputs!$B$43)/(Inputs!$B$43),0))),0)))&gt;=100),CHOOSE(ArtifactsInput!$N$42+1,40,48,56,64,72,80),0))))/100)*((1+(((C1120=TRUE)*F1120)+((C1127=TRUE)*(F1127-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1116)</f>
        <v/>
      </c>
      <c r="L1116">
        <f>K1116*(MIN(Inputs!$B$22+((C1125=TRUE)*(F1125-Calc!F22)),(Inputs!$B$23+0+(IF(ArtifactsInput!$M$15,CHOOSE(ArtifactsInput!$N$15+1,25,30,35,40,45,50)/100*(Inputs!$B$11-Inputs!$B$11),0))))/100+(Inputs!$B$23+0+(IF(ArtifactsInput!$M$15,CHOOSE(ArtifactsInput!$N$15+1,25,30,35,40,45,50)/100*(Inputs!$B$11-Inputs!$B$11),0)))/100)/2</f>
        <v/>
      </c>
      <c r="M1116">
        <f>L1116*(1+(Inputs!$B$10+((C1128=TRUE)*(F1128-Calc!F25))+B1138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6">
        <f>L1116*(1-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1116*(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6">
        <f>(1-Summary!$B$11)*T1116+Summary!$B$11*V1116</f>
        <v/>
      </c>
      <c r="P1116">
        <f>IF(B1143=0,0,O1116/B1143)</f>
        <v/>
      </c>
      <c r="Q1116">
        <f>IFERROR(1/(IF(Inputs!$B$38="pvp",15,MAX(0.1,Skills!D13-IF(Skills!E13=TRUE,Inputs!$B$32,0)))*(1-IF(AND(ArtifactsInput!$M$27,Inputs!$B$4="Chapter Hunt"),CHOOSE(ArtifactsInput!$N$27+1,20,24,28,32,36,40),0)/100)),0)</f>
        <v/>
      </c>
      <c r="R1116">
        <f>IF(AND(Inputs!$B$38&lt;&gt;"pvp",Inputs!$B$43&gt;0),IF(MAX(0,Inputs!$B$43-B1140)&lt;=0,0,(INT(MAX(0,Inputs!$B$43-B1140)/(IF(Inputs!$B$38="pvp",15,MAX(0.1,Skills!D13-IF(Skills!E13=TRUE,Inputs!$B$32,0)))*(1-IF(AND(ArtifactsInput!$M$27,Inputs!$B$4="Chapter Hunt"),CHOOSE(ArtifactsInput!$N$27+1,20,24,28,32,36,40),0)/100)))+1)),0)</f>
        <v/>
      </c>
      <c r="S1116">
        <f>IFERROR(O1116/N1116,0)</f>
        <v/>
      </c>
      <c r="T1116">
        <f>IF(C1116,(H1116*N1116*IF(AND(Inputs!$B$38&lt;&gt;"pvp",Inputs!$B$43&gt;0),((Skills!G13*((R1116-1)*IF(Skills!H13&gt;0,Skills!I13/Skills!H13,1)+IF(Skills!H13&gt;0,MIN(Skills!I13,MAX(0,MAX(0,Inputs!$B$43-B1140)-((R1116-1)*(IF(Inputs!$B$38="pvp",15,MAX(0.1,Skills!D13-IF(Skills!E13=TRUE,Inputs!$B$32,0)))*(1-IF(AND(ArtifactsInput!$M$27,Inputs!$B$4="Chapter Hunt"),CHOOSE(ArtifactsInput!$N$27+1,20,24,28,32,36,40),0)/100)))))/Skills!H13,1)))/Inputs!$B$43),G1116*Q1116)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1116*(1-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1116*(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1116*(1-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1116*(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6">
        <f>IF(C1116,(H1116*N1116*IF(AND(Inputs!$B$38&lt;&gt;"pvp",Inputs!$B$43&gt;0),((Skills!G13*((R1116-1)*IF(Skills!H13&gt;0,Skills!I13/Skills!H13,1)+IF(Skills!H13&gt;0,MIN(Skills!I13,MAX(0,MAX(0,Inputs!$B$43-B1140)-((R1116-1)*(IF(Inputs!$B$38="pvp",15,MAX(0.1,Skills!D13-IF(Skills!E13=TRUE,Inputs!$B$32,0)))*(1-IF(AND(ArtifactsInput!$M$27,Inputs!$B$4="Chapter Hunt"),CHOOSE(ArtifactsInput!$N$27+1,20,24,28,32,36,40),0)/100)))))/Skills!H13,1)))/Inputs!$B$43),G1116*Q1116))*IF(Inputs!$B$38="pvp",1,(1+(Inputs!$B$21+Skills!Q13+(IF(ArtifactsInput!$M$33,CHOOSE(ArtifactsInput!$N$33+1,30,36,42,48,54,60)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7">
      <c r="A1117">
        <f>Skills!A14</f>
        <v/>
      </c>
      <c r="B1117">
        <f>Skills!B14</f>
        <v/>
      </c>
      <c r="C1117">
        <f>Inputs!$B$3&gt;=125</f>
        <v/>
      </c>
      <c r="D1117">
        <f>IF(Skills!C14=1,60+Inputs!$B$25+Inputs!$B$29,IF(Skills!C14=2,90+Inputs!$B$26+Inputs!$B$29,IF(Skills!C14=3,120+Inputs!$B$27+Inputs!$B$29,MAX(0,(Inputs!$B$3-100)*3)+Inputs!$B$28+Inputs!$B$29)))</f>
        <v/>
      </c>
      <c r="E1117">
        <f>INDEX(FactorTable!$B$2:$Y$301, MATCH(ROUND(MIN(300,MAX(1,D1117)),0), FactorTable!$A$2:$A$301,0), Skills!M14+1)</f>
        <v/>
      </c>
      <c r="F1117">
        <f>IF(Skills!N14=TRUE,(Skills!L14/10)*(E1117/1000),Skills!L14/10)+Skills!O14</f>
        <v/>
      </c>
      <c r="G1117">
        <f>Skills!G14*IF(Skills!H14&gt;0,Skills!I14/Skills!H14,1)</f>
        <v/>
      </c>
      <c r="H1117">
        <f>1-(1-Skills!J14/100)^Skills!K14</f>
        <v/>
      </c>
      <c r="I1117" t="inlineStr">
        <is>
          <t>1</t>
        </is>
      </c>
      <c r="J1117">
        <f>((Inputs!$B$6*(1+Inputs!$B$7/100))+(((Inputs!$B$12*(1+Inputs!$B$13/100))-(Inputs!$B$12*(1+Inputs!$B$13/100)))+0.25*(Inputs!$B$14-Inputs!$B$14))*(1+Inputs!$B$7/100))*(F1117/100)</f>
        <v/>
      </c>
      <c r="K1117">
        <f>J1117*(1+((Inputs!$B$12*(1+Inputs!$B$13/100))*0.01+Inputs!$B$14*0.0025)/100)*(1+Inputs!$B$15/100)*(1+Inputs!$B$16/100)*(5000/(6000+Inputs!$B$42*(1-(100*(1-(1-(Inputs!$B$19+0)/100)*(1-CHOOSE(ArtifactsInput!$N$40+1,5,6,7,8,9,10)/100)^(ArtifactsInput!$M$40-ArtifactsInput!$M$40)))/100)))*(1+(Inputs!$B$24+((C1129=TRUE)*(F1129-Calc!F26))+B1139)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1126=TRUE)*(F1126-Calc!F23))+((C1130=TRUE)*(F1130-Calc!F27))+(((IF(AND(ArtifactsInput!$M$42,((Inputs!$B$9+((C1122=TRUE)*(F1122-Calc!F19))+B1133+(ArtifactsInput!$M$24-ArtifactsInput!$M$24)*CHOOSE(ArtifactsInput!$N$24+1,10,12,14,16,18,20)+IF(ArtifactsInput!$M$10,CHOOSE(ArtifactsInput!$N$10+1,15,18,21,24,27,30)*(IF(Inputs!$B$38="pvp",MIN(15,15)/15,IF(AND(Inputs!$B$38&lt;&gt;"pvp",Inputs!$B$43&gt;0),MIN(15,Inputs!$B$43)/(Inputs!$B$43),0))),0)))&gt;=100),MIN(100,((Inputs!$B$9+((C1122=TRUE)*(F1122-Calc!F19))+B1133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1122=TRUE)*(F1122-Calc!F19))+B1133+(ArtifactsInput!$M$24-ArtifactsInput!$M$24)*CHOOSE(ArtifactsInput!$N$24+1,10,12,14,16,18,20)+IF(ArtifactsInput!$M$10,CHOOSE(ArtifactsInput!$N$10+1,15,18,21,24,27,30)*(IF(Inputs!$B$38="pvp",MIN(15,15)/15,IF(AND(Inputs!$B$38&lt;&gt;"pvp",Inputs!$B$43&gt;0),MIN(15,Inputs!$B$43)/(Inputs!$B$43),0))),0)))&gt;=100),CHOOSE(ArtifactsInput!$N$42+1,40,48,56,64,72,80),0))))/100)*((1+(((C1120=TRUE)*F1120)+((C1127=TRUE)*(F1127-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1117)</f>
        <v/>
      </c>
      <c r="L1117">
        <f>K1117*(MIN(Inputs!$B$22+((C1125=TRUE)*(F1125-Calc!F22)),(Inputs!$B$23+0+(IF(ArtifactsInput!$M$15,CHOOSE(ArtifactsInput!$N$15+1,25,30,35,40,45,50)/100*(Inputs!$B$11-Inputs!$B$11),0))))/100+(Inputs!$B$23+0+(IF(ArtifactsInput!$M$15,CHOOSE(ArtifactsInput!$N$15+1,25,30,35,40,45,50)/100*(Inputs!$B$11-Inputs!$B$11),0)))/100)/2</f>
        <v/>
      </c>
      <c r="M1117">
        <f>L1117*(1+(Inputs!$B$10+((C1128=TRUE)*(F1128-Calc!F25))+B1138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7">
        <f>L1117*(1-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1117*(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7">
        <f>(1-Summary!$B$11)*T1117+Summary!$B$11*V1117</f>
        <v/>
      </c>
      <c r="P1117">
        <f>IF(B1143=0,0,O1117/B1143)</f>
        <v/>
      </c>
      <c r="Q1117" t="n">
        <v>0</v>
      </c>
      <c r="R1117" t="n">
        <v>0</v>
      </c>
      <c r="S1117">
        <f>IFERROR(O1117/N1117,0)</f>
        <v/>
      </c>
      <c r="T1117">
        <f>IF(C1117,(H1117*N1117*(B1137+IF(AND(Inputs!$B$38&lt;&gt;"pvp",Inputs!$B$43&gt;0),((Skills!G8*((R1111-1)*IF(Skills!H8&gt;0,Skills!I8/Skills!H8,1)+IF(Skills!H8&gt;0,MIN(Skills!I8,MAX(0,MAX(0,Inputs!$B$43-B1140)-((R1111-1)*(IF(Inputs!$B$38="pvp",15,MAX(0.1,Skills!D8-IF(Skills!E8=TRUE,Inputs!$B$32,0)))*(1-IF(AND(ArtifactsInput!$M$27,Inputs!$B$4="Chapter Hunt"),CHOOSE(ArtifactsInput!$N$27+1,20,24,28,32,36,40),0)/100)))))/Skills!H8,1)))/Inputs!$B$43),G1111*Q1111)+IF(AND(Inputs!$B$38&lt;&gt;"pvp",Inputs!$B$43&gt;0),((Skills!G11*((R1114-1)*IF(Skills!H11&gt;0,Skills!I11/Skills!H11,1)+IF(Skills!H11&gt;0,MIN(Skills!I11,MAX(0,MAX(0,Inputs!$B$43-B1140)-((R1114-1)*(IF(Inputs!$B$38="pvp",15,MAX(0.1,Skills!D11-IF(Skills!E11=TRUE,Inputs!$B$32,0)))*(1-IF(AND(ArtifactsInput!$M$27,Inputs!$B$4="Chapter Hunt"),CHOOSE(ArtifactsInput!$N$27+1,20,24,28,32,36,40),0)/100)))))/Skills!H11,1)))/Inputs!$B$43),G1114*Q1114)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1117*(1-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1117*(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1117*(1-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1117*(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7">
        <f>IF(C1117,(H1117*N1117*(B1137+IF(AND(Inputs!$B$38&lt;&gt;"pvp",Inputs!$B$43&gt;0),((Skills!G8*((R1111-1)*IF(Skills!H8&gt;0,Skills!I8/Skills!H8,1)+IF(Skills!H8&gt;0,MIN(Skills!I8,MAX(0,MAX(0,Inputs!$B$43-B1140)-((R1111-1)*(IF(Inputs!$B$38="pvp",15,MAX(0.1,Skills!D8-IF(Skills!E8=TRUE,Inputs!$B$32,0)))*(1-IF(AND(ArtifactsInput!$M$27,Inputs!$B$4="Chapter Hunt"),CHOOSE(ArtifactsInput!$N$27+1,20,24,28,32,36,40),0)/100)))))/Skills!H8,1)))/Inputs!$B$43),G1111*Q1111)+IF(AND(Inputs!$B$38&lt;&gt;"pvp",Inputs!$B$43&gt;0),((Skills!G11*((R1114-1)*IF(Skills!H11&gt;0,Skills!I11/Skills!H11,1)+IF(Skills!H11&gt;0,MIN(Skills!I11,MAX(0,MAX(0,Inputs!$B$43-B1140)-((R1114-1)*(IF(Inputs!$B$38="pvp",15,MAX(0.1,Skills!D11-IF(Skills!E11=TRUE,Inputs!$B$32,0)))*(1-IF(AND(ArtifactsInput!$M$27,Inputs!$B$4="Chapter Hunt"),CHOOSE(ArtifactsInput!$N$27+1,20,24,28,32,36,40),0)/100)))))/Skills!H11,1)))/Inputs!$B$43),G1114*Q1114)))*IF(Inputs!$B$38="pvp",1,(1+(Inputs!$B$21+Skills!Q14+(IF(ArtifactsInput!$M$33,CHOOSE(ArtifactsInput!$N$33+1,30,36,42,48,54,60)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8">
      <c r="A1118">
        <f>Skills!A15</f>
        <v/>
      </c>
      <c r="B1118">
        <f>Skills!B15</f>
        <v/>
      </c>
      <c r="C1118">
        <f>Inputs!$B$3&gt;=100</f>
        <v/>
      </c>
      <c r="D1118">
        <f>IF(Skills!C15=1,60+Inputs!$B$25+Inputs!$B$29,IF(Skills!C15=2,90+Inputs!$B$26+Inputs!$B$29,IF(Skills!C15=3,120+Inputs!$B$27+Inputs!$B$29,MAX(0,(Inputs!$B$3-100)*3)+Inputs!$B$28+Inputs!$B$29)))</f>
        <v/>
      </c>
      <c r="E1118">
        <f>INDEX(FactorTable!$B$2:$Y$301, MATCH(ROUND(MIN(300,MAX(1,D1118)),0), FactorTable!$A$2:$A$301,0), Skills!M15+1)</f>
        <v/>
      </c>
      <c r="F1118">
        <f>IF(Skills!N15=TRUE,(Skills!L15/10)*(E1118/1000),Skills!L15/10)+Skills!O15</f>
        <v/>
      </c>
      <c r="G1118" t="inlineStr"/>
      <c r="H1118" t="inlineStr"/>
      <c r="I1118" t="inlineStr">
        <is>
          <t>1</t>
        </is>
      </c>
      <c r="J1118" t="inlineStr"/>
      <c r="K1118" t="inlineStr"/>
      <c r="L1118" t="inlineStr"/>
      <c r="M1118" t="inlineStr"/>
      <c r="N1118" t="inlineStr"/>
      <c r="O1118" t="inlineStr"/>
      <c r="P1118" t="inlineStr"/>
      <c r="Q1118" t="inlineStr"/>
      <c r="R1118" t="inlineStr"/>
      <c r="S1118" t="inlineStr"/>
    </row>
    <row r="1119">
      <c r="A1119">
        <f>Skills!A16</f>
        <v/>
      </c>
      <c r="B1119">
        <f>Skills!B16</f>
        <v/>
      </c>
      <c r="C1119">
        <f>Inputs!$B$3&gt;=120</f>
        <v/>
      </c>
      <c r="D1119">
        <f>IF(Skills!C16=1,60+Inputs!$B$25+Inputs!$B$29,IF(Skills!C16=2,90+Inputs!$B$26+Inputs!$B$29,IF(Skills!C16=3,120+Inputs!$B$27+Inputs!$B$29,MAX(0,(Inputs!$B$3-100)*3)+Inputs!$B$28+Inputs!$B$29)))</f>
        <v/>
      </c>
      <c r="E1119">
        <f>INDEX(FactorTable!$B$2:$Y$301, MATCH(ROUND(MIN(300,MAX(1,D1119)),0), FactorTable!$A$2:$A$301,0), Skills!M16+1)</f>
        <v/>
      </c>
      <c r="F1119">
        <f>IF(Skills!N16=TRUE,(Skills!L16/10)*(E1119/1000),Skills!L16/10)+Skills!O16</f>
        <v/>
      </c>
      <c r="G1119" t="inlineStr"/>
      <c r="H1119" t="inlineStr"/>
      <c r="I1119" t="inlineStr">
        <is>
          <t>1</t>
        </is>
      </c>
      <c r="J1119" t="inlineStr"/>
      <c r="K1119" t="inlineStr"/>
      <c r="L1119" t="inlineStr"/>
      <c r="M1119" t="inlineStr"/>
      <c r="N1119" t="inlineStr"/>
      <c r="O1119" t="inlineStr"/>
      <c r="P1119" t="inlineStr"/>
      <c r="Q1119" t="inlineStr"/>
      <c r="R1119" t="inlineStr"/>
      <c r="S1119" t="inlineStr"/>
    </row>
    <row r="1120">
      <c r="A1120">
        <f>Skills!A17</f>
        <v/>
      </c>
      <c r="B1120">
        <f>Skills!B17</f>
        <v/>
      </c>
      <c r="C1120">
        <f>Inputs!$B$3&gt;=66</f>
        <v/>
      </c>
      <c r="D1120">
        <f>IF(Skills!C17=1,60+Inputs!$B$25+Inputs!$B$29,IF(Skills!C17=2,90+Inputs!$B$26+Inputs!$B$29,IF(Skills!C17=3,120+Inputs!$B$27+Inputs!$B$29,MAX(0,(Inputs!$B$3-100)*3)+Inputs!$B$28+Inputs!$B$29)))</f>
        <v/>
      </c>
      <c r="E1120">
        <f>INDEX(FactorTable!$B$2:$Y$301, MATCH(ROUND(MIN(300,MAX(1,D1120)),0), FactorTable!$A$2:$A$301,0), Skills!M17+1)</f>
        <v/>
      </c>
      <c r="F1120">
        <f>IF(Skills!N17=TRUE,(Skills!L17/10)*(E1120/1000),Skills!L17/10)+Skills!O17</f>
        <v/>
      </c>
      <c r="G1120">
        <f>Skills!G17*IF(Skills!H17&gt;0,Skills!I17/Skills!H17,1)</f>
        <v/>
      </c>
      <c r="H1120">
        <f>1-(1-Skills!J17/100)^Skills!K17</f>
        <v/>
      </c>
      <c r="I1120" t="inlineStr">
        <is>
          <t>1</t>
        </is>
      </c>
      <c r="J1120" t="inlineStr"/>
      <c r="K1120" t="inlineStr"/>
      <c r="L1120" t="inlineStr"/>
      <c r="M1120" t="inlineStr"/>
      <c r="N1120" t="inlineStr"/>
      <c r="O1120">
        <f>(1-Summary!$B$11)*T1120+Summary!$B$11*V1120</f>
        <v/>
      </c>
      <c r="P1120">
        <f>IF(B1143=0,0,O1120/B1143)</f>
        <v/>
      </c>
      <c r="Q1120" t="n">
        <v>0</v>
      </c>
      <c r="R1120" t="n">
        <v>0</v>
      </c>
      <c r="S1120">
        <f>IFERROR(O1120/N1120,0)</f>
        <v/>
      </c>
      <c r="T1120" t="n">
        <v>0</v>
      </c>
      <c r="V1120" t="n">
        <v>0</v>
      </c>
    </row>
    <row r="1121">
      <c r="A1121">
        <f>Skills!A18</f>
        <v/>
      </c>
      <c r="B1121">
        <f>Skills!B18</f>
        <v/>
      </c>
      <c r="C1121">
        <f>Inputs!$B$3&gt;=115</f>
        <v/>
      </c>
      <c r="D1121">
        <f>IF(Skills!C18=1,60+Inputs!$B$25+Inputs!$B$29,IF(Skills!C18=2,90+Inputs!$B$26+Inputs!$B$29,IF(Skills!C18=3,120+Inputs!$B$27+Inputs!$B$29,MAX(0,(Inputs!$B$3-100)*3)+Inputs!$B$28+Inputs!$B$29)))</f>
        <v/>
      </c>
      <c r="E1121">
        <f>INDEX(FactorTable!$B$2:$Y$301, MATCH(ROUND(MIN(300,MAX(1,D1121)),0), FactorTable!$A$2:$A$301,0), Skills!M18+1)</f>
        <v/>
      </c>
      <c r="F1121">
        <f>IF(Skills!N18=TRUE,(Skills!L18/10)*(E1121/1000),Skills!L18/10)+Skills!O18</f>
        <v/>
      </c>
      <c r="G1121">
        <f>Skills!G18*IF(Skills!H18&gt;0,Skills!I18/Skills!H18,1)</f>
        <v/>
      </c>
      <c r="H1121">
        <f>1-(1-Skills!J18/100)^Skills!K18</f>
        <v/>
      </c>
      <c r="I1121" t="inlineStr">
        <is>
          <t>1</t>
        </is>
      </c>
      <c r="J1121" t="inlineStr"/>
      <c r="K1121" t="inlineStr"/>
      <c r="L1121" t="inlineStr"/>
      <c r="M1121" t="inlineStr"/>
      <c r="N1121" t="inlineStr"/>
      <c r="O1121">
        <f>(1-Summary!$B$11)*T1121+Summary!$B$11*V1121</f>
        <v/>
      </c>
      <c r="P1121">
        <f>IF(B1143=0,0,O1121/B1143)</f>
        <v/>
      </c>
      <c r="Q1121" t="n">
        <v>0</v>
      </c>
      <c r="R1121" t="n">
        <v>0</v>
      </c>
      <c r="S1121">
        <f>IFERROR(O1121/N1121,0)</f>
        <v/>
      </c>
      <c r="T1121" t="n">
        <v>0</v>
      </c>
      <c r="V1121" t="n">
        <v>0</v>
      </c>
    </row>
    <row r="1122">
      <c r="A1122">
        <f>Skills!A19</f>
        <v/>
      </c>
      <c r="B1122">
        <f>Skills!B19</f>
        <v/>
      </c>
      <c r="C1122">
        <f>Inputs!$B$3&gt;=15</f>
        <v/>
      </c>
      <c r="D1122">
        <f>IF(Skills!C19=1,60+Inputs!$B$25+Inputs!$B$29,IF(Skills!C19=2,90+Inputs!$B$26+Inputs!$B$29,IF(Skills!C19=3,120+Inputs!$B$27+Inputs!$B$29,MAX(0,(Inputs!$B$3-100)*3)+Inputs!$B$28+Inputs!$B$29)))</f>
        <v/>
      </c>
      <c r="E1122">
        <f>INDEX(FactorTable!$B$2:$Y$301, MATCH(ROUND(MIN(300,MAX(1,D1122)),0), FactorTable!$A$2:$A$301,0), Skills!M19+1)</f>
        <v/>
      </c>
      <c r="F1122">
        <f>IF(Skills!N19=TRUE,(Skills!L19/10)*(E1122/1000),Skills!L19/10)+Skills!O19</f>
        <v/>
      </c>
      <c r="G1122">
        <f>Skills!G19*IF(Skills!H19&gt;0,Skills!I19/Skills!H19,1)</f>
        <v/>
      </c>
      <c r="H1122">
        <f>1-(1-Skills!J19/100)^Skills!K19</f>
        <v/>
      </c>
      <c r="I1122" t="inlineStr">
        <is>
          <t>1</t>
        </is>
      </c>
      <c r="J1122" t="inlineStr"/>
      <c r="K1122" t="inlineStr"/>
      <c r="L1122" t="inlineStr"/>
      <c r="M1122" t="inlineStr"/>
      <c r="N1122" t="inlineStr"/>
      <c r="O1122">
        <f>(1-Summary!$B$11)*T1122+Summary!$B$11*V1122</f>
        <v/>
      </c>
      <c r="P1122">
        <f>IF(B1143=0,0,O1122/B1143)</f>
        <v/>
      </c>
      <c r="Q1122" t="n">
        <v>0</v>
      </c>
      <c r="R1122" t="n">
        <v>0</v>
      </c>
      <c r="S1122">
        <f>IFERROR(O1122/N1122,0)</f>
        <v/>
      </c>
      <c r="T1122" t="n">
        <v>0</v>
      </c>
      <c r="V1122" t="n">
        <v>0</v>
      </c>
    </row>
    <row r="1123">
      <c r="A1123">
        <f>Skills!A20</f>
        <v/>
      </c>
      <c r="B1123">
        <f>Skills!B20</f>
        <v/>
      </c>
      <c r="C1123">
        <f>Inputs!$B$3&gt;=10</f>
        <v/>
      </c>
      <c r="D1123">
        <f>IF(Skills!C20=1,60+Inputs!$B$25+Inputs!$B$29,IF(Skills!C20=2,90+Inputs!$B$26+Inputs!$B$29,IF(Skills!C20=3,120+Inputs!$B$27+Inputs!$B$29,MAX(0,(Inputs!$B$3-100)*3)+Inputs!$B$28+Inputs!$B$29)))</f>
        <v/>
      </c>
      <c r="E1123">
        <f>INDEX(FactorTable!$B$2:$Y$301, MATCH(ROUND(MIN(300,MAX(1,D1123)),0), FactorTable!$A$2:$A$301,0), Skills!M20+1)</f>
        <v/>
      </c>
      <c r="F1123">
        <f>IF(Skills!N20=TRUE,(Skills!L20/10)*(E1123/1000),Skills!L20/10)+Skills!O20</f>
        <v/>
      </c>
      <c r="G1123">
        <f>Skills!G20*IF(Skills!H20&gt;0,Skills!I20/Skills!H20,1)</f>
        <v/>
      </c>
      <c r="H1123">
        <f>1-(1-Skills!J20/100)^Skills!K20</f>
        <v/>
      </c>
      <c r="I1123" t="inlineStr">
        <is>
          <t>1</t>
        </is>
      </c>
      <c r="J1123" t="inlineStr"/>
      <c r="K1123" t="inlineStr"/>
      <c r="L1123" t="inlineStr"/>
      <c r="M1123" t="inlineStr"/>
      <c r="N1123" t="inlineStr"/>
      <c r="O1123">
        <f>(1-Summary!$B$11)*T1123+Summary!$B$11*V1123</f>
        <v/>
      </c>
      <c r="P1123">
        <f>IF(B1143=0,0,O1123/B1143)</f>
        <v/>
      </c>
      <c r="Q1123" t="n">
        <v>0</v>
      </c>
      <c r="R1123" t="n">
        <v>0</v>
      </c>
      <c r="S1123">
        <f>IFERROR(O1123/N1123,0)</f>
        <v/>
      </c>
      <c r="T1123" t="n">
        <v>0</v>
      </c>
      <c r="V1123" t="n">
        <v>0</v>
      </c>
    </row>
    <row r="1124">
      <c r="A1124">
        <f>Skills!A21</f>
        <v/>
      </c>
      <c r="B1124">
        <f>Skills!B21</f>
        <v/>
      </c>
      <c r="C1124">
        <f>Inputs!$B$3&gt;=33</f>
        <v/>
      </c>
      <c r="D1124">
        <f>IF(Skills!C21=1,60+Inputs!$B$25+Inputs!$B$29,IF(Skills!C21=2,90+Inputs!$B$26+Inputs!$B$29,IF(Skills!C21=3,120+Inputs!$B$27+Inputs!$B$29,MAX(0,(Inputs!$B$3-100)*3)+Inputs!$B$28+Inputs!$B$29)))</f>
        <v/>
      </c>
      <c r="E1124">
        <f>INDEX(FactorTable!$B$2:$Y$301, MATCH(ROUND(MIN(300,MAX(1,D1124)),0), FactorTable!$A$2:$A$301,0), Skills!M21+1)</f>
        <v/>
      </c>
      <c r="F1124">
        <f>IF(Skills!N21=TRUE,(Skills!L21/10)*(E1124/1000),Skills!L21/10)+Skills!O21</f>
        <v/>
      </c>
      <c r="G1124">
        <f>Skills!G21*IF(Skills!H21&gt;0,Skills!I21/Skills!H21,1)</f>
        <v/>
      </c>
      <c r="H1124">
        <f>1-(1-Skills!J21/100)^Skills!K21</f>
        <v/>
      </c>
      <c r="I1124" t="inlineStr">
        <is>
          <t>1</t>
        </is>
      </c>
      <c r="J1124" t="inlineStr"/>
      <c r="K1124" t="inlineStr"/>
      <c r="L1124" t="inlineStr"/>
      <c r="M1124" t="inlineStr"/>
      <c r="N1124" t="inlineStr"/>
      <c r="O1124">
        <f>(1-Summary!$B$11)*T1124+Summary!$B$11*V1124</f>
        <v/>
      </c>
      <c r="P1124">
        <f>IF(B1143=0,0,O1124/B1143)</f>
        <v/>
      </c>
      <c r="Q1124" t="n">
        <v>0</v>
      </c>
      <c r="R1124" t="n">
        <v>0</v>
      </c>
      <c r="S1124">
        <f>IFERROR(O1124/N1124,0)</f>
        <v/>
      </c>
      <c r="T1124" t="n">
        <v>0</v>
      </c>
      <c r="V1124" t="n">
        <v>0</v>
      </c>
    </row>
    <row r="1125">
      <c r="A1125">
        <f>Skills!A22</f>
        <v/>
      </c>
      <c r="B1125">
        <f>Skills!B22</f>
        <v/>
      </c>
      <c r="C1125">
        <f>Inputs!$B$3&gt;=43</f>
        <v/>
      </c>
      <c r="D1125">
        <f>IF(Skills!C22=1,60+Inputs!$B$25+Inputs!$B$29,IF(Skills!C22=2,90+Inputs!$B$26+Inputs!$B$29,IF(Skills!C22=3,120+Inputs!$B$27+Inputs!$B$29,MAX(0,(Inputs!$B$3-100)*3)+Inputs!$B$28+Inputs!$B$29)))</f>
        <v/>
      </c>
      <c r="E1125">
        <f>INDEX(FactorTable!$B$2:$Y$301, MATCH(ROUND(MIN(300,MAX(1,D1125)),0), FactorTable!$A$2:$A$301,0), Skills!M22+1)</f>
        <v/>
      </c>
      <c r="F1125">
        <f>IF(Skills!N22=TRUE,(Skills!L22/10)*(E1125/1000),Skills!L22/10)+Skills!O22</f>
        <v/>
      </c>
      <c r="G1125">
        <f>Skills!G22*IF(Skills!H22&gt;0,Skills!I22/Skills!H22,1)</f>
        <v/>
      </c>
      <c r="H1125">
        <f>1-(1-Skills!J22/100)^Skills!K22</f>
        <v/>
      </c>
      <c r="I1125" t="inlineStr">
        <is>
          <t>1</t>
        </is>
      </c>
      <c r="J1125" t="inlineStr"/>
      <c r="K1125" t="inlineStr"/>
      <c r="L1125" t="inlineStr"/>
      <c r="M1125" t="inlineStr"/>
      <c r="N1125" t="inlineStr"/>
      <c r="O1125">
        <f>(1-Summary!$B$11)*T1125+Summary!$B$11*V1125</f>
        <v/>
      </c>
      <c r="P1125">
        <f>IF(B1143=0,0,O1125/B1143)</f>
        <v/>
      </c>
      <c r="Q1125" t="n">
        <v>0</v>
      </c>
      <c r="R1125" t="n">
        <v>0</v>
      </c>
      <c r="S1125">
        <f>IFERROR(O1125/N1125,0)</f>
        <v/>
      </c>
      <c r="T1125" t="n">
        <v>0</v>
      </c>
      <c r="V1125" t="n">
        <v>0</v>
      </c>
    </row>
    <row r="1126">
      <c r="A1126">
        <f>Skills!A23</f>
        <v/>
      </c>
      <c r="B1126">
        <f>Skills!B23</f>
        <v/>
      </c>
      <c r="C1126">
        <f>Inputs!$B$3&gt;=38</f>
        <v/>
      </c>
      <c r="D1126">
        <f>IF(Skills!C23=1,60+Inputs!$B$25+Inputs!$B$29,IF(Skills!C23=2,90+Inputs!$B$26+Inputs!$B$29,IF(Skills!C23=3,120+Inputs!$B$27+Inputs!$B$29,MAX(0,(Inputs!$B$3-100)*3)+Inputs!$B$28+Inputs!$B$29)))</f>
        <v/>
      </c>
      <c r="E1126">
        <f>INDEX(FactorTable!$B$2:$Y$301, MATCH(ROUND(MIN(300,MAX(1,D1126)),0), FactorTable!$A$2:$A$301,0), Skills!M23+1)</f>
        <v/>
      </c>
      <c r="F1126">
        <f>IF(Skills!N23=TRUE,(Skills!L23/10)*(E1126/1000),Skills!L23/10)+Skills!O23</f>
        <v/>
      </c>
      <c r="G1126">
        <f>Skills!G23*IF(Skills!H23&gt;0,Skills!I23/Skills!H23,1)</f>
        <v/>
      </c>
      <c r="H1126">
        <f>1-(1-Skills!J23/100)^Skills!K23</f>
        <v/>
      </c>
      <c r="I1126" t="inlineStr">
        <is>
          <t>1</t>
        </is>
      </c>
      <c r="J1126" t="inlineStr"/>
      <c r="K1126" t="inlineStr"/>
      <c r="L1126" t="inlineStr"/>
      <c r="M1126" t="inlineStr"/>
      <c r="N1126" t="inlineStr"/>
      <c r="O1126">
        <f>(1-Summary!$B$11)*T1126+Summary!$B$11*V1126</f>
        <v/>
      </c>
      <c r="P1126">
        <f>IF(B1143=0,0,O1126/B1143)</f>
        <v/>
      </c>
      <c r="Q1126" t="n">
        <v>0</v>
      </c>
      <c r="R1126" t="n">
        <v>0</v>
      </c>
      <c r="S1126">
        <f>IFERROR(O1126/N1126,0)</f>
        <v/>
      </c>
      <c r="T1126" t="n">
        <v>0</v>
      </c>
      <c r="V1126" t="n">
        <v>0</v>
      </c>
    </row>
    <row r="1127">
      <c r="A1127">
        <f>Skills!A24</f>
        <v/>
      </c>
      <c r="B1127">
        <f>Skills!B24</f>
        <v/>
      </c>
      <c r="C1127">
        <f>Inputs!$B$3&gt;=40</f>
        <v/>
      </c>
      <c r="D1127">
        <f>IF(Skills!C24=1,60+Inputs!$B$25+Inputs!$B$29,IF(Skills!C24=2,90+Inputs!$B$26+Inputs!$B$29,IF(Skills!C24=3,120+Inputs!$B$27+Inputs!$B$29,MAX(0,(Inputs!$B$3-100)*3)+Inputs!$B$28+Inputs!$B$29)))</f>
        <v/>
      </c>
      <c r="E1127">
        <f>INDEX(FactorTable!$B$2:$Y$301, MATCH(ROUND(MIN(300,MAX(1,D1127)),0), FactorTable!$A$2:$A$301,0), Skills!M24+1)</f>
        <v/>
      </c>
      <c r="F1127">
        <f>IF(Skills!N24=TRUE,(Skills!L24/10)*(E1127/1000),Skills!L24/10)+Skills!O24</f>
        <v/>
      </c>
      <c r="G1127">
        <f>Skills!G24*IF(Skills!H24&gt;0,Skills!I24/Skills!H24,1)</f>
        <v/>
      </c>
      <c r="H1127">
        <f>1-(1-Skills!J24/100)^Skills!K24</f>
        <v/>
      </c>
      <c r="I1127" t="inlineStr">
        <is>
          <t>1</t>
        </is>
      </c>
      <c r="J1127" t="inlineStr"/>
      <c r="K1127" t="inlineStr"/>
      <c r="L1127" t="inlineStr"/>
      <c r="M1127" t="inlineStr"/>
      <c r="N1127" t="inlineStr"/>
      <c r="O1127">
        <f>(1-Summary!$B$11)*T1127+Summary!$B$11*V1127</f>
        <v/>
      </c>
      <c r="P1127">
        <f>IF(B1143=0,0,O1127/B1143)</f>
        <v/>
      </c>
      <c r="Q1127" t="n">
        <v>0</v>
      </c>
      <c r="R1127" t="n">
        <v>0</v>
      </c>
      <c r="S1127">
        <f>IFERROR(O1127/N1127,0)</f>
        <v/>
      </c>
      <c r="T1127" t="n">
        <v>0</v>
      </c>
      <c r="V1127" t="n">
        <v>0</v>
      </c>
    </row>
    <row r="1128">
      <c r="A1128">
        <f>Skills!A25</f>
        <v/>
      </c>
      <c r="B1128">
        <f>Skills!B25</f>
        <v/>
      </c>
      <c r="C1128">
        <f>Inputs!$B$3&gt;=72</f>
        <v/>
      </c>
      <c r="D1128">
        <f>IF(Skills!C25=1,60+Inputs!$B$25+Inputs!$B$29,IF(Skills!C25=2,90+Inputs!$B$26+Inputs!$B$29,IF(Skills!C25=3,120+Inputs!$B$27+Inputs!$B$29,MAX(0,(Inputs!$B$3-100)*3)+Inputs!$B$28+Inputs!$B$29)))</f>
        <v/>
      </c>
      <c r="E1128">
        <f>INDEX(FactorTable!$B$2:$Y$301, MATCH(ROUND(MIN(300,MAX(1,D1128)),0), FactorTable!$A$2:$A$301,0), Skills!M25+1)</f>
        <v/>
      </c>
      <c r="F1128">
        <f>IF(Skills!N25=TRUE,(Skills!L25/10)*(E1128/1000),Skills!L25/10)+Skills!O25</f>
        <v/>
      </c>
      <c r="G1128">
        <f>Skills!G25*IF(Skills!H25&gt;0,Skills!I25/Skills!H25,1)</f>
        <v/>
      </c>
      <c r="H1128">
        <f>1-(1-Skills!J25/100)^Skills!K25</f>
        <v/>
      </c>
      <c r="I1128" t="inlineStr">
        <is>
          <t>1</t>
        </is>
      </c>
      <c r="J1128" t="inlineStr"/>
      <c r="K1128" t="inlineStr"/>
      <c r="L1128" t="inlineStr"/>
      <c r="M1128" t="inlineStr"/>
      <c r="N1128" t="inlineStr"/>
      <c r="O1128">
        <f>(1-Summary!$B$11)*T1128+Summary!$B$11*V1128</f>
        <v/>
      </c>
      <c r="P1128">
        <f>IF(B1143=0,0,O1128/B1143)</f>
        <v/>
      </c>
      <c r="Q1128" t="n">
        <v>0</v>
      </c>
      <c r="R1128" t="n">
        <v>0</v>
      </c>
      <c r="S1128">
        <f>IFERROR(O1128/N1128,0)</f>
        <v/>
      </c>
      <c r="T1128" t="n">
        <v>0</v>
      </c>
      <c r="V1128" t="n">
        <v>0</v>
      </c>
    </row>
    <row r="1129">
      <c r="A1129">
        <f>Skills!A26</f>
        <v/>
      </c>
      <c r="B1129">
        <f>Skills!B26</f>
        <v/>
      </c>
      <c r="C1129">
        <f>Inputs!$B$3&gt;=75</f>
        <v/>
      </c>
      <c r="D1129">
        <f>IF(Skills!C26=1,60+Inputs!$B$25+Inputs!$B$29,IF(Skills!C26=2,90+Inputs!$B$26+Inputs!$B$29,IF(Skills!C26=3,120+Inputs!$B$27+Inputs!$B$29,MAX(0,(Inputs!$B$3-100)*3)+Inputs!$B$28+Inputs!$B$29)))</f>
        <v/>
      </c>
      <c r="E1129">
        <f>INDEX(FactorTable!$B$2:$Y$301, MATCH(ROUND(MIN(300,MAX(1,D1129)),0), FactorTable!$A$2:$A$301,0), Skills!M26+1)</f>
        <v/>
      </c>
      <c r="F1129">
        <f>IF(Skills!N26=TRUE,(Skills!L26/10)*(E1129/1000),Skills!L26/10)+Skills!O26</f>
        <v/>
      </c>
      <c r="G1129">
        <f>Skills!G26*IF(Skills!H26&gt;0,Skills!I26/Skills!H26,1)</f>
        <v/>
      </c>
      <c r="H1129">
        <f>1-(1-Skills!J26/100)^Skills!K26</f>
        <v/>
      </c>
      <c r="I1129" t="inlineStr">
        <is>
          <t>1</t>
        </is>
      </c>
      <c r="J1129" t="inlineStr"/>
      <c r="K1129" t="inlineStr"/>
      <c r="L1129" t="inlineStr"/>
      <c r="M1129" t="inlineStr"/>
      <c r="N1129" t="inlineStr"/>
      <c r="O1129">
        <f>(1-Summary!$B$11)*T1129+Summary!$B$11*V1129</f>
        <v/>
      </c>
      <c r="P1129">
        <f>IF(B1143=0,0,O1129/B1143)</f>
        <v/>
      </c>
      <c r="Q1129" t="n">
        <v>0</v>
      </c>
      <c r="R1129" t="n">
        <v>0</v>
      </c>
      <c r="S1129">
        <f>IFERROR(O1129/N1129,0)</f>
        <v/>
      </c>
      <c r="T1129" t="n">
        <v>0</v>
      </c>
      <c r="V1129" t="n">
        <v>0</v>
      </c>
    </row>
    <row r="1130">
      <c r="A1130">
        <f>Skills!A27</f>
        <v/>
      </c>
      <c r="B1130">
        <f>Skills!B27</f>
        <v/>
      </c>
      <c r="C1130">
        <f>Inputs!$B$3&gt;=117</f>
        <v/>
      </c>
      <c r="D1130">
        <f>IF(Skills!C27=1,60+Inputs!$B$25+Inputs!$B$29,IF(Skills!C27=2,90+Inputs!$B$26+Inputs!$B$29,IF(Skills!C27=3,120+Inputs!$B$27+Inputs!$B$29,MAX(0,(Inputs!$B$3-100)*3)+Inputs!$B$28+Inputs!$B$29)))</f>
        <v/>
      </c>
      <c r="E1130">
        <f>INDEX(FactorTable!$B$2:$Y$301, MATCH(ROUND(MIN(300,MAX(1,D1130)),0), FactorTable!$A$2:$A$301,0), Skills!M27+1)</f>
        <v/>
      </c>
      <c r="F1130">
        <f>IF(Skills!N27=TRUE,(Skills!L27/10)*(E1130/1000),Skills!L27/10)+Skills!O27</f>
        <v/>
      </c>
      <c r="G1130">
        <f>Skills!G27*IF(Skills!H27&gt;0,Skills!I27/Skills!H27,1)</f>
        <v/>
      </c>
      <c r="H1130">
        <f>1-(1-Skills!J27/100)^Skills!K27</f>
        <v/>
      </c>
      <c r="I1130" t="inlineStr">
        <is>
          <t>1</t>
        </is>
      </c>
      <c r="J1130" t="inlineStr"/>
      <c r="K1130" t="inlineStr"/>
      <c r="L1130" t="inlineStr"/>
      <c r="M1130" t="inlineStr"/>
      <c r="N1130" t="inlineStr"/>
      <c r="O1130">
        <f>(1-Summary!$B$11)*T1130+Summary!$B$11*V1130</f>
        <v/>
      </c>
      <c r="P1130">
        <f>IF(B1143=0,0,O1130/B1143)</f>
        <v/>
      </c>
      <c r="Q1130" t="n">
        <v>0</v>
      </c>
      <c r="R1130" t="n">
        <v>0</v>
      </c>
      <c r="S1130">
        <f>IFERROR(O1130/N1130,0)</f>
        <v/>
      </c>
      <c r="T1130" t="n">
        <v>0</v>
      </c>
      <c r="V1130" t="n">
        <v>0</v>
      </c>
    </row>
    <row r="1132">
      <c r="A1132" t="inlineStr">
        <is>
          <t>Attack% Bucket Multiplier</t>
        </is>
      </c>
      <c r="B1132">
        <f>(1+(((C1120=TRUE)*F1120)+((C1127=TRUE)*(F1127-Calc!F24))+(IF(ArtifactsInput!$M$21,CHOOSE(ArtifactsInput!$N$21+1,25,30,35,40,45,50)*(IF(OR(Inputs!$B$4="Chapter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33">
      <c r="A1133" t="inlineStr">
        <is>
          <t>Global Crit Rate Bonus %</t>
        </is>
      </c>
      <c r="B1133" t="n">
        <v>0</v>
      </c>
    </row>
    <row r="1134">
      <c r="A1134" t="inlineStr">
        <is>
          <t>Attack Speed Buff Bonus % (unused)</t>
        </is>
      </c>
      <c r="B1134" t="n">
        <v>0</v>
      </c>
    </row>
    <row r="1135">
      <c r="A1135" t="inlineStr">
        <is>
          <t>Actions Per Second</t>
        </is>
      </c>
      <c r="B1135">
        <f>1+MIN(150,150*(1-(1-(Inputs!$B$11+((C1123=TRUE)*(F1123-Calc!F20))+((C1124=TRUE)*(F1124-Calc!F21)))/150)*(1-B1134/150)))/100</f>
        <v/>
      </c>
    </row>
    <row r="1136">
      <c r="A1136" t="inlineStr">
        <is>
          <t>Skill + Buff Cast Rate</t>
        </is>
      </c>
      <c r="B1136">
        <f>IF(AND(Inputs!$B$38&lt;&gt;"pvp",Inputs!$B$43&gt;0),SUMPRODUCT((Skills!E2:E27=TRUE)*(C1105:C1130=TRUE)*R1105:R1130*Skills!F2:F27)/Inputs!$B$43,SUMPRODUCT((Skills!E2:E27=TRUE)*(C1105:C1130=TRUE)*Q1105:Q1130*Skills!F2:F27))</f>
        <v/>
      </c>
    </row>
    <row r="1137">
      <c r="A1137" t="inlineStr">
        <is>
          <t>Eight-Legs Easton Casts Per Second</t>
        </is>
      </c>
      <c r="B1137">
        <f>MAX(0,B1135-B1136)</f>
        <v/>
      </c>
    </row>
    <row r="1138">
      <c r="A1138" t="inlineStr">
        <is>
          <t>Global Critical Damage Bonus % (unused)</t>
        </is>
      </c>
      <c r="B1138" t="n">
        <v>0</v>
      </c>
    </row>
    <row r="1139">
      <c r="A1139" t="inlineStr">
        <is>
          <t>Global Final Damage Bonus % (Jolly Roger only)</t>
        </is>
      </c>
      <c r="B1139">
        <f>((C1121=TRUE)*F1121)</f>
        <v/>
      </c>
    </row>
    <row r="1140">
      <c r="A1140" t="inlineStr">
        <is>
          <t>Buff-Casting Startup Delay (s, fixed-duration only)</t>
        </is>
      </c>
      <c r="B1140">
        <f>IF(AND(Inputs!$B$38&lt;&gt;"pvp",Inputs!$B$43&gt;0),SUMPRODUCT((Skills!T2:T27&gt;0)*(Skills!E2:E27=TRUE)*(C1105:C1130=TRUE))/B1135,0)</f>
        <v/>
      </c>
    </row>
    <row r="1141">
      <c r="A1141" t="inlineStr">
        <is>
          <t>Boss-Only Total DPS (this block's swept value)</t>
        </is>
      </c>
      <c r="B1141">
        <f>SUM(T1105:T1130)</f>
        <v/>
      </c>
    </row>
    <row r="1142">
      <c r="A1142" t="inlineStr">
        <is>
          <t>Normal-Only Total DPS (this block's swept value)</t>
        </is>
      </c>
      <c r="B1142">
        <f>SUM(V1105:V1130)</f>
        <v/>
      </c>
    </row>
    <row r="1143">
      <c r="A1143" s="6" t="inlineStr">
        <is>
          <t>TOTAL DPS</t>
        </is>
      </c>
      <c r="B1143" s="6">
        <f>SUM(O1105:O1130)</f>
        <v/>
      </c>
    </row>
    <row r="1146">
      <c r="A1146" s="6" t="inlineStr">
        <is>
          <t>Stat: Buff Duration Increase %</t>
        </is>
      </c>
    </row>
    <row r="1147">
      <c r="A1147" s="5" t="inlineStr">
        <is>
          <t>Key</t>
        </is>
      </c>
      <c r="B1147" s="5" t="inlineStr">
        <is>
          <t>Name</t>
        </is>
      </c>
      <c r="C1147" s="5" t="inlineStr">
        <is>
          <t>Unlocked</t>
        </is>
      </c>
      <c r="D1147" s="5" t="inlineStr">
        <is>
          <t>InputLevel</t>
        </is>
      </c>
      <c r="E1147" s="5" t="inlineStr">
        <is>
          <t>Factor</t>
        </is>
      </c>
      <c r="F1147" s="5" t="inlineStr">
        <is>
          <t>CoefficientPercent</t>
        </is>
      </c>
      <c r="G1147" s="5" t="inlineStr">
        <is>
          <t>EffectiveHits</t>
        </is>
      </c>
      <c r="H1147" s="5" t="inlineStr">
        <is>
          <t>ProcProbability</t>
        </is>
      </c>
      <c r="I1147" s="5" t="inlineStr">
        <is>
          <t>MapleHeroMultiplier</t>
        </is>
      </c>
      <c r="J1147" s="5" t="inlineStr">
        <is>
          <t>BaseDamage</t>
        </is>
      </c>
      <c r="K1147" s="5" t="inlineStr">
        <is>
          <t>BaseHitDamage</t>
        </is>
      </c>
      <c r="L1147" s="5" t="inlineStr">
        <is>
          <t>NonCritAvg</t>
        </is>
      </c>
      <c r="M1147" s="5" t="inlineStr">
        <is>
          <t>CritAvg</t>
        </is>
      </c>
      <c r="N1147" s="5" t="inlineStr">
        <is>
          <t>ExpectedDamage(perHit)</t>
        </is>
      </c>
      <c r="O1147" s="5" t="inlineStr">
        <is>
          <t>DPS</t>
        </is>
      </c>
      <c r="P1147" s="5" t="inlineStr">
        <is>
          <t>% of Total</t>
        </is>
      </c>
      <c r="Q1147" s="5" t="inlineStr">
        <is>
          <t>InvCooldown</t>
        </is>
      </c>
      <c r="R1147" s="5" t="inlineStr">
        <is>
          <t>CastsInFight</t>
        </is>
      </c>
      <c r="S1147" s="5" t="inlineStr">
        <is>
          <t>HitRate(perSec)</t>
        </is>
      </c>
      <c r="U1147" t="inlineStr">
        <is>
          <t>helpers</t>
        </is>
      </c>
    </row>
    <row r="1148">
      <c r="A1148">
        <f>Skills!A2</f>
        <v/>
      </c>
      <c r="B1148">
        <f>Skills!B2</f>
        <v/>
      </c>
      <c r="C1148">
        <f>Inputs!$B$3&gt;=100</f>
        <v/>
      </c>
      <c r="D1148" t="inlineStr"/>
      <c r="E1148" t="inlineStr"/>
      <c r="F1148">
        <f>U1150+Skills!O2</f>
        <v/>
      </c>
      <c r="G1148">
        <f>Skills!G2*IF(Skills!H2&gt;0,Skills!I2/Skills!H2,1)</f>
        <v/>
      </c>
      <c r="H1148">
        <f>1-(1-Skills!J2/100)^Skills!K2</f>
        <v/>
      </c>
      <c r="I1148" t="inlineStr">
        <is>
          <t>1</t>
        </is>
      </c>
      <c r="J1148">
        <f>((Inputs!$B$6*(1+Inputs!$B$7/100))+(((Inputs!$B$12*(1+Inputs!$B$13/100))-(Inputs!$B$12*(1+Inputs!$B$13/100)))+0.25*(Inputs!$B$14-Inputs!$B$14))*(1+Inputs!$B$7/100))*(F1148/100)</f>
        <v/>
      </c>
      <c r="K1148">
        <f>J1148*(1+((Inputs!$B$12*(1+Inputs!$B$13/100))*0.01+Inputs!$B$14*0.0025)/100)*(1+Inputs!$B$15/100)*(1+Inputs!$B$16/100)*(5000/(6000+Inputs!$B$42*(1-(100*(1-(1-(Inputs!$B$19+0)/100)*(1-CHOOSE(ArtifactsInput!$N$40+1,5,6,7,8,9,10)/100)^(ArtifactsInput!$M$40-ArtifactsInput!$M$40)))/100)))*(1+(Inputs!$B$24+((C1172=TRUE)*(F1172-Calc!F26))+B1182)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1169=TRUE)*(F1169-Calc!F23))+((C1173=TRUE)*(F1173-Calc!F27))+(((IF(AND(ArtifactsInput!$M$42,((Inputs!$B$9+((C1165=TRUE)*(F1165-Calc!F19))+B1176+(ArtifactsInput!$M$24-ArtifactsInput!$M$24)*CHOOSE(ArtifactsInput!$N$24+1,10,12,14,16,18,20)+IF(ArtifactsInput!$M$10,CHOOSE(ArtifactsInput!$N$10+1,15,18,21,24,27,30)*(IF(Inputs!$B$38="pvp",MIN(15,15)/15,IF(AND(Inputs!$B$38&lt;&gt;"pvp",Inputs!$B$43&gt;0),MIN(15,Inputs!$B$43)/(Inputs!$B$43),0))),0)))&gt;=100),MIN(100,((Inputs!$B$9+((C1165=TRUE)*(F1165-Calc!F19))+B1176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1165=TRUE)*(F1165-Calc!F19))+B1176+(ArtifactsInput!$M$24-ArtifactsInput!$M$24)*CHOOSE(ArtifactsInput!$N$24+1,10,12,14,16,18,20)+IF(ArtifactsInput!$M$10,CHOOSE(ArtifactsInput!$N$10+1,15,18,21,24,27,30)*(IF(Inputs!$B$38="pvp",MIN(15,15)/15,IF(AND(Inputs!$B$38&lt;&gt;"pvp",Inputs!$B$43&gt;0),MIN(15,Inputs!$B$43)/(Inputs!$B$43),0))),0)))&gt;=100),CHOOSE(ArtifactsInput!$N$42+1,40,48,56,64,72,80),0))))/100)*((1+(((C1163=TRUE)*F1163)+((C1170=TRUE)*(F1170-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1148)</f>
        <v/>
      </c>
      <c r="L1148">
        <f>K1148*(MIN(Inputs!$B$22+((C1168=TRUE)*(F1168-Calc!F22)),(Inputs!$B$23+0+(IF(ArtifactsInput!$M$15,CHOOSE(ArtifactsInput!$N$15+1,25,30,35,40,45,50)/100*(Inputs!$B$11-Inputs!$B$11),0))))/100+(Inputs!$B$23+0+(IF(ArtifactsInput!$M$15,CHOOSE(ArtifactsInput!$N$15+1,25,30,35,40,45,50)/100*(Inputs!$B$11-Inputs!$B$11),0)))/100)/2</f>
        <v/>
      </c>
      <c r="M1148">
        <f>L1148*(1+(Inputs!$B$10+((C1171=TRUE)*(F1171-Calc!F25))+B1181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8">
        <f>L1148*(1-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1148*(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8">
        <f>(1-Summary!$B$11)*T1148+Summary!$B$11*V1148</f>
        <v/>
      </c>
      <c r="P1148">
        <f>IF(B1186=0,0,O1148/B1186)</f>
        <v/>
      </c>
      <c r="Q1148" t="n">
        <v>0</v>
      </c>
      <c r="R1148" t="n">
        <v>0</v>
      </c>
      <c r="S1148">
        <f>IFERROR(O1148/N1148,0)</f>
        <v/>
      </c>
      <c r="T1148">
        <f>IF(C1148,(Skills!G2*N1148*B1180)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1148*(1-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1148*(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1148*(1-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1148*(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8">
        <f>MAX(0,(Inputs!$B$3-100)*3)+Inputs!$B$28+Inputs!$B$29</f>
        <v/>
      </c>
      <c r="V1148">
        <f>IF(C1148,(Skills!G2*N1148*B1180)*IF(Inputs!$B$38="pvp",1,(1+(Inputs!$B$21+Skills!Q2+(IF(ArtifactsInput!$M$33,CHOOSE(ArtifactsInput!$N$33+1,30,36,42,48,54,60),0))+(IF(AND(ArtifactsInput!$M$35,Inputs!$B$4&lt;&gt;"Chapter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9">
      <c r="A1149">
        <f>Skills!A3</f>
        <v/>
      </c>
      <c r="B1149">
        <f>Skills!B3</f>
        <v/>
      </c>
      <c r="C1149">
        <f>Inputs!$B$3&gt;=35</f>
        <v/>
      </c>
      <c r="D1149">
        <f>IF(Skills!C3=1,60+Inputs!$B$25+Inputs!$B$29,IF(Skills!C3=2,90+Inputs!$B$26+Inputs!$B$29,IF(Skills!C3=3,120+Inputs!$B$27+Inputs!$B$29,MAX(0,(Inputs!$B$3-100)*3)+Inputs!$B$28+Inputs!$B$29)))</f>
        <v/>
      </c>
      <c r="E1149">
        <f>INDEX(FactorTable!$B$2:$Y$301, MATCH(ROUND(MIN(300,MAX(1,D1149)),0), FactorTable!$A$2:$A$301,0), Skills!M3+1)</f>
        <v/>
      </c>
      <c r="F1149">
        <f>IF(Skills!N3=TRUE,(Skills!L3/10)*(E1149/1000),Skills!L3/10)+Skills!O3</f>
        <v/>
      </c>
      <c r="G1149">
        <f>Skills!G3*IF(Skills!H3&gt;0,Skills!I3/Skills!H3,1)</f>
        <v/>
      </c>
      <c r="H1149">
        <f>1-(1-Skills!J3/100)^Skills!K3</f>
        <v/>
      </c>
      <c r="I1149" t="inlineStr">
        <is>
          <t>1</t>
        </is>
      </c>
      <c r="J1149">
        <f>((Inputs!$B$6*(1+Inputs!$B$7/100))+(((Inputs!$B$12*(1+Inputs!$B$13/100))-(Inputs!$B$12*(1+Inputs!$B$13/100)))+0.25*(Inputs!$B$14-Inputs!$B$14))*(1+Inputs!$B$7/100))*(F1149/100)</f>
        <v/>
      </c>
      <c r="K1149">
        <f>J1149*(1+((Inputs!$B$12*(1+Inputs!$B$13/100))*0.01+Inputs!$B$14*0.0025)/100)*(1+Inputs!$B$15/100)*(1+Inputs!$B$16/100)*(5000/(6000+Inputs!$B$42*(1-(100*(1-(1-(Inputs!$B$19+0)/100)*(1-CHOOSE(ArtifactsInput!$N$40+1,5,6,7,8,9,10)/100)^(ArtifactsInput!$M$40-ArtifactsInput!$M$40)))/100)))*(1+(Inputs!$B$24+((C1172=TRUE)*(F1172-Calc!F26))+B1182)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1161=TRUE,F1161,0)/100)*(1+(IF(Skills!A3="EIGHT_LEGS_EASTON",Inputs!$B$17+((C1169=TRUE)*(F1169-Calc!F23))+((C1173=TRUE)*(F1173-Calc!F27))+(((IF(AND(ArtifactsInput!$M$42,((Inputs!$B$9+((C1165=TRUE)*(F1165-Calc!F19))+B1176+(ArtifactsInput!$M$24-ArtifactsInput!$M$24)*CHOOSE(ArtifactsInput!$N$24+1,10,12,14,16,18,20)+IF(ArtifactsInput!$M$10,CHOOSE(ArtifactsInput!$N$10+1,15,18,21,24,27,30)*(IF(Inputs!$B$38="pvp",MIN(15,15)/15,IF(AND(Inputs!$B$38&lt;&gt;"pvp",Inputs!$B$43&gt;0),MIN(15,Inputs!$B$43)/(Inputs!$B$43),0))),0)))&gt;=100),MIN(100,((Inputs!$B$9+((C1165=TRUE)*(F1165-Calc!F19))+B1176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1165=TRUE)*(F1165-Calc!F19))+B1176+(ArtifactsInput!$M$24-ArtifactsInput!$M$24)*CHOOSE(ArtifactsInput!$N$24+1,10,12,14,16,18,20)+IF(ArtifactsInput!$M$10,CHOOSE(ArtifactsInput!$N$10+1,15,18,21,24,27,30)*(IF(Inputs!$B$38="pvp",MIN(15,15)/15,IF(AND(Inputs!$B$38&lt;&gt;"pvp",Inputs!$B$43&gt;0),MIN(15,Inputs!$B$43)/(Inputs!$B$43),0))),0)))&gt;=100),CHOOSE(ArtifactsInput!$N$42+1,40,48,56,64,72,80),0))))/100)*((1+(((C1163=TRUE)*F1163)+((C1170=TRUE)*(F1170-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1149)</f>
        <v/>
      </c>
      <c r="L1149">
        <f>K1149*(MIN(Inputs!$B$22+((C1168=TRUE)*(F1168-Calc!F22)),(Inputs!$B$23+0+(IF(ArtifactsInput!$M$15,CHOOSE(ArtifactsInput!$N$15+1,25,30,35,40,45,50)/100*(Inputs!$B$11-Inputs!$B$11),0))))/100+(Inputs!$B$23+0+(IF(ArtifactsInput!$M$15,CHOOSE(ArtifactsInput!$N$15+1,25,30,35,40,45,50)/100*(Inputs!$B$11-Inputs!$B$11),0)))/100)/2</f>
        <v/>
      </c>
      <c r="M1149">
        <f>L1149*(1+(Inputs!$B$10+((C1171=TRUE)*(F1171-Calc!F25))+B1181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9">
        <f>L1149*(1-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1149*(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9">
        <f>(1-Summary!$B$11)*T1149+Summary!$B$11*V1149</f>
        <v/>
      </c>
      <c r="P1149">
        <f>IF(B1186=0,0,O1149/B1186)</f>
        <v/>
      </c>
      <c r="Q1149">
        <f>IFERROR(1/(IF(Inputs!$B$38="pvp",15,MAX(0.1,Skills!D3-IF(Skills!E3=TRUE,Inputs!$B$32,0)))*(1-IF(AND(ArtifactsInput!$M$27,Inputs!$B$4="Chapter Hunt"),CHOOSE(ArtifactsInput!$N$27+1,20,24,28,32,36,40),0)/100)),0)</f>
        <v/>
      </c>
      <c r="R1149">
        <f>IF(AND(Inputs!$B$38&lt;&gt;"pvp",Inputs!$B$43&gt;0),IF(MAX(0,Inputs!$B$43-B1183)&lt;=0,0,(INT(MAX(0,Inputs!$B$43-B1183)/(IF(Inputs!$B$38="pvp",15,MAX(0.1,Skills!D3-IF(Skills!E3=TRUE,Inputs!$B$32,0)))*(1-IF(AND(ArtifactsInput!$M$27,Inputs!$B$4="Chapter Hunt"),CHOOSE(ArtifactsInput!$N$27+1,20,24,28,32,36,40),0)/100)))+1)),0)</f>
        <v/>
      </c>
      <c r="S1149">
        <f>IFERROR(O1149/N1149,0)</f>
        <v/>
      </c>
      <c r="T1149">
        <f>IF(C1149,(H1149*N1149*IF(AND(Inputs!$B$38&lt;&gt;"pvp",Inputs!$B$43&gt;0),((Skills!G3*((R1149-1)*IF(Skills!H3&gt;0,Skills!I3/Skills!H3,1)+IF(Skills!H3&gt;0,MIN(Skills!I3,MAX(0,MAX(0,Inputs!$B$43-B1183)-((R1149-1)*(IF(Inputs!$B$38="pvp",15,MAX(0.1,Skills!D3-IF(Skills!E3=TRUE,Inputs!$B$32,0)))*(1-IF(AND(ArtifactsInput!$M$27,Inputs!$B$4="Chapter Hunt"),CHOOSE(ArtifactsInput!$N$27+1,20,24,28,32,36,40),0)/100)))))/Skills!H3,1)))/Inputs!$B$43),G1149*Q1149)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1149*(1-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1149*(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1149*(1-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1149*(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9">
        <f>INDEX(FactorTable!$B$2:$Y$301, MATCH(ROUND(MIN(300,MAX(1,U1148)),0), FactorTable!$A$2:$A$301,0), 22)</f>
        <v/>
      </c>
      <c r="V1149">
        <f>IF(C1149,(H1149*N1149*IF(AND(Inputs!$B$38&lt;&gt;"pvp",Inputs!$B$43&gt;0),((Skills!G3*((R1149-1)*IF(Skills!H3&gt;0,Skills!I3/Skills!H3,1)+IF(Skills!H3&gt;0,MIN(Skills!I3,MAX(0,MAX(0,Inputs!$B$43-B1183)-((R1149-1)*(IF(Inputs!$B$38="pvp",15,MAX(0.1,Skills!D3-IF(Skills!E3=TRUE,Inputs!$B$32,0)))*(1-IF(AND(ArtifactsInput!$M$27,Inputs!$B$4="Chapter Hunt"),CHOOSE(ArtifactsInput!$N$27+1,20,24,28,32,36,40),0)/100)))))/Skills!H3,1)))/Inputs!$B$43),G1149*Q1149))*IF(Inputs!$B$38="pvp",1,(1+(Inputs!$B$21+Skills!Q3+(IF(ArtifactsInput!$M$33,CHOOSE(ArtifactsInput!$N$33+1,30,36,42,48,54,60)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0">
      <c r="A1150">
        <f>Skills!A4</f>
        <v/>
      </c>
      <c r="B1150">
        <f>Skills!B4</f>
        <v/>
      </c>
      <c r="C1150">
        <f>Inputs!$B$3&gt;=40</f>
        <v/>
      </c>
      <c r="D1150">
        <f>IF(Skills!C4=1,60+Inputs!$B$25+Inputs!$B$29,IF(Skills!C4=2,90+Inputs!$B$26+Inputs!$B$29,IF(Skills!C4=3,120+Inputs!$B$27+Inputs!$B$29,MAX(0,(Inputs!$B$3-100)*3)+Inputs!$B$28+Inputs!$B$29)))</f>
        <v/>
      </c>
      <c r="E1150">
        <f>INDEX(FactorTable!$B$2:$Y$301, MATCH(ROUND(MIN(300,MAX(1,D1150)),0), FactorTable!$A$2:$A$301,0), Skills!M4+1)</f>
        <v/>
      </c>
      <c r="F1150">
        <f>IF(Skills!N4=TRUE,(Skills!L4/10)*(E1150/1000),Skills!L4/10)+Skills!O4</f>
        <v/>
      </c>
      <c r="G1150">
        <f>Skills!G4*IF(Skills!H4&gt;0,Skills!I4/Skills!H4,1)</f>
        <v/>
      </c>
      <c r="H1150">
        <f>1-(1-Skills!J4/100)^Skills!K4</f>
        <v/>
      </c>
      <c r="I1150" t="inlineStr">
        <is>
          <t>1</t>
        </is>
      </c>
      <c r="J1150">
        <f>((Inputs!$B$6*(1+Inputs!$B$7/100))+(((Inputs!$B$12*(1+Inputs!$B$13/100))-(Inputs!$B$12*(1+Inputs!$B$13/100)))+0.25*(Inputs!$B$14-Inputs!$B$14))*(1+Inputs!$B$7/100))*(F1150/100)</f>
        <v/>
      </c>
      <c r="K1150">
        <f>J1150*(1+((Inputs!$B$12*(1+Inputs!$B$13/100))*0.01+Inputs!$B$14*0.0025)/100)*(1+Inputs!$B$15/100)*(1+Inputs!$B$16/100)*(5000/(6000+Inputs!$B$42*(1-(100*(1-(1-(Inputs!$B$19+0)/100)*(1-CHOOSE(ArtifactsInput!$N$40+1,5,6,7,8,9,10)/100)^(ArtifactsInput!$M$40-ArtifactsInput!$M$40)))/100)))*(1+(Inputs!$B$24+((C1172=TRUE)*(F1172-Calc!F26))+B1182)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1162=TRUE,F1162,0)/100)*(1+(IF(Skills!A4="EIGHT_LEGS_EASTON",Inputs!$B$17+((C1169=TRUE)*(F1169-Calc!F23))+((C1173=TRUE)*(F1173-Calc!F27))+(((IF(AND(ArtifactsInput!$M$42,((Inputs!$B$9+((C1165=TRUE)*(F1165-Calc!F19))+B1176+(ArtifactsInput!$M$24-ArtifactsInput!$M$24)*CHOOSE(ArtifactsInput!$N$24+1,10,12,14,16,18,20)+IF(ArtifactsInput!$M$10,CHOOSE(ArtifactsInput!$N$10+1,15,18,21,24,27,30)*(IF(Inputs!$B$38="pvp",MIN(15,15)/15,IF(AND(Inputs!$B$38&lt;&gt;"pvp",Inputs!$B$43&gt;0),MIN(15,Inputs!$B$43)/(Inputs!$B$43),0))),0)))&gt;=100),MIN(100,((Inputs!$B$9+((C1165=TRUE)*(F1165-Calc!F19))+B1176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1165=TRUE)*(F1165-Calc!F19))+B1176+(ArtifactsInput!$M$24-ArtifactsInput!$M$24)*CHOOSE(ArtifactsInput!$N$24+1,10,12,14,16,18,20)+IF(ArtifactsInput!$M$10,CHOOSE(ArtifactsInput!$N$10+1,15,18,21,24,27,30)*(IF(Inputs!$B$38="pvp",MIN(15,15)/15,IF(AND(Inputs!$B$38&lt;&gt;"pvp",Inputs!$B$43&gt;0),MIN(15,Inputs!$B$43)/(Inputs!$B$43),0))),0)))&gt;=100),CHOOSE(ArtifactsInput!$N$42+1,40,48,56,64,72,80),0))))/100)*((1+(((C1163=TRUE)*F1163)+((C1170=TRUE)*(F1170-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1150)</f>
        <v/>
      </c>
      <c r="L1150">
        <f>K1150*(MIN(Inputs!$B$22+((C1168=TRUE)*(F1168-Calc!F22)),(Inputs!$B$23+0+(IF(ArtifactsInput!$M$15,CHOOSE(ArtifactsInput!$N$15+1,25,30,35,40,45,50)/100*(Inputs!$B$11-Inputs!$B$11),0))))/100+(Inputs!$B$23+0+(IF(ArtifactsInput!$M$15,CHOOSE(ArtifactsInput!$N$15+1,25,30,35,40,45,50)/100*(Inputs!$B$11-Inputs!$B$11),0)))/100)/2</f>
        <v/>
      </c>
      <c r="M1150">
        <f>L1150*(1+(Inputs!$B$10+((C1171=TRUE)*(F1171-Calc!F25))+B1181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0">
        <f>L1150*(1-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1150*(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0">
        <f>(1-Summary!$B$11)*T1150+Summary!$B$11*V1150</f>
        <v/>
      </c>
      <c r="P1150">
        <f>IF(B1186=0,0,O1150/B1186)</f>
        <v/>
      </c>
      <c r="Q1150">
        <f>IFERROR(1/(IF(Inputs!$B$38="pvp",15,MAX(0.1,Skills!D4-IF(Skills!E4=TRUE,Inputs!$B$32,0)))*(1-IF(AND(ArtifactsInput!$M$27,Inputs!$B$4="Chapter Hunt"),CHOOSE(ArtifactsInput!$N$27+1,20,24,28,32,36,40),0)/100)),0)</f>
        <v/>
      </c>
      <c r="R1150">
        <f>IF(AND(Inputs!$B$38&lt;&gt;"pvp",Inputs!$B$43&gt;0),IF(MAX(0,Inputs!$B$43-B1183)&lt;=0,0,(INT(MAX(0,Inputs!$B$43-B1183)/(IF(Inputs!$B$38="pvp",15,MAX(0.1,Skills!D4-IF(Skills!E4=TRUE,Inputs!$B$32,0)))*(1-IF(AND(ArtifactsInput!$M$27,Inputs!$B$4="Chapter Hunt"),CHOOSE(ArtifactsInput!$N$27+1,20,24,28,32,36,40),0)/100)))+1)),0)</f>
        <v/>
      </c>
      <c r="S1150">
        <f>IFERROR(O1150/N1150,0)</f>
        <v/>
      </c>
      <c r="T1150">
        <f>IF(C1150,(H1150*N1150*IF(AND(Inputs!$B$38&lt;&gt;"pvp",Inputs!$B$43&gt;0),((Skills!G4*((R1150-1)*IF(Skills!H4&gt;0,Skills!I4/Skills!H4,1)+IF(Skills!H4&gt;0,MIN(Skills!I4,MAX(0,MAX(0,Inputs!$B$43-B1183)-((R1150-1)*(IF(Inputs!$B$38="pvp",15,MAX(0.1,Skills!D4-IF(Skills!E4=TRUE,Inputs!$B$32,0)))*(1-IF(AND(ArtifactsInput!$M$27,Inputs!$B$4="Chapter Hunt"),CHOOSE(ArtifactsInput!$N$27+1,20,24,28,32,36,40),0)/100)))))/Skills!H4,1)))/Inputs!$B$43),G1150*Q1150)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1150*(1-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1150*(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1150*(1-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1150*(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0">
        <f>290*U1149/1000</f>
        <v/>
      </c>
      <c r="V1150">
        <f>IF(C1150,(H1150*N1150*IF(AND(Inputs!$B$38&lt;&gt;"pvp",Inputs!$B$43&gt;0),((Skills!G4*((R1150-1)*IF(Skills!H4&gt;0,Skills!I4/Skills!H4,1)+IF(Skills!H4&gt;0,MIN(Skills!I4,MAX(0,MAX(0,Inputs!$B$43-B1183)-((R1150-1)*(IF(Inputs!$B$38="pvp",15,MAX(0.1,Skills!D4-IF(Skills!E4=TRUE,Inputs!$B$32,0)))*(1-IF(AND(ArtifactsInput!$M$27,Inputs!$B$4="Chapter Hunt"),CHOOSE(ArtifactsInput!$N$27+1,20,24,28,32,36,40),0)/100)))))/Skills!H4,1)))/Inputs!$B$43),G1150*Q1150))*IF(Inputs!$B$38="pvp",1,(1+(Inputs!$B$21+Skills!Q4+(IF(ArtifactsInput!$M$33,CHOOSE(ArtifactsInput!$N$33+1,30,36,42,48,54,60)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1">
      <c r="A1151">
        <f>Skills!A5</f>
        <v/>
      </c>
      <c r="B1151">
        <f>Skills!B5</f>
        <v/>
      </c>
      <c r="C1151">
        <f>Inputs!$B$3&gt;=45</f>
        <v/>
      </c>
      <c r="D1151">
        <f>IF(Skills!C5=1,60+Inputs!$B$25+Inputs!$B$29,IF(Skills!C5=2,90+Inputs!$B$26+Inputs!$B$29,IF(Skills!C5=3,120+Inputs!$B$27+Inputs!$B$29,MAX(0,(Inputs!$B$3-100)*3)+Inputs!$B$28+Inputs!$B$29)))</f>
        <v/>
      </c>
      <c r="E1151">
        <f>INDEX(FactorTable!$B$2:$Y$301, MATCH(ROUND(MIN(300,MAX(1,D1151)),0), FactorTable!$A$2:$A$301,0), Skills!M5+1)</f>
        <v/>
      </c>
      <c r="F1151">
        <f>IF(Skills!N5=TRUE,(Skills!L5/10)*(E1151/1000),Skills!L5/10)+Skills!O5</f>
        <v/>
      </c>
      <c r="G1151">
        <f>Skills!G5*IF(Skills!H5&gt;0,Skills!I5/Skills!H5,1)</f>
        <v/>
      </c>
      <c r="H1151">
        <f>1-(1-Skills!J5/100)^Skills!K5</f>
        <v/>
      </c>
      <c r="I1151" t="inlineStr">
        <is>
          <t>1</t>
        </is>
      </c>
      <c r="J1151">
        <f>((Inputs!$B$6*(1+Inputs!$B$7/100))+(((Inputs!$B$12*(1+Inputs!$B$13/100))-(Inputs!$B$12*(1+Inputs!$B$13/100)))+0.25*(Inputs!$B$14-Inputs!$B$14))*(1+Inputs!$B$7/100))*(F1151/100)</f>
        <v/>
      </c>
      <c r="K1151">
        <f>J1151*(1+((Inputs!$B$12*(1+Inputs!$B$13/100))*0.01+Inputs!$B$14*0.0025)/100)*(1+Inputs!$B$15/100)*(1+Inputs!$B$16/100)*(5000/(6000+Inputs!$B$42*(1-(100*(1-(1-(Inputs!$B$19+0)/100)*(1-CHOOSE(ArtifactsInput!$N$40+1,5,6,7,8,9,10)/100)^(ArtifactsInput!$M$40-ArtifactsInput!$M$40)))/100)))*(1+(Inputs!$B$24+((C1172=TRUE)*(F1172-Calc!F26))+B1182)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1162=TRUE,F1162,0)/100)*(1+(IF(Skills!A5="EIGHT_LEGS_EASTON",Inputs!$B$17+((C1169=TRUE)*(F1169-Calc!F23))+((C1173=TRUE)*(F1173-Calc!F27))+(((IF(AND(ArtifactsInput!$M$42,((Inputs!$B$9+((C1165=TRUE)*(F1165-Calc!F19))+B1176+(ArtifactsInput!$M$24-ArtifactsInput!$M$24)*CHOOSE(ArtifactsInput!$N$24+1,10,12,14,16,18,20)+IF(ArtifactsInput!$M$10,CHOOSE(ArtifactsInput!$N$10+1,15,18,21,24,27,30)*(IF(Inputs!$B$38="pvp",MIN(15,15)/15,IF(AND(Inputs!$B$38&lt;&gt;"pvp",Inputs!$B$43&gt;0),MIN(15,Inputs!$B$43)/(Inputs!$B$43),0))),0)))&gt;=100),MIN(100,((Inputs!$B$9+((C1165=TRUE)*(F1165-Calc!F19))+B1176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1165=TRUE)*(F1165-Calc!F19))+B1176+(ArtifactsInput!$M$24-ArtifactsInput!$M$24)*CHOOSE(ArtifactsInput!$N$24+1,10,12,14,16,18,20)+IF(ArtifactsInput!$M$10,CHOOSE(ArtifactsInput!$N$10+1,15,18,21,24,27,30)*(IF(Inputs!$B$38="pvp",MIN(15,15)/15,IF(AND(Inputs!$B$38&lt;&gt;"pvp",Inputs!$B$43&gt;0),MIN(15,Inputs!$B$43)/(Inputs!$B$43),0))),0)))&gt;=100),CHOOSE(ArtifactsInput!$N$42+1,40,48,56,64,72,80),0))))/100)*((1+(((C1163=TRUE)*F1163)+((C1170=TRUE)*(F1170-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1151)</f>
        <v/>
      </c>
      <c r="L1151">
        <f>K1151*(MIN(Inputs!$B$22+((C1168=TRUE)*(F1168-Calc!F22)),(Inputs!$B$23+0+(IF(ArtifactsInput!$M$15,CHOOSE(ArtifactsInput!$N$15+1,25,30,35,40,45,50)/100*(Inputs!$B$11-Inputs!$B$11),0))))/100+(Inputs!$B$23+0+(IF(ArtifactsInput!$M$15,CHOOSE(ArtifactsInput!$N$15+1,25,30,35,40,45,50)/100*(Inputs!$B$11-Inputs!$B$11),0)))/100)/2</f>
        <v/>
      </c>
      <c r="M1151">
        <f>L1151*(1+(Inputs!$B$10+((C1171=TRUE)*(F1171-Calc!F25))+B1181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1">
        <f>L1151*(1-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1151*(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1">
        <f>(1-Summary!$B$11)*T1151+Summary!$B$11*V1151</f>
        <v/>
      </c>
      <c r="P1151">
        <f>IF(B1186=0,0,O1151/B1186)</f>
        <v/>
      </c>
      <c r="Q1151">
        <f>IFERROR(1/(IF(Inputs!$B$38="pvp",15,MAX(0.1,Skills!D5-IF(Skills!E5=TRUE,Inputs!$B$32,0)))*(1-IF(AND(ArtifactsInput!$M$27,Inputs!$B$4="Chapter Hunt"),CHOOSE(ArtifactsInput!$N$27+1,20,24,28,32,36,40),0)/100)),0)</f>
        <v/>
      </c>
      <c r="R1151">
        <f>IF(AND(Inputs!$B$38&lt;&gt;"pvp",Inputs!$B$43&gt;0),IF(MAX(0,Inputs!$B$43-B1183)&lt;=0,0,(INT(MAX(0,Inputs!$B$43-B1183)/(IF(Inputs!$B$38="pvp",15,MAX(0.1,Skills!D5-IF(Skills!E5=TRUE,Inputs!$B$32,0)))*(1-IF(AND(ArtifactsInput!$M$27,Inputs!$B$4="Chapter Hunt"),CHOOSE(ArtifactsInput!$N$27+1,20,24,28,32,36,40),0)/100)))+1)),0)</f>
        <v/>
      </c>
      <c r="S1151">
        <f>IFERROR(O1151/N1151,0)</f>
        <v/>
      </c>
      <c r="T1151">
        <f>IF(C1151,(H1151*N1151*IF(AND(Inputs!$B$38&lt;&gt;"pvp",Inputs!$B$43&gt;0),((Skills!G5*((R1151-1)*IF(Skills!H5&gt;0,Skills!I5/Skills!H5,1)+IF(Skills!H5&gt;0,MIN(Skills!I5,MAX(0,MAX(0,Inputs!$B$43-B1183)-((R1151-1)*(IF(Inputs!$B$38="pvp",15,MAX(0.1,Skills!D5-IF(Skills!E5=TRUE,Inputs!$B$32,0)))*(1-IF(AND(ArtifactsInput!$M$27,Inputs!$B$4="Chapter Hunt"),CHOOSE(ArtifactsInput!$N$27+1,20,24,28,32,36,40),0)/100)))))/Skills!H5,1)))/Inputs!$B$43),G1151*Q1151)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1151*(1-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1151*(1-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1">
        <f>IF(C1151,(H1151*N1151*IF(AND(Inputs!$B$38&lt;&gt;"pvp",Inputs!$B$43&gt;0),((Skills!G5*((R1151-1)*IF(Skills!H5&gt;0,Skills!I5/Skills!H5,1)+IF(Skills!H5&gt;0,MIN(Skills!I5,MAX(0,MAX(0,Inputs!$B$43-B1183)-((R1151-1)*(IF(Inputs!$B$38="pvp",15,MAX(0.1,Skills!D5-IF(Skills!E5=TRUE,Inputs!$B$32,0)))*(1-IF(AND(ArtifactsInput!$M$27,Inputs!$B$4="Chapter Hunt"),CHOOSE(ArtifactsInput!$N$27+1,20,24,28,32,36,40),0)/100)))))/Skills!H5,1)))/Inputs!$B$43),G1151*Q1151))*IF(Inputs!$B$38="pvp",1,(1+(Inputs!$B$21+Skills!Q5+(IF(ArtifactsInput!$M$33,CHOOSE(ArtifactsInput!$N$33+1,30,36,42,48,54,60)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2">
      <c r="A1152">
        <f>Skills!A6</f>
        <v/>
      </c>
      <c r="B1152">
        <f>Skills!B6</f>
        <v/>
      </c>
      <c r="C1152">
        <f>Inputs!$B$3&gt;=63</f>
        <v/>
      </c>
      <c r="D1152">
        <f>IF(Skills!C6=1,60+Inputs!$B$25+Inputs!$B$29,IF(Skills!C6=2,90+Inputs!$B$26+Inputs!$B$29,IF(Skills!C6=3,120+Inputs!$B$27+Inputs!$B$29,MAX(0,(Inputs!$B$3-100)*3)+Inputs!$B$28+Inputs!$B$29)))</f>
        <v/>
      </c>
      <c r="E1152">
        <f>INDEX(FactorTable!$B$2:$Y$301, MATCH(ROUND(MIN(300,MAX(1,D1152)),0), FactorTable!$A$2:$A$301,0), Skills!M6+1)</f>
        <v/>
      </c>
      <c r="F1152">
        <f>IF(Skills!N6=TRUE,(Skills!L6/10)*(E1152/1000),Skills!L6/10)+Skills!O6</f>
        <v/>
      </c>
      <c r="G1152">
        <f>Skills!G6*IF(Skills!H6&gt;0,Skills!I6/Skills!H6,1)</f>
        <v/>
      </c>
      <c r="H1152">
        <f>1-(1-Skills!J6/100)^Skills!K6</f>
        <v/>
      </c>
      <c r="I1152" t="inlineStr">
        <is>
          <t>1</t>
        </is>
      </c>
      <c r="J1152">
        <f>((Inputs!$B$6*(1+Inputs!$B$7/100))+(((Inputs!$B$12*(1+Inputs!$B$13/100))-(Inputs!$B$12*(1+Inputs!$B$13/100)))+0.25*(Inputs!$B$14-Inputs!$B$14))*(1+Inputs!$B$7/100))*(F1152/100)</f>
        <v/>
      </c>
      <c r="K1152">
        <f>J1152*(1+((Inputs!$B$12*(1+Inputs!$B$13/100))*0.01+Inputs!$B$14*0.0025)/100)*(1+Inputs!$B$15/100)*(1+Inputs!$B$16/100)*(5000/(6000+Inputs!$B$42*(1-(100*(1-(1-(Inputs!$B$19+0)/100)*(1-CHOOSE(ArtifactsInput!$N$40+1,5,6,7,8,9,10)/100)^(ArtifactsInput!$M$40-ArtifactsInput!$M$40)))/100)))*(1+(Inputs!$B$24+((C1172=TRUE)*(F1172-Calc!F26))+B1182)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1161=TRUE,F1161,0)/100)*(1+(IF(Skills!A6="EIGHT_LEGS_EASTON",Inputs!$B$17+((C1169=TRUE)*(F1169-Calc!F23))+((C1173=TRUE)*(F1173-Calc!F27))+(((IF(AND(ArtifactsInput!$M$42,((Inputs!$B$9+((C1165=TRUE)*(F1165-Calc!F19))+B1176+(ArtifactsInput!$M$24-ArtifactsInput!$M$24)*CHOOSE(ArtifactsInput!$N$24+1,10,12,14,16,18,20)+IF(ArtifactsInput!$M$10,CHOOSE(ArtifactsInput!$N$10+1,15,18,21,24,27,30)*(IF(Inputs!$B$38="pvp",MIN(15,15)/15,IF(AND(Inputs!$B$38&lt;&gt;"pvp",Inputs!$B$43&gt;0),MIN(15,Inputs!$B$43)/(Inputs!$B$43),0))),0)))&gt;=100),MIN(100,((Inputs!$B$9+((C1165=TRUE)*(F1165-Calc!F19))+B1176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1165=TRUE)*(F1165-Calc!F19))+B1176+(ArtifactsInput!$M$24-ArtifactsInput!$M$24)*CHOOSE(ArtifactsInput!$N$24+1,10,12,14,16,18,20)+IF(ArtifactsInput!$M$10,CHOOSE(ArtifactsInput!$N$10+1,15,18,21,24,27,30)*(IF(Inputs!$B$38="pvp",MIN(15,15)/15,IF(AND(Inputs!$B$38&lt;&gt;"pvp",Inputs!$B$43&gt;0),MIN(15,Inputs!$B$43)/(Inputs!$B$43),0))),0)))&gt;=100),CHOOSE(ArtifactsInput!$N$42+1,40,48,56,64,72,80),0))))/100)*((1+(((C1163=TRUE)*F1163)+((C1170=TRUE)*(F1170-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1152)</f>
        <v/>
      </c>
      <c r="L1152">
        <f>K1152*(MIN(Inputs!$B$22+((C1168=TRUE)*(F1168-Calc!F22)),(Inputs!$B$23+0+(IF(ArtifactsInput!$M$15,CHOOSE(ArtifactsInput!$N$15+1,25,30,35,40,45,50)/100*(Inputs!$B$11-Inputs!$B$11),0))))/100+(Inputs!$B$23+0+(IF(ArtifactsInput!$M$15,CHOOSE(ArtifactsInput!$N$15+1,25,30,35,40,45,50)/100*(Inputs!$B$11-Inputs!$B$11),0)))/100)/2</f>
        <v/>
      </c>
      <c r="M1152">
        <f>L1152*(1+(Inputs!$B$10+((C1171=TRUE)*(F1171-Calc!F25))+B1181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2">
        <f>L1152*(1-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1152*(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2">
        <f>(1-Summary!$B$11)*T1152+Summary!$B$11*V1152</f>
        <v/>
      </c>
      <c r="P1152">
        <f>IF(B1186=0,0,O1152/B1186)</f>
        <v/>
      </c>
      <c r="Q1152">
        <f>IFERROR(1/(IF(Inputs!$B$38="pvp",15,MAX(0.1,Skills!D6-IF(Skills!E6=TRUE,Inputs!$B$32,0)))*(1-IF(AND(ArtifactsInput!$M$27,Inputs!$B$4="Chapter Hunt"),CHOOSE(ArtifactsInput!$N$27+1,20,24,28,32,36,40),0)/100)),0)</f>
        <v/>
      </c>
      <c r="R1152">
        <f>IF(AND(Inputs!$B$38&lt;&gt;"pvp",Inputs!$B$43&gt;0),IF(MAX(0,Inputs!$B$43-B1183)&lt;=0,0,(INT(MAX(0,Inputs!$B$43-B1183)/(IF(Inputs!$B$38="pvp",15,MAX(0.1,Skills!D6-IF(Skills!E6=TRUE,Inputs!$B$32,0)))*(1-IF(AND(ArtifactsInput!$M$27,Inputs!$B$4="Chapter Hunt"),CHOOSE(ArtifactsInput!$N$27+1,20,24,28,32,36,40),0)/100)))+1)),0)</f>
        <v/>
      </c>
      <c r="S1152">
        <f>IFERROR(O1152/N1152,0)</f>
        <v/>
      </c>
      <c r="T1152">
        <f>IF(C1152,(H1152*N1152*IF(AND(Inputs!$B$38&lt;&gt;"pvp",Inputs!$B$43&gt;0),((Skills!G6*((R1152-1)*IF(Skills!H6&gt;0,Skills!I6/Skills!H6,1)+IF(Skills!H6&gt;0,MIN(Skills!I6,MAX(0,MAX(0,Inputs!$B$43-B1183)-((R1152-1)*(IF(Inputs!$B$38="pvp",15,MAX(0.1,Skills!D6-IF(Skills!E6=TRUE,Inputs!$B$32,0)))*(1-IF(AND(ArtifactsInput!$M$27,Inputs!$B$4="Chapter Hunt"),CHOOSE(ArtifactsInput!$N$27+1,20,24,28,32,36,40),0)/100)))))/Skills!H6,1)))/Inputs!$B$43),G1152*Q1152)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1152*(1-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1152*(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1152*(1-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1152*(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2">
        <f>IF(C1152,(H1152*N1152*IF(AND(Inputs!$B$38&lt;&gt;"pvp",Inputs!$B$43&gt;0),((Skills!G6*((R1152-1)*IF(Skills!H6&gt;0,Skills!I6/Skills!H6,1)+IF(Skills!H6&gt;0,MIN(Skills!I6,MAX(0,MAX(0,Inputs!$B$43-B1183)-((R1152-1)*(IF(Inputs!$B$38="pvp",15,MAX(0.1,Skills!D6-IF(Skills!E6=TRUE,Inputs!$B$32,0)))*(1-IF(AND(ArtifactsInput!$M$27,Inputs!$B$4="Chapter Hunt"),CHOOSE(ArtifactsInput!$N$27+1,20,24,28,32,36,40),0)/100)))))/Skills!H6,1)))/Inputs!$B$43),G1152*Q1152))*IF(Inputs!$B$38="pvp",1,(1+(Inputs!$B$21+Skills!Q6+(IF(ArtifactsInput!$M$33,CHOOSE(ArtifactsInput!$N$33+1,30,36,42,48,54,60)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3">
      <c r="A1153">
        <f>Skills!A7</f>
        <v/>
      </c>
      <c r="B1153">
        <f>Skills!B7</f>
        <v/>
      </c>
      <c r="C1153">
        <f>Inputs!$B$3&gt;=66</f>
        <v/>
      </c>
      <c r="D1153">
        <f>IF(Skills!C7=1,60+Inputs!$B$25+Inputs!$B$29,IF(Skills!C7=2,90+Inputs!$B$26+Inputs!$B$29,IF(Skills!C7=3,120+Inputs!$B$27+Inputs!$B$29,MAX(0,(Inputs!$B$3-100)*3)+Inputs!$B$28+Inputs!$B$29)))</f>
        <v/>
      </c>
      <c r="E1153">
        <f>INDEX(FactorTable!$B$2:$Y$301, MATCH(ROUND(MIN(300,MAX(1,D1153)),0), FactorTable!$A$2:$A$301,0), Skills!M7+1)</f>
        <v/>
      </c>
      <c r="F1153">
        <f>IF(Skills!N7=TRUE,(Skills!L7/10)*(E1153/1000),Skills!L7/10)+Skills!O7</f>
        <v/>
      </c>
      <c r="G1153">
        <f>Skills!G7*IF(Skills!H7&gt;0,Skills!I7/Skills!H7,1)</f>
        <v/>
      </c>
      <c r="H1153">
        <f>1-(1-Skills!J7/100)^Skills!K7</f>
        <v/>
      </c>
      <c r="I1153" t="inlineStr">
        <is>
          <t>1</t>
        </is>
      </c>
      <c r="J1153">
        <f>((Inputs!$B$6*(1+Inputs!$B$7/100))+(((Inputs!$B$12*(1+Inputs!$B$13/100))-(Inputs!$B$12*(1+Inputs!$B$13/100)))+0.25*(Inputs!$B$14-Inputs!$B$14))*(1+Inputs!$B$7/100))*(F1153/100)</f>
        <v/>
      </c>
      <c r="K1153">
        <f>J1153*(1+((Inputs!$B$12*(1+Inputs!$B$13/100))*0.01+Inputs!$B$14*0.0025)/100)*(1+Inputs!$B$15/100)*(1+Inputs!$B$16/100)*(5000/(6000+Inputs!$B$42*(1-(100*(1-(1-(Inputs!$B$19+0)/100)*(1-CHOOSE(ArtifactsInput!$N$40+1,5,6,7,8,9,10)/100)^(ArtifactsInput!$M$40-ArtifactsInput!$M$40)))/100)))*(1+(Inputs!$B$24+((C1172=TRUE)*(F1172-Calc!F26))+B1182)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1161=TRUE,F1161,0)/100)*(1+(IF(Skills!A7="EIGHT_LEGS_EASTON",Inputs!$B$17+((C1169=TRUE)*(F1169-Calc!F23))+((C1173=TRUE)*(F1173-Calc!F27))+(((IF(AND(ArtifactsInput!$M$42,((Inputs!$B$9+((C1165=TRUE)*(F1165-Calc!F19))+B1176+(ArtifactsInput!$M$24-ArtifactsInput!$M$24)*CHOOSE(ArtifactsInput!$N$24+1,10,12,14,16,18,20)+IF(ArtifactsInput!$M$10,CHOOSE(ArtifactsInput!$N$10+1,15,18,21,24,27,30)*(IF(Inputs!$B$38="pvp",MIN(15,15)/15,IF(AND(Inputs!$B$38&lt;&gt;"pvp",Inputs!$B$43&gt;0),MIN(15,Inputs!$B$43)/(Inputs!$B$43),0))),0)))&gt;=100),MIN(100,((Inputs!$B$9+((C1165=TRUE)*(F1165-Calc!F19))+B1176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1165=TRUE)*(F1165-Calc!F19))+B1176+(ArtifactsInput!$M$24-ArtifactsInput!$M$24)*CHOOSE(ArtifactsInput!$N$24+1,10,12,14,16,18,20)+IF(ArtifactsInput!$M$10,CHOOSE(ArtifactsInput!$N$10+1,15,18,21,24,27,30)*(IF(Inputs!$B$38="pvp",MIN(15,15)/15,IF(AND(Inputs!$B$38&lt;&gt;"pvp",Inputs!$B$43&gt;0),MIN(15,Inputs!$B$43)/(Inputs!$B$43),0))),0)))&gt;=100),CHOOSE(ArtifactsInput!$N$42+1,40,48,56,64,72,80),0))))/100)*((1+(((C1163=TRUE)*F1163)+((C1170=TRUE)*(F1170-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1153)</f>
        <v/>
      </c>
      <c r="L1153">
        <f>K1153*(MIN(Inputs!$B$22+((C1168=TRUE)*(F1168-Calc!F22)),(Inputs!$B$23+0+(IF(ArtifactsInput!$M$15,CHOOSE(ArtifactsInput!$N$15+1,25,30,35,40,45,50)/100*(Inputs!$B$11-Inputs!$B$11),0))))/100+(Inputs!$B$23+0+(IF(ArtifactsInput!$M$15,CHOOSE(ArtifactsInput!$N$15+1,25,30,35,40,45,50)/100*(Inputs!$B$11-Inputs!$B$11),0)))/100)/2</f>
        <v/>
      </c>
      <c r="M1153">
        <f>L1153*(1+(Inputs!$B$10+((C1171=TRUE)*(F1171-Calc!F25))+B1181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3">
        <f>L1153*(1-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1153*(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3">
        <f>(1-Summary!$B$11)*T1153+Summary!$B$11*V1153</f>
        <v/>
      </c>
      <c r="P1153">
        <f>IF(B1186=0,0,O1153/B1186)</f>
        <v/>
      </c>
      <c r="Q1153">
        <f>IFERROR(1/(IF(Inputs!$B$38="pvp",15,MAX(0.1,Skills!D7-IF(Skills!E7=TRUE,Inputs!$B$32,0)))*(1-IF(AND(ArtifactsInput!$M$27,Inputs!$B$4="Chapter Hunt"),CHOOSE(ArtifactsInput!$N$27+1,20,24,28,32,36,40),0)/100)),0)</f>
        <v/>
      </c>
      <c r="R1153">
        <f>IF(AND(Inputs!$B$38&lt;&gt;"pvp",Inputs!$B$43&gt;0),IF(MAX(0,Inputs!$B$43-B1183)&lt;=0,0,(INT(MAX(0,Inputs!$B$43-B1183)/(IF(Inputs!$B$38="pvp",15,MAX(0.1,Skills!D7-IF(Skills!E7=TRUE,Inputs!$B$32,0)))*(1-IF(AND(ArtifactsInput!$M$27,Inputs!$B$4="Chapter Hunt"),CHOOSE(ArtifactsInput!$N$27+1,20,24,28,32,36,40),0)/100)))+1)),0)</f>
        <v/>
      </c>
      <c r="S1153">
        <f>IFERROR(O1153/N1153,0)</f>
        <v/>
      </c>
      <c r="T1153">
        <f>IF(C1153,(H1153*N1153*IF(AND(Inputs!$B$38&lt;&gt;"pvp",Inputs!$B$43&gt;0),((Skills!G7*((R1153-1)*IF(Skills!H7&gt;0,Skills!I7/Skills!H7,1)+IF(Skills!H7&gt;0,MIN(Skills!I7,MAX(0,MAX(0,Inputs!$B$43-B1183)-((R1153-1)*(IF(Inputs!$B$38="pvp",15,MAX(0.1,Skills!D7-IF(Skills!E7=TRUE,Inputs!$B$32,0)))*(1-IF(AND(ArtifactsInput!$M$27,Inputs!$B$4="Chapter Hunt"),CHOOSE(ArtifactsInput!$N$27+1,20,24,28,32,36,40),0)/100)))))/Skills!H7,1)))/Inputs!$B$43),G1153*Q1153)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1153*(1-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1153*(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1153*(1-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1153*(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3">
        <f>IF(C1153,(H1153*N1153*IF(AND(Inputs!$B$38&lt;&gt;"pvp",Inputs!$B$43&gt;0),((Skills!G7*((R1153-1)*IF(Skills!H7&gt;0,Skills!I7/Skills!H7,1)+IF(Skills!H7&gt;0,MIN(Skills!I7,MAX(0,MAX(0,Inputs!$B$43-B1183)-((R1153-1)*(IF(Inputs!$B$38="pvp",15,MAX(0.1,Skills!D7-IF(Skills!E7=TRUE,Inputs!$B$32,0)))*(1-IF(AND(ArtifactsInput!$M$27,Inputs!$B$4="Chapter Hunt"),CHOOSE(ArtifactsInput!$N$27+1,20,24,28,32,36,40),0)/100)))))/Skills!H7,1)))/Inputs!$B$43),G1153*Q1153))*IF(Inputs!$B$38="pvp",1,(1+(Inputs!$B$21+Skills!Q7+(IF(ArtifactsInput!$M$33,CHOOSE(ArtifactsInput!$N$33+1,30,36,42,48,54,60)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4">
      <c r="A1154">
        <f>Skills!A8</f>
        <v/>
      </c>
      <c r="B1154">
        <f>Skills!B8</f>
        <v/>
      </c>
      <c r="C1154">
        <f>Inputs!$B$3&gt;=100</f>
        <v/>
      </c>
      <c r="D1154">
        <f>IF(Skills!C8=1,60+Inputs!$B$25+Inputs!$B$29,IF(Skills!C8=2,90+Inputs!$B$26+Inputs!$B$29,IF(Skills!C8=3,120+Inputs!$B$27+Inputs!$B$29,MAX(0,(Inputs!$B$3-100)*3)+Inputs!$B$28+Inputs!$B$29)))</f>
        <v/>
      </c>
      <c r="E1154">
        <f>INDEX(FactorTable!$B$2:$Y$301, MATCH(ROUND(MIN(300,MAX(1,D1154)),0), FactorTable!$A$2:$A$301,0), Skills!M8+1)</f>
        <v/>
      </c>
      <c r="F1154">
        <f>IF(Skills!N8=TRUE,(Skills!L8/10)*(E1154/1000),Skills!L8/10)+Skills!O8</f>
        <v/>
      </c>
      <c r="G1154">
        <f>Skills!G8*IF(Skills!H8&gt;0,Skills!I8/Skills!H8,1)</f>
        <v/>
      </c>
      <c r="H1154">
        <f>1-(1-Skills!J8/100)^Skills!K8</f>
        <v/>
      </c>
      <c r="I1154" t="inlineStr">
        <is>
          <t>1</t>
        </is>
      </c>
      <c r="J1154">
        <f>((Inputs!$B$6*(1+Inputs!$B$7/100))+(((Inputs!$B$12*(1+Inputs!$B$13/100))-(Inputs!$B$12*(1+Inputs!$B$13/100)))+0.25*(Inputs!$B$14-Inputs!$B$14))*(1+Inputs!$B$7/100))*(F1154/100)</f>
        <v/>
      </c>
      <c r="K1154">
        <f>J1154*(1+((Inputs!$B$12*(1+Inputs!$B$13/100))*0.01+Inputs!$B$14*0.0025)/100)*(1+Inputs!$B$15/100)*(1+Inputs!$B$16/100)*(5000/(6000+Inputs!$B$42*(1-(100*(1-(1-(Inputs!$B$19+0)/100)*(1-CHOOSE(ArtifactsInput!$N$40+1,5,6,7,8,9,10)/100)^(ArtifactsInput!$M$40-ArtifactsInput!$M$40)))/100)))*(1+(Inputs!$B$24+((C1172=TRUE)*(F1172-Calc!F26))+B1182)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1169=TRUE)*(F1169-Calc!F23))+((C1173=TRUE)*(F1173-Calc!F27))+(((IF(AND(ArtifactsInput!$M$42,((Inputs!$B$9+((C1165=TRUE)*(F1165-Calc!F19))+B1176+(ArtifactsInput!$M$24-ArtifactsInput!$M$24)*CHOOSE(ArtifactsInput!$N$24+1,10,12,14,16,18,20)+IF(ArtifactsInput!$M$10,CHOOSE(ArtifactsInput!$N$10+1,15,18,21,24,27,30)*(IF(Inputs!$B$38="pvp",MIN(15,15)/15,IF(AND(Inputs!$B$38&lt;&gt;"pvp",Inputs!$B$43&gt;0),MIN(15,Inputs!$B$43)/(Inputs!$B$43),0))),0)))&gt;=100),MIN(100,((Inputs!$B$9+((C1165=TRUE)*(F1165-Calc!F19))+B1176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1165=TRUE)*(F1165-Calc!F19))+B1176+(ArtifactsInput!$M$24-ArtifactsInput!$M$24)*CHOOSE(ArtifactsInput!$N$24+1,10,12,14,16,18,20)+IF(ArtifactsInput!$M$10,CHOOSE(ArtifactsInput!$N$10+1,15,18,21,24,27,30)*(IF(Inputs!$B$38="pvp",MIN(15,15)/15,IF(AND(Inputs!$B$38&lt;&gt;"pvp",Inputs!$B$43&gt;0),MIN(15,Inputs!$B$43)/(Inputs!$B$43),0))),0)))&gt;=100),CHOOSE(ArtifactsInput!$N$42+1,40,48,56,64,72,80),0))))/100)*((1+(((C1163=TRUE)*F1163)+((C1170=TRUE)*(F1170-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1154)</f>
        <v/>
      </c>
      <c r="L1154">
        <f>K1154*(MIN(Inputs!$B$22+((C1168=TRUE)*(F1168-Calc!F22)),(Inputs!$B$23+0+(IF(ArtifactsInput!$M$15,CHOOSE(ArtifactsInput!$N$15+1,25,30,35,40,45,50)/100*(Inputs!$B$11-Inputs!$B$11),0))))/100+(Inputs!$B$23+0+(IF(ArtifactsInput!$M$15,CHOOSE(ArtifactsInput!$N$15+1,25,30,35,40,45,50)/100*(Inputs!$B$11-Inputs!$B$11),0)))/100)/2</f>
        <v/>
      </c>
      <c r="M1154">
        <f>L1154*(1+(Inputs!$B$10+((C1171=TRUE)*(F1171-Calc!F25))+B1181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4">
        <f>L1154*(1-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1154*(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4">
        <f>(1-Summary!$B$11)*T1154+Summary!$B$11*V1154</f>
        <v/>
      </c>
      <c r="P1154">
        <f>IF(B1186=0,0,O1154/B1186)</f>
        <v/>
      </c>
      <c r="Q1154">
        <f>IFERROR(1/(IF(Inputs!$B$38="pvp",15,MAX(0.1,Skills!D8-IF(Skills!E8=TRUE,Inputs!$B$32,0)))*(1-IF(AND(ArtifactsInput!$M$27,Inputs!$B$4="Chapter Hunt"),CHOOSE(ArtifactsInput!$N$27+1,20,24,28,32,36,40),0)/100)),0)</f>
        <v/>
      </c>
      <c r="R1154">
        <f>IF(AND(Inputs!$B$38&lt;&gt;"pvp",Inputs!$B$43&gt;0),IF(MAX(0,Inputs!$B$43-B1183)&lt;=0,0,(INT(MAX(0,Inputs!$B$43-B1183)/(IF(Inputs!$B$38="pvp",15,MAX(0.1,Skills!D8-IF(Skills!E8=TRUE,Inputs!$B$32,0)))*(1-IF(AND(ArtifactsInput!$M$27,Inputs!$B$4="Chapter Hunt"),CHOOSE(ArtifactsInput!$N$27+1,20,24,28,32,36,40),0)/100)))+1)),0)</f>
        <v/>
      </c>
      <c r="S1154">
        <f>IFERROR(O1154/N1154,0)</f>
        <v/>
      </c>
      <c r="T1154">
        <f>IF(C1154,(H1154*N1154*IF(AND(Inputs!$B$38&lt;&gt;"pvp",Inputs!$B$43&gt;0),((Skills!G8*((R1154-1)*IF(Skills!H8&gt;0,Skills!I8/Skills!H8,1)+IF(Skills!H8&gt;0,MIN(Skills!I8,MAX(0,MAX(0,Inputs!$B$43-B1183)-((R1154-1)*(IF(Inputs!$B$38="pvp",15,MAX(0.1,Skills!D8-IF(Skills!E8=TRUE,Inputs!$B$32,0)))*(1-IF(AND(ArtifactsInput!$M$27,Inputs!$B$4="Chapter Hunt"),CHOOSE(ArtifactsInput!$N$27+1,20,24,28,32,36,40),0)/100)))))/Skills!H8,1)))/Inputs!$B$43),G1154*Q1154)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1154*(1-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1154*(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1154*(1-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1154*(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4">
        <f>IF(C1154,(H1154*N1154*IF(AND(Inputs!$B$38&lt;&gt;"pvp",Inputs!$B$43&gt;0),((Skills!G8*((R1154-1)*IF(Skills!H8&gt;0,Skills!I8/Skills!H8,1)+IF(Skills!H8&gt;0,MIN(Skills!I8,MAX(0,MAX(0,Inputs!$B$43-B1183)-((R1154-1)*(IF(Inputs!$B$38="pvp",15,MAX(0.1,Skills!D8-IF(Skills!E8=TRUE,Inputs!$B$32,0)))*(1-IF(AND(ArtifactsInput!$M$27,Inputs!$B$4="Chapter Hunt"),CHOOSE(ArtifactsInput!$N$27+1,20,24,28,32,36,40),0)/100)))))/Skills!H8,1)))/Inputs!$B$43),G1154*Q1154))*IF(Inputs!$B$38="pvp",1,(1+(Inputs!$B$21+Skills!Q8+(IF(ArtifactsInput!$M$33,CHOOSE(ArtifactsInput!$N$33+1,30,36,42,48,54,60)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5">
      <c r="A1155">
        <f>Skills!A9</f>
        <v/>
      </c>
      <c r="B1155">
        <f>Skills!B9</f>
        <v/>
      </c>
      <c r="C1155">
        <f>Inputs!$B$3&gt;=103</f>
        <v/>
      </c>
      <c r="D1155">
        <f>IF(Skills!C9=1,60+Inputs!$B$25+Inputs!$B$29,IF(Skills!C9=2,90+Inputs!$B$26+Inputs!$B$29,IF(Skills!C9=3,120+Inputs!$B$27+Inputs!$B$29,MAX(0,(Inputs!$B$3-100)*3)+Inputs!$B$28+Inputs!$B$29)))</f>
        <v/>
      </c>
      <c r="E1155">
        <f>INDEX(FactorTable!$B$2:$Y$301, MATCH(ROUND(MIN(300,MAX(1,D1155)),0), FactorTable!$A$2:$A$301,0), Skills!M9+1)</f>
        <v/>
      </c>
      <c r="F1155">
        <f>IF(Skills!N9=TRUE,(Skills!L9/10)*(E1155/1000),Skills!L9/10)+Skills!O9</f>
        <v/>
      </c>
      <c r="G1155">
        <f>Skills!G9*IF(Skills!H9&gt;0,Skills!I9/Skills!H9,1)</f>
        <v/>
      </c>
      <c r="H1155">
        <f>1-(1-Skills!J9/100)^Skills!K9</f>
        <v/>
      </c>
      <c r="I1155" t="inlineStr">
        <is>
          <t>1</t>
        </is>
      </c>
      <c r="J1155">
        <f>((Inputs!$B$6*(1+Inputs!$B$7/100))+(((Inputs!$B$12*(1+Inputs!$B$13/100))-(Inputs!$B$12*(1+Inputs!$B$13/100)))+0.25*(Inputs!$B$14-Inputs!$B$14))*(1+Inputs!$B$7/100))*(F1155/100)</f>
        <v/>
      </c>
      <c r="K1155">
        <f>J1155*(1+((Inputs!$B$12*(1+Inputs!$B$13/100))*0.01+Inputs!$B$14*0.0025)/100)*(1+Inputs!$B$15/100)*(1+Inputs!$B$16/100)*(5000/(6000+Inputs!$B$42*(1-(100*(1-(1-(Inputs!$B$19+0)/100)*(1-CHOOSE(ArtifactsInput!$N$40+1,5,6,7,8,9,10)/100)^(ArtifactsInput!$M$40-ArtifactsInput!$M$40)))/100)))*(1+(Inputs!$B$24+((C1172=TRUE)*(F1172-Calc!F26))+B1182)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1169=TRUE)*(F1169-Calc!F23))+((C1173=TRUE)*(F1173-Calc!F27))+(((IF(AND(ArtifactsInput!$M$42,((Inputs!$B$9+((C1165=TRUE)*(F1165-Calc!F19))+B1176+(ArtifactsInput!$M$24-ArtifactsInput!$M$24)*CHOOSE(ArtifactsInput!$N$24+1,10,12,14,16,18,20)+IF(ArtifactsInput!$M$10,CHOOSE(ArtifactsInput!$N$10+1,15,18,21,24,27,30)*(IF(Inputs!$B$38="pvp",MIN(15,15)/15,IF(AND(Inputs!$B$38&lt;&gt;"pvp",Inputs!$B$43&gt;0),MIN(15,Inputs!$B$43)/(Inputs!$B$43),0))),0)))&gt;=100),MIN(100,((Inputs!$B$9+((C1165=TRUE)*(F1165-Calc!F19))+B1176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1165=TRUE)*(F1165-Calc!F19))+B1176+(ArtifactsInput!$M$24-ArtifactsInput!$M$24)*CHOOSE(ArtifactsInput!$N$24+1,10,12,14,16,18,20)+IF(ArtifactsInput!$M$10,CHOOSE(ArtifactsInput!$N$10+1,15,18,21,24,27,30)*(IF(Inputs!$B$38="pvp",MIN(15,15)/15,IF(AND(Inputs!$B$38&lt;&gt;"pvp",Inputs!$B$43&gt;0),MIN(15,Inputs!$B$43)/(Inputs!$B$43),0))),0)))&gt;=100),CHOOSE(ArtifactsInput!$N$42+1,40,48,56,64,72,80),0))))/100)*((1+(((C1163=TRUE)*F1163)+((C1170=TRUE)*(F1170-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1155)</f>
        <v/>
      </c>
      <c r="L1155">
        <f>K1155*(MIN(Inputs!$B$22+((C1168=TRUE)*(F1168-Calc!F22)),(Inputs!$B$23+0+(IF(ArtifactsInput!$M$15,CHOOSE(ArtifactsInput!$N$15+1,25,30,35,40,45,50)/100*(Inputs!$B$11-Inputs!$B$11),0))))/100+(Inputs!$B$23+0+(IF(ArtifactsInput!$M$15,CHOOSE(ArtifactsInput!$N$15+1,25,30,35,40,45,50)/100*(Inputs!$B$11-Inputs!$B$11),0)))/100)/2</f>
        <v/>
      </c>
      <c r="M1155">
        <f>L1155*(1+(Inputs!$B$10+((C1171=TRUE)*(F1171-Calc!F25))+B1181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5">
        <f>L1155*(1-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1155*(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5">
        <f>(1-Summary!$B$11)*T1155+Summary!$B$11*V1155</f>
        <v/>
      </c>
      <c r="P1155">
        <f>IF(B1186=0,0,O1155/B1186)</f>
        <v/>
      </c>
      <c r="Q1155">
        <f>IFERROR(1/(IF(Inputs!$B$38="pvp",15,MAX(0.1,Skills!D9-IF(Skills!E9=TRUE,Inputs!$B$32,0)))*(1-IF(AND(ArtifactsInput!$M$27,Inputs!$B$4="Chapter Hunt"),CHOOSE(ArtifactsInput!$N$27+1,20,24,28,32,36,40),0)/100)),0)</f>
        <v/>
      </c>
      <c r="R1155">
        <f>IF(AND(Inputs!$B$38&lt;&gt;"pvp",Inputs!$B$43&gt;0),IF(MAX(0,Inputs!$B$43-B1183)&lt;=0,0,(INT(MAX(0,Inputs!$B$43-B1183)/(IF(Inputs!$B$38="pvp",15,MAX(0.1,Skills!D9-IF(Skills!E9=TRUE,Inputs!$B$32,0)))*(1-IF(AND(ArtifactsInput!$M$27,Inputs!$B$4="Chapter Hunt"),CHOOSE(ArtifactsInput!$N$27+1,20,24,28,32,36,40),0)/100)))+1)),0)</f>
        <v/>
      </c>
      <c r="S1155">
        <f>IFERROR(O1155/N1155,0)</f>
        <v/>
      </c>
      <c r="T1155">
        <f>IF(C1155,(H1155*N1155*IF(AND(Inputs!$B$38&lt;&gt;"pvp",Inputs!$B$43&gt;0),((Skills!G9*((R1155-1)*IF(Skills!H9&gt;0,Skills!I9/Skills!H9,1)+IF(Skills!H9&gt;0,MIN(Skills!I9,MAX(0,MAX(0,Inputs!$B$43-B1183)-((R1155-1)*(IF(Inputs!$B$38="pvp",15,MAX(0.1,Skills!D9-IF(Skills!E9=TRUE,Inputs!$B$32,0)))*(1-IF(AND(ArtifactsInput!$M$27,Inputs!$B$4="Chapter Hunt"),CHOOSE(ArtifactsInput!$N$27+1,20,24,28,32,36,40),0)/100)))))/Skills!H9,1)))/Inputs!$B$43),G1155*Q1155)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1155*(1-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1155*(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1155*(1-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1155*(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5">
        <f>IF(C1155,(H1155*N1155*IF(AND(Inputs!$B$38&lt;&gt;"pvp",Inputs!$B$43&gt;0),((Skills!G9*((R1155-1)*IF(Skills!H9&gt;0,Skills!I9/Skills!H9,1)+IF(Skills!H9&gt;0,MIN(Skills!I9,MAX(0,MAX(0,Inputs!$B$43-B1183)-((R1155-1)*(IF(Inputs!$B$38="pvp",15,MAX(0.1,Skills!D9-IF(Skills!E9=TRUE,Inputs!$B$32,0)))*(1-IF(AND(ArtifactsInput!$M$27,Inputs!$B$4="Chapter Hunt"),CHOOSE(ArtifactsInput!$N$27+1,20,24,28,32,36,40),0)/100)))))/Skills!H9,1)))/Inputs!$B$43),G1155*Q1155))*IF(Inputs!$B$38="pvp",1,(1+(Inputs!$B$21+Skills!Q9+(IF(ArtifactsInput!$M$33,CHOOSE(ArtifactsInput!$N$33+1,30,36,42,48,54,60)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6">
      <c r="A1156">
        <f>Skills!A10</f>
        <v/>
      </c>
      <c r="B1156">
        <f>Skills!B10</f>
        <v/>
      </c>
      <c r="C1156">
        <f>Inputs!$B$3&gt;=113</f>
        <v/>
      </c>
      <c r="D1156">
        <f>IF(Skills!C10=1,60+Inputs!$B$25+Inputs!$B$29,IF(Skills!C10=2,90+Inputs!$B$26+Inputs!$B$29,IF(Skills!C10=3,120+Inputs!$B$27+Inputs!$B$29,MAX(0,(Inputs!$B$3-100)*3)+Inputs!$B$28+Inputs!$B$29)))</f>
        <v/>
      </c>
      <c r="E1156">
        <f>INDEX(FactorTable!$B$2:$Y$301, MATCH(ROUND(MIN(300,MAX(1,D1156)),0), FactorTable!$A$2:$A$301,0), Skills!M10+1)</f>
        <v/>
      </c>
      <c r="F1156">
        <f>IF(Skills!N10=TRUE,(Skills!L10/10)*(E1156/1000),Skills!L10/10)+Skills!O10</f>
        <v/>
      </c>
      <c r="G1156">
        <f>Skills!G10*IF(Skills!H10&gt;0,Skills!I10/Skills!H10,1)</f>
        <v/>
      </c>
      <c r="H1156">
        <f>1-(1-Skills!J10/100)^Skills!K10</f>
        <v/>
      </c>
      <c r="I1156" t="inlineStr">
        <is>
          <t>1</t>
        </is>
      </c>
      <c r="J1156">
        <f>((Inputs!$B$6*(1+Inputs!$B$7/100))+(((Inputs!$B$12*(1+Inputs!$B$13/100))-(Inputs!$B$12*(1+Inputs!$B$13/100)))+0.25*(Inputs!$B$14-Inputs!$B$14))*(1+Inputs!$B$7/100))*(F1156/100)</f>
        <v/>
      </c>
      <c r="K1156">
        <f>J1156*(1+((Inputs!$B$12*(1+Inputs!$B$13/100))*0.01+Inputs!$B$14*0.0025)/100)*(1+Inputs!$B$15/100)*(1+Inputs!$B$16/100)*(5000/(6000+Inputs!$B$42*(1-(100*(1-(1-(Inputs!$B$19+0)/100)*(1-CHOOSE(ArtifactsInput!$N$40+1,5,6,7,8,9,10)/100)^(ArtifactsInput!$M$40-ArtifactsInput!$M$40)))/100)))*(1+(Inputs!$B$24+((C1172=TRUE)*(F1172-Calc!F26))+B1182)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1169=TRUE)*(F1169-Calc!F23))+((C1173=TRUE)*(F1173-Calc!F27))+(((IF(AND(ArtifactsInput!$M$42,((Inputs!$B$9+((C1165=TRUE)*(F1165-Calc!F19))+B1176+(ArtifactsInput!$M$24-ArtifactsInput!$M$24)*CHOOSE(ArtifactsInput!$N$24+1,10,12,14,16,18,20)+IF(ArtifactsInput!$M$10,CHOOSE(ArtifactsInput!$N$10+1,15,18,21,24,27,30)*(IF(Inputs!$B$38="pvp",MIN(15,15)/15,IF(AND(Inputs!$B$38&lt;&gt;"pvp",Inputs!$B$43&gt;0),MIN(15,Inputs!$B$43)/(Inputs!$B$43),0))),0)))&gt;=100),MIN(100,((Inputs!$B$9+((C1165=TRUE)*(F1165-Calc!F19))+B1176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1165=TRUE)*(F1165-Calc!F19))+B1176+(ArtifactsInput!$M$24-ArtifactsInput!$M$24)*CHOOSE(ArtifactsInput!$N$24+1,10,12,14,16,18,20)+IF(ArtifactsInput!$M$10,CHOOSE(ArtifactsInput!$N$10+1,15,18,21,24,27,30)*(IF(Inputs!$B$38="pvp",MIN(15,15)/15,IF(AND(Inputs!$B$38&lt;&gt;"pvp",Inputs!$B$43&gt;0),MIN(15,Inputs!$B$43)/(Inputs!$B$43),0))),0)))&gt;=100),CHOOSE(ArtifactsInput!$N$42+1,40,48,56,64,72,80),0))))/100)*((1+(((C1163=TRUE)*F1163)+((C1170=TRUE)*(F1170-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1156)</f>
        <v/>
      </c>
      <c r="L1156">
        <f>K1156*(MIN(Inputs!$B$22+((C1168=TRUE)*(F1168-Calc!F22)),(Inputs!$B$23+0+(IF(ArtifactsInput!$M$15,CHOOSE(ArtifactsInput!$N$15+1,25,30,35,40,45,50)/100*(Inputs!$B$11-Inputs!$B$11),0))))/100+(Inputs!$B$23+0+(IF(ArtifactsInput!$M$15,CHOOSE(ArtifactsInput!$N$15+1,25,30,35,40,45,50)/100*(Inputs!$B$11-Inputs!$B$11),0)))/100)/2</f>
        <v/>
      </c>
      <c r="M1156">
        <f>L1156*(1+(Inputs!$B$10+((C1171=TRUE)*(F1171-Calc!F25))+B1181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6">
        <f>L1156*(1-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1156*(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6">
        <f>(1-Summary!$B$11)*T1156+Summary!$B$11*V1156</f>
        <v/>
      </c>
      <c r="P1156">
        <f>IF(B1186=0,0,O1156/B1186)</f>
        <v/>
      </c>
      <c r="Q1156">
        <f>IFERROR(1/(IF(Inputs!$B$38="pvp",15,MAX(0.1,Skills!D10-IF(Skills!E10=TRUE,Inputs!$B$32,0)))*(1-IF(AND(ArtifactsInput!$M$27,Inputs!$B$4="Chapter Hunt"),CHOOSE(ArtifactsInput!$N$27+1,20,24,28,32,36,40),0)/100)),0)</f>
        <v/>
      </c>
      <c r="R1156">
        <f>IF(AND(Inputs!$B$38&lt;&gt;"pvp",Inputs!$B$43&gt;0),IF(MAX(0,Inputs!$B$43-B1183)&lt;=0,0,(INT(MAX(0,Inputs!$B$43-B1183)/(IF(Inputs!$B$38="pvp",15,MAX(0.1,Skills!D10-IF(Skills!E10=TRUE,Inputs!$B$32,0)))*(1-IF(AND(ArtifactsInput!$M$27,Inputs!$B$4="Chapter Hunt"),CHOOSE(ArtifactsInput!$N$27+1,20,24,28,32,36,40),0)/100)))+1)),0)</f>
        <v/>
      </c>
      <c r="S1156">
        <f>IFERROR(O1156/N1156,0)</f>
        <v/>
      </c>
      <c r="T1156">
        <f>IF(C1156,(H1156*N1156*IF(AND(Inputs!$B$38&lt;&gt;"pvp",Inputs!$B$43&gt;0),((Skills!G10*((R1156-1)*IF(Skills!H10&gt;0,Skills!I10/Skills!H10,1)+IF(Skills!H10&gt;0,MIN(Skills!I10,MAX(0,MAX(0,Inputs!$B$43-B1183)-((R1156-1)*(IF(Inputs!$B$38="pvp",15,MAX(0.1,Skills!D10-IF(Skills!E10=TRUE,Inputs!$B$32,0)))*(1-IF(AND(ArtifactsInput!$M$27,Inputs!$B$4="Chapter Hunt"),CHOOSE(ArtifactsInput!$N$27+1,20,24,28,32,36,40),0)/100)))))/Skills!H10,1)))/Inputs!$B$43),G1156*Q1156)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1156*(1-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1156*(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1156*(1-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1156*(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6">
        <f>IF(C1156,(H1156*N1156*IF(AND(Inputs!$B$38&lt;&gt;"pvp",Inputs!$B$43&gt;0),((Skills!G10*((R1156-1)*IF(Skills!H10&gt;0,Skills!I10/Skills!H10,1)+IF(Skills!H10&gt;0,MIN(Skills!I10,MAX(0,MAX(0,Inputs!$B$43-B1183)-((R1156-1)*(IF(Inputs!$B$38="pvp",15,MAX(0.1,Skills!D10-IF(Skills!E10=TRUE,Inputs!$B$32,0)))*(1-IF(AND(ArtifactsInput!$M$27,Inputs!$B$4="Chapter Hunt"),CHOOSE(ArtifactsInput!$N$27+1,20,24,28,32,36,40),0)/100)))))/Skills!H10,1)))/Inputs!$B$43),G1156*Q1156))*IF(Inputs!$B$38="pvp",1,(1+(Inputs!$B$21+Skills!Q10+(IF(ArtifactsInput!$M$33,CHOOSE(ArtifactsInput!$N$33+1,30,36,42,48,54,60)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7">
      <c r="A1157">
        <f>Skills!A11</f>
        <v/>
      </c>
      <c r="B1157">
        <f>Skills!B11</f>
        <v/>
      </c>
      <c r="C1157">
        <f>Inputs!$B$3&gt;=107</f>
        <v/>
      </c>
      <c r="D1157">
        <f>IF(Skills!C11=1,60+Inputs!$B$25+Inputs!$B$29,IF(Skills!C11=2,90+Inputs!$B$26+Inputs!$B$29,IF(Skills!C11=3,120+Inputs!$B$27+Inputs!$B$29,MAX(0,(Inputs!$B$3-100)*3)+Inputs!$B$28+Inputs!$B$29)))</f>
        <v/>
      </c>
      <c r="E1157">
        <f>INDEX(FactorTable!$B$2:$Y$301, MATCH(ROUND(MIN(300,MAX(1,D1157)),0), FactorTable!$A$2:$A$301,0), Skills!M11+1)</f>
        <v/>
      </c>
      <c r="F1157">
        <f>IF(Skills!N11=TRUE,(Skills!L11/10)*(E1157/1000),Skills!L11/10)+Skills!O11</f>
        <v/>
      </c>
      <c r="G1157">
        <f>Skills!G11*IF(Skills!H11&gt;0,Skills!I11/Skills!H11,1)</f>
        <v/>
      </c>
      <c r="H1157">
        <f>1-(1-Skills!J11/100)^Skills!K11</f>
        <v/>
      </c>
      <c r="I1157" t="inlineStr">
        <is>
          <t>1</t>
        </is>
      </c>
      <c r="J1157">
        <f>((Inputs!$B$6*(1+Inputs!$B$7/100))+(((Inputs!$B$12*(1+Inputs!$B$13/100))-(Inputs!$B$12*(1+Inputs!$B$13/100)))+0.25*(Inputs!$B$14-Inputs!$B$14))*(1+Inputs!$B$7/100))*(F1157/100)</f>
        <v/>
      </c>
      <c r="K1157">
        <f>J1157*(1+((Inputs!$B$12*(1+Inputs!$B$13/100))*0.01+Inputs!$B$14*0.0025)/100)*(1+Inputs!$B$15/100)*(1+Inputs!$B$16/100)*(5000/(6000+Inputs!$B$42*(1-(100*(1-(1-(Inputs!$B$19+0)/100)*(1-CHOOSE(ArtifactsInput!$N$40+1,5,6,7,8,9,10)/100)^(ArtifactsInput!$M$40-ArtifactsInput!$M$40)))/100)))*(1+(Inputs!$B$24+((C1172=TRUE)*(F1172-Calc!F26))+B1182)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1169=TRUE)*(F1169-Calc!F23))+((C1173=TRUE)*(F1173-Calc!F27))+(((IF(AND(ArtifactsInput!$M$42,((Inputs!$B$9+((C1165=TRUE)*(F1165-Calc!F19))+B1176+(ArtifactsInput!$M$24-ArtifactsInput!$M$24)*CHOOSE(ArtifactsInput!$N$24+1,10,12,14,16,18,20)+IF(ArtifactsInput!$M$10,CHOOSE(ArtifactsInput!$N$10+1,15,18,21,24,27,30)*(IF(Inputs!$B$38="pvp",MIN(15,15)/15,IF(AND(Inputs!$B$38&lt;&gt;"pvp",Inputs!$B$43&gt;0),MIN(15,Inputs!$B$43)/(Inputs!$B$43),0))),0)))&gt;=100),MIN(100,((Inputs!$B$9+((C1165=TRUE)*(F1165-Calc!F19))+B1176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1165=TRUE)*(F1165-Calc!F19))+B1176+(ArtifactsInput!$M$24-ArtifactsInput!$M$24)*CHOOSE(ArtifactsInput!$N$24+1,10,12,14,16,18,20)+IF(ArtifactsInput!$M$10,CHOOSE(ArtifactsInput!$N$10+1,15,18,21,24,27,30)*(IF(Inputs!$B$38="pvp",MIN(15,15)/15,IF(AND(Inputs!$B$38&lt;&gt;"pvp",Inputs!$B$43&gt;0),MIN(15,Inputs!$B$43)/(Inputs!$B$43),0))),0)))&gt;=100),CHOOSE(ArtifactsInput!$N$42+1,40,48,56,64,72,80),0))))/100)*((1+(((C1163=TRUE)*F1163)+((C1170=TRUE)*(F1170-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1157)</f>
        <v/>
      </c>
      <c r="L1157">
        <f>K1157*(MIN(Inputs!$B$22+((C1168=TRUE)*(F1168-Calc!F22)),(Inputs!$B$23+0+(IF(ArtifactsInput!$M$15,CHOOSE(ArtifactsInput!$N$15+1,25,30,35,40,45,50)/100*(Inputs!$B$11-Inputs!$B$11),0))))/100+(Inputs!$B$23+0+(IF(ArtifactsInput!$M$15,CHOOSE(ArtifactsInput!$N$15+1,25,30,35,40,45,50)/100*(Inputs!$B$11-Inputs!$B$11),0)))/100)/2</f>
        <v/>
      </c>
      <c r="M1157">
        <f>L1157*(1+(Inputs!$B$10+((C1171=TRUE)*(F1171-Calc!F25))+B1181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7">
        <f>L1157*(1-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1157*(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7">
        <f>(1-Summary!$B$11)*T1157+Summary!$B$11*V1157</f>
        <v/>
      </c>
      <c r="P1157">
        <f>IF(B1186=0,0,O1157/B1186)</f>
        <v/>
      </c>
      <c r="Q1157">
        <f>IFERROR(1/(IF(Inputs!$B$38="pvp",15,MAX(0.1,Skills!D11-IF(Skills!E11=TRUE,Inputs!$B$32,0)))*(1-IF(AND(ArtifactsInput!$M$27,Inputs!$B$4="Chapter Hunt"),CHOOSE(ArtifactsInput!$N$27+1,20,24,28,32,36,40),0)/100)),0)</f>
        <v/>
      </c>
      <c r="R1157">
        <f>IF(AND(Inputs!$B$38&lt;&gt;"pvp",Inputs!$B$43&gt;0),IF(MAX(0,Inputs!$B$43-B1183)&lt;=0,0,(INT(MAX(0,Inputs!$B$43-B1183)/(IF(Inputs!$B$38="pvp",15,MAX(0.1,Skills!D11-IF(Skills!E11=TRUE,Inputs!$B$32,0)))*(1-IF(AND(ArtifactsInput!$M$27,Inputs!$B$4="Chapter Hunt"),CHOOSE(ArtifactsInput!$N$27+1,20,24,28,32,36,40),0)/100)))+1)),0)</f>
        <v/>
      </c>
      <c r="S1157">
        <f>IFERROR(O1157/N1157,0)</f>
        <v/>
      </c>
      <c r="T1157">
        <f>IF(C1157,(H1157*N1157*IF(AND(Inputs!$B$38&lt;&gt;"pvp",Inputs!$B$43&gt;0),((Skills!G11*((R1157-1)*IF(Skills!H11&gt;0,Skills!I11/Skills!H11,1)+IF(Skills!H11&gt;0,MIN(Skills!I11,MAX(0,MAX(0,Inputs!$B$43-B1183)-((R1157-1)*(IF(Inputs!$B$38="pvp",15,MAX(0.1,Skills!D11-IF(Skills!E11=TRUE,Inputs!$B$32,0)))*(1-IF(AND(ArtifactsInput!$M$27,Inputs!$B$4="Chapter Hunt"),CHOOSE(ArtifactsInput!$N$27+1,20,24,28,32,36,40),0)/100)))))/Skills!H11,1)))/Inputs!$B$43),G1157*Q1157)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1157*(1-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1157*(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1157*(1-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1157*(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7">
        <f>IF(C1157,(H1157*N1157*IF(AND(Inputs!$B$38&lt;&gt;"pvp",Inputs!$B$43&gt;0),((Skills!G11*((R1157-1)*IF(Skills!H11&gt;0,Skills!I11/Skills!H11,1)+IF(Skills!H11&gt;0,MIN(Skills!I11,MAX(0,MAX(0,Inputs!$B$43-B1183)-((R1157-1)*(IF(Inputs!$B$38="pvp",15,MAX(0.1,Skills!D11-IF(Skills!E11=TRUE,Inputs!$B$32,0)))*(1-IF(AND(ArtifactsInput!$M$27,Inputs!$B$4="Chapter Hunt"),CHOOSE(ArtifactsInput!$N$27+1,20,24,28,32,36,40),0)/100)))))/Skills!H11,1)))/Inputs!$B$43),G1157*Q1157))*IF(Inputs!$B$38="pvp",1,(1+(Inputs!$B$21+Skills!Q11+(IF(ArtifactsInput!$M$33,CHOOSE(ArtifactsInput!$N$33+1,30,36,42,48,54,60)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8">
      <c r="A1158">
        <f>Skills!A12</f>
        <v/>
      </c>
      <c r="B1158">
        <f>Skills!B12</f>
        <v/>
      </c>
      <c r="C1158">
        <f>Inputs!$B$3&gt;=110</f>
        <v/>
      </c>
      <c r="D1158">
        <f>IF(Skills!C12=1,60+Inputs!$B$25+Inputs!$B$29,IF(Skills!C12=2,90+Inputs!$B$26+Inputs!$B$29,IF(Skills!C12=3,120+Inputs!$B$27+Inputs!$B$29,MAX(0,(Inputs!$B$3-100)*3)+Inputs!$B$28+Inputs!$B$29)))</f>
        <v/>
      </c>
      <c r="E1158">
        <f>INDEX(FactorTable!$B$2:$Y$301, MATCH(ROUND(MIN(300,MAX(1,D1158)),0), FactorTable!$A$2:$A$301,0), Skills!M12+1)</f>
        <v/>
      </c>
      <c r="F1158">
        <f>IF(Skills!N12=TRUE,(Skills!L12/10)*(E1158/1000),Skills!L12/10)+Skills!O12</f>
        <v/>
      </c>
      <c r="G1158">
        <f>Skills!G12*IF(Skills!H12&gt;0,Skills!I12/Skills!H12,1)</f>
        <v/>
      </c>
      <c r="H1158">
        <f>1-(1-Skills!J12/100)^Skills!K12</f>
        <v/>
      </c>
      <c r="I1158" t="inlineStr">
        <is>
          <t>1</t>
        </is>
      </c>
      <c r="J1158">
        <f>((Inputs!$B$6*(1+Inputs!$B$7/100))+(((Inputs!$B$12*(1+Inputs!$B$13/100))-(Inputs!$B$12*(1+Inputs!$B$13/100)))+0.25*(Inputs!$B$14-Inputs!$B$14))*(1+Inputs!$B$7/100))*(F1158/100)</f>
        <v/>
      </c>
      <c r="K1158">
        <f>J1158*(1+((Inputs!$B$12*(1+Inputs!$B$13/100))*0.01+Inputs!$B$14*0.0025)/100)*(1+Inputs!$B$15/100)*(1+Inputs!$B$16/100)*(5000/(6000+Inputs!$B$42*(1-(100*(1-(1-(Inputs!$B$19+0)/100)*(1-CHOOSE(ArtifactsInput!$N$40+1,5,6,7,8,9,10)/100)^(ArtifactsInput!$M$40-ArtifactsInput!$M$40)))/100)))*(1+(Inputs!$B$24+((C1172=TRUE)*(F1172-Calc!F26))+B1182)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1169=TRUE)*(F1169-Calc!F23))+((C1173=TRUE)*(F1173-Calc!F27))+(((IF(AND(ArtifactsInput!$M$42,((Inputs!$B$9+((C1165=TRUE)*(F1165-Calc!F19))+B1176+(ArtifactsInput!$M$24-ArtifactsInput!$M$24)*CHOOSE(ArtifactsInput!$N$24+1,10,12,14,16,18,20)+IF(ArtifactsInput!$M$10,CHOOSE(ArtifactsInput!$N$10+1,15,18,21,24,27,30)*(IF(Inputs!$B$38="pvp",MIN(15,15)/15,IF(AND(Inputs!$B$38&lt;&gt;"pvp",Inputs!$B$43&gt;0),MIN(15,Inputs!$B$43)/(Inputs!$B$43),0))),0)))&gt;=100),MIN(100,((Inputs!$B$9+((C1165=TRUE)*(F1165-Calc!F19))+B1176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1165=TRUE)*(F1165-Calc!F19))+B1176+(ArtifactsInput!$M$24-ArtifactsInput!$M$24)*CHOOSE(ArtifactsInput!$N$24+1,10,12,14,16,18,20)+IF(ArtifactsInput!$M$10,CHOOSE(ArtifactsInput!$N$10+1,15,18,21,24,27,30)*(IF(Inputs!$B$38="pvp",MIN(15,15)/15,IF(AND(Inputs!$B$38&lt;&gt;"pvp",Inputs!$B$43&gt;0),MIN(15,Inputs!$B$43)/(Inputs!$B$43),0))),0)))&gt;=100),CHOOSE(ArtifactsInput!$N$42+1,40,48,56,64,72,80),0))))/100)*((1+(((C1163=TRUE)*F1163)+((C1170=TRUE)*(F1170-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1158)</f>
        <v/>
      </c>
      <c r="L1158">
        <f>K1158*(MIN(Inputs!$B$22+((C1168=TRUE)*(F1168-Calc!F22)),(Inputs!$B$23+0+(IF(ArtifactsInput!$M$15,CHOOSE(ArtifactsInput!$N$15+1,25,30,35,40,45,50)/100*(Inputs!$B$11-Inputs!$B$11),0))))/100+(Inputs!$B$23+0+(IF(ArtifactsInput!$M$15,CHOOSE(ArtifactsInput!$N$15+1,25,30,35,40,45,50)/100*(Inputs!$B$11-Inputs!$B$11),0)))/100)/2</f>
        <v/>
      </c>
      <c r="M1158">
        <f>L1158*(1+(Inputs!$B$10+((C1171=TRUE)*(F1171-Calc!F25))+B1181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8">
        <f>L1158*(1-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1158*(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8">
        <f>(1-Summary!$B$11)*T1158+Summary!$B$11*V1158</f>
        <v/>
      </c>
      <c r="P1158">
        <f>IF(B1186=0,0,O1158/B1186)</f>
        <v/>
      </c>
      <c r="Q1158">
        <f>IFERROR(1/(IF(Inputs!$B$38="pvp",15,MAX(0.1,Skills!D12-IF(Skills!E12=TRUE,Inputs!$B$32,0)))*(1-IF(AND(ArtifactsInput!$M$27,Inputs!$B$4="Chapter Hunt"),CHOOSE(ArtifactsInput!$N$27+1,20,24,28,32,36,40),0)/100)),0)</f>
        <v/>
      </c>
      <c r="R1158">
        <f>IF(AND(Inputs!$B$38&lt;&gt;"pvp",Inputs!$B$43&gt;0),IF(MAX(0,Inputs!$B$43-B1183)&lt;=0,0,(INT(MAX(0,Inputs!$B$43-B1183)/(IF(Inputs!$B$38="pvp",15,MAX(0.1,Skills!D12-IF(Skills!E12=TRUE,Inputs!$B$32,0)))*(1-IF(AND(ArtifactsInput!$M$27,Inputs!$B$4="Chapter Hunt"),CHOOSE(ArtifactsInput!$N$27+1,20,24,28,32,36,40),0)/100)))+1)),0)</f>
        <v/>
      </c>
      <c r="S1158">
        <f>IFERROR(O1158/N1158,0)</f>
        <v/>
      </c>
      <c r="T1158">
        <f>IF(C1158,(H1158*N1158*IF(AND(Inputs!$B$38&lt;&gt;"pvp",Inputs!$B$43&gt;0),((Skills!G12*((R1158-1)*IF(Skills!H12&gt;0,Skills!I12/Skills!H12,1)+IF(Skills!H12&gt;0,MIN(Skills!I12,MAX(0,MAX(0,Inputs!$B$43-B1183)-((R1158-1)*(IF(Inputs!$B$38="pvp",15,MAX(0.1,Skills!D12-IF(Skills!E12=TRUE,Inputs!$B$32,0)))*(1-IF(AND(ArtifactsInput!$M$27,Inputs!$B$4="Chapter Hunt"),CHOOSE(ArtifactsInput!$N$27+1,20,24,28,32,36,40),0)/100)))))/Skills!H12,1)))/Inputs!$B$43),G1158*Q1158))*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1158*(1-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1158*(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1158*(1-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1158*(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8">
        <f>IF(C1158,(H1158*N1158*IF(AND(Inputs!$B$38&lt;&gt;"pvp",Inputs!$B$43&gt;0),((Skills!G12*((R1158-1)*IF(Skills!H12&gt;0,Skills!I12/Skills!H12,1)+IF(Skills!H12&gt;0,MIN(Skills!I12,MAX(0,MAX(0,Inputs!$B$43-B1183)-((R1158-1)*(IF(Inputs!$B$38="pvp",15,MAX(0.1,Skills!D12-IF(Skills!E12=TRUE,Inputs!$B$32,0)))*(1-IF(AND(ArtifactsInput!$M$27,Inputs!$B$4="Chapter Hunt"),CHOOSE(ArtifactsInput!$N$27+1,20,24,28,32,36,40),0)/100)))))/Skills!H12,1)))/Inputs!$B$43),G1158*Q1158))*IF(Inputs!$B$38="pvp",1,(1+(Inputs!$B$21+Skills!Q12+(IF(ArtifactsInput!$M$33,CHOOSE(ArtifactsInput!$N$33+1,30,36,42,48,54,60)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9">
      <c r="A1159">
        <f>Skills!A13</f>
        <v/>
      </c>
      <c r="B1159">
        <f>Skills!B13</f>
        <v/>
      </c>
      <c r="C1159">
        <f>Inputs!$B$3&gt;=110</f>
        <v/>
      </c>
      <c r="D1159">
        <f>IF(Skills!C13=1,60+Inputs!$B$25+Inputs!$B$29,IF(Skills!C13=2,90+Inputs!$B$26+Inputs!$B$29,IF(Skills!C13=3,120+Inputs!$B$27+Inputs!$B$29,MAX(0,(Inputs!$B$3-100)*3)+Inputs!$B$28+Inputs!$B$29)))</f>
        <v/>
      </c>
      <c r="E1159">
        <f>INDEX(FactorTable!$B$2:$Y$301, MATCH(ROUND(MIN(300,MAX(1,D1159)),0), FactorTable!$A$2:$A$301,0), Skills!M13+1)</f>
        <v/>
      </c>
      <c r="F1159">
        <f>IF(Skills!N13=TRUE,(Skills!L13/10)*(E1159/1000),Skills!L13/10)+Skills!O13</f>
        <v/>
      </c>
      <c r="G1159">
        <f>Skills!G13*IF(Skills!H13&gt;0,Skills!I13/Skills!H13,1)</f>
        <v/>
      </c>
      <c r="H1159">
        <f>1-(1-Skills!J13/100)^Skills!K13</f>
        <v/>
      </c>
      <c r="I1159" t="inlineStr">
        <is>
          <t>1</t>
        </is>
      </c>
      <c r="J1159">
        <f>((Inputs!$B$6*(1+Inputs!$B$7/100))+(((Inputs!$B$12*(1+Inputs!$B$13/100))-(Inputs!$B$12*(1+Inputs!$B$13/100)))+0.25*(Inputs!$B$14-Inputs!$B$14))*(1+Inputs!$B$7/100))*(F1159/100)</f>
        <v/>
      </c>
      <c r="K1159">
        <f>J1159*(1+((Inputs!$B$12*(1+Inputs!$B$13/100))*0.01+Inputs!$B$14*0.0025)/100)*(1+Inputs!$B$15/100)*(1+Inputs!$B$16/100)*(5000/(6000+Inputs!$B$42*(1-(100*(1-(1-(Inputs!$B$19+0)/100)*(1-CHOOSE(ArtifactsInput!$N$40+1,5,6,7,8,9,10)/100)^(ArtifactsInput!$M$40-ArtifactsInput!$M$40)))/100)))*(1+(Inputs!$B$24+((C1172=TRUE)*(F1172-Calc!F26))+B1182)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1169=TRUE)*(F1169-Calc!F23))+((C1173=TRUE)*(F1173-Calc!F27))+(((IF(AND(ArtifactsInput!$M$42,((Inputs!$B$9+((C1165=TRUE)*(F1165-Calc!F19))+B1176+(ArtifactsInput!$M$24-ArtifactsInput!$M$24)*CHOOSE(ArtifactsInput!$N$24+1,10,12,14,16,18,20)+IF(ArtifactsInput!$M$10,CHOOSE(ArtifactsInput!$N$10+1,15,18,21,24,27,30)*(IF(Inputs!$B$38="pvp",MIN(15,15)/15,IF(AND(Inputs!$B$38&lt;&gt;"pvp",Inputs!$B$43&gt;0),MIN(15,Inputs!$B$43)/(Inputs!$B$43),0))),0)))&gt;=100),MIN(100,((Inputs!$B$9+((C1165=TRUE)*(F1165-Calc!F19))+B1176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1165=TRUE)*(F1165-Calc!F19))+B1176+(ArtifactsInput!$M$24-ArtifactsInput!$M$24)*CHOOSE(ArtifactsInput!$N$24+1,10,12,14,16,18,20)+IF(ArtifactsInput!$M$10,CHOOSE(ArtifactsInput!$N$10+1,15,18,21,24,27,30)*(IF(Inputs!$B$38="pvp",MIN(15,15)/15,IF(AND(Inputs!$B$38&lt;&gt;"pvp",Inputs!$B$43&gt;0),MIN(15,Inputs!$B$43)/(Inputs!$B$43),0))),0)))&gt;=100),CHOOSE(ArtifactsInput!$N$42+1,40,48,56,64,72,80),0))))/100)*((1+(((C1163=TRUE)*F1163)+((C1170=TRUE)*(F1170-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1159)</f>
        <v/>
      </c>
      <c r="L1159">
        <f>K1159*(MIN(Inputs!$B$22+((C1168=TRUE)*(F1168-Calc!F22)),(Inputs!$B$23+0+(IF(ArtifactsInput!$M$15,CHOOSE(ArtifactsInput!$N$15+1,25,30,35,40,45,50)/100*(Inputs!$B$11-Inputs!$B$11),0))))/100+(Inputs!$B$23+0+(IF(ArtifactsInput!$M$15,CHOOSE(ArtifactsInput!$N$15+1,25,30,35,40,45,50)/100*(Inputs!$B$11-Inputs!$B$11),0)))/100)/2</f>
        <v/>
      </c>
      <c r="M1159">
        <f>L1159*(1+(Inputs!$B$10+((C1171=TRUE)*(F1171-Calc!F25))+B1181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9">
        <f>L1159*(1-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1159*(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9">
        <f>(1-Summary!$B$11)*T1159+Summary!$B$11*V1159</f>
        <v/>
      </c>
      <c r="P1159">
        <f>IF(B1186=0,0,O1159/B1186)</f>
        <v/>
      </c>
      <c r="Q1159">
        <f>IFERROR(1/(IF(Inputs!$B$38="pvp",15,MAX(0.1,Skills!D13-IF(Skills!E13=TRUE,Inputs!$B$32,0)))*(1-IF(AND(ArtifactsInput!$M$27,Inputs!$B$4="Chapter Hunt"),CHOOSE(ArtifactsInput!$N$27+1,20,24,28,32,36,40),0)/100)),0)</f>
        <v/>
      </c>
      <c r="R1159">
        <f>IF(AND(Inputs!$B$38&lt;&gt;"pvp",Inputs!$B$43&gt;0),IF(MAX(0,Inputs!$B$43-B1183)&lt;=0,0,(INT(MAX(0,Inputs!$B$43-B1183)/(IF(Inputs!$B$38="pvp",15,MAX(0.1,Skills!D13-IF(Skills!E13=TRUE,Inputs!$B$32,0)))*(1-IF(AND(ArtifactsInput!$M$27,Inputs!$B$4="Chapter Hunt"),CHOOSE(ArtifactsInput!$N$27+1,20,24,28,32,36,40),0)/100)))+1)),0)</f>
        <v/>
      </c>
      <c r="S1159">
        <f>IFERROR(O1159/N1159,0)</f>
        <v/>
      </c>
      <c r="T1159">
        <f>IF(C1159,(H1159*N1159*IF(AND(Inputs!$B$38&lt;&gt;"pvp",Inputs!$B$43&gt;0),((Skills!G13*((R1159-1)*IF(Skills!H13&gt;0,Skills!I13/Skills!H13,1)+IF(Skills!H13&gt;0,MIN(Skills!I13,MAX(0,MAX(0,Inputs!$B$43-B1183)-((R1159-1)*(IF(Inputs!$B$38="pvp",15,MAX(0.1,Skills!D13-IF(Skills!E13=TRUE,Inputs!$B$32,0)))*(1-IF(AND(ArtifactsInput!$M$27,Inputs!$B$4="Chapter Hunt"),CHOOSE(ArtifactsInput!$N$27+1,20,24,28,32,36,40),0)/100)))))/Skills!H13,1)))/Inputs!$B$43),G1159*Q1159))*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1159*(1-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1159*(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1159*(1-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1159*(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9">
        <f>IF(C1159,(H1159*N1159*IF(AND(Inputs!$B$38&lt;&gt;"pvp",Inputs!$B$43&gt;0),((Skills!G13*((R1159-1)*IF(Skills!H13&gt;0,Skills!I13/Skills!H13,1)+IF(Skills!H13&gt;0,MIN(Skills!I13,MAX(0,MAX(0,Inputs!$B$43-B1183)-((R1159-1)*(IF(Inputs!$B$38="pvp",15,MAX(0.1,Skills!D13-IF(Skills!E13=TRUE,Inputs!$B$32,0)))*(1-IF(AND(ArtifactsInput!$M$27,Inputs!$B$4="Chapter Hunt"),CHOOSE(ArtifactsInput!$N$27+1,20,24,28,32,36,40),0)/100)))))/Skills!H13,1)))/Inputs!$B$43),G1159*Q1159))*IF(Inputs!$B$38="pvp",1,(1+(Inputs!$B$21+Skills!Q13+(IF(ArtifactsInput!$M$33,CHOOSE(ArtifactsInput!$N$33+1,30,36,42,48,54,60)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0">
      <c r="A1160">
        <f>Skills!A14</f>
        <v/>
      </c>
      <c r="B1160">
        <f>Skills!B14</f>
        <v/>
      </c>
      <c r="C1160">
        <f>Inputs!$B$3&gt;=125</f>
        <v/>
      </c>
      <c r="D1160">
        <f>IF(Skills!C14=1,60+Inputs!$B$25+Inputs!$B$29,IF(Skills!C14=2,90+Inputs!$B$26+Inputs!$B$29,IF(Skills!C14=3,120+Inputs!$B$27+Inputs!$B$29,MAX(0,(Inputs!$B$3-100)*3)+Inputs!$B$28+Inputs!$B$29)))</f>
        <v/>
      </c>
      <c r="E1160">
        <f>INDEX(FactorTable!$B$2:$Y$301, MATCH(ROUND(MIN(300,MAX(1,D1160)),0), FactorTable!$A$2:$A$301,0), Skills!M14+1)</f>
        <v/>
      </c>
      <c r="F1160">
        <f>IF(Skills!N14=TRUE,(Skills!L14/10)*(E1160/1000),Skills!L14/10)+Skills!O14</f>
        <v/>
      </c>
      <c r="G1160">
        <f>Skills!G14*IF(Skills!H14&gt;0,Skills!I14/Skills!H14,1)</f>
        <v/>
      </c>
      <c r="H1160">
        <f>1-(1-Skills!J14/100)^Skills!K14</f>
        <v/>
      </c>
      <c r="I1160" t="inlineStr">
        <is>
          <t>1</t>
        </is>
      </c>
      <c r="J1160">
        <f>((Inputs!$B$6*(1+Inputs!$B$7/100))+(((Inputs!$B$12*(1+Inputs!$B$13/100))-(Inputs!$B$12*(1+Inputs!$B$13/100)))+0.25*(Inputs!$B$14-Inputs!$B$14))*(1+Inputs!$B$7/100))*(F1160/100)</f>
        <v/>
      </c>
      <c r="K1160">
        <f>J1160*(1+((Inputs!$B$12*(1+Inputs!$B$13/100))*0.01+Inputs!$B$14*0.0025)/100)*(1+Inputs!$B$15/100)*(1+Inputs!$B$16/100)*(5000/(6000+Inputs!$B$42*(1-(100*(1-(1-(Inputs!$B$19+0)/100)*(1-CHOOSE(ArtifactsInput!$N$40+1,5,6,7,8,9,10)/100)^(ArtifactsInput!$M$40-ArtifactsInput!$M$40)))/100)))*(1+(Inputs!$B$24+((C1172=TRUE)*(F1172-Calc!F26))+B1182)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1169=TRUE)*(F1169-Calc!F23))+((C1173=TRUE)*(F1173-Calc!F27))+(((IF(AND(ArtifactsInput!$M$42,((Inputs!$B$9+((C1165=TRUE)*(F1165-Calc!F19))+B1176+(ArtifactsInput!$M$24-ArtifactsInput!$M$24)*CHOOSE(ArtifactsInput!$N$24+1,10,12,14,16,18,20)+IF(ArtifactsInput!$M$10,CHOOSE(ArtifactsInput!$N$10+1,15,18,21,24,27,30)*(IF(Inputs!$B$38="pvp",MIN(15,15)/15,IF(AND(Inputs!$B$38&lt;&gt;"pvp",Inputs!$B$43&gt;0),MIN(15,Inputs!$B$43)/(Inputs!$B$43),0))),0)))&gt;=100),MIN(100,((Inputs!$B$9+((C1165=TRUE)*(F1165-Calc!F19))+B1176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1165=TRUE)*(F1165-Calc!F19))+B1176+(ArtifactsInput!$M$24-ArtifactsInput!$M$24)*CHOOSE(ArtifactsInput!$N$24+1,10,12,14,16,18,20)+IF(ArtifactsInput!$M$10,CHOOSE(ArtifactsInput!$N$10+1,15,18,21,24,27,30)*(IF(Inputs!$B$38="pvp",MIN(15,15)/15,IF(AND(Inputs!$B$38&lt;&gt;"pvp",Inputs!$B$43&gt;0),MIN(15,Inputs!$B$43)/(Inputs!$B$43),0))),0)))&gt;=100),CHOOSE(ArtifactsInput!$N$42+1,40,48,56,64,72,80),0))))/100)*((1+(((C1163=TRUE)*F1163)+((C1170=TRUE)*(F1170-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1160)</f>
        <v/>
      </c>
      <c r="L1160">
        <f>K1160*(MIN(Inputs!$B$22+((C1168=TRUE)*(F1168-Calc!F22)),(Inputs!$B$23+0+(IF(ArtifactsInput!$M$15,CHOOSE(ArtifactsInput!$N$15+1,25,30,35,40,45,50)/100*(Inputs!$B$11-Inputs!$B$11),0))))/100+(Inputs!$B$23+0+(IF(ArtifactsInput!$M$15,CHOOSE(ArtifactsInput!$N$15+1,25,30,35,40,45,50)/100*(Inputs!$B$11-Inputs!$B$11),0)))/100)/2</f>
        <v/>
      </c>
      <c r="M1160">
        <f>L1160*(1+(Inputs!$B$10+((C1171=TRUE)*(F1171-Calc!F25))+B1181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0">
        <f>L1160*(1-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1160*(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0">
        <f>(1-Summary!$B$11)*T1160+Summary!$B$11*V1160</f>
        <v/>
      </c>
      <c r="P1160">
        <f>IF(B1186=0,0,O1160/B1186)</f>
        <v/>
      </c>
      <c r="Q1160" t="n">
        <v>0</v>
      </c>
      <c r="R1160" t="n">
        <v>0</v>
      </c>
      <c r="S1160">
        <f>IFERROR(O1160/N1160,0)</f>
        <v/>
      </c>
      <c r="T1160">
        <f>IF(C1160,(H1160*N1160*(B1180+IF(AND(Inputs!$B$38&lt;&gt;"pvp",Inputs!$B$43&gt;0),((Skills!G8*((R1154-1)*IF(Skills!H8&gt;0,Skills!I8/Skills!H8,1)+IF(Skills!H8&gt;0,MIN(Skills!I8,MAX(0,MAX(0,Inputs!$B$43-B1183)-((R1154-1)*(IF(Inputs!$B$38="pvp",15,MAX(0.1,Skills!D8-IF(Skills!E8=TRUE,Inputs!$B$32,0)))*(1-IF(AND(ArtifactsInput!$M$27,Inputs!$B$4="Chapter Hunt"),CHOOSE(ArtifactsInput!$N$27+1,20,24,28,32,36,40),0)/100)))))/Skills!H8,1)))/Inputs!$B$43),G1154*Q1154)+IF(AND(Inputs!$B$38&lt;&gt;"pvp",Inputs!$B$43&gt;0),((Skills!G11*((R1157-1)*IF(Skills!H11&gt;0,Skills!I11/Skills!H11,1)+IF(Skills!H11&gt;0,MIN(Skills!I11,MAX(0,MAX(0,Inputs!$B$43-B1183)-((R1157-1)*(IF(Inputs!$B$38="pvp",15,MAX(0.1,Skills!D11-IF(Skills!E11=TRUE,Inputs!$B$32,0)))*(1-IF(AND(ArtifactsInput!$M$27,Inputs!$B$4="Chapter Hunt"),CHOOSE(ArtifactsInput!$N$27+1,20,24,28,32,36,40),0)/100)))))/Skills!H11,1)))/Inputs!$B$43),G1157*Q1157)))*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1160*(1-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1160*(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1160*(1-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1160*(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0">
        <f>IF(C1160,(H1160*N1160*(B1180+IF(AND(Inputs!$B$38&lt;&gt;"pvp",Inputs!$B$43&gt;0),((Skills!G8*((R1154-1)*IF(Skills!H8&gt;0,Skills!I8/Skills!H8,1)+IF(Skills!H8&gt;0,MIN(Skills!I8,MAX(0,MAX(0,Inputs!$B$43-B1183)-((R1154-1)*(IF(Inputs!$B$38="pvp",15,MAX(0.1,Skills!D8-IF(Skills!E8=TRUE,Inputs!$B$32,0)))*(1-IF(AND(ArtifactsInput!$M$27,Inputs!$B$4="Chapter Hunt"),CHOOSE(ArtifactsInput!$N$27+1,20,24,28,32,36,40),0)/100)))))/Skills!H8,1)))/Inputs!$B$43),G1154*Q1154)+IF(AND(Inputs!$B$38&lt;&gt;"pvp",Inputs!$B$43&gt;0),((Skills!G11*((R1157-1)*IF(Skills!H11&gt;0,Skills!I11/Skills!H11,1)+IF(Skills!H11&gt;0,MIN(Skills!I11,MAX(0,MAX(0,Inputs!$B$43-B1183)-((R1157-1)*(IF(Inputs!$B$38="pvp",15,MAX(0.1,Skills!D11-IF(Skills!E11=TRUE,Inputs!$B$32,0)))*(1-IF(AND(ArtifactsInput!$M$27,Inputs!$B$4="Chapter Hunt"),CHOOSE(ArtifactsInput!$N$27+1,20,24,28,32,36,40),0)/100)))))/Skills!H11,1)))/Inputs!$B$43),G1157*Q1157)))*IF(Inputs!$B$38="pvp",1,(1+(Inputs!$B$21+Skills!Q14+(IF(ArtifactsInput!$M$33,CHOOSE(ArtifactsInput!$N$33+1,30,36,42,48,54,60)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1">
      <c r="A1161">
        <f>Skills!A15</f>
        <v/>
      </c>
      <c r="B1161">
        <f>Skills!B15</f>
        <v/>
      </c>
      <c r="C1161">
        <f>Inputs!$B$3&gt;=100</f>
        <v/>
      </c>
      <c r="D1161">
        <f>IF(Skills!C15=1,60+Inputs!$B$25+Inputs!$B$29,IF(Skills!C15=2,90+Inputs!$B$26+Inputs!$B$29,IF(Skills!C15=3,120+Inputs!$B$27+Inputs!$B$29,MAX(0,(Inputs!$B$3-100)*3)+Inputs!$B$28+Inputs!$B$29)))</f>
        <v/>
      </c>
      <c r="E1161">
        <f>INDEX(FactorTable!$B$2:$Y$301, MATCH(ROUND(MIN(300,MAX(1,D1161)),0), FactorTable!$A$2:$A$301,0), Skills!M15+1)</f>
        <v/>
      </c>
      <c r="F1161">
        <f>IF(Skills!N15=TRUE,(Skills!L15/10)*(E1161/1000),Skills!L15/10)+Skills!O15</f>
        <v/>
      </c>
      <c r="G1161" t="inlineStr"/>
      <c r="H1161" t="inlineStr"/>
      <c r="I1161" t="inlineStr">
        <is>
          <t>1</t>
        </is>
      </c>
      <c r="J1161" t="inlineStr"/>
      <c r="K1161" t="inlineStr"/>
      <c r="L1161" t="inlineStr"/>
      <c r="M1161" t="inlineStr"/>
      <c r="N1161" t="inlineStr"/>
      <c r="O1161" t="inlineStr"/>
      <c r="P1161" t="inlineStr"/>
      <c r="Q1161" t="inlineStr"/>
      <c r="R1161" t="inlineStr"/>
      <c r="S1161" t="inlineStr"/>
    </row>
    <row r="1162">
      <c r="A1162">
        <f>Skills!A16</f>
        <v/>
      </c>
      <c r="B1162">
        <f>Skills!B16</f>
        <v/>
      </c>
      <c r="C1162">
        <f>Inputs!$B$3&gt;=120</f>
        <v/>
      </c>
      <c r="D1162">
        <f>IF(Skills!C16=1,60+Inputs!$B$25+Inputs!$B$29,IF(Skills!C16=2,90+Inputs!$B$26+Inputs!$B$29,IF(Skills!C16=3,120+Inputs!$B$27+Inputs!$B$29,MAX(0,(Inputs!$B$3-100)*3)+Inputs!$B$28+Inputs!$B$29)))</f>
        <v/>
      </c>
      <c r="E1162">
        <f>INDEX(FactorTable!$B$2:$Y$301, MATCH(ROUND(MIN(300,MAX(1,D1162)),0), FactorTable!$A$2:$A$301,0), Skills!M16+1)</f>
        <v/>
      </c>
      <c r="F1162">
        <f>IF(Skills!N16=TRUE,(Skills!L16/10)*(E1162/1000),Skills!L16/10)+Skills!O16</f>
        <v/>
      </c>
      <c r="G1162" t="inlineStr"/>
      <c r="H1162" t="inlineStr"/>
      <c r="I1162" t="inlineStr">
        <is>
          <t>1</t>
        </is>
      </c>
      <c r="J1162" t="inlineStr"/>
      <c r="K1162" t="inlineStr"/>
      <c r="L1162" t="inlineStr"/>
      <c r="M1162" t="inlineStr"/>
      <c r="N1162" t="inlineStr"/>
      <c r="O1162" t="inlineStr"/>
      <c r="P1162" t="inlineStr"/>
      <c r="Q1162" t="inlineStr"/>
      <c r="R1162" t="inlineStr"/>
      <c r="S1162" t="inlineStr"/>
    </row>
    <row r="1163">
      <c r="A1163">
        <f>Skills!A17</f>
        <v/>
      </c>
      <c r="B1163">
        <f>Skills!B17</f>
        <v/>
      </c>
      <c r="C1163">
        <f>Inputs!$B$3&gt;=66</f>
        <v/>
      </c>
      <c r="D1163">
        <f>IF(Skills!C17=1,60+Inputs!$B$25+Inputs!$B$29,IF(Skills!C17=2,90+Inputs!$B$26+Inputs!$B$29,IF(Skills!C17=3,120+Inputs!$B$27+Inputs!$B$29,MAX(0,(Inputs!$B$3-100)*3)+Inputs!$B$28+Inputs!$B$29)))</f>
        <v/>
      </c>
      <c r="E1163">
        <f>INDEX(FactorTable!$B$2:$Y$301, MATCH(ROUND(MIN(300,MAX(1,D1163)),0), FactorTable!$A$2:$A$301,0), Skills!M17+1)</f>
        <v/>
      </c>
      <c r="F1163">
        <f>IF(Skills!N17=TRUE,(Skills!L17/10)*(E1163/1000),Skills!L17/10)+Skills!O17</f>
        <v/>
      </c>
      <c r="G1163">
        <f>Skills!G17*IF(Skills!H17&gt;0,Skills!I17/Skills!H17,1)</f>
        <v/>
      </c>
      <c r="H1163">
        <f>1-(1-Skills!J17/100)^Skills!K17</f>
        <v/>
      </c>
      <c r="I1163" t="inlineStr">
        <is>
          <t>1</t>
        </is>
      </c>
      <c r="J1163" t="inlineStr"/>
      <c r="K1163" t="inlineStr"/>
      <c r="L1163" t="inlineStr"/>
      <c r="M1163" t="inlineStr"/>
      <c r="N1163" t="inlineStr"/>
      <c r="O1163">
        <f>(1-Summary!$B$11)*T1163+Summary!$B$11*V1163</f>
        <v/>
      </c>
      <c r="P1163">
        <f>IF(B1186=0,0,O1163/B1186)</f>
        <v/>
      </c>
      <c r="Q1163" t="n">
        <v>0</v>
      </c>
      <c r="R1163" t="n">
        <v>0</v>
      </c>
      <c r="S1163">
        <f>IFERROR(O1163/N1163,0)</f>
        <v/>
      </c>
      <c r="T1163" t="n">
        <v>0</v>
      </c>
      <c r="V1163" t="n">
        <v>0</v>
      </c>
    </row>
    <row r="1164">
      <c r="A1164">
        <f>Skills!A18</f>
        <v/>
      </c>
      <c r="B1164">
        <f>Skills!B18</f>
        <v/>
      </c>
      <c r="C1164">
        <f>Inputs!$B$3&gt;=115</f>
        <v/>
      </c>
      <c r="D1164">
        <f>IF(Skills!C18=1,60+Inputs!$B$25+Inputs!$B$29,IF(Skills!C18=2,90+Inputs!$B$26+Inputs!$B$29,IF(Skills!C18=3,120+Inputs!$B$27+Inputs!$B$29,MAX(0,(Inputs!$B$3-100)*3)+Inputs!$B$28+Inputs!$B$29)))</f>
        <v/>
      </c>
      <c r="E1164">
        <f>INDEX(FactorTable!$B$2:$Y$301, MATCH(ROUND(MIN(300,MAX(1,D1164)),0), FactorTable!$A$2:$A$301,0), Skills!M18+1)</f>
        <v/>
      </c>
      <c r="F1164">
        <f>IF(Skills!N18=TRUE,(Skills!L18/10)*(E1164/1000),Skills!L18/10)+Skills!O18</f>
        <v/>
      </c>
      <c r="G1164">
        <f>Skills!G18*IF(Skills!H18&gt;0,Skills!I18/Skills!H18,1)</f>
        <v/>
      </c>
      <c r="H1164">
        <f>1-(1-Skills!J18/100)^Skills!K18</f>
        <v/>
      </c>
      <c r="I1164" t="inlineStr">
        <is>
          <t>1</t>
        </is>
      </c>
      <c r="J1164" t="inlineStr"/>
      <c r="K1164" t="inlineStr"/>
      <c r="L1164" t="inlineStr"/>
      <c r="M1164" t="inlineStr"/>
      <c r="N1164" t="inlineStr"/>
      <c r="O1164">
        <f>(1-Summary!$B$11)*T1164+Summary!$B$11*V1164</f>
        <v/>
      </c>
      <c r="P1164">
        <f>IF(B1186=0,0,O1164/B1186)</f>
        <v/>
      </c>
      <c r="Q1164" t="n">
        <v>0</v>
      </c>
      <c r="R1164" t="n">
        <v>0</v>
      </c>
      <c r="S1164">
        <f>IFERROR(O1164/N1164,0)</f>
        <v/>
      </c>
      <c r="T1164" t="n">
        <v>0</v>
      </c>
      <c r="V1164" t="n">
        <v>0</v>
      </c>
    </row>
    <row r="1165">
      <c r="A1165">
        <f>Skills!A19</f>
        <v/>
      </c>
      <c r="B1165">
        <f>Skills!B19</f>
        <v/>
      </c>
      <c r="C1165">
        <f>Inputs!$B$3&gt;=15</f>
        <v/>
      </c>
      <c r="D1165">
        <f>IF(Skills!C19=1,60+Inputs!$B$25+Inputs!$B$29,IF(Skills!C19=2,90+Inputs!$B$26+Inputs!$B$29,IF(Skills!C19=3,120+Inputs!$B$27+Inputs!$B$29,MAX(0,(Inputs!$B$3-100)*3)+Inputs!$B$28+Inputs!$B$29)))</f>
        <v/>
      </c>
      <c r="E1165">
        <f>INDEX(FactorTable!$B$2:$Y$301, MATCH(ROUND(MIN(300,MAX(1,D1165)),0), FactorTable!$A$2:$A$301,0), Skills!M19+1)</f>
        <v/>
      </c>
      <c r="F1165">
        <f>IF(Skills!N19=TRUE,(Skills!L19/10)*(E1165/1000),Skills!L19/10)+Skills!O19</f>
        <v/>
      </c>
      <c r="G1165">
        <f>Skills!G19*IF(Skills!H19&gt;0,Skills!I19/Skills!H19,1)</f>
        <v/>
      </c>
      <c r="H1165">
        <f>1-(1-Skills!J19/100)^Skills!K19</f>
        <v/>
      </c>
      <c r="I1165" t="inlineStr">
        <is>
          <t>1</t>
        </is>
      </c>
      <c r="J1165" t="inlineStr"/>
      <c r="K1165" t="inlineStr"/>
      <c r="L1165" t="inlineStr"/>
      <c r="M1165" t="inlineStr"/>
      <c r="N1165" t="inlineStr"/>
      <c r="O1165">
        <f>(1-Summary!$B$11)*T1165+Summary!$B$11*V1165</f>
        <v/>
      </c>
      <c r="P1165">
        <f>IF(B1186=0,0,O1165/B1186)</f>
        <v/>
      </c>
      <c r="Q1165" t="n">
        <v>0</v>
      </c>
      <c r="R1165" t="n">
        <v>0</v>
      </c>
      <c r="S1165">
        <f>IFERROR(O1165/N1165,0)</f>
        <v/>
      </c>
      <c r="T1165" t="n">
        <v>0</v>
      </c>
      <c r="V1165" t="n">
        <v>0</v>
      </c>
    </row>
    <row r="1166">
      <c r="A1166">
        <f>Skills!A20</f>
        <v/>
      </c>
      <c r="B1166">
        <f>Skills!B20</f>
        <v/>
      </c>
      <c r="C1166">
        <f>Inputs!$B$3&gt;=10</f>
        <v/>
      </c>
      <c r="D1166">
        <f>IF(Skills!C20=1,60+Inputs!$B$25+Inputs!$B$29,IF(Skills!C20=2,90+Inputs!$B$26+Inputs!$B$29,IF(Skills!C20=3,120+Inputs!$B$27+Inputs!$B$29,MAX(0,(Inputs!$B$3-100)*3)+Inputs!$B$28+Inputs!$B$29)))</f>
        <v/>
      </c>
      <c r="E1166">
        <f>INDEX(FactorTable!$B$2:$Y$301, MATCH(ROUND(MIN(300,MAX(1,D1166)),0), FactorTable!$A$2:$A$301,0), Skills!M20+1)</f>
        <v/>
      </c>
      <c r="F1166">
        <f>IF(Skills!N20=TRUE,(Skills!L20/10)*(E1166/1000),Skills!L20/10)+Skills!O20</f>
        <v/>
      </c>
      <c r="G1166">
        <f>Skills!G20*IF(Skills!H20&gt;0,Skills!I20/Skills!H20,1)</f>
        <v/>
      </c>
      <c r="H1166">
        <f>1-(1-Skills!J20/100)^Skills!K20</f>
        <v/>
      </c>
      <c r="I1166" t="inlineStr">
        <is>
          <t>1</t>
        </is>
      </c>
      <c r="J1166" t="inlineStr"/>
      <c r="K1166" t="inlineStr"/>
      <c r="L1166" t="inlineStr"/>
      <c r="M1166" t="inlineStr"/>
      <c r="N1166" t="inlineStr"/>
      <c r="O1166">
        <f>(1-Summary!$B$11)*T1166+Summary!$B$11*V1166</f>
        <v/>
      </c>
      <c r="P1166">
        <f>IF(B1186=0,0,O1166/B1186)</f>
        <v/>
      </c>
      <c r="Q1166" t="n">
        <v>0</v>
      </c>
      <c r="R1166" t="n">
        <v>0</v>
      </c>
      <c r="S1166">
        <f>IFERROR(O1166/N1166,0)</f>
        <v/>
      </c>
      <c r="T1166" t="n">
        <v>0</v>
      </c>
      <c r="V1166" t="n">
        <v>0</v>
      </c>
    </row>
    <row r="1167">
      <c r="A1167">
        <f>Skills!A21</f>
        <v/>
      </c>
      <c r="B1167">
        <f>Skills!B21</f>
        <v/>
      </c>
      <c r="C1167">
        <f>Inputs!$B$3&gt;=33</f>
        <v/>
      </c>
      <c r="D1167">
        <f>IF(Skills!C21=1,60+Inputs!$B$25+Inputs!$B$29,IF(Skills!C21=2,90+Inputs!$B$26+Inputs!$B$29,IF(Skills!C21=3,120+Inputs!$B$27+Inputs!$B$29,MAX(0,(Inputs!$B$3-100)*3)+Inputs!$B$28+Inputs!$B$29)))</f>
        <v/>
      </c>
      <c r="E1167">
        <f>INDEX(FactorTable!$B$2:$Y$301, MATCH(ROUND(MIN(300,MAX(1,D1167)),0), FactorTable!$A$2:$A$301,0), Skills!M21+1)</f>
        <v/>
      </c>
      <c r="F1167">
        <f>IF(Skills!N21=TRUE,(Skills!L21/10)*(E1167/1000),Skills!L21/10)+Skills!O21</f>
        <v/>
      </c>
      <c r="G1167">
        <f>Skills!G21*IF(Skills!H21&gt;0,Skills!I21/Skills!H21,1)</f>
        <v/>
      </c>
      <c r="H1167">
        <f>1-(1-Skills!J21/100)^Skills!K21</f>
        <v/>
      </c>
      <c r="I1167" t="inlineStr">
        <is>
          <t>1</t>
        </is>
      </c>
      <c r="J1167" t="inlineStr"/>
      <c r="K1167" t="inlineStr"/>
      <c r="L1167" t="inlineStr"/>
      <c r="M1167" t="inlineStr"/>
      <c r="N1167" t="inlineStr"/>
      <c r="O1167">
        <f>(1-Summary!$B$11)*T1167+Summary!$B$11*V1167</f>
        <v/>
      </c>
      <c r="P1167">
        <f>IF(B1186=0,0,O1167/B1186)</f>
        <v/>
      </c>
      <c r="Q1167" t="n">
        <v>0</v>
      </c>
      <c r="R1167" t="n">
        <v>0</v>
      </c>
      <c r="S1167">
        <f>IFERROR(O1167/N1167,0)</f>
        <v/>
      </c>
      <c r="T1167" t="n">
        <v>0</v>
      </c>
      <c r="V1167" t="n">
        <v>0</v>
      </c>
    </row>
    <row r="1168">
      <c r="A1168">
        <f>Skills!A22</f>
        <v/>
      </c>
      <c r="B1168">
        <f>Skills!B22</f>
        <v/>
      </c>
      <c r="C1168">
        <f>Inputs!$B$3&gt;=43</f>
        <v/>
      </c>
      <c r="D1168">
        <f>IF(Skills!C22=1,60+Inputs!$B$25+Inputs!$B$29,IF(Skills!C22=2,90+Inputs!$B$26+Inputs!$B$29,IF(Skills!C22=3,120+Inputs!$B$27+Inputs!$B$29,MAX(0,(Inputs!$B$3-100)*3)+Inputs!$B$28+Inputs!$B$29)))</f>
        <v/>
      </c>
      <c r="E1168">
        <f>INDEX(FactorTable!$B$2:$Y$301, MATCH(ROUND(MIN(300,MAX(1,D1168)),0), FactorTable!$A$2:$A$301,0), Skills!M22+1)</f>
        <v/>
      </c>
      <c r="F1168">
        <f>IF(Skills!N22=TRUE,(Skills!L22/10)*(E1168/1000),Skills!L22/10)+Skills!O22</f>
        <v/>
      </c>
      <c r="G1168">
        <f>Skills!G22*IF(Skills!H22&gt;0,Skills!I22/Skills!H22,1)</f>
        <v/>
      </c>
      <c r="H1168">
        <f>1-(1-Skills!J22/100)^Skills!K22</f>
        <v/>
      </c>
      <c r="I1168" t="inlineStr">
        <is>
          <t>1</t>
        </is>
      </c>
      <c r="J1168" t="inlineStr"/>
      <c r="K1168" t="inlineStr"/>
      <c r="L1168" t="inlineStr"/>
      <c r="M1168" t="inlineStr"/>
      <c r="N1168" t="inlineStr"/>
      <c r="O1168">
        <f>(1-Summary!$B$11)*T1168+Summary!$B$11*V1168</f>
        <v/>
      </c>
      <c r="P1168">
        <f>IF(B1186=0,0,O1168/B1186)</f>
        <v/>
      </c>
      <c r="Q1168" t="n">
        <v>0</v>
      </c>
      <c r="R1168" t="n">
        <v>0</v>
      </c>
      <c r="S1168">
        <f>IFERROR(O1168/N1168,0)</f>
        <v/>
      </c>
      <c r="T1168" t="n">
        <v>0</v>
      </c>
      <c r="V1168" t="n">
        <v>0</v>
      </c>
    </row>
    <row r="1169">
      <c r="A1169">
        <f>Skills!A23</f>
        <v/>
      </c>
      <c r="B1169">
        <f>Skills!B23</f>
        <v/>
      </c>
      <c r="C1169">
        <f>Inputs!$B$3&gt;=38</f>
        <v/>
      </c>
      <c r="D1169">
        <f>IF(Skills!C23=1,60+Inputs!$B$25+Inputs!$B$29,IF(Skills!C23=2,90+Inputs!$B$26+Inputs!$B$29,IF(Skills!C23=3,120+Inputs!$B$27+Inputs!$B$29,MAX(0,(Inputs!$B$3-100)*3)+Inputs!$B$28+Inputs!$B$29)))</f>
        <v/>
      </c>
      <c r="E1169">
        <f>INDEX(FactorTable!$B$2:$Y$301, MATCH(ROUND(MIN(300,MAX(1,D1169)),0), FactorTable!$A$2:$A$301,0), Skills!M23+1)</f>
        <v/>
      </c>
      <c r="F1169">
        <f>IF(Skills!N23=TRUE,(Skills!L23/10)*(E1169/1000),Skills!L23/10)+Skills!O23</f>
        <v/>
      </c>
      <c r="G1169">
        <f>Skills!G23*IF(Skills!H23&gt;0,Skills!I23/Skills!H23,1)</f>
        <v/>
      </c>
      <c r="H1169">
        <f>1-(1-Skills!J23/100)^Skills!K23</f>
        <v/>
      </c>
      <c r="I1169" t="inlineStr">
        <is>
          <t>1</t>
        </is>
      </c>
      <c r="J1169" t="inlineStr"/>
      <c r="K1169" t="inlineStr"/>
      <c r="L1169" t="inlineStr"/>
      <c r="M1169" t="inlineStr"/>
      <c r="N1169" t="inlineStr"/>
      <c r="O1169">
        <f>(1-Summary!$B$11)*T1169+Summary!$B$11*V1169</f>
        <v/>
      </c>
      <c r="P1169">
        <f>IF(B1186=0,0,O1169/B1186)</f>
        <v/>
      </c>
      <c r="Q1169" t="n">
        <v>0</v>
      </c>
      <c r="R1169" t="n">
        <v>0</v>
      </c>
      <c r="S1169">
        <f>IFERROR(O1169/N1169,0)</f>
        <v/>
      </c>
      <c r="T1169" t="n">
        <v>0</v>
      </c>
      <c r="V1169" t="n">
        <v>0</v>
      </c>
    </row>
    <row r="1170">
      <c r="A1170">
        <f>Skills!A24</f>
        <v/>
      </c>
      <c r="B1170">
        <f>Skills!B24</f>
        <v/>
      </c>
      <c r="C1170">
        <f>Inputs!$B$3&gt;=40</f>
        <v/>
      </c>
      <c r="D1170">
        <f>IF(Skills!C24=1,60+Inputs!$B$25+Inputs!$B$29,IF(Skills!C24=2,90+Inputs!$B$26+Inputs!$B$29,IF(Skills!C24=3,120+Inputs!$B$27+Inputs!$B$29,MAX(0,(Inputs!$B$3-100)*3)+Inputs!$B$28+Inputs!$B$29)))</f>
        <v/>
      </c>
      <c r="E1170">
        <f>INDEX(FactorTable!$B$2:$Y$301, MATCH(ROUND(MIN(300,MAX(1,D1170)),0), FactorTable!$A$2:$A$301,0), Skills!M24+1)</f>
        <v/>
      </c>
      <c r="F1170">
        <f>IF(Skills!N24=TRUE,(Skills!L24/10)*(E1170/1000),Skills!L24/10)+Skills!O24</f>
        <v/>
      </c>
      <c r="G1170">
        <f>Skills!G24*IF(Skills!H24&gt;0,Skills!I24/Skills!H24,1)</f>
        <v/>
      </c>
      <c r="H1170">
        <f>1-(1-Skills!J24/100)^Skills!K24</f>
        <v/>
      </c>
      <c r="I1170" t="inlineStr">
        <is>
          <t>1</t>
        </is>
      </c>
      <c r="J1170" t="inlineStr"/>
      <c r="K1170" t="inlineStr"/>
      <c r="L1170" t="inlineStr"/>
      <c r="M1170" t="inlineStr"/>
      <c r="N1170" t="inlineStr"/>
      <c r="O1170">
        <f>(1-Summary!$B$11)*T1170+Summary!$B$11*V1170</f>
        <v/>
      </c>
      <c r="P1170">
        <f>IF(B1186=0,0,O1170/B1186)</f>
        <v/>
      </c>
      <c r="Q1170" t="n">
        <v>0</v>
      </c>
      <c r="R1170" t="n">
        <v>0</v>
      </c>
      <c r="S1170">
        <f>IFERROR(O1170/N1170,0)</f>
        <v/>
      </c>
      <c r="T1170" t="n">
        <v>0</v>
      </c>
      <c r="V1170" t="n">
        <v>0</v>
      </c>
    </row>
    <row r="1171">
      <c r="A1171">
        <f>Skills!A25</f>
        <v/>
      </c>
      <c r="B1171">
        <f>Skills!B25</f>
        <v/>
      </c>
      <c r="C1171">
        <f>Inputs!$B$3&gt;=72</f>
        <v/>
      </c>
      <c r="D1171">
        <f>IF(Skills!C25=1,60+Inputs!$B$25+Inputs!$B$29,IF(Skills!C25=2,90+Inputs!$B$26+Inputs!$B$29,IF(Skills!C25=3,120+Inputs!$B$27+Inputs!$B$29,MAX(0,(Inputs!$B$3-100)*3)+Inputs!$B$28+Inputs!$B$29)))</f>
        <v/>
      </c>
      <c r="E1171">
        <f>INDEX(FactorTable!$B$2:$Y$301, MATCH(ROUND(MIN(300,MAX(1,D1171)),0), FactorTable!$A$2:$A$301,0), Skills!M25+1)</f>
        <v/>
      </c>
      <c r="F1171">
        <f>IF(Skills!N25=TRUE,(Skills!L25/10)*(E1171/1000),Skills!L25/10)+Skills!O25</f>
        <v/>
      </c>
      <c r="G1171">
        <f>Skills!G25*IF(Skills!H25&gt;0,Skills!I25/Skills!H25,1)</f>
        <v/>
      </c>
      <c r="H1171">
        <f>1-(1-Skills!J25/100)^Skills!K25</f>
        <v/>
      </c>
      <c r="I1171" t="inlineStr">
        <is>
          <t>1</t>
        </is>
      </c>
      <c r="J1171" t="inlineStr"/>
      <c r="K1171" t="inlineStr"/>
      <c r="L1171" t="inlineStr"/>
      <c r="M1171" t="inlineStr"/>
      <c r="N1171" t="inlineStr"/>
      <c r="O1171">
        <f>(1-Summary!$B$11)*T1171+Summary!$B$11*V1171</f>
        <v/>
      </c>
      <c r="P1171">
        <f>IF(B1186=0,0,O1171/B1186)</f>
        <v/>
      </c>
      <c r="Q1171" t="n">
        <v>0</v>
      </c>
      <c r="R1171" t="n">
        <v>0</v>
      </c>
      <c r="S1171">
        <f>IFERROR(O1171/N1171,0)</f>
        <v/>
      </c>
      <c r="T1171" t="n">
        <v>0</v>
      </c>
      <c r="V1171" t="n">
        <v>0</v>
      </c>
    </row>
    <row r="1172">
      <c r="A1172">
        <f>Skills!A26</f>
        <v/>
      </c>
      <c r="B1172">
        <f>Skills!B26</f>
        <v/>
      </c>
      <c r="C1172">
        <f>Inputs!$B$3&gt;=75</f>
        <v/>
      </c>
      <c r="D1172">
        <f>IF(Skills!C26=1,60+Inputs!$B$25+Inputs!$B$29,IF(Skills!C26=2,90+Inputs!$B$26+Inputs!$B$29,IF(Skills!C26=3,120+Inputs!$B$27+Inputs!$B$29,MAX(0,(Inputs!$B$3-100)*3)+Inputs!$B$28+Inputs!$B$29)))</f>
        <v/>
      </c>
      <c r="E1172">
        <f>INDEX(FactorTable!$B$2:$Y$301, MATCH(ROUND(MIN(300,MAX(1,D1172)),0), FactorTable!$A$2:$A$301,0), Skills!M26+1)</f>
        <v/>
      </c>
      <c r="F1172">
        <f>IF(Skills!N26=TRUE,(Skills!L26/10)*(E1172/1000),Skills!L26/10)+Skills!O26</f>
        <v/>
      </c>
      <c r="G1172">
        <f>Skills!G26*IF(Skills!H26&gt;0,Skills!I26/Skills!H26,1)</f>
        <v/>
      </c>
      <c r="H1172">
        <f>1-(1-Skills!J26/100)^Skills!K26</f>
        <v/>
      </c>
      <c r="I1172" t="inlineStr">
        <is>
          <t>1</t>
        </is>
      </c>
      <c r="J1172" t="inlineStr"/>
      <c r="K1172" t="inlineStr"/>
      <c r="L1172" t="inlineStr"/>
      <c r="M1172" t="inlineStr"/>
      <c r="N1172" t="inlineStr"/>
      <c r="O1172">
        <f>(1-Summary!$B$11)*T1172+Summary!$B$11*V1172</f>
        <v/>
      </c>
      <c r="P1172">
        <f>IF(B1186=0,0,O1172/B1186)</f>
        <v/>
      </c>
      <c r="Q1172" t="n">
        <v>0</v>
      </c>
      <c r="R1172" t="n">
        <v>0</v>
      </c>
      <c r="S1172">
        <f>IFERROR(O1172/N1172,0)</f>
        <v/>
      </c>
      <c r="T1172" t="n">
        <v>0</v>
      </c>
      <c r="V1172" t="n">
        <v>0</v>
      </c>
    </row>
    <row r="1173">
      <c r="A1173">
        <f>Skills!A27</f>
        <v/>
      </c>
      <c r="B1173">
        <f>Skills!B27</f>
        <v/>
      </c>
      <c r="C1173">
        <f>Inputs!$B$3&gt;=117</f>
        <v/>
      </c>
      <c r="D1173">
        <f>IF(Skills!C27=1,60+Inputs!$B$25+Inputs!$B$29,IF(Skills!C27=2,90+Inputs!$B$26+Inputs!$B$29,IF(Skills!C27=3,120+Inputs!$B$27+Inputs!$B$29,MAX(0,(Inputs!$B$3-100)*3)+Inputs!$B$28+Inputs!$B$29)))</f>
        <v/>
      </c>
      <c r="E1173">
        <f>INDEX(FactorTable!$B$2:$Y$301, MATCH(ROUND(MIN(300,MAX(1,D1173)),0), FactorTable!$A$2:$A$301,0), Skills!M27+1)</f>
        <v/>
      </c>
      <c r="F1173">
        <f>IF(Skills!N27=TRUE,(Skills!L27/10)*(E1173/1000),Skills!L27/10)+Skills!O27</f>
        <v/>
      </c>
      <c r="G1173">
        <f>Skills!G27*IF(Skills!H27&gt;0,Skills!I27/Skills!H27,1)</f>
        <v/>
      </c>
      <c r="H1173">
        <f>1-(1-Skills!J27/100)^Skills!K27</f>
        <v/>
      </c>
      <c r="I1173" t="inlineStr">
        <is>
          <t>1</t>
        </is>
      </c>
      <c r="J1173" t="inlineStr"/>
      <c r="K1173" t="inlineStr"/>
      <c r="L1173" t="inlineStr"/>
      <c r="M1173" t="inlineStr"/>
      <c r="N1173" t="inlineStr"/>
      <c r="O1173">
        <f>(1-Summary!$B$11)*T1173+Summary!$B$11*V1173</f>
        <v/>
      </c>
      <c r="P1173">
        <f>IF(B1186=0,0,O1173/B1186)</f>
        <v/>
      </c>
      <c r="Q1173" t="n">
        <v>0</v>
      </c>
      <c r="R1173" t="n">
        <v>0</v>
      </c>
      <c r="S1173">
        <f>IFERROR(O1173/N1173,0)</f>
        <v/>
      </c>
      <c r="T1173" t="n">
        <v>0</v>
      </c>
      <c r="V1173" t="n">
        <v>0</v>
      </c>
    </row>
    <row r="1175">
      <c r="A1175" t="inlineStr">
        <is>
          <t>Attack% Bucket Multiplier</t>
        </is>
      </c>
      <c r="B1175">
        <f>(1+(((C1163=TRUE)*F1163)+((C1170=TRUE)*(F1170-Calc!F24))+(IF(ArtifactsInput!$M$21,CHOOSE(ArtifactsInput!$N$21+1,25,30,35,40,45,50)*(IF(OR(Inputs!$B$4="Chapter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76">
      <c r="A1176" t="inlineStr">
        <is>
          <t>Global Crit Rate Bonus %</t>
        </is>
      </c>
      <c r="B1176" t="n">
        <v>0</v>
      </c>
    </row>
    <row r="1177">
      <c r="A1177" t="inlineStr">
        <is>
          <t>Attack Speed Buff Bonus % (unused)</t>
        </is>
      </c>
      <c r="B1177" t="n">
        <v>0</v>
      </c>
    </row>
    <row r="1178">
      <c r="A1178" t="inlineStr">
        <is>
          <t>Actions Per Second</t>
        </is>
      </c>
      <c r="B1178">
        <f>1+MIN(150,150*(1-(1-(Inputs!$B$11+((C1166=TRUE)*(F1166-Calc!F20))+((C1167=TRUE)*(F1167-Calc!F21)))/150)*(1-B1177/150)))/100</f>
        <v/>
      </c>
    </row>
    <row r="1179">
      <c r="A1179" t="inlineStr">
        <is>
          <t>Skill + Buff Cast Rate</t>
        </is>
      </c>
      <c r="B1179">
        <f>IF(AND(Inputs!$B$38&lt;&gt;"pvp",Inputs!$B$43&gt;0),SUMPRODUCT((Skills!E2:E27=TRUE)*(C1148:C1173=TRUE)*R1148:R1173*Skills!F2:F27)/Inputs!$B$43,SUMPRODUCT((Skills!E2:E27=TRUE)*(C1148:C1173=TRUE)*Q1148:Q1173*Skills!F2:F27))</f>
        <v/>
      </c>
    </row>
    <row r="1180">
      <c r="A1180" t="inlineStr">
        <is>
          <t>Eight-Legs Easton Casts Per Second</t>
        </is>
      </c>
      <c r="B1180">
        <f>MAX(0,B1178-B1179)</f>
        <v/>
      </c>
    </row>
    <row r="1181">
      <c r="A1181" t="inlineStr">
        <is>
          <t>Global Critical Damage Bonus % (unused)</t>
        </is>
      </c>
      <c r="B1181" t="n">
        <v>0</v>
      </c>
    </row>
    <row r="1182">
      <c r="A1182" t="inlineStr">
        <is>
          <t>Global Final Damage Bonus % (Jolly Roger only)</t>
        </is>
      </c>
      <c r="B1182">
        <f>((C1164=TRUE)*F1164)</f>
        <v/>
      </c>
    </row>
    <row r="1183">
      <c r="A1183" t="inlineStr">
        <is>
          <t>Buff-Casting Startup Delay (s, fixed-duration only)</t>
        </is>
      </c>
      <c r="B1183">
        <f>IF(AND(Inputs!$B$38&lt;&gt;"pvp",Inputs!$B$43&gt;0),SUMPRODUCT((Skills!T2:T27&gt;0)*(Skills!E2:E27=TRUE)*(C1148:C1173=TRUE))/B1178,0)</f>
        <v/>
      </c>
    </row>
    <row r="1184">
      <c r="A1184" t="inlineStr">
        <is>
          <t>Boss-Only Total DPS (this block's swept value)</t>
        </is>
      </c>
      <c r="B1184">
        <f>SUM(T1148:T1173)</f>
        <v/>
      </c>
    </row>
    <row r="1185">
      <c r="A1185" t="inlineStr">
        <is>
          <t>Normal-Only Total DPS (this block's swept value)</t>
        </is>
      </c>
      <c r="B1185">
        <f>SUM(V1148:V1173)</f>
        <v/>
      </c>
    </row>
    <row r="1186">
      <c r="A1186" s="6" t="inlineStr">
        <is>
          <t>TOTAL DPS</t>
        </is>
      </c>
      <c r="B1186" s="6">
        <f>SUM(O1148:O1173)</f>
        <v/>
      </c>
    </row>
    <row r="1189">
      <c r="A1189" s="6" t="inlineStr">
        <is>
          <t>Stat: Charm of the Undead (Equip)</t>
        </is>
      </c>
    </row>
    <row r="1190">
      <c r="A1190" s="5" t="inlineStr">
        <is>
          <t>Key</t>
        </is>
      </c>
      <c r="B1190" s="5" t="inlineStr">
        <is>
          <t>Name</t>
        </is>
      </c>
      <c r="C1190" s="5" t="inlineStr">
        <is>
          <t>Unlocked</t>
        </is>
      </c>
      <c r="D1190" s="5" t="inlineStr">
        <is>
          <t>InputLevel</t>
        </is>
      </c>
      <c r="E1190" s="5" t="inlineStr">
        <is>
          <t>Factor</t>
        </is>
      </c>
      <c r="F1190" s="5" t="inlineStr">
        <is>
          <t>CoefficientPercent</t>
        </is>
      </c>
      <c r="G1190" s="5" t="inlineStr">
        <is>
          <t>EffectiveHits</t>
        </is>
      </c>
      <c r="H1190" s="5" t="inlineStr">
        <is>
          <t>ProcProbability</t>
        </is>
      </c>
      <c r="I1190" s="5" t="inlineStr">
        <is>
          <t>MapleHeroMultiplier</t>
        </is>
      </c>
      <c r="J1190" s="5" t="inlineStr">
        <is>
          <t>BaseDamage</t>
        </is>
      </c>
      <c r="K1190" s="5" t="inlineStr">
        <is>
          <t>BaseHitDamage</t>
        </is>
      </c>
      <c r="L1190" s="5" t="inlineStr">
        <is>
          <t>NonCritAvg</t>
        </is>
      </c>
      <c r="M1190" s="5" t="inlineStr">
        <is>
          <t>CritAvg</t>
        </is>
      </c>
      <c r="N1190" s="5" t="inlineStr">
        <is>
          <t>ExpectedDamage(perHit)</t>
        </is>
      </c>
      <c r="O1190" s="5" t="inlineStr">
        <is>
          <t>DPS</t>
        </is>
      </c>
      <c r="P1190" s="5" t="inlineStr">
        <is>
          <t>% of Total</t>
        </is>
      </c>
      <c r="Q1190" s="5" t="inlineStr">
        <is>
          <t>InvCooldown</t>
        </is>
      </c>
      <c r="R1190" s="5" t="inlineStr">
        <is>
          <t>CastsInFight</t>
        </is>
      </c>
      <c r="S1190" s="5" t="inlineStr">
        <is>
          <t>HitRate(perSec)</t>
        </is>
      </c>
      <c r="U1190" t="inlineStr">
        <is>
          <t>helpers</t>
        </is>
      </c>
    </row>
    <row r="1191">
      <c r="A1191">
        <f>Skills!A2</f>
        <v/>
      </c>
      <c r="B1191">
        <f>Skills!B2</f>
        <v/>
      </c>
      <c r="C1191">
        <f>Inputs!$B$3&gt;=100</f>
        <v/>
      </c>
      <c r="D1191" t="inlineStr"/>
      <c r="E1191" t="inlineStr"/>
      <c r="F1191">
        <f>U1193+Skills!O2</f>
        <v/>
      </c>
      <c r="G1191">
        <f>Skills!G2*IF(Skills!H2&gt;0,Skills!I2/Skills!H2,1)</f>
        <v/>
      </c>
      <c r="H1191">
        <f>1-(1-Skills!J2/100)^Skills!K2</f>
        <v/>
      </c>
      <c r="I1191" t="inlineStr">
        <is>
          <t>1</t>
        </is>
      </c>
      <c r="J1191">
        <f>((Inputs!$B$6*(1+Inputs!$B$7/100))+(((Inputs!$B$12*(1+Inputs!$B$13/100))-(Inputs!$B$12*(1+Inputs!$B$13/100)))+0.25*(Inputs!$B$14-Inputs!$B$14))*(1+Inputs!$B$7/100))*(F1191/100)</f>
        <v/>
      </c>
      <c r="K1191">
        <f>J1191*(1+((Inputs!$B$12*(1+Inputs!$B$13/100))*0.01+Inputs!$B$14*0.0025)/100)*(1+Inputs!$B$15/100)*(1+Inputs!$B$16/100)*(5000/(6000+Inputs!$B$42*(1-(100*(1-(1-(Inputs!$B$19+0)/100)*(1-CHOOSE(ArtifactsInput!$N$40+1,5,6,7,8,9,10)/100)^(ArtifactsInput!$M$40-ArtifactsInput!$M$40)))/100)))*(1+(Inputs!$B$24+((C1215=TRUE)*(F1215-Calc!F26))+B1225)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1212=TRUE)*(F1212-Calc!F23))+((C1216=TRUE)*(F1216-Calc!F27))+(((IF(AND(ArtifactsInput!$M$42,((Inputs!$B$9+((C1208=TRUE)*(F1208-Calc!F19))+B1219+(ArtifactsInput!$M$24-ArtifactsInput!$M$24)*CHOOSE(ArtifactsInput!$N$24+1,10,12,14,16,18,20)+IF(ArtifactsInput!$M$10,CHOOSE(ArtifactsInput!$N$10+1,15,18,21,24,27,30)*(IF(Inputs!$B$38="pvp",MIN(15,15)/15,IF(AND(Inputs!$B$38&lt;&gt;"pvp",Inputs!$B$43&gt;0),MIN(15,Inputs!$B$43)/(Inputs!$B$43),0))),0)))&gt;=100),MIN(100,((Inputs!$B$9+((C1208=TRUE)*(F1208-Calc!F19))+B1219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1208=TRUE)*(F1208-Calc!F19))+B1219+(ArtifactsInput!$M$24-ArtifactsInput!$M$24)*CHOOSE(ArtifactsInput!$N$24+1,10,12,14,16,18,20)+IF(ArtifactsInput!$M$10,CHOOSE(ArtifactsInput!$N$10+1,15,18,21,24,27,30)*(IF(Inputs!$B$38="pvp",MIN(15,15)/15,IF(AND(Inputs!$B$38&lt;&gt;"pvp",Inputs!$B$43&gt;0),MIN(15,Inputs!$B$43)/(Inputs!$B$43),0))),0)))&gt;=100),CHOOSE(ArtifactsInput!$N$42+1,40,48,56,64,72,80),0))))/100)*((1+(((C1206=TRUE)*F1206)+((C1213=TRUE)*(F1213-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1191)</f>
        <v/>
      </c>
      <c r="L1191">
        <f>K1191*(MIN(Inputs!$B$22+((C1211=TRUE)*(F1211-Calc!F22)),(Inputs!$B$23+0+(IF(ArtifactsInput!$M$15,CHOOSE(ArtifactsInput!$N$15+1,25,30,35,40,45,50)/100*(Inputs!$B$11-Inputs!$B$11),0))))/100+(Inputs!$B$23+0+(IF(ArtifactsInput!$M$15,CHOOSE(ArtifactsInput!$N$15+1,25,30,35,40,45,50)/100*(Inputs!$B$11-Inputs!$B$11),0)))/100)/2</f>
        <v/>
      </c>
      <c r="M1191">
        <f>L1191*(1+(Inputs!$B$10+((C1214=TRUE)*(F1214-Calc!F25))+B1224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1">
        <f>L1191*(1-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1">
        <f>(1-Summary!$B$11)*T1191+Summary!$B$11*V1191</f>
        <v/>
      </c>
      <c r="P1191">
        <f>IF(B1229=0,0,O1191/B1229)</f>
        <v/>
      </c>
      <c r="Q1191" t="n">
        <v>0</v>
      </c>
      <c r="R1191" t="n">
        <v>0</v>
      </c>
      <c r="S1191">
        <f>IFERROR(O1191/N1191,0)</f>
        <v/>
      </c>
      <c r="T1191">
        <f>IF(C1191,(Skills!G2*N1191*B1223)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1191*(1-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1">
        <f>MAX(0,(Inputs!$B$3-100)*3)+Inputs!$B$28+Inputs!$B$29</f>
        <v/>
      </c>
      <c r="V1191">
        <f>IF(C1191,(Skills!G2*N1191*B1223)*IF(Inputs!$B$38="pvp",1,(1+(Inputs!$B$21+Skills!Q2+(IF(ArtifactsInput!$M$33,CHOOSE(ArtifactsInput!$N$33+1,30,36,42,48,54,60),0))+(IF(AND(ArtifactsInput!$M$35,Inputs!$B$4&lt;&gt;"Chapter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2">
      <c r="A1192">
        <f>Skills!A3</f>
        <v/>
      </c>
      <c r="B1192">
        <f>Skills!B3</f>
        <v/>
      </c>
      <c r="C1192">
        <f>Inputs!$B$3&gt;=35</f>
        <v/>
      </c>
      <c r="D1192">
        <f>IF(Skills!C3=1,60+Inputs!$B$25+Inputs!$B$29,IF(Skills!C3=2,90+Inputs!$B$26+Inputs!$B$29,IF(Skills!C3=3,120+Inputs!$B$27+Inputs!$B$29,MAX(0,(Inputs!$B$3-100)*3)+Inputs!$B$28+Inputs!$B$29)))</f>
        <v/>
      </c>
      <c r="E1192">
        <f>INDEX(FactorTable!$B$2:$Y$301, MATCH(ROUND(MIN(300,MAX(1,D1192)),0), FactorTable!$A$2:$A$301,0), Skills!M3+1)</f>
        <v/>
      </c>
      <c r="F1192">
        <f>IF(Skills!N3=TRUE,(Skills!L3/10)*(E1192/1000),Skills!L3/10)+Skills!O3</f>
        <v/>
      </c>
      <c r="G1192">
        <f>Skills!G3*IF(Skills!H3&gt;0,Skills!I3/Skills!H3,1)</f>
        <v/>
      </c>
      <c r="H1192">
        <f>1-(1-Skills!J3/100)^Skills!K3</f>
        <v/>
      </c>
      <c r="I1192" t="inlineStr">
        <is>
          <t>1</t>
        </is>
      </c>
      <c r="J1192">
        <f>((Inputs!$B$6*(1+Inputs!$B$7/100))+(((Inputs!$B$12*(1+Inputs!$B$13/100))-(Inputs!$B$12*(1+Inputs!$B$13/100)))+0.25*(Inputs!$B$14-Inputs!$B$14))*(1+Inputs!$B$7/100))*(F1192/100)</f>
        <v/>
      </c>
      <c r="K1192">
        <f>J1192*(1+((Inputs!$B$12*(1+Inputs!$B$13/100))*0.01+Inputs!$B$14*0.0025)/100)*(1+Inputs!$B$15/100)*(1+Inputs!$B$16/100)*(5000/(6000+Inputs!$B$42*(1-(100*(1-(1-(Inputs!$B$19+0)/100)*(1-CHOOSE(ArtifactsInput!$N$40+1,5,6,7,8,9,10)/100)^(ArtifactsInput!$M$40-ArtifactsInput!$M$40)))/100)))*(1+(Inputs!$B$24+((C1215=TRUE)*(F1215-Calc!F26))+B1225)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1204=TRUE,F1204,0)/100)*(1+(IF(Skills!A3="EIGHT_LEGS_EASTON",Inputs!$B$17+((C1212=TRUE)*(F1212-Calc!F23))+((C1216=TRUE)*(F1216-Calc!F27))+(((IF(AND(ArtifactsInput!$M$42,((Inputs!$B$9+((C1208=TRUE)*(F1208-Calc!F19))+B1219+(ArtifactsInput!$M$24-ArtifactsInput!$M$24)*CHOOSE(ArtifactsInput!$N$24+1,10,12,14,16,18,20)+IF(ArtifactsInput!$M$10,CHOOSE(ArtifactsInput!$N$10+1,15,18,21,24,27,30)*(IF(Inputs!$B$38="pvp",MIN(15,15)/15,IF(AND(Inputs!$B$38&lt;&gt;"pvp",Inputs!$B$43&gt;0),MIN(15,Inputs!$B$43)/(Inputs!$B$43),0))),0)))&gt;=100),MIN(100,((Inputs!$B$9+((C1208=TRUE)*(F1208-Calc!F19))+B1219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1208=TRUE)*(F1208-Calc!F19))+B1219+(ArtifactsInput!$M$24-ArtifactsInput!$M$24)*CHOOSE(ArtifactsInput!$N$24+1,10,12,14,16,18,20)+IF(ArtifactsInput!$M$10,CHOOSE(ArtifactsInput!$N$10+1,15,18,21,24,27,30)*(IF(Inputs!$B$38="pvp",MIN(15,15)/15,IF(AND(Inputs!$B$38&lt;&gt;"pvp",Inputs!$B$43&gt;0),MIN(15,Inputs!$B$43)/(Inputs!$B$43),0))),0)))&gt;=100),CHOOSE(ArtifactsInput!$N$42+1,40,48,56,64,72,80),0))))/100)*((1+(((C1206=TRUE)*F1206)+((C1213=TRUE)*(F1213-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1192)</f>
        <v/>
      </c>
      <c r="L1192">
        <f>K1192*(MIN(Inputs!$B$22+((C1211=TRUE)*(F1211-Calc!F22)),(Inputs!$B$23+0+(IF(ArtifactsInput!$M$15,CHOOSE(ArtifactsInput!$N$15+1,25,30,35,40,45,50)/100*(Inputs!$B$11-Inputs!$B$11),0))))/100+(Inputs!$B$23+0+(IF(ArtifactsInput!$M$15,CHOOSE(ArtifactsInput!$N$15+1,25,30,35,40,45,50)/100*(Inputs!$B$11-Inputs!$B$11),0)))/100)/2</f>
        <v/>
      </c>
      <c r="M1192">
        <f>L1192*(1+(Inputs!$B$10+((C1214=TRUE)*(F1214-Calc!F25))+B1224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2">
        <f>L1192*(1-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1192*(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2">
        <f>(1-Summary!$B$11)*T1192+Summary!$B$11*V1192</f>
        <v/>
      </c>
      <c r="P1192">
        <f>IF(B1229=0,0,O1192/B1229)</f>
        <v/>
      </c>
      <c r="Q1192">
        <f>IFERROR(1/(IF(Inputs!$B$38="pvp",15,MAX(0.1,Skills!D3-IF(Skills!E3=TRUE,Inputs!$B$32,0)))*(1-IF(AND(ArtifactsInput!$M$27,Inputs!$B$4="Chapter Hunt"),CHOOSE(ArtifactsInput!$N$27+1,20,24,28,32,36,40),0)/100)),0)</f>
        <v/>
      </c>
      <c r="R1192">
        <f>IF(AND(Inputs!$B$38&lt;&gt;"pvp",Inputs!$B$43&gt;0),IF(MAX(0,Inputs!$B$43-B1226)&lt;=0,0,(INT(MAX(0,Inputs!$B$43-B1226)/(IF(Inputs!$B$38="pvp",15,MAX(0.1,Skills!D3-IF(Skills!E3=TRUE,Inputs!$B$32,0)))*(1-IF(AND(ArtifactsInput!$M$27,Inputs!$B$4="Chapter Hunt"),CHOOSE(ArtifactsInput!$N$27+1,20,24,28,32,36,40),0)/100)))+1)),0)</f>
        <v/>
      </c>
      <c r="S1192">
        <f>IFERROR(O1192/N1192,0)</f>
        <v/>
      </c>
      <c r="T1192">
        <f>IF(C1192,(H1192*N1192*IF(AND(Inputs!$B$38&lt;&gt;"pvp",Inputs!$B$43&gt;0),((Skills!G3*((R1192-1)*IF(Skills!H3&gt;0,Skills!I3/Skills!H3,1)+IF(Skills!H3&gt;0,MIN(Skills!I3,MAX(0,MAX(0,Inputs!$B$43-B1226)-((R1192-1)*(IF(Inputs!$B$38="pvp",15,MAX(0.1,Skills!D3-IF(Skills!E3=TRUE,Inputs!$B$32,0)))*(1-IF(AND(ArtifactsInput!$M$27,Inputs!$B$4="Chapter Hunt"),CHOOSE(ArtifactsInput!$N$27+1,20,24,28,32,36,40),0)/100)))))/Skills!H3,1)))/Inputs!$B$43),G1192*Q1192)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1192*(1-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1192*(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1192*(1-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1192*(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2">
        <f>INDEX(FactorTable!$B$2:$Y$301, MATCH(ROUND(MIN(300,MAX(1,U1191)),0), FactorTable!$A$2:$A$301,0), 22)</f>
        <v/>
      </c>
      <c r="V1192">
        <f>IF(C1192,(H1192*N1192*IF(AND(Inputs!$B$38&lt;&gt;"pvp",Inputs!$B$43&gt;0),((Skills!G3*((R1192-1)*IF(Skills!H3&gt;0,Skills!I3/Skills!H3,1)+IF(Skills!H3&gt;0,MIN(Skills!I3,MAX(0,MAX(0,Inputs!$B$43-B1226)-((R1192-1)*(IF(Inputs!$B$38="pvp",15,MAX(0.1,Skills!D3-IF(Skills!E3=TRUE,Inputs!$B$32,0)))*(1-IF(AND(ArtifactsInput!$M$27,Inputs!$B$4="Chapter Hunt"),CHOOSE(ArtifactsInput!$N$27+1,20,24,28,32,36,40),0)/100)))))/Skills!H3,1)))/Inputs!$B$43),G1192*Q1192))*IF(Inputs!$B$38="pvp",1,(1+(Inputs!$B$21+Skills!Q3+(IF(ArtifactsInput!$M$33,CHOOSE(ArtifactsInput!$N$33+1,30,36,42,48,54,60)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3">
      <c r="A1193">
        <f>Skills!A4</f>
        <v/>
      </c>
      <c r="B1193">
        <f>Skills!B4</f>
        <v/>
      </c>
      <c r="C1193">
        <f>Inputs!$B$3&gt;=40</f>
        <v/>
      </c>
      <c r="D1193">
        <f>IF(Skills!C4=1,60+Inputs!$B$25+Inputs!$B$29,IF(Skills!C4=2,90+Inputs!$B$26+Inputs!$B$29,IF(Skills!C4=3,120+Inputs!$B$27+Inputs!$B$29,MAX(0,(Inputs!$B$3-100)*3)+Inputs!$B$28+Inputs!$B$29)))</f>
        <v/>
      </c>
      <c r="E1193">
        <f>INDEX(FactorTable!$B$2:$Y$301, MATCH(ROUND(MIN(300,MAX(1,D1193)),0), FactorTable!$A$2:$A$301,0), Skills!M4+1)</f>
        <v/>
      </c>
      <c r="F1193">
        <f>IF(Skills!N4=TRUE,(Skills!L4/10)*(E1193/1000),Skills!L4/10)+Skills!O4</f>
        <v/>
      </c>
      <c r="G1193">
        <f>Skills!G4*IF(Skills!H4&gt;0,Skills!I4/Skills!H4,1)</f>
        <v/>
      </c>
      <c r="H1193">
        <f>1-(1-Skills!J4/100)^Skills!K4</f>
        <v/>
      </c>
      <c r="I1193" t="inlineStr">
        <is>
          <t>1</t>
        </is>
      </c>
      <c r="J1193">
        <f>((Inputs!$B$6*(1+Inputs!$B$7/100))+(((Inputs!$B$12*(1+Inputs!$B$13/100))-(Inputs!$B$12*(1+Inputs!$B$13/100)))+0.25*(Inputs!$B$14-Inputs!$B$14))*(1+Inputs!$B$7/100))*(F1193/100)</f>
        <v/>
      </c>
      <c r="K1193">
        <f>J1193*(1+((Inputs!$B$12*(1+Inputs!$B$13/100))*0.01+Inputs!$B$14*0.0025)/100)*(1+Inputs!$B$15/100)*(1+Inputs!$B$16/100)*(5000/(6000+Inputs!$B$42*(1-(100*(1-(1-(Inputs!$B$19+0)/100)*(1-CHOOSE(ArtifactsInput!$N$40+1,5,6,7,8,9,10)/100)^(ArtifactsInput!$M$40-ArtifactsInput!$M$40)))/100)))*(1+(Inputs!$B$24+((C1215=TRUE)*(F1215-Calc!F26))+B1225)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1205=TRUE,F1205,0)/100)*(1+(IF(Skills!A4="EIGHT_LEGS_EASTON",Inputs!$B$17+((C1212=TRUE)*(F1212-Calc!F23))+((C1216=TRUE)*(F1216-Calc!F27))+(((IF(AND(ArtifactsInput!$M$42,((Inputs!$B$9+((C1208=TRUE)*(F1208-Calc!F19))+B1219+(ArtifactsInput!$M$24-ArtifactsInput!$M$24)*CHOOSE(ArtifactsInput!$N$24+1,10,12,14,16,18,20)+IF(ArtifactsInput!$M$10,CHOOSE(ArtifactsInput!$N$10+1,15,18,21,24,27,30)*(IF(Inputs!$B$38="pvp",MIN(15,15)/15,IF(AND(Inputs!$B$38&lt;&gt;"pvp",Inputs!$B$43&gt;0),MIN(15,Inputs!$B$43)/(Inputs!$B$43),0))),0)))&gt;=100),MIN(100,((Inputs!$B$9+((C1208=TRUE)*(F1208-Calc!F19))+B1219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1208=TRUE)*(F1208-Calc!F19))+B1219+(ArtifactsInput!$M$24-ArtifactsInput!$M$24)*CHOOSE(ArtifactsInput!$N$24+1,10,12,14,16,18,20)+IF(ArtifactsInput!$M$10,CHOOSE(ArtifactsInput!$N$10+1,15,18,21,24,27,30)*(IF(Inputs!$B$38="pvp",MIN(15,15)/15,IF(AND(Inputs!$B$38&lt;&gt;"pvp",Inputs!$B$43&gt;0),MIN(15,Inputs!$B$43)/(Inputs!$B$43),0))),0)))&gt;=100),CHOOSE(ArtifactsInput!$N$42+1,40,48,56,64,72,80),0))))/100)*((1+(((C1206=TRUE)*F1206)+((C1213=TRUE)*(F1213-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1193)</f>
        <v/>
      </c>
      <c r="L1193">
        <f>K1193*(MIN(Inputs!$B$22+((C1211=TRUE)*(F1211-Calc!F22)),(Inputs!$B$23+0+(IF(ArtifactsInput!$M$15,CHOOSE(ArtifactsInput!$N$15+1,25,30,35,40,45,50)/100*(Inputs!$B$11-Inputs!$B$11),0))))/100+(Inputs!$B$23+0+(IF(ArtifactsInput!$M$15,CHOOSE(ArtifactsInput!$N$15+1,25,30,35,40,45,50)/100*(Inputs!$B$11-Inputs!$B$11),0)))/100)/2</f>
        <v/>
      </c>
      <c r="M1193">
        <f>L1193*(1+(Inputs!$B$10+((C1214=TRUE)*(F1214-Calc!F25))+B1224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3">
        <f>L1193*(1-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1193*(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3">
        <f>(1-Summary!$B$11)*T1193+Summary!$B$11*V1193</f>
        <v/>
      </c>
      <c r="P1193">
        <f>IF(B1229=0,0,O1193/B1229)</f>
        <v/>
      </c>
      <c r="Q1193">
        <f>IFERROR(1/(IF(Inputs!$B$38="pvp",15,MAX(0.1,Skills!D4-IF(Skills!E4=TRUE,Inputs!$B$32,0)))*(1-IF(AND(ArtifactsInput!$M$27,Inputs!$B$4="Chapter Hunt"),CHOOSE(ArtifactsInput!$N$27+1,20,24,28,32,36,40),0)/100)),0)</f>
        <v/>
      </c>
      <c r="R1193">
        <f>IF(AND(Inputs!$B$38&lt;&gt;"pvp",Inputs!$B$43&gt;0),IF(MAX(0,Inputs!$B$43-B1226)&lt;=0,0,(INT(MAX(0,Inputs!$B$43-B1226)/(IF(Inputs!$B$38="pvp",15,MAX(0.1,Skills!D4-IF(Skills!E4=TRUE,Inputs!$B$32,0)))*(1-IF(AND(ArtifactsInput!$M$27,Inputs!$B$4="Chapter Hunt"),CHOOSE(ArtifactsInput!$N$27+1,20,24,28,32,36,40),0)/100)))+1)),0)</f>
        <v/>
      </c>
      <c r="S1193">
        <f>IFERROR(O1193/N1193,0)</f>
        <v/>
      </c>
      <c r="T1193">
        <f>IF(C1193,(H1193*N1193*IF(AND(Inputs!$B$38&lt;&gt;"pvp",Inputs!$B$43&gt;0),((Skills!G4*((R1193-1)*IF(Skills!H4&gt;0,Skills!I4/Skills!H4,1)+IF(Skills!H4&gt;0,MIN(Skills!I4,MAX(0,MAX(0,Inputs!$B$43-B1226)-((R1193-1)*(IF(Inputs!$B$38="pvp",15,MAX(0.1,Skills!D4-IF(Skills!E4=TRUE,Inputs!$B$32,0)))*(1-IF(AND(ArtifactsInput!$M$27,Inputs!$B$4="Chapter Hunt"),CHOOSE(ArtifactsInput!$N$27+1,20,24,28,32,36,40),0)/100)))))/Skills!H4,1)))/Inputs!$B$43),G1193*Q1193)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1193*(1-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1193*(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1193*(1-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1193*(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3">
        <f>290*U1192/1000</f>
        <v/>
      </c>
      <c r="V1193">
        <f>IF(C1193,(H1193*N1193*IF(AND(Inputs!$B$38&lt;&gt;"pvp",Inputs!$B$43&gt;0),((Skills!G4*((R1193-1)*IF(Skills!H4&gt;0,Skills!I4/Skills!H4,1)+IF(Skills!H4&gt;0,MIN(Skills!I4,MAX(0,MAX(0,Inputs!$B$43-B1226)-((R1193-1)*(IF(Inputs!$B$38="pvp",15,MAX(0.1,Skills!D4-IF(Skills!E4=TRUE,Inputs!$B$32,0)))*(1-IF(AND(ArtifactsInput!$M$27,Inputs!$B$4="Chapter Hunt"),CHOOSE(ArtifactsInput!$N$27+1,20,24,28,32,36,40),0)/100)))))/Skills!H4,1)))/Inputs!$B$43),G1193*Q1193))*IF(Inputs!$B$38="pvp",1,(1+(Inputs!$B$21+Skills!Q4+(IF(ArtifactsInput!$M$33,CHOOSE(ArtifactsInput!$N$33+1,30,36,42,48,54,60)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4">
      <c r="A1194">
        <f>Skills!A5</f>
        <v/>
      </c>
      <c r="B1194">
        <f>Skills!B5</f>
        <v/>
      </c>
      <c r="C1194">
        <f>Inputs!$B$3&gt;=45</f>
        <v/>
      </c>
      <c r="D1194">
        <f>IF(Skills!C5=1,60+Inputs!$B$25+Inputs!$B$29,IF(Skills!C5=2,90+Inputs!$B$26+Inputs!$B$29,IF(Skills!C5=3,120+Inputs!$B$27+Inputs!$B$29,MAX(0,(Inputs!$B$3-100)*3)+Inputs!$B$28+Inputs!$B$29)))</f>
        <v/>
      </c>
      <c r="E1194">
        <f>INDEX(FactorTable!$B$2:$Y$301, MATCH(ROUND(MIN(300,MAX(1,D1194)),0), FactorTable!$A$2:$A$301,0), Skills!M5+1)</f>
        <v/>
      </c>
      <c r="F1194">
        <f>IF(Skills!N5=TRUE,(Skills!L5/10)*(E1194/1000),Skills!L5/10)+Skills!O5</f>
        <v/>
      </c>
      <c r="G1194">
        <f>Skills!G5*IF(Skills!H5&gt;0,Skills!I5/Skills!H5,1)</f>
        <v/>
      </c>
      <c r="H1194">
        <f>1-(1-Skills!J5/100)^Skills!K5</f>
        <v/>
      </c>
      <c r="I1194" t="inlineStr">
        <is>
          <t>1</t>
        </is>
      </c>
      <c r="J1194">
        <f>((Inputs!$B$6*(1+Inputs!$B$7/100))+(((Inputs!$B$12*(1+Inputs!$B$13/100))-(Inputs!$B$12*(1+Inputs!$B$13/100)))+0.25*(Inputs!$B$14-Inputs!$B$14))*(1+Inputs!$B$7/100))*(F1194/100)</f>
        <v/>
      </c>
      <c r="K1194">
        <f>J1194*(1+((Inputs!$B$12*(1+Inputs!$B$13/100))*0.01+Inputs!$B$14*0.0025)/100)*(1+Inputs!$B$15/100)*(1+Inputs!$B$16/100)*(5000/(6000+Inputs!$B$42*(1-(100*(1-(1-(Inputs!$B$19+0)/100)*(1-CHOOSE(ArtifactsInput!$N$40+1,5,6,7,8,9,10)/100)^(ArtifactsInput!$M$40-ArtifactsInput!$M$40)))/100)))*(1+(Inputs!$B$24+((C1215=TRUE)*(F1215-Calc!F26))+B1225)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1205=TRUE,F1205,0)/100)*(1+(IF(Skills!A5="EIGHT_LEGS_EASTON",Inputs!$B$17+((C1212=TRUE)*(F1212-Calc!F23))+((C1216=TRUE)*(F1216-Calc!F27))+(((IF(AND(ArtifactsInput!$M$42,((Inputs!$B$9+((C1208=TRUE)*(F1208-Calc!F19))+B1219+(ArtifactsInput!$M$24-ArtifactsInput!$M$24)*CHOOSE(ArtifactsInput!$N$24+1,10,12,14,16,18,20)+IF(ArtifactsInput!$M$10,CHOOSE(ArtifactsInput!$N$10+1,15,18,21,24,27,30)*(IF(Inputs!$B$38="pvp",MIN(15,15)/15,IF(AND(Inputs!$B$38&lt;&gt;"pvp",Inputs!$B$43&gt;0),MIN(15,Inputs!$B$43)/(Inputs!$B$43),0))),0)))&gt;=100),MIN(100,((Inputs!$B$9+((C1208=TRUE)*(F1208-Calc!F19))+B1219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1208=TRUE)*(F1208-Calc!F19))+B1219+(ArtifactsInput!$M$24-ArtifactsInput!$M$24)*CHOOSE(ArtifactsInput!$N$24+1,10,12,14,16,18,20)+IF(ArtifactsInput!$M$10,CHOOSE(ArtifactsInput!$N$10+1,15,18,21,24,27,30)*(IF(Inputs!$B$38="pvp",MIN(15,15)/15,IF(AND(Inputs!$B$38&lt;&gt;"pvp",Inputs!$B$43&gt;0),MIN(15,Inputs!$B$43)/(Inputs!$B$43),0))),0)))&gt;=100),CHOOSE(ArtifactsInput!$N$42+1,40,48,56,64,72,80),0))))/100)*((1+(((C1206=TRUE)*F1206)+((C1213=TRUE)*(F1213-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1194)</f>
        <v/>
      </c>
      <c r="L1194">
        <f>K1194*(MIN(Inputs!$B$22+((C1211=TRUE)*(F1211-Calc!F22)),(Inputs!$B$23+0+(IF(ArtifactsInput!$M$15,CHOOSE(ArtifactsInput!$N$15+1,25,30,35,40,45,50)/100*(Inputs!$B$11-Inputs!$B$11),0))))/100+(Inputs!$B$23+0+(IF(ArtifactsInput!$M$15,CHOOSE(ArtifactsInput!$N$15+1,25,30,35,40,45,50)/100*(Inputs!$B$11-Inputs!$B$11),0)))/100)/2</f>
        <v/>
      </c>
      <c r="M1194">
        <f>L1194*(1+(Inputs!$B$10+((C1214=TRUE)*(F1214-Calc!F25))+B1224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4">
        <f>L1194*(1-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1194*(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4">
        <f>(1-Summary!$B$11)*T1194+Summary!$B$11*V1194</f>
        <v/>
      </c>
      <c r="P1194">
        <f>IF(B1229=0,0,O1194/B1229)</f>
        <v/>
      </c>
      <c r="Q1194">
        <f>IFERROR(1/(IF(Inputs!$B$38="pvp",15,MAX(0.1,Skills!D5-IF(Skills!E5=TRUE,Inputs!$B$32,0)))*(1-IF(AND(ArtifactsInput!$M$27,Inputs!$B$4="Chapter Hunt"),CHOOSE(ArtifactsInput!$N$27+1,20,24,28,32,36,40),0)/100)),0)</f>
        <v/>
      </c>
      <c r="R1194">
        <f>IF(AND(Inputs!$B$38&lt;&gt;"pvp",Inputs!$B$43&gt;0),IF(MAX(0,Inputs!$B$43-B1226)&lt;=0,0,(INT(MAX(0,Inputs!$B$43-B1226)/(IF(Inputs!$B$38="pvp",15,MAX(0.1,Skills!D5-IF(Skills!E5=TRUE,Inputs!$B$32,0)))*(1-IF(AND(ArtifactsInput!$M$27,Inputs!$B$4="Chapter Hunt"),CHOOSE(ArtifactsInput!$N$27+1,20,24,28,32,36,40),0)/100)))+1)),0)</f>
        <v/>
      </c>
      <c r="S1194">
        <f>IFERROR(O1194/N1194,0)</f>
        <v/>
      </c>
      <c r="T1194">
        <f>IF(C1194,(H1194*N1194*IF(AND(Inputs!$B$38&lt;&gt;"pvp",Inputs!$B$43&gt;0),((Skills!G5*((R1194-1)*IF(Skills!H5&gt;0,Skills!I5/Skills!H5,1)+IF(Skills!H5&gt;0,MIN(Skills!I5,MAX(0,MAX(0,Inputs!$B$43-B1226)-((R1194-1)*(IF(Inputs!$B$38="pvp",15,MAX(0.1,Skills!D5-IF(Skills!E5=TRUE,Inputs!$B$32,0)))*(1-IF(AND(ArtifactsInput!$M$27,Inputs!$B$4="Chapter Hunt"),CHOOSE(ArtifactsInput!$N$27+1,20,24,28,32,36,40),0)/100)))))/Skills!H5,1)))/Inputs!$B$43),G1194*Q1194)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1194*(1-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1194*(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1194*(1-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1194*(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4">
        <f>IF(C1194,(H1194*N1194*IF(AND(Inputs!$B$38&lt;&gt;"pvp",Inputs!$B$43&gt;0),((Skills!G5*((R1194-1)*IF(Skills!H5&gt;0,Skills!I5/Skills!H5,1)+IF(Skills!H5&gt;0,MIN(Skills!I5,MAX(0,MAX(0,Inputs!$B$43-B1226)-((R1194-1)*(IF(Inputs!$B$38="pvp",15,MAX(0.1,Skills!D5-IF(Skills!E5=TRUE,Inputs!$B$32,0)))*(1-IF(AND(ArtifactsInput!$M$27,Inputs!$B$4="Chapter Hunt"),CHOOSE(ArtifactsInput!$N$27+1,20,24,28,32,36,40),0)/100)))))/Skills!H5,1)))/Inputs!$B$43),G1194*Q1194))*IF(Inputs!$B$38="pvp",1,(1+(Inputs!$B$21+Skills!Q5+(IF(ArtifactsInput!$M$33,CHOOSE(ArtifactsInput!$N$33+1,30,36,42,48,54,60)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5">
      <c r="A1195">
        <f>Skills!A6</f>
        <v/>
      </c>
      <c r="B1195">
        <f>Skills!B6</f>
        <v/>
      </c>
      <c r="C1195">
        <f>Inputs!$B$3&gt;=63</f>
        <v/>
      </c>
      <c r="D1195">
        <f>IF(Skills!C6=1,60+Inputs!$B$25+Inputs!$B$29,IF(Skills!C6=2,90+Inputs!$B$26+Inputs!$B$29,IF(Skills!C6=3,120+Inputs!$B$27+Inputs!$B$29,MAX(0,(Inputs!$B$3-100)*3)+Inputs!$B$28+Inputs!$B$29)))</f>
        <v/>
      </c>
      <c r="E1195">
        <f>INDEX(FactorTable!$B$2:$Y$301, MATCH(ROUND(MIN(300,MAX(1,D1195)),0), FactorTable!$A$2:$A$301,0), Skills!M6+1)</f>
        <v/>
      </c>
      <c r="F1195">
        <f>IF(Skills!N6=TRUE,(Skills!L6/10)*(E1195/1000),Skills!L6/10)+Skills!O6</f>
        <v/>
      </c>
      <c r="G1195">
        <f>Skills!G6*IF(Skills!H6&gt;0,Skills!I6/Skills!H6,1)</f>
        <v/>
      </c>
      <c r="H1195">
        <f>1-(1-Skills!J6/100)^Skills!K6</f>
        <v/>
      </c>
      <c r="I1195" t="inlineStr">
        <is>
          <t>1</t>
        </is>
      </c>
      <c r="J1195">
        <f>((Inputs!$B$6*(1+Inputs!$B$7/100))+(((Inputs!$B$12*(1+Inputs!$B$13/100))-(Inputs!$B$12*(1+Inputs!$B$13/100)))+0.25*(Inputs!$B$14-Inputs!$B$14))*(1+Inputs!$B$7/100))*(F1195/100)</f>
        <v/>
      </c>
      <c r="K1195">
        <f>J1195*(1+((Inputs!$B$12*(1+Inputs!$B$13/100))*0.01+Inputs!$B$14*0.0025)/100)*(1+Inputs!$B$15/100)*(1+Inputs!$B$16/100)*(5000/(6000+Inputs!$B$42*(1-(100*(1-(1-(Inputs!$B$19+0)/100)*(1-CHOOSE(ArtifactsInput!$N$40+1,5,6,7,8,9,10)/100)^(ArtifactsInput!$M$40-ArtifactsInput!$M$40)))/100)))*(1+(Inputs!$B$24+((C1215=TRUE)*(F1215-Calc!F26))+B1225)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1204=TRUE,F1204,0)/100)*(1+(IF(Skills!A6="EIGHT_LEGS_EASTON",Inputs!$B$17+((C1212=TRUE)*(F1212-Calc!F23))+((C1216=TRUE)*(F1216-Calc!F27))+(((IF(AND(ArtifactsInput!$M$42,((Inputs!$B$9+((C1208=TRUE)*(F1208-Calc!F19))+B1219+(ArtifactsInput!$M$24-ArtifactsInput!$M$24)*CHOOSE(ArtifactsInput!$N$24+1,10,12,14,16,18,20)+IF(ArtifactsInput!$M$10,CHOOSE(ArtifactsInput!$N$10+1,15,18,21,24,27,30)*(IF(Inputs!$B$38="pvp",MIN(15,15)/15,IF(AND(Inputs!$B$38&lt;&gt;"pvp",Inputs!$B$43&gt;0),MIN(15,Inputs!$B$43)/(Inputs!$B$43),0))),0)))&gt;=100),MIN(100,((Inputs!$B$9+((C1208=TRUE)*(F1208-Calc!F19))+B1219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1208=TRUE)*(F1208-Calc!F19))+B1219+(ArtifactsInput!$M$24-ArtifactsInput!$M$24)*CHOOSE(ArtifactsInput!$N$24+1,10,12,14,16,18,20)+IF(ArtifactsInput!$M$10,CHOOSE(ArtifactsInput!$N$10+1,15,18,21,24,27,30)*(IF(Inputs!$B$38="pvp",MIN(15,15)/15,IF(AND(Inputs!$B$38&lt;&gt;"pvp",Inputs!$B$43&gt;0),MIN(15,Inputs!$B$43)/(Inputs!$B$43),0))),0)))&gt;=100),CHOOSE(ArtifactsInput!$N$42+1,40,48,56,64,72,80),0))))/100)*((1+(((C1206=TRUE)*F1206)+((C1213=TRUE)*(F1213-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1195)</f>
        <v/>
      </c>
      <c r="L1195">
        <f>K1195*(MIN(Inputs!$B$22+((C1211=TRUE)*(F1211-Calc!F22)),(Inputs!$B$23+0+(IF(ArtifactsInput!$M$15,CHOOSE(ArtifactsInput!$N$15+1,25,30,35,40,45,50)/100*(Inputs!$B$11-Inputs!$B$11),0))))/100+(Inputs!$B$23+0+(IF(ArtifactsInput!$M$15,CHOOSE(ArtifactsInput!$N$15+1,25,30,35,40,45,50)/100*(Inputs!$B$11-Inputs!$B$11),0)))/100)/2</f>
        <v/>
      </c>
      <c r="M1195">
        <f>L1195*(1+(Inputs!$B$10+((C1214=TRUE)*(F1214-Calc!F25))+B1224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5">
        <f>L1195*(1-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1195*(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5">
        <f>(1-Summary!$B$11)*T1195+Summary!$B$11*V1195</f>
        <v/>
      </c>
      <c r="P1195">
        <f>IF(B1229=0,0,O1195/B1229)</f>
        <v/>
      </c>
      <c r="Q1195">
        <f>IFERROR(1/(IF(Inputs!$B$38="pvp",15,MAX(0.1,Skills!D6-IF(Skills!E6=TRUE,Inputs!$B$32,0)))*(1-IF(AND(ArtifactsInput!$M$27,Inputs!$B$4="Chapter Hunt"),CHOOSE(ArtifactsInput!$N$27+1,20,24,28,32,36,40),0)/100)),0)</f>
        <v/>
      </c>
      <c r="R1195">
        <f>IF(AND(Inputs!$B$38&lt;&gt;"pvp",Inputs!$B$43&gt;0),IF(MAX(0,Inputs!$B$43-B1226)&lt;=0,0,(INT(MAX(0,Inputs!$B$43-B1226)/(IF(Inputs!$B$38="pvp",15,MAX(0.1,Skills!D6-IF(Skills!E6=TRUE,Inputs!$B$32,0)))*(1-IF(AND(ArtifactsInput!$M$27,Inputs!$B$4="Chapter Hunt"),CHOOSE(ArtifactsInput!$N$27+1,20,24,28,32,36,40),0)/100)))+1)),0)</f>
        <v/>
      </c>
      <c r="S1195">
        <f>IFERROR(O1195/N1195,0)</f>
        <v/>
      </c>
      <c r="T1195">
        <f>IF(C1195,(H1195*N1195*IF(AND(Inputs!$B$38&lt;&gt;"pvp",Inputs!$B$43&gt;0),((Skills!G6*((R1195-1)*IF(Skills!H6&gt;0,Skills!I6/Skills!H6,1)+IF(Skills!H6&gt;0,MIN(Skills!I6,MAX(0,MAX(0,Inputs!$B$43-B1226)-((R1195-1)*(IF(Inputs!$B$38="pvp",15,MAX(0.1,Skills!D6-IF(Skills!E6=TRUE,Inputs!$B$32,0)))*(1-IF(AND(ArtifactsInput!$M$27,Inputs!$B$4="Chapter Hunt"),CHOOSE(ArtifactsInput!$N$27+1,20,24,28,32,36,40),0)/100)))))/Skills!H6,1)))/Inputs!$B$43),G1195*Q1195)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1195*(1-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1195*(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1195*(1-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1195*(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5">
        <f>IF(C1195,(H1195*N1195*IF(AND(Inputs!$B$38&lt;&gt;"pvp",Inputs!$B$43&gt;0),((Skills!G6*((R1195-1)*IF(Skills!H6&gt;0,Skills!I6/Skills!H6,1)+IF(Skills!H6&gt;0,MIN(Skills!I6,MAX(0,MAX(0,Inputs!$B$43-B1226)-((R1195-1)*(IF(Inputs!$B$38="pvp",15,MAX(0.1,Skills!D6-IF(Skills!E6=TRUE,Inputs!$B$32,0)))*(1-IF(AND(ArtifactsInput!$M$27,Inputs!$B$4="Chapter Hunt"),CHOOSE(ArtifactsInput!$N$27+1,20,24,28,32,36,40),0)/100)))))/Skills!H6,1)))/Inputs!$B$43),G1195*Q1195))*IF(Inputs!$B$38="pvp",1,(1+(Inputs!$B$21+Skills!Q6+(IF(ArtifactsInput!$M$33,CHOOSE(ArtifactsInput!$N$33+1,30,36,42,48,54,60)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6">
      <c r="A1196">
        <f>Skills!A7</f>
        <v/>
      </c>
      <c r="B1196">
        <f>Skills!B7</f>
        <v/>
      </c>
      <c r="C1196">
        <f>Inputs!$B$3&gt;=66</f>
        <v/>
      </c>
      <c r="D1196">
        <f>IF(Skills!C7=1,60+Inputs!$B$25+Inputs!$B$29,IF(Skills!C7=2,90+Inputs!$B$26+Inputs!$B$29,IF(Skills!C7=3,120+Inputs!$B$27+Inputs!$B$29,MAX(0,(Inputs!$B$3-100)*3)+Inputs!$B$28+Inputs!$B$29)))</f>
        <v/>
      </c>
      <c r="E1196">
        <f>INDEX(FactorTable!$B$2:$Y$301, MATCH(ROUND(MIN(300,MAX(1,D1196)),0), FactorTable!$A$2:$A$301,0), Skills!M7+1)</f>
        <v/>
      </c>
      <c r="F1196">
        <f>IF(Skills!N7=TRUE,(Skills!L7/10)*(E1196/1000),Skills!L7/10)+Skills!O7</f>
        <v/>
      </c>
      <c r="G1196">
        <f>Skills!G7*IF(Skills!H7&gt;0,Skills!I7/Skills!H7,1)</f>
        <v/>
      </c>
      <c r="H1196">
        <f>1-(1-Skills!J7/100)^Skills!K7</f>
        <v/>
      </c>
      <c r="I1196" t="inlineStr">
        <is>
          <t>1</t>
        </is>
      </c>
      <c r="J1196">
        <f>((Inputs!$B$6*(1+Inputs!$B$7/100))+(((Inputs!$B$12*(1+Inputs!$B$13/100))-(Inputs!$B$12*(1+Inputs!$B$13/100)))+0.25*(Inputs!$B$14-Inputs!$B$14))*(1+Inputs!$B$7/100))*(F1196/100)</f>
        <v/>
      </c>
      <c r="K1196">
        <f>J1196*(1+((Inputs!$B$12*(1+Inputs!$B$13/100))*0.01+Inputs!$B$14*0.0025)/100)*(1+Inputs!$B$15/100)*(1+Inputs!$B$16/100)*(5000/(6000+Inputs!$B$42*(1-(100*(1-(1-(Inputs!$B$19+0)/100)*(1-CHOOSE(ArtifactsInput!$N$40+1,5,6,7,8,9,10)/100)^(ArtifactsInput!$M$40-ArtifactsInput!$M$40)))/100)))*(1+(Inputs!$B$24+((C1215=TRUE)*(F1215-Calc!F26))+B1225)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1204=TRUE,F1204,0)/100)*(1+(IF(Skills!A7="EIGHT_LEGS_EASTON",Inputs!$B$17+((C1212=TRUE)*(F1212-Calc!F23))+((C1216=TRUE)*(F1216-Calc!F27))+(((IF(AND(ArtifactsInput!$M$42,((Inputs!$B$9+((C1208=TRUE)*(F1208-Calc!F19))+B1219+(ArtifactsInput!$M$24-ArtifactsInput!$M$24)*CHOOSE(ArtifactsInput!$N$24+1,10,12,14,16,18,20)+IF(ArtifactsInput!$M$10,CHOOSE(ArtifactsInput!$N$10+1,15,18,21,24,27,30)*(IF(Inputs!$B$38="pvp",MIN(15,15)/15,IF(AND(Inputs!$B$38&lt;&gt;"pvp",Inputs!$B$43&gt;0),MIN(15,Inputs!$B$43)/(Inputs!$B$43),0))),0)))&gt;=100),MIN(100,((Inputs!$B$9+((C1208=TRUE)*(F1208-Calc!F19))+B1219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1208=TRUE)*(F1208-Calc!F19))+B1219+(ArtifactsInput!$M$24-ArtifactsInput!$M$24)*CHOOSE(ArtifactsInput!$N$24+1,10,12,14,16,18,20)+IF(ArtifactsInput!$M$10,CHOOSE(ArtifactsInput!$N$10+1,15,18,21,24,27,30)*(IF(Inputs!$B$38="pvp",MIN(15,15)/15,IF(AND(Inputs!$B$38&lt;&gt;"pvp",Inputs!$B$43&gt;0),MIN(15,Inputs!$B$43)/(Inputs!$B$43),0))),0)))&gt;=100),CHOOSE(ArtifactsInput!$N$42+1,40,48,56,64,72,80),0))))/100)*((1+(((C1206=TRUE)*F1206)+((C1213=TRUE)*(F1213-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1196)</f>
        <v/>
      </c>
      <c r="L1196">
        <f>K1196*(MIN(Inputs!$B$22+((C1211=TRUE)*(F1211-Calc!F22)),(Inputs!$B$23+0+(IF(ArtifactsInput!$M$15,CHOOSE(ArtifactsInput!$N$15+1,25,30,35,40,45,50)/100*(Inputs!$B$11-Inputs!$B$11),0))))/100+(Inputs!$B$23+0+(IF(ArtifactsInput!$M$15,CHOOSE(ArtifactsInput!$N$15+1,25,30,35,40,45,50)/100*(Inputs!$B$11-Inputs!$B$11),0)))/100)/2</f>
        <v/>
      </c>
      <c r="M1196">
        <f>L1196*(1+(Inputs!$B$10+((C1214=TRUE)*(F1214-Calc!F25))+B1224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6">
        <f>L1196*(1-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1196*(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6">
        <f>(1-Summary!$B$11)*T1196+Summary!$B$11*V1196</f>
        <v/>
      </c>
      <c r="P1196">
        <f>IF(B1229=0,0,O1196/B1229)</f>
        <v/>
      </c>
      <c r="Q1196">
        <f>IFERROR(1/(IF(Inputs!$B$38="pvp",15,MAX(0.1,Skills!D7-IF(Skills!E7=TRUE,Inputs!$B$32,0)))*(1-IF(AND(ArtifactsInput!$M$27,Inputs!$B$4="Chapter Hunt"),CHOOSE(ArtifactsInput!$N$27+1,20,24,28,32,36,40),0)/100)),0)</f>
        <v/>
      </c>
      <c r="R1196">
        <f>IF(AND(Inputs!$B$38&lt;&gt;"pvp",Inputs!$B$43&gt;0),IF(MAX(0,Inputs!$B$43-B1226)&lt;=0,0,(INT(MAX(0,Inputs!$B$43-B1226)/(IF(Inputs!$B$38="pvp",15,MAX(0.1,Skills!D7-IF(Skills!E7=TRUE,Inputs!$B$32,0)))*(1-IF(AND(ArtifactsInput!$M$27,Inputs!$B$4="Chapter Hunt"),CHOOSE(ArtifactsInput!$N$27+1,20,24,28,32,36,40),0)/100)))+1)),0)</f>
        <v/>
      </c>
      <c r="S1196">
        <f>IFERROR(O1196/N1196,0)</f>
        <v/>
      </c>
      <c r="T1196">
        <f>IF(C1196,(H1196*N1196*IF(AND(Inputs!$B$38&lt;&gt;"pvp",Inputs!$B$43&gt;0),((Skills!G7*((R1196-1)*IF(Skills!H7&gt;0,Skills!I7/Skills!H7,1)+IF(Skills!H7&gt;0,MIN(Skills!I7,MAX(0,MAX(0,Inputs!$B$43-B1226)-((R1196-1)*(IF(Inputs!$B$38="pvp",15,MAX(0.1,Skills!D7-IF(Skills!E7=TRUE,Inputs!$B$32,0)))*(1-IF(AND(ArtifactsInput!$M$27,Inputs!$B$4="Chapter Hunt"),CHOOSE(ArtifactsInput!$N$27+1,20,24,28,32,36,40),0)/100)))))/Skills!H7,1)))/Inputs!$B$43),G1196*Q1196)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1196*(1-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1196*(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1196*(1-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1196*(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6">
        <f>IF(C1196,(H1196*N1196*IF(AND(Inputs!$B$38&lt;&gt;"pvp",Inputs!$B$43&gt;0),((Skills!G7*((R1196-1)*IF(Skills!H7&gt;0,Skills!I7/Skills!H7,1)+IF(Skills!H7&gt;0,MIN(Skills!I7,MAX(0,MAX(0,Inputs!$B$43-B1226)-((R1196-1)*(IF(Inputs!$B$38="pvp",15,MAX(0.1,Skills!D7-IF(Skills!E7=TRUE,Inputs!$B$32,0)))*(1-IF(AND(ArtifactsInput!$M$27,Inputs!$B$4="Chapter Hunt"),CHOOSE(ArtifactsInput!$N$27+1,20,24,28,32,36,40),0)/100)))))/Skills!H7,1)))/Inputs!$B$43),G1196*Q1196))*IF(Inputs!$B$38="pvp",1,(1+(Inputs!$B$21+Skills!Q7+(IF(ArtifactsInput!$M$33,CHOOSE(ArtifactsInput!$N$33+1,30,36,42,48,54,60)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7">
      <c r="A1197">
        <f>Skills!A8</f>
        <v/>
      </c>
      <c r="B1197">
        <f>Skills!B8</f>
        <v/>
      </c>
      <c r="C1197">
        <f>Inputs!$B$3&gt;=100</f>
        <v/>
      </c>
      <c r="D1197">
        <f>IF(Skills!C8=1,60+Inputs!$B$25+Inputs!$B$29,IF(Skills!C8=2,90+Inputs!$B$26+Inputs!$B$29,IF(Skills!C8=3,120+Inputs!$B$27+Inputs!$B$29,MAX(0,(Inputs!$B$3-100)*3)+Inputs!$B$28+Inputs!$B$29)))</f>
        <v/>
      </c>
      <c r="E1197">
        <f>INDEX(FactorTable!$B$2:$Y$301, MATCH(ROUND(MIN(300,MAX(1,D1197)),0), FactorTable!$A$2:$A$301,0), Skills!M8+1)</f>
        <v/>
      </c>
      <c r="F1197">
        <f>IF(Skills!N8=TRUE,(Skills!L8/10)*(E1197/1000),Skills!L8/10)+Skills!O8</f>
        <v/>
      </c>
      <c r="G1197">
        <f>Skills!G8*IF(Skills!H8&gt;0,Skills!I8/Skills!H8,1)</f>
        <v/>
      </c>
      <c r="H1197">
        <f>1-(1-Skills!J8/100)^Skills!K8</f>
        <v/>
      </c>
      <c r="I1197" t="inlineStr">
        <is>
          <t>1</t>
        </is>
      </c>
      <c r="J1197">
        <f>((Inputs!$B$6*(1+Inputs!$B$7/100))+(((Inputs!$B$12*(1+Inputs!$B$13/100))-(Inputs!$B$12*(1+Inputs!$B$13/100)))+0.25*(Inputs!$B$14-Inputs!$B$14))*(1+Inputs!$B$7/100))*(F1197/100)</f>
        <v/>
      </c>
      <c r="K1197">
        <f>J1197*(1+((Inputs!$B$12*(1+Inputs!$B$13/100))*0.01+Inputs!$B$14*0.0025)/100)*(1+Inputs!$B$15/100)*(1+Inputs!$B$16/100)*(5000/(6000+Inputs!$B$42*(1-(100*(1-(1-(Inputs!$B$19+0)/100)*(1-CHOOSE(ArtifactsInput!$N$40+1,5,6,7,8,9,10)/100)^(ArtifactsInput!$M$40-ArtifactsInput!$M$40)))/100)))*(1+(Inputs!$B$24+((C1215=TRUE)*(F1215-Calc!F26))+B1225)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1212=TRUE)*(F1212-Calc!F23))+((C1216=TRUE)*(F1216-Calc!F27))+(((IF(AND(ArtifactsInput!$M$42,((Inputs!$B$9+((C1208=TRUE)*(F1208-Calc!F19))+B1219+(ArtifactsInput!$M$24-ArtifactsInput!$M$24)*CHOOSE(ArtifactsInput!$N$24+1,10,12,14,16,18,20)+IF(ArtifactsInput!$M$10,CHOOSE(ArtifactsInput!$N$10+1,15,18,21,24,27,30)*(IF(Inputs!$B$38="pvp",MIN(15,15)/15,IF(AND(Inputs!$B$38&lt;&gt;"pvp",Inputs!$B$43&gt;0),MIN(15,Inputs!$B$43)/(Inputs!$B$43),0))),0)))&gt;=100),MIN(100,((Inputs!$B$9+((C1208=TRUE)*(F1208-Calc!F19))+B1219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1208=TRUE)*(F1208-Calc!F19))+B1219+(ArtifactsInput!$M$24-ArtifactsInput!$M$24)*CHOOSE(ArtifactsInput!$N$24+1,10,12,14,16,18,20)+IF(ArtifactsInput!$M$10,CHOOSE(ArtifactsInput!$N$10+1,15,18,21,24,27,30)*(IF(Inputs!$B$38="pvp",MIN(15,15)/15,IF(AND(Inputs!$B$38&lt;&gt;"pvp",Inputs!$B$43&gt;0),MIN(15,Inputs!$B$43)/(Inputs!$B$43),0))),0)))&gt;=100),CHOOSE(ArtifactsInput!$N$42+1,40,48,56,64,72,80),0))))/100)*((1+(((C1206=TRUE)*F1206)+((C1213=TRUE)*(F1213-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1197)</f>
        <v/>
      </c>
      <c r="L1197">
        <f>K1197*(MIN(Inputs!$B$22+((C1211=TRUE)*(F1211-Calc!F22)),(Inputs!$B$23+0+(IF(ArtifactsInput!$M$15,CHOOSE(ArtifactsInput!$N$15+1,25,30,35,40,45,50)/100*(Inputs!$B$11-Inputs!$B$11),0))))/100+(Inputs!$B$23+0+(IF(ArtifactsInput!$M$15,CHOOSE(ArtifactsInput!$N$15+1,25,30,35,40,45,50)/100*(Inputs!$B$11-Inputs!$B$11),0)))/100)/2</f>
        <v/>
      </c>
      <c r="M1197">
        <f>L1197*(1+(Inputs!$B$10+((C1214=TRUE)*(F1214-Calc!F25))+B1224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7">
        <f>L1197*(1-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1197*(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7">
        <f>(1-Summary!$B$11)*T1197+Summary!$B$11*V1197</f>
        <v/>
      </c>
      <c r="P1197">
        <f>IF(B1229=0,0,O1197/B1229)</f>
        <v/>
      </c>
      <c r="Q1197">
        <f>IFERROR(1/(IF(Inputs!$B$38="pvp",15,MAX(0.1,Skills!D8-IF(Skills!E8=TRUE,Inputs!$B$32,0)))*(1-IF(AND(ArtifactsInput!$M$27,Inputs!$B$4="Chapter Hunt"),CHOOSE(ArtifactsInput!$N$27+1,20,24,28,32,36,40),0)/100)),0)</f>
        <v/>
      </c>
      <c r="R1197">
        <f>IF(AND(Inputs!$B$38&lt;&gt;"pvp",Inputs!$B$43&gt;0),IF(MAX(0,Inputs!$B$43-B1226)&lt;=0,0,(INT(MAX(0,Inputs!$B$43-B1226)/(IF(Inputs!$B$38="pvp",15,MAX(0.1,Skills!D8-IF(Skills!E8=TRUE,Inputs!$B$32,0)))*(1-IF(AND(ArtifactsInput!$M$27,Inputs!$B$4="Chapter Hunt"),CHOOSE(ArtifactsInput!$N$27+1,20,24,28,32,36,40),0)/100)))+1)),0)</f>
        <v/>
      </c>
      <c r="S1197">
        <f>IFERROR(O1197/N1197,0)</f>
        <v/>
      </c>
      <c r="T1197">
        <f>IF(C1197,(H1197*N1197*IF(AND(Inputs!$B$38&lt;&gt;"pvp",Inputs!$B$43&gt;0),((Skills!G8*((R1197-1)*IF(Skills!H8&gt;0,Skills!I8/Skills!H8,1)+IF(Skills!H8&gt;0,MIN(Skills!I8,MAX(0,MAX(0,Inputs!$B$43-B1226)-((R1197-1)*(IF(Inputs!$B$38="pvp",15,MAX(0.1,Skills!D8-IF(Skills!E8=TRUE,Inputs!$B$32,0)))*(1-IF(AND(ArtifactsInput!$M$27,Inputs!$B$4="Chapter Hunt"),CHOOSE(ArtifactsInput!$N$27+1,20,24,28,32,36,40),0)/100)))))/Skills!H8,1)))/Inputs!$B$43),G1197*Q1197)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1197*(1-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1197*(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1197*(1-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1197*(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7">
        <f>IF(C1197,(H1197*N1197*IF(AND(Inputs!$B$38&lt;&gt;"pvp",Inputs!$B$43&gt;0),((Skills!G8*((R1197-1)*IF(Skills!H8&gt;0,Skills!I8/Skills!H8,1)+IF(Skills!H8&gt;0,MIN(Skills!I8,MAX(0,MAX(0,Inputs!$B$43-B1226)-((R1197-1)*(IF(Inputs!$B$38="pvp",15,MAX(0.1,Skills!D8-IF(Skills!E8=TRUE,Inputs!$B$32,0)))*(1-IF(AND(ArtifactsInput!$M$27,Inputs!$B$4="Chapter Hunt"),CHOOSE(ArtifactsInput!$N$27+1,20,24,28,32,36,40),0)/100)))))/Skills!H8,1)))/Inputs!$B$43),G1197*Q1197))*IF(Inputs!$B$38="pvp",1,(1+(Inputs!$B$21+Skills!Q8+(IF(ArtifactsInput!$M$33,CHOOSE(ArtifactsInput!$N$33+1,30,36,42,48,54,60)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8">
      <c r="A1198">
        <f>Skills!A9</f>
        <v/>
      </c>
      <c r="B1198">
        <f>Skills!B9</f>
        <v/>
      </c>
      <c r="C1198">
        <f>Inputs!$B$3&gt;=103</f>
        <v/>
      </c>
      <c r="D1198">
        <f>IF(Skills!C9=1,60+Inputs!$B$25+Inputs!$B$29,IF(Skills!C9=2,90+Inputs!$B$26+Inputs!$B$29,IF(Skills!C9=3,120+Inputs!$B$27+Inputs!$B$29,MAX(0,(Inputs!$B$3-100)*3)+Inputs!$B$28+Inputs!$B$29)))</f>
        <v/>
      </c>
      <c r="E1198">
        <f>INDEX(FactorTable!$B$2:$Y$301, MATCH(ROUND(MIN(300,MAX(1,D1198)),0), FactorTable!$A$2:$A$301,0), Skills!M9+1)</f>
        <v/>
      </c>
      <c r="F1198">
        <f>IF(Skills!N9=TRUE,(Skills!L9/10)*(E1198/1000),Skills!L9/10)+Skills!O9</f>
        <v/>
      </c>
      <c r="G1198">
        <f>Skills!G9*IF(Skills!H9&gt;0,Skills!I9/Skills!H9,1)</f>
        <v/>
      </c>
      <c r="H1198">
        <f>1-(1-Skills!J9/100)^Skills!K9</f>
        <v/>
      </c>
      <c r="I1198" t="inlineStr">
        <is>
          <t>1</t>
        </is>
      </c>
      <c r="J1198">
        <f>((Inputs!$B$6*(1+Inputs!$B$7/100))+(((Inputs!$B$12*(1+Inputs!$B$13/100))-(Inputs!$B$12*(1+Inputs!$B$13/100)))+0.25*(Inputs!$B$14-Inputs!$B$14))*(1+Inputs!$B$7/100))*(F1198/100)</f>
        <v/>
      </c>
      <c r="K1198">
        <f>J1198*(1+((Inputs!$B$12*(1+Inputs!$B$13/100))*0.01+Inputs!$B$14*0.0025)/100)*(1+Inputs!$B$15/100)*(1+Inputs!$B$16/100)*(5000/(6000+Inputs!$B$42*(1-(100*(1-(1-(Inputs!$B$19+0)/100)*(1-CHOOSE(ArtifactsInput!$N$40+1,5,6,7,8,9,10)/100)^(ArtifactsInput!$M$40-ArtifactsInput!$M$40)))/100)))*(1+(Inputs!$B$24+((C1215=TRUE)*(F1215-Calc!F26))+B1225)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1212=TRUE)*(F1212-Calc!F23))+((C1216=TRUE)*(F1216-Calc!F27))+(((IF(AND(ArtifactsInput!$M$42,((Inputs!$B$9+((C1208=TRUE)*(F1208-Calc!F19))+B1219+(ArtifactsInput!$M$24-ArtifactsInput!$M$24)*CHOOSE(ArtifactsInput!$N$24+1,10,12,14,16,18,20)+IF(ArtifactsInput!$M$10,CHOOSE(ArtifactsInput!$N$10+1,15,18,21,24,27,30)*(IF(Inputs!$B$38="pvp",MIN(15,15)/15,IF(AND(Inputs!$B$38&lt;&gt;"pvp",Inputs!$B$43&gt;0),MIN(15,Inputs!$B$43)/(Inputs!$B$43),0))),0)))&gt;=100),MIN(100,((Inputs!$B$9+((C1208=TRUE)*(F1208-Calc!F19))+B1219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1208=TRUE)*(F1208-Calc!F19))+B1219+(ArtifactsInput!$M$24-ArtifactsInput!$M$24)*CHOOSE(ArtifactsInput!$N$24+1,10,12,14,16,18,20)+IF(ArtifactsInput!$M$10,CHOOSE(ArtifactsInput!$N$10+1,15,18,21,24,27,30)*(IF(Inputs!$B$38="pvp",MIN(15,15)/15,IF(AND(Inputs!$B$38&lt;&gt;"pvp",Inputs!$B$43&gt;0),MIN(15,Inputs!$B$43)/(Inputs!$B$43),0))),0)))&gt;=100),CHOOSE(ArtifactsInput!$N$42+1,40,48,56,64,72,80),0))))/100)*((1+(((C1206=TRUE)*F1206)+((C1213=TRUE)*(F1213-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1198)</f>
        <v/>
      </c>
      <c r="L1198">
        <f>K1198*(MIN(Inputs!$B$22+((C1211=TRUE)*(F1211-Calc!F22)),(Inputs!$B$23+0+(IF(ArtifactsInput!$M$15,CHOOSE(ArtifactsInput!$N$15+1,25,30,35,40,45,50)/100*(Inputs!$B$11-Inputs!$B$11),0))))/100+(Inputs!$B$23+0+(IF(ArtifactsInput!$M$15,CHOOSE(ArtifactsInput!$N$15+1,25,30,35,40,45,50)/100*(Inputs!$B$11-Inputs!$B$11),0)))/100)/2</f>
        <v/>
      </c>
      <c r="M1198">
        <f>L1198*(1+(Inputs!$B$10+((C1214=TRUE)*(F1214-Calc!F25))+B1224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8">
        <f>L1198*(1-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1198*(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8">
        <f>(1-Summary!$B$11)*T1198+Summary!$B$11*V1198</f>
        <v/>
      </c>
      <c r="P1198">
        <f>IF(B1229=0,0,O1198/B1229)</f>
        <v/>
      </c>
      <c r="Q1198">
        <f>IFERROR(1/(IF(Inputs!$B$38="pvp",15,MAX(0.1,Skills!D9-IF(Skills!E9=TRUE,Inputs!$B$32,0)))*(1-IF(AND(ArtifactsInput!$M$27,Inputs!$B$4="Chapter Hunt"),CHOOSE(ArtifactsInput!$N$27+1,20,24,28,32,36,40),0)/100)),0)</f>
        <v/>
      </c>
      <c r="R1198">
        <f>IF(AND(Inputs!$B$38&lt;&gt;"pvp",Inputs!$B$43&gt;0),IF(MAX(0,Inputs!$B$43-B1226)&lt;=0,0,(INT(MAX(0,Inputs!$B$43-B1226)/(IF(Inputs!$B$38="pvp",15,MAX(0.1,Skills!D9-IF(Skills!E9=TRUE,Inputs!$B$32,0)))*(1-IF(AND(ArtifactsInput!$M$27,Inputs!$B$4="Chapter Hunt"),CHOOSE(ArtifactsInput!$N$27+1,20,24,28,32,36,40),0)/100)))+1)),0)</f>
        <v/>
      </c>
      <c r="S1198">
        <f>IFERROR(O1198/N1198,0)</f>
        <v/>
      </c>
      <c r="T1198">
        <f>IF(C1198,(H1198*N1198*IF(AND(Inputs!$B$38&lt;&gt;"pvp",Inputs!$B$43&gt;0),((Skills!G9*((R1198-1)*IF(Skills!H9&gt;0,Skills!I9/Skills!H9,1)+IF(Skills!H9&gt;0,MIN(Skills!I9,MAX(0,MAX(0,Inputs!$B$43-B1226)-((R1198-1)*(IF(Inputs!$B$38="pvp",15,MAX(0.1,Skills!D9-IF(Skills!E9=TRUE,Inputs!$B$32,0)))*(1-IF(AND(ArtifactsInput!$M$27,Inputs!$B$4="Chapter Hunt"),CHOOSE(ArtifactsInput!$N$27+1,20,24,28,32,36,40),0)/100)))))/Skills!H9,1)))/Inputs!$B$43),G1198*Q1198)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1198*(1-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1198*(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1198*(1-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1198*(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8">
        <f>IF(C1198,(H1198*N1198*IF(AND(Inputs!$B$38&lt;&gt;"pvp",Inputs!$B$43&gt;0),((Skills!G9*((R1198-1)*IF(Skills!H9&gt;0,Skills!I9/Skills!H9,1)+IF(Skills!H9&gt;0,MIN(Skills!I9,MAX(0,MAX(0,Inputs!$B$43-B1226)-((R1198-1)*(IF(Inputs!$B$38="pvp",15,MAX(0.1,Skills!D9-IF(Skills!E9=TRUE,Inputs!$B$32,0)))*(1-IF(AND(ArtifactsInput!$M$27,Inputs!$B$4="Chapter Hunt"),CHOOSE(ArtifactsInput!$N$27+1,20,24,28,32,36,40),0)/100)))))/Skills!H9,1)))/Inputs!$B$43),G1198*Q1198))*IF(Inputs!$B$38="pvp",1,(1+(Inputs!$B$21+Skills!Q9+(IF(ArtifactsInput!$M$33,CHOOSE(ArtifactsInput!$N$33+1,30,36,42,48,54,60)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9">
      <c r="A1199">
        <f>Skills!A10</f>
        <v/>
      </c>
      <c r="B1199">
        <f>Skills!B10</f>
        <v/>
      </c>
      <c r="C1199">
        <f>Inputs!$B$3&gt;=113</f>
        <v/>
      </c>
      <c r="D1199">
        <f>IF(Skills!C10=1,60+Inputs!$B$25+Inputs!$B$29,IF(Skills!C10=2,90+Inputs!$B$26+Inputs!$B$29,IF(Skills!C10=3,120+Inputs!$B$27+Inputs!$B$29,MAX(0,(Inputs!$B$3-100)*3)+Inputs!$B$28+Inputs!$B$29)))</f>
        <v/>
      </c>
      <c r="E1199">
        <f>INDEX(FactorTable!$B$2:$Y$301, MATCH(ROUND(MIN(300,MAX(1,D1199)),0), FactorTable!$A$2:$A$301,0), Skills!M10+1)</f>
        <v/>
      </c>
      <c r="F1199">
        <f>IF(Skills!N10=TRUE,(Skills!L10/10)*(E1199/1000),Skills!L10/10)+Skills!O10</f>
        <v/>
      </c>
      <c r="G1199">
        <f>Skills!G10*IF(Skills!H10&gt;0,Skills!I10/Skills!H10,1)</f>
        <v/>
      </c>
      <c r="H1199">
        <f>1-(1-Skills!J10/100)^Skills!K10</f>
        <v/>
      </c>
      <c r="I1199" t="inlineStr">
        <is>
          <t>1</t>
        </is>
      </c>
      <c r="J1199">
        <f>((Inputs!$B$6*(1+Inputs!$B$7/100))+(((Inputs!$B$12*(1+Inputs!$B$13/100))-(Inputs!$B$12*(1+Inputs!$B$13/100)))+0.25*(Inputs!$B$14-Inputs!$B$14))*(1+Inputs!$B$7/100))*(F1199/100)</f>
        <v/>
      </c>
      <c r="K1199">
        <f>J1199*(1+((Inputs!$B$12*(1+Inputs!$B$13/100))*0.01+Inputs!$B$14*0.0025)/100)*(1+Inputs!$B$15/100)*(1+Inputs!$B$16/100)*(5000/(6000+Inputs!$B$42*(1-(100*(1-(1-(Inputs!$B$19+0)/100)*(1-CHOOSE(ArtifactsInput!$N$40+1,5,6,7,8,9,10)/100)^(ArtifactsInput!$M$40-ArtifactsInput!$M$40)))/100)))*(1+(Inputs!$B$24+((C1215=TRUE)*(F1215-Calc!F26))+B1225)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1212=TRUE)*(F1212-Calc!F23))+((C1216=TRUE)*(F1216-Calc!F27))+(((IF(AND(ArtifactsInput!$M$42,((Inputs!$B$9+((C1208=TRUE)*(F1208-Calc!F19))+B1219+(ArtifactsInput!$M$24-ArtifactsInput!$M$24)*CHOOSE(ArtifactsInput!$N$24+1,10,12,14,16,18,20)+IF(ArtifactsInput!$M$10,CHOOSE(ArtifactsInput!$N$10+1,15,18,21,24,27,30)*(IF(Inputs!$B$38="pvp",MIN(15,15)/15,IF(AND(Inputs!$B$38&lt;&gt;"pvp",Inputs!$B$43&gt;0),MIN(15,Inputs!$B$43)/(Inputs!$B$43),0))),0)))&gt;=100),MIN(100,((Inputs!$B$9+((C1208=TRUE)*(F1208-Calc!F19))+B1219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1208=TRUE)*(F1208-Calc!F19))+B1219+(ArtifactsInput!$M$24-ArtifactsInput!$M$24)*CHOOSE(ArtifactsInput!$N$24+1,10,12,14,16,18,20)+IF(ArtifactsInput!$M$10,CHOOSE(ArtifactsInput!$N$10+1,15,18,21,24,27,30)*(IF(Inputs!$B$38="pvp",MIN(15,15)/15,IF(AND(Inputs!$B$38&lt;&gt;"pvp",Inputs!$B$43&gt;0),MIN(15,Inputs!$B$43)/(Inputs!$B$43),0))),0)))&gt;=100),CHOOSE(ArtifactsInput!$N$42+1,40,48,56,64,72,80),0))))/100)*((1+(((C1206=TRUE)*F1206)+((C1213=TRUE)*(F1213-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1199)</f>
        <v/>
      </c>
      <c r="L1199">
        <f>K1199*(MIN(Inputs!$B$22+((C1211=TRUE)*(F1211-Calc!F22)),(Inputs!$B$23+0+(IF(ArtifactsInput!$M$15,CHOOSE(ArtifactsInput!$N$15+1,25,30,35,40,45,50)/100*(Inputs!$B$11-Inputs!$B$11),0))))/100+(Inputs!$B$23+0+(IF(ArtifactsInput!$M$15,CHOOSE(ArtifactsInput!$N$15+1,25,30,35,40,45,50)/100*(Inputs!$B$11-Inputs!$B$11),0)))/100)/2</f>
        <v/>
      </c>
      <c r="M1199">
        <f>L1199*(1+(Inputs!$B$10+((C1214=TRUE)*(F1214-Calc!F25))+B1224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9">
        <f>L1199*(1-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1199*(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9">
        <f>(1-Summary!$B$11)*T1199+Summary!$B$11*V1199</f>
        <v/>
      </c>
      <c r="P1199">
        <f>IF(B1229=0,0,O1199/B1229)</f>
        <v/>
      </c>
      <c r="Q1199">
        <f>IFERROR(1/(IF(Inputs!$B$38="pvp",15,MAX(0.1,Skills!D10-IF(Skills!E10=TRUE,Inputs!$B$32,0)))*(1-IF(AND(ArtifactsInput!$M$27,Inputs!$B$4="Chapter Hunt"),CHOOSE(ArtifactsInput!$N$27+1,20,24,28,32,36,40),0)/100)),0)</f>
        <v/>
      </c>
      <c r="R1199">
        <f>IF(AND(Inputs!$B$38&lt;&gt;"pvp",Inputs!$B$43&gt;0),IF(MAX(0,Inputs!$B$43-B1226)&lt;=0,0,(INT(MAX(0,Inputs!$B$43-B1226)/(IF(Inputs!$B$38="pvp",15,MAX(0.1,Skills!D10-IF(Skills!E10=TRUE,Inputs!$B$32,0)))*(1-IF(AND(ArtifactsInput!$M$27,Inputs!$B$4="Chapter Hunt"),CHOOSE(ArtifactsInput!$N$27+1,20,24,28,32,36,40),0)/100)))+1)),0)</f>
        <v/>
      </c>
      <c r="S1199">
        <f>IFERROR(O1199/N1199,0)</f>
        <v/>
      </c>
      <c r="T1199">
        <f>IF(C1199,(H1199*N1199*IF(AND(Inputs!$B$38&lt;&gt;"pvp",Inputs!$B$43&gt;0),((Skills!G10*((R1199-1)*IF(Skills!H10&gt;0,Skills!I10/Skills!H10,1)+IF(Skills!H10&gt;0,MIN(Skills!I10,MAX(0,MAX(0,Inputs!$B$43-B1226)-((R1199-1)*(IF(Inputs!$B$38="pvp",15,MAX(0.1,Skills!D10-IF(Skills!E10=TRUE,Inputs!$B$32,0)))*(1-IF(AND(ArtifactsInput!$M$27,Inputs!$B$4="Chapter Hunt"),CHOOSE(ArtifactsInput!$N$27+1,20,24,28,32,36,40),0)/100)))))/Skills!H10,1)))/Inputs!$B$43),G1199*Q1199)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1199*(1-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1199*(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1199*(1-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1199*(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9">
        <f>IF(C1199,(H1199*N1199*IF(AND(Inputs!$B$38&lt;&gt;"pvp",Inputs!$B$43&gt;0),((Skills!G10*((R1199-1)*IF(Skills!H10&gt;0,Skills!I10/Skills!H10,1)+IF(Skills!H10&gt;0,MIN(Skills!I10,MAX(0,MAX(0,Inputs!$B$43-B1226)-((R1199-1)*(IF(Inputs!$B$38="pvp",15,MAX(0.1,Skills!D10-IF(Skills!E10=TRUE,Inputs!$B$32,0)))*(1-IF(AND(ArtifactsInput!$M$27,Inputs!$B$4="Chapter Hunt"),CHOOSE(ArtifactsInput!$N$27+1,20,24,28,32,36,40),0)/100)))))/Skills!H10,1)))/Inputs!$B$43),G1199*Q1199))*IF(Inputs!$B$38="pvp",1,(1+(Inputs!$B$21+Skills!Q10+(IF(ArtifactsInput!$M$33,CHOOSE(ArtifactsInput!$N$33+1,30,36,42,48,54,60)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0">
      <c r="A1200">
        <f>Skills!A11</f>
        <v/>
      </c>
      <c r="B1200">
        <f>Skills!B11</f>
        <v/>
      </c>
      <c r="C1200">
        <f>Inputs!$B$3&gt;=107</f>
        <v/>
      </c>
      <c r="D1200">
        <f>IF(Skills!C11=1,60+Inputs!$B$25+Inputs!$B$29,IF(Skills!C11=2,90+Inputs!$B$26+Inputs!$B$29,IF(Skills!C11=3,120+Inputs!$B$27+Inputs!$B$29,MAX(0,(Inputs!$B$3-100)*3)+Inputs!$B$28+Inputs!$B$29)))</f>
        <v/>
      </c>
      <c r="E1200">
        <f>INDEX(FactorTable!$B$2:$Y$301, MATCH(ROUND(MIN(300,MAX(1,D1200)),0), FactorTable!$A$2:$A$301,0), Skills!M11+1)</f>
        <v/>
      </c>
      <c r="F1200">
        <f>IF(Skills!N11=TRUE,(Skills!L11/10)*(E1200/1000),Skills!L11/10)+Skills!O11</f>
        <v/>
      </c>
      <c r="G1200">
        <f>Skills!G11*IF(Skills!H11&gt;0,Skills!I11/Skills!H11,1)</f>
        <v/>
      </c>
      <c r="H1200">
        <f>1-(1-Skills!J11/100)^Skills!K11</f>
        <v/>
      </c>
      <c r="I1200" t="inlineStr">
        <is>
          <t>1</t>
        </is>
      </c>
      <c r="J1200">
        <f>((Inputs!$B$6*(1+Inputs!$B$7/100))+(((Inputs!$B$12*(1+Inputs!$B$13/100))-(Inputs!$B$12*(1+Inputs!$B$13/100)))+0.25*(Inputs!$B$14-Inputs!$B$14))*(1+Inputs!$B$7/100))*(F1200/100)</f>
        <v/>
      </c>
      <c r="K1200">
        <f>J1200*(1+((Inputs!$B$12*(1+Inputs!$B$13/100))*0.01+Inputs!$B$14*0.0025)/100)*(1+Inputs!$B$15/100)*(1+Inputs!$B$16/100)*(5000/(6000+Inputs!$B$42*(1-(100*(1-(1-(Inputs!$B$19+0)/100)*(1-CHOOSE(ArtifactsInput!$N$40+1,5,6,7,8,9,10)/100)^(ArtifactsInput!$M$40-ArtifactsInput!$M$40)))/100)))*(1+(Inputs!$B$24+((C1215=TRUE)*(F1215-Calc!F26))+B1225)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1212=TRUE)*(F1212-Calc!F23))+((C1216=TRUE)*(F1216-Calc!F27))+(((IF(AND(ArtifactsInput!$M$42,((Inputs!$B$9+((C1208=TRUE)*(F1208-Calc!F19))+B1219+(ArtifactsInput!$M$24-ArtifactsInput!$M$24)*CHOOSE(ArtifactsInput!$N$24+1,10,12,14,16,18,20)+IF(ArtifactsInput!$M$10,CHOOSE(ArtifactsInput!$N$10+1,15,18,21,24,27,30)*(IF(Inputs!$B$38="pvp",MIN(15,15)/15,IF(AND(Inputs!$B$38&lt;&gt;"pvp",Inputs!$B$43&gt;0),MIN(15,Inputs!$B$43)/(Inputs!$B$43),0))),0)))&gt;=100),MIN(100,((Inputs!$B$9+((C1208=TRUE)*(F1208-Calc!F19))+B1219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1208=TRUE)*(F1208-Calc!F19))+B1219+(ArtifactsInput!$M$24-ArtifactsInput!$M$24)*CHOOSE(ArtifactsInput!$N$24+1,10,12,14,16,18,20)+IF(ArtifactsInput!$M$10,CHOOSE(ArtifactsInput!$N$10+1,15,18,21,24,27,30)*(IF(Inputs!$B$38="pvp",MIN(15,15)/15,IF(AND(Inputs!$B$38&lt;&gt;"pvp",Inputs!$B$43&gt;0),MIN(15,Inputs!$B$43)/(Inputs!$B$43),0))),0)))&gt;=100),CHOOSE(ArtifactsInput!$N$42+1,40,48,56,64,72,80),0))))/100)*((1+(((C1206=TRUE)*F1206)+((C1213=TRUE)*(F1213-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1200)</f>
        <v/>
      </c>
      <c r="L1200">
        <f>K1200*(MIN(Inputs!$B$22+((C1211=TRUE)*(F1211-Calc!F22)),(Inputs!$B$23+0+(IF(ArtifactsInput!$M$15,CHOOSE(ArtifactsInput!$N$15+1,25,30,35,40,45,50)/100*(Inputs!$B$11-Inputs!$B$11),0))))/100+(Inputs!$B$23+0+(IF(ArtifactsInput!$M$15,CHOOSE(ArtifactsInput!$N$15+1,25,30,35,40,45,50)/100*(Inputs!$B$11-Inputs!$B$11),0)))/100)/2</f>
        <v/>
      </c>
      <c r="M1200">
        <f>L1200*(1+(Inputs!$B$10+((C1214=TRUE)*(F1214-Calc!F25))+B1224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0">
        <f>L1200*(1-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1200*(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0">
        <f>(1-Summary!$B$11)*T1200+Summary!$B$11*V1200</f>
        <v/>
      </c>
      <c r="P1200">
        <f>IF(B1229=0,0,O1200/B1229)</f>
        <v/>
      </c>
      <c r="Q1200">
        <f>IFERROR(1/(IF(Inputs!$B$38="pvp",15,MAX(0.1,Skills!D11-IF(Skills!E11=TRUE,Inputs!$B$32,0)))*(1-IF(AND(ArtifactsInput!$M$27,Inputs!$B$4="Chapter Hunt"),CHOOSE(ArtifactsInput!$N$27+1,20,24,28,32,36,40),0)/100)),0)</f>
        <v/>
      </c>
      <c r="R1200">
        <f>IF(AND(Inputs!$B$38&lt;&gt;"pvp",Inputs!$B$43&gt;0),IF(MAX(0,Inputs!$B$43-B1226)&lt;=0,0,(INT(MAX(0,Inputs!$B$43-B1226)/(IF(Inputs!$B$38="pvp",15,MAX(0.1,Skills!D11-IF(Skills!E11=TRUE,Inputs!$B$32,0)))*(1-IF(AND(ArtifactsInput!$M$27,Inputs!$B$4="Chapter Hunt"),CHOOSE(ArtifactsInput!$N$27+1,20,24,28,32,36,40),0)/100)))+1)),0)</f>
        <v/>
      </c>
      <c r="S1200">
        <f>IFERROR(O1200/N1200,0)</f>
        <v/>
      </c>
      <c r="T1200">
        <f>IF(C1200,(H1200*N1200*IF(AND(Inputs!$B$38&lt;&gt;"pvp",Inputs!$B$43&gt;0),((Skills!G11*((R1200-1)*IF(Skills!H11&gt;0,Skills!I11/Skills!H11,1)+IF(Skills!H11&gt;0,MIN(Skills!I11,MAX(0,MAX(0,Inputs!$B$43-B1226)-((R1200-1)*(IF(Inputs!$B$38="pvp",15,MAX(0.1,Skills!D11-IF(Skills!E11=TRUE,Inputs!$B$32,0)))*(1-IF(AND(ArtifactsInput!$M$27,Inputs!$B$4="Chapter Hunt"),CHOOSE(ArtifactsInput!$N$27+1,20,24,28,32,36,40),0)/100)))))/Skills!H11,1)))/Inputs!$B$43),G1200*Q1200)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1200*(1-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1200*(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1200*(1-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1200*(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0">
        <f>IF(C1200,(H1200*N1200*IF(AND(Inputs!$B$38&lt;&gt;"pvp",Inputs!$B$43&gt;0),((Skills!G11*((R1200-1)*IF(Skills!H11&gt;0,Skills!I11/Skills!H11,1)+IF(Skills!H11&gt;0,MIN(Skills!I11,MAX(0,MAX(0,Inputs!$B$43-B1226)-((R1200-1)*(IF(Inputs!$B$38="pvp",15,MAX(0.1,Skills!D11-IF(Skills!E11=TRUE,Inputs!$B$32,0)))*(1-IF(AND(ArtifactsInput!$M$27,Inputs!$B$4="Chapter Hunt"),CHOOSE(ArtifactsInput!$N$27+1,20,24,28,32,36,40),0)/100)))))/Skills!H11,1)))/Inputs!$B$43),G1200*Q1200))*IF(Inputs!$B$38="pvp",1,(1+(Inputs!$B$21+Skills!Q11+(IF(ArtifactsInput!$M$33,CHOOSE(ArtifactsInput!$N$33+1,30,36,42,48,54,60)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1">
      <c r="A1201">
        <f>Skills!A12</f>
        <v/>
      </c>
      <c r="B1201">
        <f>Skills!B12</f>
        <v/>
      </c>
      <c r="C1201">
        <f>Inputs!$B$3&gt;=110</f>
        <v/>
      </c>
      <c r="D1201">
        <f>IF(Skills!C12=1,60+Inputs!$B$25+Inputs!$B$29,IF(Skills!C12=2,90+Inputs!$B$26+Inputs!$B$29,IF(Skills!C12=3,120+Inputs!$B$27+Inputs!$B$29,MAX(0,(Inputs!$B$3-100)*3)+Inputs!$B$28+Inputs!$B$29)))</f>
        <v/>
      </c>
      <c r="E1201">
        <f>INDEX(FactorTable!$B$2:$Y$301, MATCH(ROUND(MIN(300,MAX(1,D1201)),0), FactorTable!$A$2:$A$301,0), Skills!M12+1)</f>
        <v/>
      </c>
      <c r="F1201">
        <f>IF(Skills!N12=TRUE,(Skills!L12/10)*(E1201/1000),Skills!L12/10)+Skills!O12</f>
        <v/>
      </c>
      <c r="G1201">
        <f>Skills!G12*IF(Skills!H12&gt;0,Skills!I12/Skills!H12,1)</f>
        <v/>
      </c>
      <c r="H1201">
        <f>1-(1-Skills!J12/100)^Skills!K12</f>
        <v/>
      </c>
      <c r="I1201" t="inlineStr">
        <is>
          <t>1</t>
        </is>
      </c>
      <c r="J1201">
        <f>((Inputs!$B$6*(1+Inputs!$B$7/100))+(((Inputs!$B$12*(1+Inputs!$B$13/100))-(Inputs!$B$12*(1+Inputs!$B$13/100)))+0.25*(Inputs!$B$14-Inputs!$B$14))*(1+Inputs!$B$7/100))*(F1201/100)</f>
        <v/>
      </c>
      <c r="K1201">
        <f>J1201*(1+((Inputs!$B$12*(1+Inputs!$B$13/100))*0.01+Inputs!$B$14*0.0025)/100)*(1+Inputs!$B$15/100)*(1+Inputs!$B$16/100)*(5000/(6000+Inputs!$B$42*(1-(100*(1-(1-(Inputs!$B$19+0)/100)*(1-CHOOSE(ArtifactsInput!$N$40+1,5,6,7,8,9,10)/100)^(ArtifactsInput!$M$40-ArtifactsInput!$M$40)))/100)))*(1+(Inputs!$B$24+((C1215=TRUE)*(F1215-Calc!F26))+B1225)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1212=TRUE)*(F1212-Calc!F23))+((C1216=TRUE)*(F1216-Calc!F27))+(((IF(AND(ArtifactsInput!$M$42,((Inputs!$B$9+((C1208=TRUE)*(F1208-Calc!F19))+B1219+(ArtifactsInput!$M$24-ArtifactsInput!$M$24)*CHOOSE(ArtifactsInput!$N$24+1,10,12,14,16,18,20)+IF(ArtifactsInput!$M$10,CHOOSE(ArtifactsInput!$N$10+1,15,18,21,24,27,30)*(IF(Inputs!$B$38="pvp",MIN(15,15)/15,IF(AND(Inputs!$B$38&lt;&gt;"pvp",Inputs!$B$43&gt;0),MIN(15,Inputs!$B$43)/(Inputs!$B$43),0))),0)))&gt;=100),MIN(100,((Inputs!$B$9+((C1208=TRUE)*(F1208-Calc!F19))+B1219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1208=TRUE)*(F1208-Calc!F19))+B1219+(ArtifactsInput!$M$24-ArtifactsInput!$M$24)*CHOOSE(ArtifactsInput!$N$24+1,10,12,14,16,18,20)+IF(ArtifactsInput!$M$10,CHOOSE(ArtifactsInput!$N$10+1,15,18,21,24,27,30)*(IF(Inputs!$B$38="pvp",MIN(15,15)/15,IF(AND(Inputs!$B$38&lt;&gt;"pvp",Inputs!$B$43&gt;0),MIN(15,Inputs!$B$43)/(Inputs!$B$43),0))),0)))&gt;=100),CHOOSE(ArtifactsInput!$N$42+1,40,48,56,64,72,80),0))))/100)*((1+(((C1206=TRUE)*F1206)+((C1213=TRUE)*(F1213-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1201)</f>
        <v/>
      </c>
      <c r="L1201">
        <f>K1201*(MIN(Inputs!$B$22+((C1211=TRUE)*(F1211-Calc!F22)),(Inputs!$B$23+0+(IF(ArtifactsInput!$M$15,CHOOSE(ArtifactsInput!$N$15+1,25,30,35,40,45,50)/100*(Inputs!$B$11-Inputs!$B$11),0))))/100+(Inputs!$B$23+0+(IF(ArtifactsInput!$M$15,CHOOSE(ArtifactsInput!$N$15+1,25,30,35,40,45,50)/100*(Inputs!$B$11-Inputs!$B$11),0)))/100)/2</f>
        <v/>
      </c>
      <c r="M1201">
        <f>L1201*(1+(Inputs!$B$10+((C1214=TRUE)*(F1214-Calc!F25))+B1224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1">
        <f>L1201*(1-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1">
        <f>(1-Summary!$B$11)*T1201+Summary!$B$11*V1201</f>
        <v/>
      </c>
      <c r="P1201">
        <f>IF(B1229=0,0,O1201/B1229)</f>
        <v/>
      </c>
      <c r="Q1201">
        <f>IFERROR(1/(IF(Inputs!$B$38="pvp",15,MAX(0.1,Skills!D12-IF(Skills!E12=TRUE,Inputs!$B$32,0)))*(1-IF(AND(ArtifactsInput!$M$27,Inputs!$B$4="Chapter Hunt"),CHOOSE(ArtifactsInput!$N$27+1,20,24,28,32,36,40),0)/100)),0)</f>
        <v/>
      </c>
      <c r="R1201">
        <f>IF(AND(Inputs!$B$38&lt;&gt;"pvp",Inputs!$B$43&gt;0),IF(MAX(0,Inputs!$B$43-B1226)&lt;=0,0,(INT(MAX(0,Inputs!$B$43-B1226)/(IF(Inputs!$B$38="pvp",15,MAX(0.1,Skills!D12-IF(Skills!E12=TRUE,Inputs!$B$32,0)))*(1-IF(AND(ArtifactsInput!$M$27,Inputs!$B$4="Chapter Hunt"),CHOOSE(ArtifactsInput!$N$27+1,20,24,28,32,36,40),0)/100)))+1)),0)</f>
        <v/>
      </c>
      <c r="S1201">
        <f>IFERROR(O1201/N1201,0)</f>
        <v/>
      </c>
      <c r="T1201">
        <f>IF(C1201,(H1201*N1201*IF(AND(Inputs!$B$38&lt;&gt;"pvp",Inputs!$B$43&gt;0),((Skills!G12*((R1201-1)*IF(Skills!H12&gt;0,Skills!I12/Skills!H12,1)+IF(Skills!H12&gt;0,MIN(Skills!I12,MAX(0,MAX(0,Inputs!$B$43-B1226)-((R1201-1)*(IF(Inputs!$B$38="pvp",15,MAX(0.1,Skills!D12-IF(Skills!E12=TRUE,Inputs!$B$32,0)))*(1-IF(AND(ArtifactsInput!$M$27,Inputs!$B$4="Chapter Hunt"),CHOOSE(ArtifactsInput!$N$27+1,20,24,28,32,36,40),0)/100)))))/Skills!H12,1)))/Inputs!$B$43),G1201*Q1201)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1">
        <f>IF(C1201,(H1201*N1201*IF(AND(Inputs!$B$38&lt;&gt;"pvp",Inputs!$B$43&gt;0),((Skills!G12*((R1201-1)*IF(Skills!H12&gt;0,Skills!I12/Skills!H12,1)+IF(Skills!H12&gt;0,MIN(Skills!I12,MAX(0,MAX(0,Inputs!$B$43-B1226)-((R1201-1)*(IF(Inputs!$B$38="pvp",15,MAX(0.1,Skills!D12-IF(Skills!E12=TRUE,Inputs!$B$32,0)))*(1-IF(AND(ArtifactsInput!$M$27,Inputs!$B$4="Chapter Hunt"),CHOOSE(ArtifactsInput!$N$27+1,20,24,28,32,36,40),0)/100)))))/Skills!H12,1)))/Inputs!$B$43),G1201*Q1201))*IF(Inputs!$B$38="pvp",1,(1+(Inputs!$B$21+Skills!Q12+(IF(ArtifactsInput!$M$33,CHOOSE(ArtifactsInput!$N$33+1,30,36,42,48,54,60)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2">
      <c r="A1202">
        <f>Skills!A13</f>
        <v/>
      </c>
      <c r="B1202">
        <f>Skills!B13</f>
        <v/>
      </c>
      <c r="C1202">
        <f>Inputs!$B$3&gt;=110</f>
        <v/>
      </c>
      <c r="D1202">
        <f>IF(Skills!C13=1,60+Inputs!$B$25+Inputs!$B$29,IF(Skills!C13=2,90+Inputs!$B$26+Inputs!$B$29,IF(Skills!C13=3,120+Inputs!$B$27+Inputs!$B$29,MAX(0,(Inputs!$B$3-100)*3)+Inputs!$B$28+Inputs!$B$29)))</f>
        <v/>
      </c>
      <c r="E1202">
        <f>INDEX(FactorTable!$B$2:$Y$301, MATCH(ROUND(MIN(300,MAX(1,D1202)),0), FactorTable!$A$2:$A$301,0), Skills!M13+1)</f>
        <v/>
      </c>
      <c r="F1202">
        <f>IF(Skills!N13=TRUE,(Skills!L13/10)*(E1202/1000),Skills!L13/10)+Skills!O13</f>
        <v/>
      </c>
      <c r="G1202">
        <f>Skills!G13*IF(Skills!H13&gt;0,Skills!I13/Skills!H13,1)</f>
        <v/>
      </c>
      <c r="H1202">
        <f>1-(1-Skills!J13/100)^Skills!K13</f>
        <v/>
      </c>
      <c r="I1202" t="inlineStr">
        <is>
          <t>1</t>
        </is>
      </c>
      <c r="J1202">
        <f>((Inputs!$B$6*(1+Inputs!$B$7/100))+(((Inputs!$B$12*(1+Inputs!$B$13/100))-(Inputs!$B$12*(1+Inputs!$B$13/100)))+0.25*(Inputs!$B$14-Inputs!$B$14))*(1+Inputs!$B$7/100))*(F1202/100)</f>
        <v/>
      </c>
      <c r="K1202">
        <f>J1202*(1+((Inputs!$B$12*(1+Inputs!$B$13/100))*0.01+Inputs!$B$14*0.0025)/100)*(1+Inputs!$B$15/100)*(1+Inputs!$B$16/100)*(5000/(6000+Inputs!$B$42*(1-(100*(1-(1-(Inputs!$B$19+0)/100)*(1-CHOOSE(ArtifactsInput!$N$40+1,5,6,7,8,9,10)/100)^(ArtifactsInput!$M$40-ArtifactsInput!$M$40)))/100)))*(1+(Inputs!$B$24+((C1215=TRUE)*(F1215-Calc!F26))+B1225)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1212=TRUE)*(F1212-Calc!F23))+((C1216=TRUE)*(F1216-Calc!F27))+(((IF(AND(ArtifactsInput!$M$42,((Inputs!$B$9+((C1208=TRUE)*(F1208-Calc!F19))+B1219+(ArtifactsInput!$M$24-ArtifactsInput!$M$24)*CHOOSE(ArtifactsInput!$N$24+1,10,12,14,16,18,20)+IF(ArtifactsInput!$M$10,CHOOSE(ArtifactsInput!$N$10+1,15,18,21,24,27,30)*(IF(Inputs!$B$38="pvp",MIN(15,15)/15,IF(AND(Inputs!$B$38&lt;&gt;"pvp",Inputs!$B$43&gt;0),MIN(15,Inputs!$B$43)/(Inputs!$B$43),0))),0)))&gt;=100),MIN(100,((Inputs!$B$9+((C1208=TRUE)*(F1208-Calc!F19))+B1219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1208=TRUE)*(F1208-Calc!F19))+B1219+(ArtifactsInput!$M$24-ArtifactsInput!$M$24)*CHOOSE(ArtifactsInput!$N$24+1,10,12,14,16,18,20)+IF(ArtifactsInput!$M$10,CHOOSE(ArtifactsInput!$N$10+1,15,18,21,24,27,30)*(IF(Inputs!$B$38="pvp",MIN(15,15)/15,IF(AND(Inputs!$B$38&lt;&gt;"pvp",Inputs!$B$43&gt;0),MIN(15,Inputs!$B$43)/(Inputs!$B$43),0))),0)))&gt;=100),CHOOSE(ArtifactsInput!$N$42+1,40,48,56,64,72,80),0))))/100)*((1+(((C1206=TRUE)*F1206)+((C1213=TRUE)*(F1213-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1202)</f>
        <v/>
      </c>
      <c r="L1202">
        <f>K1202*(MIN(Inputs!$B$22+((C1211=TRUE)*(F1211-Calc!F22)),(Inputs!$B$23+0+(IF(ArtifactsInput!$M$15,CHOOSE(ArtifactsInput!$N$15+1,25,30,35,40,45,50)/100*(Inputs!$B$11-Inputs!$B$11),0))))/100+(Inputs!$B$23+0+(IF(ArtifactsInput!$M$15,CHOOSE(ArtifactsInput!$N$15+1,25,30,35,40,45,50)/100*(Inputs!$B$11-Inputs!$B$11),0)))/100)/2</f>
        <v/>
      </c>
      <c r="M1202">
        <f>L1202*(1+(Inputs!$B$10+((C1214=TRUE)*(F1214-Calc!F25))+B1224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2">
        <f>L1202*(1-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1202*(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2">
        <f>(1-Summary!$B$11)*T1202+Summary!$B$11*V1202</f>
        <v/>
      </c>
      <c r="P1202">
        <f>IF(B1229=0,0,O1202/B1229)</f>
        <v/>
      </c>
      <c r="Q1202">
        <f>IFERROR(1/(IF(Inputs!$B$38="pvp",15,MAX(0.1,Skills!D13-IF(Skills!E13=TRUE,Inputs!$B$32,0)))*(1-IF(AND(ArtifactsInput!$M$27,Inputs!$B$4="Chapter Hunt"),CHOOSE(ArtifactsInput!$N$27+1,20,24,28,32,36,40),0)/100)),0)</f>
        <v/>
      </c>
      <c r="R1202">
        <f>IF(AND(Inputs!$B$38&lt;&gt;"pvp",Inputs!$B$43&gt;0),IF(MAX(0,Inputs!$B$43-B1226)&lt;=0,0,(INT(MAX(0,Inputs!$B$43-B1226)/(IF(Inputs!$B$38="pvp",15,MAX(0.1,Skills!D13-IF(Skills!E13=TRUE,Inputs!$B$32,0)))*(1-IF(AND(ArtifactsInput!$M$27,Inputs!$B$4="Chapter Hunt"),CHOOSE(ArtifactsInput!$N$27+1,20,24,28,32,36,40),0)/100)))+1)),0)</f>
        <v/>
      </c>
      <c r="S1202">
        <f>IFERROR(O1202/N1202,0)</f>
        <v/>
      </c>
      <c r="T1202">
        <f>IF(C1202,(H1202*N1202*IF(AND(Inputs!$B$38&lt;&gt;"pvp",Inputs!$B$43&gt;0),((Skills!G13*((R1202-1)*IF(Skills!H13&gt;0,Skills!I13/Skills!H13,1)+IF(Skills!H13&gt;0,MIN(Skills!I13,MAX(0,MAX(0,Inputs!$B$43-B1226)-((R1202-1)*(IF(Inputs!$B$38="pvp",15,MAX(0.1,Skills!D13-IF(Skills!E13=TRUE,Inputs!$B$32,0)))*(1-IF(AND(ArtifactsInput!$M$27,Inputs!$B$4="Chapter Hunt"),CHOOSE(ArtifactsInput!$N$27+1,20,24,28,32,36,40),0)/100)))))/Skills!H13,1)))/Inputs!$B$43),G1202*Q1202)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1202*(1-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1202*(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1202*(1-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1202*(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2">
        <f>IF(C1202,(H1202*N1202*IF(AND(Inputs!$B$38&lt;&gt;"pvp",Inputs!$B$43&gt;0),((Skills!G13*((R1202-1)*IF(Skills!H13&gt;0,Skills!I13/Skills!H13,1)+IF(Skills!H13&gt;0,MIN(Skills!I13,MAX(0,MAX(0,Inputs!$B$43-B1226)-((R1202-1)*(IF(Inputs!$B$38="pvp",15,MAX(0.1,Skills!D13-IF(Skills!E13=TRUE,Inputs!$B$32,0)))*(1-IF(AND(ArtifactsInput!$M$27,Inputs!$B$4="Chapter Hunt"),CHOOSE(ArtifactsInput!$N$27+1,20,24,28,32,36,40),0)/100)))))/Skills!H13,1)))/Inputs!$B$43),G1202*Q1202))*IF(Inputs!$B$38="pvp",1,(1+(Inputs!$B$21+Skills!Q13+(IF(ArtifactsInput!$M$33,CHOOSE(ArtifactsInput!$N$33+1,30,36,42,48,54,60)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3">
      <c r="A1203">
        <f>Skills!A14</f>
        <v/>
      </c>
      <c r="B1203">
        <f>Skills!B14</f>
        <v/>
      </c>
      <c r="C1203">
        <f>Inputs!$B$3&gt;=125</f>
        <v/>
      </c>
      <c r="D1203">
        <f>IF(Skills!C14=1,60+Inputs!$B$25+Inputs!$B$29,IF(Skills!C14=2,90+Inputs!$B$26+Inputs!$B$29,IF(Skills!C14=3,120+Inputs!$B$27+Inputs!$B$29,MAX(0,(Inputs!$B$3-100)*3)+Inputs!$B$28+Inputs!$B$29)))</f>
        <v/>
      </c>
      <c r="E1203">
        <f>INDEX(FactorTable!$B$2:$Y$301, MATCH(ROUND(MIN(300,MAX(1,D1203)),0), FactorTable!$A$2:$A$301,0), Skills!M14+1)</f>
        <v/>
      </c>
      <c r="F1203">
        <f>IF(Skills!N14=TRUE,(Skills!L14/10)*(E1203/1000),Skills!L14/10)+Skills!O14</f>
        <v/>
      </c>
      <c r="G1203">
        <f>Skills!G14*IF(Skills!H14&gt;0,Skills!I14/Skills!H14,1)</f>
        <v/>
      </c>
      <c r="H1203">
        <f>1-(1-Skills!J14/100)^Skills!K14</f>
        <v/>
      </c>
      <c r="I1203" t="inlineStr">
        <is>
          <t>1</t>
        </is>
      </c>
      <c r="J1203">
        <f>((Inputs!$B$6*(1+Inputs!$B$7/100))+(((Inputs!$B$12*(1+Inputs!$B$13/100))-(Inputs!$B$12*(1+Inputs!$B$13/100)))+0.25*(Inputs!$B$14-Inputs!$B$14))*(1+Inputs!$B$7/100))*(F1203/100)</f>
        <v/>
      </c>
      <c r="K1203">
        <f>J1203*(1+((Inputs!$B$12*(1+Inputs!$B$13/100))*0.01+Inputs!$B$14*0.0025)/100)*(1+Inputs!$B$15/100)*(1+Inputs!$B$16/100)*(5000/(6000+Inputs!$B$42*(1-(100*(1-(1-(Inputs!$B$19+0)/100)*(1-CHOOSE(ArtifactsInput!$N$40+1,5,6,7,8,9,10)/100)^(ArtifactsInput!$M$40-ArtifactsInput!$M$40)))/100)))*(1+(Inputs!$B$24+((C1215=TRUE)*(F1215-Calc!F26))+B1225)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1212=TRUE)*(F1212-Calc!F23))+((C1216=TRUE)*(F1216-Calc!F27))+(((IF(AND(ArtifactsInput!$M$42,((Inputs!$B$9+((C1208=TRUE)*(F1208-Calc!F19))+B1219+(ArtifactsInput!$M$24-ArtifactsInput!$M$24)*CHOOSE(ArtifactsInput!$N$24+1,10,12,14,16,18,20)+IF(ArtifactsInput!$M$10,CHOOSE(ArtifactsInput!$N$10+1,15,18,21,24,27,30)*(IF(Inputs!$B$38="pvp",MIN(15,15)/15,IF(AND(Inputs!$B$38&lt;&gt;"pvp",Inputs!$B$43&gt;0),MIN(15,Inputs!$B$43)/(Inputs!$B$43),0))),0)))&gt;=100),MIN(100,((Inputs!$B$9+((C1208=TRUE)*(F1208-Calc!F19))+B1219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1208=TRUE)*(F1208-Calc!F19))+B1219+(ArtifactsInput!$M$24-ArtifactsInput!$M$24)*CHOOSE(ArtifactsInput!$N$24+1,10,12,14,16,18,20)+IF(ArtifactsInput!$M$10,CHOOSE(ArtifactsInput!$N$10+1,15,18,21,24,27,30)*(IF(Inputs!$B$38="pvp",MIN(15,15)/15,IF(AND(Inputs!$B$38&lt;&gt;"pvp",Inputs!$B$43&gt;0),MIN(15,Inputs!$B$43)/(Inputs!$B$43),0))),0)))&gt;=100),CHOOSE(ArtifactsInput!$N$42+1,40,48,56,64,72,80),0))))/100)*((1+(((C1206=TRUE)*F1206)+((C1213=TRUE)*(F1213-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1203)</f>
        <v/>
      </c>
      <c r="L1203">
        <f>K1203*(MIN(Inputs!$B$22+((C1211=TRUE)*(F1211-Calc!F22)),(Inputs!$B$23+0+(IF(ArtifactsInput!$M$15,CHOOSE(ArtifactsInput!$N$15+1,25,30,35,40,45,50)/100*(Inputs!$B$11-Inputs!$B$11),0))))/100+(Inputs!$B$23+0+(IF(ArtifactsInput!$M$15,CHOOSE(ArtifactsInput!$N$15+1,25,30,35,40,45,50)/100*(Inputs!$B$11-Inputs!$B$11),0)))/100)/2</f>
        <v/>
      </c>
      <c r="M1203">
        <f>L1203*(1+(Inputs!$B$10+((C1214=TRUE)*(F1214-Calc!F25))+B1224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3">
        <f>L1203*(1-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1203*(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3">
        <f>(1-Summary!$B$11)*T1203+Summary!$B$11*V1203</f>
        <v/>
      </c>
      <c r="P1203">
        <f>IF(B1229=0,0,O1203/B1229)</f>
        <v/>
      </c>
      <c r="Q1203" t="n">
        <v>0</v>
      </c>
      <c r="R1203" t="n">
        <v>0</v>
      </c>
      <c r="S1203">
        <f>IFERROR(O1203/N1203,0)</f>
        <v/>
      </c>
      <c r="T1203">
        <f>IF(C1203,(H1203*N1203*(B1223+IF(AND(Inputs!$B$38&lt;&gt;"pvp",Inputs!$B$43&gt;0),((Skills!G8*((R1197-1)*IF(Skills!H8&gt;0,Skills!I8/Skills!H8,1)+IF(Skills!H8&gt;0,MIN(Skills!I8,MAX(0,MAX(0,Inputs!$B$43-B1226)-((R1197-1)*(IF(Inputs!$B$38="pvp",15,MAX(0.1,Skills!D8-IF(Skills!E8=TRUE,Inputs!$B$32,0)))*(1-IF(AND(ArtifactsInput!$M$27,Inputs!$B$4="Chapter Hunt"),CHOOSE(ArtifactsInput!$N$27+1,20,24,28,32,36,40),0)/100)))))/Skills!H8,1)))/Inputs!$B$43),G1197*Q1197)+IF(AND(Inputs!$B$38&lt;&gt;"pvp",Inputs!$B$43&gt;0),((Skills!G11*((R1200-1)*IF(Skills!H11&gt;0,Skills!I11/Skills!H11,1)+IF(Skills!H11&gt;0,MIN(Skills!I11,MAX(0,MAX(0,Inputs!$B$43-B1226)-((R1200-1)*(IF(Inputs!$B$38="pvp",15,MAX(0.1,Skills!D11-IF(Skills!E11=TRUE,Inputs!$B$32,0)))*(1-IF(AND(ArtifactsInput!$M$27,Inputs!$B$4="Chapter Hunt"),CHOOSE(ArtifactsInput!$N$27+1,20,24,28,32,36,40),0)/100)))))/Skills!H11,1)))/Inputs!$B$43),G1200*Q1200)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1203*(1-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1203*(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1203*(1-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1203*(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3">
        <f>IF(C1203,(H1203*N1203*(B1223+IF(AND(Inputs!$B$38&lt;&gt;"pvp",Inputs!$B$43&gt;0),((Skills!G8*((R1197-1)*IF(Skills!H8&gt;0,Skills!I8/Skills!H8,1)+IF(Skills!H8&gt;0,MIN(Skills!I8,MAX(0,MAX(0,Inputs!$B$43-B1226)-((R1197-1)*(IF(Inputs!$B$38="pvp",15,MAX(0.1,Skills!D8-IF(Skills!E8=TRUE,Inputs!$B$32,0)))*(1-IF(AND(ArtifactsInput!$M$27,Inputs!$B$4="Chapter Hunt"),CHOOSE(ArtifactsInput!$N$27+1,20,24,28,32,36,40),0)/100)))))/Skills!H8,1)))/Inputs!$B$43),G1197*Q1197)+IF(AND(Inputs!$B$38&lt;&gt;"pvp",Inputs!$B$43&gt;0),((Skills!G11*((R1200-1)*IF(Skills!H11&gt;0,Skills!I11/Skills!H11,1)+IF(Skills!H11&gt;0,MIN(Skills!I11,MAX(0,MAX(0,Inputs!$B$43-B1226)-((R1200-1)*(IF(Inputs!$B$38="pvp",15,MAX(0.1,Skills!D11-IF(Skills!E11=TRUE,Inputs!$B$32,0)))*(1-IF(AND(ArtifactsInput!$M$27,Inputs!$B$4="Chapter Hunt"),CHOOSE(ArtifactsInput!$N$27+1,20,24,28,32,36,40),0)/100)))))/Skills!H11,1)))/Inputs!$B$43),G1200*Q1200)))*IF(Inputs!$B$38="pvp",1,(1+(Inputs!$B$21+Skills!Q14+(IF(ArtifactsInput!$M$33,CHOOSE(ArtifactsInput!$N$33+1,30,36,42,48,54,60)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4">
      <c r="A1204">
        <f>Skills!A15</f>
        <v/>
      </c>
      <c r="B1204">
        <f>Skills!B15</f>
        <v/>
      </c>
      <c r="C1204">
        <f>Inputs!$B$3&gt;=100</f>
        <v/>
      </c>
      <c r="D1204">
        <f>IF(Skills!C15=1,60+Inputs!$B$25+Inputs!$B$29,IF(Skills!C15=2,90+Inputs!$B$26+Inputs!$B$29,IF(Skills!C15=3,120+Inputs!$B$27+Inputs!$B$29,MAX(0,(Inputs!$B$3-100)*3)+Inputs!$B$28+Inputs!$B$29)))</f>
        <v/>
      </c>
      <c r="E1204">
        <f>INDEX(FactorTable!$B$2:$Y$301, MATCH(ROUND(MIN(300,MAX(1,D1204)),0), FactorTable!$A$2:$A$301,0), Skills!M15+1)</f>
        <v/>
      </c>
      <c r="F1204">
        <f>IF(Skills!N15=TRUE,(Skills!L15/10)*(E1204/1000),Skills!L15/10)+Skills!O15</f>
        <v/>
      </c>
      <c r="G1204" t="inlineStr"/>
      <c r="H1204" t="inlineStr"/>
      <c r="I1204" t="inlineStr">
        <is>
          <t>1</t>
        </is>
      </c>
      <c r="J1204" t="inlineStr"/>
      <c r="K1204" t="inlineStr"/>
      <c r="L1204" t="inlineStr"/>
      <c r="M1204" t="inlineStr"/>
      <c r="N1204" t="inlineStr"/>
      <c r="O1204" t="inlineStr"/>
      <c r="P1204" t="inlineStr"/>
      <c r="Q1204" t="inlineStr"/>
      <c r="R1204" t="inlineStr"/>
      <c r="S1204" t="inlineStr"/>
    </row>
    <row r="1205">
      <c r="A1205">
        <f>Skills!A16</f>
        <v/>
      </c>
      <c r="B1205">
        <f>Skills!B16</f>
        <v/>
      </c>
      <c r="C1205">
        <f>Inputs!$B$3&gt;=120</f>
        <v/>
      </c>
      <c r="D1205">
        <f>IF(Skills!C16=1,60+Inputs!$B$25+Inputs!$B$29,IF(Skills!C16=2,90+Inputs!$B$26+Inputs!$B$29,IF(Skills!C16=3,120+Inputs!$B$27+Inputs!$B$29,MAX(0,(Inputs!$B$3-100)*3)+Inputs!$B$28+Inputs!$B$29)))</f>
        <v/>
      </c>
      <c r="E1205">
        <f>INDEX(FactorTable!$B$2:$Y$301, MATCH(ROUND(MIN(300,MAX(1,D1205)),0), FactorTable!$A$2:$A$301,0), Skills!M16+1)</f>
        <v/>
      </c>
      <c r="F1205">
        <f>IF(Skills!N16=TRUE,(Skills!L16/10)*(E1205/1000),Skills!L16/10)+Skills!O16</f>
        <v/>
      </c>
      <c r="G1205" t="inlineStr"/>
      <c r="H1205" t="inlineStr"/>
      <c r="I1205" t="inlineStr">
        <is>
          <t>1</t>
        </is>
      </c>
      <c r="J1205" t="inlineStr"/>
      <c r="K1205" t="inlineStr"/>
      <c r="L1205" t="inlineStr"/>
      <c r="M1205" t="inlineStr"/>
      <c r="N1205" t="inlineStr"/>
      <c r="O1205" t="inlineStr"/>
      <c r="P1205" t="inlineStr"/>
      <c r="Q1205" t="inlineStr"/>
      <c r="R1205" t="inlineStr"/>
      <c r="S1205" t="inlineStr"/>
    </row>
    <row r="1206">
      <c r="A1206">
        <f>Skills!A17</f>
        <v/>
      </c>
      <c r="B1206">
        <f>Skills!B17</f>
        <v/>
      </c>
      <c r="C1206">
        <f>Inputs!$B$3&gt;=66</f>
        <v/>
      </c>
      <c r="D1206">
        <f>IF(Skills!C17=1,60+Inputs!$B$25+Inputs!$B$29,IF(Skills!C17=2,90+Inputs!$B$26+Inputs!$B$29,IF(Skills!C17=3,120+Inputs!$B$27+Inputs!$B$29,MAX(0,(Inputs!$B$3-100)*3)+Inputs!$B$28+Inputs!$B$29)))</f>
        <v/>
      </c>
      <c r="E1206">
        <f>INDEX(FactorTable!$B$2:$Y$301, MATCH(ROUND(MIN(300,MAX(1,D1206)),0), FactorTable!$A$2:$A$301,0), Skills!M17+1)</f>
        <v/>
      </c>
      <c r="F1206">
        <f>IF(Skills!N17=TRUE,(Skills!L17/10)*(E1206/1000),Skills!L17/10)+Skills!O17</f>
        <v/>
      </c>
      <c r="G1206">
        <f>Skills!G17*IF(Skills!H17&gt;0,Skills!I17/Skills!H17,1)</f>
        <v/>
      </c>
      <c r="H1206">
        <f>1-(1-Skills!J17/100)^Skills!K17</f>
        <v/>
      </c>
      <c r="I1206" t="inlineStr">
        <is>
          <t>1</t>
        </is>
      </c>
      <c r="J1206" t="inlineStr"/>
      <c r="K1206" t="inlineStr"/>
      <c r="L1206" t="inlineStr"/>
      <c r="M1206" t="inlineStr"/>
      <c r="N1206" t="inlineStr"/>
      <c r="O1206">
        <f>(1-Summary!$B$11)*T1206+Summary!$B$11*V1206</f>
        <v/>
      </c>
      <c r="P1206">
        <f>IF(B1229=0,0,O1206/B1229)</f>
        <v/>
      </c>
      <c r="Q1206" t="n">
        <v>0</v>
      </c>
      <c r="R1206" t="n">
        <v>0</v>
      </c>
      <c r="S1206">
        <f>IFERROR(O1206/N1206,0)</f>
        <v/>
      </c>
      <c r="T1206" t="n">
        <v>0</v>
      </c>
      <c r="V1206" t="n">
        <v>0</v>
      </c>
    </row>
    <row r="1207">
      <c r="A1207">
        <f>Skills!A18</f>
        <v/>
      </c>
      <c r="B1207">
        <f>Skills!B18</f>
        <v/>
      </c>
      <c r="C1207">
        <f>Inputs!$B$3&gt;=115</f>
        <v/>
      </c>
      <c r="D1207">
        <f>IF(Skills!C18=1,60+Inputs!$B$25+Inputs!$B$29,IF(Skills!C18=2,90+Inputs!$B$26+Inputs!$B$29,IF(Skills!C18=3,120+Inputs!$B$27+Inputs!$B$29,MAX(0,(Inputs!$B$3-100)*3)+Inputs!$B$28+Inputs!$B$29)))</f>
        <v/>
      </c>
      <c r="E1207">
        <f>INDEX(FactorTable!$B$2:$Y$301, MATCH(ROUND(MIN(300,MAX(1,D1207)),0), FactorTable!$A$2:$A$301,0), Skills!M18+1)</f>
        <v/>
      </c>
      <c r="F1207">
        <f>IF(Skills!N18=TRUE,(Skills!L18/10)*(E1207/1000),Skills!L18/10)+Skills!O18</f>
        <v/>
      </c>
      <c r="G1207">
        <f>Skills!G18*IF(Skills!H18&gt;0,Skills!I18/Skills!H18,1)</f>
        <v/>
      </c>
      <c r="H1207">
        <f>1-(1-Skills!J18/100)^Skills!K18</f>
        <v/>
      </c>
      <c r="I1207" t="inlineStr">
        <is>
          <t>1</t>
        </is>
      </c>
      <c r="J1207" t="inlineStr"/>
      <c r="K1207" t="inlineStr"/>
      <c r="L1207" t="inlineStr"/>
      <c r="M1207" t="inlineStr"/>
      <c r="N1207" t="inlineStr"/>
      <c r="O1207">
        <f>(1-Summary!$B$11)*T1207+Summary!$B$11*V1207</f>
        <v/>
      </c>
      <c r="P1207">
        <f>IF(B1229=0,0,O1207/B1229)</f>
        <v/>
      </c>
      <c r="Q1207" t="n">
        <v>0</v>
      </c>
      <c r="R1207" t="n">
        <v>0</v>
      </c>
      <c r="S1207">
        <f>IFERROR(O1207/N1207,0)</f>
        <v/>
      </c>
      <c r="T1207" t="n">
        <v>0</v>
      </c>
      <c r="V1207" t="n">
        <v>0</v>
      </c>
    </row>
    <row r="1208">
      <c r="A1208">
        <f>Skills!A19</f>
        <v/>
      </c>
      <c r="B1208">
        <f>Skills!B19</f>
        <v/>
      </c>
      <c r="C1208">
        <f>Inputs!$B$3&gt;=15</f>
        <v/>
      </c>
      <c r="D1208">
        <f>IF(Skills!C19=1,60+Inputs!$B$25+Inputs!$B$29,IF(Skills!C19=2,90+Inputs!$B$26+Inputs!$B$29,IF(Skills!C19=3,120+Inputs!$B$27+Inputs!$B$29,MAX(0,(Inputs!$B$3-100)*3)+Inputs!$B$28+Inputs!$B$29)))</f>
        <v/>
      </c>
      <c r="E1208">
        <f>INDEX(FactorTable!$B$2:$Y$301, MATCH(ROUND(MIN(300,MAX(1,D1208)),0), FactorTable!$A$2:$A$301,0), Skills!M19+1)</f>
        <v/>
      </c>
      <c r="F1208">
        <f>IF(Skills!N19=TRUE,(Skills!L19/10)*(E1208/1000),Skills!L19/10)+Skills!O19</f>
        <v/>
      </c>
      <c r="G1208">
        <f>Skills!G19*IF(Skills!H19&gt;0,Skills!I19/Skills!H19,1)</f>
        <v/>
      </c>
      <c r="H1208">
        <f>1-(1-Skills!J19/100)^Skills!K19</f>
        <v/>
      </c>
      <c r="I1208" t="inlineStr">
        <is>
          <t>1</t>
        </is>
      </c>
      <c r="J1208" t="inlineStr"/>
      <c r="K1208" t="inlineStr"/>
      <c r="L1208" t="inlineStr"/>
      <c r="M1208" t="inlineStr"/>
      <c r="N1208" t="inlineStr"/>
      <c r="O1208">
        <f>(1-Summary!$B$11)*T1208+Summary!$B$11*V1208</f>
        <v/>
      </c>
      <c r="P1208">
        <f>IF(B1229=0,0,O1208/B1229)</f>
        <v/>
      </c>
      <c r="Q1208" t="n">
        <v>0</v>
      </c>
      <c r="R1208" t="n">
        <v>0</v>
      </c>
      <c r="S1208">
        <f>IFERROR(O1208/N1208,0)</f>
        <v/>
      </c>
      <c r="T1208" t="n">
        <v>0</v>
      </c>
      <c r="V1208" t="n">
        <v>0</v>
      </c>
    </row>
    <row r="1209">
      <c r="A1209">
        <f>Skills!A20</f>
        <v/>
      </c>
      <c r="B1209">
        <f>Skills!B20</f>
        <v/>
      </c>
      <c r="C1209">
        <f>Inputs!$B$3&gt;=10</f>
        <v/>
      </c>
      <c r="D1209">
        <f>IF(Skills!C20=1,60+Inputs!$B$25+Inputs!$B$29,IF(Skills!C20=2,90+Inputs!$B$26+Inputs!$B$29,IF(Skills!C20=3,120+Inputs!$B$27+Inputs!$B$29,MAX(0,(Inputs!$B$3-100)*3)+Inputs!$B$28+Inputs!$B$29)))</f>
        <v/>
      </c>
      <c r="E1209">
        <f>INDEX(FactorTable!$B$2:$Y$301, MATCH(ROUND(MIN(300,MAX(1,D1209)),0), FactorTable!$A$2:$A$301,0), Skills!M20+1)</f>
        <v/>
      </c>
      <c r="F1209">
        <f>IF(Skills!N20=TRUE,(Skills!L20/10)*(E1209/1000),Skills!L20/10)+Skills!O20</f>
        <v/>
      </c>
      <c r="G1209">
        <f>Skills!G20*IF(Skills!H20&gt;0,Skills!I20/Skills!H20,1)</f>
        <v/>
      </c>
      <c r="H1209">
        <f>1-(1-Skills!J20/100)^Skills!K20</f>
        <v/>
      </c>
      <c r="I1209" t="inlineStr">
        <is>
          <t>1</t>
        </is>
      </c>
      <c r="J1209" t="inlineStr"/>
      <c r="K1209" t="inlineStr"/>
      <c r="L1209" t="inlineStr"/>
      <c r="M1209" t="inlineStr"/>
      <c r="N1209" t="inlineStr"/>
      <c r="O1209">
        <f>(1-Summary!$B$11)*T1209+Summary!$B$11*V1209</f>
        <v/>
      </c>
      <c r="P1209">
        <f>IF(B1229=0,0,O1209/B1229)</f>
        <v/>
      </c>
      <c r="Q1209" t="n">
        <v>0</v>
      </c>
      <c r="R1209" t="n">
        <v>0</v>
      </c>
      <c r="S1209">
        <f>IFERROR(O1209/N1209,0)</f>
        <v/>
      </c>
      <c r="T1209" t="n">
        <v>0</v>
      </c>
      <c r="V1209" t="n">
        <v>0</v>
      </c>
    </row>
    <row r="1210">
      <c r="A1210">
        <f>Skills!A21</f>
        <v/>
      </c>
      <c r="B1210">
        <f>Skills!B21</f>
        <v/>
      </c>
      <c r="C1210">
        <f>Inputs!$B$3&gt;=33</f>
        <v/>
      </c>
      <c r="D1210">
        <f>IF(Skills!C21=1,60+Inputs!$B$25+Inputs!$B$29,IF(Skills!C21=2,90+Inputs!$B$26+Inputs!$B$29,IF(Skills!C21=3,120+Inputs!$B$27+Inputs!$B$29,MAX(0,(Inputs!$B$3-100)*3)+Inputs!$B$28+Inputs!$B$29)))</f>
        <v/>
      </c>
      <c r="E1210">
        <f>INDEX(FactorTable!$B$2:$Y$301, MATCH(ROUND(MIN(300,MAX(1,D1210)),0), FactorTable!$A$2:$A$301,0), Skills!M21+1)</f>
        <v/>
      </c>
      <c r="F1210">
        <f>IF(Skills!N21=TRUE,(Skills!L21/10)*(E1210/1000),Skills!L21/10)+Skills!O21</f>
        <v/>
      </c>
      <c r="G1210">
        <f>Skills!G21*IF(Skills!H21&gt;0,Skills!I21/Skills!H21,1)</f>
        <v/>
      </c>
      <c r="H1210">
        <f>1-(1-Skills!J21/100)^Skills!K21</f>
        <v/>
      </c>
      <c r="I1210" t="inlineStr">
        <is>
          <t>1</t>
        </is>
      </c>
      <c r="J1210" t="inlineStr"/>
      <c r="K1210" t="inlineStr"/>
      <c r="L1210" t="inlineStr"/>
      <c r="M1210" t="inlineStr"/>
      <c r="N1210" t="inlineStr"/>
      <c r="O1210">
        <f>(1-Summary!$B$11)*T1210+Summary!$B$11*V1210</f>
        <v/>
      </c>
      <c r="P1210">
        <f>IF(B1229=0,0,O1210/B1229)</f>
        <v/>
      </c>
      <c r="Q1210" t="n">
        <v>0</v>
      </c>
      <c r="R1210" t="n">
        <v>0</v>
      </c>
      <c r="S1210">
        <f>IFERROR(O1210/N1210,0)</f>
        <v/>
      </c>
      <c r="T1210" t="n">
        <v>0</v>
      </c>
      <c r="V1210" t="n">
        <v>0</v>
      </c>
    </row>
    <row r="1211">
      <c r="A1211">
        <f>Skills!A22</f>
        <v/>
      </c>
      <c r="B1211">
        <f>Skills!B22</f>
        <v/>
      </c>
      <c r="C1211">
        <f>Inputs!$B$3&gt;=43</f>
        <v/>
      </c>
      <c r="D1211">
        <f>IF(Skills!C22=1,60+Inputs!$B$25+Inputs!$B$29,IF(Skills!C22=2,90+Inputs!$B$26+Inputs!$B$29,IF(Skills!C22=3,120+Inputs!$B$27+Inputs!$B$29,MAX(0,(Inputs!$B$3-100)*3)+Inputs!$B$28+Inputs!$B$29)))</f>
        <v/>
      </c>
      <c r="E1211">
        <f>INDEX(FactorTable!$B$2:$Y$301, MATCH(ROUND(MIN(300,MAX(1,D1211)),0), FactorTable!$A$2:$A$301,0), Skills!M22+1)</f>
        <v/>
      </c>
      <c r="F1211">
        <f>IF(Skills!N22=TRUE,(Skills!L22/10)*(E1211/1000),Skills!L22/10)+Skills!O22</f>
        <v/>
      </c>
      <c r="G1211">
        <f>Skills!G22*IF(Skills!H22&gt;0,Skills!I22/Skills!H22,1)</f>
        <v/>
      </c>
      <c r="H1211">
        <f>1-(1-Skills!J22/100)^Skills!K22</f>
        <v/>
      </c>
      <c r="I1211" t="inlineStr">
        <is>
          <t>1</t>
        </is>
      </c>
      <c r="J1211" t="inlineStr"/>
      <c r="K1211" t="inlineStr"/>
      <c r="L1211" t="inlineStr"/>
      <c r="M1211" t="inlineStr"/>
      <c r="N1211" t="inlineStr"/>
      <c r="O1211">
        <f>(1-Summary!$B$11)*T1211+Summary!$B$11*V1211</f>
        <v/>
      </c>
      <c r="P1211">
        <f>IF(B1229=0,0,O1211/B1229)</f>
        <v/>
      </c>
      <c r="Q1211" t="n">
        <v>0</v>
      </c>
      <c r="R1211" t="n">
        <v>0</v>
      </c>
      <c r="S1211">
        <f>IFERROR(O1211/N1211,0)</f>
        <v/>
      </c>
      <c r="T1211" t="n">
        <v>0</v>
      </c>
      <c r="V1211" t="n">
        <v>0</v>
      </c>
    </row>
    <row r="1212">
      <c r="A1212">
        <f>Skills!A23</f>
        <v/>
      </c>
      <c r="B1212">
        <f>Skills!B23</f>
        <v/>
      </c>
      <c r="C1212">
        <f>Inputs!$B$3&gt;=38</f>
        <v/>
      </c>
      <c r="D1212">
        <f>IF(Skills!C23=1,60+Inputs!$B$25+Inputs!$B$29,IF(Skills!C23=2,90+Inputs!$B$26+Inputs!$B$29,IF(Skills!C23=3,120+Inputs!$B$27+Inputs!$B$29,MAX(0,(Inputs!$B$3-100)*3)+Inputs!$B$28+Inputs!$B$29)))</f>
        <v/>
      </c>
      <c r="E1212">
        <f>INDEX(FactorTable!$B$2:$Y$301, MATCH(ROUND(MIN(300,MAX(1,D1212)),0), FactorTable!$A$2:$A$301,0), Skills!M23+1)</f>
        <v/>
      </c>
      <c r="F1212">
        <f>IF(Skills!N23=TRUE,(Skills!L23/10)*(E1212/1000),Skills!L23/10)+Skills!O23</f>
        <v/>
      </c>
      <c r="G1212">
        <f>Skills!G23*IF(Skills!H23&gt;0,Skills!I23/Skills!H23,1)</f>
        <v/>
      </c>
      <c r="H1212">
        <f>1-(1-Skills!J23/100)^Skills!K23</f>
        <v/>
      </c>
      <c r="I1212" t="inlineStr">
        <is>
          <t>1</t>
        </is>
      </c>
      <c r="J1212" t="inlineStr"/>
      <c r="K1212" t="inlineStr"/>
      <c r="L1212" t="inlineStr"/>
      <c r="M1212" t="inlineStr"/>
      <c r="N1212" t="inlineStr"/>
      <c r="O1212">
        <f>(1-Summary!$B$11)*T1212+Summary!$B$11*V1212</f>
        <v/>
      </c>
      <c r="P1212">
        <f>IF(B1229=0,0,O1212/B1229)</f>
        <v/>
      </c>
      <c r="Q1212" t="n">
        <v>0</v>
      </c>
      <c r="R1212" t="n">
        <v>0</v>
      </c>
      <c r="S1212">
        <f>IFERROR(O1212/N1212,0)</f>
        <v/>
      </c>
      <c r="T1212" t="n">
        <v>0</v>
      </c>
      <c r="V1212" t="n">
        <v>0</v>
      </c>
    </row>
    <row r="1213">
      <c r="A1213">
        <f>Skills!A24</f>
        <v/>
      </c>
      <c r="B1213">
        <f>Skills!B24</f>
        <v/>
      </c>
      <c r="C1213">
        <f>Inputs!$B$3&gt;=40</f>
        <v/>
      </c>
      <c r="D1213">
        <f>IF(Skills!C24=1,60+Inputs!$B$25+Inputs!$B$29,IF(Skills!C24=2,90+Inputs!$B$26+Inputs!$B$29,IF(Skills!C24=3,120+Inputs!$B$27+Inputs!$B$29,MAX(0,(Inputs!$B$3-100)*3)+Inputs!$B$28+Inputs!$B$29)))</f>
        <v/>
      </c>
      <c r="E1213">
        <f>INDEX(FactorTable!$B$2:$Y$301, MATCH(ROUND(MIN(300,MAX(1,D1213)),0), FactorTable!$A$2:$A$301,0), Skills!M24+1)</f>
        <v/>
      </c>
      <c r="F1213">
        <f>IF(Skills!N24=TRUE,(Skills!L24/10)*(E1213/1000),Skills!L24/10)+Skills!O24</f>
        <v/>
      </c>
      <c r="G1213">
        <f>Skills!G24*IF(Skills!H24&gt;0,Skills!I24/Skills!H24,1)</f>
        <v/>
      </c>
      <c r="H1213">
        <f>1-(1-Skills!J24/100)^Skills!K24</f>
        <v/>
      </c>
      <c r="I1213" t="inlineStr">
        <is>
          <t>1</t>
        </is>
      </c>
      <c r="J1213" t="inlineStr"/>
      <c r="K1213" t="inlineStr"/>
      <c r="L1213" t="inlineStr"/>
      <c r="M1213" t="inlineStr"/>
      <c r="N1213" t="inlineStr"/>
      <c r="O1213">
        <f>(1-Summary!$B$11)*T1213+Summary!$B$11*V1213</f>
        <v/>
      </c>
      <c r="P1213">
        <f>IF(B1229=0,0,O1213/B1229)</f>
        <v/>
      </c>
      <c r="Q1213" t="n">
        <v>0</v>
      </c>
      <c r="R1213" t="n">
        <v>0</v>
      </c>
      <c r="S1213">
        <f>IFERROR(O1213/N1213,0)</f>
        <v/>
      </c>
      <c r="T1213" t="n">
        <v>0</v>
      </c>
      <c r="V1213" t="n">
        <v>0</v>
      </c>
    </row>
    <row r="1214">
      <c r="A1214">
        <f>Skills!A25</f>
        <v/>
      </c>
      <c r="B1214">
        <f>Skills!B25</f>
        <v/>
      </c>
      <c r="C1214">
        <f>Inputs!$B$3&gt;=72</f>
        <v/>
      </c>
      <c r="D1214">
        <f>IF(Skills!C25=1,60+Inputs!$B$25+Inputs!$B$29,IF(Skills!C25=2,90+Inputs!$B$26+Inputs!$B$29,IF(Skills!C25=3,120+Inputs!$B$27+Inputs!$B$29,MAX(0,(Inputs!$B$3-100)*3)+Inputs!$B$28+Inputs!$B$29)))</f>
        <v/>
      </c>
      <c r="E1214">
        <f>INDEX(FactorTable!$B$2:$Y$301, MATCH(ROUND(MIN(300,MAX(1,D1214)),0), FactorTable!$A$2:$A$301,0), Skills!M25+1)</f>
        <v/>
      </c>
      <c r="F1214">
        <f>IF(Skills!N25=TRUE,(Skills!L25/10)*(E1214/1000),Skills!L25/10)+Skills!O25</f>
        <v/>
      </c>
      <c r="G1214">
        <f>Skills!G25*IF(Skills!H25&gt;0,Skills!I25/Skills!H25,1)</f>
        <v/>
      </c>
      <c r="H1214">
        <f>1-(1-Skills!J25/100)^Skills!K25</f>
        <v/>
      </c>
      <c r="I1214" t="inlineStr">
        <is>
          <t>1</t>
        </is>
      </c>
      <c r="J1214" t="inlineStr"/>
      <c r="K1214" t="inlineStr"/>
      <c r="L1214" t="inlineStr"/>
      <c r="M1214" t="inlineStr"/>
      <c r="N1214" t="inlineStr"/>
      <c r="O1214">
        <f>(1-Summary!$B$11)*T1214+Summary!$B$11*V1214</f>
        <v/>
      </c>
      <c r="P1214">
        <f>IF(B1229=0,0,O1214/B1229)</f>
        <v/>
      </c>
      <c r="Q1214" t="n">
        <v>0</v>
      </c>
      <c r="R1214" t="n">
        <v>0</v>
      </c>
      <c r="S1214">
        <f>IFERROR(O1214/N1214,0)</f>
        <v/>
      </c>
      <c r="T1214" t="n">
        <v>0</v>
      </c>
      <c r="V1214" t="n">
        <v>0</v>
      </c>
    </row>
    <row r="1215">
      <c r="A1215">
        <f>Skills!A26</f>
        <v/>
      </c>
      <c r="B1215">
        <f>Skills!B26</f>
        <v/>
      </c>
      <c r="C1215">
        <f>Inputs!$B$3&gt;=75</f>
        <v/>
      </c>
      <c r="D1215">
        <f>IF(Skills!C26=1,60+Inputs!$B$25+Inputs!$B$29,IF(Skills!C26=2,90+Inputs!$B$26+Inputs!$B$29,IF(Skills!C26=3,120+Inputs!$B$27+Inputs!$B$29,MAX(0,(Inputs!$B$3-100)*3)+Inputs!$B$28+Inputs!$B$29)))</f>
        <v/>
      </c>
      <c r="E1215">
        <f>INDEX(FactorTable!$B$2:$Y$301, MATCH(ROUND(MIN(300,MAX(1,D1215)),0), FactorTable!$A$2:$A$301,0), Skills!M26+1)</f>
        <v/>
      </c>
      <c r="F1215">
        <f>IF(Skills!N26=TRUE,(Skills!L26/10)*(E1215/1000),Skills!L26/10)+Skills!O26</f>
        <v/>
      </c>
      <c r="G1215">
        <f>Skills!G26*IF(Skills!H26&gt;0,Skills!I26/Skills!H26,1)</f>
        <v/>
      </c>
      <c r="H1215">
        <f>1-(1-Skills!J26/100)^Skills!K26</f>
        <v/>
      </c>
      <c r="I1215" t="inlineStr">
        <is>
          <t>1</t>
        </is>
      </c>
      <c r="J1215" t="inlineStr"/>
      <c r="K1215" t="inlineStr"/>
      <c r="L1215" t="inlineStr"/>
      <c r="M1215" t="inlineStr"/>
      <c r="N1215" t="inlineStr"/>
      <c r="O1215">
        <f>(1-Summary!$B$11)*T1215+Summary!$B$11*V1215</f>
        <v/>
      </c>
      <c r="P1215">
        <f>IF(B1229=0,0,O1215/B1229)</f>
        <v/>
      </c>
      <c r="Q1215" t="n">
        <v>0</v>
      </c>
      <c r="R1215" t="n">
        <v>0</v>
      </c>
      <c r="S1215">
        <f>IFERROR(O1215/N1215,0)</f>
        <v/>
      </c>
      <c r="T1215" t="n">
        <v>0</v>
      </c>
      <c r="V1215" t="n">
        <v>0</v>
      </c>
    </row>
    <row r="1216">
      <c r="A1216">
        <f>Skills!A27</f>
        <v/>
      </c>
      <c r="B1216">
        <f>Skills!B27</f>
        <v/>
      </c>
      <c r="C1216">
        <f>Inputs!$B$3&gt;=117</f>
        <v/>
      </c>
      <c r="D1216">
        <f>IF(Skills!C27=1,60+Inputs!$B$25+Inputs!$B$29,IF(Skills!C27=2,90+Inputs!$B$26+Inputs!$B$29,IF(Skills!C27=3,120+Inputs!$B$27+Inputs!$B$29,MAX(0,(Inputs!$B$3-100)*3)+Inputs!$B$28+Inputs!$B$29)))</f>
        <v/>
      </c>
      <c r="E1216">
        <f>INDEX(FactorTable!$B$2:$Y$301, MATCH(ROUND(MIN(300,MAX(1,D1216)),0), FactorTable!$A$2:$A$301,0), Skills!M27+1)</f>
        <v/>
      </c>
      <c r="F1216">
        <f>IF(Skills!N27=TRUE,(Skills!L27/10)*(E1216/1000),Skills!L27/10)+Skills!O27</f>
        <v/>
      </c>
      <c r="G1216">
        <f>Skills!G27*IF(Skills!H27&gt;0,Skills!I27/Skills!H27,1)</f>
        <v/>
      </c>
      <c r="H1216">
        <f>1-(1-Skills!J27/100)^Skills!K27</f>
        <v/>
      </c>
      <c r="I1216" t="inlineStr">
        <is>
          <t>1</t>
        </is>
      </c>
      <c r="J1216" t="inlineStr"/>
      <c r="K1216" t="inlineStr"/>
      <c r="L1216" t="inlineStr"/>
      <c r="M1216" t="inlineStr"/>
      <c r="N1216" t="inlineStr"/>
      <c r="O1216">
        <f>(1-Summary!$B$11)*T1216+Summary!$B$11*V1216</f>
        <v/>
      </c>
      <c r="P1216">
        <f>IF(B1229=0,0,O1216/B1229)</f>
        <v/>
      </c>
      <c r="Q1216" t="n">
        <v>0</v>
      </c>
      <c r="R1216" t="n">
        <v>0</v>
      </c>
      <c r="S1216">
        <f>IFERROR(O1216/N1216,0)</f>
        <v/>
      </c>
      <c r="T1216" t="n">
        <v>0</v>
      </c>
      <c r="V1216" t="n">
        <v>0</v>
      </c>
    </row>
    <row r="1218">
      <c r="A1218" t="inlineStr">
        <is>
          <t>Attack% Bucket Multiplier</t>
        </is>
      </c>
      <c r="B1218">
        <f>(1+(((C1206=TRUE)*F1206)+((C1213=TRUE)*(F1213-Calc!F24))+(IF(ArtifactsInput!$M$21,CHOOSE(ArtifactsInput!$N$21+1,25,30,35,40,45,50)*(IF(OR(Inputs!$B$4="Chapter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219">
      <c r="A1219" t="inlineStr">
        <is>
          <t>Global Crit Rate Bonus %</t>
        </is>
      </c>
      <c r="B1219" t="n">
        <v>0</v>
      </c>
    </row>
    <row r="1220">
      <c r="A1220" t="inlineStr">
        <is>
          <t>Attack Speed Buff Bonus % (unused)</t>
        </is>
      </c>
      <c r="B1220" t="n">
        <v>0</v>
      </c>
    </row>
    <row r="1221">
      <c r="A1221" t="inlineStr">
        <is>
          <t>Actions Per Second</t>
        </is>
      </c>
      <c r="B1221">
        <f>1+MIN(150,150*(1-(1-(Inputs!$B$11+((C1209=TRUE)*(F1209-Calc!F20))+((C1210=TRUE)*(F1210-Calc!F21)))/150)*(1-B1220/150)))/100</f>
        <v/>
      </c>
    </row>
    <row r="1222">
      <c r="A1222" t="inlineStr">
        <is>
          <t>Skill + Buff Cast Rate</t>
        </is>
      </c>
      <c r="B1222">
        <f>IF(AND(Inputs!$B$38&lt;&gt;"pvp",Inputs!$B$43&gt;0),SUMPRODUCT((Skills!E2:E27=TRUE)*(C1191:C1216=TRUE)*R1191:R1216*Skills!F2:F27)/Inputs!$B$43,SUMPRODUCT((Skills!E2:E27=TRUE)*(C1191:C1216=TRUE)*Q1191:Q1216*Skills!F2:F27))</f>
        <v/>
      </c>
    </row>
    <row r="1223">
      <c r="A1223" t="inlineStr">
        <is>
          <t>Eight-Legs Easton Casts Per Second</t>
        </is>
      </c>
      <c r="B1223">
        <f>MAX(0,B1221-B1222)</f>
        <v/>
      </c>
    </row>
    <row r="1224">
      <c r="A1224" t="inlineStr">
        <is>
          <t>Global Critical Damage Bonus % (unused)</t>
        </is>
      </c>
      <c r="B1224" t="n">
        <v>0</v>
      </c>
    </row>
    <row r="1225">
      <c r="A1225" t="inlineStr">
        <is>
          <t>Global Final Damage Bonus % (Jolly Roger only)</t>
        </is>
      </c>
      <c r="B1225">
        <f>((C1207=TRUE)*F1207)</f>
        <v/>
      </c>
    </row>
    <row r="1226">
      <c r="A1226" t="inlineStr">
        <is>
          <t>Buff-Casting Startup Delay (s, fixed-duration only)</t>
        </is>
      </c>
      <c r="B1226">
        <f>IF(AND(Inputs!$B$38&lt;&gt;"pvp",Inputs!$B$43&gt;0),SUMPRODUCT((Skills!T2:T27&gt;0)*(Skills!E2:E27=TRUE)*(C1191:C1216=TRUE))/B1221,0)</f>
        <v/>
      </c>
    </row>
    <row r="1227">
      <c r="A1227" t="inlineStr">
        <is>
          <t>Boss-Only Total DPS (this block's swept value)</t>
        </is>
      </c>
      <c r="B1227">
        <f>SUM(T1191:T1216)</f>
        <v/>
      </c>
    </row>
    <row r="1228">
      <c r="A1228" t="inlineStr">
        <is>
          <t>Normal-Only Total DPS (this block's swept value)</t>
        </is>
      </c>
      <c r="B1228">
        <f>SUM(V1191:V1216)</f>
        <v/>
      </c>
    </row>
    <row r="1229">
      <c r="A1229" s="6" t="inlineStr">
        <is>
          <t>TOTAL DPS</t>
        </is>
      </c>
      <c r="B1229" s="6">
        <f>SUM(O1191:O1216)</f>
        <v/>
      </c>
    </row>
    <row r="1232">
      <c r="A1232" s="6" t="inlineStr">
        <is>
          <t>Stat: Pig's Ribbon (Equip)</t>
        </is>
      </c>
    </row>
    <row r="1233">
      <c r="A1233" s="5" t="inlineStr">
        <is>
          <t>Key</t>
        </is>
      </c>
      <c r="B1233" s="5" t="inlineStr">
        <is>
          <t>Name</t>
        </is>
      </c>
      <c r="C1233" s="5" t="inlineStr">
        <is>
          <t>Unlocked</t>
        </is>
      </c>
      <c r="D1233" s="5" t="inlineStr">
        <is>
          <t>InputLevel</t>
        </is>
      </c>
      <c r="E1233" s="5" t="inlineStr">
        <is>
          <t>Factor</t>
        </is>
      </c>
      <c r="F1233" s="5" t="inlineStr">
        <is>
          <t>CoefficientPercent</t>
        </is>
      </c>
      <c r="G1233" s="5" t="inlineStr">
        <is>
          <t>EffectiveHits</t>
        </is>
      </c>
      <c r="H1233" s="5" t="inlineStr">
        <is>
          <t>ProcProbability</t>
        </is>
      </c>
      <c r="I1233" s="5" t="inlineStr">
        <is>
          <t>MapleHeroMultiplier</t>
        </is>
      </c>
      <c r="J1233" s="5" t="inlineStr">
        <is>
          <t>BaseDamage</t>
        </is>
      </c>
      <c r="K1233" s="5" t="inlineStr">
        <is>
          <t>BaseHitDamage</t>
        </is>
      </c>
      <c r="L1233" s="5" t="inlineStr">
        <is>
          <t>NonCritAvg</t>
        </is>
      </c>
      <c r="M1233" s="5" t="inlineStr">
        <is>
          <t>CritAvg</t>
        </is>
      </c>
      <c r="N1233" s="5" t="inlineStr">
        <is>
          <t>ExpectedDamage(perHit)</t>
        </is>
      </c>
      <c r="O1233" s="5" t="inlineStr">
        <is>
          <t>DPS</t>
        </is>
      </c>
      <c r="P1233" s="5" t="inlineStr">
        <is>
          <t>% of Total</t>
        </is>
      </c>
      <c r="Q1233" s="5" t="inlineStr">
        <is>
          <t>InvCooldown</t>
        </is>
      </c>
      <c r="R1233" s="5" t="inlineStr">
        <is>
          <t>CastsInFight</t>
        </is>
      </c>
      <c r="S1233" s="5" t="inlineStr">
        <is>
          <t>HitRate(perSec)</t>
        </is>
      </c>
      <c r="U1233" t="inlineStr">
        <is>
          <t>helpers</t>
        </is>
      </c>
    </row>
    <row r="1234">
      <c r="A1234">
        <f>Skills!A2</f>
        <v/>
      </c>
      <c r="B1234">
        <f>Skills!B2</f>
        <v/>
      </c>
      <c r="C1234">
        <f>Inputs!$B$3&gt;=100</f>
        <v/>
      </c>
      <c r="D1234" t="inlineStr"/>
      <c r="E1234" t="inlineStr"/>
      <c r="F1234">
        <f>U1236+Skills!O2</f>
        <v/>
      </c>
      <c r="G1234">
        <f>Skills!G2*IF(Skills!H2&gt;0,Skills!I2/Skills!H2,1)</f>
        <v/>
      </c>
      <c r="H1234">
        <f>1-(1-Skills!J2/100)^Skills!K2</f>
        <v/>
      </c>
      <c r="I1234" t="inlineStr">
        <is>
          <t>1</t>
        </is>
      </c>
      <c r="J1234">
        <f>((Inputs!$B$6*(1+Inputs!$B$7/100))+(((Inputs!$B$12*(1+Inputs!$B$13/100))-(Inputs!$B$12*(1+Inputs!$B$13/100)))+0.25*(Inputs!$B$14-Inputs!$B$14))*(1+Inputs!$B$7/100))*(F1234/100)</f>
        <v/>
      </c>
      <c r="K1234">
        <f>J1234*(1+((Inputs!$B$12*(1+Inputs!$B$13/100))*0.01+Inputs!$B$14*0.0025)/100)*(1+Inputs!$B$15/100)*(1+Inputs!$B$16/100)*(5000/(6000+Inputs!$B$42*(1-(100*(1-(1-(Inputs!$B$19+0)/100)*(1-CHOOSE(ArtifactsInput!$N$40+1,5,6,7,8,9,10)/100)^(ArtifactsInput!$M$40-ArtifactsInput!$M$40)))/100)))*(1+(Inputs!$B$24+((C1258=TRUE)*(F1258-Calc!F26))+B1268)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1255=TRUE)*(F1255-Calc!F23))+((C1259=TRUE)*(F1259-Calc!F27))+(((IF(AND(ArtifactsInput!$M$42,((Inputs!$B$9+((C1251=TRUE)*(F1251-Calc!F19))+B1262+(ArtifactsInput!$M$24-ArtifactsInput!$M$24)*CHOOSE(ArtifactsInput!$N$24+1,10,12,14,16,18,20)+IF(ArtifactsInput!$M$10,CHOOSE(ArtifactsInput!$N$10+1,15,18,21,24,27,30)*(IF(Inputs!$B$38="pvp",MIN(15,15)/15,IF(AND(Inputs!$B$38&lt;&gt;"pvp",Inputs!$B$43&gt;0),MIN(15,Inputs!$B$43)/(Inputs!$B$43),0))),0)))&gt;=100),MIN(100,((Inputs!$B$9+((C1251=TRUE)*(F1251-Calc!F19))+B1262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1251=TRUE)*(F1251-Calc!F19))+B1262+(ArtifactsInput!$M$24-ArtifactsInput!$M$24)*CHOOSE(ArtifactsInput!$N$24+1,10,12,14,16,18,20)+IF(ArtifactsInput!$M$10,CHOOSE(ArtifactsInput!$N$10+1,15,18,21,24,27,30)*(IF(Inputs!$B$38="pvp",MIN(15,15)/15,IF(AND(Inputs!$B$38&lt;&gt;"pvp",Inputs!$B$43&gt;0),MIN(15,Inputs!$B$43)/(Inputs!$B$43),0))),0)))&gt;=100),CHOOSE(ArtifactsInput!$N$42+1,40,48,56,64,72,80),0))))/100)*((1+(((C1249=TRUE)*F1249)+((C1256=TRUE)*(F1256-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1234)</f>
        <v/>
      </c>
      <c r="L1234">
        <f>K1234*(MIN(Inputs!$B$22+((C1254=TRUE)*(F1254-Calc!F22)),(Inputs!$B$23+0+(IF(ArtifactsInput!$M$15,CHOOSE(ArtifactsInput!$N$15+1,25,30,35,40,45,50)/100*(Inputs!$B$11-Inputs!$B$11),0))))/100+(Inputs!$B$23+0+(IF(ArtifactsInput!$M$15,CHOOSE(ArtifactsInput!$N$15+1,25,30,35,40,45,50)/100*(Inputs!$B$11-Inputs!$B$11),0)))/100)/2</f>
        <v/>
      </c>
      <c r="M1234">
        <f>L1234*(1+(Inputs!$B$10+((C1257=TRUE)*(F1257-Calc!F25))+B1267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4">
        <f>L1234*(1-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1234*(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4">
        <f>(1-Summary!$B$11)*T1234+Summary!$B$11*V1234</f>
        <v/>
      </c>
      <c r="P1234">
        <f>IF(B1272=0,0,O1234/B1272)</f>
        <v/>
      </c>
      <c r="Q1234" t="n">
        <v>0</v>
      </c>
      <c r="R1234" t="n">
        <v>0</v>
      </c>
      <c r="S1234">
        <f>IFERROR(O1234/N1234,0)</f>
        <v/>
      </c>
      <c r="T1234">
        <f>IF(C1234,(Skills!G2*N1234*B1266)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1234*(1-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1234*(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1234*(1-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1234*(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4">
        <f>MAX(0,(Inputs!$B$3-100)*3)+Inputs!$B$28+Inputs!$B$29</f>
        <v/>
      </c>
      <c r="V1234">
        <f>IF(C1234,(Skills!G2*N1234*B1266)*IF(Inputs!$B$38="pvp",1,(1+(Inputs!$B$21+Skills!Q2+(IF(ArtifactsInput!$M$33,CHOOSE(ArtifactsInput!$N$33+1,30,36,42,48,54,60),0))+(IF(AND(ArtifactsInput!$M$35,Inputs!$B$4&lt;&gt;"Chapter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5">
      <c r="A1235">
        <f>Skills!A3</f>
        <v/>
      </c>
      <c r="B1235">
        <f>Skills!B3</f>
        <v/>
      </c>
      <c r="C1235">
        <f>Inputs!$B$3&gt;=35</f>
        <v/>
      </c>
      <c r="D1235">
        <f>IF(Skills!C3=1,60+Inputs!$B$25+Inputs!$B$29,IF(Skills!C3=2,90+Inputs!$B$26+Inputs!$B$29,IF(Skills!C3=3,120+Inputs!$B$27+Inputs!$B$29,MAX(0,(Inputs!$B$3-100)*3)+Inputs!$B$28+Inputs!$B$29)))</f>
        <v/>
      </c>
      <c r="E1235">
        <f>INDEX(FactorTable!$B$2:$Y$301, MATCH(ROUND(MIN(300,MAX(1,D1235)),0), FactorTable!$A$2:$A$301,0), Skills!M3+1)</f>
        <v/>
      </c>
      <c r="F1235">
        <f>IF(Skills!N3=TRUE,(Skills!L3/10)*(E1235/1000),Skills!L3/10)+Skills!O3</f>
        <v/>
      </c>
      <c r="G1235">
        <f>Skills!G3*IF(Skills!H3&gt;0,Skills!I3/Skills!H3,1)</f>
        <v/>
      </c>
      <c r="H1235">
        <f>1-(1-Skills!J3/100)^Skills!K3</f>
        <v/>
      </c>
      <c r="I1235" t="inlineStr">
        <is>
          <t>1</t>
        </is>
      </c>
      <c r="J1235">
        <f>((Inputs!$B$6*(1+Inputs!$B$7/100))+(((Inputs!$B$12*(1+Inputs!$B$13/100))-(Inputs!$B$12*(1+Inputs!$B$13/100)))+0.25*(Inputs!$B$14-Inputs!$B$14))*(1+Inputs!$B$7/100))*(F1235/100)</f>
        <v/>
      </c>
      <c r="K1235">
        <f>J1235*(1+((Inputs!$B$12*(1+Inputs!$B$13/100))*0.01+Inputs!$B$14*0.0025)/100)*(1+Inputs!$B$15/100)*(1+Inputs!$B$16/100)*(5000/(6000+Inputs!$B$42*(1-(100*(1-(1-(Inputs!$B$19+0)/100)*(1-CHOOSE(ArtifactsInput!$N$40+1,5,6,7,8,9,10)/100)^(ArtifactsInput!$M$40-ArtifactsInput!$M$40)))/100)))*(1+(Inputs!$B$24+((C1258=TRUE)*(F1258-Calc!F26))+B1268)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1247=TRUE,F1247,0)/100)*(1+(IF(Skills!A3="EIGHT_LEGS_EASTON",Inputs!$B$17+((C1255=TRUE)*(F1255-Calc!F23))+((C1259=TRUE)*(F1259-Calc!F27))+(((IF(AND(ArtifactsInput!$M$42,((Inputs!$B$9+((C1251=TRUE)*(F1251-Calc!F19))+B1262+(ArtifactsInput!$M$24-ArtifactsInput!$M$24)*CHOOSE(ArtifactsInput!$N$24+1,10,12,14,16,18,20)+IF(ArtifactsInput!$M$10,CHOOSE(ArtifactsInput!$N$10+1,15,18,21,24,27,30)*(IF(Inputs!$B$38="pvp",MIN(15,15)/15,IF(AND(Inputs!$B$38&lt;&gt;"pvp",Inputs!$B$43&gt;0),MIN(15,Inputs!$B$43)/(Inputs!$B$43),0))),0)))&gt;=100),MIN(100,((Inputs!$B$9+((C1251=TRUE)*(F1251-Calc!F19))+B1262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1251=TRUE)*(F1251-Calc!F19))+B1262+(ArtifactsInput!$M$24-ArtifactsInput!$M$24)*CHOOSE(ArtifactsInput!$N$24+1,10,12,14,16,18,20)+IF(ArtifactsInput!$M$10,CHOOSE(ArtifactsInput!$N$10+1,15,18,21,24,27,30)*(IF(Inputs!$B$38="pvp",MIN(15,15)/15,IF(AND(Inputs!$B$38&lt;&gt;"pvp",Inputs!$B$43&gt;0),MIN(15,Inputs!$B$43)/(Inputs!$B$43),0))),0)))&gt;=100),CHOOSE(ArtifactsInput!$N$42+1,40,48,56,64,72,80),0))))/100)*((1+(((C1249=TRUE)*F1249)+((C1256=TRUE)*(F1256-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1235)</f>
        <v/>
      </c>
      <c r="L1235">
        <f>K1235*(MIN(Inputs!$B$22+((C1254=TRUE)*(F1254-Calc!F22)),(Inputs!$B$23+0+(IF(ArtifactsInput!$M$15,CHOOSE(ArtifactsInput!$N$15+1,25,30,35,40,45,50)/100*(Inputs!$B$11-Inputs!$B$11),0))))/100+(Inputs!$B$23+0+(IF(ArtifactsInput!$M$15,CHOOSE(ArtifactsInput!$N$15+1,25,30,35,40,45,50)/100*(Inputs!$B$11-Inputs!$B$11),0)))/100)/2</f>
        <v/>
      </c>
      <c r="M1235">
        <f>L1235*(1+(Inputs!$B$10+((C1257=TRUE)*(F1257-Calc!F25))+B1267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5">
        <f>L1235*(1-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1235*(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5">
        <f>(1-Summary!$B$11)*T1235+Summary!$B$11*V1235</f>
        <v/>
      </c>
      <c r="P1235">
        <f>IF(B1272=0,0,O1235/B1272)</f>
        <v/>
      </c>
      <c r="Q1235">
        <f>IFERROR(1/(IF(Inputs!$B$38="pvp",15,MAX(0.1,Skills!D3-IF(Skills!E3=TRUE,Inputs!$B$32,0)))*(1-IF(AND(ArtifactsInput!$M$27,Inputs!$B$4="Chapter Hunt"),CHOOSE(ArtifactsInput!$N$27+1,20,24,28,32,36,40),0)/100)),0)</f>
        <v/>
      </c>
      <c r="R1235">
        <f>IF(AND(Inputs!$B$38&lt;&gt;"pvp",Inputs!$B$43&gt;0),IF(MAX(0,Inputs!$B$43-B1269)&lt;=0,0,(INT(MAX(0,Inputs!$B$43-B1269)/(IF(Inputs!$B$38="pvp",15,MAX(0.1,Skills!D3-IF(Skills!E3=TRUE,Inputs!$B$32,0)))*(1-IF(AND(ArtifactsInput!$M$27,Inputs!$B$4="Chapter Hunt"),CHOOSE(ArtifactsInput!$N$27+1,20,24,28,32,36,40),0)/100)))+1)),0)</f>
        <v/>
      </c>
      <c r="S1235">
        <f>IFERROR(O1235/N1235,0)</f>
        <v/>
      </c>
      <c r="T1235">
        <f>IF(C1235,(H1235*N1235*IF(AND(Inputs!$B$38&lt;&gt;"pvp",Inputs!$B$43&gt;0),((Skills!G3*((R1235-1)*IF(Skills!H3&gt;0,Skills!I3/Skills!H3,1)+IF(Skills!H3&gt;0,MIN(Skills!I3,MAX(0,MAX(0,Inputs!$B$43-B1269)-((R1235-1)*(IF(Inputs!$B$38="pvp",15,MAX(0.1,Skills!D3-IF(Skills!E3=TRUE,Inputs!$B$32,0)))*(1-IF(AND(ArtifactsInput!$M$27,Inputs!$B$4="Chapter Hunt"),CHOOSE(ArtifactsInput!$N$27+1,20,24,28,32,36,40),0)/100)))))/Skills!H3,1)))/Inputs!$B$43),G1235*Q1235)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1235*(1-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1235*(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1235*(1-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1235*(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5">
        <f>INDEX(FactorTable!$B$2:$Y$301, MATCH(ROUND(MIN(300,MAX(1,U1234)),0), FactorTable!$A$2:$A$301,0), 22)</f>
        <v/>
      </c>
      <c r="V1235">
        <f>IF(C1235,(H1235*N1235*IF(AND(Inputs!$B$38&lt;&gt;"pvp",Inputs!$B$43&gt;0),((Skills!G3*((R1235-1)*IF(Skills!H3&gt;0,Skills!I3/Skills!H3,1)+IF(Skills!H3&gt;0,MIN(Skills!I3,MAX(0,MAX(0,Inputs!$B$43-B1269)-((R1235-1)*(IF(Inputs!$B$38="pvp",15,MAX(0.1,Skills!D3-IF(Skills!E3=TRUE,Inputs!$B$32,0)))*(1-IF(AND(ArtifactsInput!$M$27,Inputs!$B$4="Chapter Hunt"),CHOOSE(ArtifactsInput!$N$27+1,20,24,28,32,36,40),0)/100)))))/Skills!H3,1)))/Inputs!$B$43),G1235*Q1235))*IF(Inputs!$B$38="pvp",1,(1+(Inputs!$B$21+Skills!Q3+(IF(ArtifactsInput!$M$33,CHOOSE(ArtifactsInput!$N$33+1,30,36,42,48,54,60)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6">
      <c r="A1236">
        <f>Skills!A4</f>
        <v/>
      </c>
      <c r="B1236">
        <f>Skills!B4</f>
        <v/>
      </c>
      <c r="C1236">
        <f>Inputs!$B$3&gt;=40</f>
        <v/>
      </c>
      <c r="D1236">
        <f>IF(Skills!C4=1,60+Inputs!$B$25+Inputs!$B$29,IF(Skills!C4=2,90+Inputs!$B$26+Inputs!$B$29,IF(Skills!C4=3,120+Inputs!$B$27+Inputs!$B$29,MAX(0,(Inputs!$B$3-100)*3)+Inputs!$B$28+Inputs!$B$29)))</f>
        <v/>
      </c>
      <c r="E1236">
        <f>INDEX(FactorTable!$B$2:$Y$301, MATCH(ROUND(MIN(300,MAX(1,D1236)),0), FactorTable!$A$2:$A$301,0), Skills!M4+1)</f>
        <v/>
      </c>
      <c r="F1236">
        <f>IF(Skills!N4=TRUE,(Skills!L4/10)*(E1236/1000),Skills!L4/10)+Skills!O4</f>
        <v/>
      </c>
      <c r="G1236">
        <f>Skills!G4*IF(Skills!H4&gt;0,Skills!I4/Skills!H4,1)</f>
        <v/>
      </c>
      <c r="H1236">
        <f>1-(1-Skills!J4/100)^Skills!K4</f>
        <v/>
      </c>
      <c r="I1236" t="inlineStr">
        <is>
          <t>1</t>
        </is>
      </c>
      <c r="J1236">
        <f>((Inputs!$B$6*(1+Inputs!$B$7/100))+(((Inputs!$B$12*(1+Inputs!$B$13/100))-(Inputs!$B$12*(1+Inputs!$B$13/100)))+0.25*(Inputs!$B$14-Inputs!$B$14))*(1+Inputs!$B$7/100))*(F1236/100)</f>
        <v/>
      </c>
      <c r="K1236">
        <f>J1236*(1+((Inputs!$B$12*(1+Inputs!$B$13/100))*0.01+Inputs!$B$14*0.0025)/100)*(1+Inputs!$B$15/100)*(1+Inputs!$B$16/100)*(5000/(6000+Inputs!$B$42*(1-(100*(1-(1-(Inputs!$B$19+0)/100)*(1-CHOOSE(ArtifactsInput!$N$40+1,5,6,7,8,9,10)/100)^(ArtifactsInput!$M$40-ArtifactsInput!$M$40)))/100)))*(1+(Inputs!$B$24+((C1258=TRUE)*(F1258-Calc!F26))+B1268)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1248=TRUE,F1248,0)/100)*(1+(IF(Skills!A4="EIGHT_LEGS_EASTON",Inputs!$B$17+((C1255=TRUE)*(F1255-Calc!F23))+((C1259=TRUE)*(F1259-Calc!F27))+(((IF(AND(ArtifactsInput!$M$42,((Inputs!$B$9+((C1251=TRUE)*(F1251-Calc!F19))+B1262+(ArtifactsInput!$M$24-ArtifactsInput!$M$24)*CHOOSE(ArtifactsInput!$N$24+1,10,12,14,16,18,20)+IF(ArtifactsInput!$M$10,CHOOSE(ArtifactsInput!$N$10+1,15,18,21,24,27,30)*(IF(Inputs!$B$38="pvp",MIN(15,15)/15,IF(AND(Inputs!$B$38&lt;&gt;"pvp",Inputs!$B$43&gt;0),MIN(15,Inputs!$B$43)/(Inputs!$B$43),0))),0)))&gt;=100),MIN(100,((Inputs!$B$9+((C1251=TRUE)*(F1251-Calc!F19))+B1262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1251=TRUE)*(F1251-Calc!F19))+B1262+(ArtifactsInput!$M$24-ArtifactsInput!$M$24)*CHOOSE(ArtifactsInput!$N$24+1,10,12,14,16,18,20)+IF(ArtifactsInput!$M$10,CHOOSE(ArtifactsInput!$N$10+1,15,18,21,24,27,30)*(IF(Inputs!$B$38="pvp",MIN(15,15)/15,IF(AND(Inputs!$B$38&lt;&gt;"pvp",Inputs!$B$43&gt;0),MIN(15,Inputs!$B$43)/(Inputs!$B$43),0))),0)))&gt;=100),CHOOSE(ArtifactsInput!$N$42+1,40,48,56,64,72,80),0))))/100)*((1+(((C1249=TRUE)*F1249)+((C1256=TRUE)*(F1256-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1236)</f>
        <v/>
      </c>
      <c r="L1236">
        <f>K1236*(MIN(Inputs!$B$22+((C1254=TRUE)*(F1254-Calc!F22)),(Inputs!$B$23+0+(IF(ArtifactsInput!$M$15,CHOOSE(ArtifactsInput!$N$15+1,25,30,35,40,45,50)/100*(Inputs!$B$11-Inputs!$B$11),0))))/100+(Inputs!$B$23+0+(IF(ArtifactsInput!$M$15,CHOOSE(ArtifactsInput!$N$15+1,25,30,35,40,45,50)/100*(Inputs!$B$11-Inputs!$B$11),0)))/100)/2</f>
        <v/>
      </c>
      <c r="M1236">
        <f>L1236*(1+(Inputs!$B$10+((C1257=TRUE)*(F1257-Calc!F25))+B1267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6">
        <f>L1236*(1-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1236*(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6">
        <f>(1-Summary!$B$11)*T1236+Summary!$B$11*V1236</f>
        <v/>
      </c>
      <c r="P1236">
        <f>IF(B1272=0,0,O1236/B1272)</f>
        <v/>
      </c>
      <c r="Q1236">
        <f>IFERROR(1/(IF(Inputs!$B$38="pvp",15,MAX(0.1,Skills!D4-IF(Skills!E4=TRUE,Inputs!$B$32,0)))*(1-IF(AND(ArtifactsInput!$M$27,Inputs!$B$4="Chapter Hunt"),CHOOSE(ArtifactsInput!$N$27+1,20,24,28,32,36,40),0)/100)),0)</f>
        <v/>
      </c>
      <c r="R1236">
        <f>IF(AND(Inputs!$B$38&lt;&gt;"pvp",Inputs!$B$43&gt;0),IF(MAX(0,Inputs!$B$43-B1269)&lt;=0,0,(INT(MAX(0,Inputs!$B$43-B1269)/(IF(Inputs!$B$38="pvp",15,MAX(0.1,Skills!D4-IF(Skills!E4=TRUE,Inputs!$B$32,0)))*(1-IF(AND(ArtifactsInput!$M$27,Inputs!$B$4="Chapter Hunt"),CHOOSE(ArtifactsInput!$N$27+1,20,24,28,32,36,40),0)/100)))+1)),0)</f>
        <v/>
      </c>
      <c r="S1236">
        <f>IFERROR(O1236/N1236,0)</f>
        <v/>
      </c>
      <c r="T1236">
        <f>IF(C1236,(H1236*N1236*IF(AND(Inputs!$B$38&lt;&gt;"pvp",Inputs!$B$43&gt;0),((Skills!G4*((R1236-1)*IF(Skills!H4&gt;0,Skills!I4/Skills!H4,1)+IF(Skills!H4&gt;0,MIN(Skills!I4,MAX(0,MAX(0,Inputs!$B$43-B1269)-((R1236-1)*(IF(Inputs!$B$38="pvp",15,MAX(0.1,Skills!D4-IF(Skills!E4=TRUE,Inputs!$B$32,0)))*(1-IF(AND(ArtifactsInput!$M$27,Inputs!$B$4="Chapter Hunt"),CHOOSE(ArtifactsInput!$N$27+1,20,24,28,32,36,40),0)/100)))))/Skills!H4,1)))/Inputs!$B$43),G1236*Q1236)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1236*(1-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1236*(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1236*(1-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1236*(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6">
        <f>290*U1235/1000</f>
        <v/>
      </c>
      <c r="V1236">
        <f>IF(C1236,(H1236*N1236*IF(AND(Inputs!$B$38&lt;&gt;"pvp",Inputs!$B$43&gt;0),((Skills!G4*((R1236-1)*IF(Skills!H4&gt;0,Skills!I4/Skills!H4,1)+IF(Skills!H4&gt;0,MIN(Skills!I4,MAX(0,MAX(0,Inputs!$B$43-B1269)-((R1236-1)*(IF(Inputs!$B$38="pvp",15,MAX(0.1,Skills!D4-IF(Skills!E4=TRUE,Inputs!$B$32,0)))*(1-IF(AND(ArtifactsInput!$M$27,Inputs!$B$4="Chapter Hunt"),CHOOSE(ArtifactsInput!$N$27+1,20,24,28,32,36,40),0)/100)))))/Skills!H4,1)))/Inputs!$B$43),G1236*Q1236))*IF(Inputs!$B$38="pvp",1,(1+(Inputs!$B$21+Skills!Q4+(IF(ArtifactsInput!$M$33,CHOOSE(ArtifactsInput!$N$33+1,30,36,42,48,54,60)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7">
      <c r="A1237">
        <f>Skills!A5</f>
        <v/>
      </c>
      <c r="B1237">
        <f>Skills!B5</f>
        <v/>
      </c>
      <c r="C1237">
        <f>Inputs!$B$3&gt;=45</f>
        <v/>
      </c>
      <c r="D1237">
        <f>IF(Skills!C5=1,60+Inputs!$B$25+Inputs!$B$29,IF(Skills!C5=2,90+Inputs!$B$26+Inputs!$B$29,IF(Skills!C5=3,120+Inputs!$B$27+Inputs!$B$29,MAX(0,(Inputs!$B$3-100)*3)+Inputs!$B$28+Inputs!$B$29)))</f>
        <v/>
      </c>
      <c r="E1237">
        <f>INDEX(FactorTable!$B$2:$Y$301, MATCH(ROUND(MIN(300,MAX(1,D1237)),0), FactorTable!$A$2:$A$301,0), Skills!M5+1)</f>
        <v/>
      </c>
      <c r="F1237">
        <f>IF(Skills!N5=TRUE,(Skills!L5/10)*(E1237/1000),Skills!L5/10)+Skills!O5</f>
        <v/>
      </c>
      <c r="G1237">
        <f>Skills!G5*IF(Skills!H5&gt;0,Skills!I5/Skills!H5,1)</f>
        <v/>
      </c>
      <c r="H1237">
        <f>1-(1-Skills!J5/100)^Skills!K5</f>
        <v/>
      </c>
      <c r="I1237" t="inlineStr">
        <is>
          <t>1</t>
        </is>
      </c>
      <c r="J1237">
        <f>((Inputs!$B$6*(1+Inputs!$B$7/100))+(((Inputs!$B$12*(1+Inputs!$B$13/100))-(Inputs!$B$12*(1+Inputs!$B$13/100)))+0.25*(Inputs!$B$14-Inputs!$B$14))*(1+Inputs!$B$7/100))*(F1237/100)</f>
        <v/>
      </c>
      <c r="K1237">
        <f>J1237*(1+((Inputs!$B$12*(1+Inputs!$B$13/100))*0.01+Inputs!$B$14*0.0025)/100)*(1+Inputs!$B$15/100)*(1+Inputs!$B$16/100)*(5000/(6000+Inputs!$B$42*(1-(100*(1-(1-(Inputs!$B$19+0)/100)*(1-CHOOSE(ArtifactsInput!$N$40+1,5,6,7,8,9,10)/100)^(ArtifactsInput!$M$40-ArtifactsInput!$M$40)))/100)))*(1+(Inputs!$B$24+((C1258=TRUE)*(F1258-Calc!F26))+B1268)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1248=TRUE,F1248,0)/100)*(1+(IF(Skills!A5="EIGHT_LEGS_EASTON",Inputs!$B$17+((C1255=TRUE)*(F1255-Calc!F23))+((C1259=TRUE)*(F1259-Calc!F27))+(((IF(AND(ArtifactsInput!$M$42,((Inputs!$B$9+((C1251=TRUE)*(F1251-Calc!F19))+B1262+(ArtifactsInput!$M$24-ArtifactsInput!$M$24)*CHOOSE(ArtifactsInput!$N$24+1,10,12,14,16,18,20)+IF(ArtifactsInput!$M$10,CHOOSE(ArtifactsInput!$N$10+1,15,18,21,24,27,30)*(IF(Inputs!$B$38="pvp",MIN(15,15)/15,IF(AND(Inputs!$B$38&lt;&gt;"pvp",Inputs!$B$43&gt;0),MIN(15,Inputs!$B$43)/(Inputs!$B$43),0))),0)))&gt;=100),MIN(100,((Inputs!$B$9+((C1251=TRUE)*(F1251-Calc!F19))+B1262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1251=TRUE)*(F1251-Calc!F19))+B1262+(ArtifactsInput!$M$24-ArtifactsInput!$M$24)*CHOOSE(ArtifactsInput!$N$24+1,10,12,14,16,18,20)+IF(ArtifactsInput!$M$10,CHOOSE(ArtifactsInput!$N$10+1,15,18,21,24,27,30)*(IF(Inputs!$B$38="pvp",MIN(15,15)/15,IF(AND(Inputs!$B$38&lt;&gt;"pvp",Inputs!$B$43&gt;0),MIN(15,Inputs!$B$43)/(Inputs!$B$43),0))),0)))&gt;=100),CHOOSE(ArtifactsInput!$N$42+1,40,48,56,64,72,80),0))))/100)*((1+(((C1249=TRUE)*F1249)+((C1256=TRUE)*(F1256-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1237)</f>
        <v/>
      </c>
      <c r="L1237">
        <f>K1237*(MIN(Inputs!$B$22+((C1254=TRUE)*(F1254-Calc!F22)),(Inputs!$B$23+0+(IF(ArtifactsInput!$M$15,CHOOSE(ArtifactsInput!$N$15+1,25,30,35,40,45,50)/100*(Inputs!$B$11-Inputs!$B$11),0))))/100+(Inputs!$B$23+0+(IF(ArtifactsInput!$M$15,CHOOSE(ArtifactsInput!$N$15+1,25,30,35,40,45,50)/100*(Inputs!$B$11-Inputs!$B$11),0)))/100)/2</f>
        <v/>
      </c>
      <c r="M1237">
        <f>L1237*(1+(Inputs!$B$10+((C1257=TRUE)*(F1257-Calc!F25))+B1267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7">
        <f>L1237*(1-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1237*(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7">
        <f>(1-Summary!$B$11)*T1237+Summary!$B$11*V1237</f>
        <v/>
      </c>
      <c r="P1237">
        <f>IF(B1272=0,0,O1237/B1272)</f>
        <v/>
      </c>
      <c r="Q1237">
        <f>IFERROR(1/(IF(Inputs!$B$38="pvp",15,MAX(0.1,Skills!D5-IF(Skills!E5=TRUE,Inputs!$B$32,0)))*(1-IF(AND(ArtifactsInput!$M$27,Inputs!$B$4="Chapter Hunt"),CHOOSE(ArtifactsInput!$N$27+1,20,24,28,32,36,40),0)/100)),0)</f>
        <v/>
      </c>
      <c r="R1237">
        <f>IF(AND(Inputs!$B$38&lt;&gt;"pvp",Inputs!$B$43&gt;0),IF(MAX(0,Inputs!$B$43-B1269)&lt;=0,0,(INT(MAX(0,Inputs!$B$43-B1269)/(IF(Inputs!$B$38="pvp",15,MAX(0.1,Skills!D5-IF(Skills!E5=TRUE,Inputs!$B$32,0)))*(1-IF(AND(ArtifactsInput!$M$27,Inputs!$B$4="Chapter Hunt"),CHOOSE(ArtifactsInput!$N$27+1,20,24,28,32,36,40),0)/100)))+1)),0)</f>
        <v/>
      </c>
      <c r="S1237">
        <f>IFERROR(O1237/N1237,0)</f>
        <v/>
      </c>
      <c r="T1237">
        <f>IF(C1237,(H1237*N1237*IF(AND(Inputs!$B$38&lt;&gt;"pvp",Inputs!$B$43&gt;0),((Skills!G5*((R1237-1)*IF(Skills!H5&gt;0,Skills!I5/Skills!H5,1)+IF(Skills!H5&gt;0,MIN(Skills!I5,MAX(0,MAX(0,Inputs!$B$43-B1269)-((R1237-1)*(IF(Inputs!$B$38="pvp",15,MAX(0.1,Skills!D5-IF(Skills!E5=TRUE,Inputs!$B$32,0)))*(1-IF(AND(ArtifactsInput!$M$27,Inputs!$B$4="Chapter Hunt"),CHOOSE(ArtifactsInput!$N$27+1,20,24,28,32,36,40),0)/100)))))/Skills!H5,1)))/Inputs!$B$43),G1237*Q1237)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1237*(1-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1237*(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1237*(1-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1237*(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7">
        <f>IF(C1237,(H1237*N1237*IF(AND(Inputs!$B$38&lt;&gt;"pvp",Inputs!$B$43&gt;0),((Skills!G5*((R1237-1)*IF(Skills!H5&gt;0,Skills!I5/Skills!H5,1)+IF(Skills!H5&gt;0,MIN(Skills!I5,MAX(0,MAX(0,Inputs!$B$43-B1269)-((R1237-1)*(IF(Inputs!$B$38="pvp",15,MAX(0.1,Skills!D5-IF(Skills!E5=TRUE,Inputs!$B$32,0)))*(1-IF(AND(ArtifactsInput!$M$27,Inputs!$B$4="Chapter Hunt"),CHOOSE(ArtifactsInput!$N$27+1,20,24,28,32,36,40),0)/100)))))/Skills!H5,1)))/Inputs!$B$43),G1237*Q1237))*IF(Inputs!$B$38="pvp",1,(1+(Inputs!$B$21+Skills!Q5+(IF(ArtifactsInput!$M$33,CHOOSE(ArtifactsInput!$N$33+1,30,36,42,48,54,60)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8">
      <c r="A1238">
        <f>Skills!A6</f>
        <v/>
      </c>
      <c r="B1238">
        <f>Skills!B6</f>
        <v/>
      </c>
      <c r="C1238">
        <f>Inputs!$B$3&gt;=63</f>
        <v/>
      </c>
      <c r="D1238">
        <f>IF(Skills!C6=1,60+Inputs!$B$25+Inputs!$B$29,IF(Skills!C6=2,90+Inputs!$B$26+Inputs!$B$29,IF(Skills!C6=3,120+Inputs!$B$27+Inputs!$B$29,MAX(0,(Inputs!$B$3-100)*3)+Inputs!$B$28+Inputs!$B$29)))</f>
        <v/>
      </c>
      <c r="E1238">
        <f>INDEX(FactorTable!$B$2:$Y$301, MATCH(ROUND(MIN(300,MAX(1,D1238)),0), FactorTable!$A$2:$A$301,0), Skills!M6+1)</f>
        <v/>
      </c>
      <c r="F1238">
        <f>IF(Skills!N6=TRUE,(Skills!L6/10)*(E1238/1000),Skills!L6/10)+Skills!O6</f>
        <v/>
      </c>
      <c r="G1238">
        <f>Skills!G6*IF(Skills!H6&gt;0,Skills!I6/Skills!H6,1)</f>
        <v/>
      </c>
      <c r="H1238">
        <f>1-(1-Skills!J6/100)^Skills!K6</f>
        <v/>
      </c>
      <c r="I1238" t="inlineStr">
        <is>
          <t>1</t>
        </is>
      </c>
      <c r="J1238">
        <f>((Inputs!$B$6*(1+Inputs!$B$7/100))+(((Inputs!$B$12*(1+Inputs!$B$13/100))-(Inputs!$B$12*(1+Inputs!$B$13/100)))+0.25*(Inputs!$B$14-Inputs!$B$14))*(1+Inputs!$B$7/100))*(F1238/100)</f>
        <v/>
      </c>
      <c r="K1238">
        <f>J1238*(1+((Inputs!$B$12*(1+Inputs!$B$13/100))*0.01+Inputs!$B$14*0.0025)/100)*(1+Inputs!$B$15/100)*(1+Inputs!$B$16/100)*(5000/(6000+Inputs!$B$42*(1-(100*(1-(1-(Inputs!$B$19+0)/100)*(1-CHOOSE(ArtifactsInput!$N$40+1,5,6,7,8,9,10)/100)^(ArtifactsInput!$M$40-ArtifactsInput!$M$40)))/100)))*(1+(Inputs!$B$24+((C1258=TRUE)*(F1258-Calc!F26))+B1268)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1247=TRUE,F1247,0)/100)*(1+(IF(Skills!A6="EIGHT_LEGS_EASTON",Inputs!$B$17+((C1255=TRUE)*(F1255-Calc!F23))+((C1259=TRUE)*(F1259-Calc!F27))+(((IF(AND(ArtifactsInput!$M$42,((Inputs!$B$9+((C1251=TRUE)*(F1251-Calc!F19))+B1262+(ArtifactsInput!$M$24-ArtifactsInput!$M$24)*CHOOSE(ArtifactsInput!$N$24+1,10,12,14,16,18,20)+IF(ArtifactsInput!$M$10,CHOOSE(ArtifactsInput!$N$10+1,15,18,21,24,27,30)*(IF(Inputs!$B$38="pvp",MIN(15,15)/15,IF(AND(Inputs!$B$38&lt;&gt;"pvp",Inputs!$B$43&gt;0),MIN(15,Inputs!$B$43)/(Inputs!$B$43),0))),0)))&gt;=100),MIN(100,((Inputs!$B$9+((C1251=TRUE)*(F1251-Calc!F19))+B1262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1251=TRUE)*(F1251-Calc!F19))+B1262+(ArtifactsInput!$M$24-ArtifactsInput!$M$24)*CHOOSE(ArtifactsInput!$N$24+1,10,12,14,16,18,20)+IF(ArtifactsInput!$M$10,CHOOSE(ArtifactsInput!$N$10+1,15,18,21,24,27,30)*(IF(Inputs!$B$38="pvp",MIN(15,15)/15,IF(AND(Inputs!$B$38&lt;&gt;"pvp",Inputs!$B$43&gt;0),MIN(15,Inputs!$B$43)/(Inputs!$B$43),0))),0)))&gt;=100),CHOOSE(ArtifactsInput!$N$42+1,40,48,56,64,72,80),0))))/100)*((1+(((C1249=TRUE)*F1249)+((C1256=TRUE)*(F1256-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1238)</f>
        <v/>
      </c>
      <c r="L1238">
        <f>K1238*(MIN(Inputs!$B$22+((C1254=TRUE)*(F1254-Calc!F22)),(Inputs!$B$23+0+(IF(ArtifactsInput!$M$15,CHOOSE(ArtifactsInput!$N$15+1,25,30,35,40,45,50)/100*(Inputs!$B$11-Inputs!$B$11),0))))/100+(Inputs!$B$23+0+(IF(ArtifactsInput!$M$15,CHOOSE(ArtifactsInput!$N$15+1,25,30,35,40,45,50)/100*(Inputs!$B$11-Inputs!$B$11),0)))/100)/2</f>
        <v/>
      </c>
      <c r="M1238">
        <f>L1238*(1+(Inputs!$B$10+((C1257=TRUE)*(F1257-Calc!F25))+B1267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8">
        <f>L1238*(1-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1238*(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8">
        <f>(1-Summary!$B$11)*T1238+Summary!$B$11*V1238</f>
        <v/>
      </c>
      <c r="P1238">
        <f>IF(B1272=0,0,O1238/B1272)</f>
        <v/>
      </c>
      <c r="Q1238">
        <f>IFERROR(1/(IF(Inputs!$B$38="pvp",15,MAX(0.1,Skills!D6-IF(Skills!E6=TRUE,Inputs!$B$32,0)))*(1-IF(AND(ArtifactsInput!$M$27,Inputs!$B$4="Chapter Hunt"),CHOOSE(ArtifactsInput!$N$27+1,20,24,28,32,36,40),0)/100)),0)</f>
        <v/>
      </c>
      <c r="R1238">
        <f>IF(AND(Inputs!$B$38&lt;&gt;"pvp",Inputs!$B$43&gt;0),IF(MAX(0,Inputs!$B$43-B1269)&lt;=0,0,(INT(MAX(0,Inputs!$B$43-B1269)/(IF(Inputs!$B$38="pvp",15,MAX(0.1,Skills!D6-IF(Skills!E6=TRUE,Inputs!$B$32,0)))*(1-IF(AND(ArtifactsInput!$M$27,Inputs!$B$4="Chapter Hunt"),CHOOSE(ArtifactsInput!$N$27+1,20,24,28,32,36,40),0)/100)))+1)),0)</f>
        <v/>
      </c>
      <c r="S1238">
        <f>IFERROR(O1238/N1238,0)</f>
        <v/>
      </c>
      <c r="T1238">
        <f>IF(C1238,(H1238*N1238*IF(AND(Inputs!$B$38&lt;&gt;"pvp",Inputs!$B$43&gt;0),((Skills!G6*((R1238-1)*IF(Skills!H6&gt;0,Skills!I6/Skills!H6,1)+IF(Skills!H6&gt;0,MIN(Skills!I6,MAX(0,MAX(0,Inputs!$B$43-B1269)-((R1238-1)*(IF(Inputs!$B$38="pvp",15,MAX(0.1,Skills!D6-IF(Skills!E6=TRUE,Inputs!$B$32,0)))*(1-IF(AND(ArtifactsInput!$M$27,Inputs!$B$4="Chapter Hunt"),CHOOSE(ArtifactsInput!$N$27+1,20,24,28,32,36,40),0)/100)))))/Skills!H6,1)))/Inputs!$B$43),G1238*Q1238)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1238*(1-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1238*(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1238*(1-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1238*(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8">
        <f>IF(C1238,(H1238*N1238*IF(AND(Inputs!$B$38&lt;&gt;"pvp",Inputs!$B$43&gt;0),((Skills!G6*((R1238-1)*IF(Skills!H6&gt;0,Skills!I6/Skills!H6,1)+IF(Skills!H6&gt;0,MIN(Skills!I6,MAX(0,MAX(0,Inputs!$B$43-B1269)-((R1238-1)*(IF(Inputs!$B$38="pvp",15,MAX(0.1,Skills!D6-IF(Skills!E6=TRUE,Inputs!$B$32,0)))*(1-IF(AND(ArtifactsInput!$M$27,Inputs!$B$4="Chapter Hunt"),CHOOSE(ArtifactsInput!$N$27+1,20,24,28,32,36,40),0)/100)))))/Skills!H6,1)))/Inputs!$B$43),G1238*Q1238))*IF(Inputs!$B$38="pvp",1,(1+(Inputs!$B$21+Skills!Q6+(IF(ArtifactsInput!$M$33,CHOOSE(ArtifactsInput!$N$33+1,30,36,42,48,54,60)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9">
      <c r="A1239">
        <f>Skills!A7</f>
        <v/>
      </c>
      <c r="B1239">
        <f>Skills!B7</f>
        <v/>
      </c>
      <c r="C1239">
        <f>Inputs!$B$3&gt;=66</f>
        <v/>
      </c>
      <c r="D1239">
        <f>IF(Skills!C7=1,60+Inputs!$B$25+Inputs!$B$29,IF(Skills!C7=2,90+Inputs!$B$26+Inputs!$B$29,IF(Skills!C7=3,120+Inputs!$B$27+Inputs!$B$29,MAX(0,(Inputs!$B$3-100)*3)+Inputs!$B$28+Inputs!$B$29)))</f>
        <v/>
      </c>
      <c r="E1239">
        <f>INDEX(FactorTable!$B$2:$Y$301, MATCH(ROUND(MIN(300,MAX(1,D1239)),0), FactorTable!$A$2:$A$301,0), Skills!M7+1)</f>
        <v/>
      </c>
      <c r="F1239">
        <f>IF(Skills!N7=TRUE,(Skills!L7/10)*(E1239/1000),Skills!L7/10)+Skills!O7</f>
        <v/>
      </c>
      <c r="G1239">
        <f>Skills!G7*IF(Skills!H7&gt;0,Skills!I7/Skills!H7,1)</f>
        <v/>
      </c>
      <c r="H1239">
        <f>1-(1-Skills!J7/100)^Skills!K7</f>
        <v/>
      </c>
      <c r="I1239" t="inlineStr">
        <is>
          <t>1</t>
        </is>
      </c>
      <c r="J1239">
        <f>((Inputs!$B$6*(1+Inputs!$B$7/100))+(((Inputs!$B$12*(1+Inputs!$B$13/100))-(Inputs!$B$12*(1+Inputs!$B$13/100)))+0.25*(Inputs!$B$14-Inputs!$B$14))*(1+Inputs!$B$7/100))*(F1239/100)</f>
        <v/>
      </c>
      <c r="K1239">
        <f>J1239*(1+((Inputs!$B$12*(1+Inputs!$B$13/100))*0.01+Inputs!$B$14*0.0025)/100)*(1+Inputs!$B$15/100)*(1+Inputs!$B$16/100)*(5000/(6000+Inputs!$B$42*(1-(100*(1-(1-(Inputs!$B$19+0)/100)*(1-CHOOSE(ArtifactsInput!$N$40+1,5,6,7,8,9,10)/100)^(ArtifactsInput!$M$40-ArtifactsInput!$M$40)))/100)))*(1+(Inputs!$B$24+((C1258=TRUE)*(F1258-Calc!F26))+B1268)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1247=TRUE,F1247,0)/100)*(1+(IF(Skills!A7="EIGHT_LEGS_EASTON",Inputs!$B$17+((C1255=TRUE)*(F1255-Calc!F23))+((C1259=TRUE)*(F1259-Calc!F27))+(((IF(AND(ArtifactsInput!$M$42,((Inputs!$B$9+((C1251=TRUE)*(F1251-Calc!F19))+B1262+(ArtifactsInput!$M$24-ArtifactsInput!$M$24)*CHOOSE(ArtifactsInput!$N$24+1,10,12,14,16,18,20)+IF(ArtifactsInput!$M$10,CHOOSE(ArtifactsInput!$N$10+1,15,18,21,24,27,30)*(IF(Inputs!$B$38="pvp",MIN(15,15)/15,IF(AND(Inputs!$B$38&lt;&gt;"pvp",Inputs!$B$43&gt;0),MIN(15,Inputs!$B$43)/(Inputs!$B$43),0))),0)))&gt;=100),MIN(100,((Inputs!$B$9+((C1251=TRUE)*(F1251-Calc!F19))+B1262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1251=TRUE)*(F1251-Calc!F19))+B1262+(ArtifactsInput!$M$24-ArtifactsInput!$M$24)*CHOOSE(ArtifactsInput!$N$24+1,10,12,14,16,18,20)+IF(ArtifactsInput!$M$10,CHOOSE(ArtifactsInput!$N$10+1,15,18,21,24,27,30)*(IF(Inputs!$B$38="pvp",MIN(15,15)/15,IF(AND(Inputs!$B$38&lt;&gt;"pvp",Inputs!$B$43&gt;0),MIN(15,Inputs!$B$43)/(Inputs!$B$43),0))),0)))&gt;=100),CHOOSE(ArtifactsInput!$N$42+1,40,48,56,64,72,80),0))))/100)*((1+(((C1249=TRUE)*F1249)+((C1256=TRUE)*(F1256-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1239)</f>
        <v/>
      </c>
      <c r="L1239">
        <f>K1239*(MIN(Inputs!$B$22+((C1254=TRUE)*(F1254-Calc!F22)),(Inputs!$B$23+0+(IF(ArtifactsInput!$M$15,CHOOSE(ArtifactsInput!$N$15+1,25,30,35,40,45,50)/100*(Inputs!$B$11-Inputs!$B$11),0))))/100+(Inputs!$B$23+0+(IF(ArtifactsInput!$M$15,CHOOSE(ArtifactsInput!$N$15+1,25,30,35,40,45,50)/100*(Inputs!$B$11-Inputs!$B$11),0)))/100)/2</f>
        <v/>
      </c>
      <c r="M1239">
        <f>L1239*(1+(Inputs!$B$10+((C1257=TRUE)*(F1257-Calc!F25))+B1267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9">
        <f>L1239*(1-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1239*(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9">
        <f>(1-Summary!$B$11)*T1239+Summary!$B$11*V1239</f>
        <v/>
      </c>
      <c r="P1239">
        <f>IF(B1272=0,0,O1239/B1272)</f>
        <v/>
      </c>
      <c r="Q1239">
        <f>IFERROR(1/(IF(Inputs!$B$38="pvp",15,MAX(0.1,Skills!D7-IF(Skills!E7=TRUE,Inputs!$B$32,0)))*(1-IF(AND(ArtifactsInput!$M$27,Inputs!$B$4="Chapter Hunt"),CHOOSE(ArtifactsInput!$N$27+1,20,24,28,32,36,40),0)/100)),0)</f>
        <v/>
      </c>
      <c r="R1239">
        <f>IF(AND(Inputs!$B$38&lt;&gt;"pvp",Inputs!$B$43&gt;0),IF(MAX(0,Inputs!$B$43-B1269)&lt;=0,0,(INT(MAX(0,Inputs!$B$43-B1269)/(IF(Inputs!$B$38="pvp",15,MAX(0.1,Skills!D7-IF(Skills!E7=TRUE,Inputs!$B$32,0)))*(1-IF(AND(ArtifactsInput!$M$27,Inputs!$B$4="Chapter Hunt"),CHOOSE(ArtifactsInput!$N$27+1,20,24,28,32,36,40),0)/100)))+1)),0)</f>
        <v/>
      </c>
      <c r="S1239">
        <f>IFERROR(O1239/N1239,0)</f>
        <v/>
      </c>
      <c r="T1239">
        <f>IF(C1239,(H1239*N1239*IF(AND(Inputs!$B$38&lt;&gt;"pvp",Inputs!$B$43&gt;0),((Skills!G7*((R1239-1)*IF(Skills!H7&gt;0,Skills!I7/Skills!H7,1)+IF(Skills!H7&gt;0,MIN(Skills!I7,MAX(0,MAX(0,Inputs!$B$43-B1269)-((R1239-1)*(IF(Inputs!$B$38="pvp",15,MAX(0.1,Skills!D7-IF(Skills!E7=TRUE,Inputs!$B$32,0)))*(1-IF(AND(ArtifactsInput!$M$27,Inputs!$B$4="Chapter Hunt"),CHOOSE(ArtifactsInput!$N$27+1,20,24,28,32,36,40),0)/100)))))/Skills!H7,1)))/Inputs!$B$43),G1239*Q1239)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1239*(1-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1239*(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1239*(1-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1239*(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9">
        <f>IF(C1239,(H1239*N1239*IF(AND(Inputs!$B$38&lt;&gt;"pvp",Inputs!$B$43&gt;0),((Skills!G7*((R1239-1)*IF(Skills!H7&gt;0,Skills!I7/Skills!H7,1)+IF(Skills!H7&gt;0,MIN(Skills!I7,MAX(0,MAX(0,Inputs!$B$43-B1269)-((R1239-1)*(IF(Inputs!$B$38="pvp",15,MAX(0.1,Skills!D7-IF(Skills!E7=TRUE,Inputs!$B$32,0)))*(1-IF(AND(ArtifactsInput!$M$27,Inputs!$B$4="Chapter Hunt"),CHOOSE(ArtifactsInput!$N$27+1,20,24,28,32,36,40),0)/100)))))/Skills!H7,1)))/Inputs!$B$43),G1239*Q1239))*IF(Inputs!$B$38="pvp",1,(1+(Inputs!$B$21+Skills!Q7+(IF(ArtifactsInput!$M$33,CHOOSE(ArtifactsInput!$N$33+1,30,36,42,48,54,60)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0">
      <c r="A1240">
        <f>Skills!A8</f>
        <v/>
      </c>
      <c r="B1240">
        <f>Skills!B8</f>
        <v/>
      </c>
      <c r="C1240">
        <f>Inputs!$B$3&gt;=100</f>
        <v/>
      </c>
      <c r="D1240">
        <f>IF(Skills!C8=1,60+Inputs!$B$25+Inputs!$B$29,IF(Skills!C8=2,90+Inputs!$B$26+Inputs!$B$29,IF(Skills!C8=3,120+Inputs!$B$27+Inputs!$B$29,MAX(0,(Inputs!$B$3-100)*3)+Inputs!$B$28+Inputs!$B$29)))</f>
        <v/>
      </c>
      <c r="E1240">
        <f>INDEX(FactorTable!$B$2:$Y$301, MATCH(ROUND(MIN(300,MAX(1,D1240)),0), FactorTable!$A$2:$A$301,0), Skills!M8+1)</f>
        <v/>
      </c>
      <c r="F1240">
        <f>IF(Skills!N8=TRUE,(Skills!L8/10)*(E1240/1000),Skills!L8/10)+Skills!O8</f>
        <v/>
      </c>
      <c r="G1240">
        <f>Skills!G8*IF(Skills!H8&gt;0,Skills!I8/Skills!H8,1)</f>
        <v/>
      </c>
      <c r="H1240">
        <f>1-(1-Skills!J8/100)^Skills!K8</f>
        <v/>
      </c>
      <c r="I1240" t="inlineStr">
        <is>
          <t>1</t>
        </is>
      </c>
      <c r="J1240">
        <f>((Inputs!$B$6*(1+Inputs!$B$7/100))+(((Inputs!$B$12*(1+Inputs!$B$13/100))-(Inputs!$B$12*(1+Inputs!$B$13/100)))+0.25*(Inputs!$B$14-Inputs!$B$14))*(1+Inputs!$B$7/100))*(F1240/100)</f>
        <v/>
      </c>
      <c r="K1240">
        <f>J1240*(1+((Inputs!$B$12*(1+Inputs!$B$13/100))*0.01+Inputs!$B$14*0.0025)/100)*(1+Inputs!$B$15/100)*(1+Inputs!$B$16/100)*(5000/(6000+Inputs!$B$42*(1-(100*(1-(1-(Inputs!$B$19+0)/100)*(1-CHOOSE(ArtifactsInput!$N$40+1,5,6,7,8,9,10)/100)^(ArtifactsInput!$M$40-ArtifactsInput!$M$40)))/100)))*(1+(Inputs!$B$24+((C1258=TRUE)*(F1258-Calc!F26))+B1268)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1255=TRUE)*(F1255-Calc!F23))+((C1259=TRUE)*(F1259-Calc!F27))+(((IF(AND(ArtifactsInput!$M$42,((Inputs!$B$9+((C1251=TRUE)*(F1251-Calc!F19))+B1262+(ArtifactsInput!$M$24-ArtifactsInput!$M$24)*CHOOSE(ArtifactsInput!$N$24+1,10,12,14,16,18,20)+IF(ArtifactsInput!$M$10,CHOOSE(ArtifactsInput!$N$10+1,15,18,21,24,27,30)*(IF(Inputs!$B$38="pvp",MIN(15,15)/15,IF(AND(Inputs!$B$38&lt;&gt;"pvp",Inputs!$B$43&gt;0),MIN(15,Inputs!$B$43)/(Inputs!$B$43),0))),0)))&gt;=100),MIN(100,((Inputs!$B$9+((C1251=TRUE)*(F1251-Calc!F19))+B1262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1251=TRUE)*(F1251-Calc!F19))+B1262+(ArtifactsInput!$M$24-ArtifactsInput!$M$24)*CHOOSE(ArtifactsInput!$N$24+1,10,12,14,16,18,20)+IF(ArtifactsInput!$M$10,CHOOSE(ArtifactsInput!$N$10+1,15,18,21,24,27,30)*(IF(Inputs!$B$38="pvp",MIN(15,15)/15,IF(AND(Inputs!$B$38&lt;&gt;"pvp",Inputs!$B$43&gt;0),MIN(15,Inputs!$B$43)/(Inputs!$B$43),0))),0)))&gt;=100),CHOOSE(ArtifactsInput!$N$42+1,40,48,56,64,72,80),0))))/100)*((1+(((C1249=TRUE)*F1249)+((C1256=TRUE)*(F1256-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1240)</f>
        <v/>
      </c>
      <c r="L1240">
        <f>K1240*(MIN(Inputs!$B$22+((C1254=TRUE)*(F1254-Calc!F22)),(Inputs!$B$23+0+(IF(ArtifactsInput!$M$15,CHOOSE(ArtifactsInput!$N$15+1,25,30,35,40,45,50)/100*(Inputs!$B$11-Inputs!$B$11),0))))/100+(Inputs!$B$23+0+(IF(ArtifactsInput!$M$15,CHOOSE(ArtifactsInput!$N$15+1,25,30,35,40,45,50)/100*(Inputs!$B$11-Inputs!$B$11),0)))/100)/2</f>
        <v/>
      </c>
      <c r="M1240">
        <f>L1240*(1+(Inputs!$B$10+((C1257=TRUE)*(F1257-Calc!F25))+B1267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0">
        <f>L1240*(1-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1240*(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0">
        <f>(1-Summary!$B$11)*T1240+Summary!$B$11*V1240</f>
        <v/>
      </c>
      <c r="P1240">
        <f>IF(B1272=0,0,O1240/B1272)</f>
        <v/>
      </c>
      <c r="Q1240">
        <f>IFERROR(1/(IF(Inputs!$B$38="pvp",15,MAX(0.1,Skills!D8-IF(Skills!E8=TRUE,Inputs!$B$32,0)))*(1-IF(AND(ArtifactsInput!$M$27,Inputs!$B$4="Chapter Hunt"),CHOOSE(ArtifactsInput!$N$27+1,20,24,28,32,36,40),0)/100)),0)</f>
        <v/>
      </c>
      <c r="R1240">
        <f>IF(AND(Inputs!$B$38&lt;&gt;"pvp",Inputs!$B$43&gt;0),IF(MAX(0,Inputs!$B$43-B1269)&lt;=0,0,(INT(MAX(0,Inputs!$B$43-B1269)/(IF(Inputs!$B$38="pvp",15,MAX(0.1,Skills!D8-IF(Skills!E8=TRUE,Inputs!$B$32,0)))*(1-IF(AND(ArtifactsInput!$M$27,Inputs!$B$4="Chapter Hunt"),CHOOSE(ArtifactsInput!$N$27+1,20,24,28,32,36,40),0)/100)))+1)),0)</f>
        <v/>
      </c>
      <c r="S1240">
        <f>IFERROR(O1240/N1240,0)</f>
        <v/>
      </c>
      <c r="T1240">
        <f>IF(C1240,(H1240*N1240*IF(AND(Inputs!$B$38&lt;&gt;"pvp",Inputs!$B$43&gt;0),((Skills!G8*((R1240-1)*IF(Skills!H8&gt;0,Skills!I8/Skills!H8,1)+IF(Skills!H8&gt;0,MIN(Skills!I8,MAX(0,MAX(0,Inputs!$B$43-B1269)-((R1240-1)*(IF(Inputs!$B$38="pvp",15,MAX(0.1,Skills!D8-IF(Skills!E8=TRUE,Inputs!$B$32,0)))*(1-IF(AND(ArtifactsInput!$M$27,Inputs!$B$4="Chapter Hunt"),CHOOSE(ArtifactsInput!$N$27+1,20,24,28,32,36,40),0)/100)))))/Skills!H8,1)))/Inputs!$B$43),G1240*Q1240)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1240*(1-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1240*(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1240*(1-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1240*(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0">
        <f>IF(C1240,(H1240*N1240*IF(AND(Inputs!$B$38&lt;&gt;"pvp",Inputs!$B$43&gt;0),((Skills!G8*((R1240-1)*IF(Skills!H8&gt;0,Skills!I8/Skills!H8,1)+IF(Skills!H8&gt;0,MIN(Skills!I8,MAX(0,MAX(0,Inputs!$B$43-B1269)-((R1240-1)*(IF(Inputs!$B$38="pvp",15,MAX(0.1,Skills!D8-IF(Skills!E8=TRUE,Inputs!$B$32,0)))*(1-IF(AND(ArtifactsInput!$M$27,Inputs!$B$4="Chapter Hunt"),CHOOSE(ArtifactsInput!$N$27+1,20,24,28,32,36,40),0)/100)))))/Skills!H8,1)))/Inputs!$B$43),G1240*Q1240))*IF(Inputs!$B$38="pvp",1,(1+(Inputs!$B$21+Skills!Q8+(IF(ArtifactsInput!$M$33,CHOOSE(ArtifactsInput!$N$33+1,30,36,42,48,54,60)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1">
      <c r="A1241">
        <f>Skills!A9</f>
        <v/>
      </c>
      <c r="B1241">
        <f>Skills!B9</f>
        <v/>
      </c>
      <c r="C1241">
        <f>Inputs!$B$3&gt;=103</f>
        <v/>
      </c>
      <c r="D1241">
        <f>IF(Skills!C9=1,60+Inputs!$B$25+Inputs!$B$29,IF(Skills!C9=2,90+Inputs!$B$26+Inputs!$B$29,IF(Skills!C9=3,120+Inputs!$B$27+Inputs!$B$29,MAX(0,(Inputs!$B$3-100)*3)+Inputs!$B$28+Inputs!$B$29)))</f>
        <v/>
      </c>
      <c r="E1241">
        <f>INDEX(FactorTable!$B$2:$Y$301, MATCH(ROUND(MIN(300,MAX(1,D1241)),0), FactorTable!$A$2:$A$301,0), Skills!M9+1)</f>
        <v/>
      </c>
      <c r="F1241">
        <f>IF(Skills!N9=TRUE,(Skills!L9/10)*(E1241/1000),Skills!L9/10)+Skills!O9</f>
        <v/>
      </c>
      <c r="G1241">
        <f>Skills!G9*IF(Skills!H9&gt;0,Skills!I9/Skills!H9,1)</f>
        <v/>
      </c>
      <c r="H1241">
        <f>1-(1-Skills!J9/100)^Skills!K9</f>
        <v/>
      </c>
      <c r="I1241" t="inlineStr">
        <is>
          <t>1</t>
        </is>
      </c>
      <c r="J1241">
        <f>((Inputs!$B$6*(1+Inputs!$B$7/100))+(((Inputs!$B$12*(1+Inputs!$B$13/100))-(Inputs!$B$12*(1+Inputs!$B$13/100)))+0.25*(Inputs!$B$14-Inputs!$B$14))*(1+Inputs!$B$7/100))*(F1241/100)</f>
        <v/>
      </c>
      <c r="K1241">
        <f>J1241*(1+((Inputs!$B$12*(1+Inputs!$B$13/100))*0.01+Inputs!$B$14*0.0025)/100)*(1+Inputs!$B$15/100)*(1+Inputs!$B$16/100)*(5000/(6000+Inputs!$B$42*(1-(100*(1-(1-(Inputs!$B$19+0)/100)*(1-CHOOSE(ArtifactsInput!$N$40+1,5,6,7,8,9,10)/100)^(ArtifactsInput!$M$40-ArtifactsInput!$M$40)))/100)))*(1+(Inputs!$B$24+((C1258=TRUE)*(F1258-Calc!F26))+B1268)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1255=TRUE)*(F1255-Calc!F23))+((C1259=TRUE)*(F1259-Calc!F27))+(((IF(AND(ArtifactsInput!$M$42,((Inputs!$B$9+((C1251=TRUE)*(F1251-Calc!F19))+B1262+(ArtifactsInput!$M$24-ArtifactsInput!$M$24)*CHOOSE(ArtifactsInput!$N$24+1,10,12,14,16,18,20)+IF(ArtifactsInput!$M$10,CHOOSE(ArtifactsInput!$N$10+1,15,18,21,24,27,30)*(IF(Inputs!$B$38="pvp",MIN(15,15)/15,IF(AND(Inputs!$B$38&lt;&gt;"pvp",Inputs!$B$43&gt;0),MIN(15,Inputs!$B$43)/(Inputs!$B$43),0))),0)))&gt;=100),MIN(100,((Inputs!$B$9+((C1251=TRUE)*(F1251-Calc!F19))+B1262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1251=TRUE)*(F1251-Calc!F19))+B1262+(ArtifactsInput!$M$24-ArtifactsInput!$M$24)*CHOOSE(ArtifactsInput!$N$24+1,10,12,14,16,18,20)+IF(ArtifactsInput!$M$10,CHOOSE(ArtifactsInput!$N$10+1,15,18,21,24,27,30)*(IF(Inputs!$B$38="pvp",MIN(15,15)/15,IF(AND(Inputs!$B$38&lt;&gt;"pvp",Inputs!$B$43&gt;0),MIN(15,Inputs!$B$43)/(Inputs!$B$43),0))),0)))&gt;=100),CHOOSE(ArtifactsInput!$N$42+1,40,48,56,64,72,80),0))))/100)*((1+(((C1249=TRUE)*F1249)+((C1256=TRUE)*(F1256-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1241)</f>
        <v/>
      </c>
      <c r="L1241">
        <f>K1241*(MIN(Inputs!$B$22+((C1254=TRUE)*(F1254-Calc!F22)),(Inputs!$B$23+0+(IF(ArtifactsInput!$M$15,CHOOSE(ArtifactsInput!$N$15+1,25,30,35,40,45,50)/100*(Inputs!$B$11-Inputs!$B$11),0))))/100+(Inputs!$B$23+0+(IF(ArtifactsInput!$M$15,CHOOSE(ArtifactsInput!$N$15+1,25,30,35,40,45,50)/100*(Inputs!$B$11-Inputs!$B$11),0)))/100)/2</f>
        <v/>
      </c>
      <c r="M1241">
        <f>L1241*(1+(Inputs!$B$10+((C1257=TRUE)*(F1257-Calc!F25))+B1267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1">
        <f>L1241*(1-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1241*(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1">
        <f>(1-Summary!$B$11)*T1241+Summary!$B$11*V1241</f>
        <v/>
      </c>
      <c r="P1241">
        <f>IF(B1272=0,0,O1241/B1272)</f>
        <v/>
      </c>
      <c r="Q1241">
        <f>IFERROR(1/(IF(Inputs!$B$38="pvp",15,MAX(0.1,Skills!D9-IF(Skills!E9=TRUE,Inputs!$B$32,0)))*(1-IF(AND(ArtifactsInput!$M$27,Inputs!$B$4="Chapter Hunt"),CHOOSE(ArtifactsInput!$N$27+1,20,24,28,32,36,40),0)/100)),0)</f>
        <v/>
      </c>
      <c r="R1241">
        <f>IF(AND(Inputs!$B$38&lt;&gt;"pvp",Inputs!$B$43&gt;0),IF(MAX(0,Inputs!$B$43-B1269)&lt;=0,0,(INT(MAX(0,Inputs!$B$43-B1269)/(IF(Inputs!$B$38="pvp",15,MAX(0.1,Skills!D9-IF(Skills!E9=TRUE,Inputs!$B$32,0)))*(1-IF(AND(ArtifactsInput!$M$27,Inputs!$B$4="Chapter Hunt"),CHOOSE(ArtifactsInput!$N$27+1,20,24,28,32,36,40),0)/100)))+1)),0)</f>
        <v/>
      </c>
      <c r="S1241">
        <f>IFERROR(O1241/N1241,0)</f>
        <v/>
      </c>
      <c r="T1241">
        <f>IF(C1241,(H1241*N1241*IF(AND(Inputs!$B$38&lt;&gt;"pvp",Inputs!$B$43&gt;0),((Skills!G9*((R1241-1)*IF(Skills!H9&gt;0,Skills!I9/Skills!H9,1)+IF(Skills!H9&gt;0,MIN(Skills!I9,MAX(0,MAX(0,Inputs!$B$43-B1269)-((R1241-1)*(IF(Inputs!$B$38="pvp",15,MAX(0.1,Skills!D9-IF(Skills!E9=TRUE,Inputs!$B$32,0)))*(1-IF(AND(ArtifactsInput!$M$27,Inputs!$B$4="Chapter Hunt"),CHOOSE(ArtifactsInput!$N$27+1,20,24,28,32,36,40),0)/100)))))/Skills!H9,1)))/Inputs!$B$43),G1241*Q1241)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1241*(1-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1241*(1-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1">
        <f>IF(C1241,(H1241*N1241*IF(AND(Inputs!$B$38&lt;&gt;"pvp",Inputs!$B$43&gt;0),((Skills!G9*((R1241-1)*IF(Skills!H9&gt;0,Skills!I9/Skills!H9,1)+IF(Skills!H9&gt;0,MIN(Skills!I9,MAX(0,MAX(0,Inputs!$B$43-B1269)-((R1241-1)*(IF(Inputs!$B$38="pvp",15,MAX(0.1,Skills!D9-IF(Skills!E9=TRUE,Inputs!$B$32,0)))*(1-IF(AND(ArtifactsInput!$M$27,Inputs!$B$4="Chapter Hunt"),CHOOSE(ArtifactsInput!$N$27+1,20,24,28,32,36,40),0)/100)))))/Skills!H9,1)))/Inputs!$B$43),G1241*Q1241))*IF(Inputs!$B$38="pvp",1,(1+(Inputs!$B$21+Skills!Q9+(IF(ArtifactsInput!$M$33,CHOOSE(ArtifactsInput!$N$33+1,30,36,42,48,54,60)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2">
      <c r="A1242">
        <f>Skills!A10</f>
        <v/>
      </c>
      <c r="B1242">
        <f>Skills!B10</f>
        <v/>
      </c>
      <c r="C1242">
        <f>Inputs!$B$3&gt;=113</f>
        <v/>
      </c>
      <c r="D1242">
        <f>IF(Skills!C10=1,60+Inputs!$B$25+Inputs!$B$29,IF(Skills!C10=2,90+Inputs!$B$26+Inputs!$B$29,IF(Skills!C10=3,120+Inputs!$B$27+Inputs!$B$29,MAX(0,(Inputs!$B$3-100)*3)+Inputs!$B$28+Inputs!$B$29)))</f>
        <v/>
      </c>
      <c r="E1242">
        <f>INDEX(FactorTable!$B$2:$Y$301, MATCH(ROUND(MIN(300,MAX(1,D1242)),0), FactorTable!$A$2:$A$301,0), Skills!M10+1)</f>
        <v/>
      </c>
      <c r="F1242">
        <f>IF(Skills!N10=TRUE,(Skills!L10/10)*(E1242/1000),Skills!L10/10)+Skills!O10</f>
        <v/>
      </c>
      <c r="G1242">
        <f>Skills!G10*IF(Skills!H10&gt;0,Skills!I10/Skills!H10,1)</f>
        <v/>
      </c>
      <c r="H1242">
        <f>1-(1-Skills!J10/100)^Skills!K10</f>
        <v/>
      </c>
      <c r="I1242" t="inlineStr">
        <is>
          <t>1</t>
        </is>
      </c>
      <c r="J1242">
        <f>((Inputs!$B$6*(1+Inputs!$B$7/100))+(((Inputs!$B$12*(1+Inputs!$B$13/100))-(Inputs!$B$12*(1+Inputs!$B$13/100)))+0.25*(Inputs!$B$14-Inputs!$B$14))*(1+Inputs!$B$7/100))*(F1242/100)</f>
        <v/>
      </c>
      <c r="K1242">
        <f>J1242*(1+((Inputs!$B$12*(1+Inputs!$B$13/100))*0.01+Inputs!$B$14*0.0025)/100)*(1+Inputs!$B$15/100)*(1+Inputs!$B$16/100)*(5000/(6000+Inputs!$B$42*(1-(100*(1-(1-(Inputs!$B$19+0)/100)*(1-CHOOSE(ArtifactsInput!$N$40+1,5,6,7,8,9,10)/100)^(ArtifactsInput!$M$40-ArtifactsInput!$M$40)))/100)))*(1+(Inputs!$B$24+((C1258=TRUE)*(F1258-Calc!F26))+B1268)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1255=TRUE)*(F1255-Calc!F23))+((C1259=TRUE)*(F1259-Calc!F27))+(((IF(AND(ArtifactsInput!$M$42,((Inputs!$B$9+((C1251=TRUE)*(F1251-Calc!F19))+B1262+(ArtifactsInput!$M$24-ArtifactsInput!$M$24)*CHOOSE(ArtifactsInput!$N$24+1,10,12,14,16,18,20)+IF(ArtifactsInput!$M$10,CHOOSE(ArtifactsInput!$N$10+1,15,18,21,24,27,30)*(IF(Inputs!$B$38="pvp",MIN(15,15)/15,IF(AND(Inputs!$B$38&lt;&gt;"pvp",Inputs!$B$43&gt;0),MIN(15,Inputs!$B$43)/(Inputs!$B$43),0))),0)))&gt;=100),MIN(100,((Inputs!$B$9+((C1251=TRUE)*(F1251-Calc!F19))+B1262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1251=TRUE)*(F1251-Calc!F19))+B1262+(ArtifactsInput!$M$24-ArtifactsInput!$M$24)*CHOOSE(ArtifactsInput!$N$24+1,10,12,14,16,18,20)+IF(ArtifactsInput!$M$10,CHOOSE(ArtifactsInput!$N$10+1,15,18,21,24,27,30)*(IF(Inputs!$B$38="pvp",MIN(15,15)/15,IF(AND(Inputs!$B$38&lt;&gt;"pvp",Inputs!$B$43&gt;0),MIN(15,Inputs!$B$43)/(Inputs!$B$43),0))),0)))&gt;=100),CHOOSE(ArtifactsInput!$N$42+1,40,48,56,64,72,80),0))))/100)*((1+(((C1249=TRUE)*F1249)+((C1256=TRUE)*(F1256-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1242)</f>
        <v/>
      </c>
      <c r="L1242">
        <f>K1242*(MIN(Inputs!$B$22+((C1254=TRUE)*(F1254-Calc!F22)),(Inputs!$B$23+0+(IF(ArtifactsInput!$M$15,CHOOSE(ArtifactsInput!$N$15+1,25,30,35,40,45,50)/100*(Inputs!$B$11-Inputs!$B$11),0))))/100+(Inputs!$B$23+0+(IF(ArtifactsInput!$M$15,CHOOSE(ArtifactsInput!$N$15+1,25,30,35,40,45,50)/100*(Inputs!$B$11-Inputs!$B$11),0)))/100)/2</f>
        <v/>
      </c>
      <c r="M1242">
        <f>L1242*(1+(Inputs!$B$10+((C1257=TRUE)*(F1257-Calc!F25))+B1267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2">
        <f>L1242*(1-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1242*(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2">
        <f>(1-Summary!$B$11)*T1242+Summary!$B$11*V1242</f>
        <v/>
      </c>
      <c r="P1242">
        <f>IF(B1272=0,0,O1242/B1272)</f>
        <v/>
      </c>
      <c r="Q1242">
        <f>IFERROR(1/(IF(Inputs!$B$38="pvp",15,MAX(0.1,Skills!D10-IF(Skills!E10=TRUE,Inputs!$B$32,0)))*(1-IF(AND(ArtifactsInput!$M$27,Inputs!$B$4="Chapter Hunt"),CHOOSE(ArtifactsInput!$N$27+1,20,24,28,32,36,40),0)/100)),0)</f>
        <v/>
      </c>
      <c r="R1242">
        <f>IF(AND(Inputs!$B$38&lt;&gt;"pvp",Inputs!$B$43&gt;0),IF(MAX(0,Inputs!$B$43-B1269)&lt;=0,0,(INT(MAX(0,Inputs!$B$43-B1269)/(IF(Inputs!$B$38="pvp",15,MAX(0.1,Skills!D10-IF(Skills!E10=TRUE,Inputs!$B$32,0)))*(1-IF(AND(ArtifactsInput!$M$27,Inputs!$B$4="Chapter Hunt"),CHOOSE(ArtifactsInput!$N$27+1,20,24,28,32,36,40),0)/100)))+1)),0)</f>
        <v/>
      </c>
      <c r="S1242">
        <f>IFERROR(O1242/N1242,0)</f>
        <v/>
      </c>
      <c r="T1242">
        <f>IF(C1242,(H1242*N1242*IF(AND(Inputs!$B$38&lt;&gt;"pvp",Inputs!$B$43&gt;0),((Skills!G10*((R1242-1)*IF(Skills!H10&gt;0,Skills!I10/Skills!H10,1)+IF(Skills!H10&gt;0,MIN(Skills!I10,MAX(0,MAX(0,Inputs!$B$43-B1269)-((R1242-1)*(IF(Inputs!$B$38="pvp",15,MAX(0.1,Skills!D10-IF(Skills!E10=TRUE,Inputs!$B$32,0)))*(1-IF(AND(ArtifactsInput!$M$27,Inputs!$B$4="Chapter Hunt"),CHOOSE(ArtifactsInput!$N$27+1,20,24,28,32,36,40),0)/100)))))/Skills!H10,1)))/Inputs!$B$43),G1242*Q1242)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1242*(1-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1242*(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1242*(1-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1242*(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2">
        <f>IF(C1242,(H1242*N1242*IF(AND(Inputs!$B$38&lt;&gt;"pvp",Inputs!$B$43&gt;0),((Skills!G10*((R1242-1)*IF(Skills!H10&gt;0,Skills!I10/Skills!H10,1)+IF(Skills!H10&gt;0,MIN(Skills!I10,MAX(0,MAX(0,Inputs!$B$43-B1269)-((R1242-1)*(IF(Inputs!$B$38="pvp",15,MAX(0.1,Skills!D10-IF(Skills!E10=TRUE,Inputs!$B$32,0)))*(1-IF(AND(ArtifactsInput!$M$27,Inputs!$B$4="Chapter Hunt"),CHOOSE(ArtifactsInput!$N$27+1,20,24,28,32,36,40),0)/100)))))/Skills!H10,1)))/Inputs!$B$43),G1242*Q1242))*IF(Inputs!$B$38="pvp",1,(1+(Inputs!$B$21+Skills!Q10+(IF(ArtifactsInput!$M$33,CHOOSE(ArtifactsInput!$N$33+1,30,36,42,48,54,60)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3">
      <c r="A1243">
        <f>Skills!A11</f>
        <v/>
      </c>
      <c r="B1243">
        <f>Skills!B11</f>
        <v/>
      </c>
      <c r="C1243">
        <f>Inputs!$B$3&gt;=107</f>
        <v/>
      </c>
      <c r="D1243">
        <f>IF(Skills!C11=1,60+Inputs!$B$25+Inputs!$B$29,IF(Skills!C11=2,90+Inputs!$B$26+Inputs!$B$29,IF(Skills!C11=3,120+Inputs!$B$27+Inputs!$B$29,MAX(0,(Inputs!$B$3-100)*3)+Inputs!$B$28+Inputs!$B$29)))</f>
        <v/>
      </c>
      <c r="E1243">
        <f>INDEX(FactorTable!$B$2:$Y$301, MATCH(ROUND(MIN(300,MAX(1,D1243)),0), FactorTable!$A$2:$A$301,0), Skills!M11+1)</f>
        <v/>
      </c>
      <c r="F1243">
        <f>IF(Skills!N11=TRUE,(Skills!L11/10)*(E1243/1000),Skills!L11/10)+Skills!O11</f>
        <v/>
      </c>
      <c r="G1243">
        <f>Skills!G11*IF(Skills!H11&gt;0,Skills!I11/Skills!H11,1)</f>
        <v/>
      </c>
      <c r="H1243">
        <f>1-(1-Skills!J11/100)^Skills!K11</f>
        <v/>
      </c>
      <c r="I1243" t="inlineStr">
        <is>
          <t>1</t>
        </is>
      </c>
      <c r="J1243">
        <f>((Inputs!$B$6*(1+Inputs!$B$7/100))+(((Inputs!$B$12*(1+Inputs!$B$13/100))-(Inputs!$B$12*(1+Inputs!$B$13/100)))+0.25*(Inputs!$B$14-Inputs!$B$14))*(1+Inputs!$B$7/100))*(F1243/100)</f>
        <v/>
      </c>
      <c r="K1243">
        <f>J1243*(1+((Inputs!$B$12*(1+Inputs!$B$13/100))*0.01+Inputs!$B$14*0.0025)/100)*(1+Inputs!$B$15/100)*(1+Inputs!$B$16/100)*(5000/(6000+Inputs!$B$42*(1-(100*(1-(1-(Inputs!$B$19+0)/100)*(1-CHOOSE(ArtifactsInput!$N$40+1,5,6,7,8,9,10)/100)^(ArtifactsInput!$M$40-ArtifactsInput!$M$40)))/100)))*(1+(Inputs!$B$24+((C1258=TRUE)*(F1258-Calc!F26))+B1268)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1255=TRUE)*(F1255-Calc!F23))+((C1259=TRUE)*(F1259-Calc!F27))+(((IF(AND(ArtifactsInput!$M$42,((Inputs!$B$9+((C1251=TRUE)*(F1251-Calc!F19))+B1262+(ArtifactsInput!$M$24-ArtifactsInput!$M$24)*CHOOSE(ArtifactsInput!$N$24+1,10,12,14,16,18,20)+IF(ArtifactsInput!$M$10,CHOOSE(ArtifactsInput!$N$10+1,15,18,21,24,27,30)*(IF(Inputs!$B$38="pvp",MIN(15,15)/15,IF(AND(Inputs!$B$38&lt;&gt;"pvp",Inputs!$B$43&gt;0),MIN(15,Inputs!$B$43)/(Inputs!$B$43),0))),0)))&gt;=100),MIN(100,((Inputs!$B$9+((C1251=TRUE)*(F1251-Calc!F19))+B1262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1251=TRUE)*(F1251-Calc!F19))+B1262+(ArtifactsInput!$M$24-ArtifactsInput!$M$24)*CHOOSE(ArtifactsInput!$N$24+1,10,12,14,16,18,20)+IF(ArtifactsInput!$M$10,CHOOSE(ArtifactsInput!$N$10+1,15,18,21,24,27,30)*(IF(Inputs!$B$38="pvp",MIN(15,15)/15,IF(AND(Inputs!$B$38&lt;&gt;"pvp",Inputs!$B$43&gt;0),MIN(15,Inputs!$B$43)/(Inputs!$B$43),0))),0)))&gt;=100),CHOOSE(ArtifactsInput!$N$42+1,40,48,56,64,72,80),0))))/100)*((1+(((C1249=TRUE)*F1249)+((C1256=TRUE)*(F1256-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1243)</f>
        <v/>
      </c>
      <c r="L1243">
        <f>K1243*(MIN(Inputs!$B$22+((C1254=TRUE)*(F1254-Calc!F22)),(Inputs!$B$23+0+(IF(ArtifactsInput!$M$15,CHOOSE(ArtifactsInput!$N$15+1,25,30,35,40,45,50)/100*(Inputs!$B$11-Inputs!$B$11),0))))/100+(Inputs!$B$23+0+(IF(ArtifactsInput!$M$15,CHOOSE(ArtifactsInput!$N$15+1,25,30,35,40,45,50)/100*(Inputs!$B$11-Inputs!$B$11),0)))/100)/2</f>
        <v/>
      </c>
      <c r="M1243">
        <f>L1243*(1+(Inputs!$B$10+((C1257=TRUE)*(F1257-Calc!F25))+B1267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3">
        <f>L1243*(1-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1243*(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3">
        <f>(1-Summary!$B$11)*T1243+Summary!$B$11*V1243</f>
        <v/>
      </c>
      <c r="P1243">
        <f>IF(B1272=0,0,O1243/B1272)</f>
        <v/>
      </c>
      <c r="Q1243">
        <f>IFERROR(1/(IF(Inputs!$B$38="pvp",15,MAX(0.1,Skills!D11-IF(Skills!E11=TRUE,Inputs!$B$32,0)))*(1-IF(AND(ArtifactsInput!$M$27,Inputs!$B$4="Chapter Hunt"),CHOOSE(ArtifactsInput!$N$27+1,20,24,28,32,36,40),0)/100)),0)</f>
        <v/>
      </c>
      <c r="R1243">
        <f>IF(AND(Inputs!$B$38&lt;&gt;"pvp",Inputs!$B$43&gt;0),IF(MAX(0,Inputs!$B$43-B1269)&lt;=0,0,(INT(MAX(0,Inputs!$B$43-B1269)/(IF(Inputs!$B$38="pvp",15,MAX(0.1,Skills!D11-IF(Skills!E11=TRUE,Inputs!$B$32,0)))*(1-IF(AND(ArtifactsInput!$M$27,Inputs!$B$4="Chapter Hunt"),CHOOSE(ArtifactsInput!$N$27+1,20,24,28,32,36,40),0)/100)))+1)),0)</f>
        <v/>
      </c>
      <c r="S1243">
        <f>IFERROR(O1243/N1243,0)</f>
        <v/>
      </c>
      <c r="T1243">
        <f>IF(C1243,(H1243*N1243*IF(AND(Inputs!$B$38&lt;&gt;"pvp",Inputs!$B$43&gt;0),((Skills!G11*((R1243-1)*IF(Skills!H11&gt;0,Skills!I11/Skills!H11,1)+IF(Skills!H11&gt;0,MIN(Skills!I11,MAX(0,MAX(0,Inputs!$B$43-B1269)-((R1243-1)*(IF(Inputs!$B$38="pvp",15,MAX(0.1,Skills!D11-IF(Skills!E11=TRUE,Inputs!$B$32,0)))*(1-IF(AND(ArtifactsInput!$M$27,Inputs!$B$4="Chapter Hunt"),CHOOSE(ArtifactsInput!$N$27+1,20,24,28,32,36,40),0)/100)))))/Skills!H11,1)))/Inputs!$B$43),G1243*Q1243)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1243*(1-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1243*(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1243*(1-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1243*(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3">
        <f>IF(C1243,(H1243*N1243*IF(AND(Inputs!$B$38&lt;&gt;"pvp",Inputs!$B$43&gt;0),((Skills!G11*((R1243-1)*IF(Skills!H11&gt;0,Skills!I11/Skills!H11,1)+IF(Skills!H11&gt;0,MIN(Skills!I11,MAX(0,MAX(0,Inputs!$B$43-B1269)-((R1243-1)*(IF(Inputs!$B$38="pvp",15,MAX(0.1,Skills!D11-IF(Skills!E11=TRUE,Inputs!$B$32,0)))*(1-IF(AND(ArtifactsInput!$M$27,Inputs!$B$4="Chapter Hunt"),CHOOSE(ArtifactsInput!$N$27+1,20,24,28,32,36,40),0)/100)))))/Skills!H11,1)))/Inputs!$B$43),G1243*Q1243))*IF(Inputs!$B$38="pvp",1,(1+(Inputs!$B$21+Skills!Q11+(IF(ArtifactsInput!$M$33,CHOOSE(ArtifactsInput!$N$33+1,30,36,42,48,54,60)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4">
      <c r="A1244">
        <f>Skills!A12</f>
        <v/>
      </c>
      <c r="B1244">
        <f>Skills!B12</f>
        <v/>
      </c>
      <c r="C1244">
        <f>Inputs!$B$3&gt;=110</f>
        <v/>
      </c>
      <c r="D1244">
        <f>IF(Skills!C12=1,60+Inputs!$B$25+Inputs!$B$29,IF(Skills!C12=2,90+Inputs!$B$26+Inputs!$B$29,IF(Skills!C12=3,120+Inputs!$B$27+Inputs!$B$29,MAX(0,(Inputs!$B$3-100)*3)+Inputs!$B$28+Inputs!$B$29)))</f>
        <v/>
      </c>
      <c r="E1244">
        <f>INDEX(FactorTable!$B$2:$Y$301, MATCH(ROUND(MIN(300,MAX(1,D1244)),0), FactorTable!$A$2:$A$301,0), Skills!M12+1)</f>
        <v/>
      </c>
      <c r="F1244">
        <f>IF(Skills!N12=TRUE,(Skills!L12/10)*(E1244/1000),Skills!L12/10)+Skills!O12</f>
        <v/>
      </c>
      <c r="G1244">
        <f>Skills!G12*IF(Skills!H12&gt;0,Skills!I12/Skills!H12,1)</f>
        <v/>
      </c>
      <c r="H1244">
        <f>1-(1-Skills!J12/100)^Skills!K12</f>
        <v/>
      </c>
      <c r="I1244" t="inlineStr">
        <is>
          <t>1</t>
        </is>
      </c>
      <c r="J1244">
        <f>((Inputs!$B$6*(1+Inputs!$B$7/100))+(((Inputs!$B$12*(1+Inputs!$B$13/100))-(Inputs!$B$12*(1+Inputs!$B$13/100)))+0.25*(Inputs!$B$14-Inputs!$B$14))*(1+Inputs!$B$7/100))*(F1244/100)</f>
        <v/>
      </c>
      <c r="K1244">
        <f>J1244*(1+((Inputs!$B$12*(1+Inputs!$B$13/100))*0.01+Inputs!$B$14*0.0025)/100)*(1+Inputs!$B$15/100)*(1+Inputs!$B$16/100)*(5000/(6000+Inputs!$B$42*(1-(100*(1-(1-(Inputs!$B$19+0)/100)*(1-CHOOSE(ArtifactsInput!$N$40+1,5,6,7,8,9,10)/100)^(ArtifactsInput!$M$40-ArtifactsInput!$M$40)))/100)))*(1+(Inputs!$B$24+((C1258=TRUE)*(F1258-Calc!F26))+B1268)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1255=TRUE)*(F1255-Calc!F23))+((C1259=TRUE)*(F1259-Calc!F27))+(((IF(AND(ArtifactsInput!$M$42,((Inputs!$B$9+((C1251=TRUE)*(F1251-Calc!F19))+B1262+(ArtifactsInput!$M$24-ArtifactsInput!$M$24)*CHOOSE(ArtifactsInput!$N$24+1,10,12,14,16,18,20)+IF(ArtifactsInput!$M$10,CHOOSE(ArtifactsInput!$N$10+1,15,18,21,24,27,30)*(IF(Inputs!$B$38="pvp",MIN(15,15)/15,IF(AND(Inputs!$B$38&lt;&gt;"pvp",Inputs!$B$43&gt;0),MIN(15,Inputs!$B$43)/(Inputs!$B$43),0))),0)))&gt;=100),MIN(100,((Inputs!$B$9+((C1251=TRUE)*(F1251-Calc!F19))+B1262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1251=TRUE)*(F1251-Calc!F19))+B1262+(ArtifactsInput!$M$24-ArtifactsInput!$M$24)*CHOOSE(ArtifactsInput!$N$24+1,10,12,14,16,18,20)+IF(ArtifactsInput!$M$10,CHOOSE(ArtifactsInput!$N$10+1,15,18,21,24,27,30)*(IF(Inputs!$B$38="pvp",MIN(15,15)/15,IF(AND(Inputs!$B$38&lt;&gt;"pvp",Inputs!$B$43&gt;0),MIN(15,Inputs!$B$43)/(Inputs!$B$43),0))),0)))&gt;=100),CHOOSE(ArtifactsInput!$N$42+1,40,48,56,64,72,80),0))))/100)*((1+(((C1249=TRUE)*F1249)+((C1256=TRUE)*(F1256-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1244)</f>
        <v/>
      </c>
      <c r="L1244">
        <f>K1244*(MIN(Inputs!$B$22+((C1254=TRUE)*(F1254-Calc!F22)),(Inputs!$B$23+0+(IF(ArtifactsInput!$M$15,CHOOSE(ArtifactsInput!$N$15+1,25,30,35,40,45,50)/100*(Inputs!$B$11-Inputs!$B$11),0))))/100+(Inputs!$B$23+0+(IF(ArtifactsInput!$M$15,CHOOSE(ArtifactsInput!$N$15+1,25,30,35,40,45,50)/100*(Inputs!$B$11-Inputs!$B$11),0)))/100)/2</f>
        <v/>
      </c>
      <c r="M1244">
        <f>L1244*(1+(Inputs!$B$10+((C1257=TRUE)*(F1257-Calc!F25))+B1267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4">
        <f>L1244*(1-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1244*(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4">
        <f>(1-Summary!$B$11)*T1244+Summary!$B$11*V1244</f>
        <v/>
      </c>
      <c r="P1244">
        <f>IF(B1272=0,0,O1244/B1272)</f>
        <v/>
      </c>
      <c r="Q1244">
        <f>IFERROR(1/(IF(Inputs!$B$38="pvp",15,MAX(0.1,Skills!D12-IF(Skills!E12=TRUE,Inputs!$B$32,0)))*(1-IF(AND(ArtifactsInput!$M$27,Inputs!$B$4="Chapter Hunt"),CHOOSE(ArtifactsInput!$N$27+1,20,24,28,32,36,40),0)/100)),0)</f>
        <v/>
      </c>
      <c r="R1244">
        <f>IF(AND(Inputs!$B$38&lt;&gt;"pvp",Inputs!$B$43&gt;0),IF(MAX(0,Inputs!$B$43-B1269)&lt;=0,0,(INT(MAX(0,Inputs!$B$43-B1269)/(IF(Inputs!$B$38="pvp",15,MAX(0.1,Skills!D12-IF(Skills!E12=TRUE,Inputs!$B$32,0)))*(1-IF(AND(ArtifactsInput!$M$27,Inputs!$B$4="Chapter Hunt"),CHOOSE(ArtifactsInput!$N$27+1,20,24,28,32,36,40),0)/100)))+1)),0)</f>
        <v/>
      </c>
      <c r="S1244">
        <f>IFERROR(O1244/N1244,0)</f>
        <v/>
      </c>
      <c r="T1244">
        <f>IF(C1244,(H1244*N1244*IF(AND(Inputs!$B$38&lt;&gt;"pvp",Inputs!$B$43&gt;0),((Skills!G12*((R1244-1)*IF(Skills!H12&gt;0,Skills!I12/Skills!H12,1)+IF(Skills!H12&gt;0,MIN(Skills!I12,MAX(0,MAX(0,Inputs!$B$43-B1269)-((R1244-1)*(IF(Inputs!$B$38="pvp",15,MAX(0.1,Skills!D12-IF(Skills!E12=TRUE,Inputs!$B$32,0)))*(1-IF(AND(ArtifactsInput!$M$27,Inputs!$B$4="Chapter Hunt"),CHOOSE(ArtifactsInput!$N$27+1,20,24,28,32,36,40),0)/100)))))/Skills!H12,1)))/Inputs!$B$43),G1244*Q1244)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1244*(1-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1244*(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1244*(1-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1244*(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4">
        <f>IF(C1244,(H1244*N1244*IF(AND(Inputs!$B$38&lt;&gt;"pvp",Inputs!$B$43&gt;0),((Skills!G12*((R1244-1)*IF(Skills!H12&gt;0,Skills!I12/Skills!H12,1)+IF(Skills!H12&gt;0,MIN(Skills!I12,MAX(0,MAX(0,Inputs!$B$43-B1269)-((R1244-1)*(IF(Inputs!$B$38="pvp",15,MAX(0.1,Skills!D12-IF(Skills!E12=TRUE,Inputs!$B$32,0)))*(1-IF(AND(ArtifactsInput!$M$27,Inputs!$B$4="Chapter Hunt"),CHOOSE(ArtifactsInput!$N$27+1,20,24,28,32,36,40),0)/100)))))/Skills!H12,1)))/Inputs!$B$43),G1244*Q1244))*IF(Inputs!$B$38="pvp",1,(1+(Inputs!$B$21+Skills!Q12+(IF(ArtifactsInput!$M$33,CHOOSE(ArtifactsInput!$N$33+1,30,36,42,48,54,60)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5">
      <c r="A1245">
        <f>Skills!A13</f>
        <v/>
      </c>
      <c r="B1245">
        <f>Skills!B13</f>
        <v/>
      </c>
      <c r="C1245">
        <f>Inputs!$B$3&gt;=110</f>
        <v/>
      </c>
      <c r="D1245">
        <f>IF(Skills!C13=1,60+Inputs!$B$25+Inputs!$B$29,IF(Skills!C13=2,90+Inputs!$B$26+Inputs!$B$29,IF(Skills!C13=3,120+Inputs!$B$27+Inputs!$B$29,MAX(0,(Inputs!$B$3-100)*3)+Inputs!$B$28+Inputs!$B$29)))</f>
        <v/>
      </c>
      <c r="E1245">
        <f>INDEX(FactorTable!$B$2:$Y$301, MATCH(ROUND(MIN(300,MAX(1,D1245)),0), FactorTable!$A$2:$A$301,0), Skills!M13+1)</f>
        <v/>
      </c>
      <c r="F1245">
        <f>IF(Skills!N13=TRUE,(Skills!L13/10)*(E1245/1000),Skills!L13/10)+Skills!O13</f>
        <v/>
      </c>
      <c r="G1245">
        <f>Skills!G13*IF(Skills!H13&gt;0,Skills!I13/Skills!H13,1)</f>
        <v/>
      </c>
      <c r="H1245">
        <f>1-(1-Skills!J13/100)^Skills!K13</f>
        <v/>
      </c>
      <c r="I1245" t="inlineStr">
        <is>
          <t>1</t>
        </is>
      </c>
      <c r="J1245">
        <f>((Inputs!$B$6*(1+Inputs!$B$7/100))+(((Inputs!$B$12*(1+Inputs!$B$13/100))-(Inputs!$B$12*(1+Inputs!$B$13/100)))+0.25*(Inputs!$B$14-Inputs!$B$14))*(1+Inputs!$B$7/100))*(F1245/100)</f>
        <v/>
      </c>
      <c r="K1245">
        <f>J1245*(1+((Inputs!$B$12*(1+Inputs!$B$13/100))*0.01+Inputs!$B$14*0.0025)/100)*(1+Inputs!$B$15/100)*(1+Inputs!$B$16/100)*(5000/(6000+Inputs!$B$42*(1-(100*(1-(1-(Inputs!$B$19+0)/100)*(1-CHOOSE(ArtifactsInput!$N$40+1,5,6,7,8,9,10)/100)^(ArtifactsInput!$M$40-ArtifactsInput!$M$40)))/100)))*(1+(Inputs!$B$24+((C1258=TRUE)*(F1258-Calc!F26))+B1268)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1255=TRUE)*(F1255-Calc!F23))+((C1259=TRUE)*(F1259-Calc!F27))+(((IF(AND(ArtifactsInput!$M$42,((Inputs!$B$9+((C1251=TRUE)*(F1251-Calc!F19))+B1262+(ArtifactsInput!$M$24-ArtifactsInput!$M$24)*CHOOSE(ArtifactsInput!$N$24+1,10,12,14,16,18,20)+IF(ArtifactsInput!$M$10,CHOOSE(ArtifactsInput!$N$10+1,15,18,21,24,27,30)*(IF(Inputs!$B$38="pvp",MIN(15,15)/15,IF(AND(Inputs!$B$38&lt;&gt;"pvp",Inputs!$B$43&gt;0),MIN(15,Inputs!$B$43)/(Inputs!$B$43),0))),0)))&gt;=100),MIN(100,((Inputs!$B$9+((C1251=TRUE)*(F1251-Calc!F19))+B1262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1251=TRUE)*(F1251-Calc!F19))+B1262+(ArtifactsInput!$M$24-ArtifactsInput!$M$24)*CHOOSE(ArtifactsInput!$N$24+1,10,12,14,16,18,20)+IF(ArtifactsInput!$M$10,CHOOSE(ArtifactsInput!$N$10+1,15,18,21,24,27,30)*(IF(Inputs!$B$38="pvp",MIN(15,15)/15,IF(AND(Inputs!$B$38&lt;&gt;"pvp",Inputs!$B$43&gt;0),MIN(15,Inputs!$B$43)/(Inputs!$B$43),0))),0)))&gt;=100),CHOOSE(ArtifactsInput!$N$42+1,40,48,56,64,72,80),0))))/100)*((1+(((C1249=TRUE)*F1249)+((C1256=TRUE)*(F1256-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1245)</f>
        <v/>
      </c>
      <c r="L1245">
        <f>K1245*(MIN(Inputs!$B$22+((C1254=TRUE)*(F1254-Calc!F22)),(Inputs!$B$23+0+(IF(ArtifactsInput!$M$15,CHOOSE(ArtifactsInput!$N$15+1,25,30,35,40,45,50)/100*(Inputs!$B$11-Inputs!$B$11),0))))/100+(Inputs!$B$23+0+(IF(ArtifactsInput!$M$15,CHOOSE(ArtifactsInput!$N$15+1,25,30,35,40,45,50)/100*(Inputs!$B$11-Inputs!$B$11),0)))/100)/2</f>
        <v/>
      </c>
      <c r="M1245">
        <f>L1245*(1+(Inputs!$B$10+((C1257=TRUE)*(F1257-Calc!F25))+B1267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5">
        <f>L1245*(1-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1245*(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5">
        <f>(1-Summary!$B$11)*T1245+Summary!$B$11*V1245</f>
        <v/>
      </c>
      <c r="P1245">
        <f>IF(B1272=0,0,O1245/B1272)</f>
        <v/>
      </c>
      <c r="Q1245">
        <f>IFERROR(1/(IF(Inputs!$B$38="pvp",15,MAX(0.1,Skills!D13-IF(Skills!E13=TRUE,Inputs!$B$32,0)))*(1-IF(AND(ArtifactsInput!$M$27,Inputs!$B$4="Chapter Hunt"),CHOOSE(ArtifactsInput!$N$27+1,20,24,28,32,36,40),0)/100)),0)</f>
        <v/>
      </c>
      <c r="R1245">
        <f>IF(AND(Inputs!$B$38&lt;&gt;"pvp",Inputs!$B$43&gt;0),IF(MAX(0,Inputs!$B$43-B1269)&lt;=0,0,(INT(MAX(0,Inputs!$B$43-B1269)/(IF(Inputs!$B$38="pvp",15,MAX(0.1,Skills!D13-IF(Skills!E13=TRUE,Inputs!$B$32,0)))*(1-IF(AND(ArtifactsInput!$M$27,Inputs!$B$4="Chapter Hunt"),CHOOSE(ArtifactsInput!$N$27+1,20,24,28,32,36,40),0)/100)))+1)),0)</f>
        <v/>
      </c>
      <c r="S1245">
        <f>IFERROR(O1245/N1245,0)</f>
        <v/>
      </c>
      <c r="T1245">
        <f>IF(C1245,(H1245*N1245*IF(AND(Inputs!$B$38&lt;&gt;"pvp",Inputs!$B$43&gt;0),((Skills!G13*((R1245-1)*IF(Skills!H13&gt;0,Skills!I13/Skills!H13,1)+IF(Skills!H13&gt;0,MIN(Skills!I13,MAX(0,MAX(0,Inputs!$B$43-B1269)-((R1245-1)*(IF(Inputs!$B$38="pvp",15,MAX(0.1,Skills!D13-IF(Skills!E13=TRUE,Inputs!$B$32,0)))*(1-IF(AND(ArtifactsInput!$M$27,Inputs!$B$4="Chapter Hunt"),CHOOSE(ArtifactsInput!$N$27+1,20,24,28,32,36,40),0)/100)))))/Skills!H13,1)))/Inputs!$B$43),G1245*Q1245))*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1245*(1-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1245*(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1245*(1-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1245*(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5">
        <f>IF(C1245,(H1245*N1245*IF(AND(Inputs!$B$38&lt;&gt;"pvp",Inputs!$B$43&gt;0),((Skills!G13*((R1245-1)*IF(Skills!H13&gt;0,Skills!I13/Skills!H13,1)+IF(Skills!H13&gt;0,MIN(Skills!I13,MAX(0,MAX(0,Inputs!$B$43-B1269)-((R1245-1)*(IF(Inputs!$B$38="pvp",15,MAX(0.1,Skills!D13-IF(Skills!E13=TRUE,Inputs!$B$32,0)))*(1-IF(AND(ArtifactsInput!$M$27,Inputs!$B$4="Chapter Hunt"),CHOOSE(ArtifactsInput!$N$27+1,20,24,28,32,36,40),0)/100)))))/Skills!H13,1)))/Inputs!$B$43),G1245*Q1245))*IF(Inputs!$B$38="pvp",1,(1+(Inputs!$B$21+Skills!Q13+(IF(ArtifactsInput!$M$33,CHOOSE(ArtifactsInput!$N$33+1,30,36,42,48,54,60)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6">
      <c r="A1246">
        <f>Skills!A14</f>
        <v/>
      </c>
      <c r="B1246">
        <f>Skills!B14</f>
        <v/>
      </c>
      <c r="C1246">
        <f>Inputs!$B$3&gt;=125</f>
        <v/>
      </c>
      <c r="D1246">
        <f>IF(Skills!C14=1,60+Inputs!$B$25+Inputs!$B$29,IF(Skills!C14=2,90+Inputs!$B$26+Inputs!$B$29,IF(Skills!C14=3,120+Inputs!$B$27+Inputs!$B$29,MAX(0,(Inputs!$B$3-100)*3)+Inputs!$B$28+Inputs!$B$29)))</f>
        <v/>
      </c>
      <c r="E1246">
        <f>INDEX(FactorTable!$B$2:$Y$301, MATCH(ROUND(MIN(300,MAX(1,D1246)),0), FactorTable!$A$2:$A$301,0), Skills!M14+1)</f>
        <v/>
      </c>
      <c r="F1246">
        <f>IF(Skills!N14=TRUE,(Skills!L14/10)*(E1246/1000),Skills!L14/10)+Skills!O14</f>
        <v/>
      </c>
      <c r="G1246">
        <f>Skills!G14*IF(Skills!H14&gt;0,Skills!I14/Skills!H14,1)</f>
        <v/>
      </c>
      <c r="H1246">
        <f>1-(1-Skills!J14/100)^Skills!K14</f>
        <v/>
      </c>
      <c r="I1246" t="inlineStr">
        <is>
          <t>1</t>
        </is>
      </c>
      <c r="J1246">
        <f>((Inputs!$B$6*(1+Inputs!$B$7/100))+(((Inputs!$B$12*(1+Inputs!$B$13/100))-(Inputs!$B$12*(1+Inputs!$B$13/100)))+0.25*(Inputs!$B$14-Inputs!$B$14))*(1+Inputs!$B$7/100))*(F1246/100)</f>
        <v/>
      </c>
      <c r="K1246">
        <f>J1246*(1+((Inputs!$B$12*(1+Inputs!$B$13/100))*0.01+Inputs!$B$14*0.0025)/100)*(1+Inputs!$B$15/100)*(1+Inputs!$B$16/100)*(5000/(6000+Inputs!$B$42*(1-(100*(1-(1-(Inputs!$B$19+0)/100)*(1-CHOOSE(ArtifactsInput!$N$40+1,5,6,7,8,9,10)/100)^(ArtifactsInput!$M$40-ArtifactsInput!$M$40)))/100)))*(1+(Inputs!$B$24+((C1258=TRUE)*(F1258-Calc!F26))+B1268)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1255=TRUE)*(F1255-Calc!F23))+((C1259=TRUE)*(F1259-Calc!F27))+(((IF(AND(ArtifactsInput!$M$42,((Inputs!$B$9+((C1251=TRUE)*(F1251-Calc!F19))+B1262+(ArtifactsInput!$M$24-ArtifactsInput!$M$24)*CHOOSE(ArtifactsInput!$N$24+1,10,12,14,16,18,20)+IF(ArtifactsInput!$M$10,CHOOSE(ArtifactsInput!$N$10+1,15,18,21,24,27,30)*(IF(Inputs!$B$38="pvp",MIN(15,15)/15,IF(AND(Inputs!$B$38&lt;&gt;"pvp",Inputs!$B$43&gt;0),MIN(15,Inputs!$B$43)/(Inputs!$B$43),0))),0)))&gt;=100),MIN(100,((Inputs!$B$9+((C1251=TRUE)*(F1251-Calc!F19))+B1262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1251=TRUE)*(F1251-Calc!F19))+B1262+(ArtifactsInput!$M$24-ArtifactsInput!$M$24)*CHOOSE(ArtifactsInput!$N$24+1,10,12,14,16,18,20)+IF(ArtifactsInput!$M$10,CHOOSE(ArtifactsInput!$N$10+1,15,18,21,24,27,30)*(IF(Inputs!$B$38="pvp",MIN(15,15)/15,IF(AND(Inputs!$B$38&lt;&gt;"pvp",Inputs!$B$43&gt;0),MIN(15,Inputs!$B$43)/(Inputs!$B$43),0))),0)))&gt;=100),CHOOSE(ArtifactsInput!$N$42+1,40,48,56,64,72,80),0))))/100)*((1+(((C1249=TRUE)*F1249)+((C1256=TRUE)*(F1256-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1246)</f>
        <v/>
      </c>
      <c r="L1246">
        <f>K1246*(MIN(Inputs!$B$22+((C1254=TRUE)*(F1254-Calc!F22)),(Inputs!$B$23+0+(IF(ArtifactsInput!$M$15,CHOOSE(ArtifactsInput!$N$15+1,25,30,35,40,45,50)/100*(Inputs!$B$11-Inputs!$B$11),0))))/100+(Inputs!$B$23+0+(IF(ArtifactsInput!$M$15,CHOOSE(ArtifactsInput!$N$15+1,25,30,35,40,45,50)/100*(Inputs!$B$11-Inputs!$B$11),0)))/100)/2</f>
        <v/>
      </c>
      <c r="M1246">
        <f>L1246*(1+(Inputs!$B$10+((C1257=TRUE)*(F1257-Calc!F25))+B1267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6">
        <f>L1246*(1-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1246*(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6">
        <f>(1-Summary!$B$11)*T1246+Summary!$B$11*V1246</f>
        <v/>
      </c>
      <c r="P1246">
        <f>IF(B1272=0,0,O1246/B1272)</f>
        <v/>
      </c>
      <c r="Q1246" t="n">
        <v>0</v>
      </c>
      <c r="R1246" t="n">
        <v>0</v>
      </c>
      <c r="S1246">
        <f>IFERROR(O1246/N1246,0)</f>
        <v/>
      </c>
      <c r="T1246">
        <f>IF(C1246,(H1246*N1246*(B1266+IF(AND(Inputs!$B$38&lt;&gt;"pvp",Inputs!$B$43&gt;0),((Skills!G8*((R1240-1)*IF(Skills!H8&gt;0,Skills!I8/Skills!H8,1)+IF(Skills!H8&gt;0,MIN(Skills!I8,MAX(0,MAX(0,Inputs!$B$43-B1269)-((R1240-1)*(IF(Inputs!$B$38="pvp",15,MAX(0.1,Skills!D8-IF(Skills!E8=TRUE,Inputs!$B$32,0)))*(1-IF(AND(ArtifactsInput!$M$27,Inputs!$B$4="Chapter Hunt"),CHOOSE(ArtifactsInput!$N$27+1,20,24,28,32,36,40),0)/100)))))/Skills!H8,1)))/Inputs!$B$43),G1240*Q1240)+IF(AND(Inputs!$B$38&lt;&gt;"pvp",Inputs!$B$43&gt;0),((Skills!G11*((R1243-1)*IF(Skills!H11&gt;0,Skills!I11/Skills!H11,1)+IF(Skills!H11&gt;0,MIN(Skills!I11,MAX(0,MAX(0,Inputs!$B$43-B1269)-((R1243-1)*(IF(Inputs!$B$38="pvp",15,MAX(0.1,Skills!D11-IF(Skills!E11=TRUE,Inputs!$B$32,0)))*(1-IF(AND(ArtifactsInput!$M$27,Inputs!$B$4="Chapter Hunt"),CHOOSE(ArtifactsInput!$N$27+1,20,24,28,32,36,40),0)/100)))))/Skills!H11,1)))/Inputs!$B$43),G1243*Q1243)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1246*(1-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1246*(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1246*(1-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1246*(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6">
        <f>IF(C1246,(H1246*N1246*(B1266+IF(AND(Inputs!$B$38&lt;&gt;"pvp",Inputs!$B$43&gt;0),((Skills!G8*((R1240-1)*IF(Skills!H8&gt;0,Skills!I8/Skills!H8,1)+IF(Skills!H8&gt;0,MIN(Skills!I8,MAX(0,MAX(0,Inputs!$B$43-B1269)-((R1240-1)*(IF(Inputs!$B$38="pvp",15,MAX(0.1,Skills!D8-IF(Skills!E8=TRUE,Inputs!$B$32,0)))*(1-IF(AND(ArtifactsInput!$M$27,Inputs!$B$4="Chapter Hunt"),CHOOSE(ArtifactsInput!$N$27+1,20,24,28,32,36,40),0)/100)))))/Skills!H8,1)))/Inputs!$B$43),G1240*Q1240)+IF(AND(Inputs!$B$38&lt;&gt;"pvp",Inputs!$B$43&gt;0),((Skills!G11*((R1243-1)*IF(Skills!H11&gt;0,Skills!I11/Skills!H11,1)+IF(Skills!H11&gt;0,MIN(Skills!I11,MAX(0,MAX(0,Inputs!$B$43-B1269)-((R1243-1)*(IF(Inputs!$B$38="pvp",15,MAX(0.1,Skills!D11-IF(Skills!E11=TRUE,Inputs!$B$32,0)))*(1-IF(AND(ArtifactsInput!$M$27,Inputs!$B$4="Chapter Hunt"),CHOOSE(ArtifactsInput!$N$27+1,20,24,28,32,36,40),0)/100)))))/Skills!H11,1)))/Inputs!$B$43),G1243*Q1243)))*IF(Inputs!$B$38="pvp",1,(1+(Inputs!$B$21+Skills!Q14+(IF(ArtifactsInput!$M$33,CHOOSE(ArtifactsInput!$N$33+1,30,36,42,48,54,60)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7">
      <c r="A1247">
        <f>Skills!A15</f>
        <v/>
      </c>
      <c r="B1247">
        <f>Skills!B15</f>
        <v/>
      </c>
      <c r="C1247">
        <f>Inputs!$B$3&gt;=100</f>
        <v/>
      </c>
      <c r="D1247">
        <f>IF(Skills!C15=1,60+Inputs!$B$25+Inputs!$B$29,IF(Skills!C15=2,90+Inputs!$B$26+Inputs!$B$29,IF(Skills!C15=3,120+Inputs!$B$27+Inputs!$B$29,MAX(0,(Inputs!$B$3-100)*3)+Inputs!$B$28+Inputs!$B$29)))</f>
        <v/>
      </c>
      <c r="E1247">
        <f>INDEX(FactorTable!$B$2:$Y$301, MATCH(ROUND(MIN(300,MAX(1,D1247)),0), FactorTable!$A$2:$A$301,0), Skills!M15+1)</f>
        <v/>
      </c>
      <c r="F1247">
        <f>IF(Skills!N15=TRUE,(Skills!L15/10)*(E1247/1000),Skills!L15/10)+Skills!O15</f>
        <v/>
      </c>
      <c r="G1247" t="inlineStr"/>
      <c r="H1247" t="inlineStr"/>
      <c r="I1247" t="inlineStr">
        <is>
          <t>1</t>
        </is>
      </c>
      <c r="J1247" t="inlineStr"/>
      <c r="K1247" t="inlineStr"/>
      <c r="L1247" t="inlineStr"/>
      <c r="M1247" t="inlineStr"/>
      <c r="N1247" t="inlineStr"/>
      <c r="O1247" t="inlineStr"/>
      <c r="P1247" t="inlineStr"/>
      <c r="Q1247" t="inlineStr"/>
      <c r="R1247" t="inlineStr"/>
      <c r="S1247" t="inlineStr"/>
    </row>
    <row r="1248">
      <c r="A1248">
        <f>Skills!A16</f>
        <v/>
      </c>
      <c r="B1248">
        <f>Skills!B16</f>
        <v/>
      </c>
      <c r="C1248">
        <f>Inputs!$B$3&gt;=120</f>
        <v/>
      </c>
      <c r="D1248">
        <f>IF(Skills!C16=1,60+Inputs!$B$25+Inputs!$B$29,IF(Skills!C16=2,90+Inputs!$B$26+Inputs!$B$29,IF(Skills!C16=3,120+Inputs!$B$27+Inputs!$B$29,MAX(0,(Inputs!$B$3-100)*3)+Inputs!$B$28+Inputs!$B$29)))</f>
        <v/>
      </c>
      <c r="E1248">
        <f>INDEX(FactorTable!$B$2:$Y$301, MATCH(ROUND(MIN(300,MAX(1,D1248)),0), FactorTable!$A$2:$A$301,0), Skills!M16+1)</f>
        <v/>
      </c>
      <c r="F1248">
        <f>IF(Skills!N16=TRUE,(Skills!L16/10)*(E1248/1000),Skills!L16/10)+Skills!O16</f>
        <v/>
      </c>
      <c r="G1248" t="inlineStr"/>
      <c r="H1248" t="inlineStr"/>
      <c r="I1248" t="inlineStr">
        <is>
          <t>1</t>
        </is>
      </c>
      <c r="J1248" t="inlineStr"/>
      <c r="K1248" t="inlineStr"/>
      <c r="L1248" t="inlineStr"/>
      <c r="M1248" t="inlineStr"/>
      <c r="N1248" t="inlineStr"/>
      <c r="O1248" t="inlineStr"/>
      <c r="P1248" t="inlineStr"/>
      <c r="Q1248" t="inlineStr"/>
      <c r="R1248" t="inlineStr"/>
      <c r="S1248" t="inlineStr"/>
    </row>
    <row r="1249">
      <c r="A1249">
        <f>Skills!A17</f>
        <v/>
      </c>
      <c r="B1249">
        <f>Skills!B17</f>
        <v/>
      </c>
      <c r="C1249">
        <f>Inputs!$B$3&gt;=66</f>
        <v/>
      </c>
      <c r="D1249">
        <f>IF(Skills!C17=1,60+Inputs!$B$25+Inputs!$B$29,IF(Skills!C17=2,90+Inputs!$B$26+Inputs!$B$29,IF(Skills!C17=3,120+Inputs!$B$27+Inputs!$B$29,MAX(0,(Inputs!$B$3-100)*3)+Inputs!$B$28+Inputs!$B$29)))</f>
        <v/>
      </c>
      <c r="E1249">
        <f>INDEX(FactorTable!$B$2:$Y$301, MATCH(ROUND(MIN(300,MAX(1,D1249)),0), FactorTable!$A$2:$A$301,0), Skills!M17+1)</f>
        <v/>
      </c>
      <c r="F1249">
        <f>IF(Skills!N17=TRUE,(Skills!L17/10)*(E1249/1000),Skills!L17/10)+Skills!O17</f>
        <v/>
      </c>
      <c r="G1249">
        <f>Skills!G17*IF(Skills!H17&gt;0,Skills!I17/Skills!H17,1)</f>
        <v/>
      </c>
      <c r="H1249">
        <f>1-(1-Skills!J17/100)^Skills!K17</f>
        <v/>
      </c>
      <c r="I1249" t="inlineStr">
        <is>
          <t>1</t>
        </is>
      </c>
      <c r="J1249" t="inlineStr"/>
      <c r="K1249" t="inlineStr"/>
      <c r="L1249" t="inlineStr"/>
      <c r="M1249" t="inlineStr"/>
      <c r="N1249" t="inlineStr"/>
      <c r="O1249">
        <f>(1-Summary!$B$11)*T1249+Summary!$B$11*V1249</f>
        <v/>
      </c>
      <c r="P1249">
        <f>IF(B1272=0,0,O1249/B1272)</f>
        <v/>
      </c>
      <c r="Q1249" t="n">
        <v>0</v>
      </c>
      <c r="R1249" t="n">
        <v>0</v>
      </c>
      <c r="S1249">
        <f>IFERROR(O1249/N1249,0)</f>
        <v/>
      </c>
      <c r="T1249" t="n">
        <v>0</v>
      </c>
      <c r="V1249" t="n">
        <v>0</v>
      </c>
    </row>
    <row r="1250">
      <c r="A1250">
        <f>Skills!A18</f>
        <v/>
      </c>
      <c r="B1250">
        <f>Skills!B18</f>
        <v/>
      </c>
      <c r="C1250">
        <f>Inputs!$B$3&gt;=115</f>
        <v/>
      </c>
      <c r="D1250">
        <f>IF(Skills!C18=1,60+Inputs!$B$25+Inputs!$B$29,IF(Skills!C18=2,90+Inputs!$B$26+Inputs!$B$29,IF(Skills!C18=3,120+Inputs!$B$27+Inputs!$B$29,MAX(0,(Inputs!$B$3-100)*3)+Inputs!$B$28+Inputs!$B$29)))</f>
        <v/>
      </c>
      <c r="E1250">
        <f>INDEX(FactorTable!$B$2:$Y$301, MATCH(ROUND(MIN(300,MAX(1,D1250)),0), FactorTable!$A$2:$A$301,0), Skills!M18+1)</f>
        <v/>
      </c>
      <c r="F1250">
        <f>IF(Skills!N18=TRUE,(Skills!L18/10)*(E1250/1000),Skills!L18/10)+Skills!O18</f>
        <v/>
      </c>
      <c r="G1250">
        <f>Skills!G18*IF(Skills!H18&gt;0,Skills!I18/Skills!H18,1)</f>
        <v/>
      </c>
      <c r="H1250">
        <f>1-(1-Skills!J18/100)^Skills!K18</f>
        <v/>
      </c>
      <c r="I1250" t="inlineStr">
        <is>
          <t>1</t>
        </is>
      </c>
      <c r="J1250" t="inlineStr"/>
      <c r="K1250" t="inlineStr"/>
      <c r="L1250" t="inlineStr"/>
      <c r="M1250" t="inlineStr"/>
      <c r="N1250" t="inlineStr"/>
      <c r="O1250">
        <f>(1-Summary!$B$11)*T1250+Summary!$B$11*V1250</f>
        <v/>
      </c>
      <c r="P1250">
        <f>IF(B1272=0,0,O1250/B1272)</f>
        <v/>
      </c>
      <c r="Q1250" t="n">
        <v>0</v>
      </c>
      <c r="R1250" t="n">
        <v>0</v>
      </c>
      <c r="S1250">
        <f>IFERROR(O1250/N1250,0)</f>
        <v/>
      </c>
      <c r="T1250" t="n">
        <v>0</v>
      </c>
      <c r="V1250" t="n">
        <v>0</v>
      </c>
    </row>
    <row r="1251">
      <c r="A1251">
        <f>Skills!A19</f>
        <v/>
      </c>
      <c r="B1251">
        <f>Skills!B19</f>
        <v/>
      </c>
      <c r="C1251">
        <f>Inputs!$B$3&gt;=15</f>
        <v/>
      </c>
      <c r="D1251">
        <f>IF(Skills!C19=1,60+Inputs!$B$25+Inputs!$B$29,IF(Skills!C19=2,90+Inputs!$B$26+Inputs!$B$29,IF(Skills!C19=3,120+Inputs!$B$27+Inputs!$B$29,MAX(0,(Inputs!$B$3-100)*3)+Inputs!$B$28+Inputs!$B$29)))</f>
        <v/>
      </c>
      <c r="E1251">
        <f>INDEX(FactorTable!$B$2:$Y$301, MATCH(ROUND(MIN(300,MAX(1,D1251)),0), FactorTable!$A$2:$A$301,0), Skills!M19+1)</f>
        <v/>
      </c>
      <c r="F1251">
        <f>IF(Skills!N19=TRUE,(Skills!L19/10)*(E1251/1000),Skills!L19/10)+Skills!O19</f>
        <v/>
      </c>
      <c r="G1251">
        <f>Skills!G19*IF(Skills!H19&gt;0,Skills!I19/Skills!H19,1)</f>
        <v/>
      </c>
      <c r="H1251">
        <f>1-(1-Skills!J19/100)^Skills!K19</f>
        <v/>
      </c>
      <c r="I1251" t="inlineStr">
        <is>
          <t>1</t>
        </is>
      </c>
      <c r="J1251" t="inlineStr"/>
      <c r="K1251" t="inlineStr"/>
      <c r="L1251" t="inlineStr"/>
      <c r="M1251" t="inlineStr"/>
      <c r="N1251" t="inlineStr"/>
      <c r="O1251">
        <f>(1-Summary!$B$11)*T1251+Summary!$B$11*V1251</f>
        <v/>
      </c>
      <c r="P1251">
        <f>IF(B1272=0,0,O1251/B1272)</f>
        <v/>
      </c>
      <c r="Q1251" t="n">
        <v>0</v>
      </c>
      <c r="R1251" t="n">
        <v>0</v>
      </c>
      <c r="S1251">
        <f>IFERROR(O1251/N1251,0)</f>
        <v/>
      </c>
      <c r="T1251" t="n">
        <v>0</v>
      </c>
      <c r="V1251" t="n">
        <v>0</v>
      </c>
    </row>
    <row r="1252">
      <c r="A1252">
        <f>Skills!A20</f>
        <v/>
      </c>
      <c r="B1252">
        <f>Skills!B20</f>
        <v/>
      </c>
      <c r="C1252">
        <f>Inputs!$B$3&gt;=10</f>
        <v/>
      </c>
      <c r="D1252">
        <f>IF(Skills!C20=1,60+Inputs!$B$25+Inputs!$B$29,IF(Skills!C20=2,90+Inputs!$B$26+Inputs!$B$29,IF(Skills!C20=3,120+Inputs!$B$27+Inputs!$B$29,MAX(0,(Inputs!$B$3-100)*3)+Inputs!$B$28+Inputs!$B$29)))</f>
        <v/>
      </c>
      <c r="E1252">
        <f>INDEX(FactorTable!$B$2:$Y$301, MATCH(ROUND(MIN(300,MAX(1,D1252)),0), FactorTable!$A$2:$A$301,0), Skills!M20+1)</f>
        <v/>
      </c>
      <c r="F1252">
        <f>IF(Skills!N20=TRUE,(Skills!L20/10)*(E1252/1000),Skills!L20/10)+Skills!O20</f>
        <v/>
      </c>
      <c r="G1252">
        <f>Skills!G20*IF(Skills!H20&gt;0,Skills!I20/Skills!H20,1)</f>
        <v/>
      </c>
      <c r="H1252">
        <f>1-(1-Skills!J20/100)^Skills!K20</f>
        <v/>
      </c>
      <c r="I1252" t="inlineStr">
        <is>
          <t>1</t>
        </is>
      </c>
      <c r="J1252" t="inlineStr"/>
      <c r="K1252" t="inlineStr"/>
      <c r="L1252" t="inlineStr"/>
      <c r="M1252" t="inlineStr"/>
      <c r="N1252" t="inlineStr"/>
      <c r="O1252">
        <f>(1-Summary!$B$11)*T1252+Summary!$B$11*V1252</f>
        <v/>
      </c>
      <c r="P1252">
        <f>IF(B1272=0,0,O1252/B1272)</f>
        <v/>
      </c>
      <c r="Q1252" t="n">
        <v>0</v>
      </c>
      <c r="R1252" t="n">
        <v>0</v>
      </c>
      <c r="S1252">
        <f>IFERROR(O1252/N1252,0)</f>
        <v/>
      </c>
      <c r="T1252" t="n">
        <v>0</v>
      </c>
      <c r="V1252" t="n">
        <v>0</v>
      </c>
    </row>
    <row r="1253">
      <c r="A1253">
        <f>Skills!A21</f>
        <v/>
      </c>
      <c r="B1253">
        <f>Skills!B21</f>
        <v/>
      </c>
      <c r="C1253">
        <f>Inputs!$B$3&gt;=33</f>
        <v/>
      </c>
      <c r="D1253">
        <f>IF(Skills!C21=1,60+Inputs!$B$25+Inputs!$B$29,IF(Skills!C21=2,90+Inputs!$B$26+Inputs!$B$29,IF(Skills!C21=3,120+Inputs!$B$27+Inputs!$B$29,MAX(0,(Inputs!$B$3-100)*3)+Inputs!$B$28+Inputs!$B$29)))</f>
        <v/>
      </c>
      <c r="E1253">
        <f>INDEX(FactorTable!$B$2:$Y$301, MATCH(ROUND(MIN(300,MAX(1,D1253)),0), FactorTable!$A$2:$A$301,0), Skills!M21+1)</f>
        <v/>
      </c>
      <c r="F1253">
        <f>IF(Skills!N21=TRUE,(Skills!L21/10)*(E1253/1000),Skills!L21/10)+Skills!O21</f>
        <v/>
      </c>
      <c r="G1253">
        <f>Skills!G21*IF(Skills!H21&gt;0,Skills!I21/Skills!H21,1)</f>
        <v/>
      </c>
      <c r="H1253">
        <f>1-(1-Skills!J21/100)^Skills!K21</f>
        <v/>
      </c>
      <c r="I1253" t="inlineStr">
        <is>
          <t>1</t>
        </is>
      </c>
      <c r="J1253" t="inlineStr"/>
      <c r="K1253" t="inlineStr"/>
      <c r="L1253" t="inlineStr"/>
      <c r="M1253" t="inlineStr"/>
      <c r="N1253" t="inlineStr"/>
      <c r="O1253">
        <f>(1-Summary!$B$11)*T1253+Summary!$B$11*V1253</f>
        <v/>
      </c>
      <c r="P1253">
        <f>IF(B1272=0,0,O1253/B1272)</f>
        <v/>
      </c>
      <c r="Q1253" t="n">
        <v>0</v>
      </c>
      <c r="R1253" t="n">
        <v>0</v>
      </c>
      <c r="S1253">
        <f>IFERROR(O1253/N1253,0)</f>
        <v/>
      </c>
      <c r="T1253" t="n">
        <v>0</v>
      </c>
      <c r="V1253" t="n">
        <v>0</v>
      </c>
    </row>
    <row r="1254">
      <c r="A1254">
        <f>Skills!A22</f>
        <v/>
      </c>
      <c r="B1254">
        <f>Skills!B22</f>
        <v/>
      </c>
      <c r="C1254">
        <f>Inputs!$B$3&gt;=43</f>
        <v/>
      </c>
      <c r="D1254">
        <f>IF(Skills!C22=1,60+Inputs!$B$25+Inputs!$B$29,IF(Skills!C22=2,90+Inputs!$B$26+Inputs!$B$29,IF(Skills!C22=3,120+Inputs!$B$27+Inputs!$B$29,MAX(0,(Inputs!$B$3-100)*3)+Inputs!$B$28+Inputs!$B$29)))</f>
        <v/>
      </c>
      <c r="E1254">
        <f>INDEX(FactorTable!$B$2:$Y$301, MATCH(ROUND(MIN(300,MAX(1,D1254)),0), FactorTable!$A$2:$A$301,0), Skills!M22+1)</f>
        <v/>
      </c>
      <c r="F1254">
        <f>IF(Skills!N22=TRUE,(Skills!L22/10)*(E1254/1000),Skills!L22/10)+Skills!O22</f>
        <v/>
      </c>
      <c r="G1254">
        <f>Skills!G22*IF(Skills!H22&gt;0,Skills!I22/Skills!H22,1)</f>
        <v/>
      </c>
      <c r="H1254">
        <f>1-(1-Skills!J22/100)^Skills!K22</f>
        <v/>
      </c>
      <c r="I1254" t="inlineStr">
        <is>
          <t>1</t>
        </is>
      </c>
      <c r="J1254" t="inlineStr"/>
      <c r="K1254" t="inlineStr"/>
      <c r="L1254" t="inlineStr"/>
      <c r="M1254" t="inlineStr"/>
      <c r="N1254" t="inlineStr"/>
      <c r="O1254">
        <f>(1-Summary!$B$11)*T1254+Summary!$B$11*V1254</f>
        <v/>
      </c>
      <c r="P1254">
        <f>IF(B1272=0,0,O1254/B1272)</f>
        <v/>
      </c>
      <c r="Q1254" t="n">
        <v>0</v>
      </c>
      <c r="R1254" t="n">
        <v>0</v>
      </c>
      <c r="S1254">
        <f>IFERROR(O1254/N1254,0)</f>
        <v/>
      </c>
      <c r="T1254" t="n">
        <v>0</v>
      </c>
      <c r="V1254" t="n">
        <v>0</v>
      </c>
    </row>
    <row r="1255">
      <c r="A1255">
        <f>Skills!A23</f>
        <v/>
      </c>
      <c r="B1255">
        <f>Skills!B23</f>
        <v/>
      </c>
      <c r="C1255">
        <f>Inputs!$B$3&gt;=38</f>
        <v/>
      </c>
      <c r="D1255">
        <f>IF(Skills!C23=1,60+Inputs!$B$25+Inputs!$B$29,IF(Skills!C23=2,90+Inputs!$B$26+Inputs!$B$29,IF(Skills!C23=3,120+Inputs!$B$27+Inputs!$B$29,MAX(0,(Inputs!$B$3-100)*3)+Inputs!$B$28+Inputs!$B$29)))</f>
        <v/>
      </c>
      <c r="E1255">
        <f>INDEX(FactorTable!$B$2:$Y$301, MATCH(ROUND(MIN(300,MAX(1,D1255)),0), FactorTable!$A$2:$A$301,0), Skills!M23+1)</f>
        <v/>
      </c>
      <c r="F1255">
        <f>IF(Skills!N23=TRUE,(Skills!L23/10)*(E1255/1000),Skills!L23/10)+Skills!O23</f>
        <v/>
      </c>
      <c r="G1255">
        <f>Skills!G23*IF(Skills!H23&gt;0,Skills!I23/Skills!H23,1)</f>
        <v/>
      </c>
      <c r="H1255">
        <f>1-(1-Skills!J23/100)^Skills!K23</f>
        <v/>
      </c>
      <c r="I1255" t="inlineStr">
        <is>
          <t>1</t>
        </is>
      </c>
      <c r="J1255" t="inlineStr"/>
      <c r="K1255" t="inlineStr"/>
      <c r="L1255" t="inlineStr"/>
      <c r="M1255" t="inlineStr"/>
      <c r="N1255" t="inlineStr"/>
      <c r="O1255">
        <f>(1-Summary!$B$11)*T1255+Summary!$B$11*V1255</f>
        <v/>
      </c>
      <c r="P1255">
        <f>IF(B1272=0,0,O1255/B1272)</f>
        <v/>
      </c>
      <c r="Q1255" t="n">
        <v>0</v>
      </c>
      <c r="R1255" t="n">
        <v>0</v>
      </c>
      <c r="S1255">
        <f>IFERROR(O1255/N1255,0)</f>
        <v/>
      </c>
      <c r="T1255" t="n">
        <v>0</v>
      </c>
      <c r="V1255" t="n">
        <v>0</v>
      </c>
    </row>
    <row r="1256">
      <c r="A1256">
        <f>Skills!A24</f>
        <v/>
      </c>
      <c r="B1256">
        <f>Skills!B24</f>
        <v/>
      </c>
      <c r="C1256">
        <f>Inputs!$B$3&gt;=40</f>
        <v/>
      </c>
      <c r="D1256">
        <f>IF(Skills!C24=1,60+Inputs!$B$25+Inputs!$B$29,IF(Skills!C24=2,90+Inputs!$B$26+Inputs!$B$29,IF(Skills!C24=3,120+Inputs!$B$27+Inputs!$B$29,MAX(0,(Inputs!$B$3-100)*3)+Inputs!$B$28+Inputs!$B$29)))</f>
        <v/>
      </c>
      <c r="E1256">
        <f>INDEX(FactorTable!$B$2:$Y$301, MATCH(ROUND(MIN(300,MAX(1,D1256)),0), FactorTable!$A$2:$A$301,0), Skills!M24+1)</f>
        <v/>
      </c>
      <c r="F1256">
        <f>IF(Skills!N24=TRUE,(Skills!L24/10)*(E1256/1000),Skills!L24/10)+Skills!O24</f>
        <v/>
      </c>
      <c r="G1256">
        <f>Skills!G24*IF(Skills!H24&gt;0,Skills!I24/Skills!H24,1)</f>
        <v/>
      </c>
      <c r="H1256">
        <f>1-(1-Skills!J24/100)^Skills!K24</f>
        <v/>
      </c>
      <c r="I1256" t="inlineStr">
        <is>
          <t>1</t>
        </is>
      </c>
      <c r="J1256" t="inlineStr"/>
      <c r="K1256" t="inlineStr"/>
      <c r="L1256" t="inlineStr"/>
      <c r="M1256" t="inlineStr"/>
      <c r="N1256" t="inlineStr"/>
      <c r="O1256">
        <f>(1-Summary!$B$11)*T1256+Summary!$B$11*V1256</f>
        <v/>
      </c>
      <c r="P1256">
        <f>IF(B1272=0,0,O1256/B1272)</f>
        <v/>
      </c>
      <c r="Q1256" t="n">
        <v>0</v>
      </c>
      <c r="R1256" t="n">
        <v>0</v>
      </c>
      <c r="S1256">
        <f>IFERROR(O1256/N1256,0)</f>
        <v/>
      </c>
      <c r="T1256" t="n">
        <v>0</v>
      </c>
      <c r="V1256" t="n">
        <v>0</v>
      </c>
    </row>
    <row r="1257">
      <c r="A1257">
        <f>Skills!A25</f>
        <v/>
      </c>
      <c r="B1257">
        <f>Skills!B25</f>
        <v/>
      </c>
      <c r="C1257">
        <f>Inputs!$B$3&gt;=72</f>
        <v/>
      </c>
      <c r="D1257">
        <f>IF(Skills!C25=1,60+Inputs!$B$25+Inputs!$B$29,IF(Skills!C25=2,90+Inputs!$B$26+Inputs!$B$29,IF(Skills!C25=3,120+Inputs!$B$27+Inputs!$B$29,MAX(0,(Inputs!$B$3-100)*3)+Inputs!$B$28+Inputs!$B$29)))</f>
        <v/>
      </c>
      <c r="E1257">
        <f>INDEX(FactorTable!$B$2:$Y$301, MATCH(ROUND(MIN(300,MAX(1,D1257)),0), FactorTable!$A$2:$A$301,0), Skills!M25+1)</f>
        <v/>
      </c>
      <c r="F1257">
        <f>IF(Skills!N25=TRUE,(Skills!L25/10)*(E1257/1000),Skills!L25/10)+Skills!O25</f>
        <v/>
      </c>
      <c r="G1257">
        <f>Skills!G25*IF(Skills!H25&gt;0,Skills!I25/Skills!H25,1)</f>
        <v/>
      </c>
      <c r="H1257">
        <f>1-(1-Skills!J25/100)^Skills!K25</f>
        <v/>
      </c>
      <c r="I1257" t="inlineStr">
        <is>
          <t>1</t>
        </is>
      </c>
      <c r="J1257" t="inlineStr"/>
      <c r="K1257" t="inlineStr"/>
      <c r="L1257" t="inlineStr"/>
      <c r="M1257" t="inlineStr"/>
      <c r="N1257" t="inlineStr"/>
      <c r="O1257">
        <f>(1-Summary!$B$11)*T1257+Summary!$B$11*V1257</f>
        <v/>
      </c>
      <c r="P1257">
        <f>IF(B1272=0,0,O1257/B1272)</f>
        <v/>
      </c>
      <c r="Q1257" t="n">
        <v>0</v>
      </c>
      <c r="R1257" t="n">
        <v>0</v>
      </c>
      <c r="S1257">
        <f>IFERROR(O1257/N1257,0)</f>
        <v/>
      </c>
      <c r="T1257" t="n">
        <v>0</v>
      </c>
      <c r="V1257" t="n">
        <v>0</v>
      </c>
    </row>
    <row r="1258">
      <c r="A1258">
        <f>Skills!A26</f>
        <v/>
      </c>
      <c r="B1258">
        <f>Skills!B26</f>
        <v/>
      </c>
      <c r="C1258">
        <f>Inputs!$B$3&gt;=75</f>
        <v/>
      </c>
      <c r="D1258">
        <f>IF(Skills!C26=1,60+Inputs!$B$25+Inputs!$B$29,IF(Skills!C26=2,90+Inputs!$B$26+Inputs!$B$29,IF(Skills!C26=3,120+Inputs!$B$27+Inputs!$B$29,MAX(0,(Inputs!$B$3-100)*3)+Inputs!$B$28+Inputs!$B$29)))</f>
        <v/>
      </c>
      <c r="E1258">
        <f>INDEX(FactorTable!$B$2:$Y$301, MATCH(ROUND(MIN(300,MAX(1,D1258)),0), FactorTable!$A$2:$A$301,0), Skills!M26+1)</f>
        <v/>
      </c>
      <c r="F1258">
        <f>IF(Skills!N26=TRUE,(Skills!L26/10)*(E1258/1000),Skills!L26/10)+Skills!O26</f>
        <v/>
      </c>
      <c r="G1258">
        <f>Skills!G26*IF(Skills!H26&gt;0,Skills!I26/Skills!H26,1)</f>
        <v/>
      </c>
      <c r="H1258">
        <f>1-(1-Skills!J26/100)^Skills!K26</f>
        <v/>
      </c>
      <c r="I1258" t="inlineStr">
        <is>
          <t>1</t>
        </is>
      </c>
      <c r="J1258" t="inlineStr"/>
      <c r="K1258" t="inlineStr"/>
      <c r="L1258" t="inlineStr"/>
      <c r="M1258" t="inlineStr"/>
      <c r="N1258" t="inlineStr"/>
      <c r="O1258">
        <f>(1-Summary!$B$11)*T1258+Summary!$B$11*V1258</f>
        <v/>
      </c>
      <c r="P1258">
        <f>IF(B1272=0,0,O1258/B1272)</f>
        <v/>
      </c>
      <c r="Q1258" t="n">
        <v>0</v>
      </c>
      <c r="R1258" t="n">
        <v>0</v>
      </c>
      <c r="S1258">
        <f>IFERROR(O1258/N1258,0)</f>
        <v/>
      </c>
      <c r="T1258" t="n">
        <v>0</v>
      </c>
      <c r="V1258" t="n">
        <v>0</v>
      </c>
    </row>
    <row r="1259">
      <c r="A1259">
        <f>Skills!A27</f>
        <v/>
      </c>
      <c r="B1259">
        <f>Skills!B27</f>
        <v/>
      </c>
      <c r="C1259">
        <f>Inputs!$B$3&gt;=117</f>
        <v/>
      </c>
      <c r="D1259">
        <f>IF(Skills!C27=1,60+Inputs!$B$25+Inputs!$B$29,IF(Skills!C27=2,90+Inputs!$B$26+Inputs!$B$29,IF(Skills!C27=3,120+Inputs!$B$27+Inputs!$B$29,MAX(0,(Inputs!$B$3-100)*3)+Inputs!$B$28+Inputs!$B$29)))</f>
        <v/>
      </c>
      <c r="E1259">
        <f>INDEX(FactorTable!$B$2:$Y$301, MATCH(ROUND(MIN(300,MAX(1,D1259)),0), FactorTable!$A$2:$A$301,0), Skills!M27+1)</f>
        <v/>
      </c>
      <c r="F1259">
        <f>IF(Skills!N27=TRUE,(Skills!L27/10)*(E1259/1000),Skills!L27/10)+Skills!O27</f>
        <v/>
      </c>
      <c r="G1259">
        <f>Skills!G27*IF(Skills!H27&gt;0,Skills!I27/Skills!H27,1)</f>
        <v/>
      </c>
      <c r="H1259">
        <f>1-(1-Skills!J27/100)^Skills!K27</f>
        <v/>
      </c>
      <c r="I1259" t="inlineStr">
        <is>
          <t>1</t>
        </is>
      </c>
      <c r="J1259" t="inlineStr"/>
      <c r="K1259" t="inlineStr"/>
      <c r="L1259" t="inlineStr"/>
      <c r="M1259" t="inlineStr"/>
      <c r="N1259" t="inlineStr"/>
      <c r="O1259">
        <f>(1-Summary!$B$11)*T1259+Summary!$B$11*V1259</f>
        <v/>
      </c>
      <c r="P1259">
        <f>IF(B1272=0,0,O1259/B1272)</f>
        <v/>
      </c>
      <c r="Q1259" t="n">
        <v>0</v>
      </c>
      <c r="R1259" t="n">
        <v>0</v>
      </c>
      <c r="S1259">
        <f>IFERROR(O1259/N1259,0)</f>
        <v/>
      </c>
      <c r="T1259" t="n">
        <v>0</v>
      </c>
      <c r="V1259" t="n">
        <v>0</v>
      </c>
    </row>
    <row r="1261">
      <c r="A1261" t="inlineStr">
        <is>
          <t>Attack% Bucket Multiplier</t>
        </is>
      </c>
      <c r="B1261">
        <f>(1+(((C1249=TRUE)*F1249)+((C1256=TRUE)*(F1256-Calc!F24))+(IF(ArtifactsInput!$M$21,CHOOSE(ArtifactsInput!$N$21+1,25,30,35,40,45,50)*(IF(OR(Inputs!$B$4="Chapter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62">
      <c r="A1262" t="inlineStr">
        <is>
          <t>Global Crit Rate Bonus %</t>
        </is>
      </c>
      <c r="B1262" t="n">
        <v>0</v>
      </c>
    </row>
    <row r="1263">
      <c r="A1263" t="inlineStr">
        <is>
          <t>Attack Speed Buff Bonus % (unused)</t>
        </is>
      </c>
      <c r="B1263" t="n">
        <v>0</v>
      </c>
    </row>
    <row r="1264">
      <c r="A1264" t="inlineStr">
        <is>
          <t>Actions Per Second</t>
        </is>
      </c>
      <c r="B1264">
        <f>1+MIN(150,150*(1-(1-(Inputs!$B$11+((C1252=TRUE)*(F1252-Calc!F20))+((C1253=TRUE)*(F1253-Calc!F21)))/150)*(1-B1263/150)))/100</f>
        <v/>
      </c>
    </row>
    <row r="1265">
      <c r="A1265" t="inlineStr">
        <is>
          <t>Skill + Buff Cast Rate</t>
        </is>
      </c>
      <c r="B1265">
        <f>IF(AND(Inputs!$B$38&lt;&gt;"pvp",Inputs!$B$43&gt;0),SUMPRODUCT((Skills!E2:E27=TRUE)*(C1234:C1259=TRUE)*R1234:R1259*Skills!F2:F27)/Inputs!$B$43,SUMPRODUCT((Skills!E2:E27=TRUE)*(C1234:C1259=TRUE)*Q1234:Q1259*Skills!F2:F27))</f>
        <v/>
      </c>
    </row>
    <row r="1266">
      <c r="A1266" t="inlineStr">
        <is>
          <t>Eight-Legs Easton Casts Per Second</t>
        </is>
      </c>
      <c r="B1266">
        <f>MAX(0,B1264-B1265)</f>
        <v/>
      </c>
    </row>
    <row r="1267">
      <c r="A1267" t="inlineStr">
        <is>
          <t>Global Critical Damage Bonus % (unused)</t>
        </is>
      </c>
      <c r="B1267" t="n">
        <v>0</v>
      </c>
    </row>
    <row r="1268">
      <c r="A1268" t="inlineStr">
        <is>
          <t>Global Final Damage Bonus % (Jolly Roger only)</t>
        </is>
      </c>
      <c r="B1268">
        <f>((C1250=TRUE)*F1250)</f>
        <v/>
      </c>
    </row>
    <row r="1269">
      <c r="A1269" t="inlineStr">
        <is>
          <t>Buff-Casting Startup Delay (s, fixed-duration only)</t>
        </is>
      </c>
      <c r="B1269">
        <f>IF(AND(Inputs!$B$38&lt;&gt;"pvp",Inputs!$B$43&gt;0),SUMPRODUCT((Skills!T2:T27&gt;0)*(Skills!E2:E27=TRUE)*(C1234:C1259=TRUE))/B1264,0)</f>
        <v/>
      </c>
    </row>
    <row r="1270">
      <c r="A1270" t="inlineStr">
        <is>
          <t>Boss-Only Total DPS (this block's swept value)</t>
        </is>
      </c>
      <c r="B1270">
        <f>SUM(T1234:T1259)</f>
        <v/>
      </c>
    </row>
    <row r="1271">
      <c r="A1271" t="inlineStr">
        <is>
          <t>Normal-Only Total DPS (this block's swept value)</t>
        </is>
      </c>
      <c r="B1271">
        <f>SUM(V1234:V1259)</f>
        <v/>
      </c>
    </row>
    <row r="1272">
      <c r="A1272" s="6" t="inlineStr">
        <is>
          <t>TOTAL DPS</t>
        </is>
      </c>
      <c r="B1272" s="6">
        <f>SUM(O1234:O1259)</f>
        <v/>
      </c>
    </row>
    <row r="1275">
      <c r="A1275" s="6" t="inlineStr">
        <is>
          <t>Stat: Shamaness Marble (Equip)</t>
        </is>
      </c>
    </row>
    <row r="1276">
      <c r="A1276" s="5" t="inlineStr">
        <is>
          <t>Key</t>
        </is>
      </c>
      <c r="B1276" s="5" t="inlineStr">
        <is>
          <t>Name</t>
        </is>
      </c>
      <c r="C1276" s="5" t="inlineStr">
        <is>
          <t>Unlocked</t>
        </is>
      </c>
      <c r="D1276" s="5" t="inlineStr">
        <is>
          <t>InputLevel</t>
        </is>
      </c>
      <c r="E1276" s="5" t="inlineStr">
        <is>
          <t>Factor</t>
        </is>
      </c>
      <c r="F1276" s="5" t="inlineStr">
        <is>
          <t>CoefficientPercent</t>
        </is>
      </c>
      <c r="G1276" s="5" t="inlineStr">
        <is>
          <t>EffectiveHits</t>
        </is>
      </c>
      <c r="H1276" s="5" t="inlineStr">
        <is>
          <t>ProcProbability</t>
        </is>
      </c>
      <c r="I1276" s="5" t="inlineStr">
        <is>
          <t>MapleHeroMultiplier</t>
        </is>
      </c>
      <c r="J1276" s="5" t="inlineStr">
        <is>
          <t>BaseDamage</t>
        </is>
      </c>
      <c r="K1276" s="5" t="inlineStr">
        <is>
          <t>BaseHitDamage</t>
        </is>
      </c>
      <c r="L1276" s="5" t="inlineStr">
        <is>
          <t>NonCritAvg</t>
        </is>
      </c>
      <c r="M1276" s="5" t="inlineStr">
        <is>
          <t>CritAvg</t>
        </is>
      </c>
      <c r="N1276" s="5" t="inlineStr">
        <is>
          <t>ExpectedDamage(perHit)</t>
        </is>
      </c>
      <c r="O1276" s="5" t="inlineStr">
        <is>
          <t>DPS</t>
        </is>
      </c>
      <c r="P1276" s="5" t="inlineStr">
        <is>
          <t>% of Total</t>
        </is>
      </c>
      <c r="Q1276" s="5" t="inlineStr">
        <is>
          <t>InvCooldown</t>
        </is>
      </c>
      <c r="R1276" s="5" t="inlineStr">
        <is>
          <t>CastsInFight</t>
        </is>
      </c>
      <c r="S1276" s="5" t="inlineStr">
        <is>
          <t>HitRate(perSec)</t>
        </is>
      </c>
      <c r="U1276" t="inlineStr">
        <is>
          <t>helpers</t>
        </is>
      </c>
    </row>
    <row r="1277">
      <c r="A1277">
        <f>Skills!A2</f>
        <v/>
      </c>
      <c r="B1277">
        <f>Skills!B2</f>
        <v/>
      </c>
      <c r="C1277">
        <f>Inputs!$B$3&gt;=100</f>
        <v/>
      </c>
      <c r="D1277" t="inlineStr"/>
      <c r="E1277" t="inlineStr"/>
      <c r="F1277">
        <f>U1279+Skills!O2</f>
        <v/>
      </c>
      <c r="G1277">
        <f>Skills!G2*IF(Skills!H2&gt;0,Skills!I2/Skills!H2,1)</f>
        <v/>
      </c>
      <c r="H1277">
        <f>1-(1-Skills!J2/100)^Skills!K2</f>
        <v/>
      </c>
      <c r="I1277" t="inlineStr">
        <is>
          <t>1</t>
        </is>
      </c>
      <c r="J1277">
        <f>((Inputs!$B$6*(1+Inputs!$B$7/100))+(((Inputs!$B$12*(1+Inputs!$B$13/100))-(Inputs!$B$12*(1+Inputs!$B$13/100)))+0.25*(Inputs!$B$14-Inputs!$B$14))*(1+Inputs!$B$7/100))*(F1277/100)</f>
        <v/>
      </c>
      <c r="K1277">
        <f>J1277*(1+((Inputs!$B$12*(1+Inputs!$B$13/100))*0.01+Inputs!$B$14*0.0025)/100)*(1+Inputs!$B$15/100)*(1+Inputs!$B$16/100)*(5000/(6000+Inputs!$B$42*(1-(100*(1-(1-(Inputs!$B$19+0)/100)*(1-CHOOSE(ArtifactsInput!$N$40+1,5,6,7,8,9,10)/100)^(ArtifactsInput!$M$40-ArtifactsInput!$M$40)))/100)))*(1+(Inputs!$B$24+((C1301=TRUE)*(F1301-Calc!F26))+B1311)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1298=TRUE)*(F1298-Calc!F23))+((C1302=TRUE)*(F1302-Calc!F27))+(((IF(AND(ArtifactsInput!$M$42,((Inputs!$B$9+((C1294=TRUE)*(F1294-Calc!F19))+B1305+(ArtifactsInput!$M$24-ArtifactsInput!$M$24)*CHOOSE(ArtifactsInput!$N$24+1,10,12,14,16,18,20)+IF(ArtifactsInput!$M$10,CHOOSE(ArtifactsInput!$N$10+1,15,18,21,24,27,30)*(IF(Inputs!$B$38="pvp",MIN(15,15)/15,IF(AND(Inputs!$B$38&lt;&gt;"pvp",Inputs!$B$43&gt;0),MIN(15,Inputs!$B$43)/(Inputs!$B$43),0))),0)))&gt;=100),MIN(100,((Inputs!$B$9+((C1294=TRUE)*(F1294-Calc!F19))+B1305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1294=TRUE)*(F1294-Calc!F19))+B1305+(ArtifactsInput!$M$24-ArtifactsInput!$M$24)*CHOOSE(ArtifactsInput!$N$24+1,10,12,14,16,18,20)+IF(ArtifactsInput!$M$10,CHOOSE(ArtifactsInput!$N$10+1,15,18,21,24,27,30)*(IF(Inputs!$B$38="pvp",MIN(15,15)/15,IF(AND(Inputs!$B$38&lt;&gt;"pvp",Inputs!$B$43&gt;0),MIN(15,Inputs!$B$43)/(Inputs!$B$43),0))),0)))&gt;=100),CHOOSE(ArtifactsInput!$N$42+1,40,48,56,64,72,80),0))))/100)*((1+(((C1292=TRUE)*F1292)+((C1299=TRUE)*(F1299-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1277)</f>
        <v/>
      </c>
      <c r="L1277">
        <f>K1277*(MIN(Inputs!$B$22+((C1297=TRUE)*(F1297-Calc!F22)),(Inputs!$B$23+0+(IF(ArtifactsInput!$M$15,CHOOSE(ArtifactsInput!$N$15+1,25,30,35,40,45,50)/100*(Inputs!$B$11-Inputs!$B$11),0))))/100+(Inputs!$B$23+0+(IF(ArtifactsInput!$M$15,CHOOSE(ArtifactsInput!$N$15+1,25,30,35,40,45,50)/100*(Inputs!$B$11-Inputs!$B$11),0)))/100)/2</f>
        <v/>
      </c>
      <c r="M1277">
        <f>L1277*(1+(Inputs!$B$10+((C1300=TRUE)*(F1300-Calc!F25))+B1310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7">
        <f>L1277*(1-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1277*(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7">
        <f>(1-Summary!$B$11)*T1277+Summary!$B$11*V1277</f>
        <v/>
      </c>
      <c r="P1277">
        <f>IF(B1315=0,0,O1277/B1315)</f>
        <v/>
      </c>
      <c r="Q1277" t="n">
        <v>0</v>
      </c>
      <c r="R1277" t="n">
        <v>0</v>
      </c>
      <c r="S1277">
        <f>IFERROR(O1277/N1277,0)</f>
        <v/>
      </c>
      <c r="T1277">
        <f>IF(C1277,(Skills!G2*N1277*B1309)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1277*(1-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1277*(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1277*(1-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1277*(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7">
        <f>MAX(0,(Inputs!$B$3-100)*3)+Inputs!$B$28+Inputs!$B$29</f>
        <v/>
      </c>
      <c r="V1277">
        <f>IF(C1277,(Skills!G2*N1277*B1309)*IF(Inputs!$B$38="pvp",1,(1+(Inputs!$B$21+Skills!Q2+(IF(ArtifactsInput!$M$33,CHOOSE(ArtifactsInput!$N$33+1,30,36,42,48,54,60),0))+(IF(AND(ArtifactsInput!$M$35,Inputs!$B$4&lt;&gt;"Chapter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8">
      <c r="A1278">
        <f>Skills!A3</f>
        <v/>
      </c>
      <c r="B1278">
        <f>Skills!B3</f>
        <v/>
      </c>
      <c r="C1278">
        <f>Inputs!$B$3&gt;=35</f>
        <v/>
      </c>
      <c r="D1278">
        <f>IF(Skills!C3=1,60+Inputs!$B$25+Inputs!$B$29,IF(Skills!C3=2,90+Inputs!$B$26+Inputs!$B$29,IF(Skills!C3=3,120+Inputs!$B$27+Inputs!$B$29,MAX(0,(Inputs!$B$3-100)*3)+Inputs!$B$28+Inputs!$B$29)))</f>
        <v/>
      </c>
      <c r="E1278">
        <f>INDEX(FactorTable!$B$2:$Y$301, MATCH(ROUND(MIN(300,MAX(1,D1278)),0), FactorTable!$A$2:$A$301,0), Skills!M3+1)</f>
        <v/>
      </c>
      <c r="F1278">
        <f>IF(Skills!N3=TRUE,(Skills!L3/10)*(E1278/1000),Skills!L3/10)+Skills!O3</f>
        <v/>
      </c>
      <c r="G1278">
        <f>Skills!G3*IF(Skills!H3&gt;0,Skills!I3/Skills!H3,1)</f>
        <v/>
      </c>
      <c r="H1278">
        <f>1-(1-Skills!J3/100)^Skills!K3</f>
        <v/>
      </c>
      <c r="I1278" t="inlineStr">
        <is>
          <t>1</t>
        </is>
      </c>
      <c r="J1278">
        <f>((Inputs!$B$6*(1+Inputs!$B$7/100))+(((Inputs!$B$12*(1+Inputs!$B$13/100))-(Inputs!$B$12*(1+Inputs!$B$13/100)))+0.25*(Inputs!$B$14-Inputs!$B$14))*(1+Inputs!$B$7/100))*(F1278/100)</f>
        <v/>
      </c>
      <c r="K1278">
        <f>J1278*(1+((Inputs!$B$12*(1+Inputs!$B$13/100))*0.01+Inputs!$B$14*0.0025)/100)*(1+Inputs!$B$15/100)*(1+Inputs!$B$16/100)*(5000/(6000+Inputs!$B$42*(1-(100*(1-(1-(Inputs!$B$19+0)/100)*(1-CHOOSE(ArtifactsInput!$N$40+1,5,6,7,8,9,10)/100)^(ArtifactsInput!$M$40-ArtifactsInput!$M$40)))/100)))*(1+(Inputs!$B$24+((C1301=TRUE)*(F1301-Calc!F26))+B1311)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1290=TRUE,F1290,0)/100)*(1+(IF(Skills!A3="EIGHT_LEGS_EASTON",Inputs!$B$17+((C1298=TRUE)*(F1298-Calc!F23))+((C1302=TRUE)*(F1302-Calc!F27))+(((IF(AND(ArtifactsInput!$M$42,((Inputs!$B$9+((C1294=TRUE)*(F1294-Calc!F19))+B1305+(ArtifactsInput!$M$24-ArtifactsInput!$M$24)*CHOOSE(ArtifactsInput!$N$24+1,10,12,14,16,18,20)+IF(ArtifactsInput!$M$10,CHOOSE(ArtifactsInput!$N$10+1,15,18,21,24,27,30)*(IF(Inputs!$B$38="pvp",MIN(15,15)/15,IF(AND(Inputs!$B$38&lt;&gt;"pvp",Inputs!$B$43&gt;0),MIN(15,Inputs!$B$43)/(Inputs!$B$43),0))),0)))&gt;=100),MIN(100,((Inputs!$B$9+((C1294=TRUE)*(F1294-Calc!F19))+B1305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1294=TRUE)*(F1294-Calc!F19))+B1305+(ArtifactsInput!$M$24-ArtifactsInput!$M$24)*CHOOSE(ArtifactsInput!$N$24+1,10,12,14,16,18,20)+IF(ArtifactsInput!$M$10,CHOOSE(ArtifactsInput!$N$10+1,15,18,21,24,27,30)*(IF(Inputs!$B$38="pvp",MIN(15,15)/15,IF(AND(Inputs!$B$38&lt;&gt;"pvp",Inputs!$B$43&gt;0),MIN(15,Inputs!$B$43)/(Inputs!$B$43),0))),0)))&gt;=100),CHOOSE(ArtifactsInput!$N$42+1,40,48,56,64,72,80),0))))/100)*((1+(((C1292=TRUE)*F1292)+((C1299=TRUE)*(F1299-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1278)</f>
        <v/>
      </c>
      <c r="L1278">
        <f>K1278*(MIN(Inputs!$B$22+((C1297=TRUE)*(F1297-Calc!F22)),(Inputs!$B$23+0+(IF(ArtifactsInput!$M$15,CHOOSE(ArtifactsInput!$N$15+1,25,30,35,40,45,50)/100*(Inputs!$B$11-Inputs!$B$11),0))))/100+(Inputs!$B$23+0+(IF(ArtifactsInput!$M$15,CHOOSE(ArtifactsInput!$N$15+1,25,30,35,40,45,50)/100*(Inputs!$B$11-Inputs!$B$11),0)))/100)/2</f>
        <v/>
      </c>
      <c r="M1278">
        <f>L1278*(1+(Inputs!$B$10+((C1300=TRUE)*(F1300-Calc!F25))+B1310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8">
        <f>L1278*(1-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1278*(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8">
        <f>(1-Summary!$B$11)*T1278+Summary!$B$11*V1278</f>
        <v/>
      </c>
      <c r="P1278">
        <f>IF(B1315=0,0,O1278/B1315)</f>
        <v/>
      </c>
      <c r="Q1278">
        <f>IFERROR(1/(IF(Inputs!$B$38="pvp",15,MAX(0.1,Skills!D3-IF(Skills!E3=TRUE,Inputs!$B$32,0)))*(1-IF(AND(ArtifactsInput!$M$27,Inputs!$B$4="Chapter Hunt"),CHOOSE(ArtifactsInput!$N$27+1,20,24,28,32,36,40),0)/100)),0)</f>
        <v/>
      </c>
      <c r="R1278">
        <f>IF(AND(Inputs!$B$38&lt;&gt;"pvp",Inputs!$B$43&gt;0),IF(MAX(0,Inputs!$B$43-B1312)&lt;=0,0,(INT(MAX(0,Inputs!$B$43-B1312)/(IF(Inputs!$B$38="pvp",15,MAX(0.1,Skills!D3-IF(Skills!E3=TRUE,Inputs!$B$32,0)))*(1-IF(AND(ArtifactsInput!$M$27,Inputs!$B$4="Chapter Hunt"),CHOOSE(ArtifactsInput!$N$27+1,20,24,28,32,36,40),0)/100)))+1)),0)</f>
        <v/>
      </c>
      <c r="S1278">
        <f>IFERROR(O1278/N1278,0)</f>
        <v/>
      </c>
      <c r="T1278">
        <f>IF(C1278,(H1278*N1278*IF(AND(Inputs!$B$38&lt;&gt;"pvp",Inputs!$B$43&gt;0),((Skills!G3*((R1278-1)*IF(Skills!H3&gt;0,Skills!I3/Skills!H3,1)+IF(Skills!H3&gt;0,MIN(Skills!I3,MAX(0,MAX(0,Inputs!$B$43-B1312)-((R1278-1)*(IF(Inputs!$B$38="pvp",15,MAX(0.1,Skills!D3-IF(Skills!E3=TRUE,Inputs!$B$32,0)))*(1-IF(AND(ArtifactsInput!$M$27,Inputs!$B$4="Chapter Hunt"),CHOOSE(ArtifactsInput!$N$27+1,20,24,28,32,36,40),0)/100)))))/Skills!H3,1)))/Inputs!$B$43),G1278*Q1278)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1278*(1-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1278*(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1278*(1-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1278*(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8">
        <f>INDEX(FactorTable!$B$2:$Y$301, MATCH(ROUND(MIN(300,MAX(1,U1277)),0), FactorTable!$A$2:$A$301,0), 22)</f>
        <v/>
      </c>
      <c r="V1278">
        <f>IF(C1278,(H1278*N1278*IF(AND(Inputs!$B$38&lt;&gt;"pvp",Inputs!$B$43&gt;0),((Skills!G3*((R1278-1)*IF(Skills!H3&gt;0,Skills!I3/Skills!H3,1)+IF(Skills!H3&gt;0,MIN(Skills!I3,MAX(0,MAX(0,Inputs!$B$43-B1312)-((R1278-1)*(IF(Inputs!$B$38="pvp",15,MAX(0.1,Skills!D3-IF(Skills!E3=TRUE,Inputs!$B$32,0)))*(1-IF(AND(ArtifactsInput!$M$27,Inputs!$B$4="Chapter Hunt"),CHOOSE(ArtifactsInput!$N$27+1,20,24,28,32,36,40),0)/100)))))/Skills!H3,1)))/Inputs!$B$43),G1278*Q1278))*IF(Inputs!$B$38="pvp",1,(1+(Inputs!$B$21+Skills!Q3+(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9">
      <c r="A1279">
        <f>Skills!A4</f>
        <v/>
      </c>
      <c r="B1279">
        <f>Skills!B4</f>
        <v/>
      </c>
      <c r="C1279">
        <f>Inputs!$B$3&gt;=40</f>
        <v/>
      </c>
      <c r="D1279">
        <f>IF(Skills!C4=1,60+Inputs!$B$25+Inputs!$B$29,IF(Skills!C4=2,90+Inputs!$B$26+Inputs!$B$29,IF(Skills!C4=3,120+Inputs!$B$27+Inputs!$B$29,MAX(0,(Inputs!$B$3-100)*3)+Inputs!$B$28+Inputs!$B$29)))</f>
        <v/>
      </c>
      <c r="E1279">
        <f>INDEX(FactorTable!$B$2:$Y$301, MATCH(ROUND(MIN(300,MAX(1,D1279)),0), FactorTable!$A$2:$A$301,0), Skills!M4+1)</f>
        <v/>
      </c>
      <c r="F1279">
        <f>IF(Skills!N4=TRUE,(Skills!L4/10)*(E1279/1000),Skills!L4/10)+Skills!O4</f>
        <v/>
      </c>
      <c r="G1279">
        <f>Skills!G4*IF(Skills!H4&gt;0,Skills!I4/Skills!H4,1)</f>
        <v/>
      </c>
      <c r="H1279">
        <f>1-(1-Skills!J4/100)^Skills!K4</f>
        <v/>
      </c>
      <c r="I1279" t="inlineStr">
        <is>
          <t>1</t>
        </is>
      </c>
      <c r="J1279">
        <f>((Inputs!$B$6*(1+Inputs!$B$7/100))+(((Inputs!$B$12*(1+Inputs!$B$13/100))-(Inputs!$B$12*(1+Inputs!$B$13/100)))+0.25*(Inputs!$B$14-Inputs!$B$14))*(1+Inputs!$B$7/100))*(F1279/100)</f>
        <v/>
      </c>
      <c r="K1279">
        <f>J1279*(1+((Inputs!$B$12*(1+Inputs!$B$13/100))*0.01+Inputs!$B$14*0.0025)/100)*(1+Inputs!$B$15/100)*(1+Inputs!$B$16/100)*(5000/(6000+Inputs!$B$42*(1-(100*(1-(1-(Inputs!$B$19+0)/100)*(1-CHOOSE(ArtifactsInput!$N$40+1,5,6,7,8,9,10)/100)^(ArtifactsInput!$M$40-ArtifactsInput!$M$40)))/100)))*(1+(Inputs!$B$24+((C1301=TRUE)*(F1301-Calc!F26))+B1311)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1291=TRUE,F1291,0)/100)*(1+(IF(Skills!A4="EIGHT_LEGS_EASTON",Inputs!$B$17+((C1298=TRUE)*(F1298-Calc!F23))+((C1302=TRUE)*(F1302-Calc!F27))+(((IF(AND(ArtifactsInput!$M$42,((Inputs!$B$9+((C1294=TRUE)*(F1294-Calc!F19))+B1305+(ArtifactsInput!$M$24-ArtifactsInput!$M$24)*CHOOSE(ArtifactsInput!$N$24+1,10,12,14,16,18,20)+IF(ArtifactsInput!$M$10,CHOOSE(ArtifactsInput!$N$10+1,15,18,21,24,27,30)*(IF(Inputs!$B$38="pvp",MIN(15,15)/15,IF(AND(Inputs!$B$38&lt;&gt;"pvp",Inputs!$B$43&gt;0),MIN(15,Inputs!$B$43)/(Inputs!$B$43),0))),0)))&gt;=100),MIN(100,((Inputs!$B$9+((C1294=TRUE)*(F1294-Calc!F19))+B1305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1294=TRUE)*(F1294-Calc!F19))+B1305+(ArtifactsInput!$M$24-ArtifactsInput!$M$24)*CHOOSE(ArtifactsInput!$N$24+1,10,12,14,16,18,20)+IF(ArtifactsInput!$M$10,CHOOSE(ArtifactsInput!$N$10+1,15,18,21,24,27,30)*(IF(Inputs!$B$38="pvp",MIN(15,15)/15,IF(AND(Inputs!$B$38&lt;&gt;"pvp",Inputs!$B$43&gt;0),MIN(15,Inputs!$B$43)/(Inputs!$B$43),0))),0)))&gt;=100),CHOOSE(ArtifactsInput!$N$42+1,40,48,56,64,72,80),0))))/100)*((1+(((C1292=TRUE)*F1292)+((C1299=TRUE)*(F1299-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1279)</f>
        <v/>
      </c>
      <c r="L1279">
        <f>K1279*(MIN(Inputs!$B$22+((C1297=TRUE)*(F1297-Calc!F22)),(Inputs!$B$23+0+(IF(ArtifactsInput!$M$15,CHOOSE(ArtifactsInput!$N$15+1,25,30,35,40,45,50)/100*(Inputs!$B$11-Inputs!$B$11),0))))/100+(Inputs!$B$23+0+(IF(ArtifactsInput!$M$15,CHOOSE(ArtifactsInput!$N$15+1,25,30,35,40,45,50)/100*(Inputs!$B$11-Inputs!$B$11),0)))/100)/2</f>
        <v/>
      </c>
      <c r="M1279">
        <f>L1279*(1+(Inputs!$B$10+((C1300=TRUE)*(F1300-Calc!F25))+B1310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9">
        <f>L1279*(1-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1279*(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9">
        <f>(1-Summary!$B$11)*T1279+Summary!$B$11*V1279</f>
        <v/>
      </c>
      <c r="P1279">
        <f>IF(B1315=0,0,O1279/B1315)</f>
        <v/>
      </c>
      <c r="Q1279">
        <f>IFERROR(1/(IF(Inputs!$B$38="pvp",15,MAX(0.1,Skills!D4-IF(Skills!E4=TRUE,Inputs!$B$32,0)))*(1-IF(AND(ArtifactsInput!$M$27,Inputs!$B$4="Chapter Hunt"),CHOOSE(ArtifactsInput!$N$27+1,20,24,28,32,36,40),0)/100)),0)</f>
        <v/>
      </c>
      <c r="R1279">
        <f>IF(AND(Inputs!$B$38&lt;&gt;"pvp",Inputs!$B$43&gt;0),IF(MAX(0,Inputs!$B$43-B1312)&lt;=0,0,(INT(MAX(0,Inputs!$B$43-B1312)/(IF(Inputs!$B$38="pvp",15,MAX(0.1,Skills!D4-IF(Skills!E4=TRUE,Inputs!$B$32,0)))*(1-IF(AND(ArtifactsInput!$M$27,Inputs!$B$4="Chapter Hunt"),CHOOSE(ArtifactsInput!$N$27+1,20,24,28,32,36,40),0)/100)))+1)),0)</f>
        <v/>
      </c>
      <c r="S1279">
        <f>IFERROR(O1279/N1279,0)</f>
        <v/>
      </c>
      <c r="T1279">
        <f>IF(C1279,(H1279*N1279*IF(AND(Inputs!$B$38&lt;&gt;"pvp",Inputs!$B$43&gt;0),((Skills!G4*((R1279-1)*IF(Skills!H4&gt;0,Skills!I4/Skills!H4,1)+IF(Skills!H4&gt;0,MIN(Skills!I4,MAX(0,MAX(0,Inputs!$B$43-B1312)-((R1279-1)*(IF(Inputs!$B$38="pvp",15,MAX(0.1,Skills!D4-IF(Skills!E4=TRUE,Inputs!$B$32,0)))*(1-IF(AND(ArtifactsInput!$M$27,Inputs!$B$4="Chapter Hunt"),CHOOSE(ArtifactsInput!$N$27+1,20,24,28,32,36,40),0)/100)))))/Skills!H4,1)))/Inputs!$B$43),G1279*Q1279)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1279*(1-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1279*(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1279*(1-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1279*(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9">
        <f>290*U1278/1000</f>
        <v/>
      </c>
      <c r="V1279">
        <f>IF(C1279,(H1279*N1279*IF(AND(Inputs!$B$38&lt;&gt;"pvp",Inputs!$B$43&gt;0),((Skills!G4*((R1279-1)*IF(Skills!H4&gt;0,Skills!I4/Skills!H4,1)+IF(Skills!H4&gt;0,MIN(Skills!I4,MAX(0,MAX(0,Inputs!$B$43-B1312)-((R1279-1)*(IF(Inputs!$B$38="pvp",15,MAX(0.1,Skills!D4-IF(Skills!E4=TRUE,Inputs!$B$32,0)))*(1-IF(AND(ArtifactsInput!$M$27,Inputs!$B$4="Chapter Hunt"),CHOOSE(ArtifactsInput!$N$27+1,20,24,28,32,36,40),0)/100)))))/Skills!H4,1)))/Inputs!$B$43),G1279*Q1279))*IF(Inputs!$B$38="pvp",1,(1+(Inputs!$B$21+Skills!Q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0">
      <c r="A1280">
        <f>Skills!A5</f>
        <v/>
      </c>
      <c r="B1280">
        <f>Skills!B5</f>
        <v/>
      </c>
      <c r="C1280">
        <f>Inputs!$B$3&gt;=45</f>
        <v/>
      </c>
      <c r="D1280">
        <f>IF(Skills!C5=1,60+Inputs!$B$25+Inputs!$B$29,IF(Skills!C5=2,90+Inputs!$B$26+Inputs!$B$29,IF(Skills!C5=3,120+Inputs!$B$27+Inputs!$B$29,MAX(0,(Inputs!$B$3-100)*3)+Inputs!$B$28+Inputs!$B$29)))</f>
        <v/>
      </c>
      <c r="E1280">
        <f>INDEX(FactorTable!$B$2:$Y$301, MATCH(ROUND(MIN(300,MAX(1,D1280)),0), FactorTable!$A$2:$A$301,0), Skills!M5+1)</f>
        <v/>
      </c>
      <c r="F1280">
        <f>IF(Skills!N5=TRUE,(Skills!L5/10)*(E1280/1000),Skills!L5/10)+Skills!O5</f>
        <v/>
      </c>
      <c r="G1280">
        <f>Skills!G5*IF(Skills!H5&gt;0,Skills!I5/Skills!H5,1)</f>
        <v/>
      </c>
      <c r="H1280">
        <f>1-(1-Skills!J5/100)^Skills!K5</f>
        <v/>
      </c>
      <c r="I1280" t="inlineStr">
        <is>
          <t>1</t>
        </is>
      </c>
      <c r="J1280">
        <f>((Inputs!$B$6*(1+Inputs!$B$7/100))+(((Inputs!$B$12*(1+Inputs!$B$13/100))-(Inputs!$B$12*(1+Inputs!$B$13/100)))+0.25*(Inputs!$B$14-Inputs!$B$14))*(1+Inputs!$B$7/100))*(F1280/100)</f>
        <v/>
      </c>
      <c r="K1280">
        <f>J1280*(1+((Inputs!$B$12*(1+Inputs!$B$13/100))*0.01+Inputs!$B$14*0.0025)/100)*(1+Inputs!$B$15/100)*(1+Inputs!$B$16/100)*(5000/(6000+Inputs!$B$42*(1-(100*(1-(1-(Inputs!$B$19+0)/100)*(1-CHOOSE(ArtifactsInput!$N$40+1,5,6,7,8,9,10)/100)^(ArtifactsInput!$M$40-ArtifactsInput!$M$40)))/100)))*(1+(Inputs!$B$24+((C1301=TRUE)*(F1301-Calc!F26))+B1311)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1291=TRUE,F1291,0)/100)*(1+(IF(Skills!A5="EIGHT_LEGS_EASTON",Inputs!$B$17+((C1298=TRUE)*(F1298-Calc!F23))+((C1302=TRUE)*(F1302-Calc!F27))+(((IF(AND(ArtifactsInput!$M$42,((Inputs!$B$9+((C1294=TRUE)*(F1294-Calc!F19))+B1305+(ArtifactsInput!$M$24-ArtifactsInput!$M$24)*CHOOSE(ArtifactsInput!$N$24+1,10,12,14,16,18,20)+IF(ArtifactsInput!$M$10,CHOOSE(ArtifactsInput!$N$10+1,15,18,21,24,27,30)*(IF(Inputs!$B$38="pvp",MIN(15,15)/15,IF(AND(Inputs!$B$38&lt;&gt;"pvp",Inputs!$B$43&gt;0),MIN(15,Inputs!$B$43)/(Inputs!$B$43),0))),0)))&gt;=100),MIN(100,((Inputs!$B$9+((C1294=TRUE)*(F1294-Calc!F19))+B1305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1294=TRUE)*(F1294-Calc!F19))+B1305+(ArtifactsInput!$M$24-ArtifactsInput!$M$24)*CHOOSE(ArtifactsInput!$N$24+1,10,12,14,16,18,20)+IF(ArtifactsInput!$M$10,CHOOSE(ArtifactsInput!$N$10+1,15,18,21,24,27,30)*(IF(Inputs!$B$38="pvp",MIN(15,15)/15,IF(AND(Inputs!$B$38&lt;&gt;"pvp",Inputs!$B$43&gt;0),MIN(15,Inputs!$B$43)/(Inputs!$B$43),0))),0)))&gt;=100),CHOOSE(ArtifactsInput!$N$42+1,40,48,56,64,72,80),0))))/100)*((1+(((C1292=TRUE)*F1292)+((C1299=TRUE)*(F1299-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1280)</f>
        <v/>
      </c>
      <c r="L1280">
        <f>K1280*(MIN(Inputs!$B$22+((C1297=TRUE)*(F1297-Calc!F22)),(Inputs!$B$23+0+(IF(ArtifactsInput!$M$15,CHOOSE(ArtifactsInput!$N$15+1,25,30,35,40,45,50)/100*(Inputs!$B$11-Inputs!$B$11),0))))/100+(Inputs!$B$23+0+(IF(ArtifactsInput!$M$15,CHOOSE(ArtifactsInput!$N$15+1,25,30,35,40,45,50)/100*(Inputs!$B$11-Inputs!$B$11),0)))/100)/2</f>
        <v/>
      </c>
      <c r="M1280">
        <f>L1280*(1+(Inputs!$B$10+((C1300=TRUE)*(F1300-Calc!F25))+B1310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0">
        <f>L1280*(1-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1280*(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0">
        <f>(1-Summary!$B$11)*T1280+Summary!$B$11*V1280</f>
        <v/>
      </c>
      <c r="P1280">
        <f>IF(B1315=0,0,O1280/B1315)</f>
        <v/>
      </c>
      <c r="Q1280">
        <f>IFERROR(1/(IF(Inputs!$B$38="pvp",15,MAX(0.1,Skills!D5-IF(Skills!E5=TRUE,Inputs!$B$32,0)))*(1-IF(AND(ArtifactsInput!$M$27,Inputs!$B$4="Chapter Hunt"),CHOOSE(ArtifactsInput!$N$27+1,20,24,28,32,36,40),0)/100)),0)</f>
        <v/>
      </c>
      <c r="R1280">
        <f>IF(AND(Inputs!$B$38&lt;&gt;"pvp",Inputs!$B$43&gt;0),IF(MAX(0,Inputs!$B$43-B1312)&lt;=0,0,(INT(MAX(0,Inputs!$B$43-B1312)/(IF(Inputs!$B$38="pvp",15,MAX(0.1,Skills!D5-IF(Skills!E5=TRUE,Inputs!$B$32,0)))*(1-IF(AND(ArtifactsInput!$M$27,Inputs!$B$4="Chapter Hunt"),CHOOSE(ArtifactsInput!$N$27+1,20,24,28,32,36,40),0)/100)))+1)),0)</f>
        <v/>
      </c>
      <c r="S1280">
        <f>IFERROR(O1280/N1280,0)</f>
        <v/>
      </c>
      <c r="T1280">
        <f>IF(C1280,(H1280*N1280*IF(AND(Inputs!$B$38&lt;&gt;"pvp",Inputs!$B$43&gt;0),((Skills!G5*((R1280-1)*IF(Skills!H5&gt;0,Skills!I5/Skills!H5,1)+IF(Skills!H5&gt;0,MIN(Skills!I5,MAX(0,MAX(0,Inputs!$B$43-B1312)-((R1280-1)*(IF(Inputs!$B$38="pvp",15,MAX(0.1,Skills!D5-IF(Skills!E5=TRUE,Inputs!$B$32,0)))*(1-IF(AND(ArtifactsInput!$M$27,Inputs!$B$4="Chapter Hunt"),CHOOSE(ArtifactsInput!$N$27+1,20,24,28,32,36,40),0)/100)))))/Skills!H5,1)))/Inputs!$B$43),G1280*Q1280)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1280*(1-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1280*(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1280*(1-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1280*(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0">
        <f>IF(C1280,(H1280*N1280*IF(AND(Inputs!$B$38&lt;&gt;"pvp",Inputs!$B$43&gt;0),((Skills!G5*((R1280-1)*IF(Skills!H5&gt;0,Skills!I5/Skills!H5,1)+IF(Skills!H5&gt;0,MIN(Skills!I5,MAX(0,MAX(0,Inputs!$B$43-B1312)-((R1280-1)*(IF(Inputs!$B$38="pvp",15,MAX(0.1,Skills!D5-IF(Skills!E5=TRUE,Inputs!$B$32,0)))*(1-IF(AND(ArtifactsInput!$M$27,Inputs!$B$4="Chapter Hunt"),CHOOSE(ArtifactsInput!$N$27+1,20,24,28,32,36,40),0)/100)))))/Skills!H5,1)))/Inputs!$B$43),G1280*Q1280))*IF(Inputs!$B$38="pvp",1,(1+(Inputs!$B$21+Skills!Q5+(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1">
      <c r="A1281">
        <f>Skills!A6</f>
        <v/>
      </c>
      <c r="B1281">
        <f>Skills!B6</f>
        <v/>
      </c>
      <c r="C1281">
        <f>Inputs!$B$3&gt;=63</f>
        <v/>
      </c>
      <c r="D1281">
        <f>IF(Skills!C6=1,60+Inputs!$B$25+Inputs!$B$29,IF(Skills!C6=2,90+Inputs!$B$26+Inputs!$B$29,IF(Skills!C6=3,120+Inputs!$B$27+Inputs!$B$29,MAX(0,(Inputs!$B$3-100)*3)+Inputs!$B$28+Inputs!$B$29)))</f>
        <v/>
      </c>
      <c r="E1281">
        <f>INDEX(FactorTable!$B$2:$Y$301, MATCH(ROUND(MIN(300,MAX(1,D1281)),0), FactorTable!$A$2:$A$301,0), Skills!M6+1)</f>
        <v/>
      </c>
      <c r="F1281">
        <f>IF(Skills!N6=TRUE,(Skills!L6/10)*(E1281/1000),Skills!L6/10)+Skills!O6</f>
        <v/>
      </c>
      <c r="G1281">
        <f>Skills!G6*IF(Skills!H6&gt;0,Skills!I6/Skills!H6,1)</f>
        <v/>
      </c>
      <c r="H1281">
        <f>1-(1-Skills!J6/100)^Skills!K6</f>
        <v/>
      </c>
      <c r="I1281" t="inlineStr">
        <is>
          <t>1</t>
        </is>
      </c>
      <c r="J1281">
        <f>((Inputs!$B$6*(1+Inputs!$B$7/100))+(((Inputs!$B$12*(1+Inputs!$B$13/100))-(Inputs!$B$12*(1+Inputs!$B$13/100)))+0.25*(Inputs!$B$14-Inputs!$B$14))*(1+Inputs!$B$7/100))*(F1281/100)</f>
        <v/>
      </c>
      <c r="K1281">
        <f>J1281*(1+((Inputs!$B$12*(1+Inputs!$B$13/100))*0.01+Inputs!$B$14*0.0025)/100)*(1+Inputs!$B$15/100)*(1+Inputs!$B$16/100)*(5000/(6000+Inputs!$B$42*(1-(100*(1-(1-(Inputs!$B$19+0)/100)*(1-CHOOSE(ArtifactsInput!$N$40+1,5,6,7,8,9,10)/100)^(ArtifactsInput!$M$40-ArtifactsInput!$M$40)))/100)))*(1+(Inputs!$B$24+((C1301=TRUE)*(F1301-Calc!F26))+B1311)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1290=TRUE,F1290,0)/100)*(1+(IF(Skills!A6="EIGHT_LEGS_EASTON",Inputs!$B$17+((C1298=TRUE)*(F1298-Calc!F23))+((C1302=TRUE)*(F1302-Calc!F27))+(((IF(AND(ArtifactsInput!$M$42,((Inputs!$B$9+((C1294=TRUE)*(F1294-Calc!F19))+B1305+(ArtifactsInput!$M$24-ArtifactsInput!$M$24)*CHOOSE(ArtifactsInput!$N$24+1,10,12,14,16,18,20)+IF(ArtifactsInput!$M$10,CHOOSE(ArtifactsInput!$N$10+1,15,18,21,24,27,30)*(IF(Inputs!$B$38="pvp",MIN(15,15)/15,IF(AND(Inputs!$B$38&lt;&gt;"pvp",Inputs!$B$43&gt;0),MIN(15,Inputs!$B$43)/(Inputs!$B$43),0))),0)))&gt;=100),MIN(100,((Inputs!$B$9+((C1294=TRUE)*(F1294-Calc!F19))+B1305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1294=TRUE)*(F1294-Calc!F19))+B1305+(ArtifactsInput!$M$24-ArtifactsInput!$M$24)*CHOOSE(ArtifactsInput!$N$24+1,10,12,14,16,18,20)+IF(ArtifactsInput!$M$10,CHOOSE(ArtifactsInput!$N$10+1,15,18,21,24,27,30)*(IF(Inputs!$B$38="pvp",MIN(15,15)/15,IF(AND(Inputs!$B$38&lt;&gt;"pvp",Inputs!$B$43&gt;0),MIN(15,Inputs!$B$43)/(Inputs!$B$43),0))),0)))&gt;=100),CHOOSE(ArtifactsInput!$N$42+1,40,48,56,64,72,80),0))))/100)*((1+(((C1292=TRUE)*F1292)+((C1299=TRUE)*(F1299-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1281)</f>
        <v/>
      </c>
      <c r="L1281">
        <f>K1281*(MIN(Inputs!$B$22+((C1297=TRUE)*(F1297-Calc!F22)),(Inputs!$B$23+0+(IF(ArtifactsInput!$M$15,CHOOSE(ArtifactsInput!$N$15+1,25,30,35,40,45,50)/100*(Inputs!$B$11-Inputs!$B$11),0))))/100+(Inputs!$B$23+0+(IF(ArtifactsInput!$M$15,CHOOSE(ArtifactsInput!$N$15+1,25,30,35,40,45,50)/100*(Inputs!$B$11-Inputs!$B$11),0)))/100)/2</f>
        <v/>
      </c>
      <c r="M1281">
        <f>L1281*(1+(Inputs!$B$10+((C1300=TRUE)*(F1300-Calc!F25))+B1310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1">
        <f>L1281*(1-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1281*(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1">
        <f>(1-Summary!$B$11)*T1281+Summary!$B$11*V1281</f>
        <v/>
      </c>
      <c r="P1281">
        <f>IF(B1315=0,0,O1281/B1315)</f>
        <v/>
      </c>
      <c r="Q1281">
        <f>IFERROR(1/(IF(Inputs!$B$38="pvp",15,MAX(0.1,Skills!D6-IF(Skills!E6=TRUE,Inputs!$B$32,0)))*(1-IF(AND(ArtifactsInput!$M$27,Inputs!$B$4="Chapter Hunt"),CHOOSE(ArtifactsInput!$N$27+1,20,24,28,32,36,40),0)/100)),0)</f>
        <v/>
      </c>
      <c r="R1281">
        <f>IF(AND(Inputs!$B$38&lt;&gt;"pvp",Inputs!$B$43&gt;0),IF(MAX(0,Inputs!$B$43-B1312)&lt;=0,0,(INT(MAX(0,Inputs!$B$43-B1312)/(IF(Inputs!$B$38="pvp",15,MAX(0.1,Skills!D6-IF(Skills!E6=TRUE,Inputs!$B$32,0)))*(1-IF(AND(ArtifactsInput!$M$27,Inputs!$B$4="Chapter Hunt"),CHOOSE(ArtifactsInput!$N$27+1,20,24,28,32,36,40),0)/100)))+1)),0)</f>
        <v/>
      </c>
      <c r="S1281">
        <f>IFERROR(O1281/N1281,0)</f>
        <v/>
      </c>
      <c r="T1281">
        <f>IF(C1281,(H1281*N1281*IF(AND(Inputs!$B$38&lt;&gt;"pvp",Inputs!$B$43&gt;0),((Skills!G6*((R1281-1)*IF(Skills!H6&gt;0,Skills!I6/Skills!H6,1)+IF(Skills!H6&gt;0,MIN(Skills!I6,MAX(0,MAX(0,Inputs!$B$43-B1312)-((R1281-1)*(IF(Inputs!$B$38="pvp",15,MAX(0.1,Skills!D6-IF(Skills!E6=TRUE,Inputs!$B$32,0)))*(1-IF(AND(ArtifactsInput!$M$27,Inputs!$B$4="Chapter Hunt"),CHOOSE(ArtifactsInput!$N$27+1,20,24,28,32,36,40),0)/100)))))/Skills!H6,1)))/Inputs!$B$43),G1281*Q1281)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1281*(1-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1281*(1-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1">
        <f>IF(C1281,(H1281*N1281*IF(AND(Inputs!$B$38&lt;&gt;"pvp",Inputs!$B$43&gt;0),((Skills!G6*((R1281-1)*IF(Skills!H6&gt;0,Skills!I6/Skills!H6,1)+IF(Skills!H6&gt;0,MIN(Skills!I6,MAX(0,MAX(0,Inputs!$B$43-B1312)-((R1281-1)*(IF(Inputs!$B$38="pvp",15,MAX(0.1,Skills!D6-IF(Skills!E6=TRUE,Inputs!$B$32,0)))*(1-IF(AND(ArtifactsInput!$M$27,Inputs!$B$4="Chapter Hunt"),CHOOSE(ArtifactsInput!$N$27+1,20,24,28,32,36,40),0)/100)))))/Skills!H6,1)))/Inputs!$B$43),G1281*Q1281))*IF(Inputs!$B$38="pvp",1,(1+(Inputs!$B$21+Skills!Q6+(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2">
      <c r="A1282">
        <f>Skills!A7</f>
        <v/>
      </c>
      <c r="B1282">
        <f>Skills!B7</f>
        <v/>
      </c>
      <c r="C1282">
        <f>Inputs!$B$3&gt;=66</f>
        <v/>
      </c>
      <c r="D1282">
        <f>IF(Skills!C7=1,60+Inputs!$B$25+Inputs!$B$29,IF(Skills!C7=2,90+Inputs!$B$26+Inputs!$B$29,IF(Skills!C7=3,120+Inputs!$B$27+Inputs!$B$29,MAX(0,(Inputs!$B$3-100)*3)+Inputs!$B$28+Inputs!$B$29)))</f>
        <v/>
      </c>
      <c r="E1282">
        <f>INDEX(FactorTable!$B$2:$Y$301, MATCH(ROUND(MIN(300,MAX(1,D1282)),0), FactorTable!$A$2:$A$301,0), Skills!M7+1)</f>
        <v/>
      </c>
      <c r="F1282">
        <f>IF(Skills!N7=TRUE,(Skills!L7/10)*(E1282/1000),Skills!L7/10)+Skills!O7</f>
        <v/>
      </c>
      <c r="G1282">
        <f>Skills!G7*IF(Skills!H7&gt;0,Skills!I7/Skills!H7,1)</f>
        <v/>
      </c>
      <c r="H1282">
        <f>1-(1-Skills!J7/100)^Skills!K7</f>
        <v/>
      </c>
      <c r="I1282" t="inlineStr">
        <is>
          <t>1</t>
        </is>
      </c>
      <c r="J1282">
        <f>((Inputs!$B$6*(1+Inputs!$B$7/100))+(((Inputs!$B$12*(1+Inputs!$B$13/100))-(Inputs!$B$12*(1+Inputs!$B$13/100)))+0.25*(Inputs!$B$14-Inputs!$B$14))*(1+Inputs!$B$7/100))*(F1282/100)</f>
        <v/>
      </c>
      <c r="K1282">
        <f>J1282*(1+((Inputs!$B$12*(1+Inputs!$B$13/100))*0.01+Inputs!$B$14*0.0025)/100)*(1+Inputs!$B$15/100)*(1+Inputs!$B$16/100)*(5000/(6000+Inputs!$B$42*(1-(100*(1-(1-(Inputs!$B$19+0)/100)*(1-CHOOSE(ArtifactsInput!$N$40+1,5,6,7,8,9,10)/100)^(ArtifactsInput!$M$40-ArtifactsInput!$M$40)))/100)))*(1+(Inputs!$B$24+((C1301=TRUE)*(F1301-Calc!F26))+B1311)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1290=TRUE,F1290,0)/100)*(1+(IF(Skills!A7="EIGHT_LEGS_EASTON",Inputs!$B$17+((C1298=TRUE)*(F1298-Calc!F23))+((C1302=TRUE)*(F1302-Calc!F27))+(((IF(AND(ArtifactsInput!$M$42,((Inputs!$B$9+((C1294=TRUE)*(F1294-Calc!F19))+B1305+(ArtifactsInput!$M$24-ArtifactsInput!$M$24)*CHOOSE(ArtifactsInput!$N$24+1,10,12,14,16,18,20)+IF(ArtifactsInput!$M$10,CHOOSE(ArtifactsInput!$N$10+1,15,18,21,24,27,30)*(IF(Inputs!$B$38="pvp",MIN(15,15)/15,IF(AND(Inputs!$B$38&lt;&gt;"pvp",Inputs!$B$43&gt;0),MIN(15,Inputs!$B$43)/(Inputs!$B$43),0))),0)))&gt;=100),MIN(100,((Inputs!$B$9+((C1294=TRUE)*(F1294-Calc!F19))+B1305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1294=TRUE)*(F1294-Calc!F19))+B1305+(ArtifactsInput!$M$24-ArtifactsInput!$M$24)*CHOOSE(ArtifactsInput!$N$24+1,10,12,14,16,18,20)+IF(ArtifactsInput!$M$10,CHOOSE(ArtifactsInput!$N$10+1,15,18,21,24,27,30)*(IF(Inputs!$B$38="pvp",MIN(15,15)/15,IF(AND(Inputs!$B$38&lt;&gt;"pvp",Inputs!$B$43&gt;0),MIN(15,Inputs!$B$43)/(Inputs!$B$43),0))),0)))&gt;=100),CHOOSE(ArtifactsInput!$N$42+1,40,48,56,64,72,80),0))))/100)*((1+(((C1292=TRUE)*F1292)+((C1299=TRUE)*(F1299-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1282)</f>
        <v/>
      </c>
      <c r="L1282">
        <f>K1282*(MIN(Inputs!$B$22+((C1297=TRUE)*(F1297-Calc!F22)),(Inputs!$B$23+0+(IF(ArtifactsInput!$M$15,CHOOSE(ArtifactsInput!$N$15+1,25,30,35,40,45,50)/100*(Inputs!$B$11-Inputs!$B$11),0))))/100+(Inputs!$B$23+0+(IF(ArtifactsInput!$M$15,CHOOSE(ArtifactsInput!$N$15+1,25,30,35,40,45,50)/100*(Inputs!$B$11-Inputs!$B$11),0)))/100)/2</f>
        <v/>
      </c>
      <c r="M1282">
        <f>L1282*(1+(Inputs!$B$10+((C1300=TRUE)*(F1300-Calc!F25))+B1310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2">
        <f>L1282*(1-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1282*(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2">
        <f>(1-Summary!$B$11)*T1282+Summary!$B$11*V1282</f>
        <v/>
      </c>
      <c r="P1282">
        <f>IF(B1315=0,0,O1282/B1315)</f>
        <v/>
      </c>
      <c r="Q1282">
        <f>IFERROR(1/(IF(Inputs!$B$38="pvp",15,MAX(0.1,Skills!D7-IF(Skills!E7=TRUE,Inputs!$B$32,0)))*(1-IF(AND(ArtifactsInput!$M$27,Inputs!$B$4="Chapter Hunt"),CHOOSE(ArtifactsInput!$N$27+1,20,24,28,32,36,40),0)/100)),0)</f>
        <v/>
      </c>
      <c r="R1282">
        <f>IF(AND(Inputs!$B$38&lt;&gt;"pvp",Inputs!$B$43&gt;0),IF(MAX(0,Inputs!$B$43-B1312)&lt;=0,0,(INT(MAX(0,Inputs!$B$43-B1312)/(IF(Inputs!$B$38="pvp",15,MAX(0.1,Skills!D7-IF(Skills!E7=TRUE,Inputs!$B$32,0)))*(1-IF(AND(ArtifactsInput!$M$27,Inputs!$B$4="Chapter Hunt"),CHOOSE(ArtifactsInput!$N$27+1,20,24,28,32,36,40),0)/100)))+1)),0)</f>
        <v/>
      </c>
      <c r="S1282">
        <f>IFERROR(O1282/N1282,0)</f>
        <v/>
      </c>
      <c r="T1282">
        <f>IF(C1282,(H1282*N1282*IF(AND(Inputs!$B$38&lt;&gt;"pvp",Inputs!$B$43&gt;0),((Skills!G7*((R1282-1)*IF(Skills!H7&gt;0,Skills!I7/Skills!H7,1)+IF(Skills!H7&gt;0,MIN(Skills!I7,MAX(0,MAX(0,Inputs!$B$43-B1312)-((R1282-1)*(IF(Inputs!$B$38="pvp",15,MAX(0.1,Skills!D7-IF(Skills!E7=TRUE,Inputs!$B$32,0)))*(1-IF(AND(ArtifactsInput!$M$27,Inputs!$B$4="Chapter Hunt"),CHOOSE(ArtifactsInput!$N$27+1,20,24,28,32,36,40),0)/100)))))/Skills!H7,1)))/Inputs!$B$43),G1282*Q1282)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1282*(1-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1282*(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1282*(1-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1282*(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2">
        <f>IF(C1282,(H1282*N1282*IF(AND(Inputs!$B$38&lt;&gt;"pvp",Inputs!$B$43&gt;0),((Skills!G7*((R1282-1)*IF(Skills!H7&gt;0,Skills!I7/Skills!H7,1)+IF(Skills!H7&gt;0,MIN(Skills!I7,MAX(0,MAX(0,Inputs!$B$43-B1312)-((R1282-1)*(IF(Inputs!$B$38="pvp",15,MAX(0.1,Skills!D7-IF(Skills!E7=TRUE,Inputs!$B$32,0)))*(1-IF(AND(ArtifactsInput!$M$27,Inputs!$B$4="Chapter Hunt"),CHOOSE(ArtifactsInput!$N$27+1,20,24,28,32,36,40),0)/100)))))/Skills!H7,1)))/Inputs!$B$43),G1282*Q1282))*IF(Inputs!$B$38="pvp",1,(1+(Inputs!$B$21+Skills!Q7+(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3">
      <c r="A1283">
        <f>Skills!A8</f>
        <v/>
      </c>
      <c r="B1283">
        <f>Skills!B8</f>
        <v/>
      </c>
      <c r="C1283">
        <f>Inputs!$B$3&gt;=100</f>
        <v/>
      </c>
      <c r="D1283">
        <f>IF(Skills!C8=1,60+Inputs!$B$25+Inputs!$B$29,IF(Skills!C8=2,90+Inputs!$B$26+Inputs!$B$29,IF(Skills!C8=3,120+Inputs!$B$27+Inputs!$B$29,MAX(0,(Inputs!$B$3-100)*3)+Inputs!$B$28+Inputs!$B$29)))</f>
        <v/>
      </c>
      <c r="E1283">
        <f>INDEX(FactorTable!$B$2:$Y$301, MATCH(ROUND(MIN(300,MAX(1,D1283)),0), FactorTable!$A$2:$A$301,0), Skills!M8+1)</f>
        <v/>
      </c>
      <c r="F1283">
        <f>IF(Skills!N8=TRUE,(Skills!L8/10)*(E1283/1000),Skills!L8/10)+Skills!O8</f>
        <v/>
      </c>
      <c r="G1283">
        <f>Skills!G8*IF(Skills!H8&gt;0,Skills!I8/Skills!H8,1)</f>
        <v/>
      </c>
      <c r="H1283">
        <f>1-(1-Skills!J8/100)^Skills!K8</f>
        <v/>
      </c>
      <c r="I1283" t="inlineStr">
        <is>
          <t>1</t>
        </is>
      </c>
      <c r="J1283">
        <f>((Inputs!$B$6*(1+Inputs!$B$7/100))+(((Inputs!$B$12*(1+Inputs!$B$13/100))-(Inputs!$B$12*(1+Inputs!$B$13/100)))+0.25*(Inputs!$B$14-Inputs!$B$14))*(1+Inputs!$B$7/100))*(F1283/100)</f>
        <v/>
      </c>
      <c r="K1283">
        <f>J1283*(1+((Inputs!$B$12*(1+Inputs!$B$13/100))*0.01+Inputs!$B$14*0.0025)/100)*(1+Inputs!$B$15/100)*(1+Inputs!$B$16/100)*(5000/(6000+Inputs!$B$42*(1-(100*(1-(1-(Inputs!$B$19+0)/100)*(1-CHOOSE(ArtifactsInput!$N$40+1,5,6,7,8,9,10)/100)^(ArtifactsInput!$M$40-ArtifactsInput!$M$40)))/100)))*(1+(Inputs!$B$24+((C1301=TRUE)*(F1301-Calc!F26))+B1311)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1298=TRUE)*(F1298-Calc!F23))+((C1302=TRUE)*(F1302-Calc!F27))+(((IF(AND(ArtifactsInput!$M$42,((Inputs!$B$9+((C1294=TRUE)*(F1294-Calc!F19))+B1305+(ArtifactsInput!$M$24-ArtifactsInput!$M$24)*CHOOSE(ArtifactsInput!$N$24+1,10,12,14,16,18,20)+IF(ArtifactsInput!$M$10,CHOOSE(ArtifactsInput!$N$10+1,15,18,21,24,27,30)*(IF(Inputs!$B$38="pvp",MIN(15,15)/15,IF(AND(Inputs!$B$38&lt;&gt;"pvp",Inputs!$B$43&gt;0),MIN(15,Inputs!$B$43)/(Inputs!$B$43),0))),0)))&gt;=100),MIN(100,((Inputs!$B$9+((C1294=TRUE)*(F1294-Calc!F19))+B1305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1294=TRUE)*(F1294-Calc!F19))+B1305+(ArtifactsInput!$M$24-ArtifactsInput!$M$24)*CHOOSE(ArtifactsInput!$N$24+1,10,12,14,16,18,20)+IF(ArtifactsInput!$M$10,CHOOSE(ArtifactsInput!$N$10+1,15,18,21,24,27,30)*(IF(Inputs!$B$38="pvp",MIN(15,15)/15,IF(AND(Inputs!$B$38&lt;&gt;"pvp",Inputs!$B$43&gt;0),MIN(15,Inputs!$B$43)/(Inputs!$B$43),0))),0)))&gt;=100),CHOOSE(ArtifactsInput!$N$42+1,40,48,56,64,72,80),0))))/100)*((1+(((C1292=TRUE)*F1292)+((C1299=TRUE)*(F1299-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1283)</f>
        <v/>
      </c>
      <c r="L1283">
        <f>K1283*(MIN(Inputs!$B$22+((C1297=TRUE)*(F1297-Calc!F22)),(Inputs!$B$23+0+(IF(ArtifactsInput!$M$15,CHOOSE(ArtifactsInput!$N$15+1,25,30,35,40,45,50)/100*(Inputs!$B$11-Inputs!$B$11),0))))/100+(Inputs!$B$23+0+(IF(ArtifactsInput!$M$15,CHOOSE(ArtifactsInput!$N$15+1,25,30,35,40,45,50)/100*(Inputs!$B$11-Inputs!$B$11),0)))/100)/2</f>
        <v/>
      </c>
      <c r="M1283">
        <f>L1283*(1+(Inputs!$B$10+((C1300=TRUE)*(F1300-Calc!F25))+B1310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3">
        <f>L1283*(1-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1283*(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3">
        <f>(1-Summary!$B$11)*T1283+Summary!$B$11*V1283</f>
        <v/>
      </c>
      <c r="P1283">
        <f>IF(B1315=0,0,O1283/B1315)</f>
        <v/>
      </c>
      <c r="Q1283">
        <f>IFERROR(1/(IF(Inputs!$B$38="pvp",15,MAX(0.1,Skills!D8-IF(Skills!E8=TRUE,Inputs!$B$32,0)))*(1-IF(AND(ArtifactsInput!$M$27,Inputs!$B$4="Chapter Hunt"),CHOOSE(ArtifactsInput!$N$27+1,20,24,28,32,36,40),0)/100)),0)</f>
        <v/>
      </c>
      <c r="R1283">
        <f>IF(AND(Inputs!$B$38&lt;&gt;"pvp",Inputs!$B$43&gt;0),IF(MAX(0,Inputs!$B$43-B1312)&lt;=0,0,(INT(MAX(0,Inputs!$B$43-B1312)/(IF(Inputs!$B$38="pvp",15,MAX(0.1,Skills!D8-IF(Skills!E8=TRUE,Inputs!$B$32,0)))*(1-IF(AND(ArtifactsInput!$M$27,Inputs!$B$4="Chapter Hunt"),CHOOSE(ArtifactsInput!$N$27+1,20,24,28,32,36,40),0)/100)))+1)),0)</f>
        <v/>
      </c>
      <c r="S1283">
        <f>IFERROR(O1283/N1283,0)</f>
        <v/>
      </c>
      <c r="T1283">
        <f>IF(C1283,(H1283*N1283*IF(AND(Inputs!$B$38&lt;&gt;"pvp",Inputs!$B$43&gt;0),((Skills!G8*((R1283-1)*IF(Skills!H8&gt;0,Skills!I8/Skills!H8,1)+IF(Skills!H8&gt;0,MIN(Skills!I8,MAX(0,MAX(0,Inputs!$B$43-B1312)-((R1283-1)*(IF(Inputs!$B$38="pvp",15,MAX(0.1,Skills!D8-IF(Skills!E8=TRUE,Inputs!$B$32,0)))*(1-IF(AND(ArtifactsInput!$M$27,Inputs!$B$4="Chapter Hunt"),CHOOSE(ArtifactsInput!$N$27+1,20,24,28,32,36,40),0)/100)))))/Skills!H8,1)))/Inputs!$B$43),G1283*Q1283)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1283*(1-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1283*(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1283*(1-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1283*(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3">
        <f>IF(C1283,(H1283*N1283*IF(AND(Inputs!$B$38&lt;&gt;"pvp",Inputs!$B$43&gt;0),((Skills!G8*((R1283-1)*IF(Skills!H8&gt;0,Skills!I8/Skills!H8,1)+IF(Skills!H8&gt;0,MIN(Skills!I8,MAX(0,MAX(0,Inputs!$B$43-B1312)-((R1283-1)*(IF(Inputs!$B$38="pvp",15,MAX(0.1,Skills!D8-IF(Skills!E8=TRUE,Inputs!$B$32,0)))*(1-IF(AND(ArtifactsInput!$M$27,Inputs!$B$4="Chapter Hunt"),CHOOSE(ArtifactsInput!$N$27+1,20,24,28,32,36,40),0)/100)))))/Skills!H8,1)))/Inputs!$B$43),G1283*Q1283))*IF(Inputs!$B$38="pvp",1,(1+(Inputs!$B$21+Skills!Q8+(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4">
      <c r="A1284">
        <f>Skills!A9</f>
        <v/>
      </c>
      <c r="B1284">
        <f>Skills!B9</f>
        <v/>
      </c>
      <c r="C1284">
        <f>Inputs!$B$3&gt;=103</f>
        <v/>
      </c>
      <c r="D1284">
        <f>IF(Skills!C9=1,60+Inputs!$B$25+Inputs!$B$29,IF(Skills!C9=2,90+Inputs!$B$26+Inputs!$B$29,IF(Skills!C9=3,120+Inputs!$B$27+Inputs!$B$29,MAX(0,(Inputs!$B$3-100)*3)+Inputs!$B$28+Inputs!$B$29)))</f>
        <v/>
      </c>
      <c r="E1284">
        <f>INDEX(FactorTable!$B$2:$Y$301, MATCH(ROUND(MIN(300,MAX(1,D1284)),0), FactorTable!$A$2:$A$301,0), Skills!M9+1)</f>
        <v/>
      </c>
      <c r="F1284">
        <f>IF(Skills!N9=TRUE,(Skills!L9/10)*(E1284/1000),Skills!L9/10)+Skills!O9</f>
        <v/>
      </c>
      <c r="G1284">
        <f>Skills!G9*IF(Skills!H9&gt;0,Skills!I9/Skills!H9,1)</f>
        <v/>
      </c>
      <c r="H1284">
        <f>1-(1-Skills!J9/100)^Skills!K9</f>
        <v/>
      </c>
      <c r="I1284" t="inlineStr">
        <is>
          <t>1</t>
        </is>
      </c>
      <c r="J1284">
        <f>((Inputs!$B$6*(1+Inputs!$B$7/100))+(((Inputs!$B$12*(1+Inputs!$B$13/100))-(Inputs!$B$12*(1+Inputs!$B$13/100)))+0.25*(Inputs!$B$14-Inputs!$B$14))*(1+Inputs!$B$7/100))*(F1284/100)</f>
        <v/>
      </c>
      <c r="K1284">
        <f>J1284*(1+((Inputs!$B$12*(1+Inputs!$B$13/100))*0.01+Inputs!$B$14*0.0025)/100)*(1+Inputs!$B$15/100)*(1+Inputs!$B$16/100)*(5000/(6000+Inputs!$B$42*(1-(100*(1-(1-(Inputs!$B$19+0)/100)*(1-CHOOSE(ArtifactsInput!$N$40+1,5,6,7,8,9,10)/100)^(ArtifactsInput!$M$40-ArtifactsInput!$M$40)))/100)))*(1+(Inputs!$B$24+((C1301=TRUE)*(F1301-Calc!F26))+B1311)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1298=TRUE)*(F1298-Calc!F23))+((C1302=TRUE)*(F1302-Calc!F27))+(((IF(AND(ArtifactsInput!$M$42,((Inputs!$B$9+((C1294=TRUE)*(F1294-Calc!F19))+B1305+(ArtifactsInput!$M$24-ArtifactsInput!$M$24)*CHOOSE(ArtifactsInput!$N$24+1,10,12,14,16,18,20)+IF(ArtifactsInput!$M$10,CHOOSE(ArtifactsInput!$N$10+1,15,18,21,24,27,30)*(IF(Inputs!$B$38="pvp",MIN(15,15)/15,IF(AND(Inputs!$B$38&lt;&gt;"pvp",Inputs!$B$43&gt;0),MIN(15,Inputs!$B$43)/(Inputs!$B$43),0))),0)))&gt;=100),MIN(100,((Inputs!$B$9+((C1294=TRUE)*(F1294-Calc!F19))+B1305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1294=TRUE)*(F1294-Calc!F19))+B1305+(ArtifactsInput!$M$24-ArtifactsInput!$M$24)*CHOOSE(ArtifactsInput!$N$24+1,10,12,14,16,18,20)+IF(ArtifactsInput!$M$10,CHOOSE(ArtifactsInput!$N$10+1,15,18,21,24,27,30)*(IF(Inputs!$B$38="pvp",MIN(15,15)/15,IF(AND(Inputs!$B$38&lt;&gt;"pvp",Inputs!$B$43&gt;0),MIN(15,Inputs!$B$43)/(Inputs!$B$43),0))),0)))&gt;=100),CHOOSE(ArtifactsInput!$N$42+1,40,48,56,64,72,80),0))))/100)*((1+(((C1292=TRUE)*F1292)+((C1299=TRUE)*(F1299-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1284)</f>
        <v/>
      </c>
      <c r="L1284">
        <f>K1284*(MIN(Inputs!$B$22+((C1297=TRUE)*(F1297-Calc!F22)),(Inputs!$B$23+0+(IF(ArtifactsInput!$M$15,CHOOSE(ArtifactsInput!$N$15+1,25,30,35,40,45,50)/100*(Inputs!$B$11-Inputs!$B$11),0))))/100+(Inputs!$B$23+0+(IF(ArtifactsInput!$M$15,CHOOSE(ArtifactsInput!$N$15+1,25,30,35,40,45,50)/100*(Inputs!$B$11-Inputs!$B$11),0)))/100)/2</f>
        <v/>
      </c>
      <c r="M1284">
        <f>L1284*(1+(Inputs!$B$10+((C1300=TRUE)*(F1300-Calc!F25))+B1310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4">
        <f>L1284*(1-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1284*(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4">
        <f>(1-Summary!$B$11)*T1284+Summary!$B$11*V1284</f>
        <v/>
      </c>
      <c r="P1284">
        <f>IF(B1315=0,0,O1284/B1315)</f>
        <v/>
      </c>
      <c r="Q1284">
        <f>IFERROR(1/(IF(Inputs!$B$38="pvp",15,MAX(0.1,Skills!D9-IF(Skills!E9=TRUE,Inputs!$B$32,0)))*(1-IF(AND(ArtifactsInput!$M$27,Inputs!$B$4="Chapter Hunt"),CHOOSE(ArtifactsInput!$N$27+1,20,24,28,32,36,40),0)/100)),0)</f>
        <v/>
      </c>
      <c r="R1284">
        <f>IF(AND(Inputs!$B$38&lt;&gt;"pvp",Inputs!$B$43&gt;0),IF(MAX(0,Inputs!$B$43-B1312)&lt;=0,0,(INT(MAX(0,Inputs!$B$43-B1312)/(IF(Inputs!$B$38="pvp",15,MAX(0.1,Skills!D9-IF(Skills!E9=TRUE,Inputs!$B$32,0)))*(1-IF(AND(ArtifactsInput!$M$27,Inputs!$B$4="Chapter Hunt"),CHOOSE(ArtifactsInput!$N$27+1,20,24,28,32,36,40),0)/100)))+1)),0)</f>
        <v/>
      </c>
      <c r="S1284">
        <f>IFERROR(O1284/N1284,0)</f>
        <v/>
      </c>
      <c r="T1284">
        <f>IF(C1284,(H1284*N1284*IF(AND(Inputs!$B$38&lt;&gt;"pvp",Inputs!$B$43&gt;0),((Skills!G9*((R1284-1)*IF(Skills!H9&gt;0,Skills!I9/Skills!H9,1)+IF(Skills!H9&gt;0,MIN(Skills!I9,MAX(0,MAX(0,Inputs!$B$43-B1312)-((R1284-1)*(IF(Inputs!$B$38="pvp",15,MAX(0.1,Skills!D9-IF(Skills!E9=TRUE,Inputs!$B$32,0)))*(1-IF(AND(ArtifactsInput!$M$27,Inputs!$B$4="Chapter Hunt"),CHOOSE(ArtifactsInput!$N$27+1,20,24,28,32,36,40),0)/100)))))/Skills!H9,1)))/Inputs!$B$43),G1284*Q1284)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1284*(1-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1284*(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1284*(1-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1284*(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4">
        <f>IF(C1284,(H1284*N1284*IF(AND(Inputs!$B$38&lt;&gt;"pvp",Inputs!$B$43&gt;0),((Skills!G9*((R1284-1)*IF(Skills!H9&gt;0,Skills!I9/Skills!H9,1)+IF(Skills!H9&gt;0,MIN(Skills!I9,MAX(0,MAX(0,Inputs!$B$43-B1312)-((R1284-1)*(IF(Inputs!$B$38="pvp",15,MAX(0.1,Skills!D9-IF(Skills!E9=TRUE,Inputs!$B$32,0)))*(1-IF(AND(ArtifactsInput!$M$27,Inputs!$B$4="Chapter Hunt"),CHOOSE(ArtifactsInput!$N$27+1,20,24,28,32,36,40),0)/100)))))/Skills!H9,1)))/Inputs!$B$43),G1284*Q1284))*IF(Inputs!$B$38="pvp",1,(1+(Inputs!$B$21+Skills!Q9+(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5">
      <c r="A1285">
        <f>Skills!A10</f>
        <v/>
      </c>
      <c r="B1285">
        <f>Skills!B10</f>
        <v/>
      </c>
      <c r="C1285">
        <f>Inputs!$B$3&gt;=113</f>
        <v/>
      </c>
      <c r="D1285">
        <f>IF(Skills!C10=1,60+Inputs!$B$25+Inputs!$B$29,IF(Skills!C10=2,90+Inputs!$B$26+Inputs!$B$29,IF(Skills!C10=3,120+Inputs!$B$27+Inputs!$B$29,MAX(0,(Inputs!$B$3-100)*3)+Inputs!$B$28+Inputs!$B$29)))</f>
        <v/>
      </c>
      <c r="E1285">
        <f>INDEX(FactorTable!$B$2:$Y$301, MATCH(ROUND(MIN(300,MAX(1,D1285)),0), FactorTable!$A$2:$A$301,0), Skills!M10+1)</f>
        <v/>
      </c>
      <c r="F1285">
        <f>IF(Skills!N10=TRUE,(Skills!L10/10)*(E1285/1000),Skills!L10/10)+Skills!O10</f>
        <v/>
      </c>
      <c r="G1285">
        <f>Skills!G10*IF(Skills!H10&gt;0,Skills!I10/Skills!H10,1)</f>
        <v/>
      </c>
      <c r="H1285">
        <f>1-(1-Skills!J10/100)^Skills!K10</f>
        <v/>
      </c>
      <c r="I1285" t="inlineStr">
        <is>
          <t>1</t>
        </is>
      </c>
      <c r="J1285">
        <f>((Inputs!$B$6*(1+Inputs!$B$7/100))+(((Inputs!$B$12*(1+Inputs!$B$13/100))-(Inputs!$B$12*(1+Inputs!$B$13/100)))+0.25*(Inputs!$B$14-Inputs!$B$14))*(1+Inputs!$B$7/100))*(F1285/100)</f>
        <v/>
      </c>
      <c r="K1285">
        <f>J1285*(1+((Inputs!$B$12*(1+Inputs!$B$13/100))*0.01+Inputs!$B$14*0.0025)/100)*(1+Inputs!$B$15/100)*(1+Inputs!$B$16/100)*(5000/(6000+Inputs!$B$42*(1-(100*(1-(1-(Inputs!$B$19+0)/100)*(1-CHOOSE(ArtifactsInput!$N$40+1,5,6,7,8,9,10)/100)^(ArtifactsInput!$M$40-ArtifactsInput!$M$40)))/100)))*(1+(Inputs!$B$24+((C1301=TRUE)*(F1301-Calc!F26))+B1311)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1298=TRUE)*(F1298-Calc!F23))+((C1302=TRUE)*(F1302-Calc!F27))+(((IF(AND(ArtifactsInput!$M$42,((Inputs!$B$9+((C1294=TRUE)*(F1294-Calc!F19))+B1305+(ArtifactsInput!$M$24-ArtifactsInput!$M$24)*CHOOSE(ArtifactsInput!$N$24+1,10,12,14,16,18,20)+IF(ArtifactsInput!$M$10,CHOOSE(ArtifactsInput!$N$10+1,15,18,21,24,27,30)*(IF(Inputs!$B$38="pvp",MIN(15,15)/15,IF(AND(Inputs!$B$38&lt;&gt;"pvp",Inputs!$B$43&gt;0),MIN(15,Inputs!$B$43)/(Inputs!$B$43),0))),0)))&gt;=100),MIN(100,((Inputs!$B$9+((C1294=TRUE)*(F1294-Calc!F19))+B1305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1294=TRUE)*(F1294-Calc!F19))+B1305+(ArtifactsInput!$M$24-ArtifactsInput!$M$24)*CHOOSE(ArtifactsInput!$N$24+1,10,12,14,16,18,20)+IF(ArtifactsInput!$M$10,CHOOSE(ArtifactsInput!$N$10+1,15,18,21,24,27,30)*(IF(Inputs!$B$38="pvp",MIN(15,15)/15,IF(AND(Inputs!$B$38&lt;&gt;"pvp",Inputs!$B$43&gt;0),MIN(15,Inputs!$B$43)/(Inputs!$B$43),0))),0)))&gt;=100),CHOOSE(ArtifactsInput!$N$42+1,40,48,56,64,72,80),0))))/100)*((1+(((C1292=TRUE)*F1292)+((C1299=TRUE)*(F1299-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1285)</f>
        <v/>
      </c>
      <c r="L1285">
        <f>K1285*(MIN(Inputs!$B$22+((C1297=TRUE)*(F1297-Calc!F22)),(Inputs!$B$23+0+(IF(ArtifactsInput!$M$15,CHOOSE(ArtifactsInput!$N$15+1,25,30,35,40,45,50)/100*(Inputs!$B$11-Inputs!$B$11),0))))/100+(Inputs!$B$23+0+(IF(ArtifactsInput!$M$15,CHOOSE(ArtifactsInput!$N$15+1,25,30,35,40,45,50)/100*(Inputs!$B$11-Inputs!$B$11),0)))/100)/2</f>
        <v/>
      </c>
      <c r="M1285">
        <f>L1285*(1+(Inputs!$B$10+((C1300=TRUE)*(F1300-Calc!F25))+B1310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5">
        <f>L1285*(1-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1285*(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5">
        <f>(1-Summary!$B$11)*T1285+Summary!$B$11*V1285</f>
        <v/>
      </c>
      <c r="P1285">
        <f>IF(B1315=0,0,O1285/B1315)</f>
        <v/>
      </c>
      <c r="Q1285">
        <f>IFERROR(1/(IF(Inputs!$B$38="pvp",15,MAX(0.1,Skills!D10-IF(Skills!E10=TRUE,Inputs!$B$32,0)))*(1-IF(AND(ArtifactsInput!$M$27,Inputs!$B$4="Chapter Hunt"),CHOOSE(ArtifactsInput!$N$27+1,20,24,28,32,36,40),0)/100)),0)</f>
        <v/>
      </c>
      <c r="R1285">
        <f>IF(AND(Inputs!$B$38&lt;&gt;"pvp",Inputs!$B$43&gt;0),IF(MAX(0,Inputs!$B$43-B1312)&lt;=0,0,(INT(MAX(0,Inputs!$B$43-B1312)/(IF(Inputs!$B$38="pvp",15,MAX(0.1,Skills!D10-IF(Skills!E10=TRUE,Inputs!$B$32,0)))*(1-IF(AND(ArtifactsInput!$M$27,Inputs!$B$4="Chapter Hunt"),CHOOSE(ArtifactsInput!$N$27+1,20,24,28,32,36,40),0)/100)))+1)),0)</f>
        <v/>
      </c>
      <c r="S1285">
        <f>IFERROR(O1285/N1285,0)</f>
        <v/>
      </c>
      <c r="T1285">
        <f>IF(C1285,(H1285*N1285*IF(AND(Inputs!$B$38&lt;&gt;"pvp",Inputs!$B$43&gt;0),((Skills!G10*((R1285-1)*IF(Skills!H10&gt;0,Skills!I10/Skills!H10,1)+IF(Skills!H10&gt;0,MIN(Skills!I10,MAX(0,MAX(0,Inputs!$B$43-B1312)-((R1285-1)*(IF(Inputs!$B$38="pvp",15,MAX(0.1,Skills!D10-IF(Skills!E10=TRUE,Inputs!$B$32,0)))*(1-IF(AND(ArtifactsInput!$M$27,Inputs!$B$4="Chapter Hunt"),CHOOSE(ArtifactsInput!$N$27+1,20,24,28,32,36,40),0)/100)))))/Skills!H10,1)))/Inputs!$B$43),G1285*Q1285)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1285*(1-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1285*(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1285*(1-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1285*(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5">
        <f>IF(C1285,(H1285*N1285*IF(AND(Inputs!$B$38&lt;&gt;"pvp",Inputs!$B$43&gt;0),((Skills!G10*((R1285-1)*IF(Skills!H10&gt;0,Skills!I10/Skills!H10,1)+IF(Skills!H10&gt;0,MIN(Skills!I10,MAX(0,MAX(0,Inputs!$B$43-B1312)-((R1285-1)*(IF(Inputs!$B$38="pvp",15,MAX(0.1,Skills!D10-IF(Skills!E10=TRUE,Inputs!$B$32,0)))*(1-IF(AND(ArtifactsInput!$M$27,Inputs!$B$4="Chapter Hunt"),CHOOSE(ArtifactsInput!$N$27+1,20,24,28,32,36,40),0)/100)))))/Skills!H10,1)))/Inputs!$B$43),G1285*Q1285))*IF(Inputs!$B$38="pvp",1,(1+(Inputs!$B$21+Skills!Q10+(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6">
      <c r="A1286">
        <f>Skills!A11</f>
        <v/>
      </c>
      <c r="B1286">
        <f>Skills!B11</f>
        <v/>
      </c>
      <c r="C1286">
        <f>Inputs!$B$3&gt;=107</f>
        <v/>
      </c>
      <c r="D1286">
        <f>IF(Skills!C11=1,60+Inputs!$B$25+Inputs!$B$29,IF(Skills!C11=2,90+Inputs!$B$26+Inputs!$B$29,IF(Skills!C11=3,120+Inputs!$B$27+Inputs!$B$29,MAX(0,(Inputs!$B$3-100)*3)+Inputs!$B$28+Inputs!$B$29)))</f>
        <v/>
      </c>
      <c r="E1286">
        <f>INDEX(FactorTable!$B$2:$Y$301, MATCH(ROUND(MIN(300,MAX(1,D1286)),0), FactorTable!$A$2:$A$301,0), Skills!M11+1)</f>
        <v/>
      </c>
      <c r="F1286">
        <f>IF(Skills!N11=TRUE,(Skills!L11/10)*(E1286/1000),Skills!L11/10)+Skills!O11</f>
        <v/>
      </c>
      <c r="G1286">
        <f>Skills!G11*IF(Skills!H11&gt;0,Skills!I11/Skills!H11,1)</f>
        <v/>
      </c>
      <c r="H1286">
        <f>1-(1-Skills!J11/100)^Skills!K11</f>
        <v/>
      </c>
      <c r="I1286" t="inlineStr">
        <is>
          <t>1</t>
        </is>
      </c>
      <c r="J1286">
        <f>((Inputs!$B$6*(1+Inputs!$B$7/100))+(((Inputs!$B$12*(1+Inputs!$B$13/100))-(Inputs!$B$12*(1+Inputs!$B$13/100)))+0.25*(Inputs!$B$14-Inputs!$B$14))*(1+Inputs!$B$7/100))*(F1286/100)</f>
        <v/>
      </c>
      <c r="K1286">
        <f>J1286*(1+((Inputs!$B$12*(1+Inputs!$B$13/100))*0.01+Inputs!$B$14*0.0025)/100)*(1+Inputs!$B$15/100)*(1+Inputs!$B$16/100)*(5000/(6000+Inputs!$B$42*(1-(100*(1-(1-(Inputs!$B$19+0)/100)*(1-CHOOSE(ArtifactsInput!$N$40+1,5,6,7,8,9,10)/100)^(ArtifactsInput!$M$40-ArtifactsInput!$M$40)))/100)))*(1+(Inputs!$B$24+((C1301=TRUE)*(F1301-Calc!F26))+B1311)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1298=TRUE)*(F1298-Calc!F23))+((C1302=TRUE)*(F1302-Calc!F27))+(((IF(AND(ArtifactsInput!$M$42,((Inputs!$B$9+((C1294=TRUE)*(F1294-Calc!F19))+B1305+(ArtifactsInput!$M$24-ArtifactsInput!$M$24)*CHOOSE(ArtifactsInput!$N$24+1,10,12,14,16,18,20)+IF(ArtifactsInput!$M$10,CHOOSE(ArtifactsInput!$N$10+1,15,18,21,24,27,30)*(IF(Inputs!$B$38="pvp",MIN(15,15)/15,IF(AND(Inputs!$B$38&lt;&gt;"pvp",Inputs!$B$43&gt;0),MIN(15,Inputs!$B$43)/(Inputs!$B$43),0))),0)))&gt;=100),MIN(100,((Inputs!$B$9+((C1294=TRUE)*(F1294-Calc!F19))+B1305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1294=TRUE)*(F1294-Calc!F19))+B1305+(ArtifactsInput!$M$24-ArtifactsInput!$M$24)*CHOOSE(ArtifactsInput!$N$24+1,10,12,14,16,18,20)+IF(ArtifactsInput!$M$10,CHOOSE(ArtifactsInput!$N$10+1,15,18,21,24,27,30)*(IF(Inputs!$B$38="pvp",MIN(15,15)/15,IF(AND(Inputs!$B$38&lt;&gt;"pvp",Inputs!$B$43&gt;0),MIN(15,Inputs!$B$43)/(Inputs!$B$43),0))),0)))&gt;=100),CHOOSE(ArtifactsInput!$N$42+1,40,48,56,64,72,80),0))))/100)*((1+(((C1292=TRUE)*F1292)+((C1299=TRUE)*(F1299-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1286)</f>
        <v/>
      </c>
      <c r="L1286">
        <f>K1286*(MIN(Inputs!$B$22+((C1297=TRUE)*(F1297-Calc!F22)),(Inputs!$B$23+0+(IF(ArtifactsInput!$M$15,CHOOSE(ArtifactsInput!$N$15+1,25,30,35,40,45,50)/100*(Inputs!$B$11-Inputs!$B$11),0))))/100+(Inputs!$B$23+0+(IF(ArtifactsInput!$M$15,CHOOSE(ArtifactsInput!$N$15+1,25,30,35,40,45,50)/100*(Inputs!$B$11-Inputs!$B$11),0)))/100)/2</f>
        <v/>
      </c>
      <c r="M1286">
        <f>L1286*(1+(Inputs!$B$10+((C1300=TRUE)*(F1300-Calc!F25))+B1310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6">
        <f>L1286*(1-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1286*(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6">
        <f>(1-Summary!$B$11)*T1286+Summary!$B$11*V1286</f>
        <v/>
      </c>
      <c r="P1286">
        <f>IF(B1315=0,0,O1286/B1315)</f>
        <v/>
      </c>
      <c r="Q1286">
        <f>IFERROR(1/(IF(Inputs!$B$38="pvp",15,MAX(0.1,Skills!D11-IF(Skills!E11=TRUE,Inputs!$B$32,0)))*(1-IF(AND(ArtifactsInput!$M$27,Inputs!$B$4="Chapter Hunt"),CHOOSE(ArtifactsInput!$N$27+1,20,24,28,32,36,40),0)/100)),0)</f>
        <v/>
      </c>
      <c r="R1286">
        <f>IF(AND(Inputs!$B$38&lt;&gt;"pvp",Inputs!$B$43&gt;0),IF(MAX(0,Inputs!$B$43-B1312)&lt;=0,0,(INT(MAX(0,Inputs!$B$43-B1312)/(IF(Inputs!$B$38="pvp",15,MAX(0.1,Skills!D11-IF(Skills!E11=TRUE,Inputs!$B$32,0)))*(1-IF(AND(ArtifactsInput!$M$27,Inputs!$B$4="Chapter Hunt"),CHOOSE(ArtifactsInput!$N$27+1,20,24,28,32,36,40),0)/100)))+1)),0)</f>
        <v/>
      </c>
      <c r="S1286">
        <f>IFERROR(O1286/N1286,0)</f>
        <v/>
      </c>
      <c r="T1286">
        <f>IF(C1286,(H1286*N1286*IF(AND(Inputs!$B$38&lt;&gt;"pvp",Inputs!$B$43&gt;0),((Skills!G11*((R1286-1)*IF(Skills!H11&gt;0,Skills!I11/Skills!H11,1)+IF(Skills!H11&gt;0,MIN(Skills!I11,MAX(0,MAX(0,Inputs!$B$43-B1312)-((R1286-1)*(IF(Inputs!$B$38="pvp",15,MAX(0.1,Skills!D11-IF(Skills!E11=TRUE,Inputs!$B$32,0)))*(1-IF(AND(ArtifactsInput!$M$27,Inputs!$B$4="Chapter Hunt"),CHOOSE(ArtifactsInput!$N$27+1,20,24,28,32,36,40),0)/100)))))/Skills!H11,1)))/Inputs!$B$43),G1286*Q1286)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1286*(1-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1286*(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1286*(1-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1286*(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6">
        <f>IF(C1286,(H1286*N1286*IF(AND(Inputs!$B$38&lt;&gt;"pvp",Inputs!$B$43&gt;0),((Skills!G11*((R1286-1)*IF(Skills!H11&gt;0,Skills!I11/Skills!H11,1)+IF(Skills!H11&gt;0,MIN(Skills!I11,MAX(0,MAX(0,Inputs!$B$43-B1312)-((R1286-1)*(IF(Inputs!$B$38="pvp",15,MAX(0.1,Skills!D11-IF(Skills!E11=TRUE,Inputs!$B$32,0)))*(1-IF(AND(ArtifactsInput!$M$27,Inputs!$B$4="Chapter Hunt"),CHOOSE(ArtifactsInput!$N$27+1,20,24,28,32,36,40),0)/100)))))/Skills!H11,1)))/Inputs!$B$43),G1286*Q1286))*IF(Inputs!$B$38="pvp",1,(1+(Inputs!$B$21+Skills!Q11+(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7">
      <c r="A1287">
        <f>Skills!A12</f>
        <v/>
      </c>
      <c r="B1287">
        <f>Skills!B12</f>
        <v/>
      </c>
      <c r="C1287">
        <f>Inputs!$B$3&gt;=110</f>
        <v/>
      </c>
      <c r="D1287">
        <f>IF(Skills!C12=1,60+Inputs!$B$25+Inputs!$B$29,IF(Skills!C12=2,90+Inputs!$B$26+Inputs!$B$29,IF(Skills!C12=3,120+Inputs!$B$27+Inputs!$B$29,MAX(0,(Inputs!$B$3-100)*3)+Inputs!$B$28+Inputs!$B$29)))</f>
        <v/>
      </c>
      <c r="E1287">
        <f>INDEX(FactorTable!$B$2:$Y$301, MATCH(ROUND(MIN(300,MAX(1,D1287)),0), FactorTable!$A$2:$A$301,0), Skills!M12+1)</f>
        <v/>
      </c>
      <c r="F1287">
        <f>IF(Skills!N12=TRUE,(Skills!L12/10)*(E1287/1000),Skills!L12/10)+Skills!O12</f>
        <v/>
      </c>
      <c r="G1287">
        <f>Skills!G12*IF(Skills!H12&gt;0,Skills!I12/Skills!H12,1)</f>
        <v/>
      </c>
      <c r="H1287">
        <f>1-(1-Skills!J12/100)^Skills!K12</f>
        <v/>
      </c>
      <c r="I1287" t="inlineStr">
        <is>
          <t>1</t>
        </is>
      </c>
      <c r="J1287">
        <f>((Inputs!$B$6*(1+Inputs!$B$7/100))+(((Inputs!$B$12*(1+Inputs!$B$13/100))-(Inputs!$B$12*(1+Inputs!$B$13/100)))+0.25*(Inputs!$B$14-Inputs!$B$14))*(1+Inputs!$B$7/100))*(F1287/100)</f>
        <v/>
      </c>
      <c r="K1287">
        <f>J1287*(1+((Inputs!$B$12*(1+Inputs!$B$13/100))*0.01+Inputs!$B$14*0.0025)/100)*(1+Inputs!$B$15/100)*(1+Inputs!$B$16/100)*(5000/(6000+Inputs!$B$42*(1-(100*(1-(1-(Inputs!$B$19+0)/100)*(1-CHOOSE(ArtifactsInput!$N$40+1,5,6,7,8,9,10)/100)^(ArtifactsInput!$M$40-ArtifactsInput!$M$40)))/100)))*(1+(Inputs!$B$24+((C1301=TRUE)*(F1301-Calc!F26))+B1311)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1298=TRUE)*(F1298-Calc!F23))+((C1302=TRUE)*(F1302-Calc!F27))+(((IF(AND(ArtifactsInput!$M$42,((Inputs!$B$9+((C1294=TRUE)*(F1294-Calc!F19))+B1305+(ArtifactsInput!$M$24-ArtifactsInput!$M$24)*CHOOSE(ArtifactsInput!$N$24+1,10,12,14,16,18,20)+IF(ArtifactsInput!$M$10,CHOOSE(ArtifactsInput!$N$10+1,15,18,21,24,27,30)*(IF(Inputs!$B$38="pvp",MIN(15,15)/15,IF(AND(Inputs!$B$38&lt;&gt;"pvp",Inputs!$B$43&gt;0),MIN(15,Inputs!$B$43)/(Inputs!$B$43),0))),0)))&gt;=100),MIN(100,((Inputs!$B$9+((C1294=TRUE)*(F1294-Calc!F19))+B1305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1294=TRUE)*(F1294-Calc!F19))+B1305+(ArtifactsInput!$M$24-ArtifactsInput!$M$24)*CHOOSE(ArtifactsInput!$N$24+1,10,12,14,16,18,20)+IF(ArtifactsInput!$M$10,CHOOSE(ArtifactsInput!$N$10+1,15,18,21,24,27,30)*(IF(Inputs!$B$38="pvp",MIN(15,15)/15,IF(AND(Inputs!$B$38&lt;&gt;"pvp",Inputs!$B$43&gt;0),MIN(15,Inputs!$B$43)/(Inputs!$B$43),0))),0)))&gt;=100),CHOOSE(ArtifactsInput!$N$42+1,40,48,56,64,72,80),0))))/100)*((1+(((C1292=TRUE)*F1292)+((C1299=TRUE)*(F1299-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1287)</f>
        <v/>
      </c>
      <c r="L1287">
        <f>K1287*(MIN(Inputs!$B$22+((C1297=TRUE)*(F1297-Calc!F22)),(Inputs!$B$23+0+(IF(ArtifactsInput!$M$15,CHOOSE(ArtifactsInput!$N$15+1,25,30,35,40,45,50)/100*(Inputs!$B$11-Inputs!$B$11),0))))/100+(Inputs!$B$23+0+(IF(ArtifactsInput!$M$15,CHOOSE(ArtifactsInput!$N$15+1,25,30,35,40,45,50)/100*(Inputs!$B$11-Inputs!$B$11),0)))/100)/2</f>
        <v/>
      </c>
      <c r="M1287">
        <f>L1287*(1+(Inputs!$B$10+((C1300=TRUE)*(F1300-Calc!F25))+B1310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7">
        <f>L1287*(1-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1287*(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7">
        <f>(1-Summary!$B$11)*T1287+Summary!$B$11*V1287</f>
        <v/>
      </c>
      <c r="P1287">
        <f>IF(B1315=0,0,O1287/B1315)</f>
        <v/>
      </c>
      <c r="Q1287">
        <f>IFERROR(1/(IF(Inputs!$B$38="pvp",15,MAX(0.1,Skills!D12-IF(Skills!E12=TRUE,Inputs!$B$32,0)))*(1-IF(AND(ArtifactsInput!$M$27,Inputs!$B$4="Chapter Hunt"),CHOOSE(ArtifactsInput!$N$27+1,20,24,28,32,36,40),0)/100)),0)</f>
        <v/>
      </c>
      <c r="R1287">
        <f>IF(AND(Inputs!$B$38&lt;&gt;"pvp",Inputs!$B$43&gt;0),IF(MAX(0,Inputs!$B$43-B1312)&lt;=0,0,(INT(MAX(0,Inputs!$B$43-B1312)/(IF(Inputs!$B$38="pvp",15,MAX(0.1,Skills!D12-IF(Skills!E12=TRUE,Inputs!$B$32,0)))*(1-IF(AND(ArtifactsInput!$M$27,Inputs!$B$4="Chapter Hunt"),CHOOSE(ArtifactsInput!$N$27+1,20,24,28,32,36,40),0)/100)))+1)),0)</f>
        <v/>
      </c>
      <c r="S1287">
        <f>IFERROR(O1287/N1287,0)</f>
        <v/>
      </c>
      <c r="T1287">
        <f>IF(C1287,(H1287*N1287*IF(AND(Inputs!$B$38&lt;&gt;"pvp",Inputs!$B$43&gt;0),((Skills!G12*((R1287-1)*IF(Skills!H12&gt;0,Skills!I12/Skills!H12,1)+IF(Skills!H12&gt;0,MIN(Skills!I12,MAX(0,MAX(0,Inputs!$B$43-B1312)-((R1287-1)*(IF(Inputs!$B$38="pvp",15,MAX(0.1,Skills!D12-IF(Skills!E12=TRUE,Inputs!$B$32,0)))*(1-IF(AND(ArtifactsInput!$M$27,Inputs!$B$4="Chapter Hunt"),CHOOSE(ArtifactsInput!$N$27+1,20,24,28,32,36,40),0)/100)))))/Skills!H12,1)))/Inputs!$B$43),G1287*Q1287)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1287*(1-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1287*(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1287*(1-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1287*(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7">
        <f>IF(C1287,(H1287*N1287*IF(AND(Inputs!$B$38&lt;&gt;"pvp",Inputs!$B$43&gt;0),((Skills!G12*((R1287-1)*IF(Skills!H12&gt;0,Skills!I12/Skills!H12,1)+IF(Skills!H12&gt;0,MIN(Skills!I12,MAX(0,MAX(0,Inputs!$B$43-B1312)-((R1287-1)*(IF(Inputs!$B$38="pvp",15,MAX(0.1,Skills!D12-IF(Skills!E12=TRUE,Inputs!$B$32,0)))*(1-IF(AND(ArtifactsInput!$M$27,Inputs!$B$4="Chapter Hunt"),CHOOSE(ArtifactsInput!$N$27+1,20,24,28,32,36,40),0)/100)))))/Skills!H12,1)))/Inputs!$B$43),G1287*Q1287))*IF(Inputs!$B$38="pvp",1,(1+(Inputs!$B$21+Skills!Q12+(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8">
      <c r="A1288">
        <f>Skills!A13</f>
        <v/>
      </c>
      <c r="B1288">
        <f>Skills!B13</f>
        <v/>
      </c>
      <c r="C1288">
        <f>Inputs!$B$3&gt;=110</f>
        <v/>
      </c>
      <c r="D1288">
        <f>IF(Skills!C13=1,60+Inputs!$B$25+Inputs!$B$29,IF(Skills!C13=2,90+Inputs!$B$26+Inputs!$B$29,IF(Skills!C13=3,120+Inputs!$B$27+Inputs!$B$29,MAX(0,(Inputs!$B$3-100)*3)+Inputs!$B$28+Inputs!$B$29)))</f>
        <v/>
      </c>
      <c r="E1288">
        <f>INDEX(FactorTable!$B$2:$Y$301, MATCH(ROUND(MIN(300,MAX(1,D1288)),0), FactorTable!$A$2:$A$301,0), Skills!M13+1)</f>
        <v/>
      </c>
      <c r="F1288">
        <f>IF(Skills!N13=TRUE,(Skills!L13/10)*(E1288/1000),Skills!L13/10)+Skills!O13</f>
        <v/>
      </c>
      <c r="G1288">
        <f>Skills!G13*IF(Skills!H13&gt;0,Skills!I13/Skills!H13,1)</f>
        <v/>
      </c>
      <c r="H1288">
        <f>1-(1-Skills!J13/100)^Skills!K13</f>
        <v/>
      </c>
      <c r="I1288" t="inlineStr">
        <is>
          <t>1</t>
        </is>
      </c>
      <c r="J1288">
        <f>((Inputs!$B$6*(1+Inputs!$B$7/100))+(((Inputs!$B$12*(1+Inputs!$B$13/100))-(Inputs!$B$12*(1+Inputs!$B$13/100)))+0.25*(Inputs!$B$14-Inputs!$B$14))*(1+Inputs!$B$7/100))*(F1288/100)</f>
        <v/>
      </c>
      <c r="K1288">
        <f>J1288*(1+((Inputs!$B$12*(1+Inputs!$B$13/100))*0.01+Inputs!$B$14*0.0025)/100)*(1+Inputs!$B$15/100)*(1+Inputs!$B$16/100)*(5000/(6000+Inputs!$B$42*(1-(100*(1-(1-(Inputs!$B$19+0)/100)*(1-CHOOSE(ArtifactsInput!$N$40+1,5,6,7,8,9,10)/100)^(ArtifactsInput!$M$40-ArtifactsInput!$M$40)))/100)))*(1+(Inputs!$B$24+((C1301=TRUE)*(F1301-Calc!F26))+B1311)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1298=TRUE)*(F1298-Calc!F23))+((C1302=TRUE)*(F1302-Calc!F27))+(((IF(AND(ArtifactsInput!$M$42,((Inputs!$B$9+((C1294=TRUE)*(F1294-Calc!F19))+B1305+(ArtifactsInput!$M$24-ArtifactsInput!$M$24)*CHOOSE(ArtifactsInput!$N$24+1,10,12,14,16,18,20)+IF(ArtifactsInput!$M$10,CHOOSE(ArtifactsInput!$N$10+1,15,18,21,24,27,30)*(IF(Inputs!$B$38="pvp",MIN(15,15)/15,IF(AND(Inputs!$B$38&lt;&gt;"pvp",Inputs!$B$43&gt;0),MIN(15,Inputs!$B$43)/(Inputs!$B$43),0))),0)))&gt;=100),MIN(100,((Inputs!$B$9+((C1294=TRUE)*(F1294-Calc!F19))+B1305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1294=TRUE)*(F1294-Calc!F19))+B1305+(ArtifactsInput!$M$24-ArtifactsInput!$M$24)*CHOOSE(ArtifactsInput!$N$24+1,10,12,14,16,18,20)+IF(ArtifactsInput!$M$10,CHOOSE(ArtifactsInput!$N$10+1,15,18,21,24,27,30)*(IF(Inputs!$B$38="pvp",MIN(15,15)/15,IF(AND(Inputs!$B$38&lt;&gt;"pvp",Inputs!$B$43&gt;0),MIN(15,Inputs!$B$43)/(Inputs!$B$43),0))),0)))&gt;=100),CHOOSE(ArtifactsInput!$N$42+1,40,48,56,64,72,80),0))))/100)*((1+(((C1292=TRUE)*F1292)+((C1299=TRUE)*(F1299-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1288)</f>
        <v/>
      </c>
      <c r="L1288">
        <f>K1288*(MIN(Inputs!$B$22+((C1297=TRUE)*(F1297-Calc!F22)),(Inputs!$B$23+0+(IF(ArtifactsInput!$M$15,CHOOSE(ArtifactsInput!$N$15+1,25,30,35,40,45,50)/100*(Inputs!$B$11-Inputs!$B$11),0))))/100+(Inputs!$B$23+0+(IF(ArtifactsInput!$M$15,CHOOSE(ArtifactsInput!$N$15+1,25,30,35,40,45,50)/100*(Inputs!$B$11-Inputs!$B$11),0)))/100)/2</f>
        <v/>
      </c>
      <c r="M1288">
        <f>L1288*(1+(Inputs!$B$10+((C1300=TRUE)*(F1300-Calc!F25))+B1310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8">
        <f>L1288*(1-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1288*(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8">
        <f>(1-Summary!$B$11)*T1288+Summary!$B$11*V1288</f>
        <v/>
      </c>
      <c r="P1288">
        <f>IF(B1315=0,0,O1288/B1315)</f>
        <v/>
      </c>
      <c r="Q1288">
        <f>IFERROR(1/(IF(Inputs!$B$38="pvp",15,MAX(0.1,Skills!D13-IF(Skills!E13=TRUE,Inputs!$B$32,0)))*(1-IF(AND(ArtifactsInput!$M$27,Inputs!$B$4="Chapter Hunt"),CHOOSE(ArtifactsInput!$N$27+1,20,24,28,32,36,40),0)/100)),0)</f>
        <v/>
      </c>
      <c r="R1288">
        <f>IF(AND(Inputs!$B$38&lt;&gt;"pvp",Inputs!$B$43&gt;0),IF(MAX(0,Inputs!$B$43-B1312)&lt;=0,0,(INT(MAX(0,Inputs!$B$43-B1312)/(IF(Inputs!$B$38="pvp",15,MAX(0.1,Skills!D13-IF(Skills!E13=TRUE,Inputs!$B$32,0)))*(1-IF(AND(ArtifactsInput!$M$27,Inputs!$B$4="Chapter Hunt"),CHOOSE(ArtifactsInput!$N$27+1,20,24,28,32,36,40),0)/100)))+1)),0)</f>
        <v/>
      </c>
      <c r="S1288">
        <f>IFERROR(O1288/N1288,0)</f>
        <v/>
      </c>
      <c r="T1288">
        <f>IF(C1288,(H1288*N1288*IF(AND(Inputs!$B$38&lt;&gt;"pvp",Inputs!$B$43&gt;0),((Skills!G13*((R1288-1)*IF(Skills!H13&gt;0,Skills!I13/Skills!H13,1)+IF(Skills!H13&gt;0,MIN(Skills!I13,MAX(0,MAX(0,Inputs!$B$43-B1312)-((R1288-1)*(IF(Inputs!$B$38="pvp",15,MAX(0.1,Skills!D13-IF(Skills!E13=TRUE,Inputs!$B$32,0)))*(1-IF(AND(ArtifactsInput!$M$27,Inputs!$B$4="Chapter Hunt"),CHOOSE(ArtifactsInput!$N$27+1,20,24,28,32,36,40),0)/100)))))/Skills!H13,1)))/Inputs!$B$43),G1288*Q1288)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1288*(1-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1288*(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1288*(1-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1288*(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8">
        <f>IF(C1288,(H1288*N1288*IF(AND(Inputs!$B$38&lt;&gt;"pvp",Inputs!$B$43&gt;0),((Skills!G13*((R1288-1)*IF(Skills!H13&gt;0,Skills!I13/Skills!H13,1)+IF(Skills!H13&gt;0,MIN(Skills!I13,MAX(0,MAX(0,Inputs!$B$43-B1312)-((R1288-1)*(IF(Inputs!$B$38="pvp",15,MAX(0.1,Skills!D13-IF(Skills!E13=TRUE,Inputs!$B$32,0)))*(1-IF(AND(ArtifactsInput!$M$27,Inputs!$B$4="Chapter Hunt"),CHOOSE(ArtifactsInput!$N$27+1,20,24,28,32,36,40),0)/100)))))/Skills!H13,1)))/Inputs!$B$43),G1288*Q1288))*IF(Inputs!$B$38="pvp",1,(1+(Inputs!$B$21+Skills!Q13+(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9">
      <c r="A1289">
        <f>Skills!A14</f>
        <v/>
      </c>
      <c r="B1289">
        <f>Skills!B14</f>
        <v/>
      </c>
      <c r="C1289">
        <f>Inputs!$B$3&gt;=125</f>
        <v/>
      </c>
      <c r="D1289">
        <f>IF(Skills!C14=1,60+Inputs!$B$25+Inputs!$B$29,IF(Skills!C14=2,90+Inputs!$B$26+Inputs!$B$29,IF(Skills!C14=3,120+Inputs!$B$27+Inputs!$B$29,MAX(0,(Inputs!$B$3-100)*3)+Inputs!$B$28+Inputs!$B$29)))</f>
        <v/>
      </c>
      <c r="E1289">
        <f>INDEX(FactorTable!$B$2:$Y$301, MATCH(ROUND(MIN(300,MAX(1,D1289)),0), FactorTable!$A$2:$A$301,0), Skills!M14+1)</f>
        <v/>
      </c>
      <c r="F1289">
        <f>IF(Skills!N14=TRUE,(Skills!L14/10)*(E1289/1000),Skills!L14/10)+Skills!O14</f>
        <v/>
      </c>
      <c r="G1289">
        <f>Skills!G14*IF(Skills!H14&gt;0,Skills!I14/Skills!H14,1)</f>
        <v/>
      </c>
      <c r="H1289">
        <f>1-(1-Skills!J14/100)^Skills!K14</f>
        <v/>
      </c>
      <c r="I1289" t="inlineStr">
        <is>
          <t>1</t>
        </is>
      </c>
      <c r="J1289">
        <f>((Inputs!$B$6*(1+Inputs!$B$7/100))+(((Inputs!$B$12*(1+Inputs!$B$13/100))-(Inputs!$B$12*(1+Inputs!$B$13/100)))+0.25*(Inputs!$B$14-Inputs!$B$14))*(1+Inputs!$B$7/100))*(F1289/100)</f>
        <v/>
      </c>
      <c r="K1289">
        <f>J1289*(1+((Inputs!$B$12*(1+Inputs!$B$13/100))*0.01+Inputs!$B$14*0.0025)/100)*(1+Inputs!$B$15/100)*(1+Inputs!$B$16/100)*(5000/(6000+Inputs!$B$42*(1-(100*(1-(1-(Inputs!$B$19+0)/100)*(1-CHOOSE(ArtifactsInput!$N$40+1,5,6,7,8,9,10)/100)^(ArtifactsInput!$M$40-ArtifactsInput!$M$40)))/100)))*(1+(Inputs!$B$24+((C1301=TRUE)*(F1301-Calc!F26))+B1311)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1298=TRUE)*(F1298-Calc!F23))+((C1302=TRUE)*(F1302-Calc!F27))+(((IF(AND(ArtifactsInput!$M$42,((Inputs!$B$9+((C1294=TRUE)*(F1294-Calc!F19))+B1305+(ArtifactsInput!$M$24-ArtifactsInput!$M$24)*CHOOSE(ArtifactsInput!$N$24+1,10,12,14,16,18,20)+IF(ArtifactsInput!$M$10,CHOOSE(ArtifactsInput!$N$10+1,15,18,21,24,27,30)*(IF(Inputs!$B$38="pvp",MIN(15,15)/15,IF(AND(Inputs!$B$38&lt;&gt;"pvp",Inputs!$B$43&gt;0),MIN(15,Inputs!$B$43)/(Inputs!$B$43),0))),0)))&gt;=100),MIN(100,((Inputs!$B$9+((C1294=TRUE)*(F1294-Calc!F19))+B1305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1294=TRUE)*(F1294-Calc!F19))+B1305+(ArtifactsInput!$M$24-ArtifactsInput!$M$24)*CHOOSE(ArtifactsInput!$N$24+1,10,12,14,16,18,20)+IF(ArtifactsInput!$M$10,CHOOSE(ArtifactsInput!$N$10+1,15,18,21,24,27,30)*(IF(Inputs!$B$38="pvp",MIN(15,15)/15,IF(AND(Inputs!$B$38&lt;&gt;"pvp",Inputs!$B$43&gt;0),MIN(15,Inputs!$B$43)/(Inputs!$B$43),0))),0)))&gt;=100),CHOOSE(ArtifactsInput!$N$42+1,40,48,56,64,72,80),0))))/100)*((1+(((C1292=TRUE)*F1292)+((C1299=TRUE)*(F1299-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1289)</f>
        <v/>
      </c>
      <c r="L1289">
        <f>K1289*(MIN(Inputs!$B$22+((C1297=TRUE)*(F1297-Calc!F22)),(Inputs!$B$23+0+(IF(ArtifactsInput!$M$15,CHOOSE(ArtifactsInput!$N$15+1,25,30,35,40,45,50)/100*(Inputs!$B$11-Inputs!$B$11),0))))/100+(Inputs!$B$23+0+(IF(ArtifactsInput!$M$15,CHOOSE(ArtifactsInput!$N$15+1,25,30,35,40,45,50)/100*(Inputs!$B$11-Inputs!$B$11),0)))/100)/2</f>
        <v/>
      </c>
      <c r="M1289">
        <f>L1289*(1+(Inputs!$B$10+((C1300=TRUE)*(F1300-Calc!F25))+B1310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9">
        <f>L1289*(1-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1289*(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9">
        <f>(1-Summary!$B$11)*T1289+Summary!$B$11*V1289</f>
        <v/>
      </c>
      <c r="P1289">
        <f>IF(B1315=0,0,O1289/B1315)</f>
        <v/>
      </c>
      <c r="Q1289" t="n">
        <v>0</v>
      </c>
      <c r="R1289" t="n">
        <v>0</v>
      </c>
      <c r="S1289">
        <f>IFERROR(O1289/N1289,0)</f>
        <v/>
      </c>
      <c r="T1289">
        <f>IF(C1289,(H1289*N1289*(B1309+IF(AND(Inputs!$B$38&lt;&gt;"pvp",Inputs!$B$43&gt;0),((Skills!G8*((R1283-1)*IF(Skills!H8&gt;0,Skills!I8/Skills!H8,1)+IF(Skills!H8&gt;0,MIN(Skills!I8,MAX(0,MAX(0,Inputs!$B$43-B1312)-((R1283-1)*(IF(Inputs!$B$38="pvp",15,MAX(0.1,Skills!D8-IF(Skills!E8=TRUE,Inputs!$B$32,0)))*(1-IF(AND(ArtifactsInput!$M$27,Inputs!$B$4="Chapter Hunt"),CHOOSE(ArtifactsInput!$N$27+1,20,24,28,32,36,40),0)/100)))))/Skills!H8,1)))/Inputs!$B$43),G1283*Q1283)+IF(AND(Inputs!$B$38&lt;&gt;"pvp",Inputs!$B$43&gt;0),((Skills!G11*((R1286-1)*IF(Skills!H11&gt;0,Skills!I11/Skills!H11,1)+IF(Skills!H11&gt;0,MIN(Skills!I11,MAX(0,MAX(0,Inputs!$B$43-B1312)-((R1286-1)*(IF(Inputs!$B$38="pvp",15,MAX(0.1,Skills!D11-IF(Skills!E11=TRUE,Inputs!$B$32,0)))*(1-IF(AND(ArtifactsInput!$M$27,Inputs!$B$4="Chapter Hunt"),CHOOSE(ArtifactsInput!$N$27+1,20,24,28,32,36,40),0)/100)))))/Skills!H11,1)))/Inputs!$B$43),G1286*Q1286)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1289*(1-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1289*(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1289*(1-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1289*(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9">
        <f>IF(C1289,(H1289*N1289*(B1309+IF(AND(Inputs!$B$38&lt;&gt;"pvp",Inputs!$B$43&gt;0),((Skills!G8*((R1283-1)*IF(Skills!H8&gt;0,Skills!I8/Skills!H8,1)+IF(Skills!H8&gt;0,MIN(Skills!I8,MAX(0,MAX(0,Inputs!$B$43-B1312)-((R1283-1)*(IF(Inputs!$B$38="pvp",15,MAX(0.1,Skills!D8-IF(Skills!E8=TRUE,Inputs!$B$32,0)))*(1-IF(AND(ArtifactsInput!$M$27,Inputs!$B$4="Chapter Hunt"),CHOOSE(ArtifactsInput!$N$27+1,20,24,28,32,36,40),0)/100)))))/Skills!H8,1)))/Inputs!$B$43),G1283*Q1283)+IF(AND(Inputs!$B$38&lt;&gt;"pvp",Inputs!$B$43&gt;0),((Skills!G11*((R1286-1)*IF(Skills!H11&gt;0,Skills!I11/Skills!H11,1)+IF(Skills!H11&gt;0,MIN(Skills!I11,MAX(0,MAX(0,Inputs!$B$43-B1312)-((R1286-1)*(IF(Inputs!$B$38="pvp",15,MAX(0.1,Skills!D11-IF(Skills!E11=TRUE,Inputs!$B$32,0)))*(1-IF(AND(ArtifactsInput!$M$27,Inputs!$B$4="Chapter Hunt"),CHOOSE(ArtifactsInput!$N$27+1,20,24,28,32,36,40),0)/100)))))/Skills!H11,1)))/Inputs!$B$43),G1286*Q1286)))*IF(Inputs!$B$38="pvp",1,(1+(Inputs!$B$21+Skills!Q14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0">
      <c r="A1290">
        <f>Skills!A15</f>
        <v/>
      </c>
      <c r="B1290">
        <f>Skills!B15</f>
        <v/>
      </c>
      <c r="C1290">
        <f>Inputs!$B$3&gt;=100</f>
        <v/>
      </c>
      <c r="D1290">
        <f>IF(Skills!C15=1,60+Inputs!$B$25+Inputs!$B$29,IF(Skills!C15=2,90+Inputs!$B$26+Inputs!$B$29,IF(Skills!C15=3,120+Inputs!$B$27+Inputs!$B$29,MAX(0,(Inputs!$B$3-100)*3)+Inputs!$B$28+Inputs!$B$29)))</f>
        <v/>
      </c>
      <c r="E1290">
        <f>INDEX(FactorTable!$B$2:$Y$301, MATCH(ROUND(MIN(300,MAX(1,D1290)),0), FactorTable!$A$2:$A$301,0), Skills!M15+1)</f>
        <v/>
      </c>
      <c r="F1290">
        <f>IF(Skills!N15=TRUE,(Skills!L15/10)*(E1290/1000),Skills!L15/10)+Skills!O15</f>
        <v/>
      </c>
      <c r="G1290" t="inlineStr"/>
      <c r="H1290" t="inlineStr"/>
      <c r="I1290" t="inlineStr">
        <is>
          <t>1</t>
        </is>
      </c>
      <c r="J1290" t="inlineStr"/>
      <c r="K1290" t="inlineStr"/>
      <c r="L1290" t="inlineStr"/>
      <c r="M1290" t="inlineStr"/>
      <c r="N1290" t="inlineStr"/>
      <c r="O1290" t="inlineStr"/>
      <c r="P1290" t="inlineStr"/>
      <c r="Q1290" t="inlineStr"/>
      <c r="R1290" t="inlineStr"/>
      <c r="S1290" t="inlineStr"/>
    </row>
    <row r="1291">
      <c r="A1291">
        <f>Skills!A16</f>
        <v/>
      </c>
      <c r="B1291">
        <f>Skills!B16</f>
        <v/>
      </c>
      <c r="C1291">
        <f>Inputs!$B$3&gt;=120</f>
        <v/>
      </c>
      <c r="D1291">
        <f>IF(Skills!C16=1,60+Inputs!$B$25+Inputs!$B$29,IF(Skills!C16=2,90+Inputs!$B$26+Inputs!$B$29,IF(Skills!C16=3,120+Inputs!$B$27+Inputs!$B$29,MAX(0,(Inputs!$B$3-100)*3)+Inputs!$B$28+Inputs!$B$29)))</f>
        <v/>
      </c>
      <c r="E1291">
        <f>INDEX(FactorTable!$B$2:$Y$301, MATCH(ROUND(MIN(300,MAX(1,D1291)),0), FactorTable!$A$2:$A$301,0), Skills!M16+1)</f>
        <v/>
      </c>
      <c r="F1291">
        <f>IF(Skills!N16=TRUE,(Skills!L16/10)*(E1291/1000),Skills!L16/10)+Skills!O16</f>
        <v/>
      </c>
      <c r="G1291" t="inlineStr"/>
      <c r="H1291" t="inlineStr"/>
      <c r="I1291" t="inlineStr">
        <is>
          <t>1</t>
        </is>
      </c>
      <c r="J1291" t="inlineStr"/>
      <c r="K1291" t="inlineStr"/>
      <c r="L1291" t="inlineStr"/>
      <c r="M1291" t="inlineStr"/>
      <c r="N1291" t="inlineStr"/>
      <c r="O1291" t="inlineStr"/>
      <c r="P1291" t="inlineStr"/>
      <c r="Q1291" t="inlineStr"/>
      <c r="R1291" t="inlineStr"/>
      <c r="S1291" t="inlineStr"/>
    </row>
    <row r="1292">
      <c r="A1292">
        <f>Skills!A17</f>
        <v/>
      </c>
      <c r="B1292">
        <f>Skills!B17</f>
        <v/>
      </c>
      <c r="C1292">
        <f>Inputs!$B$3&gt;=66</f>
        <v/>
      </c>
      <c r="D1292">
        <f>IF(Skills!C17=1,60+Inputs!$B$25+Inputs!$B$29,IF(Skills!C17=2,90+Inputs!$B$26+Inputs!$B$29,IF(Skills!C17=3,120+Inputs!$B$27+Inputs!$B$29,MAX(0,(Inputs!$B$3-100)*3)+Inputs!$B$28+Inputs!$B$29)))</f>
        <v/>
      </c>
      <c r="E1292">
        <f>INDEX(FactorTable!$B$2:$Y$301, MATCH(ROUND(MIN(300,MAX(1,D1292)),0), FactorTable!$A$2:$A$301,0), Skills!M17+1)</f>
        <v/>
      </c>
      <c r="F1292">
        <f>IF(Skills!N17=TRUE,(Skills!L17/10)*(E1292/1000),Skills!L17/10)+Skills!O17</f>
        <v/>
      </c>
      <c r="G1292">
        <f>Skills!G17*IF(Skills!H17&gt;0,Skills!I17/Skills!H17,1)</f>
        <v/>
      </c>
      <c r="H1292">
        <f>1-(1-Skills!J17/100)^Skills!K17</f>
        <v/>
      </c>
      <c r="I1292" t="inlineStr">
        <is>
          <t>1</t>
        </is>
      </c>
      <c r="J1292" t="inlineStr"/>
      <c r="K1292" t="inlineStr"/>
      <c r="L1292" t="inlineStr"/>
      <c r="M1292" t="inlineStr"/>
      <c r="N1292" t="inlineStr"/>
      <c r="O1292">
        <f>(1-Summary!$B$11)*T1292+Summary!$B$11*V1292</f>
        <v/>
      </c>
      <c r="P1292">
        <f>IF(B1315=0,0,O1292/B1315)</f>
        <v/>
      </c>
      <c r="Q1292" t="n">
        <v>0</v>
      </c>
      <c r="R1292" t="n">
        <v>0</v>
      </c>
      <c r="S1292">
        <f>IFERROR(O1292/N1292,0)</f>
        <v/>
      </c>
      <c r="T1292" t="n">
        <v>0</v>
      </c>
      <c r="V1292" t="n">
        <v>0</v>
      </c>
    </row>
    <row r="1293">
      <c r="A1293">
        <f>Skills!A18</f>
        <v/>
      </c>
      <c r="B1293">
        <f>Skills!B18</f>
        <v/>
      </c>
      <c r="C1293">
        <f>Inputs!$B$3&gt;=115</f>
        <v/>
      </c>
      <c r="D1293">
        <f>IF(Skills!C18=1,60+Inputs!$B$25+Inputs!$B$29,IF(Skills!C18=2,90+Inputs!$B$26+Inputs!$B$29,IF(Skills!C18=3,120+Inputs!$B$27+Inputs!$B$29,MAX(0,(Inputs!$B$3-100)*3)+Inputs!$B$28+Inputs!$B$29)))</f>
        <v/>
      </c>
      <c r="E1293">
        <f>INDEX(FactorTable!$B$2:$Y$301, MATCH(ROUND(MIN(300,MAX(1,D1293)),0), FactorTable!$A$2:$A$301,0), Skills!M18+1)</f>
        <v/>
      </c>
      <c r="F1293">
        <f>IF(Skills!N18=TRUE,(Skills!L18/10)*(E1293/1000),Skills!L18/10)+Skills!O18</f>
        <v/>
      </c>
      <c r="G1293">
        <f>Skills!G18*IF(Skills!H18&gt;0,Skills!I18/Skills!H18,1)</f>
        <v/>
      </c>
      <c r="H1293">
        <f>1-(1-Skills!J18/100)^Skills!K18</f>
        <v/>
      </c>
      <c r="I1293" t="inlineStr">
        <is>
          <t>1</t>
        </is>
      </c>
      <c r="J1293" t="inlineStr"/>
      <c r="K1293" t="inlineStr"/>
      <c r="L1293" t="inlineStr"/>
      <c r="M1293" t="inlineStr"/>
      <c r="N1293" t="inlineStr"/>
      <c r="O1293">
        <f>(1-Summary!$B$11)*T1293+Summary!$B$11*V1293</f>
        <v/>
      </c>
      <c r="P1293">
        <f>IF(B1315=0,0,O1293/B1315)</f>
        <v/>
      </c>
      <c r="Q1293" t="n">
        <v>0</v>
      </c>
      <c r="R1293" t="n">
        <v>0</v>
      </c>
      <c r="S1293">
        <f>IFERROR(O1293/N1293,0)</f>
        <v/>
      </c>
      <c r="T1293" t="n">
        <v>0</v>
      </c>
      <c r="V1293" t="n">
        <v>0</v>
      </c>
    </row>
    <row r="1294">
      <c r="A1294">
        <f>Skills!A19</f>
        <v/>
      </c>
      <c r="B1294">
        <f>Skills!B19</f>
        <v/>
      </c>
      <c r="C1294">
        <f>Inputs!$B$3&gt;=15</f>
        <v/>
      </c>
      <c r="D1294">
        <f>IF(Skills!C19=1,60+Inputs!$B$25+Inputs!$B$29,IF(Skills!C19=2,90+Inputs!$B$26+Inputs!$B$29,IF(Skills!C19=3,120+Inputs!$B$27+Inputs!$B$29,MAX(0,(Inputs!$B$3-100)*3)+Inputs!$B$28+Inputs!$B$29)))</f>
        <v/>
      </c>
      <c r="E1294">
        <f>INDEX(FactorTable!$B$2:$Y$301, MATCH(ROUND(MIN(300,MAX(1,D1294)),0), FactorTable!$A$2:$A$301,0), Skills!M19+1)</f>
        <v/>
      </c>
      <c r="F1294">
        <f>IF(Skills!N19=TRUE,(Skills!L19/10)*(E1294/1000),Skills!L19/10)+Skills!O19</f>
        <v/>
      </c>
      <c r="G1294">
        <f>Skills!G19*IF(Skills!H19&gt;0,Skills!I19/Skills!H19,1)</f>
        <v/>
      </c>
      <c r="H1294">
        <f>1-(1-Skills!J19/100)^Skills!K19</f>
        <v/>
      </c>
      <c r="I1294" t="inlineStr">
        <is>
          <t>1</t>
        </is>
      </c>
      <c r="J1294" t="inlineStr"/>
      <c r="K1294" t="inlineStr"/>
      <c r="L1294" t="inlineStr"/>
      <c r="M1294" t="inlineStr"/>
      <c r="N1294" t="inlineStr"/>
      <c r="O1294">
        <f>(1-Summary!$B$11)*T1294+Summary!$B$11*V1294</f>
        <v/>
      </c>
      <c r="P1294">
        <f>IF(B1315=0,0,O1294/B1315)</f>
        <v/>
      </c>
      <c r="Q1294" t="n">
        <v>0</v>
      </c>
      <c r="R1294" t="n">
        <v>0</v>
      </c>
      <c r="S1294">
        <f>IFERROR(O1294/N1294,0)</f>
        <v/>
      </c>
      <c r="T1294" t="n">
        <v>0</v>
      </c>
      <c r="V1294" t="n">
        <v>0</v>
      </c>
    </row>
    <row r="1295">
      <c r="A1295">
        <f>Skills!A20</f>
        <v/>
      </c>
      <c r="B1295">
        <f>Skills!B20</f>
        <v/>
      </c>
      <c r="C1295">
        <f>Inputs!$B$3&gt;=10</f>
        <v/>
      </c>
      <c r="D1295">
        <f>IF(Skills!C20=1,60+Inputs!$B$25+Inputs!$B$29,IF(Skills!C20=2,90+Inputs!$B$26+Inputs!$B$29,IF(Skills!C20=3,120+Inputs!$B$27+Inputs!$B$29,MAX(0,(Inputs!$B$3-100)*3)+Inputs!$B$28+Inputs!$B$29)))</f>
        <v/>
      </c>
      <c r="E1295">
        <f>INDEX(FactorTable!$B$2:$Y$301, MATCH(ROUND(MIN(300,MAX(1,D1295)),0), FactorTable!$A$2:$A$301,0), Skills!M20+1)</f>
        <v/>
      </c>
      <c r="F1295">
        <f>IF(Skills!N20=TRUE,(Skills!L20/10)*(E1295/1000),Skills!L20/10)+Skills!O20</f>
        <v/>
      </c>
      <c r="G1295">
        <f>Skills!G20*IF(Skills!H20&gt;0,Skills!I20/Skills!H20,1)</f>
        <v/>
      </c>
      <c r="H1295">
        <f>1-(1-Skills!J20/100)^Skills!K20</f>
        <v/>
      </c>
      <c r="I1295" t="inlineStr">
        <is>
          <t>1</t>
        </is>
      </c>
      <c r="J1295" t="inlineStr"/>
      <c r="K1295" t="inlineStr"/>
      <c r="L1295" t="inlineStr"/>
      <c r="M1295" t="inlineStr"/>
      <c r="N1295" t="inlineStr"/>
      <c r="O1295">
        <f>(1-Summary!$B$11)*T1295+Summary!$B$11*V1295</f>
        <v/>
      </c>
      <c r="P1295">
        <f>IF(B1315=0,0,O1295/B1315)</f>
        <v/>
      </c>
      <c r="Q1295" t="n">
        <v>0</v>
      </c>
      <c r="R1295" t="n">
        <v>0</v>
      </c>
      <c r="S1295">
        <f>IFERROR(O1295/N1295,0)</f>
        <v/>
      </c>
      <c r="T1295" t="n">
        <v>0</v>
      </c>
      <c r="V1295" t="n">
        <v>0</v>
      </c>
    </row>
    <row r="1296">
      <c r="A1296">
        <f>Skills!A21</f>
        <v/>
      </c>
      <c r="B1296">
        <f>Skills!B21</f>
        <v/>
      </c>
      <c r="C1296">
        <f>Inputs!$B$3&gt;=33</f>
        <v/>
      </c>
      <c r="D1296">
        <f>IF(Skills!C21=1,60+Inputs!$B$25+Inputs!$B$29,IF(Skills!C21=2,90+Inputs!$B$26+Inputs!$B$29,IF(Skills!C21=3,120+Inputs!$B$27+Inputs!$B$29,MAX(0,(Inputs!$B$3-100)*3)+Inputs!$B$28+Inputs!$B$29)))</f>
        <v/>
      </c>
      <c r="E1296">
        <f>INDEX(FactorTable!$B$2:$Y$301, MATCH(ROUND(MIN(300,MAX(1,D1296)),0), FactorTable!$A$2:$A$301,0), Skills!M21+1)</f>
        <v/>
      </c>
      <c r="F1296">
        <f>IF(Skills!N21=TRUE,(Skills!L21/10)*(E1296/1000),Skills!L21/10)+Skills!O21</f>
        <v/>
      </c>
      <c r="G1296">
        <f>Skills!G21*IF(Skills!H21&gt;0,Skills!I21/Skills!H21,1)</f>
        <v/>
      </c>
      <c r="H1296">
        <f>1-(1-Skills!J21/100)^Skills!K21</f>
        <v/>
      </c>
      <c r="I1296" t="inlineStr">
        <is>
          <t>1</t>
        </is>
      </c>
      <c r="J1296" t="inlineStr"/>
      <c r="K1296" t="inlineStr"/>
      <c r="L1296" t="inlineStr"/>
      <c r="M1296" t="inlineStr"/>
      <c r="N1296" t="inlineStr"/>
      <c r="O1296">
        <f>(1-Summary!$B$11)*T1296+Summary!$B$11*V1296</f>
        <v/>
      </c>
      <c r="P1296">
        <f>IF(B1315=0,0,O1296/B1315)</f>
        <v/>
      </c>
      <c r="Q1296" t="n">
        <v>0</v>
      </c>
      <c r="R1296" t="n">
        <v>0</v>
      </c>
      <c r="S1296">
        <f>IFERROR(O1296/N1296,0)</f>
        <v/>
      </c>
      <c r="T1296" t="n">
        <v>0</v>
      </c>
      <c r="V1296" t="n">
        <v>0</v>
      </c>
    </row>
    <row r="1297">
      <c r="A1297">
        <f>Skills!A22</f>
        <v/>
      </c>
      <c r="B1297">
        <f>Skills!B22</f>
        <v/>
      </c>
      <c r="C1297">
        <f>Inputs!$B$3&gt;=43</f>
        <v/>
      </c>
      <c r="D1297">
        <f>IF(Skills!C22=1,60+Inputs!$B$25+Inputs!$B$29,IF(Skills!C22=2,90+Inputs!$B$26+Inputs!$B$29,IF(Skills!C22=3,120+Inputs!$B$27+Inputs!$B$29,MAX(0,(Inputs!$B$3-100)*3)+Inputs!$B$28+Inputs!$B$29)))</f>
        <v/>
      </c>
      <c r="E1297">
        <f>INDEX(FactorTable!$B$2:$Y$301, MATCH(ROUND(MIN(300,MAX(1,D1297)),0), FactorTable!$A$2:$A$301,0), Skills!M22+1)</f>
        <v/>
      </c>
      <c r="F1297">
        <f>IF(Skills!N22=TRUE,(Skills!L22/10)*(E1297/1000),Skills!L22/10)+Skills!O22</f>
        <v/>
      </c>
      <c r="G1297">
        <f>Skills!G22*IF(Skills!H22&gt;0,Skills!I22/Skills!H22,1)</f>
        <v/>
      </c>
      <c r="H1297">
        <f>1-(1-Skills!J22/100)^Skills!K22</f>
        <v/>
      </c>
      <c r="I1297" t="inlineStr">
        <is>
          <t>1</t>
        </is>
      </c>
      <c r="J1297" t="inlineStr"/>
      <c r="K1297" t="inlineStr"/>
      <c r="L1297" t="inlineStr"/>
      <c r="M1297" t="inlineStr"/>
      <c r="N1297" t="inlineStr"/>
      <c r="O1297">
        <f>(1-Summary!$B$11)*T1297+Summary!$B$11*V1297</f>
        <v/>
      </c>
      <c r="P1297">
        <f>IF(B1315=0,0,O1297/B1315)</f>
        <v/>
      </c>
      <c r="Q1297" t="n">
        <v>0</v>
      </c>
      <c r="R1297" t="n">
        <v>0</v>
      </c>
      <c r="S1297">
        <f>IFERROR(O1297/N1297,0)</f>
        <v/>
      </c>
      <c r="T1297" t="n">
        <v>0</v>
      </c>
      <c r="V1297" t="n">
        <v>0</v>
      </c>
    </row>
    <row r="1298">
      <c r="A1298">
        <f>Skills!A23</f>
        <v/>
      </c>
      <c r="B1298">
        <f>Skills!B23</f>
        <v/>
      </c>
      <c r="C1298">
        <f>Inputs!$B$3&gt;=38</f>
        <v/>
      </c>
      <c r="D1298">
        <f>IF(Skills!C23=1,60+Inputs!$B$25+Inputs!$B$29,IF(Skills!C23=2,90+Inputs!$B$26+Inputs!$B$29,IF(Skills!C23=3,120+Inputs!$B$27+Inputs!$B$29,MAX(0,(Inputs!$B$3-100)*3)+Inputs!$B$28+Inputs!$B$29)))</f>
        <v/>
      </c>
      <c r="E1298">
        <f>INDEX(FactorTable!$B$2:$Y$301, MATCH(ROUND(MIN(300,MAX(1,D1298)),0), FactorTable!$A$2:$A$301,0), Skills!M23+1)</f>
        <v/>
      </c>
      <c r="F1298">
        <f>IF(Skills!N23=TRUE,(Skills!L23/10)*(E1298/1000),Skills!L23/10)+Skills!O23</f>
        <v/>
      </c>
      <c r="G1298">
        <f>Skills!G23*IF(Skills!H23&gt;0,Skills!I23/Skills!H23,1)</f>
        <v/>
      </c>
      <c r="H1298">
        <f>1-(1-Skills!J23/100)^Skills!K23</f>
        <v/>
      </c>
      <c r="I1298" t="inlineStr">
        <is>
          <t>1</t>
        </is>
      </c>
      <c r="J1298" t="inlineStr"/>
      <c r="K1298" t="inlineStr"/>
      <c r="L1298" t="inlineStr"/>
      <c r="M1298" t="inlineStr"/>
      <c r="N1298" t="inlineStr"/>
      <c r="O1298">
        <f>(1-Summary!$B$11)*T1298+Summary!$B$11*V1298</f>
        <v/>
      </c>
      <c r="P1298">
        <f>IF(B1315=0,0,O1298/B1315)</f>
        <v/>
      </c>
      <c r="Q1298" t="n">
        <v>0</v>
      </c>
      <c r="R1298" t="n">
        <v>0</v>
      </c>
      <c r="S1298">
        <f>IFERROR(O1298/N1298,0)</f>
        <v/>
      </c>
      <c r="T1298" t="n">
        <v>0</v>
      </c>
      <c r="V1298" t="n">
        <v>0</v>
      </c>
    </row>
    <row r="1299">
      <c r="A1299">
        <f>Skills!A24</f>
        <v/>
      </c>
      <c r="B1299">
        <f>Skills!B24</f>
        <v/>
      </c>
      <c r="C1299">
        <f>Inputs!$B$3&gt;=40</f>
        <v/>
      </c>
      <c r="D1299">
        <f>IF(Skills!C24=1,60+Inputs!$B$25+Inputs!$B$29,IF(Skills!C24=2,90+Inputs!$B$26+Inputs!$B$29,IF(Skills!C24=3,120+Inputs!$B$27+Inputs!$B$29,MAX(0,(Inputs!$B$3-100)*3)+Inputs!$B$28+Inputs!$B$29)))</f>
        <v/>
      </c>
      <c r="E1299">
        <f>INDEX(FactorTable!$B$2:$Y$301, MATCH(ROUND(MIN(300,MAX(1,D1299)),0), FactorTable!$A$2:$A$301,0), Skills!M24+1)</f>
        <v/>
      </c>
      <c r="F1299">
        <f>IF(Skills!N24=TRUE,(Skills!L24/10)*(E1299/1000),Skills!L24/10)+Skills!O24</f>
        <v/>
      </c>
      <c r="G1299">
        <f>Skills!G24*IF(Skills!H24&gt;0,Skills!I24/Skills!H24,1)</f>
        <v/>
      </c>
      <c r="H1299">
        <f>1-(1-Skills!J24/100)^Skills!K24</f>
        <v/>
      </c>
      <c r="I1299" t="inlineStr">
        <is>
          <t>1</t>
        </is>
      </c>
      <c r="J1299" t="inlineStr"/>
      <c r="K1299" t="inlineStr"/>
      <c r="L1299" t="inlineStr"/>
      <c r="M1299" t="inlineStr"/>
      <c r="N1299" t="inlineStr"/>
      <c r="O1299">
        <f>(1-Summary!$B$11)*T1299+Summary!$B$11*V1299</f>
        <v/>
      </c>
      <c r="P1299">
        <f>IF(B1315=0,0,O1299/B1315)</f>
        <v/>
      </c>
      <c r="Q1299" t="n">
        <v>0</v>
      </c>
      <c r="R1299" t="n">
        <v>0</v>
      </c>
      <c r="S1299">
        <f>IFERROR(O1299/N1299,0)</f>
        <v/>
      </c>
      <c r="T1299" t="n">
        <v>0</v>
      </c>
      <c r="V1299" t="n">
        <v>0</v>
      </c>
    </row>
    <row r="1300">
      <c r="A1300">
        <f>Skills!A25</f>
        <v/>
      </c>
      <c r="B1300">
        <f>Skills!B25</f>
        <v/>
      </c>
      <c r="C1300">
        <f>Inputs!$B$3&gt;=72</f>
        <v/>
      </c>
      <c r="D1300">
        <f>IF(Skills!C25=1,60+Inputs!$B$25+Inputs!$B$29,IF(Skills!C25=2,90+Inputs!$B$26+Inputs!$B$29,IF(Skills!C25=3,120+Inputs!$B$27+Inputs!$B$29,MAX(0,(Inputs!$B$3-100)*3)+Inputs!$B$28+Inputs!$B$29)))</f>
        <v/>
      </c>
      <c r="E1300">
        <f>INDEX(FactorTable!$B$2:$Y$301, MATCH(ROUND(MIN(300,MAX(1,D1300)),0), FactorTable!$A$2:$A$301,0), Skills!M25+1)</f>
        <v/>
      </c>
      <c r="F1300">
        <f>IF(Skills!N25=TRUE,(Skills!L25/10)*(E1300/1000),Skills!L25/10)+Skills!O25</f>
        <v/>
      </c>
      <c r="G1300">
        <f>Skills!G25*IF(Skills!H25&gt;0,Skills!I25/Skills!H25,1)</f>
        <v/>
      </c>
      <c r="H1300">
        <f>1-(1-Skills!J25/100)^Skills!K25</f>
        <v/>
      </c>
      <c r="I1300" t="inlineStr">
        <is>
          <t>1</t>
        </is>
      </c>
      <c r="J1300" t="inlineStr"/>
      <c r="K1300" t="inlineStr"/>
      <c r="L1300" t="inlineStr"/>
      <c r="M1300" t="inlineStr"/>
      <c r="N1300" t="inlineStr"/>
      <c r="O1300">
        <f>(1-Summary!$B$11)*T1300+Summary!$B$11*V1300</f>
        <v/>
      </c>
      <c r="P1300">
        <f>IF(B1315=0,0,O1300/B1315)</f>
        <v/>
      </c>
      <c r="Q1300" t="n">
        <v>0</v>
      </c>
      <c r="R1300" t="n">
        <v>0</v>
      </c>
      <c r="S1300">
        <f>IFERROR(O1300/N1300,0)</f>
        <v/>
      </c>
      <c r="T1300" t="n">
        <v>0</v>
      </c>
      <c r="V1300" t="n">
        <v>0</v>
      </c>
    </row>
    <row r="1301">
      <c r="A1301">
        <f>Skills!A26</f>
        <v/>
      </c>
      <c r="B1301">
        <f>Skills!B26</f>
        <v/>
      </c>
      <c r="C1301">
        <f>Inputs!$B$3&gt;=75</f>
        <v/>
      </c>
      <c r="D1301">
        <f>IF(Skills!C26=1,60+Inputs!$B$25+Inputs!$B$29,IF(Skills!C26=2,90+Inputs!$B$26+Inputs!$B$29,IF(Skills!C26=3,120+Inputs!$B$27+Inputs!$B$29,MAX(0,(Inputs!$B$3-100)*3)+Inputs!$B$28+Inputs!$B$29)))</f>
        <v/>
      </c>
      <c r="E1301">
        <f>INDEX(FactorTable!$B$2:$Y$301, MATCH(ROUND(MIN(300,MAX(1,D1301)),0), FactorTable!$A$2:$A$301,0), Skills!M26+1)</f>
        <v/>
      </c>
      <c r="F1301">
        <f>IF(Skills!N26=TRUE,(Skills!L26/10)*(E1301/1000),Skills!L26/10)+Skills!O26</f>
        <v/>
      </c>
      <c r="G1301">
        <f>Skills!G26*IF(Skills!H26&gt;0,Skills!I26/Skills!H26,1)</f>
        <v/>
      </c>
      <c r="H1301">
        <f>1-(1-Skills!J26/100)^Skills!K26</f>
        <v/>
      </c>
      <c r="I1301" t="inlineStr">
        <is>
          <t>1</t>
        </is>
      </c>
      <c r="J1301" t="inlineStr"/>
      <c r="K1301" t="inlineStr"/>
      <c r="L1301" t="inlineStr"/>
      <c r="M1301" t="inlineStr"/>
      <c r="N1301" t="inlineStr"/>
      <c r="O1301">
        <f>(1-Summary!$B$11)*T1301+Summary!$B$11*V1301</f>
        <v/>
      </c>
      <c r="P1301">
        <f>IF(B1315=0,0,O1301/B1315)</f>
        <v/>
      </c>
      <c r="Q1301" t="n">
        <v>0</v>
      </c>
      <c r="R1301" t="n">
        <v>0</v>
      </c>
      <c r="S1301">
        <f>IFERROR(O1301/N1301,0)</f>
        <v/>
      </c>
      <c r="T1301" t="n">
        <v>0</v>
      </c>
      <c r="V1301" t="n">
        <v>0</v>
      </c>
    </row>
    <row r="1302">
      <c r="A1302">
        <f>Skills!A27</f>
        <v/>
      </c>
      <c r="B1302">
        <f>Skills!B27</f>
        <v/>
      </c>
      <c r="C1302">
        <f>Inputs!$B$3&gt;=117</f>
        <v/>
      </c>
      <c r="D1302">
        <f>IF(Skills!C27=1,60+Inputs!$B$25+Inputs!$B$29,IF(Skills!C27=2,90+Inputs!$B$26+Inputs!$B$29,IF(Skills!C27=3,120+Inputs!$B$27+Inputs!$B$29,MAX(0,(Inputs!$B$3-100)*3)+Inputs!$B$28+Inputs!$B$29)))</f>
        <v/>
      </c>
      <c r="E1302">
        <f>INDEX(FactorTable!$B$2:$Y$301, MATCH(ROUND(MIN(300,MAX(1,D1302)),0), FactorTable!$A$2:$A$301,0), Skills!M27+1)</f>
        <v/>
      </c>
      <c r="F1302">
        <f>IF(Skills!N27=TRUE,(Skills!L27/10)*(E1302/1000),Skills!L27/10)+Skills!O27</f>
        <v/>
      </c>
      <c r="G1302">
        <f>Skills!G27*IF(Skills!H27&gt;0,Skills!I27/Skills!H27,1)</f>
        <v/>
      </c>
      <c r="H1302">
        <f>1-(1-Skills!J27/100)^Skills!K27</f>
        <v/>
      </c>
      <c r="I1302" t="inlineStr">
        <is>
          <t>1</t>
        </is>
      </c>
      <c r="J1302" t="inlineStr"/>
      <c r="K1302" t="inlineStr"/>
      <c r="L1302" t="inlineStr"/>
      <c r="M1302" t="inlineStr"/>
      <c r="N1302" t="inlineStr"/>
      <c r="O1302">
        <f>(1-Summary!$B$11)*T1302+Summary!$B$11*V1302</f>
        <v/>
      </c>
      <c r="P1302">
        <f>IF(B1315=0,0,O1302/B1315)</f>
        <v/>
      </c>
      <c r="Q1302" t="n">
        <v>0</v>
      </c>
      <c r="R1302" t="n">
        <v>0</v>
      </c>
      <c r="S1302">
        <f>IFERROR(O1302/N1302,0)</f>
        <v/>
      </c>
      <c r="T1302" t="n">
        <v>0</v>
      </c>
      <c r="V1302" t="n">
        <v>0</v>
      </c>
    </row>
    <row r="1304">
      <c r="A1304" t="inlineStr">
        <is>
          <t>Attack% Bucket Multiplier</t>
        </is>
      </c>
      <c r="B1304">
        <f>(1+(((C1292=TRUE)*F1292)+((C1299=TRUE)*(F1299-Calc!F24))+(IF(ArtifactsInput!$M$21,CHOOSE(ArtifactsInput!$N$21+1,25,30,35,40,45,50)*(IF(OR(Inputs!$B$4="Chapter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05">
      <c r="A1305" t="inlineStr">
        <is>
          <t>Global Crit Rate Bonus %</t>
        </is>
      </c>
      <c r="B1305" t="n">
        <v>0</v>
      </c>
    </row>
    <row r="1306">
      <c r="A1306" t="inlineStr">
        <is>
          <t>Attack Speed Buff Bonus % (unused)</t>
        </is>
      </c>
      <c r="B1306" t="n">
        <v>0</v>
      </c>
    </row>
    <row r="1307">
      <c r="A1307" t="inlineStr">
        <is>
          <t>Actions Per Second</t>
        </is>
      </c>
      <c r="B1307">
        <f>1+MIN(150,150*(1-(1-(Inputs!$B$11+((C1295=TRUE)*(F1295-Calc!F20))+((C1296=TRUE)*(F1296-Calc!F21)))/150)*(1-B1306/150)))/100</f>
        <v/>
      </c>
    </row>
    <row r="1308">
      <c r="A1308" t="inlineStr">
        <is>
          <t>Skill + Buff Cast Rate</t>
        </is>
      </c>
      <c r="B1308">
        <f>IF(AND(Inputs!$B$38&lt;&gt;"pvp",Inputs!$B$43&gt;0),SUMPRODUCT((Skills!E2:E27=TRUE)*(C1277:C1302=TRUE)*R1277:R1302*Skills!F2:F27)/Inputs!$B$43,SUMPRODUCT((Skills!E2:E27=TRUE)*(C1277:C1302=TRUE)*Q1277:Q1302*Skills!F2:F27))</f>
        <v/>
      </c>
    </row>
    <row r="1309">
      <c r="A1309" t="inlineStr">
        <is>
          <t>Eight-Legs Easton Casts Per Second</t>
        </is>
      </c>
      <c r="B1309">
        <f>MAX(0,B1307-B1308)</f>
        <v/>
      </c>
    </row>
    <row r="1310">
      <c r="A1310" t="inlineStr">
        <is>
          <t>Global Critical Damage Bonus % (unused)</t>
        </is>
      </c>
      <c r="B1310" t="n">
        <v>0</v>
      </c>
    </row>
    <row r="1311">
      <c r="A1311" t="inlineStr">
        <is>
          <t>Global Final Damage Bonus % (Jolly Roger only)</t>
        </is>
      </c>
      <c r="B1311">
        <f>((C1293=TRUE)*F1293)</f>
        <v/>
      </c>
    </row>
    <row r="1312">
      <c r="A1312" t="inlineStr">
        <is>
          <t>Buff-Casting Startup Delay (s, fixed-duration only)</t>
        </is>
      </c>
      <c r="B1312">
        <f>IF(AND(Inputs!$B$38&lt;&gt;"pvp",Inputs!$B$43&gt;0),SUMPRODUCT((Skills!T2:T27&gt;0)*(Skills!E2:E27=TRUE)*(C1277:C1302=TRUE))/B1307,0)</f>
        <v/>
      </c>
    </row>
    <row r="1313">
      <c r="A1313" t="inlineStr">
        <is>
          <t>Boss-Only Total DPS (this block's swept value)</t>
        </is>
      </c>
      <c r="B1313">
        <f>SUM(T1277:T1302)</f>
        <v/>
      </c>
    </row>
    <row r="1314">
      <c r="A1314" t="inlineStr">
        <is>
          <t>Normal-Only Total DPS (this block's swept value)</t>
        </is>
      </c>
      <c r="B1314">
        <f>SUM(V1277:V1302)</f>
        <v/>
      </c>
    </row>
    <row r="1315">
      <c r="A1315" s="6" t="inlineStr">
        <is>
          <t>TOTAL DPS</t>
        </is>
      </c>
      <c r="B1315" s="6">
        <f>SUM(O1277:O1302)</f>
        <v/>
      </c>
    </row>
    <row r="1318">
      <c r="A1318" s="6" t="inlineStr">
        <is>
          <t>Stat: The Contract of Darkness (Equip)</t>
        </is>
      </c>
    </row>
    <row r="1319">
      <c r="A1319" s="5" t="inlineStr">
        <is>
          <t>Key</t>
        </is>
      </c>
      <c r="B1319" s="5" t="inlineStr">
        <is>
          <t>Name</t>
        </is>
      </c>
      <c r="C1319" s="5" t="inlineStr">
        <is>
          <t>Unlocked</t>
        </is>
      </c>
      <c r="D1319" s="5" t="inlineStr">
        <is>
          <t>InputLevel</t>
        </is>
      </c>
      <c r="E1319" s="5" t="inlineStr">
        <is>
          <t>Factor</t>
        </is>
      </c>
      <c r="F1319" s="5" t="inlineStr">
        <is>
          <t>CoefficientPercent</t>
        </is>
      </c>
      <c r="G1319" s="5" t="inlineStr">
        <is>
          <t>EffectiveHits</t>
        </is>
      </c>
      <c r="H1319" s="5" t="inlineStr">
        <is>
          <t>ProcProbability</t>
        </is>
      </c>
      <c r="I1319" s="5" t="inlineStr">
        <is>
          <t>MapleHeroMultiplier</t>
        </is>
      </c>
      <c r="J1319" s="5" t="inlineStr">
        <is>
          <t>BaseDamage</t>
        </is>
      </c>
      <c r="K1319" s="5" t="inlineStr">
        <is>
          <t>BaseHitDamage</t>
        </is>
      </c>
      <c r="L1319" s="5" t="inlineStr">
        <is>
          <t>NonCritAvg</t>
        </is>
      </c>
      <c r="M1319" s="5" t="inlineStr">
        <is>
          <t>CritAvg</t>
        </is>
      </c>
      <c r="N1319" s="5" t="inlineStr">
        <is>
          <t>ExpectedDamage(perHit)</t>
        </is>
      </c>
      <c r="O1319" s="5" t="inlineStr">
        <is>
          <t>DPS</t>
        </is>
      </c>
      <c r="P1319" s="5" t="inlineStr">
        <is>
          <t>% of Total</t>
        </is>
      </c>
      <c r="Q1319" s="5" t="inlineStr">
        <is>
          <t>InvCooldown</t>
        </is>
      </c>
      <c r="R1319" s="5" t="inlineStr">
        <is>
          <t>CastsInFight</t>
        </is>
      </c>
      <c r="S1319" s="5" t="inlineStr">
        <is>
          <t>HitRate(perSec)</t>
        </is>
      </c>
      <c r="U1319" t="inlineStr">
        <is>
          <t>helpers</t>
        </is>
      </c>
    </row>
    <row r="1320">
      <c r="A1320">
        <f>Skills!A2</f>
        <v/>
      </c>
      <c r="B1320">
        <f>Skills!B2</f>
        <v/>
      </c>
      <c r="C1320">
        <f>Inputs!$B$3&gt;=100</f>
        <v/>
      </c>
      <c r="D1320" t="inlineStr"/>
      <c r="E1320" t="inlineStr"/>
      <c r="F1320">
        <f>U1322+Skills!O2</f>
        <v/>
      </c>
      <c r="G1320">
        <f>Skills!G2*IF(Skills!H2&gt;0,Skills!I2/Skills!H2,1)</f>
        <v/>
      </c>
      <c r="H1320">
        <f>1-(1-Skills!J2/100)^Skills!K2</f>
        <v/>
      </c>
      <c r="I1320" t="inlineStr">
        <is>
          <t>1</t>
        </is>
      </c>
      <c r="J1320">
        <f>((Inputs!$B$6*(1+Inputs!$B$7/100))+(((Inputs!$B$12*(1+Inputs!$B$13/100))-(Inputs!$B$12*(1+Inputs!$B$13/100)))+0.25*(Inputs!$B$14-Inputs!$B$14))*(1+Inputs!$B$7/100))*(F1320/100)</f>
        <v/>
      </c>
      <c r="K1320">
        <f>J1320*(1+((Inputs!$B$12*(1+Inputs!$B$13/100))*0.01+Inputs!$B$14*0.0025)/100)*(1+Inputs!$B$15/100)*(1+Inputs!$B$16/100)*(5000/(6000+Inputs!$B$42*(1-(100*(1-(1-(Inputs!$B$19+0)/100)*(1-CHOOSE(ArtifactsInput!$N$40+1,5,6,7,8,9,10)/100)^(ArtifactsInput!$M$40-ArtifactsInput!$M$40)))/100)))*(1+(Inputs!$B$24+((C1344=TRUE)*(F1344-Calc!F26))+B1354)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1341=TRUE)*(F1341-Calc!F23))+((C1345=TRUE)*(F1345-Calc!F27))+(((IF(AND(ArtifactsInput!$M$42,((Inputs!$B$9+((C1337=TRUE)*(F1337-Calc!F19))+B1348+(ArtifactsInput!$M$24-ArtifactsInput!$M$24)*CHOOSE(ArtifactsInput!$N$24+1,10,12,14,16,18,20)+IF(ArtifactsInput!$M$10,CHOOSE(ArtifactsInput!$N$10+1,15,18,21,24,27,30)*(IF(Inputs!$B$38="pvp",MIN(15,15)/15,IF(AND(Inputs!$B$38&lt;&gt;"pvp",Inputs!$B$43&gt;0),MIN(15,Inputs!$B$43)/(Inputs!$B$43),0))),0)))&gt;=100),MIN(100,((Inputs!$B$9+((C1337=TRUE)*(F1337-Calc!F19))+B1348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1337=TRUE)*(F1337-Calc!F19))+B1348+(ArtifactsInput!$M$24-ArtifactsInput!$M$24)*CHOOSE(ArtifactsInput!$N$24+1,10,12,14,16,18,20)+IF(ArtifactsInput!$M$10,CHOOSE(ArtifactsInput!$N$10+1,15,18,21,24,27,30)*(IF(Inputs!$B$38="pvp",MIN(15,15)/15,IF(AND(Inputs!$B$38&lt;&gt;"pvp",Inputs!$B$43&gt;0),MIN(15,Inputs!$B$43)/(Inputs!$B$43),0))),0)))&gt;=100),CHOOSE(ArtifactsInput!$N$42+1,40,48,56,64,72,80),0))))/100)*((1+(((C1335=TRUE)*F1335)+((C1342=TRUE)*(F1342-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1320)</f>
        <v/>
      </c>
      <c r="L1320">
        <f>K1320*(MIN(Inputs!$B$22+((C1340=TRUE)*(F1340-Calc!F22)),(Inputs!$B$23+0+(IF(ArtifactsInput!$M$15,CHOOSE(ArtifactsInput!$N$15+1,25,30,35,40,45,50)/100*(Inputs!$B$11-Inputs!$B$11),0))))/100+(Inputs!$B$23+0+(IF(ArtifactsInput!$M$15,CHOOSE(ArtifactsInput!$N$15+1,25,30,35,40,45,50)/100*(Inputs!$B$11-Inputs!$B$11),0)))/100)/2</f>
        <v/>
      </c>
      <c r="M1320">
        <f>L1320*(1+(Inputs!$B$10+((C1343=TRUE)*(F1343-Calc!F25))+B1353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0">
        <f>L1320*(1-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1320*(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0">
        <f>(1-Summary!$B$11)*T1320+Summary!$B$11*V1320</f>
        <v/>
      </c>
      <c r="P1320">
        <f>IF(B1358=0,0,O1320/B1358)</f>
        <v/>
      </c>
      <c r="Q1320" t="n">
        <v>0</v>
      </c>
      <c r="R1320" t="n">
        <v>0</v>
      </c>
      <c r="S1320">
        <f>IFERROR(O1320/N1320,0)</f>
        <v/>
      </c>
      <c r="T1320">
        <f>IF(C1320,(Skills!G2*N1320*B1352)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1320*(1-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1320*(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1320*(1-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1320*(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0">
        <f>MAX(0,(Inputs!$B$3-100)*3)+Inputs!$B$28+Inputs!$B$29</f>
        <v/>
      </c>
      <c r="V1320">
        <f>IF(C1320,(Skills!G2*N1320*B1352)*IF(Inputs!$B$38="pvp",1,(1+(Inputs!$B$21+Skills!Q2+(IF(ArtifactsInput!$M$33,CHOOSE(ArtifactsInput!$N$33+1,30,36,42,48,54,60),0))+(IF(AND(ArtifactsInput!$M$35,Inputs!$B$4&lt;&gt;"Chapter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1">
      <c r="A1321">
        <f>Skills!A3</f>
        <v/>
      </c>
      <c r="B1321">
        <f>Skills!B3</f>
        <v/>
      </c>
      <c r="C1321">
        <f>Inputs!$B$3&gt;=35</f>
        <v/>
      </c>
      <c r="D1321">
        <f>IF(Skills!C3=1,60+Inputs!$B$25+Inputs!$B$29,IF(Skills!C3=2,90+Inputs!$B$26+Inputs!$B$29,IF(Skills!C3=3,120+Inputs!$B$27+Inputs!$B$29,MAX(0,(Inputs!$B$3-100)*3)+Inputs!$B$28+Inputs!$B$29)))</f>
        <v/>
      </c>
      <c r="E1321">
        <f>INDEX(FactorTable!$B$2:$Y$301, MATCH(ROUND(MIN(300,MAX(1,D1321)),0), FactorTable!$A$2:$A$301,0), Skills!M3+1)</f>
        <v/>
      </c>
      <c r="F1321">
        <f>IF(Skills!N3=TRUE,(Skills!L3/10)*(E1321/1000),Skills!L3/10)+Skills!O3</f>
        <v/>
      </c>
      <c r="G1321">
        <f>Skills!G3*IF(Skills!H3&gt;0,Skills!I3/Skills!H3,1)</f>
        <v/>
      </c>
      <c r="H1321">
        <f>1-(1-Skills!J3/100)^Skills!K3</f>
        <v/>
      </c>
      <c r="I1321" t="inlineStr">
        <is>
          <t>1</t>
        </is>
      </c>
      <c r="J1321">
        <f>((Inputs!$B$6*(1+Inputs!$B$7/100))+(((Inputs!$B$12*(1+Inputs!$B$13/100))-(Inputs!$B$12*(1+Inputs!$B$13/100)))+0.25*(Inputs!$B$14-Inputs!$B$14))*(1+Inputs!$B$7/100))*(F1321/100)</f>
        <v/>
      </c>
      <c r="K1321">
        <f>J1321*(1+((Inputs!$B$12*(1+Inputs!$B$13/100))*0.01+Inputs!$B$14*0.0025)/100)*(1+Inputs!$B$15/100)*(1+Inputs!$B$16/100)*(5000/(6000+Inputs!$B$42*(1-(100*(1-(1-(Inputs!$B$19+0)/100)*(1-CHOOSE(ArtifactsInput!$N$40+1,5,6,7,8,9,10)/100)^(ArtifactsInput!$M$40-ArtifactsInput!$M$40)))/100)))*(1+(Inputs!$B$24+((C1344=TRUE)*(F1344-Calc!F26))+B1354)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1333=TRUE,F1333,0)/100)*(1+(IF(Skills!A3="EIGHT_LEGS_EASTON",Inputs!$B$17+((C1341=TRUE)*(F1341-Calc!F23))+((C1345=TRUE)*(F1345-Calc!F27))+(((IF(AND(ArtifactsInput!$M$42,((Inputs!$B$9+((C1337=TRUE)*(F1337-Calc!F19))+B1348+(ArtifactsInput!$M$24-ArtifactsInput!$M$24)*CHOOSE(ArtifactsInput!$N$24+1,10,12,14,16,18,20)+IF(ArtifactsInput!$M$10,CHOOSE(ArtifactsInput!$N$10+1,15,18,21,24,27,30)*(IF(Inputs!$B$38="pvp",MIN(15,15)/15,IF(AND(Inputs!$B$38&lt;&gt;"pvp",Inputs!$B$43&gt;0),MIN(15,Inputs!$B$43)/(Inputs!$B$43),0))),0)))&gt;=100),MIN(100,((Inputs!$B$9+((C1337=TRUE)*(F1337-Calc!F19))+B1348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1337=TRUE)*(F1337-Calc!F19))+B1348+(ArtifactsInput!$M$24-ArtifactsInput!$M$24)*CHOOSE(ArtifactsInput!$N$24+1,10,12,14,16,18,20)+IF(ArtifactsInput!$M$10,CHOOSE(ArtifactsInput!$N$10+1,15,18,21,24,27,30)*(IF(Inputs!$B$38="pvp",MIN(15,15)/15,IF(AND(Inputs!$B$38&lt;&gt;"pvp",Inputs!$B$43&gt;0),MIN(15,Inputs!$B$43)/(Inputs!$B$43),0))),0)))&gt;=100),CHOOSE(ArtifactsInput!$N$42+1,40,48,56,64,72,80),0))))/100)*((1+(((C1335=TRUE)*F1335)+((C1342=TRUE)*(F1342-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1321)</f>
        <v/>
      </c>
      <c r="L1321">
        <f>K1321*(MIN(Inputs!$B$22+((C1340=TRUE)*(F1340-Calc!F22)),(Inputs!$B$23+0+(IF(ArtifactsInput!$M$15,CHOOSE(ArtifactsInput!$N$15+1,25,30,35,40,45,50)/100*(Inputs!$B$11-Inputs!$B$11),0))))/100+(Inputs!$B$23+0+(IF(ArtifactsInput!$M$15,CHOOSE(ArtifactsInput!$N$15+1,25,30,35,40,45,50)/100*(Inputs!$B$11-Inputs!$B$11),0)))/100)/2</f>
        <v/>
      </c>
      <c r="M1321">
        <f>L1321*(1+(Inputs!$B$10+((C1343=TRUE)*(F1343-Calc!F25))+B1353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1">
        <f>L1321*(1-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1">
        <f>(1-Summary!$B$11)*T1321+Summary!$B$11*V1321</f>
        <v/>
      </c>
      <c r="P1321">
        <f>IF(B1358=0,0,O1321/B1358)</f>
        <v/>
      </c>
      <c r="Q1321">
        <f>IFERROR(1/(IF(Inputs!$B$38="pvp",15,MAX(0.1,Skills!D3-IF(Skills!E3=TRUE,Inputs!$B$32,0)))*(1-IF(AND(ArtifactsInput!$M$27,Inputs!$B$4="Chapter Hunt"),CHOOSE(ArtifactsInput!$N$27+1,20,24,28,32,36,40),0)/100)),0)</f>
        <v/>
      </c>
      <c r="R1321">
        <f>IF(AND(Inputs!$B$38&lt;&gt;"pvp",Inputs!$B$43&gt;0),IF(MAX(0,Inputs!$B$43-B1355)&lt;=0,0,(INT(MAX(0,Inputs!$B$43-B1355)/(IF(Inputs!$B$38="pvp",15,MAX(0.1,Skills!D3-IF(Skills!E3=TRUE,Inputs!$B$32,0)))*(1-IF(AND(ArtifactsInput!$M$27,Inputs!$B$4="Chapter Hunt"),CHOOSE(ArtifactsInput!$N$27+1,20,24,28,32,36,40),0)/100)))+1)),0)</f>
        <v/>
      </c>
      <c r="S1321">
        <f>IFERROR(O1321/N1321,0)</f>
        <v/>
      </c>
      <c r="T1321">
        <f>IF(C1321,(H1321*N1321*IF(AND(Inputs!$B$38&lt;&gt;"pvp",Inputs!$B$43&gt;0),((Skills!G3*((R1321-1)*IF(Skills!H3&gt;0,Skills!I3/Skills!H3,1)+IF(Skills!H3&gt;0,MIN(Skills!I3,MAX(0,MAX(0,Inputs!$B$43-B1355)-((R1321-1)*(IF(Inputs!$B$38="pvp",15,MAX(0.1,Skills!D3-IF(Skills!E3=TRUE,Inputs!$B$32,0)))*(1-IF(AND(ArtifactsInput!$M$27,Inputs!$B$4="Chapter Hunt"),CHOOSE(ArtifactsInput!$N$27+1,20,24,28,32,36,40),0)/100)))))/Skills!H3,1)))/Inputs!$B$43),G1321*Q1321)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1321*(1-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1321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1321*(1-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1">
        <f>INDEX(FactorTable!$B$2:$Y$301, MATCH(ROUND(MIN(300,MAX(1,U1320)),0), FactorTable!$A$2:$A$301,0), 22)</f>
        <v/>
      </c>
      <c r="V1321">
        <f>IF(C1321,(H1321*N1321*IF(AND(Inputs!$B$38&lt;&gt;"pvp",Inputs!$B$43&gt;0),((Skills!G3*((R1321-1)*IF(Skills!H3&gt;0,Skills!I3/Skills!H3,1)+IF(Skills!H3&gt;0,MIN(Skills!I3,MAX(0,MAX(0,Inputs!$B$43-B1355)-((R1321-1)*(IF(Inputs!$B$38="pvp",15,MAX(0.1,Skills!D3-IF(Skills!E3=TRUE,Inputs!$B$32,0)))*(1-IF(AND(ArtifactsInput!$M$27,Inputs!$B$4="Chapter Hunt"),CHOOSE(ArtifactsInput!$N$27+1,20,24,28,32,36,40),0)/100)))))/Skills!H3,1)))/Inputs!$B$43),G1321*Q1321))*IF(Inputs!$B$38="pvp",1,(1+(Inputs!$B$21+Skills!Q3+(IF(ArtifactsInput!$M$33,CHOOSE(ArtifactsInput!$N$33+1,30,36,42,48,54,60)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2">
      <c r="A1322">
        <f>Skills!A4</f>
        <v/>
      </c>
      <c r="B1322">
        <f>Skills!B4</f>
        <v/>
      </c>
      <c r="C1322">
        <f>Inputs!$B$3&gt;=40</f>
        <v/>
      </c>
      <c r="D1322">
        <f>IF(Skills!C4=1,60+Inputs!$B$25+Inputs!$B$29,IF(Skills!C4=2,90+Inputs!$B$26+Inputs!$B$29,IF(Skills!C4=3,120+Inputs!$B$27+Inputs!$B$29,MAX(0,(Inputs!$B$3-100)*3)+Inputs!$B$28+Inputs!$B$29)))</f>
        <v/>
      </c>
      <c r="E1322">
        <f>INDEX(FactorTable!$B$2:$Y$301, MATCH(ROUND(MIN(300,MAX(1,D1322)),0), FactorTable!$A$2:$A$301,0), Skills!M4+1)</f>
        <v/>
      </c>
      <c r="F1322">
        <f>IF(Skills!N4=TRUE,(Skills!L4/10)*(E1322/1000),Skills!L4/10)+Skills!O4</f>
        <v/>
      </c>
      <c r="G1322">
        <f>Skills!G4*IF(Skills!H4&gt;0,Skills!I4/Skills!H4,1)</f>
        <v/>
      </c>
      <c r="H1322">
        <f>1-(1-Skills!J4/100)^Skills!K4</f>
        <v/>
      </c>
      <c r="I1322" t="inlineStr">
        <is>
          <t>1</t>
        </is>
      </c>
      <c r="J1322">
        <f>((Inputs!$B$6*(1+Inputs!$B$7/100))+(((Inputs!$B$12*(1+Inputs!$B$13/100))-(Inputs!$B$12*(1+Inputs!$B$13/100)))+0.25*(Inputs!$B$14-Inputs!$B$14))*(1+Inputs!$B$7/100))*(F1322/100)</f>
        <v/>
      </c>
      <c r="K1322">
        <f>J1322*(1+((Inputs!$B$12*(1+Inputs!$B$13/100))*0.01+Inputs!$B$14*0.0025)/100)*(1+Inputs!$B$15/100)*(1+Inputs!$B$16/100)*(5000/(6000+Inputs!$B$42*(1-(100*(1-(1-(Inputs!$B$19+0)/100)*(1-CHOOSE(ArtifactsInput!$N$40+1,5,6,7,8,9,10)/100)^(ArtifactsInput!$M$40-ArtifactsInput!$M$40)))/100)))*(1+(Inputs!$B$24+((C1344=TRUE)*(F1344-Calc!F26))+B1354)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1334=TRUE,F1334,0)/100)*(1+(IF(Skills!A4="EIGHT_LEGS_EASTON",Inputs!$B$17+((C1341=TRUE)*(F1341-Calc!F23))+((C1345=TRUE)*(F1345-Calc!F27))+(((IF(AND(ArtifactsInput!$M$42,((Inputs!$B$9+((C1337=TRUE)*(F1337-Calc!F19))+B1348+(ArtifactsInput!$M$24-ArtifactsInput!$M$24)*CHOOSE(ArtifactsInput!$N$24+1,10,12,14,16,18,20)+IF(ArtifactsInput!$M$10,CHOOSE(ArtifactsInput!$N$10+1,15,18,21,24,27,30)*(IF(Inputs!$B$38="pvp",MIN(15,15)/15,IF(AND(Inputs!$B$38&lt;&gt;"pvp",Inputs!$B$43&gt;0),MIN(15,Inputs!$B$43)/(Inputs!$B$43),0))),0)))&gt;=100),MIN(100,((Inputs!$B$9+((C1337=TRUE)*(F1337-Calc!F19))+B1348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1337=TRUE)*(F1337-Calc!F19))+B1348+(ArtifactsInput!$M$24-ArtifactsInput!$M$24)*CHOOSE(ArtifactsInput!$N$24+1,10,12,14,16,18,20)+IF(ArtifactsInput!$M$10,CHOOSE(ArtifactsInput!$N$10+1,15,18,21,24,27,30)*(IF(Inputs!$B$38="pvp",MIN(15,15)/15,IF(AND(Inputs!$B$38&lt;&gt;"pvp",Inputs!$B$43&gt;0),MIN(15,Inputs!$B$43)/(Inputs!$B$43),0))),0)))&gt;=100),CHOOSE(ArtifactsInput!$N$42+1,40,48,56,64,72,80),0))))/100)*((1+(((C1335=TRUE)*F1335)+((C1342=TRUE)*(F1342-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1322)</f>
        <v/>
      </c>
      <c r="L1322">
        <f>K1322*(MIN(Inputs!$B$22+((C1340=TRUE)*(F1340-Calc!F22)),(Inputs!$B$23+0+(IF(ArtifactsInput!$M$15,CHOOSE(ArtifactsInput!$N$15+1,25,30,35,40,45,50)/100*(Inputs!$B$11-Inputs!$B$11),0))))/100+(Inputs!$B$23+0+(IF(ArtifactsInput!$M$15,CHOOSE(ArtifactsInput!$N$15+1,25,30,35,40,45,50)/100*(Inputs!$B$11-Inputs!$B$11),0)))/100)/2</f>
        <v/>
      </c>
      <c r="M1322">
        <f>L1322*(1+(Inputs!$B$10+((C1343=TRUE)*(F1343-Calc!F25))+B1353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2">
        <f>L1322*(1-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1322*(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2">
        <f>(1-Summary!$B$11)*T1322+Summary!$B$11*V1322</f>
        <v/>
      </c>
      <c r="P1322">
        <f>IF(B1358=0,0,O1322/B1358)</f>
        <v/>
      </c>
      <c r="Q1322">
        <f>IFERROR(1/(IF(Inputs!$B$38="pvp",15,MAX(0.1,Skills!D4-IF(Skills!E4=TRUE,Inputs!$B$32,0)))*(1-IF(AND(ArtifactsInput!$M$27,Inputs!$B$4="Chapter Hunt"),CHOOSE(ArtifactsInput!$N$27+1,20,24,28,32,36,40),0)/100)),0)</f>
        <v/>
      </c>
      <c r="R1322">
        <f>IF(AND(Inputs!$B$38&lt;&gt;"pvp",Inputs!$B$43&gt;0),IF(MAX(0,Inputs!$B$43-B1355)&lt;=0,0,(INT(MAX(0,Inputs!$B$43-B1355)/(IF(Inputs!$B$38="pvp",15,MAX(0.1,Skills!D4-IF(Skills!E4=TRUE,Inputs!$B$32,0)))*(1-IF(AND(ArtifactsInput!$M$27,Inputs!$B$4="Chapter Hunt"),CHOOSE(ArtifactsInput!$N$27+1,20,24,28,32,36,40),0)/100)))+1)),0)</f>
        <v/>
      </c>
      <c r="S1322">
        <f>IFERROR(O1322/N1322,0)</f>
        <v/>
      </c>
      <c r="T1322">
        <f>IF(C1322,(H1322*N1322*IF(AND(Inputs!$B$38&lt;&gt;"pvp",Inputs!$B$43&gt;0),((Skills!G4*((R1322-1)*IF(Skills!H4&gt;0,Skills!I4/Skills!H4,1)+IF(Skills!H4&gt;0,MIN(Skills!I4,MAX(0,MAX(0,Inputs!$B$43-B1355)-((R1322-1)*(IF(Inputs!$B$38="pvp",15,MAX(0.1,Skills!D4-IF(Skills!E4=TRUE,Inputs!$B$32,0)))*(1-IF(AND(ArtifactsInput!$M$27,Inputs!$B$4="Chapter Hunt"),CHOOSE(ArtifactsInput!$N$27+1,20,24,28,32,36,40),0)/100)))))/Skills!H4,1)))/Inputs!$B$43),G1322*Q1322)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1322*(1-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1322*(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1322*(1-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1322*(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2">
        <f>290*U1321/1000</f>
        <v/>
      </c>
      <c r="V1322">
        <f>IF(C1322,(H1322*N1322*IF(AND(Inputs!$B$38&lt;&gt;"pvp",Inputs!$B$43&gt;0),((Skills!G4*((R1322-1)*IF(Skills!H4&gt;0,Skills!I4/Skills!H4,1)+IF(Skills!H4&gt;0,MIN(Skills!I4,MAX(0,MAX(0,Inputs!$B$43-B1355)-((R1322-1)*(IF(Inputs!$B$38="pvp",15,MAX(0.1,Skills!D4-IF(Skills!E4=TRUE,Inputs!$B$32,0)))*(1-IF(AND(ArtifactsInput!$M$27,Inputs!$B$4="Chapter Hunt"),CHOOSE(ArtifactsInput!$N$27+1,20,24,28,32,36,40),0)/100)))))/Skills!H4,1)))/Inputs!$B$43),G1322*Q1322))*IF(Inputs!$B$38="pvp",1,(1+(Inputs!$B$21+Skills!Q4+(IF(ArtifactsInput!$M$33,CHOOSE(ArtifactsInput!$N$33+1,30,36,42,48,54,60)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3">
      <c r="A1323">
        <f>Skills!A5</f>
        <v/>
      </c>
      <c r="B1323">
        <f>Skills!B5</f>
        <v/>
      </c>
      <c r="C1323">
        <f>Inputs!$B$3&gt;=45</f>
        <v/>
      </c>
      <c r="D1323">
        <f>IF(Skills!C5=1,60+Inputs!$B$25+Inputs!$B$29,IF(Skills!C5=2,90+Inputs!$B$26+Inputs!$B$29,IF(Skills!C5=3,120+Inputs!$B$27+Inputs!$B$29,MAX(0,(Inputs!$B$3-100)*3)+Inputs!$B$28+Inputs!$B$29)))</f>
        <v/>
      </c>
      <c r="E1323">
        <f>INDEX(FactorTable!$B$2:$Y$301, MATCH(ROUND(MIN(300,MAX(1,D1323)),0), FactorTable!$A$2:$A$301,0), Skills!M5+1)</f>
        <v/>
      </c>
      <c r="F1323">
        <f>IF(Skills!N5=TRUE,(Skills!L5/10)*(E1323/1000),Skills!L5/10)+Skills!O5</f>
        <v/>
      </c>
      <c r="G1323">
        <f>Skills!G5*IF(Skills!H5&gt;0,Skills!I5/Skills!H5,1)</f>
        <v/>
      </c>
      <c r="H1323">
        <f>1-(1-Skills!J5/100)^Skills!K5</f>
        <v/>
      </c>
      <c r="I1323" t="inlineStr">
        <is>
          <t>1</t>
        </is>
      </c>
      <c r="J1323">
        <f>((Inputs!$B$6*(1+Inputs!$B$7/100))+(((Inputs!$B$12*(1+Inputs!$B$13/100))-(Inputs!$B$12*(1+Inputs!$B$13/100)))+0.25*(Inputs!$B$14-Inputs!$B$14))*(1+Inputs!$B$7/100))*(F1323/100)</f>
        <v/>
      </c>
      <c r="K1323">
        <f>J1323*(1+((Inputs!$B$12*(1+Inputs!$B$13/100))*0.01+Inputs!$B$14*0.0025)/100)*(1+Inputs!$B$15/100)*(1+Inputs!$B$16/100)*(5000/(6000+Inputs!$B$42*(1-(100*(1-(1-(Inputs!$B$19+0)/100)*(1-CHOOSE(ArtifactsInput!$N$40+1,5,6,7,8,9,10)/100)^(ArtifactsInput!$M$40-ArtifactsInput!$M$40)))/100)))*(1+(Inputs!$B$24+((C1344=TRUE)*(F1344-Calc!F26))+B1354)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1334=TRUE,F1334,0)/100)*(1+(IF(Skills!A5="EIGHT_LEGS_EASTON",Inputs!$B$17+((C1341=TRUE)*(F1341-Calc!F23))+((C1345=TRUE)*(F1345-Calc!F27))+(((IF(AND(ArtifactsInput!$M$42,((Inputs!$B$9+((C1337=TRUE)*(F1337-Calc!F19))+B1348+(ArtifactsInput!$M$24-ArtifactsInput!$M$24)*CHOOSE(ArtifactsInput!$N$24+1,10,12,14,16,18,20)+IF(ArtifactsInput!$M$10,CHOOSE(ArtifactsInput!$N$10+1,15,18,21,24,27,30)*(IF(Inputs!$B$38="pvp",MIN(15,15)/15,IF(AND(Inputs!$B$38&lt;&gt;"pvp",Inputs!$B$43&gt;0),MIN(15,Inputs!$B$43)/(Inputs!$B$43),0))),0)))&gt;=100),MIN(100,((Inputs!$B$9+((C1337=TRUE)*(F1337-Calc!F19))+B1348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1337=TRUE)*(F1337-Calc!F19))+B1348+(ArtifactsInput!$M$24-ArtifactsInput!$M$24)*CHOOSE(ArtifactsInput!$N$24+1,10,12,14,16,18,20)+IF(ArtifactsInput!$M$10,CHOOSE(ArtifactsInput!$N$10+1,15,18,21,24,27,30)*(IF(Inputs!$B$38="pvp",MIN(15,15)/15,IF(AND(Inputs!$B$38&lt;&gt;"pvp",Inputs!$B$43&gt;0),MIN(15,Inputs!$B$43)/(Inputs!$B$43),0))),0)))&gt;=100),CHOOSE(ArtifactsInput!$N$42+1,40,48,56,64,72,80),0))))/100)*((1+(((C1335=TRUE)*F1335)+((C1342=TRUE)*(F1342-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1323)</f>
        <v/>
      </c>
      <c r="L1323">
        <f>K1323*(MIN(Inputs!$B$22+((C1340=TRUE)*(F1340-Calc!F22)),(Inputs!$B$23+0+(IF(ArtifactsInput!$M$15,CHOOSE(ArtifactsInput!$N$15+1,25,30,35,40,45,50)/100*(Inputs!$B$11-Inputs!$B$11),0))))/100+(Inputs!$B$23+0+(IF(ArtifactsInput!$M$15,CHOOSE(ArtifactsInput!$N$15+1,25,30,35,40,45,50)/100*(Inputs!$B$11-Inputs!$B$11),0)))/100)/2</f>
        <v/>
      </c>
      <c r="M1323">
        <f>L1323*(1+(Inputs!$B$10+((C1343=TRUE)*(F1343-Calc!F25))+B1353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3">
        <f>L1323*(1-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1323*(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3">
        <f>(1-Summary!$B$11)*T1323+Summary!$B$11*V1323</f>
        <v/>
      </c>
      <c r="P1323">
        <f>IF(B1358=0,0,O1323/B1358)</f>
        <v/>
      </c>
      <c r="Q1323">
        <f>IFERROR(1/(IF(Inputs!$B$38="pvp",15,MAX(0.1,Skills!D5-IF(Skills!E5=TRUE,Inputs!$B$32,0)))*(1-IF(AND(ArtifactsInput!$M$27,Inputs!$B$4="Chapter Hunt"),CHOOSE(ArtifactsInput!$N$27+1,20,24,28,32,36,40),0)/100)),0)</f>
        <v/>
      </c>
      <c r="R1323">
        <f>IF(AND(Inputs!$B$38&lt;&gt;"pvp",Inputs!$B$43&gt;0),IF(MAX(0,Inputs!$B$43-B1355)&lt;=0,0,(INT(MAX(0,Inputs!$B$43-B1355)/(IF(Inputs!$B$38="pvp",15,MAX(0.1,Skills!D5-IF(Skills!E5=TRUE,Inputs!$B$32,0)))*(1-IF(AND(ArtifactsInput!$M$27,Inputs!$B$4="Chapter Hunt"),CHOOSE(ArtifactsInput!$N$27+1,20,24,28,32,36,40),0)/100)))+1)),0)</f>
        <v/>
      </c>
      <c r="S1323">
        <f>IFERROR(O1323/N1323,0)</f>
        <v/>
      </c>
      <c r="T1323">
        <f>IF(C1323,(H1323*N1323*IF(AND(Inputs!$B$38&lt;&gt;"pvp",Inputs!$B$43&gt;0),((Skills!G5*((R1323-1)*IF(Skills!H5&gt;0,Skills!I5/Skills!H5,1)+IF(Skills!H5&gt;0,MIN(Skills!I5,MAX(0,MAX(0,Inputs!$B$43-B1355)-((R1323-1)*(IF(Inputs!$B$38="pvp",15,MAX(0.1,Skills!D5-IF(Skills!E5=TRUE,Inputs!$B$32,0)))*(1-IF(AND(ArtifactsInput!$M$27,Inputs!$B$4="Chapter Hunt"),CHOOSE(ArtifactsInput!$N$27+1,20,24,28,32,36,40),0)/100)))))/Skills!H5,1)))/Inputs!$B$43),G1323*Q1323)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1323*(1-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1323*(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1323*(1-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1323*(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3">
        <f>IF(C1323,(H1323*N1323*IF(AND(Inputs!$B$38&lt;&gt;"pvp",Inputs!$B$43&gt;0),((Skills!G5*((R1323-1)*IF(Skills!H5&gt;0,Skills!I5/Skills!H5,1)+IF(Skills!H5&gt;0,MIN(Skills!I5,MAX(0,MAX(0,Inputs!$B$43-B1355)-((R1323-1)*(IF(Inputs!$B$38="pvp",15,MAX(0.1,Skills!D5-IF(Skills!E5=TRUE,Inputs!$B$32,0)))*(1-IF(AND(ArtifactsInput!$M$27,Inputs!$B$4="Chapter Hunt"),CHOOSE(ArtifactsInput!$N$27+1,20,24,28,32,36,40),0)/100)))))/Skills!H5,1)))/Inputs!$B$43),G1323*Q1323))*IF(Inputs!$B$38="pvp",1,(1+(Inputs!$B$21+Skills!Q5+(IF(ArtifactsInput!$M$33,CHOOSE(ArtifactsInput!$N$33+1,30,36,42,48,54,60)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4">
      <c r="A1324">
        <f>Skills!A6</f>
        <v/>
      </c>
      <c r="B1324">
        <f>Skills!B6</f>
        <v/>
      </c>
      <c r="C1324">
        <f>Inputs!$B$3&gt;=63</f>
        <v/>
      </c>
      <c r="D1324">
        <f>IF(Skills!C6=1,60+Inputs!$B$25+Inputs!$B$29,IF(Skills!C6=2,90+Inputs!$B$26+Inputs!$B$29,IF(Skills!C6=3,120+Inputs!$B$27+Inputs!$B$29,MAX(0,(Inputs!$B$3-100)*3)+Inputs!$B$28+Inputs!$B$29)))</f>
        <v/>
      </c>
      <c r="E1324">
        <f>INDEX(FactorTable!$B$2:$Y$301, MATCH(ROUND(MIN(300,MAX(1,D1324)),0), FactorTable!$A$2:$A$301,0), Skills!M6+1)</f>
        <v/>
      </c>
      <c r="F1324">
        <f>IF(Skills!N6=TRUE,(Skills!L6/10)*(E1324/1000),Skills!L6/10)+Skills!O6</f>
        <v/>
      </c>
      <c r="G1324">
        <f>Skills!G6*IF(Skills!H6&gt;0,Skills!I6/Skills!H6,1)</f>
        <v/>
      </c>
      <c r="H1324">
        <f>1-(1-Skills!J6/100)^Skills!K6</f>
        <v/>
      </c>
      <c r="I1324" t="inlineStr">
        <is>
          <t>1</t>
        </is>
      </c>
      <c r="J1324">
        <f>((Inputs!$B$6*(1+Inputs!$B$7/100))+(((Inputs!$B$12*(1+Inputs!$B$13/100))-(Inputs!$B$12*(1+Inputs!$B$13/100)))+0.25*(Inputs!$B$14-Inputs!$B$14))*(1+Inputs!$B$7/100))*(F1324/100)</f>
        <v/>
      </c>
      <c r="K1324">
        <f>J1324*(1+((Inputs!$B$12*(1+Inputs!$B$13/100))*0.01+Inputs!$B$14*0.0025)/100)*(1+Inputs!$B$15/100)*(1+Inputs!$B$16/100)*(5000/(6000+Inputs!$B$42*(1-(100*(1-(1-(Inputs!$B$19+0)/100)*(1-CHOOSE(ArtifactsInput!$N$40+1,5,6,7,8,9,10)/100)^(ArtifactsInput!$M$40-ArtifactsInput!$M$40)))/100)))*(1+(Inputs!$B$24+((C1344=TRUE)*(F1344-Calc!F26))+B1354)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1333=TRUE,F1333,0)/100)*(1+(IF(Skills!A6="EIGHT_LEGS_EASTON",Inputs!$B$17+((C1341=TRUE)*(F1341-Calc!F23))+((C1345=TRUE)*(F1345-Calc!F27))+(((IF(AND(ArtifactsInput!$M$42,((Inputs!$B$9+((C1337=TRUE)*(F1337-Calc!F19))+B1348+(ArtifactsInput!$M$24-ArtifactsInput!$M$24)*CHOOSE(ArtifactsInput!$N$24+1,10,12,14,16,18,20)+IF(ArtifactsInput!$M$10,CHOOSE(ArtifactsInput!$N$10+1,15,18,21,24,27,30)*(IF(Inputs!$B$38="pvp",MIN(15,15)/15,IF(AND(Inputs!$B$38&lt;&gt;"pvp",Inputs!$B$43&gt;0),MIN(15,Inputs!$B$43)/(Inputs!$B$43),0))),0)))&gt;=100),MIN(100,((Inputs!$B$9+((C1337=TRUE)*(F1337-Calc!F19))+B1348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1337=TRUE)*(F1337-Calc!F19))+B1348+(ArtifactsInput!$M$24-ArtifactsInput!$M$24)*CHOOSE(ArtifactsInput!$N$24+1,10,12,14,16,18,20)+IF(ArtifactsInput!$M$10,CHOOSE(ArtifactsInput!$N$10+1,15,18,21,24,27,30)*(IF(Inputs!$B$38="pvp",MIN(15,15)/15,IF(AND(Inputs!$B$38&lt;&gt;"pvp",Inputs!$B$43&gt;0),MIN(15,Inputs!$B$43)/(Inputs!$B$43),0))),0)))&gt;=100),CHOOSE(ArtifactsInput!$N$42+1,40,48,56,64,72,80),0))))/100)*((1+(((C1335=TRUE)*F1335)+((C1342=TRUE)*(F1342-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1324)</f>
        <v/>
      </c>
      <c r="L1324">
        <f>K1324*(MIN(Inputs!$B$22+((C1340=TRUE)*(F1340-Calc!F22)),(Inputs!$B$23+0+(IF(ArtifactsInput!$M$15,CHOOSE(ArtifactsInput!$N$15+1,25,30,35,40,45,50)/100*(Inputs!$B$11-Inputs!$B$11),0))))/100+(Inputs!$B$23+0+(IF(ArtifactsInput!$M$15,CHOOSE(ArtifactsInput!$N$15+1,25,30,35,40,45,50)/100*(Inputs!$B$11-Inputs!$B$11),0)))/100)/2</f>
        <v/>
      </c>
      <c r="M1324">
        <f>L1324*(1+(Inputs!$B$10+((C1343=TRUE)*(F1343-Calc!F25))+B1353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4">
        <f>L1324*(1-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1324*(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4">
        <f>(1-Summary!$B$11)*T1324+Summary!$B$11*V1324</f>
        <v/>
      </c>
      <c r="P1324">
        <f>IF(B1358=0,0,O1324/B1358)</f>
        <v/>
      </c>
      <c r="Q1324">
        <f>IFERROR(1/(IF(Inputs!$B$38="pvp",15,MAX(0.1,Skills!D6-IF(Skills!E6=TRUE,Inputs!$B$32,0)))*(1-IF(AND(ArtifactsInput!$M$27,Inputs!$B$4="Chapter Hunt"),CHOOSE(ArtifactsInput!$N$27+1,20,24,28,32,36,40),0)/100)),0)</f>
        <v/>
      </c>
      <c r="R1324">
        <f>IF(AND(Inputs!$B$38&lt;&gt;"pvp",Inputs!$B$43&gt;0),IF(MAX(0,Inputs!$B$43-B1355)&lt;=0,0,(INT(MAX(0,Inputs!$B$43-B1355)/(IF(Inputs!$B$38="pvp",15,MAX(0.1,Skills!D6-IF(Skills!E6=TRUE,Inputs!$B$32,0)))*(1-IF(AND(ArtifactsInput!$M$27,Inputs!$B$4="Chapter Hunt"),CHOOSE(ArtifactsInput!$N$27+1,20,24,28,32,36,40),0)/100)))+1)),0)</f>
        <v/>
      </c>
      <c r="S1324">
        <f>IFERROR(O1324/N1324,0)</f>
        <v/>
      </c>
      <c r="T1324">
        <f>IF(C1324,(H1324*N1324*IF(AND(Inputs!$B$38&lt;&gt;"pvp",Inputs!$B$43&gt;0),((Skills!G6*((R1324-1)*IF(Skills!H6&gt;0,Skills!I6/Skills!H6,1)+IF(Skills!H6&gt;0,MIN(Skills!I6,MAX(0,MAX(0,Inputs!$B$43-B1355)-((R1324-1)*(IF(Inputs!$B$38="pvp",15,MAX(0.1,Skills!D6-IF(Skills!E6=TRUE,Inputs!$B$32,0)))*(1-IF(AND(ArtifactsInput!$M$27,Inputs!$B$4="Chapter Hunt"),CHOOSE(ArtifactsInput!$N$27+1,20,24,28,32,36,40),0)/100)))))/Skills!H6,1)))/Inputs!$B$43),G1324*Q1324)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1324*(1-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1324*(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1324*(1-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1324*(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4">
        <f>IF(C1324,(H1324*N1324*IF(AND(Inputs!$B$38&lt;&gt;"pvp",Inputs!$B$43&gt;0),((Skills!G6*((R1324-1)*IF(Skills!H6&gt;0,Skills!I6/Skills!H6,1)+IF(Skills!H6&gt;0,MIN(Skills!I6,MAX(0,MAX(0,Inputs!$B$43-B1355)-((R1324-1)*(IF(Inputs!$B$38="pvp",15,MAX(0.1,Skills!D6-IF(Skills!E6=TRUE,Inputs!$B$32,0)))*(1-IF(AND(ArtifactsInput!$M$27,Inputs!$B$4="Chapter Hunt"),CHOOSE(ArtifactsInput!$N$27+1,20,24,28,32,36,40),0)/100)))))/Skills!H6,1)))/Inputs!$B$43),G1324*Q1324))*IF(Inputs!$B$38="pvp",1,(1+(Inputs!$B$21+Skills!Q6+(IF(ArtifactsInput!$M$33,CHOOSE(ArtifactsInput!$N$33+1,30,36,42,48,54,60)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5">
      <c r="A1325">
        <f>Skills!A7</f>
        <v/>
      </c>
      <c r="B1325">
        <f>Skills!B7</f>
        <v/>
      </c>
      <c r="C1325">
        <f>Inputs!$B$3&gt;=66</f>
        <v/>
      </c>
      <c r="D1325">
        <f>IF(Skills!C7=1,60+Inputs!$B$25+Inputs!$B$29,IF(Skills!C7=2,90+Inputs!$B$26+Inputs!$B$29,IF(Skills!C7=3,120+Inputs!$B$27+Inputs!$B$29,MAX(0,(Inputs!$B$3-100)*3)+Inputs!$B$28+Inputs!$B$29)))</f>
        <v/>
      </c>
      <c r="E1325">
        <f>INDEX(FactorTable!$B$2:$Y$301, MATCH(ROUND(MIN(300,MAX(1,D1325)),0), FactorTable!$A$2:$A$301,0), Skills!M7+1)</f>
        <v/>
      </c>
      <c r="F1325">
        <f>IF(Skills!N7=TRUE,(Skills!L7/10)*(E1325/1000),Skills!L7/10)+Skills!O7</f>
        <v/>
      </c>
      <c r="G1325">
        <f>Skills!G7*IF(Skills!H7&gt;0,Skills!I7/Skills!H7,1)</f>
        <v/>
      </c>
      <c r="H1325">
        <f>1-(1-Skills!J7/100)^Skills!K7</f>
        <v/>
      </c>
      <c r="I1325" t="inlineStr">
        <is>
          <t>1</t>
        </is>
      </c>
      <c r="J1325">
        <f>((Inputs!$B$6*(1+Inputs!$B$7/100))+(((Inputs!$B$12*(1+Inputs!$B$13/100))-(Inputs!$B$12*(1+Inputs!$B$13/100)))+0.25*(Inputs!$B$14-Inputs!$B$14))*(1+Inputs!$B$7/100))*(F1325/100)</f>
        <v/>
      </c>
      <c r="K1325">
        <f>J1325*(1+((Inputs!$B$12*(1+Inputs!$B$13/100))*0.01+Inputs!$B$14*0.0025)/100)*(1+Inputs!$B$15/100)*(1+Inputs!$B$16/100)*(5000/(6000+Inputs!$B$42*(1-(100*(1-(1-(Inputs!$B$19+0)/100)*(1-CHOOSE(ArtifactsInput!$N$40+1,5,6,7,8,9,10)/100)^(ArtifactsInput!$M$40-ArtifactsInput!$M$40)))/100)))*(1+(Inputs!$B$24+((C1344=TRUE)*(F1344-Calc!F26))+B1354)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1333=TRUE,F1333,0)/100)*(1+(IF(Skills!A7="EIGHT_LEGS_EASTON",Inputs!$B$17+((C1341=TRUE)*(F1341-Calc!F23))+((C1345=TRUE)*(F1345-Calc!F27))+(((IF(AND(ArtifactsInput!$M$42,((Inputs!$B$9+((C1337=TRUE)*(F1337-Calc!F19))+B1348+(ArtifactsInput!$M$24-ArtifactsInput!$M$24)*CHOOSE(ArtifactsInput!$N$24+1,10,12,14,16,18,20)+IF(ArtifactsInput!$M$10,CHOOSE(ArtifactsInput!$N$10+1,15,18,21,24,27,30)*(IF(Inputs!$B$38="pvp",MIN(15,15)/15,IF(AND(Inputs!$B$38&lt;&gt;"pvp",Inputs!$B$43&gt;0),MIN(15,Inputs!$B$43)/(Inputs!$B$43),0))),0)))&gt;=100),MIN(100,((Inputs!$B$9+((C1337=TRUE)*(F1337-Calc!F19))+B1348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1337=TRUE)*(F1337-Calc!F19))+B1348+(ArtifactsInput!$M$24-ArtifactsInput!$M$24)*CHOOSE(ArtifactsInput!$N$24+1,10,12,14,16,18,20)+IF(ArtifactsInput!$M$10,CHOOSE(ArtifactsInput!$N$10+1,15,18,21,24,27,30)*(IF(Inputs!$B$38="pvp",MIN(15,15)/15,IF(AND(Inputs!$B$38&lt;&gt;"pvp",Inputs!$B$43&gt;0),MIN(15,Inputs!$B$43)/(Inputs!$B$43),0))),0)))&gt;=100),CHOOSE(ArtifactsInput!$N$42+1,40,48,56,64,72,80),0))))/100)*((1+(((C1335=TRUE)*F1335)+((C1342=TRUE)*(F1342-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1325)</f>
        <v/>
      </c>
      <c r="L1325">
        <f>K1325*(MIN(Inputs!$B$22+((C1340=TRUE)*(F1340-Calc!F22)),(Inputs!$B$23+0+(IF(ArtifactsInput!$M$15,CHOOSE(ArtifactsInput!$N$15+1,25,30,35,40,45,50)/100*(Inputs!$B$11-Inputs!$B$11),0))))/100+(Inputs!$B$23+0+(IF(ArtifactsInput!$M$15,CHOOSE(ArtifactsInput!$N$15+1,25,30,35,40,45,50)/100*(Inputs!$B$11-Inputs!$B$11),0)))/100)/2</f>
        <v/>
      </c>
      <c r="M1325">
        <f>L1325*(1+(Inputs!$B$10+((C1343=TRUE)*(F1343-Calc!F25))+B1353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5">
        <f>L1325*(1-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1325*(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5">
        <f>(1-Summary!$B$11)*T1325+Summary!$B$11*V1325</f>
        <v/>
      </c>
      <c r="P1325">
        <f>IF(B1358=0,0,O1325/B1358)</f>
        <v/>
      </c>
      <c r="Q1325">
        <f>IFERROR(1/(IF(Inputs!$B$38="pvp",15,MAX(0.1,Skills!D7-IF(Skills!E7=TRUE,Inputs!$B$32,0)))*(1-IF(AND(ArtifactsInput!$M$27,Inputs!$B$4="Chapter Hunt"),CHOOSE(ArtifactsInput!$N$27+1,20,24,28,32,36,40),0)/100)),0)</f>
        <v/>
      </c>
      <c r="R1325">
        <f>IF(AND(Inputs!$B$38&lt;&gt;"pvp",Inputs!$B$43&gt;0),IF(MAX(0,Inputs!$B$43-B1355)&lt;=0,0,(INT(MAX(0,Inputs!$B$43-B1355)/(IF(Inputs!$B$38="pvp",15,MAX(0.1,Skills!D7-IF(Skills!E7=TRUE,Inputs!$B$32,0)))*(1-IF(AND(ArtifactsInput!$M$27,Inputs!$B$4="Chapter Hunt"),CHOOSE(ArtifactsInput!$N$27+1,20,24,28,32,36,40),0)/100)))+1)),0)</f>
        <v/>
      </c>
      <c r="S1325">
        <f>IFERROR(O1325/N1325,0)</f>
        <v/>
      </c>
      <c r="T1325">
        <f>IF(C1325,(H1325*N1325*IF(AND(Inputs!$B$38&lt;&gt;"pvp",Inputs!$B$43&gt;0),((Skills!G7*((R1325-1)*IF(Skills!H7&gt;0,Skills!I7/Skills!H7,1)+IF(Skills!H7&gt;0,MIN(Skills!I7,MAX(0,MAX(0,Inputs!$B$43-B1355)-((R1325-1)*(IF(Inputs!$B$38="pvp",15,MAX(0.1,Skills!D7-IF(Skills!E7=TRUE,Inputs!$B$32,0)))*(1-IF(AND(ArtifactsInput!$M$27,Inputs!$B$4="Chapter Hunt"),CHOOSE(ArtifactsInput!$N$27+1,20,24,28,32,36,40),0)/100)))))/Skills!H7,1)))/Inputs!$B$43),G1325*Q1325)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1325*(1-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1325*(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1325*(1-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1325*(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5">
        <f>IF(C1325,(H1325*N1325*IF(AND(Inputs!$B$38&lt;&gt;"pvp",Inputs!$B$43&gt;0),((Skills!G7*((R1325-1)*IF(Skills!H7&gt;0,Skills!I7/Skills!H7,1)+IF(Skills!H7&gt;0,MIN(Skills!I7,MAX(0,MAX(0,Inputs!$B$43-B1355)-((R1325-1)*(IF(Inputs!$B$38="pvp",15,MAX(0.1,Skills!D7-IF(Skills!E7=TRUE,Inputs!$B$32,0)))*(1-IF(AND(ArtifactsInput!$M$27,Inputs!$B$4="Chapter Hunt"),CHOOSE(ArtifactsInput!$N$27+1,20,24,28,32,36,40),0)/100)))))/Skills!H7,1)))/Inputs!$B$43),G1325*Q1325))*IF(Inputs!$B$38="pvp",1,(1+(Inputs!$B$21+Skills!Q7+(IF(ArtifactsInput!$M$33,CHOOSE(ArtifactsInput!$N$33+1,30,36,42,48,54,60)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6">
      <c r="A1326">
        <f>Skills!A8</f>
        <v/>
      </c>
      <c r="B1326">
        <f>Skills!B8</f>
        <v/>
      </c>
      <c r="C1326">
        <f>Inputs!$B$3&gt;=100</f>
        <v/>
      </c>
      <c r="D1326">
        <f>IF(Skills!C8=1,60+Inputs!$B$25+Inputs!$B$29,IF(Skills!C8=2,90+Inputs!$B$26+Inputs!$B$29,IF(Skills!C8=3,120+Inputs!$B$27+Inputs!$B$29,MAX(0,(Inputs!$B$3-100)*3)+Inputs!$B$28+Inputs!$B$29)))</f>
        <v/>
      </c>
      <c r="E1326">
        <f>INDEX(FactorTable!$B$2:$Y$301, MATCH(ROUND(MIN(300,MAX(1,D1326)),0), FactorTable!$A$2:$A$301,0), Skills!M8+1)</f>
        <v/>
      </c>
      <c r="F1326">
        <f>IF(Skills!N8=TRUE,(Skills!L8/10)*(E1326/1000),Skills!L8/10)+Skills!O8</f>
        <v/>
      </c>
      <c r="G1326">
        <f>Skills!G8*IF(Skills!H8&gt;0,Skills!I8/Skills!H8,1)</f>
        <v/>
      </c>
      <c r="H1326">
        <f>1-(1-Skills!J8/100)^Skills!K8</f>
        <v/>
      </c>
      <c r="I1326" t="inlineStr">
        <is>
          <t>1</t>
        </is>
      </c>
      <c r="J1326">
        <f>((Inputs!$B$6*(1+Inputs!$B$7/100))+(((Inputs!$B$12*(1+Inputs!$B$13/100))-(Inputs!$B$12*(1+Inputs!$B$13/100)))+0.25*(Inputs!$B$14-Inputs!$B$14))*(1+Inputs!$B$7/100))*(F1326/100)</f>
        <v/>
      </c>
      <c r="K1326">
        <f>J1326*(1+((Inputs!$B$12*(1+Inputs!$B$13/100))*0.01+Inputs!$B$14*0.0025)/100)*(1+Inputs!$B$15/100)*(1+Inputs!$B$16/100)*(5000/(6000+Inputs!$B$42*(1-(100*(1-(1-(Inputs!$B$19+0)/100)*(1-CHOOSE(ArtifactsInput!$N$40+1,5,6,7,8,9,10)/100)^(ArtifactsInput!$M$40-ArtifactsInput!$M$40)))/100)))*(1+(Inputs!$B$24+((C1344=TRUE)*(F1344-Calc!F26))+B1354)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1341=TRUE)*(F1341-Calc!F23))+((C1345=TRUE)*(F1345-Calc!F27))+(((IF(AND(ArtifactsInput!$M$42,((Inputs!$B$9+((C1337=TRUE)*(F1337-Calc!F19))+B1348+(ArtifactsInput!$M$24-ArtifactsInput!$M$24)*CHOOSE(ArtifactsInput!$N$24+1,10,12,14,16,18,20)+IF(ArtifactsInput!$M$10,CHOOSE(ArtifactsInput!$N$10+1,15,18,21,24,27,30)*(IF(Inputs!$B$38="pvp",MIN(15,15)/15,IF(AND(Inputs!$B$38&lt;&gt;"pvp",Inputs!$B$43&gt;0),MIN(15,Inputs!$B$43)/(Inputs!$B$43),0))),0)))&gt;=100),MIN(100,((Inputs!$B$9+((C1337=TRUE)*(F1337-Calc!F19))+B1348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1337=TRUE)*(F1337-Calc!F19))+B1348+(ArtifactsInput!$M$24-ArtifactsInput!$M$24)*CHOOSE(ArtifactsInput!$N$24+1,10,12,14,16,18,20)+IF(ArtifactsInput!$M$10,CHOOSE(ArtifactsInput!$N$10+1,15,18,21,24,27,30)*(IF(Inputs!$B$38="pvp",MIN(15,15)/15,IF(AND(Inputs!$B$38&lt;&gt;"pvp",Inputs!$B$43&gt;0),MIN(15,Inputs!$B$43)/(Inputs!$B$43),0))),0)))&gt;=100),CHOOSE(ArtifactsInput!$N$42+1,40,48,56,64,72,80),0))))/100)*((1+(((C1335=TRUE)*F1335)+((C1342=TRUE)*(F1342-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1326)</f>
        <v/>
      </c>
      <c r="L1326">
        <f>K1326*(MIN(Inputs!$B$22+((C1340=TRUE)*(F1340-Calc!F22)),(Inputs!$B$23+0+(IF(ArtifactsInput!$M$15,CHOOSE(ArtifactsInput!$N$15+1,25,30,35,40,45,50)/100*(Inputs!$B$11-Inputs!$B$11),0))))/100+(Inputs!$B$23+0+(IF(ArtifactsInput!$M$15,CHOOSE(ArtifactsInput!$N$15+1,25,30,35,40,45,50)/100*(Inputs!$B$11-Inputs!$B$11),0)))/100)/2</f>
        <v/>
      </c>
      <c r="M1326">
        <f>L1326*(1+(Inputs!$B$10+((C1343=TRUE)*(F1343-Calc!F25))+B1353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6">
        <f>L1326*(1-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1326*(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6">
        <f>(1-Summary!$B$11)*T1326+Summary!$B$11*V1326</f>
        <v/>
      </c>
      <c r="P1326">
        <f>IF(B1358=0,0,O1326/B1358)</f>
        <v/>
      </c>
      <c r="Q1326">
        <f>IFERROR(1/(IF(Inputs!$B$38="pvp",15,MAX(0.1,Skills!D8-IF(Skills!E8=TRUE,Inputs!$B$32,0)))*(1-IF(AND(ArtifactsInput!$M$27,Inputs!$B$4="Chapter Hunt"),CHOOSE(ArtifactsInput!$N$27+1,20,24,28,32,36,40),0)/100)),0)</f>
        <v/>
      </c>
      <c r="R1326">
        <f>IF(AND(Inputs!$B$38&lt;&gt;"pvp",Inputs!$B$43&gt;0),IF(MAX(0,Inputs!$B$43-B1355)&lt;=0,0,(INT(MAX(0,Inputs!$B$43-B1355)/(IF(Inputs!$B$38="pvp",15,MAX(0.1,Skills!D8-IF(Skills!E8=TRUE,Inputs!$B$32,0)))*(1-IF(AND(ArtifactsInput!$M$27,Inputs!$B$4="Chapter Hunt"),CHOOSE(ArtifactsInput!$N$27+1,20,24,28,32,36,40),0)/100)))+1)),0)</f>
        <v/>
      </c>
      <c r="S1326">
        <f>IFERROR(O1326/N1326,0)</f>
        <v/>
      </c>
      <c r="T1326">
        <f>IF(C1326,(H1326*N1326*IF(AND(Inputs!$B$38&lt;&gt;"pvp",Inputs!$B$43&gt;0),((Skills!G8*((R1326-1)*IF(Skills!H8&gt;0,Skills!I8/Skills!H8,1)+IF(Skills!H8&gt;0,MIN(Skills!I8,MAX(0,MAX(0,Inputs!$B$43-B1355)-((R1326-1)*(IF(Inputs!$B$38="pvp",15,MAX(0.1,Skills!D8-IF(Skills!E8=TRUE,Inputs!$B$32,0)))*(1-IF(AND(ArtifactsInput!$M$27,Inputs!$B$4="Chapter Hunt"),CHOOSE(ArtifactsInput!$N$27+1,20,24,28,32,36,40),0)/100)))))/Skills!H8,1)))/Inputs!$B$43),G1326*Q1326)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1326*(1-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1326*(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1326*(1-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1326*(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6">
        <f>IF(C1326,(H1326*N1326*IF(AND(Inputs!$B$38&lt;&gt;"pvp",Inputs!$B$43&gt;0),((Skills!G8*((R1326-1)*IF(Skills!H8&gt;0,Skills!I8/Skills!H8,1)+IF(Skills!H8&gt;0,MIN(Skills!I8,MAX(0,MAX(0,Inputs!$B$43-B1355)-((R1326-1)*(IF(Inputs!$B$38="pvp",15,MAX(0.1,Skills!D8-IF(Skills!E8=TRUE,Inputs!$B$32,0)))*(1-IF(AND(ArtifactsInput!$M$27,Inputs!$B$4="Chapter Hunt"),CHOOSE(ArtifactsInput!$N$27+1,20,24,28,32,36,40),0)/100)))))/Skills!H8,1)))/Inputs!$B$43),G1326*Q1326))*IF(Inputs!$B$38="pvp",1,(1+(Inputs!$B$21+Skills!Q8+(IF(ArtifactsInput!$M$33,CHOOSE(ArtifactsInput!$N$33+1,30,36,42,48,54,60)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7">
      <c r="A1327">
        <f>Skills!A9</f>
        <v/>
      </c>
      <c r="B1327">
        <f>Skills!B9</f>
        <v/>
      </c>
      <c r="C1327">
        <f>Inputs!$B$3&gt;=103</f>
        <v/>
      </c>
      <c r="D1327">
        <f>IF(Skills!C9=1,60+Inputs!$B$25+Inputs!$B$29,IF(Skills!C9=2,90+Inputs!$B$26+Inputs!$B$29,IF(Skills!C9=3,120+Inputs!$B$27+Inputs!$B$29,MAX(0,(Inputs!$B$3-100)*3)+Inputs!$B$28+Inputs!$B$29)))</f>
        <v/>
      </c>
      <c r="E1327">
        <f>INDEX(FactorTable!$B$2:$Y$301, MATCH(ROUND(MIN(300,MAX(1,D1327)),0), FactorTable!$A$2:$A$301,0), Skills!M9+1)</f>
        <v/>
      </c>
      <c r="F1327">
        <f>IF(Skills!N9=TRUE,(Skills!L9/10)*(E1327/1000),Skills!L9/10)+Skills!O9</f>
        <v/>
      </c>
      <c r="G1327">
        <f>Skills!G9*IF(Skills!H9&gt;0,Skills!I9/Skills!H9,1)</f>
        <v/>
      </c>
      <c r="H1327">
        <f>1-(1-Skills!J9/100)^Skills!K9</f>
        <v/>
      </c>
      <c r="I1327" t="inlineStr">
        <is>
          <t>1</t>
        </is>
      </c>
      <c r="J1327">
        <f>((Inputs!$B$6*(1+Inputs!$B$7/100))+(((Inputs!$B$12*(1+Inputs!$B$13/100))-(Inputs!$B$12*(1+Inputs!$B$13/100)))+0.25*(Inputs!$B$14-Inputs!$B$14))*(1+Inputs!$B$7/100))*(F1327/100)</f>
        <v/>
      </c>
      <c r="K1327">
        <f>J1327*(1+((Inputs!$B$12*(1+Inputs!$B$13/100))*0.01+Inputs!$B$14*0.0025)/100)*(1+Inputs!$B$15/100)*(1+Inputs!$B$16/100)*(5000/(6000+Inputs!$B$42*(1-(100*(1-(1-(Inputs!$B$19+0)/100)*(1-CHOOSE(ArtifactsInput!$N$40+1,5,6,7,8,9,10)/100)^(ArtifactsInput!$M$40-ArtifactsInput!$M$40)))/100)))*(1+(Inputs!$B$24+((C1344=TRUE)*(F1344-Calc!F26))+B1354)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1341=TRUE)*(F1341-Calc!F23))+((C1345=TRUE)*(F1345-Calc!F27))+(((IF(AND(ArtifactsInput!$M$42,((Inputs!$B$9+((C1337=TRUE)*(F1337-Calc!F19))+B1348+(ArtifactsInput!$M$24-ArtifactsInput!$M$24)*CHOOSE(ArtifactsInput!$N$24+1,10,12,14,16,18,20)+IF(ArtifactsInput!$M$10,CHOOSE(ArtifactsInput!$N$10+1,15,18,21,24,27,30)*(IF(Inputs!$B$38="pvp",MIN(15,15)/15,IF(AND(Inputs!$B$38&lt;&gt;"pvp",Inputs!$B$43&gt;0),MIN(15,Inputs!$B$43)/(Inputs!$B$43),0))),0)))&gt;=100),MIN(100,((Inputs!$B$9+((C1337=TRUE)*(F1337-Calc!F19))+B1348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1337=TRUE)*(F1337-Calc!F19))+B1348+(ArtifactsInput!$M$24-ArtifactsInput!$M$24)*CHOOSE(ArtifactsInput!$N$24+1,10,12,14,16,18,20)+IF(ArtifactsInput!$M$10,CHOOSE(ArtifactsInput!$N$10+1,15,18,21,24,27,30)*(IF(Inputs!$B$38="pvp",MIN(15,15)/15,IF(AND(Inputs!$B$38&lt;&gt;"pvp",Inputs!$B$43&gt;0),MIN(15,Inputs!$B$43)/(Inputs!$B$43),0))),0)))&gt;=100),CHOOSE(ArtifactsInput!$N$42+1,40,48,56,64,72,80),0))))/100)*((1+(((C1335=TRUE)*F1335)+((C1342=TRUE)*(F1342-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1327)</f>
        <v/>
      </c>
      <c r="L1327">
        <f>K1327*(MIN(Inputs!$B$22+((C1340=TRUE)*(F1340-Calc!F22)),(Inputs!$B$23+0+(IF(ArtifactsInput!$M$15,CHOOSE(ArtifactsInput!$N$15+1,25,30,35,40,45,50)/100*(Inputs!$B$11-Inputs!$B$11),0))))/100+(Inputs!$B$23+0+(IF(ArtifactsInput!$M$15,CHOOSE(ArtifactsInput!$N$15+1,25,30,35,40,45,50)/100*(Inputs!$B$11-Inputs!$B$11),0)))/100)/2</f>
        <v/>
      </c>
      <c r="M1327">
        <f>L1327*(1+(Inputs!$B$10+((C1343=TRUE)*(F1343-Calc!F25))+B1353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7">
        <f>L1327*(1-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1327*(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7">
        <f>(1-Summary!$B$11)*T1327+Summary!$B$11*V1327</f>
        <v/>
      </c>
      <c r="P1327">
        <f>IF(B1358=0,0,O1327/B1358)</f>
        <v/>
      </c>
      <c r="Q1327">
        <f>IFERROR(1/(IF(Inputs!$B$38="pvp",15,MAX(0.1,Skills!D9-IF(Skills!E9=TRUE,Inputs!$B$32,0)))*(1-IF(AND(ArtifactsInput!$M$27,Inputs!$B$4="Chapter Hunt"),CHOOSE(ArtifactsInput!$N$27+1,20,24,28,32,36,40),0)/100)),0)</f>
        <v/>
      </c>
      <c r="R1327">
        <f>IF(AND(Inputs!$B$38&lt;&gt;"pvp",Inputs!$B$43&gt;0),IF(MAX(0,Inputs!$B$43-B1355)&lt;=0,0,(INT(MAX(0,Inputs!$B$43-B1355)/(IF(Inputs!$B$38="pvp",15,MAX(0.1,Skills!D9-IF(Skills!E9=TRUE,Inputs!$B$32,0)))*(1-IF(AND(ArtifactsInput!$M$27,Inputs!$B$4="Chapter Hunt"),CHOOSE(ArtifactsInput!$N$27+1,20,24,28,32,36,40),0)/100)))+1)),0)</f>
        <v/>
      </c>
      <c r="S1327">
        <f>IFERROR(O1327/N1327,0)</f>
        <v/>
      </c>
      <c r="T1327">
        <f>IF(C1327,(H1327*N1327*IF(AND(Inputs!$B$38&lt;&gt;"pvp",Inputs!$B$43&gt;0),((Skills!G9*((R1327-1)*IF(Skills!H9&gt;0,Skills!I9/Skills!H9,1)+IF(Skills!H9&gt;0,MIN(Skills!I9,MAX(0,MAX(0,Inputs!$B$43-B1355)-((R1327-1)*(IF(Inputs!$B$38="pvp",15,MAX(0.1,Skills!D9-IF(Skills!E9=TRUE,Inputs!$B$32,0)))*(1-IF(AND(ArtifactsInput!$M$27,Inputs!$B$4="Chapter Hunt"),CHOOSE(ArtifactsInput!$N$27+1,20,24,28,32,36,40),0)/100)))))/Skills!H9,1)))/Inputs!$B$43),G1327*Q1327)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1327*(1-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1327*(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1327*(1-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1327*(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7">
        <f>IF(C1327,(H1327*N1327*IF(AND(Inputs!$B$38&lt;&gt;"pvp",Inputs!$B$43&gt;0),((Skills!G9*((R1327-1)*IF(Skills!H9&gt;0,Skills!I9/Skills!H9,1)+IF(Skills!H9&gt;0,MIN(Skills!I9,MAX(0,MAX(0,Inputs!$B$43-B1355)-((R1327-1)*(IF(Inputs!$B$38="pvp",15,MAX(0.1,Skills!D9-IF(Skills!E9=TRUE,Inputs!$B$32,0)))*(1-IF(AND(ArtifactsInput!$M$27,Inputs!$B$4="Chapter Hunt"),CHOOSE(ArtifactsInput!$N$27+1,20,24,28,32,36,40),0)/100)))))/Skills!H9,1)))/Inputs!$B$43),G1327*Q1327))*IF(Inputs!$B$38="pvp",1,(1+(Inputs!$B$21+Skills!Q9+(IF(ArtifactsInput!$M$33,CHOOSE(ArtifactsInput!$N$33+1,30,36,42,48,54,60)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8">
      <c r="A1328">
        <f>Skills!A10</f>
        <v/>
      </c>
      <c r="B1328">
        <f>Skills!B10</f>
        <v/>
      </c>
      <c r="C1328">
        <f>Inputs!$B$3&gt;=113</f>
        <v/>
      </c>
      <c r="D1328">
        <f>IF(Skills!C10=1,60+Inputs!$B$25+Inputs!$B$29,IF(Skills!C10=2,90+Inputs!$B$26+Inputs!$B$29,IF(Skills!C10=3,120+Inputs!$B$27+Inputs!$B$29,MAX(0,(Inputs!$B$3-100)*3)+Inputs!$B$28+Inputs!$B$29)))</f>
        <v/>
      </c>
      <c r="E1328">
        <f>INDEX(FactorTable!$B$2:$Y$301, MATCH(ROUND(MIN(300,MAX(1,D1328)),0), FactorTable!$A$2:$A$301,0), Skills!M10+1)</f>
        <v/>
      </c>
      <c r="F1328">
        <f>IF(Skills!N10=TRUE,(Skills!L10/10)*(E1328/1000),Skills!L10/10)+Skills!O10</f>
        <v/>
      </c>
      <c r="G1328">
        <f>Skills!G10*IF(Skills!H10&gt;0,Skills!I10/Skills!H10,1)</f>
        <v/>
      </c>
      <c r="H1328">
        <f>1-(1-Skills!J10/100)^Skills!K10</f>
        <v/>
      </c>
      <c r="I1328" t="inlineStr">
        <is>
          <t>1</t>
        </is>
      </c>
      <c r="J1328">
        <f>((Inputs!$B$6*(1+Inputs!$B$7/100))+(((Inputs!$B$12*(1+Inputs!$B$13/100))-(Inputs!$B$12*(1+Inputs!$B$13/100)))+0.25*(Inputs!$B$14-Inputs!$B$14))*(1+Inputs!$B$7/100))*(F1328/100)</f>
        <v/>
      </c>
      <c r="K1328">
        <f>J1328*(1+((Inputs!$B$12*(1+Inputs!$B$13/100))*0.01+Inputs!$B$14*0.0025)/100)*(1+Inputs!$B$15/100)*(1+Inputs!$B$16/100)*(5000/(6000+Inputs!$B$42*(1-(100*(1-(1-(Inputs!$B$19+0)/100)*(1-CHOOSE(ArtifactsInput!$N$40+1,5,6,7,8,9,10)/100)^(ArtifactsInput!$M$40-ArtifactsInput!$M$40)))/100)))*(1+(Inputs!$B$24+((C1344=TRUE)*(F1344-Calc!F26))+B1354)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1341=TRUE)*(F1341-Calc!F23))+((C1345=TRUE)*(F1345-Calc!F27))+(((IF(AND(ArtifactsInput!$M$42,((Inputs!$B$9+((C1337=TRUE)*(F1337-Calc!F19))+B1348+(ArtifactsInput!$M$24-ArtifactsInput!$M$24)*CHOOSE(ArtifactsInput!$N$24+1,10,12,14,16,18,20)+IF(ArtifactsInput!$M$10,CHOOSE(ArtifactsInput!$N$10+1,15,18,21,24,27,30)*(IF(Inputs!$B$38="pvp",MIN(15,15)/15,IF(AND(Inputs!$B$38&lt;&gt;"pvp",Inputs!$B$43&gt;0),MIN(15,Inputs!$B$43)/(Inputs!$B$43),0))),0)))&gt;=100),MIN(100,((Inputs!$B$9+((C1337=TRUE)*(F1337-Calc!F19))+B1348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1337=TRUE)*(F1337-Calc!F19))+B1348+(ArtifactsInput!$M$24-ArtifactsInput!$M$24)*CHOOSE(ArtifactsInput!$N$24+1,10,12,14,16,18,20)+IF(ArtifactsInput!$M$10,CHOOSE(ArtifactsInput!$N$10+1,15,18,21,24,27,30)*(IF(Inputs!$B$38="pvp",MIN(15,15)/15,IF(AND(Inputs!$B$38&lt;&gt;"pvp",Inputs!$B$43&gt;0),MIN(15,Inputs!$B$43)/(Inputs!$B$43),0))),0)))&gt;=100),CHOOSE(ArtifactsInput!$N$42+1,40,48,56,64,72,80),0))))/100)*((1+(((C1335=TRUE)*F1335)+((C1342=TRUE)*(F1342-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1328)</f>
        <v/>
      </c>
      <c r="L1328">
        <f>K1328*(MIN(Inputs!$B$22+((C1340=TRUE)*(F1340-Calc!F22)),(Inputs!$B$23+0+(IF(ArtifactsInput!$M$15,CHOOSE(ArtifactsInput!$N$15+1,25,30,35,40,45,50)/100*(Inputs!$B$11-Inputs!$B$11),0))))/100+(Inputs!$B$23+0+(IF(ArtifactsInput!$M$15,CHOOSE(ArtifactsInput!$N$15+1,25,30,35,40,45,50)/100*(Inputs!$B$11-Inputs!$B$11),0)))/100)/2</f>
        <v/>
      </c>
      <c r="M1328">
        <f>L1328*(1+(Inputs!$B$10+((C1343=TRUE)*(F1343-Calc!F25))+B1353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8">
        <f>L1328*(1-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1328*(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8">
        <f>(1-Summary!$B$11)*T1328+Summary!$B$11*V1328</f>
        <v/>
      </c>
      <c r="P1328">
        <f>IF(B1358=0,0,O1328/B1358)</f>
        <v/>
      </c>
      <c r="Q1328">
        <f>IFERROR(1/(IF(Inputs!$B$38="pvp",15,MAX(0.1,Skills!D10-IF(Skills!E10=TRUE,Inputs!$B$32,0)))*(1-IF(AND(ArtifactsInput!$M$27,Inputs!$B$4="Chapter Hunt"),CHOOSE(ArtifactsInput!$N$27+1,20,24,28,32,36,40),0)/100)),0)</f>
        <v/>
      </c>
      <c r="R1328">
        <f>IF(AND(Inputs!$B$38&lt;&gt;"pvp",Inputs!$B$43&gt;0),IF(MAX(0,Inputs!$B$43-B1355)&lt;=0,0,(INT(MAX(0,Inputs!$B$43-B1355)/(IF(Inputs!$B$38="pvp",15,MAX(0.1,Skills!D10-IF(Skills!E10=TRUE,Inputs!$B$32,0)))*(1-IF(AND(ArtifactsInput!$M$27,Inputs!$B$4="Chapter Hunt"),CHOOSE(ArtifactsInput!$N$27+1,20,24,28,32,36,40),0)/100)))+1)),0)</f>
        <v/>
      </c>
      <c r="S1328">
        <f>IFERROR(O1328/N1328,0)</f>
        <v/>
      </c>
      <c r="T1328">
        <f>IF(C1328,(H1328*N1328*IF(AND(Inputs!$B$38&lt;&gt;"pvp",Inputs!$B$43&gt;0),((Skills!G10*((R1328-1)*IF(Skills!H10&gt;0,Skills!I10/Skills!H10,1)+IF(Skills!H10&gt;0,MIN(Skills!I10,MAX(0,MAX(0,Inputs!$B$43-B1355)-((R1328-1)*(IF(Inputs!$B$38="pvp",15,MAX(0.1,Skills!D10-IF(Skills!E10=TRUE,Inputs!$B$32,0)))*(1-IF(AND(ArtifactsInput!$M$27,Inputs!$B$4="Chapter Hunt"),CHOOSE(ArtifactsInput!$N$27+1,20,24,28,32,36,40),0)/100)))))/Skills!H10,1)))/Inputs!$B$43),G1328*Q1328)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1328*(1-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1328*(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1328*(1-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1328*(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8">
        <f>IF(C1328,(H1328*N1328*IF(AND(Inputs!$B$38&lt;&gt;"pvp",Inputs!$B$43&gt;0),((Skills!G10*((R1328-1)*IF(Skills!H10&gt;0,Skills!I10/Skills!H10,1)+IF(Skills!H10&gt;0,MIN(Skills!I10,MAX(0,MAX(0,Inputs!$B$43-B1355)-((R1328-1)*(IF(Inputs!$B$38="pvp",15,MAX(0.1,Skills!D10-IF(Skills!E10=TRUE,Inputs!$B$32,0)))*(1-IF(AND(ArtifactsInput!$M$27,Inputs!$B$4="Chapter Hunt"),CHOOSE(ArtifactsInput!$N$27+1,20,24,28,32,36,40),0)/100)))))/Skills!H10,1)))/Inputs!$B$43),G1328*Q1328))*IF(Inputs!$B$38="pvp",1,(1+(Inputs!$B$21+Skills!Q10+(IF(ArtifactsInput!$M$33,CHOOSE(ArtifactsInput!$N$33+1,30,36,42,48,54,60)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9">
      <c r="A1329">
        <f>Skills!A11</f>
        <v/>
      </c>
      <c r="B1329">
        <f>Skills!B11</f>
        <v/>
      </c>
      <c r="C1329">
        <f>Inputs!$B$3&gt;=107</f>
        <v/>
      </c>
      <c r="D1329">
        <f>IF(Skills!C11=1,60+Inputs!$B$25+Inputs!$B$29,IF(Skills!C11=2,90+Inputs!$B$26+Inputs!$B$29,IF(Skills!C11=3,120+Inputs!$B$27+Inputs!$B$29,MAX(0,(Inputs!$B$3-100)*3)+Inputs!$B$28+Inputs!$B$29)))</f>
        <v/>
      </c>
      <c r="E1329">
        <f>INDEX(FactorTable!$B$2:$Y$301, MATCH(ROUND(MIN(300,MAX(1,D1329)),0), FactorTable!$A$2:$A$301,0), Skills!M11+1)</f>
        <v/>
      </c>
      <c r="F1329">
        <f>IF(Skills!N11=TRUE,(Skills!L11/10)*(E1329/1000),Skills!L11/10)+Skills!O11</f>
        <v/>
      </c>
      <c r="G1329">
        <f>Skills!G11*IF(Skills!H11&gt;0,Skills!I11/Skills!H11,1)</f>
        <v/>
      </c>
      <c r="H1329">
        <f>1-(1-Skills!J11/100)^Skills!K11</f>
        <v/>
      </c>
      <c r="I1329" t="inlineStr">
        <is>
          <t>1</t>
        </is>
      </c>
      <c r="J1329">
        <f>((Inputs!$B$6*(1+Inputs!$B$7/100))+(((Inputs!$B$12*(1+Inputs!$B$13/100))-(Inputs!$B$12*(1+Inputs!$B$13/100)))+0.25*(Inputs!$B$14-Inputs!$B$14))*(1+Inputs!$B$7/100))*(F1329/100)</f>
        <v/>
      </c>
      <c r="K1329">
        <f>J1329*(1+((Inputs!$B$12*(1+Inputs!$B$13/100))*0.01+Inputs!$B$14*0.0025)/100)*(1+Inputs!$B$15/100)*(1+Inputs!$B$16/100)*(5000/(6000+Inputs!$B$42*(1-(100*(1-(1-(Inputs!$B$19+0)/100)*(1-CHOOSE(ArtifactsInput!$N$40+1,5,6,7,8,9,10)/100)^(ArtifactsInput!$M$40-ArtifactsInput!$M$40)))/100)))*(1+(Inputs!$B$24+((C1344=TRUE)*(F1344-Calc!F26))+B1354)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1341=TRUE)*(F1341-Calc!F23))+((C1345=TRUE)*(F1345-Calc!F27))+(((IF(AND(ArtifactsInput!$M$42,((Inputs!$B$9+((C1337=TRUE)*(F1337-Calc!F19))+B1348+(ArtifactsInput!$M$24-ArtifactsInput!$M$24)*CHOOSE(ArtifactsInput!$N$24+1,10,12,14,16,18,20)+IF(ArtifactsInput!$M$10,CHOOSE(ArtifactsInput!$N$10+1,15,18,21,24,27,30)*(IF(Inputs!$B$38="pvp",MIN(15,15)/15,IF(AND(Inputs!$B$38&lt;&gt;"pvp",Inputs!$B$43&gt;0),MIN(15,Inputs!$B$43)/(Inputs!$B$43),0))),0)))&gt;=100),MIN(100,((Inputs!$B$9+((C1337=TRUE)*(F1337-Calc!F19))+B1348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1337=TRUE)*(F1337-Calc!F19))+B1348+(ArtifactsInput!$M$24-ArtifactsInput!$M$24)*CHOOSE(ArtifactsInput!$N$24+1,10,12,14,16,18,20)+IF(ArtifactsInput!$M$10,CHOOSE(ArtifactsInput!$N$10+1,15,18,21,24,27,30)*(IF(Inputs!$B$38="pvp",MIN(15,15)/15,IF(AND(Inputs!$B$38&lt;&gt;"pvp",Inputs!$B$43&gt;0),MIN(15,Inputs!$B$43)/(Inputs!$B$43),0))),0)))&gt;=100),CHOOSE(ArtifactsInput!$N$42+1,40,48,56,64,72,80),0))))/100)*((1+(((C1335=TRUE)*F1335)+((C1342=TRUE)*(F1342-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1329)</f>
        <v/>
      </c>
      <c r="L1329">
        <f>K1329*(MIN(Inputs!$B$22+((C1340=TRUE)*(F1340-Calc!F22)),(Inputs!$B$23+0+(IF(ArtifactsInput!$M$15,CHOOSE(ArtifactsInput!$N$15+1,25,30,35,40,45,50)/100*(Inputs!$B$11-Inputs!$B$11),0))))/100+(Inputs!$B$23+0+(IF(ArtifactsInput!$M$15,CHOOSE(ArtifactsInput!$N$15+1,25,30,35,40,45,50)/100*(Inputs!$B$11-Inputs!$B$11),0)))/100)/2</f>
        <v/>
      </c>
      <c r="M1329">
        <f>L1329*(1+(Inputs!$B$10+((C1343=TRUE)*(F1343-Calc!F25))+B1353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9">
        <f>L1329*(1-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1329*(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9">
        <f>(1-Summary!$B$11)*T1329+Summary!$B$11*V1329</f>
        <v/>
      </c>
      <c r="P1329">
        <f>IF(B1358=0,0,O1329/B1358)</f>
        <v/>
      </c>
      <c r="Q1329">
        <f>IFERROR(1/(IF(Inputs!$B$38="pvp",15,MAX(0.1,Skills!D11-IF(Skills!E11=TRUE,Inputs!$B$32,0)))*(1-IF(AND(ArtifactsInput!$M$27,Inputs!$B$4="Chapter Hunt"),CHOOSE(ArtifactsInput!$N$27+1,20,24,28,32,36,40),0)/100)),0)</f>
        <v/>
      </c>
      <c r="R1329">
        <f>IF(AND(Inputs!$B$38&lt;&gt;"pvp",Inputs!$B$43&gt;0),IF(MAX(0,Inputs!$B$43-B1355)&lt;=0,0,(INT(MAX(0,Inputs!$B$43-B1355)/(IF(Inputs!$B$38="pvp",15,MAX(0.1,Skills!D11-IF(Skills!E11=TRUE,Inputs!$B$32,0)))*(1-IF(AND(ArtifactsInput!$M$27,Inputs!$B$4="Chapter Hunt"),CHOOSE(ArtifactsInput!$N$27+1,20,24,28,32,36,40),0)/100)))+1)),0)</f>
        <v/>
      </c>
      <c r="S1329">
        <f>IFERROR(O1329/N1329,0)</f>
        <v/>
      </c>
      <c r="T1329">
        <f>IF(C1329,(H1329*N1329*IF(AND(Inputs!$B$38&lt;&gt;"pvp",Inputs!$B$43&gt;0),((Skills!G11*((R1329-1)*IF(Skills!H11&gt;0,Skills!I11/Skills!H11,1)+IF(Skills!H11&gt;0,MIN(Skills!I11,MAX(0,MAX(0,Inputs!$B$43-B1355)-((R1329-1)*(IF(Inputs!$B$38="pvp",15,MAX(0.1,Skills!D11-IF(Skills!E11=TRUE,Inputs!$B$32,0)))*(1-IF(AND(ArtifactsInput!$M$27,Inputs!$B$4="Chapter Hunt"),CHOOSE(ArtifactsInput!$N$27+1,20,24,28,32,36,40),0)/100)))))/Skills!H11,1)))/Inputs!$B$43),G1329*Q1329)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1329*(1-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1329*(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1329*(1-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1329*(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9">
        <f>IF(C1329,(H1329*N1329*IF(AND(Inputs!$B$38&lt;&gt;"pvp",Inputs!$B$43&gt;0),((Skills!G11*((R1329-1)*IF(Skills!H11&gt;0,Skills!I11/Skills!H11,1)+IF(Skills!H11&gt;0,MIN(Skills!I11,MAX(0,MAX(0,Inputs!$B$43-B1355)-((R1329-1)*(IF(Inputs!$B$38="pvp",15,MAX(0.1,Skills!D11-IF(Skills!E11=TRUE,Inputs!$B$32,0)))*(1-IF(AND(ArtifactsInput!$M$27,Inputs!$B$4="Chapter Hunt"),CHOOSE(ArtifactsInput!$N$27+1,20,24,28,32,36,40),0)/100)))))/Skills!H11,1)))/Inputs!$B$43),G1329*Q1329))*IF(Inputs!$B$38="pvp",1,(1+(Inputs!$B$21+Skills!Q11+(IF(ArtifactsInput!$M$33,CHOOSE(ArtifactsInput!$N$33+1,30,36,42,48,54,60)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0">
      <c r="A1330">
        <f>Skills!A12</f>
        <v/>
      </c>
      <c r="B1330">
        <f>Skills!B12</f>
        <v/>
      </c>
      <c r="C1330">
        <f>Inputs!$B$3&gt;=110</f>
        <v/>
      </c>
      <c r="D1330">
        <f>IF(Skills!C12=1,60+Inputs!$B$25+Inputs!$B$29,IF(Skills!C12=2,90+Inputs!$B$26+Inputs!$B$29,IF(Skills!C12=3,120+Inputs!$B$27+Inputs!$B$29,MAX(0,(Inputs!$B$3-100)*3)+Inputs!$B$28+Inputs!$B$29)))</f>
        <v/>
      </c>
      <c r="E1330">
        <f>INDEX(FactorTable!$B$2:$Y$301, MATCH(ROUND(MIN(300,MAX(1,D1330)),0), FactorTable!$A$2:$A$301,0), Skills!M12+1)</f>
        <v/>
      </c>
      <c r="F1330">
        <f>IF(Skills!N12=TRUE,(Skills!L12/10)*(E1330/1000),Skills!L12/10)+Skills!O12</f>
        <v/>
      </c>
      <c r="G1330">
        <f>Skills!G12*IF(Skills!H12&gt;0,Skills!I12/Skills!H12,1)</f>
        <v/>
      </c>
      <c r="H1330">
        <f>1-(1-Skills!J12/100)^Skills!K12</f>
        <v/>
      </c>
      <c r="I1330" t="inlineStr">
        <is>
          <t>1</t>
        </is>
      </c>
      <c r="J1330">
        <f>((Inputs!$B$6*(1+Inputs!$B$7/100))+(((Inputs!$B$12*(1+Inputs!$B$13/100))-(Inputs!$B$12*(1+Inputs!$B$13/100)))+0.25*(Inputs!$B$14-Inputs!$B$14))*(1+Inputs!$B$7/100))*(F1330/100)</f>
        <v/>
      </c>
      <c r="K1330">
        <f>J1330*(1+((Inputs!$B$12*(1+Inputs!$B$13/100))*0.01+Inputs!$B$14*0.0025)/100)*(1+Inputs!$B$15/100)*(1+Inputs!$B$16/100)*(5000/(6000+Inputs!$B$42*(1-(100*(1-(1-(Inputs!$B$19+0)/100)*(1-CHOOSE(ArtifactsInput!$N$40+1,5,6,7,8,9,10)/100)^(ArtifactsInput!$M$40-ArtifactsInput!$M$40)))/100)))*(1+(Inputs!$B$24+((C1344=TRUE)*(F1344-Calc!F26))+B1354)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1341=TRUE)*(F1341-Calc!F23))+((C1345=TRUE)*(F1345-Calc!F27))+(((IF(AND(ArtifactsInput!$M$42,((Inputs!$B$9+((C1337=TRUE)*(F1337-Calc!F19))+B1348+(ArtifactsInput!$M$24-ArtifactsInput!$M$24)*CHOOSE(ArtifactsInput!$N$24+1,10,12,14,16,18,20)+IF(ArtifactsInput!$M$10,CHOOSE(ArtifactsInput!$N$10+1,15,18,21,24,27,30)*(IF(Inputs!$B$38="pvp",MIN(15,15)/15,IF(AND(Inputs!$B$38&lt;&gt;"pvp",Inputs!$B$43&gt;0),MIN(15,Inputs!$B$43)/(Inputs!$B$43),0))),0)))&gt;=100),MIN(100,((Inputs!$B$9+((C1337=TRUE)*(F1337-Calc!F19))+B1348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1337=TRUE)*(F1337-Calc!F19))+B1348+(ArtifactsInput!$M$24-ArtifactsInput!$M$24)*CHOOSE(ArtifactsInput!$N$24+1,10,12,14,16,18,20)+IF(ArtifactsInput!$M$10,CHOOSE(ArtifactsInput!$N$10+1,15,18,21,24,27,30)*(IF(Inputs!$B$38="pvp",MIN(15,15)/15,IF(AND(Inputs!$B$38&lt;&gt;"pvp",Inputs!$B$43&gt;0),MIN(15,Inputs!$B$43)/(Inputs!$B$43),0))),0)))&gt;=100),CHOOSE(ArtifactsInput!$N$42+1,40,48,56,64,72,80),0))))/100)*((1+(((C1335=TRUE)*F1335)+((C1342=TRUE)*(F1342-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1330)</f>
        <v/>
      </c>
      <c r="L1330">
        <f>K1330*(MIN(Inputs!$B$22+((C1340=TRUE)*(F1340-Calc!F22)),(Inputs!$B$23+0+(IF(ArtifactsInput!$M$15,CHOOSE(ArtifactsInput!$N$15+1,25,30,35,40,45,50)/100*(Inputs!$B$11-Inputs!$B$11),0))))/100+(Inputs!$B$23+0+(IF(ArtifactsInput!$M$15,CHOOSE(ArtifactsInput!$N$15+1,25,30,35,40,45,50)/100*(Inputs!$B$11-Inputs!$B$11),0)))/100)/2</f>
        <v/>
      </c>
      <c r="M1330">
        <f>L1330*(1+(Inputs!$B$10+((C1343=TRUE)*(F1343-Calc!F25))+B1353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0">
        <f>L1330*(1-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1330*(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0">
        <f>(1-Summary!$B$11)*T1330+Summary!$B$11*V1330</f>
        <v/>
      </c>
      <c r="P1330">
        <f>IF(B1358=0,0,O1330/B1358)</f>
        <v/>
      </c>
      <c r="Q1330">
        <f>IFERROR(1/(IF(Inputs!$B$38="pvp",15,MAX(0.1,Skills!D12-IF(Skills!E12=TRUE,Inputs!$B$32,0)))*(1-IF(AND(ArtifactsInput!$M$27,Inputs!$B$4="Chapter Hunt"),CHOOSE(ArtifactsInput!$N$27+1,20,24,28,32,36,40),0)/100)),0)</f>
        <v/>
      </c>
      <c r="R1330">
        <f>IF(AND(Inputs!$B$38&lt;&gt;"pvp",Inputs!$B$43&gt;0),IF(MAX(0,Inputs!$B$43-B1355)&lt;=0,0,(INT(MAX(0,Inputs!$B$43-B1355)/(IF(Inputs!$B$38="pvp",15,MAX(0.1,Skills!D12-IF(Skills!E12=TRUE,Inputs!$B$32,0)))*(1-IF(AND(ArtifactsInput!$M$27,Inputs!$B$4="Chapter Hunt"),CHOOSE(ArtifactsInput!$N$27+1,20,24,28,32,36,40),0)/100)))+1)),0)</f>
        <v/>
      </c>
      <c r="S1330">
        <f>IFERROR(O1330/N1330,0)</f>
        <v/>
      </c>
      <c r="T1330">
        <f>IF(C1330,(H1330*N1330*IF(AND(Inputs!$B$38&lt;&gt;"pvp",Inputs!$B$43&gt;0),((Skills!G12*((R1330-1)*IF(Skills!H12&gt;0,Skills!I12/Skills!H12,1)+IF(Skills!H12&gt;0,MIN(Skills!I12,MAX(0,MAX(0,Inputs!$B$43-B1355)-((R1330-1)*(IF(Inputs!$B$38="pvp",15,MAX(0.1,Skills!D12-IF(Skills!E12=TRUE,Inputs!$B$32,0)))*(1-IF(AND(ArtifactsInput!$M$27,Inputs!$B$4="Chapter Hunt"),CHOOSE(ArtifactsInput!$N$27+1,20,24,28,32,36,40),0)/100)))))/Skills!H12,1)))/Inputs!$B$43),G1330*Q1330)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1330*(1-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1330*(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1330*(1-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1330*(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0">
        <f>IF(C1330,(H1330*N1330*IF(AND(Inputs!$B$38&lt;&gt;"pvp",Inputs!$B$43&gt;0),((Skills!G12*((R1330-1)*IF(Skills!H12&gt;0,Skills!I12/Skills!H12,1)+IF(Skills!H12&gt;0,MIN(Skills!I12,MAX(0,MAX(0,Inputs!$B$43-B1355)-((R1330-1)*(IF(Inputs!$B$38="pvp",15,MAX(0.1,Skills!D12-IF(Skills!E12=TRUE,Inputs!$B$32,0)))*(1-IF(AND(ArtifactsInput!$M$27,Inputs!$B$4="Chapter Hunt"),CHOOSE(ArtifactsInput!$N$27+1,20,24,28,32,36,40),0)/100)))))/Skills!H12,1)))/Inputs!$B$43),G1330*Q1330))*IF(Inputs!$B$38="pvp",1,(1+(Inputs!$B$21+Skills!Q12+(IF(ArtifactsInput!$M$33,CHOOSE(ArtifactsInput!$N$33+1,30,36,42,48,54,60)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1">
      <c r="A1331">
        <f>Skills!A13</f>
        <v/>
      </c>
      <c r="B1331">
        <f>Skills!B13</f>
        <v/>
      </c>
      <c r="C1331">
        <f>Inputs!$B$3&gt;=110</f>
        <v/>
      </c>
      <c r="D1331">
        <f>IF(Skills!C13=1,60+Inputs!$B$25+Inputs!$B$29,IF(Skills!C13=2,90+Inputs!$B$26+Inputs!$B$29,IF(Skills!C13=3,120+Inputs!$B$27+Inputs!$B$29,MAX(0,(Inputs!$B$3-100)*3)+Inputs!$B$28+Inputs!$B$29)))</f>
        <v/>
      </c>
      <c r="E1331">
        <f>INDEX(FactorTable!$B$2:$Y$301, MATCH(ROUND(MIN(300,MAX(1,D1331)),0), FactorTable!$A$2:$A$301,0), Skills!M13+1)</f>
        <v/>
      </c>
      <c r="F1331">
        <f>IF(Skills!N13=TRUE,(Skills!L13/10)*(E1331/1000),Skills!L13/10)+Skills!O13</f>
        <v/>
      </c>
      <c r="G1331">
        <f>Skills!G13*IF(Skills!H13&gt;0,Skills!I13/Skills!H13,1)</f>
        <v/>
      </c>
      <c r="H1331">
        <f>1-(1-Skills!J13/100)^Skills!K13</f>
        <v/>
      </c>
      <c r="I1331" t="inlineStr">
        <is>
          <t>1</t>
        </is>
      </c>
      <c r="J1331">
        <f>((Inputs!$B$6*(1+Inputs!$B$7/100))+(((Inputs!$B$12*(1+Inputs!$B$13/100))-(Inputs!$B$12*(1+Inputs!$B$13/100)))+0.25*(Inputs!$B$14-Inputs!$B$14))*(1+Inputs!$B$7/100))*(F1331/100)</f>
        <v/>
      </c>
      <c r="K1331">
        <f>J1331*(1+((Inputs!$B$12*(1+Inputs!$B$13/100))*0.01+Inputs!$B$14*0.0025)/100)*(1+Inputs!$B$15/100)*(1+Inputs!$B$16/100)*(5000/(6000+Inputs!$B$42*(1-(100*(1-(1-(Inputs!$B$19+0)/100)*(1-CHOOSE(ArtifactsInput!$N$40+1,5,6,7,8,9,10)/100)^(ArtifactsInput!$M$40-ArtifactsInput!$M$40)))/100)))*(1+(Inputs!$B$24+((C1344=TRUE)*(F1344-Calc!F26))+B1354)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1341=TRUE)*(F1341-Calc!F23))+((C1345=TRUE)*(F1345-Calc!F27))+(((IF(AND(ArtifactsInput!$M$42,((Inputs!$B$9+((C1337=TRUE)*(F1337-Calc!F19))+B1348+(ArtifactsInput!$M$24-ArtifactsInput!$M$24)*CHOOSE(ArtifactsInput!$N$24+1,10,12,14,16,18,20)+IF(ArtifactsInput!$M$10,CHOOSE(ArtifactsInput!$N$10+1,15,18,21,24,27,30)*(IF(Inputs!$B$38="pvp",MIN(15,15)/15,IF(AND(Inputs!$B$38&lt;&gt;"pvp",Inputs!$B$43&gt;0),MIN(15,Inputs!$B$43)/(Inputs!$B$43),0))),0)))&gt;=100),MIN(100,((Inputs!$B$9+((C1337=TRUE)*(F1337-Calc!F19))+B1348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1337=TRUE)*(F1337-Calc!F19))+B1348+(ArtifactsInput!$M$24-ArtifactsInput!$M$24)*CHOOSE(ArtifactsInput!$N$24+1,10,12,14,16,18,20)+IF(ArtifactsInput!$M$10,CHOOSE(ArtifactsInput!$N$10+1,15,18,21,24,27,30)*(IF(Inputs!$B$38="pvp",MIN(15,15)/15,IF(AND(Inputs!$B$38&lt;&gt;"pvp",Inputs!$B$43&gt;0),MIN(15,Inputs!$B$43)/(Inputs!$B$43),0))),0)))&gt;=100),CHOOSE(ArtifactsInput!$N$42+1,40,48,56,64,72,80),0))))/100)*((1+(((C1335=TRUE)*F1335)+((C1342=TRUE)*(F1342-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1331)</f>
        <v/>
      </c>
      <c r="L1331">
        <f>K1331*(MIN(Inputs!$B$22+((C1340=TRUE)*(F1340-Calc!F22)),(Inputs!$B$23+0+(IF(ArtifactsInput!$M$15,CHOOSE(ArtifactsInput!$N$15+1,25,30,35,40,45,50)/100*(Inputs!$B$11-Inputs!$B$11),0))))/100+(Inputs!$B$23+0+(IF(ArtifactsInput!$M$15,CHOOSE(ArtifactsInput!$N$15+1,25,30,35,40,45,50)/100*(Inputs!$B$11-Inputs!$B$11),0)))/100)/2</f>
        <v/>
      </c>
      <c r="M1331">
        <f>L1331*(1+(Inputs!$B$10+((C1343=TRUE)*(F1343-Calc!F25))+B1353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1">
        <f>L1331*(1-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1">
        <f>(1-Summary!$B$11)*T1331+Summary!$B$11*V1331</f>
        <v/>
      </c>
      <c r="P1331">
        <f>IF(B1358=0,0,O1331/B1358)</f>
        <v/>
      </c>
      <c r="Q1331">
        <f>IFERROR(1/(IF(Inputs!$B$38="pvp",15,MAX(0.1,Skills!D13-IF(Skills!E13=TRUE,Inputs!$B$32,0)))*(1-IF(AND(ArtifactsInput!$M$27,Inputs!$B$4="Chapter Hunt"),CHOOSE(ArtifactsInput!$N$27+1,20,24,28,32,36,40),0)/100)),0)</f>
        <v/>
      </c>
      <c r="R1331">
        <f>IF(AND(Inputs!$B$38&lt;&gt;"pvp",Inputs!$B$43&gt;0),IF(MAX(0,Inputs!$B$43-B1355)&lt;=0,0,(INT(MAX(0,Inputs!$B$43-B1355)/(IF(Inputs!$B$38="pvp",15,MAX(0.1,Skills!D13-IF(Skills!E13=TRUE,Inputs!$B$32,0)))*(1-IF(AND(ArtifactsInput!$M$27,Inputs!$B$4="Chapter Hunt"),CHOOSE(ArtifactsInput!$N$27+1,20,24,28,32,36,40),0)/100)))+1)),0)</f>
        <v/>
      </c>
      <c r="S1331">
        <f>IFERROR(O1331/N1331,0)</f>
        <v/>
      </c>
      <c r="T1331">
        <f>IF(C1331,(H1331*N1331*IF(AND(Inputs!$B$38&lt;&gt;"pvp",Inputs!$B$43&gt;0),((Skills!G13*((R1331-1)*IF(Skills!H13&gt;0,Skills!I13/Skills!H13,1)+IF(Skills!H13&gt;0,MIN(Skills!I13,MAX(0,MAX(0,Inputs!$B$43-B1355)-((R1331-1)*(IF(Inputs!$B$38="pvp",15,MAX(0.1,Skills!D13-IF(Skills!E13=TRUE,Inputs!$B$32,0)))*(1-IF(AND(ArtifactsInput!$M$27,Inputs!$B$4="Chapter Hunt"),CHOOSE(ArtifactsInput!$N$27+1,20,24,28,32,36,40),0)/100)))))/Skills!H13,1)))/Inputs!$B$43),G1331*Q1331))*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1331*(1-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1331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1331*(1-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1">
        <f>IF(C1331,(H1331*N1331*IF(AND(Inputs!$B$38&lt;&gt;"pvp",Inputs!$B$43&gt;0),((Skills!G13*((R1331-1)*IF(Skills!H13&gt;0,Skills!I13/Skills!H13,1)+IF(Skills!H13&gt;0,MIN(Skills!I13,MAX(0,MAX(0,Inputs!$B$43-B1355)-((R1331-1)*(IF(Inputs!$B$38="pvp",15,MAX(0.1,Skills!D13-IF(Skills!E13=TRUE,Inputs!$B$32,0)))*(1-IF(AND(ArtifactsInput!$M$27,Inputs!$B$4="Chapter Hunt"),CHOOSE(ArtifactsInput!$N$27+1,20,24,28,32,36,40),0)/100)))))/Skills!H13,1)))/Inputs!$B$43),G1331*Q1331))*IF(Inputs!$B$38="pvp",1,(1+(Inputs!$B$21+Skills!Q13+(IF(ArtifactsInput!$M$33,CHOOSE(ArtifactsInput!$N$33+1,30,36,42,48,54,60)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2">
      <c r="A1332">
        <f>Skills!A14</f>
        <v/>
      </c>
      <c r="B1332">
        <f>Skills!B14</f>
        <v/>
      </c>
      <c r="C1332">
        <f>Inputs!$B$3&gt;=125</f>
        <v/>
      </c>
      <c r="D1332">
        <f>IF(Skills!C14=1,60+Inputs!$B$25+Inputs!$B$29,IF(Skills!C14=2,90+Inputs!$B$26+Inputs!$B$29,IF(Skills!C14=3,120+Inputs!$B$27+Inputs!$B$29,MAX(0,(Inputs!$B$3-100)*3)+Inputs!$B$28+Inputs!$B$29)))</f>
        <v/>
      </c>
      <c r="E1332">
        <f>INDEX(FactorTable!$B$2:$Y$301, MATCH(ROUND(MIN(300,MAX(1,D1332)),0), FactorTable!$A$2:$A$301,0), Skills!M14+1)</f>
        <v/>
      </c>
      <c r="F1332">
        <f>IF(Skills!N14=TRUE,(Skills!L14/10)*(E1332/1000),Skills!L14/10)+Skills!O14</f>
        <v/>
      </c>
      <c r="G1332">
        <f>Skills!G14*IF(Skills!H14&gt;0,Skills!I14/Skills!H14,1)</f>
        <v/>
      </c>
      <c r="H1332">
        <f>1-(1-Skills!J14/100)^Skills!K14</f>
        <v/>
      </c>
      <c r="I1332" t="inlineStr">
        <is>
          <t>1</t>
        </is>
      </c>
      <c r="J1332">
        <f>((Inputs!$B$6*(1+Inputs!$B$7/100))+(((Inputs!$B$12*(1+Inputs!$B$13/100))-(Inputs!$B$12*(1+Inputs!$B$13/100)))+0.25*(Inputs!$B$14-Inputs!$B$14))*(1+Inputs!$B$7/100))*(F1332/100)</f>
        <v/>
      </c>
      <c r="K1332">
        <f>J1332*(1+((Inputs!$B$12*(1+Inputs!$B$13/100))*0.01+Inputs!$B$14*0.0025)/100)*(1+Inputs!$B$15/100)*(1+Inputs!$B$16/100)*(5000/(6000+Inputs!$B$42*(1-(100*(1-(1-(Inputs!$B$19+0)/100)*(1-CHOOSE(ArtifactsInput!$N$40+1,5,6,7,8,9,10)/100)^(ArtifactsInput!$M$40-ArtifactsInput!$M$40)))/100)))*(1+(Inputs!$B$24+((C1344=TRUE)*(F1344-Calc!F26))+B1354)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1341=TRUE)*(F1341-Calc!F23))+((C1345=TRUE)*(F1345-Calc!F27))+(((IF(AND(ArtifactsInput!$M$42,((Inputs!$B$9+((C1337=TRUE)*(F1337-Calc!F19))+B1348+(ArtifactsInput!$M$24-ArtifactsInput!$M$24)*CHOOSE(ArtifactsInput!$N$24+1,10,12,14,16,18,20)+IF(ArtifactsInput!$M$10,CHOOSE(ArtifactsInput!$N$10+1,15,18,21,24,27,30)*(IF(Inputs!$B$38="pvp",MIN(15,15)/15,IF(AND(Inputs!$B$38&lt;&gt;"pvp",Inputs!$B$43&gt;0),MIN(15,Inputs!$B$43)/(Inputs!$B$43),0))),0)))&gt;=100),MIN(100,((Inputs!$B$9+((C1337=TRUE)*(F1337-Calc!F19))+B1348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1337=TRUE)*(F1337-Calc!F19))+B1348+(ArtifactsInput!$M$24-ArtifactsInput!$M$24)*CHOOSE(ArtifactsInput!$N$24+1,10,12,14,16,18,20)+IF(ArtifactsInput!$M$10,CHOOSE(ArtifactsInput!$N$10+1,15,18,21,24,27,30)*(IF(Inputs!$B$38="pvp",MIN(15,15)/15,IF(AND(Inputs!$B$38&lt;&gt;"pvp",Inputs!$B$43&gt;0),MIN(15,Inputs!$B$43)/(Inputs!$B$43),0))),0)))&gt;=100),CHOOSE(ArtifactsInput!$N$42+1,40,48,56,64,72,80),0))))/100)*((1+(((C1335=TRUE)*F1335)+((C1342=TRUE)*(F1342-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1332)</f>
        <v/>
      </c>
      <c r="L1332">
        <f>K1332*(MIN(Inputs!$B$22+((C1340=TRUE)*(F1340-Calc!F22)),(Inputs!$B$23+0+(IF(ArtifactsInput!$M$15,CHOOSE(ArtifactsInput!$N$15+1,25,30,35,40,45,50)/100*(Inputs!$B$11-Inputs!$B$11),0))))/100+(Inputs!$B$23+0+(IF(ArtifactsInput!$M$15,CHOOSE(ArtifactsInput!$N$15+1,25,30,35,40,45,50)/100*(Inputs!$B$11-Inputs!$B$11),0)))/100)/2</f>
        <v/>
      </c>
      <c r="M1332">
        <f>L1332*(1+(Inputs!$B$10+((C1343=TRUE)*(F1343-Calc!F25))+B1353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2">
        <f>L1332*(1-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1332*(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2">
        <f>(1-Summary!$B$11)*T1332+Summary!$B$11*V1332</f>
        <v/>
      </c>
      <c r="P1332">
        <f>IF(B1358=0,0,O1332/B1358)</f>
        <v/>
      </c>
      <c r="Q1332" t="n">
        <v>0</v>
      </c>
      <c r="R1332" t="n">
        <v>0</v>
      </c>
      <c r="S1332">
        <f>IFERROR(O1332/N1332,0)</f>
        <v/>
      </c>
      <c r="T1332">
        <f>IF(C1332,(H1332*N1332*(B1352+IF(AND(Inputs!$B$38&lt;&gt;"pvp",Inputs!$B$43&gt;0),((Skills!G8*((R1326-1)*IF(Skills!H8&gt;0,Skills!I8/Skills!H8,1)+IF(Skills!H8&gt;0,MIN(Skills!I8,MAX(0,MAX(0,Inputs!$B$43-B1355)-((R1326-1)*(IF(Inputs!$B$38="pvp",15,MAX(0.1,Skills!D8-IF(Skills!E8=TRUE,Inputs!$B$32,0)))*(1-IF(AND(ArtifactsInput!$M$27,Inputs!$B$4="Chapter Hunt"),CHOOSE(ArtifactsInput!$N$27+1,20,24,28,32,36,40),0)/100)))))/Skills!H8,1)))/Inputs!$B$43),G1326*Q1326)+IF(AND(Inputs!$B$38&lt;&gt;"pvp",Inputs!$B$43&gt;0),((Skills!G11*((R1329-1)*IF(Skills!H11&gt;0,Skills!I11/Skills!H11,1)+IF(Skills!H11&gt;0,MIN(Skills!I11,MAX(0,MAX(0,Inputs!$B$43-B1355)-((R1329-1)*(IF(Inputs!$B$38="pvp",15,MAX(0.1,Skills!D11-IF(Skills!E11=TRUE,Inputs!$B$32,0)))*(1-IF(AND(ArtifactsInput!$M$27,Inputs!$B$4="Chapter Hunt"),CHOOSE(ArtifactsInput!$N$27+1,20,24,28,32,36,40),0)/100)))))/Skills!H11,1)))/Inputs!$B$43),G1329*Q1329)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1332*(1-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1332*(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1332*(1-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1332*(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2">
        <f>IF(C1332,(H1332*N1332*(B1352+IF(AND(Inputs!$B$38&lt;&gt;"pvp",Inputs!$B$43&gt;0),((Skills!G8*((R1326-1)*IF(Skills!H8&gt;0,Skills!I8/Skills!H8,1)+IF(Skills!H8&gt;0,MIN(Skills!I8,MAX(0,MAX(0,Inputs!$B$43-B1355)-((R1326-1)*(IF(Inputs!$B$38="pvp",15,MAX(0.1,Skills!D8-IF(Skills!E8=TRUE,Inputs!$B$32,0)))*(1-IF(AND(ArtifactsInput!$M$27,Inputs!$B$4="Chapter Hunt"),CHOOSE(ArtifactsInput!$N$27+1,20,24,28,32,36,40),0)/100)))))/Skills!H8,1)))/Inputs!$B$43),G1326*Q1326)+IF(AND(Inputs!$B$38&lt;&gt;"pvp",Inputs!$B$43&gt;0),((Skills!G11*((R1329-1)*IF(Skills!H11&gt;0,Skills!I11/Skills!H11,1)+IF(Skills!H11&gt;0,MIN(Skills!I11,MAX(0,MAX(0,Inputs!$B$43-B1355)-((R1329-1)*(IF(Inputs!$B$38="pvp",15,MAX(0.1,Skills!D11-IF(Skills!E11=TRUE,Inputs!$B$32,0)))*(1-IF(AND(ArtifactsInput!$M$27,Inputs!$B$4="Chapter Hunt"),CHOOSE(ArtifactsInput!$N$27+1,20,24,28,32,36,40),0)/100)))))/Skills!H11,1)))/Inputs!$B$43),G1329*Q1329)))*IF(Inputs!$B$38="pvp",1,(1+(Inputs!$B$21+Skills!Q14+(IF(ArtifactsInput!$M$33,CHOOSE(ArtifactsInput!$N$33+1,30,36,42,48,54,60)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3">
      <c r="A1333">
        <f>Skills!A15</f>
        <v/>
      </c>
      <c r="B1333">
        <f>Skills!B15</f>
        <v/>
      </c>
      <c r="C1333">
        <f>Inputs!$B$3&gt;=100</f>
        <v/>
      </c>
      <c r="D1333">
        <f>IF(Skills!C15=1,60+Inputs!$B$25+Inputs!$B$29,IF(Skills!C15=2,90+Inputs!$B$26+Inputs!$B$29,IF(Skills!C15=3,120+Inputs!$B$27+Inputs!$B$29,MAX(0,(Inputs!$B$3-100)*3)+Inputs!$B$28+Inputs!$B$29)))</f>
        <v/>
      </c>
      <c r="E1333">
        <f>INDEX(FactorTable!$B$2:$Y$301, MATCH(ROUND(MIN(300,MAX(1,D1333)),0), FactorTable!$A$2:$A$301,0), Skills!M15+1)</f>
        <v/>
      </c>
      <c r="F1333">
        <f>IF(Skills!N15=TRUE,(Skills!L15/10)*(E1333/1000),Skills!L15/10)+Skills!O15</f>
        <v/>
      </c>
      <c r="G1333" t="inlineStr"/>
      <c r="H1333" t="inlineStr"/>
      <c r="I1333" t="inlineStr">
        <is>
          <t>1</t>
        </is>
      </c>
      <c r="J1333" t="inlineStr"/>
      <c r="K1333" t="inlineStr"/>
      <c r="L1333" t="inlineStr"/>
      <c r="M1333" t="inlineStr"/>
      <c r="N1333" t="inlineStr"/>
      <c r="O1333" t="inlineStr"/>
      <c r="P1333" t="inlineStr"/>
      <c r="Q1333" t="inlineStr"/>
      <c r="R1333" t="inlineStr"/>
      <c r="S1333" t="inlineStr"/>
    </row>
    <row r="1334">
      <c r="A1334">
        <f>Skills!A16</f>
        <v/>
      </c>
      <c r="B1334">
        <f>Skills!B16</f>
        <v/>
      </c>
      <c r="C1334">
        <f>Inputs!$B$3&gt;=120</f>
        <v/>
      </c>
      <c r="D1334">
        <f>IF(Skills!C16=1,60+Inputs!$B$25+Inputs!$B$29,IF(Skills!C16=2,90+Inputs!$B$26+Inputs!$B$29,IF(Skills!C16=3,120+Inputs!$B$27+Inputs!$B$29,MAX(0,(Inputs!$B$3-100)*3)+Inputs!$B$28+Inputs!$B$29)))</f>
        <v/>
      </c>
      <c r="E1334">
        <f>INDEX(FactorTable!$B$2:$Y$301, MATCH(ROUND(MIN(300,MAX(1,D1334)),0), FactorTable!$A$2:$A$301,0), Skills!M16+1)</f>
        <v/>
      </c>
      <c r="F1334">
        <f>IF(Skills!N16=TRUE,(Skills!L16/10)*(E1334/1000),Skills!L16/10)+Skills!O16</f>
        <v/>
      </c>
      <c r="G1334" t="inlineStr"/>
      <c r="H1334" t="inlineStr"/>
      <c r="I1334" t="inlineStr">
        <is>
          <t>1</t>
        </is>
      </c>
      <c r="J1334" t="inlineStr"/>
      <c r="K1334" t="inlineStr"/>
      <c r="L1334" t="inlineStr"/>
      <c r="M1334" t="inlineStr"/>
      <c r="N1334" t="inlineStr"/>
      <c r="O1334" t="inlineStr"/>
      <c r="P1334" t="inlineStr"/>
      <c r="Q1334" t="inlineStr"/>
      <c r="R1334" t="inlineStr"/>
      <c r="S1334" t="inlineStr"/>
    </row>
    <row r="1335">
      <c r="A1335">
        <f>Skills!A17</f>
        <v/>
      </c>
      <c r="B1335">
        <f>Skills!B17</f>
        <v/>
      </c>
      <c r="C1335">
        <f>Inputs!$B$3&gt;=66</f>
        <v/>
      </c>
      <c r="D1335">
        <f>IF(Skills!C17=1,60+Inputs!$B$25+Inputs!$B$29,IF(Skills!C17=2,90+Inputs!$B$26+Inputs!$B$29,IF(Skills!C17=3,120+Inputs!$B$27+Inputs!$B$29,MAX(0,(Inputs!$B$3-100)*3)+Inputs!$B$28+Inputs!$B$29)))</f>
        <v/>
      </c>
      <c r="E1335">
        <f>INDEX(FactorTable!$B$2:$Y$301, MATCH(ROUND(MIN(300,MAX(1,D1335)),0), FactorTable!$A$2:$A$301,0), Skills!M17+1)</f>
        <v/>
      </c>
      <c r="F1335">
        <f>IF(Skills!N17=TRUE,(Skills!L17/10)*(E1335/1000),Skills!L17/10)+Skills!O17</f>
        <v/>
      </c>
      <c r="G1335">
        <f>Skills!G17*IF(Skills!H17&gt;0,Skills!I17/Skills!H17,1)</f>
        <v/>
      </c>
      <c r="H1335">
        <f>1-(1-Skills!J17/100)^Skills!K17</f>
        <v/>
      </c>
      <c r="I1335" t="inlineStr">
        <is>
          <t>1</t>
        </is>
      </c>
      <c r="J1335" t="inlineStr"/>
      <c r="K1335" t="inlineStr"/>
      <c r="L1335" t="inlineStr"/>
      <c r="M1335" t="inlineStr"/>
      <c r="N1335" t="inlineStr"/>
      <c r="O1335">
        <f>(1-Summary!$B$11)*T1335+Summary!$B$11*V1335</f>
        <v/>
      </c>
      <c r="P1335">
        <f>IF(B1358=0,0,O1335/B1358)</f>
        <v/>
      </c>
      <c r="Q1335" t="n">
        <v>0</v>
      </c>
      <c r="R1335" t="n">
        <v>0</v>
      </c>
      <c r="S1335">
        <f>IFERROR(O1335/N1335,0)</f>
        <v/>
      </c>
      <c r="T1335" t="n">
        <v>0</v>
      </c>
      <c r="V1335" t="n">
        <v>0</v>
      </c>
    </row>
    <row r="1336">
      <c r="A1336">
        <f>Skills!A18</f>
        <v/>
      </c>
      <c r="B1336">
        <f>Skills!B18</f>
        <v/>
      </c>
      <c r="C1336">
        <f>Inputs!$B$3&gt;=115</f>
        <v/>
      </c>
      <c r="D1336">
        <f>IF(Skills!C18=1,60+Inputs!$B$25+Inputs!$B$29,IF(Skills!C18=2,90+Inputs!$B$26+Inputs!$B$29,IF(Skills!C18=3,120+Inputs!$B$27+Inputs!$B$29,MAX(0,(Inputs!$B$3-100)*3)+Inputs!$B$28+Inputs!$B$29)))</f>
        <v/>
      </c>
      <c r="E1336">
        <f>INDEX(FactorTable!$B$2:$Y$301, MATCH(ROUND(MIN(300,MAX(1,D1336)),0), FactorTable!$A$2:$A$301,0), Skills!M18+1)</f>
        <v/>
      </c>
      <c r="F1336">
        <f>IF(Skills!N18=TRUE,(Skills!L18/10)*(E1336/1000),Skills!L18/10)+Skills!O18</f>
        <v/>
      </c>
      <c r="G1336">
        <f>Skills!G18*IF(Skills!H18&gt;0,Skills!I18/Skills!H18,1)</f>
        <v/>
      </c>
      <c r="H1336">
        <f>1-(1-Skills!J18/100)^Skills!K18</f>
        <v/>
      </c>
      <c r="I1336" t="inlineStr">
        <is>
          <t>1</t>
        </is>
      </c>
      <c r="J1336" t="inlineStr"/>
      <c r="K1336" t="inlineStr"/>
      <c r="L1336" t="inlineStr"/>
      <c r="M1336" t="inlineStr"/>
      <c r="N1336" t="inlineStr"/>
      <c r="O1336">
        <f>(1-Summary!$B$11)*T1336+Summary!$B$11*V1336</f>
        <v/>
      </c>
      <c r="P1336">
        <f>IF(B1358=0,0,O1336/B1358)</f>
        <v/>
      </c>
      <c r="Q1336" t="n">
        <v>0</v>
      </c>
      <c r="R1336" t="n">
        <v>0</v>
      </c>
      <c r="S1336">
        <f>IFERROR(O1336/N1336,0)</f>
        <v/>
      </c>
      <c r="T1336" t="n">
        <v>0</v>
      </c>
      <c r="V1336" t="n">
        <v>0</v>
      </c>
    </row>
    <row r="1337">
      <c r="A1337">
        <f>Skills!A19</f>
        <v/>
      </c>
      <c r="B1337">
        <f>Skills!B19</f>
        <v/>
      </c>
      <c r="C1337">
        <f>Inputs!$B$3&gt;=15</f>
        <v/>
      </c>
      <c r="D1337">
        <f>IF(Skills!C19=1,60+Inputs!$B$25+Inputs!$B$29,IF(Skills!C19=2,90+Inputs!$B$26+Inputs!$B$29,IF(Skills!C19=3,120+Inputs!$B$27+Inputs!$B$29,MAX(0,(Inputs!$B$3-100)*3)+Inputs!$B$28+Inputs!$B$29)))</f>
        <v/>
      </c>
      <c r="E1337">
        <f>INDEX(FactorTable!$B$2:$Y$301, MATCH(ROUND(MIN(300,MAX(1,D1337)),0), FactorTable!$A$2:$A$301,0), Skills!M19+1)</f>
        <v/>
      </c>
      <c r="F1337">
        <f>IF(Skills!N19=TRUE,(Skills!L19/10)*(E1337/1000),Skills!L19/10)+Skills!O19</f>
        <v/>
      </c>
      <c r="G1337">
        <f>Skills!G19*IF(Skills!H19&gt;0,Skills!I19/Skills!H19,1)</f>
        <v/>
      </c>
      <c r="H1337">
        <f>1-(1-Skills!J19/100)^Skills!K19</f>
        <v/>
      </c>
      <c r="I1337" t="inlineStr">
        <is>
          <t>1</t>
        </is>
      </c>
      <c r="J1337" t="inlineStr"/>
      <c r="K1337" t="inlineStr"/>
      <c r="L1337" t="inlineStr"/>
      <c r="M1337" t="inlineStr"/>
      <c r="N1337" t="inlineStr"/>
      <c r="O1337">
        <f>(1-Summary!$B$11)*T1337+Summary!$B$11*V1337</f>
        <v/>
      </c>
      <c r="P1337">
        <f>IF(B1358=0,0,O1337/B1358)</f>
        <v/>
      </c>
      <c r="Q1337" t="n">
        <v>0</v>
      </c>
      <c r="R1337" t="n">
        <v>0</v>
      </c>
      <c r="S1337">
        <f>IFERROR(O1337/N1337,0)</f>
        <v/>
      </c>
      <c r="T1337" t="n">
        <v>0</v>
      </c>
      <c r="V1337" t="n">
        <v>0</v>
      </c>
    </row>
    <row r="1338">
      <c r="A1338">
        <f>Skills!A20</f>
        <v/>
      </c>
      <c r="B1338">
        <f>Skills!B20</f>
        <v/>
      </c>
      <c r="C1338">
        <f>Inputs!$B$3&gt;=10</f>
        <v/>
      </c>
      <c r="D1338">
        <f>IF(Skills!C20=1,60+Inputs!$B$25+Inputs!$B$29,IF(Skills!C20=2,90+Inputs!$B$26+Inputs!$B$29,IF(Skills!C20=3,120+Inputs!$B$27+Inputs!$B$29,MAX(0,(Inputs!$B$3-100)*3)+Inputs!$B$28+Inputs!$B$29)))</f>
        <v/>
      </c>
      <c r="E1338">
        <f>INDEX(FactorTable!$B$2:$Y$301, MATCH(ROUND(MIN(300,MAX(1,D1338)),0), FactorTable!$A$2:$A$301,0), Skills!M20+1)</f>
        <v/>
      </c>
      <c r="F1338">
        <f>IF(Skills!N20=TRUE,(Skills!L20/10)*(E1338/1000),Skills!L20/10)+Skills!O20</f>
        <v/>
      </c>
      <c r="G1338">
        <f>Skills!G20*IF(Skills!H20&gt;0,Skills!I20/Skills!H20,1)</f>
        <v/>
      </c>
      <c r="H1338">
        <f>1-(1-Skills!J20/100)^Skills!K20</f>
        <v/>
      </c>
      <c r="I1338" t="inlineStr">
        <is>
          <t>1</t>
        </is>
      </c>
      <c r="J1338" t="inlineStr"/>
      <c r="K1338" t="inlineStr"/>
      <c r="L1338" t="inlineStr"/>
      <c r="M1338" t="inlineStr"/>
      <c r="N1338" t="inlineStr"/>
      <c r="O1338">
        <f>(1-Summary!$B$11)*T1338+Summary!$B$11*V1338</f>
        <v/>
      </c>
      <c r="P1338">
        <f>IF(B1358=0,0,O1338/B1358)</f>
        <v/>
      </c>
      <c r="Q1338" t="n">
        <v>0</v>
      </c>
      <c r="R1338" t="n">
        <v>0</v>
      </c>
      <c r="S1338">
        <f>IFERROR(O1338/N1338,0)</f>
        <v/>
      </c>
      <c r="T1338" t="n">
        <v>0</v>
      </c>
      <c r="V1338" t="n">
        <v>0</v>
      </c>
    </row>
    <row r="1339">
      <c r="A1339">
        <f>Skills!A21</f>
        <v/>
      </c>
      <c r="B1339">
        <f>Skills!B21</f>
        <v/>
      </c>
      <c r="C1339">
        <f>Inputs!$B$3&gt;=33</f>
        <v/>
      </c>
      <c r="D1339">
        <f>IF(Skills!C21=1,60+Inputs!$B$25+Inputs!$B$29,IF(Skills!C21=2,90+Inputs!$B$26+Inputs!$B$29,IF(Skills!C21=3,120+Inputs!$B$27+Inputs!$B$29,MAX(0,(Inputs!$B$3-100)*3)+Inputs!$B$28+Inputs!$B$29)))</f>
        <v/>
      </c>
      <c r="E1339">
        <f>INDEX(FactorTable!$B$2:$Y$301, MATCH(ROUND(MIN(300,MAX(1,D1339)),0), FactorTable!$A$2:$A$301,0), Skills!M21+1)</f>
        <v/>
      </c>
      <c r="F1339">
        <f>IF(Skills!N21=TRUE,(Skills!L21/10)*(E1339/1000),Skills!L21/10)+Skills!O21</f>
        <v/>
      </c>
      <c r="G1339">
        <f>Skills!G21*IF(Skills!H21&gt;0,Skills!I21/Skills!H21,1)</f>
        <v/>
      </c>
      <c r="H1339">
        <f>1-(1-Skills!J21/100)^Skills!K21</f>
        <v/>
      </c>
      <c r="I1339" t="inlineStr">
        <is>
          <t>1</t>
        </is>
      </c>
      <c r="J1339" t="inlineStr"/>
      <c r="K1339" t="inlineStr"/>
      <c r="L1339" t="inlineStr"/>
      <c r="M1339" t="inlineStr"/>
      <c r="N1339" t="inlineStr"/>
      <c r="O1339">
        <f>(1-Summary!$B$11)*T1339+Summary!$B$11*V1339</f>
        <v/>
      </c>
      <c r="P1339">
        <f>IF(B1358=0,0,O1339/B1358)</f>
        <v/>
      </c>
      <c r="Q1339" t="n">
        <v>0</v>
      </c>
      <c r="R1339" t="n">
        <v>0</v>
      </c>
      <c r="S1339">
        <f>IFERROR(O1339/N1339,0)</f>
        <v/>
      </c>
      <c r="T1339" t="n">
        <v>0</v>
      </c>
      <c r="V1339" t="n">
        <v>0</v>
      </c>
    </row>
    <row r="1340">
      <c r="A1340">
        <f>Skills!A22</f>
        <v/>
      </c>
      <c r="B1340">
        <f>Skills!B22</f>
        <v/>
      </c>
      <c r="C1340">
        <f>Inputs!$B$3&gt;=43</f>
        <v/>
      </c>
      <c r="D1340">
        <f>IF(Skills!C22=1,60+Inputs!$B$25+Inputs!$B$29,IF(Skills!C22=2,90+Inputs!$B$26+Inputs!$B$29,IF(Skills!C22=3,120+Inputs!$B$27+Inputs!$B$29,MAX(0,(Inputs!$B$3-100)*3)+Inputs!$B$28+Inputs!$B$29)))</f>
        <v/>
      </c>
      <c r="E1340">
        <f>INDEX(FactorTable!$B$2:$Y$301, MATCH(ROUND(MIN(300,MAX(1,D1340)),0), FactorTable!$A$2:$A$301,0), Skills!M22+1)</f>
        <v/>
      </c>
      <c r="F1340">
        <f>IF(Skills!N22=TRUE,(Skills!L22/10)*(E1340/1000),Skills!L22/10)+Skills!O22</f>
        <v/>
      </c>
      <c r="G1340">
        <f>Skills!G22*IF(Skills!H22&gt;0,Skills!I22/Skills!H22,1)</f>
        <v/>
      </c>
      <c r="H1340">
        <f>1-(1-Skills!J22/100)^Skills!K22</f>
        <v/>
      </c>
      <c r="I1340" t="inlineStr">
        <is>
          <t>1</t>
        </is>
      </c>
      <c r="J1340" t="inlineStr"/>
      <c r="K1340" t="inlineStr"/>
      <c r="L1340" t="inlineStr"/>
      <c r="M1340" t="inlineStr"/>
      <c r="N1340" t="inlineStr"/>
      <c r="O1340">
        <f>(1-Summary!$B$11)*T1340+Summary!$B$11*V1340</f>
        <v/>
      </c>
      <c r="P1340">
        <f>IF(B1358=0,0,O1340/B1358)</f>
        <v/>
      </c>
      <c r="Q1340" t="n">
        <v>0</v>
      </c>
      <c r="R1340" t="n">
        <v>0</v>
      </c>
      <c r="S1340">
        <f>IFERROR(O1340/N1340,0)</f>
        <v/>
      </c>
      <c r="T1340" t="n">
        <v>0</v>
      </c>
      <c r="V1340" t="n">
        <v>0</v>
      </c>
    </row>
    <row r="1341">
      <c r="A1341">
        <f>Skills!A23</f>
        <v/>
      </c>
      <c r="B1341">
        <f>Skills!B23</f>
        <v/>
      </c>
      <c r="C1341">
        <f>Inputs!$B$3&gt;=38</f>
        <v/>
      </c>
      <c r="D1341">
        <f>IF(Skills!C23=1,60+Inputs!$B$25+Inputs!$B$29,IF(Skills!C23=2,90+Inputs!$B$26+Inputs!$B$29,IF(Skills!C23=3,120+Inputs!$B$27+Inputs!$B$29,MAX(0,(Inputs!$B$3-100)*3)+Inputs!$B$28+Inputs!$B$29)))</f>
        <v/>
      </c>
      <c r="E1341">
        <f>INDEX(FactorTable!$B$2:$Y$301, MATCH(ROUND(MIN(300,MAX(1,D1341)),0), FactorTable!$A$2:$A$301,0), Skills!M23+1)</f>
        <v/>
      </c>
      <c r="F1341">
        <f>IF(Skills!N23=TRUE,(Skills!L23/10)*(E1341/1000),Skills!L23/10)+Skills!O23</f>
        <v/>
      </c>
      <c r="G1341">
        <f>Skills!G23*IF(Skills!H23&gt;0,Skills!I23/Skills!H23,1)</f>
        <v/>
      </c>
      <c r="H1341">
        <f>1-(1-Skills!J23/100)^Skills!K23</f>
        <v/>
      </c>
      <c r="I1341" t="inlineStr">
        <is>
          <t>1</t>
        </is>
      </c>
      <c r="J1341" t="inlineStr"/>
      <c r="K1341" t="inlineStr"/>
      <c r="L1341" t="inlineStr"/>
      <c r="M1341" t="inlineStr"/>
      <c r="N1341" t="inlineStr"/>
      <c r="O1341">
        <f>(1-Summary!$B$11)*T1341+Summary!$B$11*V1341</f>
        <v/>
      </c>
      <c r="P1341">
        <f>IF(B1358=0,0,O1341/B1358)</f>
        <v/>
      </c>
      <c r="Q1341" t="n">
        <v>0</v>
      </c>
      <c r="R1341" t="n">
        <v>0</v>
      </c>
      <c r="S1341">
        <f>IFERROR(O1341/N1341,0)</f>
        <v/>
      </c>
      <c r="T1341" t="n">
        <v>0</v>
      </c>
      <c r="V1341" t="n">
        <v>0</v>
      </c>
    </row>
    <row r="1342">
      <c r="A1342">
        <f>Skills!A24</f>
        <v/>
      </c>
      <c r="B1342">
        <f>Skills!B24</f>
        <v/>
      </c>
      <c r="C1342">
        <f>Inputs!$B$3&gt;=40</f>
        <v/>
      </c>
      <c r="D1342">
        <f>IF(Skills!C24=1,60+Inputs!$B$25+Inputs!$B$29,IF(Skills!C24=2,90+Inputs!$B$26+Inputs!$B$29,IF(Skills!C24=3,120+Inputs!$B$27+Inputs!$B$29,MAX(0,(Inputs!$B$3-100)*3)+Inputs!$B$28+Inputs!$B$29)))</f>
        <v/>
      </c>
      <c r="E1342">
        <f>INDEX(FactorTable!$B$2:$Y$301, MATCH(ROUND(MIN(300,MAX(1,D1342)),0), FactorTable!$A$2:$A$301,0), Skills!M24+1)</f>
        <v/>
      </c>
      <c r="F1342">
        <f>IF(Skills!N24=TRUE,(Skills!L24/10)*(E1342/1000),Skills!L24/10)+Skills!O24</f>
        <v/>
      </c>
      <c r="G1342">
        <f>Skills!G24*IF(Skills!H24&gt;0,Skills!I24/Skills!H24,1)</f>
        <v/>
      </c>
      <c r="H1342">
        <f>1-(1-Skills!J24/100)^Skills!K24</f>
        <v/>
      </c>
      <c r="I1342" t="inlineStr">
        <is>
          <t>1</t>
        </is>
      </c>
      <c r="J1342" t="inlineStr"/>
      <c r="K1342" t="inlineStr"/>
      <c r="L1342" t="inlineStr"/>
      <c r="M1342" t="inlineStr"/>
      <c r="N1342" t="inlineStr"/>
      <c r="O1342">
        <f>(1-Summary!$B$11)*T1342+Summary!$B$11*V1342</f>
        <v/>
      </c>
      <c r="P1342">
        <f>IF(B1358=0,0,O1342/B1358)</f>
        <v/>
      </c>
      <c r="Q1342" t="n">
        <v>0</v>
      </c>
      <c r="R1342" t="n">
        <v>0</v>
      </c>
      <c r="S1342">
        <f>IFERROR(O1342/N1342,0)</f>
        <v/>
      </c>
      <c r="T1342" t="n">
        <v>0</v>
      </c>
      <c r="V1342" t="n">
        <v>0</v>
      </c>
    </row>
    <row r="1343">
      <c r="A1343">
        <f>Skills!A25</f>
        <v/>
      </c>
      <c r="B1343">
        <f>Skills!B25</f>
        <v/>
      </c>
      <c r="C1343">
        <f>Inputs!$B$3&gt;=72</f>
        <v/>
      </c>
      <c r="D1343">
        <f>IF(Skills!C25=1,60+Inputs!$B$25+Inputs!$B$29,IF(Skills!C25=2,90+Inputs!$B$26+Inputs!$B$29,IF(Skills!C25=3,120+Inputs!$B$27+Inputs!$B$29,MAX(0,(Inputs!$B$3-100)*3)+Inputs!$B$28+Inputs!$B$29)))</f>
        <v/>
      </c>
      <c r="E1343">
        <f>INDEX(FactorTable!$B$2:$Y$301, MATCH(ROUND(MIN(300,MAX(1,D1343)),0), FactorTable!$A$2:$A$301,0), Skills!M25+1)</f>
        <v/>
      </c>
      <c r="F1343">
        <f>IF(Skills!N25=TRUE,(Skills!L25/10)*(E1343/1000),Skills!L25/10)+Skills!O25</f>
        <v/>
      </c>
      <c r="G1343">
        <f>Skills!G25*IF(Skills!H25&gt;0,Skills!I25/Skills!H25,1)</f>
        <v/>
      </c>
      <c r="H1343">
        <f>1-(1-Skills!J25/100)^Skills!K25</f>
        <v/>
      </c>
      <c r="I1343" t="inlineStr">
        <is>
          <t>1</t>
        </is>
      </c>
      <c r="J1343" t="inlineStr"/>
      <c r="K1343" t="inlineStr"/>
      <c r="L1343" t="inlineStr"/>
      <c r="M1343" t="inlineStr"/>
      <c r="N1343" t="inlineStr"/>
      <c r="O1343">
        <f>(1-Summary!$B$11)*T1343+Summary!$B$11*V1343</f>
        <v/>
      </c>
      <c r="P1343">
        <f>IF(B1358=0,0,O1343/B1358)</f>
        <v/>
      </c>
      <c r="Q1343" t="n">
        <v>0</v>
      </c>
      <c r="R1343" t="n">
        <v>0</v>
      </c>
      <c r="S1343">
        <f>IFERROR(O1343/N1343,0)</f>
        <v/>
      </c>
      <c r="T1343" t="n">
        <v>0</v>
      </c>
      <c r="V1343" t="n">
        <v>0</v>
      </c>
    </row>
    <row r="1344">
      <c r="A1344">
        <f>Skills!A26</f>
        <v/>
      </c>
      <c r="B1344">
        <f>Skills!B26</f>
        <v/>
      </c>
      <c r="C1344">
        <f>Inputs!$B$3&gt;=75</f>
        <v/>
      </c>
      <c r="D1344">
        <f>IF(Skills!C26=1,60+Inputs!$B$25+Inputs!$B$29,IF(Skills!C26=2,90+Inputs!$B$26+Inputs!$B$29,IF(Skills!C26=3,120+Inputs!$B$27+Inputs!$B$29,MAX(0,(Inputs!$B$3-100)*3)+Inputs!$B$28+Inputs!$B$29)))</f>
        <v/>
      </c>
      <c r="E1344">
        <f>INDEX(FactorTable!$B$2:$Y$301, MATCH(ROUND(MIN(300,MAX(1,D1344)),0), FactorTable!$A$2:$A$301,0), Skills!M26+1)</f>
        <v/>
      </c>
      <c r="F1344">
        <f>IF(Skills!N26=TRUE,(Skills!L26/10)*(E1344/1000),Skills!L26/10)+Skills!O26</f>
        <v/>
      </c>
      <c r="G1344">
        <f>Skills!G26*IF(Skills!H26&gt;0,Skills!I26/Skills!H26,1)</f>
        <v/>
      </c>
      <c r="H1344">
        <f>1-(1-Skills!J26/100)^Skills!K26</f>
        <v/>
      </c>
      <c r="I1344" t="inlineStr">
        <is>
          <t>1</t>
        </is>
      </c>
      <c r="J1344" t="inlineStr"/>
      <c r="K1344" t="inlineStr"/>
      <c r="L1344" t="inlineStr"/>
      <c r="M1344" t="inlineStr"/>
      <c r="N1344" t="inlineStr"/>
      <c r="O1344">
        <f>(1-Summary!$B$11)*T1344+Summary!$B$11*V1344</f>
        <v/>
      </c>
      <c r="P1344">
        <f>IF(B1358=0,0,O1344/B1358)</f>
        <v/>
      </c>
      <c r="Q1344" t="n">
        <v>0</v>
      </c>
      <c r="R1344" t="n">
        <v>0</v>
      </c>
      <c r="S1344">
        <f>IFERROR(O1344/N1344,0)</f>
        <v/>
      </c>
      <c r="T1344" t="n">
        <v>0</v>
      </c>
      <c r="V1344" t="n">
        <v>0</v>
      </c>
    </row>
    <row r="1345">
      <c r="A1345">
        <f>Skills!A27</f>
        <v/>
      </c>
      <c r="B1345">
        <f>Skills!B27</f>
        <v/>
      </c>
      <c r="C1345">
        <f>Inputs!$B$3&gt;=117</f>
        <v/>
      </c>
      <c r="D1345">
        <f>IF(Skills!C27=1,60+Inputs!$B$25+Inputs!$B$29,IF(Skills!C27=2,90+Inputs!$B$26+Inputs!$B$29,IF(Skills!C27=3,120+Inputs!$B$27+Inputs!$B$29,MAX(0,(Inputs!$B$3-100)*3)+Inputs!$B$28+Inputs!$B$29)))</f>
        <v/>
      </c>
      <c r="E1345">
        <f>INDEX(FactorTable!$B$2:$Y$301, MATCH(ROUND(MIN(300,MAX(1,D1345)),0), FactorTable!$A$2:$A$301,0), Skills!M27+1)</f>
        <v/>
      </c>
      <c r="F1345">
        <f>IF(Skills!N27=TRUE,(Skills!L27/10)*(E1345/1000),Skills!L27/10)+Skills!O27</f>
        <v/>
      </c>
      <c r="G1345">
        <f>Skills!G27*IF(Skills!H27&gt;0,Skills!I27/Skills!H27,1)</f>
        <v/>
      </c>
      <c r="H1345">
        <f>1-(1-Skills!J27/100)^Skills!K27</f>
        <v/>
      </c>
      <c r="I1345" t="inlineStr">
        <is>
          <t>1</t>
        </is>
      </c>
      <c r="J1345" t="inlineStr"/>
      <c r="K1345" t="inlineStr"/>
      <c r="L1345" t="inlineStr"/>
      <c r="M1345" t="inlineStr"/>
      <c r="N1345" t="inlineStr"/>
      <c r="O1345">
        <f>(1-Summary!$B$11)*T1345+Summary!$B$11*V1345</f>
        <v/>
      </c>
      <c r="P1345">
        <f>IF(B1358=0,0,O1345/B1358)</f>
        <v/>
      </c>
      <c r="Q1345" t="n">
        <v>0</v>
      </c>
      <c r="R1345" t="n">
        <v>0</v>
      </c>
      <c r="S1345">
        <f>IFERROR(O1345/N1345,0)</f>
        <v/>
      </c>
      <c r="T1345" t="n">
        <v>0</v>
      </c>
      <c r="V1345" t="n">
        <v>0</v>
      </c>
    </row>
    <row r="1347">
      <c r="A1347" t="inlineStr">
        <is>
          <t>Attack% Bucket Multiplier</t>
        </is>
      </c>
      <c r="B1347">
        <f>(1+(((C1335=TRUE)*F1335)+((C1342=TRUE)*(F1342-Calc!F24))+(IF(ArtifactsInput!$M$21,CHOOSE(ArtifactsInput!$N$21+1,25,30,35,40,45,50)*(IF(OR(Inputs!$B$4="Chapter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48">
      <c r="A1348" t="inlineStr">
        <is>
          <t>Global Crit Rate Bonus %</t>
        </is>
      </c>
      <c r="B1348" t="n">
        <v>0</v>
      </c>
    </row>
    <row r="1349">
      <c r="A1349" t="inlineStr">
        <is>
          <t>Attack Speed Buff Bonus % (unused)</t>
        </is>
      </c>
      <c r="B1349" t="n">
        <v>0</v>
      </c>
    </row>
    <row r="1350">
      <c r="A1350" t="inlineStr">
        <is>
          <t>Actions Per Second</t>
        </is>
      </c>
      <c r="B1350">
        <f>1+MIN(150,150*(1-(1-(Inputs!$B$11+((C1338=TRUE)*(F1338-Calc!F20))+((C1339=TRUE)*(F1339-Calc!F21)))/150)*(1-B1349/150)))/100</f>
        <v/>
      </c>
    </row>
    <row r="1351">
      <c r="A1351" t="inlineStr">
        <is>
          <t>Skill + Buff Cast Rate</t>
        </is>
      </c>
      <c r="B1351">
        <f>IF(AND(Inputs!$B$38&lt;&gt;"pvp",Inputs!$B$43&gt;0),SUMPRODUCT((Skills!E2:E27=TRUE)*(C1320:C1345=TRUE)*R1320:R1345*Skills!F2:F27)/Inputs!$B$43,SUMPRODUCT((Skills!E2:E27=TRUE)*(C1320:C1345=TRUE)*Q1320:Q1345*Skills!F2:F27))</f>
        <v/>
      </c>
    </row>
    <row r="1352">
      <c r="A1352" t="inlineStr">
        <is>
          <t>Eight-Legs Easton Casts Per Second</t>
        </is>
      </c>
      <c r="B1352">
        <f>MAX(0,B1350-B1351)</f>
        <v/>
      </c>
    </row>
    <row r="1353">
      <c r="A1353" t="inlineStr">
        <is>
          <t>Global Critical Damage Bonus % (unused)</t>
        </is>
      </c>
      <c r="B1353" t="n">
        <v>0</v>
      </c>
    </row>
    <row r="1354">
      <c r="A1354" t="inlineStr">
        <is>
          <t>Global Final Damage Bonus % (Jolly Roger only)</t>
        </is>
      </c>
      <c r="B1354">
        <f>((C1336=TRUE)*F1336)</f>
        <v/>
      </c>
    </row>
    <row r="1355">
      <c r="A1355" t="inlineStr">
        <is>
          <t>Buff-Casting Startup Delay (s, fixed-duration only)</t>
        </is>
      </c>
      <c r="B1355">
        <f>IF(AND(Inputs!$B$38&lt;&gt;"pvp",Inputs!$B$43&gt;0),SUMPRODUCT((Skills!T2:T27&gt;0)*(Skills!E2:E27=TRUE)*(C1320:C1345=TRUE))/B1350,0)</f>
        <v/>
      </c>
    </row>
    <row r="1356">
      <c r="A1356" t="inlineStr">
        <is>
          <t>Boss-Only Total DPS (this block's swept value)</t>
        </is>
      </c>
      <c r="B1356">
        <f>SUM(T1320:T1345)</f>
        <v/>
      </c>
    </row>
    <row r="1357">
      <c r="A1357" t="inlineStr">
        <is>
          <t>Normal-Only Total DPS (this block's swept value)</t>
        </is>
      </c>
      <c r="B1357">
        <f>SUM(V1320:V1345)</f>
        <v/>
      </c>
    </row>
    <row r="1358">
      <c r="A1358" s="6" t="inlineStr">
        <is>
          <t>TOTAL DPS</t>
        </is>
      </c>
      <c r="B1358" s="6">
        <f>SUM(O1320:O1345)</f>
        <v/>
      </c>
    </row>
    <row r="1361">
      <c r="A1361" s="6" t="inlineStr">
        <is>
          <t>Stat: Rainbow-colored Snail Shell (Equip)</t>
        </is>
      </c>
    </row>
    <row r="1362">
      <c r="A1362" s="5" t="inlineStr">
        <is>
          <t>Key</t>
        </is>
      </c>
      <c r="B1362" s="5" t="inlineStr">
        <is>
          <t>Name</t>
        </is>
      </c>
      <c r="C1362" s="5" t="inlineStr">
        <is>
          <t>Unlocked</t>
        </is>
      </c>
      <c r="D1362" s="5" t="inlineStr">
        <is>
          <t>InputLevel</t>
        </is>
      </c>
      <c r="E1362" s="5" t="inlineStr">
        <is>
          <t>Factor</t>
        </is>
      </c>
      <c r="F1362" s="5" t="inlineStr">
        <is>
          <t>CoefficientPercent</t>
        </is>
      </c>
      <c r="G1362" s="5" t="inlineStr">
        <is>
          <t>EffectiveHits</t>
        </is>
      </c>
      <c r="H1362" s="5" t="inlineStr">
        <is>
          <t>ProcProbability</t>
        </is>
      </c>
      <c r="I1362" s="5" t="inlineStr">
        <is>
          <t>MapleHeroMultiplier</t>
        </is>
      </c>
      <c r="J1362" s="5" t="inlineStr">
        <is>
          <t>BaseDamage</t>
        </is>
      </c>
      <c r="K1362" s="5" t="inlineStr">
        <is>
          <t>BaseHitDamage</t>
        </is>
      </c>
      <c r="L1362" s="5" t="inlineStr">
        <is>
          <t>NonCritAvg</t>
        </is>
      </c>
      <c r="M1362" s="5" t="inlineStr">
        <is>
          <t>CritAvg</t>
        </is>
      </c>
      <c r="N1362" s="5" t="inlineStr">
        <is>
          <t>ExpectedDamage(perHit)</t>
        </is>
      </c>
      <c r="O1362" s="5" t="inlineStr">
        <is>
          <t>DPS</t>
        </is>
      </c>
      <c r="P1362" s="5" t="inlineStr">
        <is>
          <t>% of Total</t>
        </is>
      </c>
      <c r="Q1362" s="5" t="inlineStr">
        <is>
          <t>InvCooldown</t>
        </is>
      </c>
      <c r="R1362" s="5" t="inlineStr">
        <is>
          <t>CastsInFight</t>
        </is>
      </c>
      <c r="S1362" s="5" t="inlineStr">
        <is>
          <t>HitRate(perSec)</t>
        </is>
      </c>
      <c r="U1362" t="inlineStr">
        <is>
          <t>helpers</t>
        </is>
      </c>
    </row>
    <row r="1363">
      <c r="A1363">
        <f>Skills!A2</f>
        <v/>
      </c>
      <c r="B1363">
        <f>Skills!B2</f>
        <v/>
      </c>
      <c r="C1363">
        <f>Inputs!$B$3&gt;=100</f>
        <v/>
      </c>
      <c r="D1363" t="inlineStr"/>
      <c r="E1363" t="inlineStr"/>
      <c r="F1363">
        <f>U1365+Skills!O2</f>
        <v/>
      </c>
      <c r="G1363">
        <f>Skills!G2*IF(Skills!H2&gt;0,Skills!I2/Skills!H2,1)</f>
        <v/>
      </c>
      <c r="H1363">
        <f>1-(1-Skills!J2/100)^Skills!K2</f>
        <v/>
      </c>
      <c r="I1363" t="inlineStr">
        <is>
          <t>1</t>
        </is>
      </c>
      <c r="J1363">
        <f>((Inputs!$B$6*(1+Inputs!$B$7/100))+(((Inputs!$B$12*(1+Inputs!$B$13/100))-(Inputs!$B$12*(1+Inputs!$B$13/100)))+0.25*(Inputs!$B$14-Inputs!$B$14))*(1+Inputs!$B$7/100))*(F1363/100)</f>
        <v/>
      </c>
      <c r="K1363">
        <f>J1363*(1+((Inputs!$B$12*(1+Inputs!$B$13/100))*0.01+Inputs!$B$14*0.0025)/100)*(1+Inputs!$B$15/100)*(1+Inputs!$B$16/100)*(5000/(6000+Inputs!$B$42*(1-(100*(1-(1-(Inputs!$B$19+0)/100)*(1-CHOOSE(ArtifactsInput!$N$40+1,5,6,7,8,9,10)/100)^(ArtifactsInput!$M$40-ArtifactsInput!$M$40)))/100)))*(1+(Inputs!$B$24+((C1387=TRUE)*(F1387-Calc!F26))+B1397)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1384=TRUE)*(F1384-Calc!F23))+((C1388=TRUE)*(F1388-Calc!F27))+(((IF(AND(ArtifactsInput!$M$42,((Inputs!$B$9+((C1380=TRUE)*(F1380-Calc!F19))+B1391+(ArtifactsInput!$M$24-ArtifactsInput!$M$24)*CHOOSE(ArtifactsInput!$N$24+1,10,12,14,16,18,20)+IF(IF(ArtifactsInput!$M$10,FALSE,TRUE),CHOOSE(ArtifactsInput!$N$10+1,15,18,21,24,27,30)*(IF(Inputs!$B$38="pvp",MIN(15,15)/15,IF(AND(Inputs!$B$38&lt;&gt;"pvp",Inputs!$B$43&gt;0),MIN(15,Inputs!$B$43)/(Inputs!$B$43),0))),0)))&gt;=100),MIN(100,((Inputs!$B$9+((C1380=TRUE)*(F1380-Calc!F19))+B1391+(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1380=TRUE)*(F1380-Calc!F19))+B1391+(ArtifactsInput!$M$24-ArtifactsInput!$M$24)*CHOOSE(ArtifactsInput!$N$24+1,10,12,14,16,18,20)+IF(IF(ArtifactsInput!$M$10,FALSE,TRUE),CHOOSE(ArtifactsInput!$N$10+1,15,18,21,24,27,30)*(IF(Inputs!$B$38="pvp",MIN(15,15)/15,IF(AND(Inputs!$B$38&lt;&gt;"pvp",Inputs!$B$43&gt;0),MIN(15,Inputs!$B$43)/(Inputs!$B$43),0))),0)))&gt;=100),CHOOSE(ArtifactsInput!$N$42+1,40,48,56,64,72,80),0))))/100)*((1+(((C1378=TRUE)*F1378)+((C1385=TRUE)*(F1385-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1363)</f>
        <v/>
      </c>
      <c r="L1363">
        <f>K1363*(MIN(Inputs!$B$22+((C1383=TRUE)*(F1383-Calc!F22)),(Inputs!$B$23+0+(IF(ArtifactsInput!$M$15,CHOOSE(ArtifactsInput!$N$15+1,25,30,35,40,45,50)/100*(Inputs!$B$11-Inputs!$B$11),0))))/100+(Inputs!$B$23+0+(IF(ArtifactsInput!$M$15,CHOOSE(ArtifactsInput!$N$15+1,25,30,35,40,45,50)/100*(Inputs!$B$11-Inputs!$B$11),0)))/100)/2</f>
        <v/>
      </c>
      <c r="M1363">
        <f>L1363*(1+(Inputs!$B$10+((C1386=TRUE)*(F1386-Calc!F25))+B1396+(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63">
        <f>L1363*(1-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1363*(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63">
        <f>(1-Summary!$B$11)*T1363+Summary!$B$11*V1363</f>
        <v/>
      </c>
      <c r="P1363">
        <f>IF(B1401=0,0,O1363/B1401)</f>
        <v/>
      </c>
      <c r="Q1363" t="n">
        <v>0</v>
      </c>
      <c r="R1363" t="n">
        <v>0</v>
      </c>
      <c r="S1363">
        <f>IFERROR(O1363/N1363,0)</f>
        <v/>
      </c>
      <c r="T1363">
        <f>IF(C1363,(Skills!G2*N1363*B1395)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1363*(1-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1363*(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1363*(1-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1363*(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3">
        <f>MAX(0,(Inputs!$B$3-100)*3)+Inputs!$B$28+Inputs!$B$29</f>
        <v/>
      </c>
      <c r="V1363">
        <f>IF(C1363,(Skills!G2*N1363*B1395)*IF(Inputs!$B$38="pvp",1,(1+(Inputs!$B$21+Skills!Q2+(IF(ArtifactsInput!$M$33,CHOOSE(ArtifactsInput!$N$33+1,30,36,42,48,54,60),0))+(IF(AND(ArtifactsInput!$M$35,Inputs!$B$4&lt;&gt;"Chapter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4">
      <c r="A1364">
        <f>Skills!A3</f>
        <v/>
      </c>
      <c r="B1364">
        <f>Skills!B3</f>
        <v/>
      </c>
      <c r="C1364">
        <f>Inputs!$B$3&gt;=35</f>
        <v/>
      </c>
      <c r="D1364">
        <f>IF(Skills!C3=1,60+Inputs!$B$25+Inputs!$B$29,IF(Skills!C3=2,90+Inputs!$B$26+Inputs!$B$29,IF(Skills!C3=3,120+Inputs!$B$27+Inputs!$B$29,MAX(0,(Inputs!$B$3-100)*3)+Inputs!$B$28+Inputs!$B$29)))</f>
        <v/>
      </c>
      <c r="E1364">
        <f>INDEX(FactorTable!$B$2:$Y$301, MATCH(ROUND(MIN(300,MAX(1,D1364)),0), FactorTable!$A$2:$A$301,0), Skills!M3+1)</f>
        <v/>
      </c>
      <c r="F1364">
        <f>IF(Skills!N3=TRUE,(Skills!L3/10)*(E1364/1000),Skills!L3/10)+Skills!O3</f>
        <v/>
      </c>
      <c r="G1364">
        <f>Skills!G3*IF(Skills!H3&gt;0,Skills!I3/Skills!H3,1)</f>
        <v/>
      </c>
      <c r="H1364">
        <f>1-(1-Skills!J3/100)^Skills!K3</f>
        <v/>
      </c>
      <c r="I1364" t="inlineStr">
        <is>
          <t>1</t>
        </is>
      </c>
      <c r="J1364">
        <f>((Inputs!$B$6*(1+Inputs!$B$7/100))+(((Inputs!$B$12*(1+Inputs!$B$13/100))-(Inputs!$B$12*(1+Inputs!$B$13/100)))+0.25*(Inputs!$B$14-Inputs!$B$14))*(1+Inputs!$B$7/100))*(F1364/100)</f>
        <v/>
      </c>
      <c r="K1364">
        <f>J1364*(1+((Inputs!$B$12*(1+Inputs!$B$13/100))*0.01+Inputs!$B$14*0.0025)/100)*(1+Inputs!$B$15/100)*(1+Inputs!$B$16/100)*(5000/(6000+Inputs!$B$42*(1-(100*(1-(1-(Inputs!$B$19+0)/100)*(1-CHOOSE(ArtifactsInput!$N$40+1,5,6,7,8,9,10)/100)^(ArtifactsInput!$M$40-ArtifactsInput!$M$40)))/100)))*(1+(Inputs!$B$24+((C1387=TRUE)*(F1387-Calc!F26))+B1397)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1376=TRUE,F1376,0)/100)*(1+(IF(Skills!A3="EIGHT_LEGS_EASTON",Inputs!$B$17+((C1384=TRUE)*(F1384-Calc!F23))+((C1388=TRUE)*(F1388-Calc!F27))+(((IF(AND(ArtifactsInput!$M$42,((Inputs!$B$9+((C1380=TRUE)*(F1380-Calc!F19))+B1391+(ArtifactsInput!$M$24-ArtifactsInput!$M$24)*CHOOSE(ArtifactsInput!$N$24+1,10,12,14,16,18,20)+IF(IF(ArtifactsInput!$M$10,FALSE,TRUE),CHOOSE(ArtifactsInput!$N$10+1,15,18,21,24,27,30)*(IF(Inputs!$B$38="pvp",MIN(15,15)/15,IF(AND(Inputs!$B$38&lt;&gt;"pvp",Inputs!$B$43&gt;0),MIN(15,Inputs!$B$43)/(Inputs!$B$43),0))),0)))&gt;=100),MIN(100,((Inputs!$B$9+((C1380=TRUE)*(F1380-Calc!F19))+B1391+(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1380=TRUE)*(F1380-Calc!F19))+B1391+(ArtifactsInput!$M$24-ArtifactsInput!$M$24)*CHOOSE(ArtifactsInput!$N$24+1,10,12,14,16,18,20)+IF(IF(ArtifactsInput!$M$10,FALSE,TRUE),CHOOSE(ArtifactsInput!$N$10+1,15,18,21,24,27,30)*(IF(Inputs!$B$38="pvp",MIN(15,15)/15,IF(AND(Inputs!$B$38&lt;&gt;"pvp",Inputs!$B$43&gt;0),MIN(15,Inputs!$B$43)/(Inputs!$B$43),0))),0)))&gt;=100),CHOOSE(ArtifactsInput!$N$42+1,40,48,56,64,72,80),0))))/100)*((1+(((C1378=TRUE)*F1378)+((C1385=TRUE)*(F1385-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1364)</f>
        <v/>
      </c>
      <c r="L1364">
        <f>K1364*(MIN(Inputs!$B$22+((C1383=TRUE)*(F1383-Calc!F22)),(Inputs!$B$23+0+(IF(ArtifactsInput!$M$15,CHOOSE(ArtifactsInput!$N$15+1,25,30,35,40,45,50)/100*(Inputs!$B$11-Inputs!$B$11),0))))/100+(Inputs!$B$23+0+(IF(ArtifactsInput!$M$15,CHOOSE(ArtifactsInput!$N$15+1,25,30,35,40,45,50)/100*(Inputs!$B$11-Inputs!$B$11),0)))/100)/2</f>
        <v/>
      </c>
      <c r="M1364">
        <f>L1364*(1+(Inputs!$B$10+((C1386=TRUE)*(F1386-Calc!F25))+B1396+(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64">
        <f>L1364*(1-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1364*(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64">
        <f>(1-Summary!$B$11)*T1364+Summary!$B$11*V1364</f>
        <v/>
      </c>
      <c r="P1364">
        <f>IF(B1401=0,0,O1364/B1401)</f>
        <v/>
      </c>
      <c r="Q1364">
        <f>IFERROR(1/(IF(Inputs!$B$38="pvp",15,MAX(0.1,Skills!D3-IF(Skills!E3=TRUE,Inputs!$B$32,0)))*(1-IF(AND(ArtifactsInput!$M$27,Inputs!$B$4="Chapter Hunt"),CHOOSE(ArtifactsInput!$N$27+1,20,24,28,32,36,40),0)/100)),0)</f>
        <v/>
      </c>
      <c r="R1364">
        <f>IF(AND(Inputs!$B$38&lt;&gt;"pvp",Inputs!$B$43&gt;0),IF(MAX(0,Inputs!$B$43-B1398)&lt;=0,0,(INT(MAX(0,Inputs!$B$43-B1398)/(IF(Inputs!$B$38="pvp",15,MAX(0.1,Skills!D3-IF(Skills!E3=TRUE,Inputs!$B$32,0)))*(1-IF(AND(ArtifactsInput!$M$27,Inputs!$B$4="Chapter Hunt"),CHOOSE(ArtifactsInput!$N$27+1,20,24,28,32,36,40),0)/100)))+1)),0)</f>
        <v/>
      </c>
      <c r="S1364">
        <f>IFERROR(O1364/N1364,0)</f>
        <v/>
      </c>
      <c r="T1364">
        <f>IF(C1364,(H1364*N1364*IF(AND(Inputs!$B$38&lt;&gt;"pvp",Inputs!$B$43&gt;0),((Skills!G3*((R1364-1)*IF(Skills!H3&gt;0,Skills!I3/Skills!H3,1)+IF(Skills!H3&gt;0,MIN(Skills!I3,MAX(0,MAX(0,Inputs!$B$43-B1398)-((R1364-1)*(IF(Inputs!$B$38="pvp",15,MAX(0.1,Skills!D3-IF(Skills!E3=TRUE,Inputs!$B$32,0)))*(1-IF(AND(ArtifactsInput!$M$27,Inputs!$B$4="Chapter Hunt"),CHOOSE(ArtifactsInput!$N$27+1,20,24,28,32,36,40),0)/100)))))/Skills!H3,1)))/Inputs!$B$43),G1364*Q1364)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1364*(1-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1364*(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1364*(1-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1364*(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4">
        <f>INDEX(FactorTable!$B$2:$Y$301, MATCH(ROUND(MIN(300,MAX(1,U1363)),0), FactorTable!$A$2:$A$301,0), 22)</f>
        <v/>
      </c>
      <c r="V1364">
        <f>IF(C1364,(H1364*N1364*IF(AND(Inputs!$B$38&lt;&gt;"pvp",Inputs!$B$43&gt;0),((Skills!G3*((R1364-1)*IF(Skills!H3&gt;0,Skills!I3/Skills!H3,1)+IF(Skills!H3&gt;0,MIN(Skills!I3,MAX(0,MAX(0,Inputs!$B$43-B1398)-((R1364-1)*(IF(Inputs!$B$38="pvp",15,MAX(0.1,Skills!D3-IF(Skills!E3=TRUE,Inputs!$B$32,0)))*(1-IF(AND(ArtifactsInput!$M$27,Inputs!$B$4="Chapter Hunt"),CHOOSE(ArtifactsInput!$N$27+1,20,24,28,32,36,40),0)/100)))))/Skills!H3,1)))/Inputs!$B$43),G1364*Q1364))*IF(Inputs!$B$38="pvp",1,(1+(Inputs!$B$21+Skills!Q3+(IF(ArtifactsInput!$M$33,CHOOSE(ArtifactsInput!$N$33+1,30,36,42,48,54,60)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5">
      <c r="A1365">
        <f>Skills!A4</f>
        <v/>
      </c>
      <c r="B1365">
        <f>Skills!B4</f>
        <v/>
      </c>
      <c r="C1365">
        <f>Inputs!$B$3&gt;=40</f>
        <v/>
      </c>
      <c r="D1365">
        <f>IF(Skills!C4=1,60+Inputs!$B$25+Inputs!$B$29,IF(Skills!C4=2,90+Inputs!$B$26+Inputs!$B$29,IF(Skills!C4=3,120+Inputs!$B$27+Inputs!$B$29,MAX(0,(Inputs!$B$3-100)*3)+Inputs!$B$28+Inputs!$B$29)))</f>
        <v/>
      </c>
      <c r="E1365">
        <f>INDEX(FactorTable!$B$2:$Y$301, MATCH(ROUND(MIN(300,MAX(1,D1365)),0), FactorTable!$A$2:$A$301,0), Skills!M4+1)</f>
        <v/>
      </c>
      <c r="F1365">
        <f>IF(Skills!N4=TRUE,(Skills!L4/10)*(E1365/1000),Skills!L4/10)+Skills!O4</f>
        <v/>
      </c>
      <c r="G1365">
        <f>Skills!G4*IF(Skills!H4&gt;0,Skills!I4/Skills!H4,1)</f>
        <v/>
      </c>
      <c r="H1365">
        <f>1-(1-Skills!J4/100)^Skills!K4</f>
        <v/>
      </c>
      <c r="I1365" t="inlineStr">
        <is>
          <t>1</t>
        </is>
      </c>
      <c r="J1365">
        <f>((Inputs!$B$6*(1+Inputs!$B$7/100))+(((Inputs!$B$12*(1+Inputs!$B$13/100))-(Inputs!$B$12*(1+Inputs!$B$13/100)))+0.25*(Inputs!$B$14-Inputs!$B$14))*(1+Inputs!$B$7/100))*(F1365/100)</f>
        <v/>
      </c>
      <c r="K1365">
        <f>J1365*(1+((Inputs!$B$12*(1+Inputs!$B$13/100))*0.01+Inputs!$B$14*0.0025)/100)*(1+Inputs!$B$15/100)*(1+Inputs!$B$16/100)*(5000/(6000+Inputs!$B$42*(1-(100*(1-(1-(Inputs!$B$19+0)/100)*(1-CHOOSE(ArtifactsInput!$N$40+1,5,6,7,8,9,10)/100)^(ArtifactsInput!$M$40-ArtifactsInput!$M$40)))/100)))*(1+(Inputs!$B$24+((C1387=TRUE)*(F1387-Calc!F26))+B1397)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1377=TRUE,F1377,0)/100)*(1+(IF(Skills!A4="EIGHT_LEGS_EASTON",Inputs!$B$17+((C1384=TRUE)*(F1384-Calc!F23))+((C1388=TRUE)*(F1388-Calc!F27))+(((IF(AND(ArtifactsInput!$M$42,((Inputs!$B$9+((C1380=TRUE)*(F1380-Calc!F19))+B1391+(ArtifactsInput!$M$24-ArtifactsInput!$M$24)*CHOOSE(ArtifactsInput!$N$24+1,10,12,14,16,18,20)+IF(IF(ArtifactsInput!$M$10,FALSE,TRUE),CHOOSE(ArtifactsInput!$N$10+1,15,18,21,24,27,30)*(IF(Inputs!$B$38="pvp",MIN(15,15)/15,IF(AND(Inputs!$B$38&lt;&gt;"pvp",Inputs!$B$43&gt;0),MIN(15,Inputs!$B$43)/(Inputs!$B$43),0))),0)))&gt;=100),MIN(100,((Inputs!$B$9+((C1380=TRUE)*(F1380-Calc!F19))+B1391+(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1380=TRUE)*(F1380-Calc!F19))+B1391+(ArtifactsInput!$M$24-ArtifactsInput!$M$24)*CHOOSE(ArtifactsInput!$N$24+1,10,12,14,16,18,20)+IF(IF(ArtifactsInput!$M$10,FALSE,TRUE),CHOOSE(ArtifactsInput!$N$10+1,15,18,21,24,27,30)*(IF(Inputs!$B$38="pvp",MIN(15,15)/15,IF(AND(Inputs!$B$38&lt;&gt;"pvp",Inputs!$B$43&gt;0),MIN(15,Inputs!$B$43)/(Inputs!$B$43),0))),0)))&gt;=100),CHOOSE(ArtifactsInput!$N$42+1,40,48,56,64,72,80),0))))/100)*((1+(((C1378=TRUE)*F1378)+((C1385=TRUE)*(F1385-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1365)</f>
        <v/>
      </c>
      <c r="L1365">
        <f>K1365*(MIN(Inputs!$B$22+((C1383=TRUE)*(F1383-Calc!F22)),(Inputs!$B$23+0+(IF(ArtifactsInput!$M$15,CHOOSE(ArtifactsInput!$N$15+1,25,30,35,40,45,50)/100*(Inputs!$B$11-Inputs!$B$11),0))))/100+(Inputs!$B$23+0+(IF(ArtifactsInput!$M$15,CHOOSE(ArtifactsInput!$N$15+1,25,30,35,40,45,50)/100*(Inputs!$B$11-Inputs!$B$11),0)))/100)/2</f>
        <v/>
      </c>
      <c r="M1365">
        <f>L1365*(1+(Inputs!$B$10+((C1386=TRUE)*(F1386-Calc!F25))+B1396+(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65">
        <f>L1365*(1-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1365*(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65">
        <f>(1-Summary!$B$11)*T1365+Summary!$B$11*V1365</f>
        <v/>
      </c>
      <c r="P1365">
        <f>IF(B1401=0,0,O1365/B1401)</f>
        <v/>
      </c>
      <c r="Q1365">
        <f>IFERROR(1/(IF(Inputs!$B$38="pvp",15,MAX(0.1,Skills!D4-IF(Skills!E4=TRUE,Inputs!$B$32,0)))*(1-IF(AND(ArtifactsInput!$M$27,Inputs!$B$4="Chapter Hunt"),CHOOSE(ArtifactsInput!$N$27+1,20,24,28,32,36,40),0)/100)),0)</f>
        <v/>
      </c>
      <c r="R1365">
        <f>IF(AND(Inputs!$B$38&lt;&gt;"pvp",Inputs!$B$43&gt;0),IF(MAX(0,Inputs!$B$43-B1398)&lt;=0,0,(INT(MAX(0,Inputs!$B$43-B1398)/(IF(Inputs!$B$38="pvp",15,MAX(0.1,Skills!D4-IF(Skills!E4=TRUE,Inputs!$B$32,0)))*(1-IF(AND(ArtifactsInput!$M$27,Inputs!$B$4="Chapter Hunt"),CHOOSE(ArtifactsInput!$N$27+1,20,24,28,32,36,40),0)/100)))+1)),0)</f>
        <v/>
      </c>
      <c r="S1365">
        <f>IFERROR(O1365/N1365,0)</f>
        <v/>
      </c>
      <c r="T1365">
        <f>IF(C1365,(H1365*N1365*IF(AND(Inputs!$B$38&lt;&gt;"pvp",Inputs!$B$43&gt;0),((Skills!G4*((R1365-1)*IF(Skills!H4&gt;0,Skills!I4/Skills!H4,1)+IF(Skills!H4&gt;0,MIN(Skills!I4,MAX(0,MAX(0,Inputs!$B$43-B1398)-((R1365-1)*(IF(Inputs!$B$38="pvp",15,MAX(0.1,Skills!D4-IF(Skills!E4=TRUE,Inputs!$B$32,0)))*(1-IF(AND(ArtifactsInput!$M$27,Inputs!$B$4="Chapter Hunt"),CHOOSE(ArtifactsInput!$N$27+1,20,24,28,32,36,40),0)/100)))))/Skills!H4,1)))/Inputs!$B$43),G1365*Q1365)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1365*(1-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1365*(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1365*(1-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1365*(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5">
        <f>290*U1364/1000</f>
        <v/>
      </c>
      <c r="V1365">
        <f>IF(C1365,(H1365*N1365*IF(AND(Inputs!$B$38&lt;&gt;"pvp",Inputs!$B$43&gt;0),((Skills!G4*((R1365-1)*IF(Skills!H4&gt;0,Skills!I4/Skills!H4,1)+IF(Skills!H4&gt;0,MIN(Skills!I4,MAX(0,MAX(0,Inputs!$B$43-B1398)-((R1365-1)*(IF(Inputs!$B$38="pvp",15,MAX(0.1,Skills!D4-IF(Skills!E4=TRUE,Inputs!$B$32,0)))*(1-IF(AND(ArtifactsInput!$M$27,Inputs!$B$4="Chapter Hunt"),CHOOSE(ArtifactsInput!$N$27+1,20,24,28,32,36,40),0)/100)))))/Skills!H4,1)))/Inputs!$B$43),G1365*Q1365))*IF(Inputs!$B$38="pvp",1,(1+(Inputs!$B$21+Skills!Q4+(IF(ArtifactsInput!$M$33,CHOOSE(ArtifactsInput!$N$33+1,30,36,42,48,54,60)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6">
      <c r="A1366">
        <f>Skills!A5</f>
        <v/>
      </c>
      <c r="B1366">
        <f>Skills!B5</f>
        <v/>
      </c>
      <c r="C1366">
        <f>Inputs!$B$3&gt;=45</f>
        <v/>
      </c>
      <c r="D1366">
        <f>IF(Skills!C5=1,60+Inputs!$B$25+Inputs!$B$29,IF(Skills!C5=2,90+Inputs!$B$26+Inputs!$B$29,IF(Skills!C5=3,120+Inputs!$B$27+Inputs!$B$29,MAX(0,(Inputs!$B$3-100)*3)+Inputs!$B$28+Inputs!$B$29)))</f>
        <v/>
      </c>
      <c r="E1366">
        <f>INDEX(FactorTable!$B$2:$Y$301, MATCH(ROUND(MIN(300,MAX(1,D1366)),0), FactorTable!$A$2:$A$301,0), Skills!M5+1)</f>
        <v/>
      </c>
      <c r="F1366">
        <f>IF(Skills!N5=TRUE,(Skills!L5/10)*(E1366/1000),Skills!L5/10)+Skills!O5</f>
        <v/>
      </c>
      <c r="G1366">
        <f>Skills!G5*IF(Skills!H5&gt;0,Skills!I5/Skills!H5,1)</f>
        <v/>
      </c>
      <c r="H1366">
        <f>1-(1-Skills!J5/100)^Skills!K5</f>
        <v/>
      </c>
      <c r="I1366" t="inlineStr">
        <is>
          <t>1</t>
        </is>
      </c>
      <c r="J1366">
        <f>((Inputs!$B$6*(1+Inputs!$B$7/100))+(((Inputs!$B$12*(1+Inputs!$B$13/100))-(Inputs!$B$12*(1+Inputs!$B$13/100)))+0.25*(Inputs!$B$14-Inputs!$B$14))*(1+Inputs!$B$7/100))*(F1366/100)</f>
        <v/>
      </c>
      <c r="K1366">
        <f>J1366*(1+((Inputs!$B$12*(1+Inputs!$B$13/100))*0.01+Inputs!$B$14*0.0025)/100)*(1+Inputs!$B$15/100)*(1+Inputs!$B$16/100)*(5000/(6000+Inputs!$B$42*(1-(100*(1-(1-(Inputs!$B$19+0)/100)*(1-CHOOSE(ArtifactsInput!$N$40+1,5,6,7,8,9,10)/100)^(ArtifactsInput!$M$40-ArtifactsInput!$M$40)))/100)))*(1+(Inputs!$B$24+((C1387=TRUE)*(F1387-Calc!F26))+B1397)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1377=TRUE,F1377,0)/100)*(1+(IF(Skills!A5="EIGHT_LEGS_EASTON",Inputs!$B$17+((C1384=TRUE)*(F1384-Calc!F23))+((C1388=TRUE)*(F1388-Calc!F27))+(((IF(AND(ArtifactsInput!$M$42,((Inputs!$B$9+((C1380=TRUE)*(F1380-Calc!F19))+B1391+(ArtifactsInput!$M$24-ArtifactsInput!$M$24)*CHOOSE(ArtifactsInput!$N$24+1,10,12,14,16,18,20)+IF(IF(ArtifactsInput!$M$10,FALSE,TRUE),CHOOSE(ArtifactsInput!$N$10+1,15,18,21,24,27,30)*(IF(Inputs!$B$38="pvp",MIN(15,15)/15,IF(AND(Inputs!$B$38&lt;&gt;"pvp",Inputs!$B$43&gt;0),MIN(15,Inputs!$B$43)/(Inputs!$B$43),0))),0)))&gt;=100),MIN(100,((Inputs!$B$9+((C1380=TRUE)*(F1380-Calc!F19))+B1391+(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1380=TRUE)*(F1380-Calc!F19))+B1391+(ArtifactsInput!$M$24-ArtifactsInput!$M$24)*CHOOSE(ArtifactsInput!$N$24+1,10,12,14,16,18,20)+IF(IF(ArtifactsInput!$M$10,FALSE,TRUE),CHOOSE(ArtifactsInput!$N$10+1,15,18,21,24,27,30)*(IF(Inputs!$B$38="pvp",MIN(15,15)/15,IF(AND(Inputs!$B$38&lt;&gt;"pvp",Inputs!$B$43&gt;0),MIN(15,Inputs!$B$43)/(Inputs!$B$43),0))),0)))&gt;=100),CHOOSE(ArtifactsInput!$N$42+1,40,48,56,64,72,80),0))))/100)*((1+(((C1378=TRUE)*F1378)+((C1385=TRUE)*(F1385-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1366)</f>
        <v/>
      </c>
      <c r="L1366">
        <f>K1366*(MIN(Inputs!$B$22+((C1383=TRUE)*(F1383-Calc!F22)),(Inputs!$B$23+0+(IF(ArtifactsInput!$M$15,CHOOSE(ArtifactsInput!$N$15+1,25,30,35,40,45,50)/100*(Inputs!$B$11-Inputs!$B$11),0))))/100+(Inputs!$B$23+0+(IF(ArtifactsInput!$M$15,CHOOSE(ArtifactsInput!$N$15+1,25,30,35,40,45,50)/100*(Inputs!$B$11-Inputs!$B$11),0)))/100)/2</f>
        <v/>
      </c>
      <c r="M1366">
        <f>L1366*(1+(Inputs!$B$10+((C1386=TRUE)*(F1386-Calc!F25))+B1396+(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66">
        <f>L1366*(1-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1366*(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66">
        <f>(1-Summary!$B$11)*T1366+Summary!$B$11*V1366</f>
        <v/>
      </c>
      <c r="P1366">
        <f>IF(B1401=0,0,O1366/B1401)</f>
        <v/>
      </c>
      <c r="Q1366">
        <f>IFERROR(1/(IF(Inputs!$B$38="pvp",15,MAX(0.1,Skills!D5-IF(Skills!E5=TRUE,Inputs!$B$32,0)))*(1-IF(AND(ArtifactsInput!$M$27,Inputs!$B$4="Chapter Hunt"),CHOOSE(ArtifactsInput!$N$27+1,20,24,28,32,36,40),0)/100)),0)</f>
        <v/>
      </c>
      <c r="R1366">
        <f>IF(AND(Inputs!$B$38&lt;&gt;"pvp",Inputs!$B$43&gt;0),IF(MAX(0,Inputs!$B$43-B1398)&lt;=0,0,(INT(MAX(0,Inputs!$B$43-B1398)/(IF(Inputs!$B$38="pvp",15,MAX(0.1,Skills!D5-IF(Skills!E5=TRUE,Inputs!$B$32,0)))*(1-IF(AND(ArtifactsInput!$M$27,Inputs!$B$4="Chapter Hunt"),CHOOSE(ArtifactsInput!$N$27+1,20,24,28,32,36,40),0)/100)))+1)),0)</f>
        <v/>
      </c>
      <c r="S1366">
        <f>IFERROR(O1366/N1366,0)</f>
        <v/>
      </c>
      <c r="T1366">
        <f>IF(C1366,(H1366*N1366*IF(AND(Inputs!$B$38&lt;&gt;"pvp",Inputs!$B$43&gt;0),((Skills!G5*((R1366-1)*IF(Skills!H5&gt;0,Skills!I5/Skills!H5,1)+IF(Skills!H5&gt;0,MIN(Skills!I5,MAX(0,MAX(0,Inputs!$B$43-B1398)-((R1366-1)*(IF(Inputs!$B$38="pvp",15,MAX(0.1,Skills!D5-IF(Skills!E5=TRUE,Inputs!$B$32,0)))*(1-IF(AND(ArtifactsInput!$M$27,Inputs!$B$4="Chapter Hunt"),CHOOSE(ArtifactsInput!$N$27+1,20,24,28,32,36,40),0)/100)))))/Skills!H5,1)))/Inputs!$B$43),G1366*Q1366)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1366*(1-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1366*(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1366*(1-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1366*(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6">
        <f>IF(C1366,(H1366*N1366*IF(AND(Inputs!$B$38&lt;&gt;"pvp",Inputs!$B$43&gt;0),((Skills!G5*((R1366-1)*IF(Skills!H5&gt;0,Skills!I5/Skills!H5,1)+IF(Skills!H5&gt;0,MIN(Skills!I5,MAX(0,MAX(0,Inputs!$B$43-B1398)-((R1366-1)*(IF(Inputs!$B$38="pvp",15,MAX(0.1,Skills!D5-IF(Skills!E5=TRUE,Inputs!$B$32,0)))*(1-IF(AND(ArtifactsInput!$M$27,Inputs!$B$4="Chapter Hunt"),CHOOSE(ArtifactsInput!$N$27+1,20,24,28,32,36,40),0)/100)))))/Skills!H5,1)))/Inputs!$B$43),G1366*Q1366))*IF(Inputs!$B$38="pvp",1,(1+(Inputs!$B$21+Skills!Q5+(IF(ArtifactsInput!$M$33,CHOOSE(ArtifactsInput!$N$33+1,30,36,42,48,54,60)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7">
      <c r="A1367">
        <f>Skills!A6</f>
        <v/>
      </c>
      <c r="B1367">
        <f>Skills!B6</f>
        <v/>
      </c>
      <c r="C1367">
        <f>Inputs!$B$3&gt;=63</f>
        <v/>
      </c>
      <c r="D1367">
        <f>IF(Skills!C6=1,60+Inputs!$B$25+Inputs!$B$29,IF(Skills!C6=2,90+Inputs!$B$26+Inputs!$B$29,IF(Skills!C6=3,120+Inputs!$B$27+Inputs!$B$29,MAX(0,(Inputs!$B$3-100)*3)+Inputs!$B$28+Inputs!$B$29)))</f>
        <v/>
      </c>
      <c r="E1367">
        <f>INDEX(FactorTable!$B$2:$Y$301, MATCH(ROUND(MIN(300,MAX(1,D1367)),0), FactorTable!$A$2:$A$301,0), Skills!M6+1)</f>
        <v/>
      </c>
      <c r="F1367">
        <f>IF(Skills!N6=TRUE,(Skills!L6/10)*(E1367/1000),Skills!L6/10)+Skills!O6</f>
        <v/>
      </c>
      <c r="G1367">
        <f>Skills!G6*IF(Skills!H6&gt;0,Skills!I6/Skills!H6,1)</f>
        <v/>
      </c>
      <c r="H1367">
        <f>1-(1-Skills!J6/100)^Skills!K6</f>
        <v/>
      </c>
      <c r="I1367" t="inlineStr">
        <is>
          <t>1</t>
        </is>
      </c>
      <c r="J1367">
        <f>((Inputs!$B$6*(1+Inputs!$B$7/100))+(((Inputs!$B$12*(1+Inputs!$B$13/100))-(Inputs!$B$12*(1+Inputs!$B$13/100)))+0.25*(Inputs!$B$14-Inputs!$B$14))*(1+Inputs!$B$7/100))*(F1367/100)</f>
        <v/>
      </c>
      <c r="K1367">
        <f>J1367*(1+((Inputs!$B$12*(1+Inputs!$B$13/100))*0.01+Inputs!$B$14*0.0025)/100)*(1+Inputs!$B$15/100)*(1+Inputs!$B$16/100)*(5000/(6000+Inputs!$B$42*(1-(100*(1-(1-(Inputs!$B$19+0)/100)*(1-CHOOSE(ArtifactsInput!$N$40+1,5,6,7,8,9,10)/100)^(ArtifactsInput!$M$40-ArtifactsInput!$M$40)))/100)))*(1+(Inputs!$B$24+((C1387=TRUE)*(F1387-Calc!F26))+B1397)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1376=TRUE,F1376,0)/100)*(1+(IF(Skills!A6="EIGHT_LEGS_EASTON",Inputs!$B$17+((C1384=TRUE)*(F1384-Calc!F23))+((C1388=TRUE)*(F1388-Calc!F27))+(((IF(AND(ArtifactsInput!$M$42,((Inputs!$B$9+((C1380=TRUE)*(F1380-Calc!F19))+B1391+(ArtifactsInput!$M$24-ArtifactsInput!$M$24)*CHOOSE(ArtifactsInput!$N$24+1,10,12,14,16,18,20)+IF(IF(ArtifactsInput!$M$10,FALSE,TRUE),CHOOSE(ArtifactsInput!$N$10+1,15,18,21,24,27,30)*(IF(Inputs!$B$38="pvp",MIN(15,15)/15,IF(AND(Inputs!$B$38&lt;&gt;"pvp",Inputs!$B$43&gt;0),MIN(15,Inputs!$B$43)/(Inputs!$B$43),0))),0)))&gt;=100),MIN(100,((Inputs!$B$9+((C1380=TRUE)*(F1380-Calc!F19))+B1391+(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1380=TRUE)*(F1380-Calc!F19))+B1391+(ArtifactsInput!$M$24-ArtifactsInput!$M$24)*CHOOSE(ArtifactsInput!$N$24+1,10,12,14,16,18,20)+IF(IF(ArtifactsInput!$M$10,FALSE,TRUE),CHOOSE(ArtifactsInput!$N$10+1,15,18,21,24,27,30)*(IF(Inputs!$B$38="pvp",MIN(15,15)/15,IF(AND(Inputs!$B$38&lt;&gt;"pvp",Inputs!$B$43&gt;0),MIN(15,Inputs!$B$43)/(Inputs!$B$43),0))),0)))&gt;=100),CHOOSE(ArtifactsInput!$N$42+1,40,48,56,64,72,80),0))))/100)*((1+(((C1378=TRUE)*F1378)+((C1385=TRUE)*(F1385-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1367)</f>
        <v/>
      </c>
      <c r="L1367">
        <f>K1367*(MIN(Inputs!$B$22+((C1383=TRUE)*(F1383-Calc!F22)),(Inputs!$B$23+0+(IF(ArtifactsInput!$M$15,CHOOSE(ArtifactsInput!$N$15+1,25,30,35,40,45,50)/100*(Inputs!$B$11-Inputs!$B$11),0))))/100+(Inputs!$B$23+0+(IF(ArtifactsInput!$M$15,CHOOSE(ArtifactsInput!$N$15+1,25,30,35,40,45,50)/100*(Inputs!$B$11-Inputs!$B$11),0)))/100)/2</f>
        <v/>
      </c>
      <c r="M1367">
        <f>L1367*(1+(Inputs!$B$10+((C1386=TRUE)*(F1386-Calc!F25))+B1396+(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67">
        <f>L1367*(1-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1367*(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67">
        <f>(1-Summary!$B$11)*T1367+Summary!$B$11*V1367</f>
        <v/>
      </c>
      <c r="P1367">
        <f>IF(B1401=0,0,O1367/B1401)</f>
        <v/>
      </c>
      <c r="Q1367">
        <f>IFERROR(1/(IF(Inputs!$B$38="pvp",15,MAX(0.1,Skills!D6-IF(Skills!E6=TRUE,Inputs!$B$32,0)))*(1-IF(AND(ArtifactsInput!$M$27,Inputs!$B$4="Chapter Hunt"),CHOOSE(ArtifactsInput!$N$27+1,20,24,28,32,36,40),0)/100)),0)</f>
        <v/>
      </c>
      <c r="R1367">
        <f>IF(AND(Inputs!$B$38&lt;&gt;"pvp",Inputs!$B$43&gt;0),IF(MAX(0,Inputs!$B$43-B1398)&lt;=0,0,(INT(MAX(0,Inputs!$B$43-B1398)/(IF(Inputs!$B$38="pvp",15,MAX(0.1,Skills!D6-IF(Skills!E6=TRUE,Inputs!$B$32,0)))*(1-IF(AND(ArtifactsInput!$M$27,Inputs!$B$4="Chapter Hunt"),CHOOSE(ArtifactsInput!$N$27+1,20,24,28,32,36,40),0)/100)))+1)),0)</f>
        <v/>
      </c>
      <c r="S1367">
        <f>IFERROR(O1367/N1367,0)</f>
        <v/>
      </c>
      <c r="T1367">
        <f>IF(C1367,(H1367*N1367*IF(AND(Inputs!$B$38&lt;&gt;"pvp",Inputs!$B$43&gt;0),((Skills!G6*((R1367-1)*IF(Skills!H6&gt;0,Skills!I6/Skills!H6,1)+IF(Skills!H6&gt;0,MIN(Skills!I6,MAX(0,MAX(0,Inputs!$B$43-B1398)-((R1367-1)*(IF(Inputs!$B$38="pvp",15,MAX(0.1,Skills!D6-IF(Skills!E6=TRUE,Inputs!$B$32,0)))*(1-IF(AND(ArtifactsInput!$M$27,Inputs!$B$4="Chapter Hunt"),CHOOSE(ArtifactsInput!$N$27+1,20,24,28,32,36,40),0)/100)))))/Skills!H6,1)))/Inputs!$B$43),G1367*Q1367)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1367*(1-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1367*(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1367*(1-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1367*(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7">
        <f>IF(C1367,(H1367*N1367*IF(AND(Inputs!$B$38&lt;&gt;"pvp",Inputs!$B$43&gt;0),((Skills!G6*((R1367-1)*IF(Skills!H6&gt;0,Skills!I6/Skills!H6,1)+IF(Skills!H6&gt;0,MIN(Skills!I6,MAX(0,MAX(0,Inputs!$B$43-B1398)-((R1367-1)*(IF(Inputs!$B$38="pvp",15,MAX(0.1,Skills!D6-IF(Skills!E6=TRUE,Inputs!$B$32,0)))*(1-IF(AND(ArtifactsInput!$M$27,Inputs!$B$4="Chapter Hunt"),CHOOSE(ArtifactsInput!$N$27+1,20,24,28,32,36,40),0)/100)))))/Skills!H6,1)))/Inputs!$B$43),G1367*Q1367))*IF(Inputs!$B$38="pvp",1,(1+(Inputs!$B$21+Skills!Q6+(IF(ArtifactsInput!$M$33,CHOOSE(ArtifactsInput!$N$33+1,30,36,42,48,54,60)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8">
      <c r="A1368">
        <f>Skills!A7</f>
        <v/>
      </c>
      <c r="B1368">
        <f>Skills!B7</f>
        <v/>
      </c>
      <c r="C1368">
        <f>Inputs!$B$3&gt;=66</f>
        <v/>
      </c>
      <c r="D1368">
        <f>IF(Skills!C7=1,60+Inputs!$B$25+Inputs!$B$29,IF(Skills!C7=2,90+Inputs!$B$26+Inputs!$B$29,IF(Skills!C7=3,120+Inputs!$B$27+Inputs!$B$29,MAX(0,(Inputs!$B$3-100)*3)+Inputs!$B$28+Inputs!$B$29)))</f>
        <v/>
      </c>
      <c r="E1368">
        <f>INDEX(FactorTable!$B$2:$Y$301, MATCH(ROUND(MIN(300,MAX(1,D1368)),0), FactorTable!$A$2:$A$301,0), Skills!M7+1)</f>
        <v/>
      </c>
      <c r="F1368">
        <f>IF(Skills!N7=TRUE,(Skills!L7/10)*(E1368/1000),Skills!L7/10)+Skills!O7</f>
        <v/>
      </c>
      <c r="G1368">
        <f>Skills!G7*IF(Skills!H7&gt;0,Skills!I7/Skills!H7,1)</f>
        <v/>
      </c>
      <c r="H1368">
        <f>1-(1-Skills!J7/100)^Skills!K7</f>
        <v/>
      </c>
      <c r="I1368" t="inlineStr">
        <is>
          <t>1</t>
        </is>
      </c>
      <c r="J1368">
        <f>((Inputs!$B$6*(1+Inputs!$B$7/100))+(((Inputs!$B$12*(1+Inputs!$B$13/100))-(Inputs!$B$12*(1+Inputs!$B$13/100)))+0.25*(Inputs!$B$14-Inputs!$B$14))*(1+Inputs!$B$7/100))*(F1368/100)</f>
        <v/>
      </c>
      <c r="K1368">
        <f>J1368*(1+((Inputs!$B$12*(1+Inputs!$B$13/100))*0.01+Inputs!$B$14*0.0025)/100)*(1+Inputs!$B$15/100)*(1+Inputs!$B$16/100)*(5000/(6000+Inputs!$B$42*(1-(100*(1-(1-(Inputs!$B$19+0)/100)*(1-CHOOSE(ArtifactsInput!$N$40+1,5,6,7,8,9,10)/100)^(ArtifactsInput!$M$40-ArtifactsInput!$M$40)))/100)))*(1+(Inputs!$B$24+((C1387=TRUE)*(F1387-Calc!F26))+B1397)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1376=TRUE,F1376,0)/100)*(1+(IF(Skills!A7="EIGHT_LEGS_EASTON",Inputs!$B$17+((C1384=TRUE)*(F1384-Calc!F23))+((C1388=TRUE)*(F1388-Calc!F27))+(((IF(AND(ArtifactsInput!$M$42,((Inputs!$B$9+((C1380=TRUE)*(F1380-Calc!F19))+B1391+(ArtifactsInput!$M$24-ArtifactsInput!$M$24)*CHOOSE(ArtifactsInput!$N$24+1,10,12,14,16,18,20)+IF(IF(ArtifactsInput!$M$10,FALSE,TRUE),CHOOSE(ArtifactsInput!$N$10+1,15,18,21,24,27,30)*(IF(Inputs!$B$38="pvp",MIN(15,15)/15,IF(AND(Inputs!$B$38&lt;&gt;"pvp",Inputs!$B$43&gt;0),MIN(15,Inputs!$B$43)/(Inputs!$B$43),0))),0)))&gt;=100),MIN(100,((Inputs!$B$9+((C1380=TRUE)*(F1380-Calc!F19))+B1391+(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1380=TRUE)*(F1380-Calc!F19))+B1391+(ArtifactsInput!$M$24-ArtifactsInput!$M$24)*CHOOSE(ArtifactsInput!$N$24+1,10,12,14,16,18,20)+IF(IF(ArtifactsInput!$M$10,FALSE,TRUE),CHOOSE(ArtifactsInput!$N$10+1,15,18,21,24,27,30)*(IF(Inputs!$B$38="pvp",MIN(15,15)/15,IF(AND(Inputs!$B$38&lt;&gt;"pvp",Inputs!$B$43&gt;0),MIN(15,Inputs!$B$43)/(Inputs!$B$43),0))),0)))&gt;=100),CHOOSE(ArtifactsInput!$N$42+1,40,48,56,64,72,80),0))))/100)*((1+(((C1378=TRUE)*F1378)+((C1385=TRUE)*(F1385-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1368)</f>
        <v/>
      </c>
      <c r="L1368">
        <f>K1368*(MIN(Inputs!$B$22+((C1383=TRUE)*(F1383-Calc!F22)),(Inputs!$B$23+0+(IF(ArtifactsInput!$M$15,CHOOSE(ArtifactsInput!$N$15+1,25,30,35,40,45,50)/100*(Inputs!$B$11-Inputs!$B$11),0))))/100+(Inputs!$B$23+0+(IF(ArtifactsInput!$M$15,CHOOSE(ArtifactsInput!$N$15+1,25,30,35,40,45,50)/100*(Inputs!$B$11-Inputs!$B$11),0)))/100)/2</f>
        <v/>
      </c>
      <c r="M1368">
        <f>L1368*(1+(Inputs!$B$10+((C1386=TRUE)*(F1386-Calc!F25))+B1396+(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68">
        <f>L1368*(1-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1368*(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68">
        <f>(1-Summary!$B$11)*T1368+Summary!$B$11*V1368</f>
        <v/>
      </c>
      <c r="P1368">
        <f>IF(B1401=0,0,O1368/B1401)</f>
        <v/>
      </c>
      <c r="Q1368">
        <f>IFERROR(1/(IF(Inputs!$B$38="pvp",15,MAX(0.1,Skills!D7-IF(Skills!E7=TRUE,Inputs!$B$32,0)))*(1-IF(AND(ArtifactsInput!$M$27,Inputs!$B$4="Chapter Hunt"),CHOOSE(ArtifactsInput!$N$27+1,20,24,28,32,36,40),0)/100)),0)</f>
        <v/>
      </c>
      <c r="R1368">
        <f>IF(AND(Inputs!$B$38&lt;&gt;"pvp",Inputs!$B$43&gt;0),IF(MAX(0,Inputs!$B$43-B1398)&lt;=0,0,(INT(MAX(0,Inputs!$B$43-B1398)/(IF(Inputs!$B$38="pvp",15,MAX(0.1,Skills!D7-IF(Skills!E7=TRUE,Inputs!$B$32,0)))*(1-IF(AND(ArtifactsInput!$M$27,Inputs!$B$4="Chapter Hunt"),CHOOSE(ArtifactsInput!$N$27+1,20,24,28,32,36,40),0)/100)))+1)),0)</f>
        <v/>
      </c>
      <c r="S1368">
        <f>IFERROR(O1368/N1368,0)</f>
        <v/>
      </c>
      <c r="T1368">
        <f>IF(C1368,(H1368*N1368*IF(AND(Inputs!$B$38&lt;&gt;"pvp",Inputs!$B$43&gt;0),((Skills!G7*((R1368-1)*IF(Skills!H7&gt;0,Skills!I7/Skills!H7,1)+IF(Skills!H7&gt;0,MIN(Skills!I7,MAX(0,MAX(0,Inputs!$B$43-B1398)-((R1368-1)*(IF(Inputs!$B$38="pvp",15,MAX(0.1,Skills!D7-IF(Skills!E7=TRUE,Inputs!$B$32,0)))*(1-IF(AND(ArtifactsInput!$M$27,Inputs!$B$4="Chapter Hunt"),CHOOSE(ArtifactsInput!$N$27+1,20,24,28,32,36,40),0)/100)))))/Skills!H7,1)))/Inputs!$B$43),G1368*Q1368)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1368*(1-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1368*(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1368*(1-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1368*(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8">
        <f>IF(C1368,(H1368*N1368*IF(AND(Inputs!$B$38&lt;&gt;"pvp",Inputs!$B$43&gt;0),((Skills!G7*((R1368-1)*IF(Skills!H7&gt;0,Skills!I7/Skills!H7,1)+IF(Skills!H7&gt;0,MIN(Skills!I7,MAX(0,MAX(0,Inputs!$B$43-B1398)-((R1368-1)*(IF(Inputs!$B$38="pvp",15,MAX(0.1,Skills!D7-IF(Skills!E7=TRUE,Inputs!$B$32,0)))*(1-IF(AND(ArtifactsInput!$M$27,Inputs!$B$4="Chapter Hunt"),CHOOSE(ArtifactsInput!$N$27+1,20,24,28,32,36,40),0)/100)))))/Skills!H7,1)))/Inputs!$B$43),G1368*Q1368))*IF(Inputs!$B$38="pvp",1,(1+(Inputs!$B$21+Skills!Q7+(IF(ArtifactsInput!$M$33,CHOOSE(ArtifactsInput!$N$33+1,30,36,42,48,54,60)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9">
      <c r="A1369">
        <f>Skills!A8</f>
        <v/>
      </c>
      <c r="B1369">
        <f>Skills!B8</f>
        <v/>
      </c>
      <c r="C1369">
        <f>Inputs!$B$3&gt;=100</f>
        <v/>
      </c>
      <c r="D1369">
        <f>IF(Skills!C8=1,60+Inputs!$B$25+Inputs!$B$29,IF(Skills!C8=2,90+Inputs!$B$26+Inputs!$B$29,IF(Skills!C8=3,120+Inputs!$B$27+Inputs!$B$29,MAX(0,(Inputs!$B$3-100)*3)+Inputs!$B$28+Inputs!$B$29)))</f>
        <v/>
      </c>
      <c r="E1369">
        <f>INDEX(FactorTable!$B$2:$Y$301, MATCH(ROUND(MIN(300,MAX(1,D1369)),0), FactorTable!$A$2:$A$301,0), Skills!M8+1)</f>
        <v/>
      </c>
      <c r="F1369">
        <f>IF(Skills!N8=TRUE,(Skills!L8/10)*(E1369/1000),Skills!L8/10)+Skills!O8</f>
        <v/>
      </c>
      <c r="G1369">
        <f>Skills!G8*IF(Skills!H8&gt;0,Skills!I8/Skills!H8,1)</f>
        <v/>
      </c>
      <c r="H1369">
        <f>1-(1-Skills!J8/100)^Skills!K8</f>
        <v/>
      </c>
      <c r="I1369" t="inlineStr">
        <is>
          <t>1</t>
        </is>
      </c>
      <c r="J1369">
        <f>((Inputs!$B$6*(1+Inputs!$B$7/100))+(((Inputs!$B$12*(1+Inputs!$B$13/100))-(Inputs!$B$12*(1+Inputs!$B$13/100)))+0.25*(Inputs!$B$14-Inputs!$B$14))*(1+Inputs!$B$7/100))*(F1369/100)</f>
        <v/>
      </c>
      <c r="K1369">
        <f>J1369*(1+((Inputs!$B$12*(1+Inputs!$B$13/100))*0.01+Inputs!$B$14*0.0025)/100)*(1+Inputs!$B$15/100)*(1+Inputs!$B$16/100)*(5000/(6000+Inputs!$B$42*(1-(100*(1-(1-(Inputs!$B$19+0)/100)*(1-CHOOSE(ArtifactsInput!$N$40+1,5,6,7,8,9,10)/100)^(ArtifactsInput!$M$40-ArtifactsInput!$M$40)))/100)))*(1+(Inputs!$B$24+((C1387=TRUE)*(F1387-Calc!F26))+B1397)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1384=TRUE)*(F1384-Calc!F23))+((C1388=TRUE)*(F1388-Calc!F27))+(((IF(AND(ArtifactsInput!$M$42,((Inputs!$B$9+((C1380=TRUE)*(F1380-Calc!F19))+B1391+(ArtifactsInput!$M$24-ArtifactsInput!$M$24)*CHOOSE(ArtifactsInput!$N$24+1,10,12,14,16,18,20)+IF(IF(ArtifactsInput!$M$10,FALSE,TRUE),CHOOSE(ArtifactsInput!$N$10+1,15,18,21,24,27,30)*(IF(Inputs!$B$38="pvp",MIN(15,15)/15,IF(AND(Inputs!$B$38&lt;&gt;"pvp",Inputs!$B$43&gt;0),MIN(15,Inputs!$B$43)/(Inputs!$B$43),0))),0)))&gt;=100),MIN(100,((Inputs!$B$9+((C1380=TRUE)*(F1380-Calc!F19))+B1391+(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1380=TRUE)*(F1380-Calc!F19))+B1391+(ArtifactsInput!$M$24-ArtifactsInput!$M$24)*CHOOSE(ArtifactsInput!$N$24+1,10,12,14,16,18,20)+IF(IF(ArtifactsInput!$M$10,FALSE,TRUE),CHOOSE(ArtifactsInput!$N$10+1,15,18,21,24,27,30)*(IF(Inputs!$B$38="pvp",MIN(15,15)/15,IF(AND(Inputs!$B$38&lt;&gt;"pvp",Inputs!$B$43&gt;0),MIN(15,Inputs!$B$43)/(Inputs!$B$43),0))),0)))&gt;=100),CHOOSE(ArtifactsInput!$N$42+1,40,48,56,64,72,80),0))))/100)*((1+(((C1378=TRUE)*F1378)+((C1385=TRUE)*(F1385-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1369)</f>
        <v/>
      </c>
      <c r="L1369">
        <f>K1369*(MIN(Inputs!$B$22+((C1383=TRUE)*(F1383-Calc!F22)),(Inputs!$B$23+0+(IF(ArtifactsInput!$M$15,CHOOSE(ArtifactsInput!$N$15+1,25,30,35,40,45,50)/100*(Inputs!$B$11-Inputs!$B$11),0))))/100+(Inputs!$B$23+0+(IF(ArtifactsInput!$M$15,CHOOSE(ArtifactsInput!$N$15+1,25,30,35,40,45,50)/100*(Inputs!$B$11-Inputs!$B$11),0)))/100)/2</f>
        <v/>
      </c>
      <c r="M1369">
        <f>L1369*(1+(Inputs!$B$10+((C1386=TRUE)*(F1386-Calc!F25))+B1396+(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69">
        <f>L1369*(1-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1369*(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69">
        <f>(1-Summary!$B$11)*T1369+Summary!$B$11*V1369</f>
        <v/>
      </c>
      <c r="P1369">
        <f>IF(B1401=0,0,O1369/B1401)</f>
        <v/>
      </c>
      <c r="Q1369">
        <f>IFERROR(1/(IF(Inputs!$B$38="pvp",15,MAX(0.1,Skills!D8-IF(Skills!E8=TRUE,Inputs!$B$32,0)))*(1-IF(AND(ArtifactsInput!$M$27,Inputs!$B$4="Chapter Hunt"),CHOOSE(ArtifactsInput!$N$27+1,20,24,28,32,36,40),0)/100)),0)</f>
        <v/>
      </c>
      <c r="R1369">
        <f>IF(AND(Inputs!$B$38&lt;&gt;"pvp",Inputs!$B$43&gt;0),IF(MAX(0,Inputs!$B$43-B1398)&lt;=0,0,(INT(MAX(0,Inputs!$B$43-B1398)/(IF(Inputs!$B$38="pvp",15,MAX(0.1,Skills!D8-IF(Skills!E8=TRUE,Inputs!$B$32,0)))*(1-IF(AND(ArtifactsInput!$M$27,Inputs!$B$4="Chapter Hunt"),CHOOSE(ArtifactsInput!$N$27+1,20,24,28,32,36,40),0)/100)))+1)),0)</f>
        <v/>
      </c>
      <c r="S1369">
        <f>IFERROR(O1369/N1369,0)</f>
        <v/>
      </c>
      <c r="T1369">
        <f>IF(C1369,(H1369*N1369*IF(AND(Inputs!$B$38&lt;&gt;"pvp",Inputs!$B$43&gt;0),((Skills!G8*((R1369-1)*IF(Skills!H8&gt;0,Skills!I8/Skills!H8,1)+IF(Skills!H8&gt;0,MIN(Skills!I8,MAX(0,MAX(0,Inputs!$B$43-B1398)-((R1369-1)*(IF(Inputs!$B$38="pvp",15,MAX(0.1,Skills!D8-IF(Skills!E8=TRUE,Inputs!$B$32,0)))*(1-IF(AND(ArtifactsInput!$M$27,Inputs!$B$4="Chapter Hunt"),CHOOSE(ArtifactsInput!$N$27+1,20,24,28,32,36,40),0)/100)))))/Skills!H8,1)))/Inputs!$B$43),G1369*Q1369)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1369*(1-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1369*(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1369*(1-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1369*(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9">
        <f>IF(C1369,(H1369*N1369*IF(AND(Inputs!$B$38&lt;&gt;"pvp",Inputs!$B$43&gt;0),((Skills!G8*((R1369-1)*IF(Skills!H8&gt;0,Skills!I8/Skills!H8,1)+IF(Skills!H8&gt;0,MIN(Skills!I8,MAX(0,MAX(0,Inputs!$B$43-B1398)-((R1369-1)*(IF(Inputs!$B$38="pvp",15,MAX(0.1,Skills!D8-IF(Skills!E8=TRUE,Inputs!$B$32,0)))*(1-IF(AND(ArtifactsInput!$M$27,Inputs!$B$4="Chapter Hunt"),CHOOSE(ArtifactsInput!$N$27+1,20,24,28,32,36,40),0)/100)))))/Skills!H8,1)))/Inputs!$B$43),G1369*Q1369))*IF(Inputs!$B$38="pvp",1,(1+(Inputs!$B$21+Skills!Q8+(IF(ArtifactsInput!$M$33,CHOOSE(ArtifactsInput!$N$33+1,30,36,42,48,54,60)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0">
      <c r="A1370">
        <f>Skills!A9</f>
        <v/>
      </c>
      <c r="B1370">
        <f>Skills!B9</f>
        <v/>
      </c>
      <c r="C1370">
        <f>Inputs!$B$3&gt;=103</f>
        <v/>
      </c>
      <c r="D1370">
        <f>IF(Skills!C9=1,60+Inputs!$B$25+Inputs!$B$29,IF(Skills!C9=2,90+Inputs!$B$26+Inputs!$B$29,IF(Skills!C9=3,120+Inputs!$B$27+Inputs!$B$29,MAX(0,(Inputs!$B$3-100)*3)+Inputs!$B$28+Inputs!$B$29)))</f>
        <v/>
      </c>
      <c r="E1370">
        <f>INDEX(FactorTable!$B$2:$Y$301, MATCH(ROUND(MIN(300,MAX(1,D1370)),0), FactorTable!$A$2:$A$301,0), Skills!M9+1)</f>
        <v/>
      </c>
      <c r="F1370">
        <f>IF(Skills!N9=TRUE,(Skills!L9/10)*(E1370/1000),Skills!L9/10)+Skills!O9</f>
        <v/>
      </c>
      <c r="G1370">
        <f>Skills!G9*IF(Skills!H9&gt;0,Skills!I9/Skills!H9,1)</f>
        <v/>
      </c>
      <c r="H1370">
        <f>1-(1-Skills!J9/100)^Skills!K9</f>
        <v/>
      </c>
      <c r="I1370" t="inlineStr">
        <is>
          <t>1</t>
        </is>
      </c>
      <c r="J1370">
        <f>((Inputs!$B$6*(1+Inputs!$B$7/100))+(((Inputs!$B$12*(1+Inputs!$B$13/100))-(Inputs!$B$12*(1+Inputs!$B$13/100)))+0.25*(Inputs!$B$14-Inputs!$B$14))*(1+Inputs!$B$7/100))*(F1370/100)</f>
        <v/>
      </c>
      <c r="K1370">
        <f>J1370*(1+((Inputs!$B$12*(1+Inputs!$B$13/100))*0.01+Inputs!$B$14*0.0025)/100)*(1+Inputs!$B$15/100)*(1+Inputs!$B$16/100)*(5000/(6000+Inputs!$B$42*(1-(100*(1-(1-(Inputs!$B$19+0)/100)*(1-CHOOSE(ArtifactsInput!$N$40+1,5,6,7,8,9,10)/100)^(ArtifactsInput!$M$40-ArtifactsInput!$M$40)))/100)))*(1+(Inputs!$B$24+((C1387=TRUE)*(F1387-Calc!F26))+B1397)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1384=TRUE)*(F1384-Calc!F23))+((C1388=TRUE)*(F1388-Calc!F27))+(((IF(AND(ArtifactsInput!$M$42,((Inputs!$B$9+((C1380=TRUE)*(F1380-Calc!F19))+B1391+(ArtifactsInput!$M$24-ArtifactsInput!$M$24)*CHOOSE(ArtifactsInput!$N$24+1,10,12,14,16,18,20)+IF(IF(ArtifactsInput!$M$10,FALSE,TRUE),CHOOSE(ArtifactsInput!$N$10+1,15,18,21,24,27,30)*(IF(Inputs!$B$38="pvp",MIN(15,15)/15,IF(AND(Inputs!$B$38&lt;&gt;"pvp",Inputs!$B$43&gt;0),MIN(15,Inputs!$B$43)/(Inputs!$B$43),0))),0)))&gt;=100),MIN(100,((Inputs!$B$9+((C1380=TRUE)*(F1380-Calc!F19))+B1391+(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1380=TRUE)*(F1380-Calc!F19))+B1391+(ArtifactsInput!$M$24-ArtifactsInput!$M$24)*CHOOSE(ArtifactsInput!$N$24+1,10,12,14,16,18,20)+IF(IF(ArtifactsInput!$M$10,FALSE,TRUE),CHOOSE(ArtifactsInput!$N$10+1,15,18,21,24,27,30)*(IF(Inputs!$B$38="pvp",MIN(15,15)/15,IF(AND(Inputs!$B$38&lt;&gt;"pvp",Inputs!$B$43&gt;0),MIN(15,Inputs!$B$43)/(Inputs!$B$43),0))),0)))&gt;=100),CHOOSE(ArtifactsInput!$N$42+1,40,48,56,64,72,80),0))))/100)*((1+(((C1378=TRUE)*F1378)+((C1385=TRUE)*(F1385-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1370)</f>
        <v/>
      </c>
      <c r="L1370">
        <f>K1370*(MIN(Inputs!$B$22+((C1383=TRUE)*(F1383-Calc!F22)),(Inputs!$B$23+0+(IF(ArtifactsInput!$M$15,CHOOSE(ArtifactsInput!$N$15+1,25,30,35,40,45,50)/100*(Inputs!$B$11-Inputs!$B$11),0))))/100+(Inputs!$B$23+0+(IF(ArtifactsInput!$M$15,CHOOSE(ArtifactsInput!$N$15+1,25,30,35,40,45,50)/100*(Inputs!$B$11-Inputs!$B$11),0)))/100)/2</f>
        <v/>
      </c>
      <c r="M1370">
        <f>L1370*(1+(Inputs!$B$10+((C1386=TRUE)*(F1386-Calc!F25))+B1396+(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70">
        <f>L1370*(1-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1370*(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70">
        <f>(1-Summary!$B$11)*T1370+Summary!$B$11*V1370</f>
        <v/>
      </c>
      <c r="P1370">
        <f>IF(B1401=0,0,O1370/B1401)</f>
        <v/>
      </c>
      <c r="Q1370">
        <f>IFERROR(1/(IF(Inputs!$B$38="pvp",15,MAX(0.1,Skills!D9-IF(Skills!E9=TRUE,Inputs!$B$32,0)))*(1-IF(AND(ArtifactsInput!$M$27,Inputs!$B$4="Chapter Hunt"),CHOOSE(ArtifactsInput!$N$27+1,20,24,28,32,36,40),0)/100)),0)</f>
        <v/>
      </c>
      <c r="R1370">
        <f>IF(AND(Inputs!$B$38&lt;&gt;"pvp",Inputs!$B$43&gt;0),IF(MAX(0,Inputs!$B$43-B1398)&lt;=0,0,(INT(MAX(0,Inputs!$B$43-B1398)/(IF(Inputs!$B$38="pvp",15,MAX(0.1,Skills!D9-IF(Skills!E9=TRUE,Inputs!$B$32,0)))*(1-IF(AND(ArtifactsInput!$M$27,Inputs!$B$4="Chapter Hunt"),CHOOSE(ArtifactsInput!$N$27+1,20,24,28,32,36,40),0)/100)))+1)),0)</f>
        <v/>
      </c>
      <c r="S1370">
        <f>IFERROR(O1370/N1370,0)</f>
        <v/>
      </c>
      <c r="T1370">
        <f>IF(C1370,(H1370*N1370*IF(AND(Inputs!$B$38&lt;&gt;"pvp",Inputs!$B$43&gt;0),((Skills!G9*((R1370-1)*IF(Skills!H9&gt;0,Skills!I9/Skills!H9,1)+IF(Skills!H9&gt;0,MIN(Skills!I9,MAX(0,MAX(0,Inputs!$B$43-B1398)-((R1370-1)*(IF(Inputs!$B$38="pvp",15,MAX(0.1,Skills!D9-IF(Skills!E9=TRUE,Inputs!$B$32,0)))*(1-IF(AND(ArtifactsInput!$M$27,Inputs!$B$4="Chapter Hunt"),CHOOSE(ArtifactsInput!$N$27+1,20,24,28,32,36,40),0)/100)))))/Skills!H9,1)))/Inputs!$B$43),G1370*Q1370)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1370*(1-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1370*(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1370*(1-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1370*(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0">
        <f>IF(C1370,(H1370*N1370*IF(AND(Inputs!$B$38&lt;&gt;"pvp",Inputs!$B$43&gt;0),((Skills!G9*((R1370-1)*IF(Skills!H9&gt;0,Skills!I9/Skills!H9,1)+IF(Skills!H9&gt;0,MIN(Skills!I9,MAX(0,MAX(0,Inputs!$B$43-B1398)-((R1370-1)*(IF(Inputs!$B$38="pvp",15,MAX(0.1,Skills!D9-IF(Skills!E9=TRUE,Inputs!$B$32,0)))*(1-IF(AND(ArtifactsInput!$M$27,Inputs!$B$4="Chapter Hunt"),CHOOSE(ArtifactsInput!$N$27+1,20,24,28,32,36,40),0)/100)))))/Skills!H9,1)))/Inputs!$B$43),G1370*Q1370))*IF(Inputs!$B$38="pvp",1,(1+(Inputs!$B$21+Skills!Q9+(IF(ArtifactsInput!$M$33,CHOOSE(ArtifactsInput!$N$33+1,30,36,42,48,54,60)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1">
      <c r="A1371">
        <f>Skills!A10</f>
        <v/>
      </c>
      <c r="B1371">
        <f>Skills!B10</f>
        <v/>
      </c>
      <c r="C1371">
        <f>Inputs!$B$3&gt;=113</f>
        <v/>
      </c>
      <c r="D1371">
        <f>IF(Skills!C10=1,60+Inputs!$B$25+Inputs!$B$29,IF(Skills!C10=2,90+Inputs!$B$26+Inputs!$B$29,IF(Skills!C10=3,120+Inputs!$B$27+Inputs!$B$29,MAX(0,(Inputs!$B$3-100)*3)+Inputs!$B$28+Inputs!$B$29)))</f>
        <v/>
      </c>
      <c r="E1371">
        <f>INDEX(FactorTable!$B$2:$Y$301, MATCH(ROUND(MIN(300,MAX(1,D1371)),0), FactorTable!$A$2:$A$301,0), Skills!M10+1)</f>
        <v/>
      </c>
      <c r="F1371">
        <f>IF(Skills!N10=TRUE,(Skills!L10/10)*(E1371/1000),Skills!L10/10)+Skills!O10</f>
        <v/>
      </c>
      <c r="G1371">
        <f>Skills!G10*IF(Skills!H10&gt;0,Skills!I10/Skills!H10,1)</f>
        <v/>
      </c>
      <c r="H1371">
        <f>1-(1-Skills!J10/100)^Skills!K10</f>
        <v/>
      </c>
      <c r="I1371" t="inlineStr">
        <is>
          <t>1</t>
        </is>
      </c>
      <c r="J1371">
        <f>((Inputs!$B$6*(1+Inputs!$B$7/100))+(((Inputs!$B$12*(1+Inputs!$B$13/100))-(Inputs!$B$12*(1+Inputs!$B$13/100)))+0.25*(Inputs!$B$14-Inputs!$B$14))*(1+Inputs!$B$7/100))*(F1371/100)</f>
        <v/>
      </c>
      <c r="K1371">
        <f>J1371*(1+((Inputs!$B$12*(1+Inputs!$B$13/100))*0.01+Inputs!$B$14*0.0025)/100)*(1+Inputs!$B$15/100)*(1+Inputs!$B$16/100)*(5000/(6000+Inputs!$B$42*(1-(100*(1-(1-(Inputs!$B$19+0)/100)*(1-CHOOSE(ArtifactsInput!$N$40+1,5,6,7,8,9,10)/100)^(ArtifactsInput!$M$40-ArtifactsInput!$M$40)))/100)))*(1+(Inputs!$B$24+((C1387=TRUE)*(F1387-Calc!F26))+B1397)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1384=TRUE)*(F1384-Calc!F23))+((C1388=TRUE)*(F1388-Calc!F27))+(((IF(AND(ArtifactsInput!$M$42,((Inputs!$B$9+((C1380=TRUE)*(F1380-Calc!F19))+B1391+(ArtifactsInput!$M$24-ArtifactsInput!$M$24)*CHOOSE(ArtifactsInput!$N$24+1,10,12,14,16,18,20)+IF(IF(ArtifactsInput!$M$10,FALSE,TRUE),CHOOSE(ArtifactsInput!$N$10+1,15,18,21,24,27,30)*(IF(Inputs!$B$38="pvp",MIN(15,15)/15,IF(AND(Inputs!$B$38&lt;&gt;"pvp",Inputs!$B$43&gt;0),MIN(15,Inputs!$B$43)/(Inputs!$B$43),0))),0)))&gt;=100),MIN(100,((Inputs!$B$9+((C1380=TRUE)*(F1380-Calc!F19))+B1391+(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1380=TRUE)*(F1380-Calc!F19))+B1391+(ArtifactsInput!$M$24-ArtifactsInput!$M$24)*CHOOSE(ArtifactsInput!$N$24+1,10,12,14,16,18,20)+IF(IF(ArtifactsInput!$M$10,FALSE,TRUE),CHOOSE(ArtifactsInput!$N$10+1,15,18,21,24,27,30)*(IF(Inputs!$B$38="pvp",MIN(15,15)/15,IF(AND(Inputs!$B$38&lt;&gt;"pvp",Inputs!$B$43&gt;0),MIN(15,Inputs!$B$43)/(Inputs!$B$43),0))),0)))&gt;=100),CHOOSE(ArtifactsInput!$N$42+1,40,48,56,64,72,80),0))))/100)*((1+(((C1378=TRUE)*F1378)+((C1385=TRUE)*(F1385-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1371)</f>
        <v/>
      </c>
      <c r="L1371">
        <f>K1371*(MIN(Inputs!$B$22+((C1383=TRUE)*(F1383-Calc!F22)),(Inputs!$B$23+0+(IF(ArtifactsInput!$M$15,CHOOSE(ArtifactsInput!$N$15+1,25,30,35,40,45,50)/100*(Inputs!$B$11-Inputs!$B$11),0))))/100+(Inputs!$B$23+0+(IF(ArtifactsInput!$M$15,CHOOSE(ArtifactsInput!$N$15+1,25,30,35,40,45,50)/100*(Inputs!$B$11-Inputs!$B$11),0)))/100)/2</f>
        <v/>
      </c>
      <c r="M1371">
        <f>L1371*(1+(Inputs!$B$10+((C1386=TRUE)*(F1386-Calc!F25))+B1396+(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71">
        <f>L1371*(1-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1371*(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71">
        <f>(1-Summary!$B$11)*T1371+Summary!$B$11*V1371</f>
        <v/>
      </c>
      <c r="P1371">
        <f>IF(B1401=0,0,O1371/B1401)</f>
        <v/>
      </c>
      <c r="Q1371">
        <f>IFERROR(1/(IF(Inputs!$B$38="pvp",15,MAX(0.1,Skills!D10-IF(Skills!E10=TRUE,Inputs!$B$32,0)))*(1-IF(AND(ArtifactsInput!$M$27,Inputs!$B$4="Chapter Hunt"),CHOOSE(ArtifactsInput!$N$27+1,20,24,28,32,36,40),0)/100)),0)</f>
        <v/>
      </c>
      <c r="R1371">
        <f>IF(AND(Inputs!$B$38&lt;&gt;"pvp",Inputs!$B$43&gt;0),IF(MAX(0,Inputs!$B$43-B1398)&lt;=0,0,(INT(MAX(0,Inputs!$B$43-B1398)/(IF(Inputs!$B$38="pvp",15,MAX(0.1,Skills!D10-IF(Skills!E10=TRUE,Inputs!$B$32,0)))*(1-IF(AND(ArtifactsInput!$M$27,Inputs!$B$4="Chapter Hunt"),CHOOSE(ArtifactsInput!$N$27+1,20,24,28,32,36,40),0)/100)))+1)),0)</f>
        <v/>
      </c>
      <c r="S1371">
        <f>IFERROR(O1371/N1371,0)</f>
        <v/>
      </c>
      <c r="T1371">
        <f>IF(C1371,(H1371*N1371*IF(AND(Inputs!$B$38&lt;&gt;"pvp",Inputs!$B$43&gt;0),((Skills!G10*((R1371-1)*IF(Skills!H10&gt;0,Skills!I10/Skills!H10,1)+IF(Skills!H10&gt;0,MIN(Skills!I10,MAX(0,MAX(0,Inputs!$B$43-B1398)-((R1371-1)*(IF(Inputs!$B$38="pvp",15,MAX(0.1,Skills!D10-IF(Skills!E10=TRUE,Inputs!$B$32,0)))*(1-IF(AND(ArtifactsInput!$M$27,Inputs!$B$4="Chapter Hunt"),CHOOSE(ArtifactsInput!$N$27+1,20,24,28,32,36,40),0)/100)))))/Skills!H10,1)))/Inputs!$B$43),G1371*Q1371)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1371*(1-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1371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1371*(1-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1371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1">
        <f>IF(C1371,(H1371*N1371*IF(AND(Inputs!$B$38&lt;&gt;"pvp",Inputs!$B$43&gt;0),((Skills!G10*((R1371-1)*IF(Skills!H10&gt;0,Skills!I10/Skills!H10,1)+IF(Skills!H10&gt;0,MIN(Skills!I10,MAX(0,MAX(0,Inputs!$B$43-B1398)-((R1371-1)*(IF(Inputs!$B$38="pvp",15,MAX(0.1,Skills!D10-IF(Skills!E10=TRUE,Inputs!$B$32,0)))*(1-IF(AND(ArtifactsInput!$M$27,Inputs!$B$4="Chapter Hunt"),CHOOSE(ArtifactsInput!$N$27+1,20,24,28,32,36,40),0)/100)))))/Skills!H10,1)))/Inputs!$B$43),G1371*Q1371))*IF(Inputs!$B$38="pvp",1,(1+(Inputs!$B$21+Skills!Q10+(IF(ArtifactsInput!$M$33,CHOOSE(ArtifactsInput!$N$33+1,30,36,42,48,54,60)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2">
      <c r="A1372">
        <f>Skills!A11</f>
        <v/>
      </c>
      <c r="B1372">
        <f>Skills!B11</f>
        <v/>
      </c>
      <c r="C1372">
        <f>Inputs!$B$3&gt;=107</f>
        <v/>
      </c>
      <c r="D1372">
        <f>IF(Skills!C11=1,60+Inputs!$B$25+Inputs!$B$29,IF(Skills!C11=2,90+Inputs!$B$26+Inputs!$B$29,IF(Skills!C11=3,120+Inputs!$B$27+Inputs!$B$29,MAX(0,(Inputs!$B$3-100)*3)+Inputs!$B$28+Inputs!$B$29)))</f>
        <v/>
      </c>
      <c r="E1372">
        <f>INDEX(FactorTable!$B$2:$Y$301, MATCH(ROUND(MIN(300,MAX(1,D1372)),0), FactorTable!$A$2:$A$301,0), Skills!M11+1)</f>
        <v/>
      </c>
      <c r="F1372">
        <f>IF(Skills!N11=TRUE,(Skills!L11/10)*(E1372/1000),Skills!L11/10)+Skills!O11</f>
        <v/>
      </c>
      <c r="G1372">
        <f>Skills!G11*IF(Skills!H11&gt;0,Skills!I11/Skills!H11,1)</f>
        <v/>
      </c>
      <c r="H1372">
        <f>1-(1-Skills!J11/100)^Skills!K11</f>
        <v/>
      </c>
      <c r="I1372" t="inlineStr">
        <is>
          <t>1</t>
        </is>
      </c>
      <c r="J1372">
        <f>((Inputs!$B$6*(1+Inputs!$B$7/100))+(((Inputs!$B$12*(1+Inputs!$B$13/100))-(Inputs!$B$12*(1+Inputs!$B$13/100)))+0.25*(Inputs!$B$14-Inputs!$B$14))*(1+Inputs!$B$7/100))*(F1372/100)</f>
        <v/>
      </c>
      <c r="K1372">
        <f>J1372*(1+((Inputs!$B$12*(1+Inputs!$B$13/100))*0.01+Inputs!$B$14*0.0025)/100)*(1+Inputs!$B$15/100)*(1+Inputs!$B$16/100)*(5000/(6000+Inputs!$B$42*(1-(100*(1-(1-(Inputs!$B$19+0)/100)*(1-CHOOSE(ArtifactsInput!$N$40+1,5,6,7,8,9,10)/100)^(ArtifactsInput!$M$40-ArtifactsInput!$M$40)))/100)))*(1+(Inputs!$B$24+((C1387=TRUE)*(F1387-Calc!F26))+B1397)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1384=TRUE)*(F1384-Calc!F23))+((C1388=TRUE)*(F1388-Calc!F27))+(((IF(AND(ArtifactsInput!$M$42,((Inputs!$B$9+((C1380=TRUE)*(F1380-Calc!F19))+B1391+(ArtifactsInput!$M$24-ArtifactsInput!$M$24)*CHOOSE(ArtifactsInput!$N$24+1,10,12,14,16,18,20)+IF(IF(ArtifactsInput!$M$10,FALSE,TRUE),CHOOSE(ArtifactsInput!$N$10+1,15,18,21,24,27,30)*(IF(Inputs!$B$38="pvp",MIN(15,15)/15,IF(AND(Inputs!$B$38&lt;&gt;"pvp",Inputs!$B$43&gt;0),MIN(15,Inputs!$B$43)/(Inputs!$B$43),0))),0)))&gt;=100),MIN(100,((Inputs!$B$9+((C1380=TRUE)*(F1380-Calc!F19))+B1391+(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1380=TRUE)*(F1380-Calc!F19))+B1391+(ArtifactsInput!$M$24-ArtifactsInput!$M$24)*CHOOSE(ArtifactsInput!$N$24+1,10,12,14,16,18,20)+IF(IF(ArtifactsInput!$M$10,FALSE,TRUE),CHOOSE(ArtifactsInput!$N$10+1,15,18,21,24,27,30)*(IF(Inputs!$B$38="pvp",MIN(15,15)/15,IF(AND(Inputs!$B$38&lt;&gt;"pvp",Inputs!$B$43&gt;0),MIN(15,Inputs!$B$43)/(Inputs!$B$43),0))),0)))&gt;=100),CHOOSE(ArtifactsInput!$N$42+1,40,48,56,64,72,80),0))))/100)*((1+(((C1378=TRUE)*F1378)+((C1385=TRUE)*(F1385-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1372)</f>
        <v/>
      </c>
      <c r="L1372">
        <f>K1372*(MIN(Inputs!$B$22+((C1383=TRUE)*(F1383-Calc!F22)),(Inputs!$B$23+0+(IF(ArtifactsInput!$M$15,CHOOSE(ArtifactsInput!$N$15+1,25,30,35,40,45,50)/100*(Inputs!$B$11-Inputs!$B$11),0))))/100+(Inputs!$B$23+0+(IF(ArtifactsInput!$M$15,CHOOSE(ArtifactsInput!$N$15+1,25,30,35,40,45,50)/100*(Inputs!$B$11-Inputs!$B$11),0)))/100)/2</f>
        <v/>
      </c>
      <c r="M1372">
        <f>L1372*(1+(Inputs!$B$10+((C1386=TRUE)*(F1386-Calc!F25))+B1396+(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72">
        <f>L1372*(1-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1372*(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72">
        <f>(1-Summary!$B$11)*T1372+Summary!$B$11*V1372</f>
        <v/>
      </c>
      <c r="P1372">
        <f>IF(B1401=0,0,O1372/B1401)</f>
        <v/>
      </c>
      <c r="Q1372">
        <f>IFERROR(1/(IF(Inputs!$B$38="pvp",15,MAX(0.1,Skills!D11-IF(Skills!E11=TRUE,Inputs!$B$32,0)))*(1-IF(AND(ArtifactsInput!$M$27,Inputs!$B$4="Chapter Hunt"),CHOOSE(ArtifactsInput!$N$27+1,20,24,28,32,36,40),0)/100)),0)</f>
        <v/>
      </c>
      <c r="R1372">
        <f>IF(AND(Inputs!$B$38&lt;&gt;"pvp",Inputs!$B$43&gt;0),IF(MAX(0,Inputs!$B$43-B1398)&lt;=0,0,(INT(MAX(0,Inputs!$B$43-B1398)/(IF(Inputs!$B$38="pvp",15,MAX(0.1,Skills!D11-IF(Skills!E11=TRUE,Inputs!$B$32,0)))*(1-IF(AND(ArtifactsInput!$M$27,Inputs!$B$4="Chapter Hunt"),CHOOSE(ArtifactsInput!$N$27+1,20,24,28,32,36,40),0)/100)))+1)),0)</f>
        <v/>
      </c>
      <c r="S1372">
        <f>IFERROR(O1372/N1372,0)</f>
        <v/>
      </c>
      <c r="T1372">
        <f>IF(C1372,(H1372*N1372*IF(AND(Inputs!$B$38&lt;&gt;"pvp",Inputs!$B$43&gt;0),((Skills!G11*((R1372-1)*IF(Skills!H11&gt;0,Skills!I11/Skills!H11,1)+IF(Skills!H11&gt;0,MIN(Skills!I11,MAX(0,MAX(0,Inputs!$B$43-B1398)-((R1372-1)*(IF(Inputs!$B$38="pvp",15,MAX(0.1,Skills!D11-IF(Skills!E11=TRUE,Inputs!$B$32,0)))*(1-IF(AND(ArtifactsInput!$M$27,Inputs!$B$4="Chapter Hunt"),CHOOSE(ArtifactsInput!$N$27+1,20,24,28,32,36,40),0)/100)))))/Skills!H11,1)))/Inputs!$B$43),G1372*Q1372)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1372*(1-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1372*(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1372*(1-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1372*(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2">
        <f>IF(C1372,(H1372*N1372*IF(AND(Inputs!$B$38&lt;&gt;"pvp",Inputs!$B$43&gt;0),((Skills!G11*((R1372-1)*IF(Skills!H11&gt;0,Skills!I11/Skills!H11,1)+IF(Skills!H11&gt;0,MIN(Skills!I11,MAX(0,MAX(0,Inputs!$B$43-B1398)-((R1372-1)*(IF(Inputs!$B$38="pvp",15,MAX(0.1,Skills!D11-IF(Skills!E11=TRUE,Inputs!$B$32,0)))*(1-IF(AND(ArtifactsInput!$M$27,Inputs!$B$4="Chapter Hunt"),CHOOSE(ArtifactsInput!$N$27+1,20,24,28,32,36,40),0)/100)))))/Skills!H11,1)))/Inputs!$B$43),G1372*Q1372))*IF(Inputs!$B$38="pvp",1,(1+(Inputs!$B$21+Skills!Q11+(IF(ArtifactsInput!$M$33,CHOOSE(ArtifactsInput!$N$33+1,30,36,42,48,54,60)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3">
      <c r="A1373">
        <f>Skills!A12</f>
        <v/>
      </c>
      <c r="B1373">
        <f>Skills!B12</f>
        <v/>
      </c>
      <c r="C1373">
        <f>Inputs!$B$3&gt;=110</f>
        <v/>
      </c>
      <c r="D1373">
        <f>IF(Skills!C12=1,60+Inputs!$B$25+Inputs!$B$29,IF(Skills!C12=2,90+Inputs!$B$26+Inputs!$B$29,IF(Skills!C12=3,120+Inputs!$B$27+Inputs!$B$29,MAX(0,(Inputs!$B$3-100)*3)+Inputs!$B$28+Inputs!$B$29)))</f>
        <v/>
      </c>
      <c r="E1373">
        <f>INDEX(FactorTable!$B$2:$Y$301, MATCH(ROUND(MIN(300,MAX(1,D1373)),0), FactorTable!$A$2:$A$301,0), Skills!M12+1)</f>
        <v/>
      </c>
      <c r="F1373">
        <f>IF(Skills!N12=TRUE,(Skills!L12/10)*(E1373/1000),Skills!L12/10)+Skills!O12</f>
        <v/>
      </c>
      <c r="G1373">
        <f>Skills!G12*IF(Skills!H12&gt;0,Skills!I12/Skills!H12,1)</f>
        <v/>
      </c>
      <c r="H1373">
        <f>1-(1-Skills!J12/100)^Skills!K12</f>
        <v/>
      </c>
      <c r="I1373" t="inlineStr">
        <is>
          <t>1</t>
        </is>
      </c>
      <c r="J1373">
        <f>((Inputs!$B$6*(1+Inputs!$B$7/100))+(((Inputs!$B$12*(1+Inputs!$B$13/100))-(Inputs!$B$12*(1+Inputs!$B$13/100)))+0.25*(Inputs!$B$14-Inputs!$B$14))*(1+Inputs!$B$7/100))*(F1373/100)</f>
        <v/>
      </c>
      <c r="K1373">
        <f>J1373*(1+((Inputs!$B$12*(1+Inputs!$B$13/100))*0.01+Inputs!$B$14*0.0025)/100)*(1+Inputs!$B$15/100)*(1+Inputs!$B$16/100)*(5000/(6000+Inputs!$B$42*(1-(100*(1-(1-(Inputs!$B$19+0)/100)*(1-CHOOSE(ArtifactsInput!$N$40+1,5,6,7,8,9,10)/100)^(ArtifactsInput!$M$40-ArtifactsInput!$M$40)))/100)))*(1+(Inputs!$B$24+((C1387=TRUE)*(F1387-Calc!F26))+B1397)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1384=TRUE)*(F1384-Calc!F23))+((C1388=TRUE)*(F1388-Calc!F27))+(((IF(AND(ArtifactsInput!$M$42,((Inputs!$B$9+((C1380=TRUE)*(F1380-Calc!F19))+B1391+(ArtifactsInput!$M$24-ArtifactsInput!$M$24)*CHOOSE(ArtifactsInput!$N$24+1,10,12,14,16,18,20)+IF(IF(ArtifactsInput!$M$10,FALSE,TRUE),CHOOSE(ArtifactsInput!$N$10+1,15,18,21,24,27,30)*(IF(Inputs!$B$38="pvp",MIN(15,15)/15,IF(AND(Inputs!$B$38&lt;&gt;"pvp",Inputs!$B$43&gt;0),MIN(15,Inputs!$B$43)/(Inputs!$B$43),0))),0)))&gt;=100),MIN(100,((Inputs!$B$9+((C1380=TRUE)*(F1380-Calc!F19))+B1391+(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1380=TRUE)*(F1380-Calc!F19))+B1391+(ArtifactsInput!$M$24-ArtifactsInput!$M$24)*CHOOSE(ArtifactsInput!$N$24+1,10,12,14,16,18,20)+IF(IF(ArtifactsInput!$M$10,FALSE,TRUE),CHOOSE(ArtifactsInput!$N$10+1,15,18,21,24,27,30)*(IF(Inputs!$B$38="pvp",MIN(15,15)/15,IF(AND(Inputs!$B$38&lt;&gt;"pvp",Inputs!$B$43&gt;0),MIN(15,Inputs!$B$43)/(Inputs!$B$43),0))),0)))&gt;=100),CHOOSE(ArtifactsInput!$N$42+1,40,48,56,64,72,80),0))))/100)*((1+(((C1378=TRUE)*F1378)+((C1385=TRUE)*(F1385-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1373)</f>
        <v/>
      </c>
      <c r="L1373">
        <f>K1373*(MIN(Inputs!$B$22+((C1383=TRUE)*(F1383-Calc!F22)),(Inputs!$B$23+0+(IF(ArtifactsInput!$M$15,CHOOSE(ArtifactsInput!$N$15+1,25,30,35,40,45,50)/100*(Inputs!$B$11-Inputs!$B$11),0))))/100+(Inputs!$B$23+0+(IF(ArtifactsInput!$M$15,CHOOSE(ArtifactsInput!$N$15+1,25,30,35,40,45,50)/100*(Inputs!$B$11-Inputs!$B$11),0)))/100)/2</f>
        <v/>
      </c>
      <c r="M1373">
        <f>L1373*(1+(Inputs!$B$10+((C1386=TRUE)*(F1386-Calc!F25))+B1396+(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73">
        <f>L1373*(1-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1373*(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73">
        <f>(1-Summary!$B$11)*T1373+Summary!$B$11*V1373</f>
        <v/>
      </c>
      <c r="P1373">
        <f>IF(B1401=0,0,O1373/B1401)</f>
        <v/>
      </c>
      <c r="Q1373">
        <f>IFERROR(1/(IF(Inputs!$B$38="pvp",15,MAX(0.1,Skills!D12-IF(Skills!E12=TRUE,Inputs!$B$32,0)))*(1-IF(AND(ArtifactsInput!$M$27,Inputs!$B$4="Chapter Hunt"),CHOOSE(ArtifactsInput!$N$27+1,20,24,28,32,36,40),0)/100)),0)</f>
        <v/>
      </c>
      <c r="R1373">
        <f>IF(AND(Inputs!$B$38&lt;&gt;"pvp",Inputs!$B$43&gt;0),IF(MAX(0,Inputs!$B$43-B1398)&lt;=0,0,(INT(MAX(0,Inputs!$B$43-B1398)/(IF(Inputs!$B$38="pvp",15,MAX(0.1,Skills!D12-IF(Skills!E12=TRUE,Inputs!$B$32,0)))*(1-IF(AND(ArtifactsInput!$M$27,Inputs!$B$4="Chapter Hunt"),CHOOSE(ArtifactsInput!$N$27+1,20,24,28,32,36,40),0)/100)))+1)),0)</f>
        <v/>
      </c>
      <c r="S1373">
        <f>IFERROR(O1373/N1373,0)</f>
        <v/>
      </c>
      <c r="T1373">
        <f>IF(C1373,(H1373*N1373*IF(AND(Inputs!$B$38&lt;&gt;"pvp",Inputs!$B$43&gt;0),((Skills!G12*((R1373-1)*IF(Skills!H12&gt;0,Skills!I12/Skills!H12,1)+IF(Skills!H12&gt;0,MIN(Skills!I12,MAX(0,MAX(0,Inputs!$B$43-B1398)-((R1373-1)*(IF(Inputs!$B$38="pvp",15,MAX(0.1,Skills!D12-IF(Skills!E12=TRUE,Inputs!$B$32,0)))*(1-IF(AND(ArtifactsInput!$M$27,Inputs!$B$4="Chapter Hunt"),CHOOSE(ArtifactsInput!$N$27+1,20,24,28,32,36,40),0)/100)))))/Skills!H12,1)))/Inputs!$B$43),G1373*Q1373)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1373*(1-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1373*(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1373*(1-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1373*(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3">
        <f>IF(C1373,(H1373*N1373*IF(AND(Inputs!$B$38&lt;&gt;"pvp",Inputs!$B$43&gt;0),((Skills!G12*((R1373-1)*IF(Skills!H12&gt;0,Skills!I12/Skills!H12,1)+IF(Skills!H12&gt;0,MIN(Skills!I12,MAX(0,MAX(0,Inputs!$B$43-B1398)-((R1373-1)*(IF(Inputs!$B$38="pvp",15,MAX(0.1,Skills!D12-IF(Skills!E12=TRUE,Inputs!$B$32,0)))*(1-IF(AND(ArtifactsInput!$M$27,Inputs!$B$4="Chapter Hunt"),CHOOSE(ArtifactsInput!$N$27+1,20,24,28,32,36,40),0)/100)))))/Skills!H12,1)))/Inputs!$B$43),G1373*Q1373))*IF(Inputs!$B$38="pvp",1,(1+(Inputs!$B$21+Skills!Q12+(IF(ArtifactsInput!$M$33,CHOOSE(ArtifactsInput!$N$33+1,30,36,42,48,54,60)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4">
      <c r="A1374">
        <f>Skills!A13</f>
        <v/>
      </c>
      <c r="B1374">
        <f>Skills!B13</f>
        <v/>
      </c>
      <c r="C1374">
        <f>Inputs!$B$3&gt;=110</f>
        <v/>
      </c>
      <c r="D1374">
        <f>IF(Skills!C13=1,60+Inputs!$B$25+Inputs!$B$29,IF(Skills!C13=2,90+Inputs!$B$26+Inputs!$B$29,IF(Skills!C13=3,120+Inputs!$B$27+Inputs!$B$29,MAX(0,(Inputs!$B$3-100)*3)+Inputs!$B$28+Inputs!$B$29)))</f>
        <v/>
      </c>
      <c r="E1374">
        <f>INDEX(FactorTable!$B$2:$Y$301, MATCH(ROUND(MIN(300,MAX(1,D1374)),0), FactorTable!$A$2:$A$301,0), Skills!M13+1)</f>
        <v/>
      </c>
      <c r="F1374">
        <f>IF(Skills!N13=TRUE,(Skills!L13/10)*(E1374/1000),Skills!L13/10)+Skills!O13</f>
        <v/>
      </c>
      <c r="G1374">
        <f>Skills!G13*IF(Skills!H13&gt;0,Skills!I13/Skills!H13,1)</f>
        <v/>
      </c>
      <c r="H1374">
        <f>1-(1-Skills!J13/100)^Skills!K13</f>
        <v/>
      </c>
      <c r="I1374" t="inlineStr">
        <is>
          <t>1</t>
        </is>
      </c>
      <c r="J1374">
        <f>((Inputs!$B$6*(1+Inputs!$B$7/100))+(((Inputs!$B$12*(1+Inputs!$B$13/100))-(Inputs!$B$12*(1+Inputs!$B$13/100)))+0.25*(Inputs!$B$14-Inputs!$B$14))*(1+Inputs!$B$7/100))*(F1374/100)</f>
        <v/>
      </c>
      <c r="K1374">
        <f>J1374*(1+((Inputs!$B$12*(1+Inputs!$B$13/100))*0.01+Inputs!$B$14*0.0025)/100)*(1+Inputs!$B$15/100)*(1+Inputs!$B$16/100)*(5000/(6000+Inputs!$B$42*(1-(100*(1-(1-(Inputs!$B$19+0)/100)*(1-CHOOSE(ArtifactsInput!$N$40+1,5,6,7,8,9,10)/100)^(ArtifactsInput!$M$40-ArtifactsInput!$M$40)))/100)))*(1+(Inputs!$B$24+((C1387=TRUE)*(F1387-Calc!F26))+B1397)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1384=TRUE)*(F1384-Calc!F23))+((C1388=TRUE)*(F1388-Calc!F27))+(((IF(AND(ArtifactsInput!$M$42,((Inputs!$B$9+((C1380=TRUE)*(F1380-Calc!F19))+B1391+(ArtifactsInput!$M$24-ArtifactsInput!$M$24)*CHOOSE(ArtifactsInput!$N$24+1,10,12,14,16,18,20)+IF(IF(ArtifactsInput!$M$10,FALSE,TRUE),CHOOSE(ArtifactsInput!$N$10+1,15,18,21,24,27,30)*(IF(Inputs!$B$38="pvp",MIN(15,15)/15,IF(AND(Inputs!$B$38&lt;&gt;"pvp",Inputs!$B$43&gt;0),MIN(15,Inputs!$B$43)/(Inputs!$B$43),0))),0)))&gt;=100),MIN(100,((Inputs!$B$9+((C1380=TRUE)*(F1380-Calc!F19))+B1391+(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1380=TRUE)*(F1380-Calc!F19))+B1391+(ArtifactsInput!$M$24-ArtifactsInput!$M$24)*CHOOSE(ArtifactsInput!$N$24+1,10,12,14,16,18,20)+IF(IF(ArtifactsInput!$M$10,FALSE,TRUE),CHOOSE(ArtifactsInput!$N$10+1,15,18,21,24,27,30)*(IF(Inputs!$B$38="pvp",MIN(15,15)/15,IF(AND(Inputs!$B$38&lt;&gt;"pvp",Inputs!$B$43&gt;0),MIN(15,Inputs!$B$43)/(Inputs!$B$43),0))),0)))&gt;=100),CHOOSE(ArtifactsInput!$N$42+1,40,48,56,64,72,80),0))))/100)*((1+(((C1378=TRUE)*F1378)+((C1385=TRUE)*(F1385-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1374)</f>
        <v/>
      </c>
      <c r="L1374">
        <f>K1374*(MIN(Inputs!$B$22+((C1383=TRUE)*(F1383-Calc!F22)),(Inputs!$B$23+0+(IF(ArtifactsInput!$M$15,CHOOSE(ArtifactsInput!$N$15+1,25,30,35,40,45,50)/100*(Inputs!$B$11-Inputs!$B$11),0))))/100+(Inputs!$B$23+0+(IF(ArtifactsInput!$M$15,CHOOSE(ArtifactsInput!$N$15+1,25,30,35,40,45,50)/100*(Inputs!$B$11-Inputs!$B$11),0)))/100)/2</f>
        <v/>
      </c>
      <c r="M1374">
        <f>L1374*(1+(Inputs!$B$10+((C1386=TRUE)*(F1386-Calc!F25))+B1396+(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74">
        <f>L1374*(1-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1374*(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74">
        <f>(1-Summary!$B$11)*T1374+Summary!$B$11*V1374</f>
        <v/>
      </c>
      <c r="P1374">
        <f>IF(B1401=0,0,O1374/B1401)</f>
        <v/>
      </c>
      <c r="Q1374">
        <f>IFERROR(1/(IF(Inputs!$B$38="pvp",15,MAX(0.1,Skills!D13-IF(Skills!E13=TRUE,Inputs!$B$32,0)))*(1-IF(AND(ArtifactsInput!$M$27,Inputs!$B$4="Chapter Hunt"),CHOOSE(ArtifactsInput!$N$27+1,20,24,28,32,36,40),0)/100)),0)</f>
        <v/>
      </c>
      <c r="R1374">
        <f>IF(AND(Inputs!$B$38&lt;&gt;"pvp",Inputs!$B$43&gt;0),IF(MAX(0,Inputs!$B$43-B1398)&lt;=0,0,(INT(MAX(0,Inputs!$B$43-B1398)/(IF(Inputs!$B$38="pvp",15,MAX(0.1,Skills!D13-IF(Skills!E13=TRUE,Inputs!$B$32,0)))*(1-IF(AND(ArtifactsInput!$M$27,Inputs!$B$4="Chapter Hunt"),CHOOSE(ArtifactsInput!$N$27+1,20,24,28,32,36,40),0)/100)))+1)),0)</f>
        <v/>
      </c>
      <c r="S1374">
        <f>IFERROR(O1374/N1374,0)</f>
        <v/>
      </c>
      <c r="T1374">
        <f>IF(C1374,(H1374*N1374*IF(AND(Inputs!$B$38&lt;&gt;"pvp",Inputs!$B$43&gt;0),((Skills!G13*((R1374-1)*IF(Skills!H13&gt;0,Skills!I13/Skills!H13,1)+IF(Skills!H13&gt;0,MIN(Skills!I13,MAX(0,MAX(0,Inputs!$B$43-B1398)-((R1374-1)*(IF(Inputs!$B$38="pvp",15,MAX(0.1,Skills!D13-IF(Skills!E13=TRUE,Inputs!$B$32,0)))*(1-IF(AND(ArtifactsInput!$M$27,Inputs!$B$4="Chapter Hunt"),CHOOSE(ArtifactsInput!$N$27+1,20,24,28,32,36,40),0)/100)))))/Skills!H13,1)))/Inputs!$B$43),G1374*Q1374)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1374*(1-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1374*(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1374*(1-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1374*(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4">
        <f>IF(C1374,(H1374*N1374*IF(AND(Inputs!$B$38&lt;&gt;"pvp",Inputs!$B$43&gt;0),((Skills!G13*((R1374-1)*IF(Skills!H13&gt;0,Skills!I13/Skills!H13,1)+IF(Skills!H13&gt;0,MIN(Skills!I13,MAX(0,MAX(0,Inputs!$B$43-B1398)-((R1374-1)*(IF(Inputs!$B$38="pvp",15,MAX(0.1,Skills!D13-IF(Skills!E13=TRUE,Inputs!$B$32,0)))*(1-IF(AND(ArtifactsInput!$M$27,Inputs!$B$4="Chapter Hunt"),CHOOSE(ArtifactsInput!$N$27+1,20,24,28,32,36,40),0)/100)))))/Skills!H13,1)))/Inputs!$B$43),G1374*Q1374))*IF(Inputs!$B$38="pvp",1,(1+(Inputs!$B$21+Skills!Q13+(IF(ArtifactsInput!$M$33,CHOOSE(ArtifactsInput!$N$33+1,30,36,42,48,54,60)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5">
      <c r="A1375">
        <f>Skills!A14</f>
        <v/>
      </c>
      <c r="B1375">
        <f>Skills!B14</f>
        <v/>
      </c>
      <c r="C1375">
        <f>Inputs!$B$3&gt;=125</f>
        <v/>
      </c>
      <c r="D1375">
        <f>IF(Skills!C14=1,60+Inputs!$B$25+Inputs!$B$29,IF(Skills!C14=2,90+Inputs!$B$26+Inputs!$B$29,IF(Skills!C14=3,120+Inputs!$B$27+Inputs!$B$29,MAX(0,(Inputs!$B$3-100)*3)+Inputs!$B$28+Inputs!$B$29)))</f>
        <v/>
      </c>
      <c r="E1375">
        <f>INDEX(FactorTable!$B$2:$Y$301, MATCH(ROUND(MIN(300,MAX(1,D1375)),0), FactorTable!$A$2:$A$301,0), Skills!M14+1)</f>
        <v/>
      </c>
      <c r="F1375">
        <f>IF(Skills!N14=TRUE,(Skills!L14/10)*(E1375/1000),Skills!L14/10)+Skills!O14</f>
        <v/>
      </c>
      <c r="G1375">
        <f>Skills!G14*IF(Skills!H14&gt;0,Skills!I14/Skills!H14,1)</f>
        <v/>
      </c>
      <c r="H1375">
        <f>1-(1-Skills!J14/100)^Skills!K14</f>
        <v/>
      </c>
      <c r="I1375" t="inlineStr">
        <is>
          <t>1</t>
        </is>
      </c>
      <c r="J1375">
        <f>((Inputs!$B$6*(1+Inputs!$B$7/100))+(((Inputs!$B$12*(1+Inputs!$B$13/100))-(Inputs!$B$12*(1+Inputs!$B$13/100)))+0.25*(Inputs!$B$14-Inputs!$B$14))*(1+Inputs!$B$7/100))*(F1375/100)</f>
        <v/>
      </c>
      <c r="K1375">
        <f>J1375*(1+((Inputs!$B$12*(1+Inputs!$B$13/100))*0.01+Inputs!$B$14*0.0025)/100)*(1+Inputs!$B$15/100)*(1+Inputs!$B$16/100)*(5000/(6000+Inputs!$B$42*(1-(100*(1-(1-(Inputs!$B$19+0)/100)*(1-CHOOSE(ArtifactsInput!$N$40+1,5,6,7,8,9,10)/100)^(ArtifactsInput!$M$40-ArtifactsInput!$M$40)))/100)))*(1+(Inputs!$B$24+((C1387=TRUE)*(F1387-Calc!F26))+B1397)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1384=TRUE)*(F1384-Calc!F23))+((C1388=TRUE)*(F1388-Calc!F27))+(((IF(AND(ArtifactsInput!$M$42,((Inputs!$B$9+((C1380=TRUE)*(F1380-Calc!F19))+B1391+(ArtifactsInput!$M$24-ArtifactsInput!$M$24)*CHOOSE(ArtifactsInput!$N$24+1,10,12,14,16,18,20)+IF(IF(ArtifactsInput!$M$10,FALSE,TRUE),CHOOSE(ArtifactsInput!$N$10+1,15,18,21,24,27,30)*(IF(Inputs!$B$38="pvp",MIN(15,15)/15,IF(AND(Inputs!$B$38&lt;&gt;"pvp",Inputs!$B$43&gt;0),MIN(15,Inputs!$B$43)/(Inputs!$B$43),0))),0)))&gt;=100),MIN(100,((Inputs!$B$9+((C1380=TRUE)*(F1380-Calc!F19))+B1391+(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1380=TRUE)*(F1380-Calc!F19))+B1391+(ArtifactsInput!$M$24-ArtifactsInput!$M$24)*CHOOSE(ArtifactsInput!$N$24+1,10,12,14,16,18,20)+IF(IF(ArtifactsInput!$M$10,FALSE,TRUE),CHOOSE(ArtifactsInput!$N$10+1,15,18,21,24,27,30)*(IF(Inputs!$B$38="pvp",MIN(15,15)/15,IF(AND(Inputs!$B$38&lt;&gt;"pvp",Inputs!$B$43&gt;0),MIN(15,Inputs!$B$43)/(Inputs!$B$43),0))),0)))&gt;=100),CHOOSE(ArtifactsInput!$N$42+1,40,48,56,64,72,80),0))))/100)*((1+(((C1378=TRUE)*F1378)+((C1385=TRUE)*(F1385-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1375)</f>
        <v/>
      </c>
      <c r="L1375">
        <f>K1375*(MIN(Inputs!$B$22+((C1383=TRUE)*(F1383-Calc!F22)),(Inputs!$B$23+0+(IF(ArtifactsInput!$M$15,CHOOSE(ArtifactsInput!$N$15+1,25,30,35,40,45,50)/100*(Inputs!$B$11-Inputs!$B$11),0))))/100+(Inputs!$B$23+0+(IF(ArtifactsInput!$M$15,CHOOSE(ArtifactsInput!$N$15+1,25,30,35,40,45,50)/100*(Inputs!$B$11-Inputs!$B$11),0)))/100)/2</f>
        <v/>
      </c>
      <c r="M1375">
        <f>L1375*(1+(Inputs!$B$10+((C1386=TRUE)*(F1386-Calc!F25))+B1396+(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75">
        <f>L1375*(1-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1375*(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75">
        <f>(1-Summary!$B$11)*T1375+Summary!$B$11*V1375</f>
        <v/>
      </c>
      <c r="P1375">
        <f>IF(B1401=0,0,O1375/B1401)</f>
        <v/>
      </c>
      <c r="Q1375" t="n">
        <v>0</v>
      </c>
      <c r="R1375" t="n">
        <v>0</v>
      </c>
      <c r="S1375">
        <f>IFERROR(O1375/N1375,0)</f>
        <v/>
      </c>
      <c r="T1375">
        <f>IF(C1375,(H1375*N1375*(B1395+IF(AND(Inputs!$B$38&lt;&gt;"pvp",Inputs!$B$43&gt;0),((Skills!G8*((R1369-1)*IF(Skills!H8&gt;0,Skills!I8/Skills!H8,1)+IF(Skills!H8&gt;0,MIN(Skills!I8,MAX(0,MAX(0,Inputs!$B$43-B1398)-((R1369-1)*(IF(Inputs!$B$38="pvp",15,MAX(0.1,Skills!D8-IF(Skills!E8=TRUE,Inputs!$B$32,0)))*(1-IF(AND(ArtifactsInput!$M$27,Inputs!$B$4="Chapter Hunt"),CHOOSE(ArtifactsInput!$N$27+1,20,24,28,32,36,40),0)/100)))))/Skills!H8,1)))/Inputs!$B$43),G1369*Q1369)+IF(AND(Inputs!$B$38&lt;&gt;"pvp",Inputs!$B$43&gt;0),((Skills!G11*((R1372-1)*IF(Skills!H11&gt;0,Skills!I11/Skills!H11,1)+IF(Skills!H11&gt;0,MIN(Skills!I11,MAX(0,MAX(0,Inputs!$B$43-B1398)-((R1372-1)*(IF(Inputs!$B$38="pvp",15,MAX(0.1,Skills!D11-IF(Skills!E11=TRUE,Inputs!$B$32,0)))*(1-IF(AND(ArtifactsInput!$M$27,Inputs!$B$4="Chapter Hunt"),CHOOSE(ArtifactsInput!$N$27+1,20,24,28,32,36,40),0)/100)))))/Skills!H11,1)))/Inputs!$B$43),G1372*Q1372)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1375*(1-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1375*(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1375*(1-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1375*(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5">
        <f>IF(C1375,(H1375*N1375*(B1395+IF(AND(Inputs!$B$38&lt;&gt;"pvp",Inputs!$B$43&gt;0),((Skills!G8*((R1369-1)*IF(Skills!H8&gt;0,Skills!I8/Skills!H8,1)+IF(Skills!H8&gt;0,MIN(Skills!I8,MAX(0,MAX(0,Inputs!$B$43-B1398)-((R1369-1)*(IF(Inputs!$B$38="pvp",15,MAX(0.1,Skills!D8-IF(Skills!E8=TRUE,Inputs!$B$32,0)))*(1-IF(AND(ArtifactsInput!$M$27,Inputs!$B$4="Chapter Hunt"),CHOOSE(ArtifactsInput!$N$27+1,20,24,28,32,36,40),0)/100)))))/Skills!H8,1)))/Inputs!$B$43),G1369*Q1369)+IF(AND(Inputs!$B$38&lt;&gt;"pvp",Inputs!$B$43&gt;0),((Skills!G11*((R1372-1)*IF(Skills!H11&gt;0,Skills!I11/Skills!H11,1)+IF(Skills!H11&gt;0,MIN(Skills!I11,MAX(0,MAX(0,Inputs!$B$43-B1398)-((R1372-1)*(IF(Inputs!$B$38="pvp",15,MAX(0.1,Skills!D11-IF(Skills!E11=TRUE,Inputs!$B$32,0)))*(1-IF(AND(ArtifactsInput!$M$27,Inputs!$B$4="Chapter Hunt"),CHOOSE(ArtifactsInput!$N$27+1,20,24,28,32,36,40),0)/100)))))/Skills!H11,1)))/Inputs!$B$43),G1372*Q1372)))*IF(Inputs!$B$38="pvp",1,(1+(Inputs!$B$21+Skills!Q14+(IF(ArtifactsInput!$M$33,CHOOSE(ArtifactsInput!$N$33+1,30,36,42,48,54,60)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6">
      <c r="A1376">
        <f>Skills!A15</f>
        <v/>
      </c>
      <c r="B1376">
        <f>Skills!B15</f>
        <v/>
      </c>
      <c r="C1376">
        <f>Inputs!$B$3&gt;=100</f>
        <v/>
      </c>
      <c r="D1376">
        <f>IF(Skills!C15=1,60+Inputs!$B$25+Inputs!$B$29,IF(Skills!C15=2,90+Inputs!$B$26+Inputs!$B$29,IF(Skills!C15=3,120+Inputs!$B$27+Inputs!$B$29,MAX(0,(Inputs!$B$3-100)*3)+Inputs!$B$28+Inputs!$B$29)))</f>
        <v/>
      </c>
      <c r="E1376">
        <f>INDEX(FactorTable!$B$2:$Y$301, MATCH(ROUND(MIN(300,MAX(1,D1376)),0), FactorTable!$A$2:$A$301,0), Skills!M15+1)</f>
        <v/>
      </c>
      <c r="F1376">
        <f>IF(Skills!N15=TRUE,(Skills!L15/10)*(E1376/1000),Skills!L15/10)+Skills!O15</f>
        <v/>
      </c>
      <c r="G1376" t="inlineStr"/>
      <c r="H1376" t="inlineStr"/>
      <c r="I1376" t="inlineStr">
        <is>
          <t>1</t>
        </is>
      </c>
      <c r="J1376" t="inlineStr"/>
      <c r="K1376" t="inlineStr"/>
      <c r="L1376" t="inlineStr"/>
      <c r="M1376" t="inlineStr"/>
      <c r="N1376" t="inlineStr"/>
      <c r="O1376" t="inlineStr"/>
      <c r="P1376" t="inlineStr"/>
      <c r="Q1376" t="inlineStr"/>
      <c r="R1376" t="inlineStr"/>
      <c r="S1376" t="inlineStr"/>
    </row>
    <row r="1377">
      <c r="A1377">
        <f>Skills!A16</f>
        <v/>
      </c>
      <c r="B1377">
        <f>Skills!B16</f>
        <v/>
      </c>
      <c r="C1377">
        <f>Inputs!$B$3&gt;=120</f>
        <v/>
      </c>
      <c r="D1377">
        <f>IF(Skills!C16=1,60+Inputs!$B$25+Inputs!$B$29,IF(Skills!C16=2,90+Inputs!$B$26+Inputs!$B$29,IF(Skills!C16=3,120+Inputs!$B$27+Inputs!$B$29,MAX(0,(Inputs!$B$3-100)*3)+Inputs!$B$28+Inputs!$B$29)))</f>
        <v/>
      </c>
      <c r="E1377">
        <f>INDEX(FactorTable!$B$2:$Y$301, MATCH(ROUND(MIN(300,MAX(1,D1377)),0), FactorTable!$A$2:$A$301,0), Skills!M16+1)</f>
        <v/>
      </c>
      <c r="F1377">
        <f>IF(Skills!N16=TRUE,(Skills!L16/10)*(E1377/1000),Skills!L16/10)+Skills!O16</f>
        <v/>
      </c>
      <c r="G1377" t="inlineStr"/>
      <c r="H1377" t="inlineStr"/>
      <c r="I1377" t="inlineStr">
        <is>
          <t>1</t>
        </is>
      </c>
      <c r="J1377" t="inlineStr"/>
      <c r="K1377" t="inlineStr"/>
      <c r="L1377" t="inlineStr"/>
      <c r="M1377" t="inlineStr"/>
      <c r="N1377" t="inlineStr"/>
      <c r="O1377" t="inlineStr"/>
      <c r="P1377" t="inlineStr"/>
      <c r="Q1377" t="inlineStr"/>
      <c r="R1377" t="inlineStr"/>
      <c r="S1377" t="inlineStr"/>
    </row>
    <row r="1378">
      <c r="A1378">
        <f>Skills!A17</f>
        <v/>
      </c>
      <c r="B1378">
        <f>Skills!B17</f>
        <v/>
      </c>
      <c r="C1378">
        <f>Inputs!$B$3&gt;=66</f>
        <v/>
      </c>
      <c r="D1378">
        <f>IF(Skills!C17=1,60+Inputs!$B$25+Inputs!$B$29,IF(Skills!C17=2,90+Inputs!$B$26+Inputs!$B$29,IF(Skills!C17=3,120+Inputs!$B$27+Inputs!$B$29,MAX(0,(Inputs!$B$3-100)*3)+Inputs!$B$28+Inputs!$B$29)))</f>
        <v/>
      </c>
      <c r="E1378">
        <f>INDEX(FactorTable!$B$2:$Y$301, MATCH(ROUND(MIN(300,MAX(1,D1378)),0), FactorTable!$A$2:$A$301,0), Skills!M17+1)</f>
        <v/>
      </c>
      <c r="F1378">
        <f>IF(Skills!N17=TRUE,(Skills!L17/10)*(E1378/1000),Skills!L17/10)+Skills!O17</f>
        <v/>
      </c>
      <c r="G1378">
        <f>Skills!G17*IF(Skills!H17&gt;0,Skills!I17/Skills!H17,1)</f>
        <v/>
      </c>
      <c r="H1378">
        <f>1-(1-Skills!J17/100)^Skills!K17</f>
        <v/>
      </c>
      <c r="I1378" t="inlineStr">
        <is>
          <t>1</t>
        </is>
      </c>
      <c r="J1378" t="inlineStr"/>
      <c r="K1378" t="inlineStr"/>
      <c r="L1378" t="inlineStr"/>
      <c r="M1378" t="inlineStr"/>
      <c r="N1378" t="inlineStr"/>
      <c r="O1378">
        <f>(1-Summary!$B$11)*T1378+Summary!$B$11*V1378</f>
        <v/>
      </c>
      <c r="P1378">
        <f>IF(B1401=0,0,O1378/B1401)</f>
        <v/>
      </c>
      <c r="Q1378" t="n">
        <v>0</v>
      </c>
      <c r="R1378" t="n">
        <v>0</v>
      </c>
      <c r="S1378">
        <f>IFERROR(O1378/N1378,0)</f>
        <v/>
      </c>
      <c r="T1378" t="n">
        <v>0</v>
      </c>
      <c r="V1378" t="n">
        <v>0</v>
      </c>
    </row>
    <row r="1379">
      <c r="A1379">
        <f>Skills!A18</f>
        <v/>
      </c>
      <c r="B1379">
        <f>Skills!B18</f>
        <v/>
      </c>
      <c r="C1379">
        <f>Inputs!$B$3&gt;=115</f>
        <v/>
      </c>
      <c r="D1379">
        <f>IF(Skills!C18=1,60+Inputs!$B$25+Inputs!$B$29,IF(Skills!C18=2,90+Inputs!$B$26+Inputs!$B$29,IF(Skills!C18=3,120+Inputs!$B$27+Inputs!$B$29,MAX(0,(Inputs!$B$3-100)*3)+Inputs!$B$28+Inputs!$B$29)))</f>
        <v/>
      </c>
      <c r="E1379">
        <f>INDEX(FactorTable!$B$2:$Y$301, MATCH(ROUND(MIN(300,MAX(1,D1379)),0), FactorTable!$A$2:$A$301,0), Skills!M18+1)</f>
        <v/>
      </c>
      <c r="F1379">
        <f>IF(Skills!N18=TRUE,(Skills!L18/10)*(E1379/1000),Skills!L18/10)+Skills!O18</f>
        <v/>
      </c>
      <c r="G1379">
        <f>Skills!G18*IF(Skills!H18&gt;0,Skills!I18/Skills!H18,1)</f>
        <v/>
      </c>
      <c r="H1379">
        <f>1-(1-Skills!J18/100)^Skills!K18</f>
        <v/>
      </c>
      <c r="I1379" t="inlineStr">
        <is>
          <t>1</t>
        </is>
      </c>
      <c r="J1379" t="inlineStr"/>
      <c r="K1379" t="inlineStr"/>
      <c r="L1379" t="inlineStr"/>
      <c r="M1379" t="inlineStr"/>
      <c r="N1379" t="inlineStr"/>
      <c r="O1379">
        <f>(1-Summary!$B$11)*T1379+Summary!$B$11*V1379</f>
        <v/>
      </c>
      <c r="P1379">
        <f>IF(B1401=0,0,O1379/B1401)</f>
        <v/>
      </c>
      <c r="Q1379" t="n">
        <v>0</v>
      </c>
      <c r="R1379" t="n">
        <v>0</v>
      </c>
      <c r="S1379">
        <f>IFERROR(O1379/N1379,0)</f>
        <v/>
      </c>
      <c r="T1379" t="n">
        <v>0</v>
      </c>
      <c r="V1379" t="n">
        <v>0</v>
      </c>
    </row>
    <row r="1380">
      <c r="A1380">
        <f>Skills!A19</f>
        <v/>
      </c>
      <c r="B1380">
        <f>Skills!B19</f>
        <v/>
      </c>
      <c r="C1380">
        <f>Inputs!$B$3&gt;=15</f>
        <v/>
      </c>
      <c r="D1380">
        <f>IF(Skills!C19=1,60+Inputs!$B$25+Inputs!$B$29,IF(Skills!C19=2,90+Inputs!$B$26+Inputs!$B$29,IF(Skills!C19=3,120+Inputs!$B$27+Inputs!$B$29,MAX(0,(Inputs!$B$3-100)*3)+Inputs!$B$28+Inputs!$B$29)))</f>
        <v/>
      </c>
      <c r="E1380">
        <f>INDEX(FactorTable!$B$2:$Y$301, MATCH(ROUND(MIN(300,MAX(1,D1380)),0), FactorTable!$A$2:$A$301,0), Skills!M19+1)</f>
        <v/>
      </c>
      <c r="F1380">
        <f>IF(Skills!N19=TRUE,(Skills!L19/10)*(E1380/1000),Skills!L19/10)+Skills!O19</f>
        <v/>
      </c>
      <c r="G1380">
        <f>Skills!G19*IF(Skills!H19&gt;0,Skills!I19/Skills!H19,1)</f>
        <v/>
      </c>
      <c r="H1380">
        <f>1-(1-Skills!J19/100)^Skills!K19</f>
        <v/>
      </c>
      <c r="I1380" t="inlineStr">
        <is>
          <t>1</t>
        </is>
      </c>
      <c r="J1380" t="inlineStr"/>
      <c r="K1380" t="inlineStr"/>
      <c r="L1380" t="inlineStr"/>
      <c r="M1380" t="inlineStr"/>
      <c r="N1380" t="inlineStr"/>
      <c r="O1380">
        <f>(1-Summary!$B$11)*T1380+Summary!$B$11*V1380</f>
        <v/>
      </c>
      <c r="P1380">
        <f>IF(B1401=0,0,O1380/B1401)</f>
        <v/>
      </c>
      <c r="Q1380" t="n">
        <v>0</v>
      </c>
      <c r="R1380" t="n">
        <v>0</v>
      </c>
      <c r="S1380">
        <f>IFERROR(O1380/N1380,0)</f>
        <v/>
      </c>
      <c r="T1380" t="n">
        <v>0</v>
      </c>
      <c r="V1380" t="n">
        <v>0</v>
      </c>
    </row>
    <row r="1381">
      <c r="A1381">
        <f>Skills!A20</f>
        <v/>
      </c>
      <c r="B1381">
        <f>Skills!B20</f>
        <v/>
      </c>
      <c r="C1381">
        <f>Inputs!$B$3&gt;=10</f>
        <v/>
      </c>
      <c r="D1381">
        <f>IF(Skills!C20=1,60+Inputs!$B$25+Inputs!$B$29,IF(Skills!C20=2,90+Inputs!$B$26+Inputs!$B$29,IF(Skills!C20=3,120+Inputs!$B$27+Inputs!$B$29,MAX(0,(Inputs!$B$3-100)*3)+Inputs!$B$28+Inputs!$B$29)))</f>
        <v/>
      </c>
      <c r="E1381">
        <f>INDEX(FactorTable!$B$2:$Y$301, MATCH(ROUND(MIN(300,MAX(1,D1381)),0), FactorTable!$A$2:$A$301,0), Skills!M20+1)</f>
        <v/>
      </c>
      <c r="F1381">
        <f>IF(Skills!N20=TRUE,(Skills!L20/10)*(E1381/1000),Skills!L20/10)+Skills!O20</f>
        <v/>
      </c>
      <c r="G1381">
        <f>Skills!G20*IF(Skills!H20&gt;0,Skills!I20/Skills!H20,1)</f>
        <v/>
      </c>
      <c r="H1381">
        <f>1-(1-Skills!J20/100)^Skills!K20</f>
        <v/>
      </c>
      <c r="I1381" t="inlineStr">
        <is>
          <t>1</t>
        </is>
      </c>
      <c r="J1381" t="inlineStr"/>
      <c r="K1381" t="inlineStr"/>
      <c r="L1381" t="inlineStr"/>
      <c r="M1381" t="inlineStr"/>
      <c r="N1381" t="inlineStr"/>
      <c r="O1381">
        <f>(1-Summary!$B$11)*T1381+Summary!$B$11*V1381</f>
        <v/>
      </c>
      <c r="P1381">
        <f>IF(B1401=0,0,O1381/B1401)</f>
        <v/>
      </c>
      <c r="Q1381" t="n">
        <v>0</v>
      </c>
      <c r="R1381" t="n">
        <v>0</v>
      </c>
      <c r="S1381">
        <f>IFERROR(O1381/N1381,0)</f>
        <v/>
      </c>
      <c r="T1381" t="n">
        <v>0</v>
      </c>
      <c r="V1381" t="n">
        <v>0</v>
      </c>
    </row>
    <row r="1382">
      <c r="A1382">
        <f>Skills!A21</f>
        <v/>
      </c>
      <c r="B1382">
        <f>Skills!B21</f>
        <v/>
      </c>
      <c r="C1382">
        <f>Inputs!$B$3&gt;=33</f>
        <v/>
      </c>
      <c r="D1382">
        <f>IF(Skills!C21=1,60+Inputs!$B$25+Inputs!$B$29,IF(Skills!C21=2,90+Inputs!$B$26+Inputs!$B$29,IF(Skills!C21=3,120+Inputs!$B$27+Inputs!$B$29,MAX(0,(Inputs!$B$3-100)*3)+Inputs!$B$28+Inputs!$B$29)))</f>
        <v/>
      </c>
      <c r="E1382">
        <f>INDEX(FactorTable!$B$2:$Y$301, MATCH(ROUND(MIN(300,MAX(1,D1382)),0), FactorTable!$A$2:$A$301,0), Skills!M21+1)</f>
        <v/>
      </c>
      <c r="F1382">
        <f>IF(Skills!N21=TRUE,(Skills!L21/10)*(E1382/1000),Skills!L21/10)+Skills!O21</f>
        <v/>
      </c>
      <c r="G1382">
        <f>Skills!G21*IF(Skills!H21&gt;0,Skills!I21/Skills!H21,1)</f>
        <v/>
      </c>
      <c r="H1382">
        <f>1-(1-Skills!J21/100)^Skills!K21</f>
        <v/>
      </c>
      <c r="I1382" t="inlineStr">
        <is>
          <t>1</t>
        </is>
      </c>
      <c r="J1382" t="inlineStr"/>
      <c r="K1382" t="inlineStr"/>
      <c r="L1382" t="inlineStr"/>
      <c r="M1382" t="inlineStr"/>
      <c r="N1382" t="inlineStr"/>
      <c r="O1382">
        <f>(1-Summary!$B$11)*T1382+Summary!$B$11*V1382</f>
        <v/>
      </c>
      <c r="P1382">
        <f>IF(B1401=0,0,O1382/B1401)</f>
        <v/>
      </c>
      <c r="Q1382" t="n">
        <v>0</v>
      </c>
      <c r="R1382" t="n">
        <v>0</v>
      </c>
      <c r="S1382">
        <f>IFERROR(O1382/N1382,0)</f>
        <v/>
      </c>
      <c r="T1382" t="n">
        <v>0</v>
      </c>
      <c r="V1382" t="n">
        <v>0</v>
      </c>
    </row>
    <row r="1383">
      <c r="A1383">
        <f>Skills!A22</f>
        <v/>
      </c>
      <c r="B1383">
        <f>Skills!B22</f>
        <v/>
      </c>
      <c r="C1383">
        <f>Inputs!$B$3&gt;=43</f>
        <v/>
      </c>
      <c r="D1383">
        <f>IF(Skills!C22=1,60+Inputs!$B$25+Inputs!$B$29,IF(Skills!C22=2,90+Inputs!$B$26+Inputs!$B$29,IF(Skills!C22=3,120+Inputs!$B$27+Inputs!$B$29,MAX(0,(Inputs!$B$3-100)*3)+Inputs!$B$28+Inputs!$B$29)))</f>
        <v/>
      </c>
      <c r="E1383">
        <f>INDEX(FactorTable!$B$2:$Y$301, MATCH(ROUND(MIN(300,MAX(1,D1383)),0), FactorTable!$A$2:$A$301,0), Skills!M22+1)</f>
        <v/>
      </c>
      <c r="F1383">
        <f>IF(Skills!N22=TRUE,(Skills!L22/10)*(E1383/1000),Skills!L22/10)+Skills!O22</f>
        <v/>
      </c>
      <c r="G1383">
        <f>Skills!G22*IF(Skills!H22&gt;0,Skills!I22/Skills!H22,1)</f>
        <v/>
      </c>
      <c r="H1383">
        <f>1-(1-Skills!J22/100)^Skills!K22</f>
        <v/>
      </c>
      <c r="I1383" t="inlineStr">
        <is>
          <t>1</t>
        </is>
      </c>
      <c r="J1383" t="inlineStr"/>
      <c r="K1383" t="inlineStr"/>
      <c r="L1383" t="inlineStr"/>
      <c r="M1383" t="inlineStr"/>
      <c r="N1383" t="inlineStr"/>
      <c r="O1383">
        <f>(1-Summary!$B$11)*T1383+Summary!$B$11*V1383</f>
        <v/>
      </c>
      <c r="P1383">
        <f>IF(B1401=0,0,O1383/B1401)</f>
        <v/>
      </c>
      <c r="Q1383" t="n">
        <v>0</v>
      </c>
      <c r="R1383" t="n">
        <v>0</v>
      </c>
      <c r="S1383">
        <f>IFERROR(O1383/N1383,0)</f>
        <v/>
      </c>
      <c r="T1383" t="n">
        <v>0</v>
      </c>
      <c r="V1383" t="n">
        <v>0</v>
      </c>
    </row>
    <row r="1384">
      <c r="A1384">
        <f>Skills!A23</f>
        <v/>
      </c>
      <c r="B1384">
        <f>Skills!B23</f>
        <v/>
      </c>
      <c r="C1384">
        <f>Inputs!$B$3&gt;=38</f>
        <v/>
      </c>
      <c r="D1384">
        <f>IF(Skills!C23=1,60+Inputs!$B$25+Inputs!$B$29,IF(Skills!C23=2,90+Inputs!$B$26+Inputs!$B$29,IF(Skills!C23=3,120+Inputs!$B$27+Inputs!$B$29,MAX(0,(Inputs!$B$3-100)*3)+Inputs!$B$28+Inputs!$B$29)))</f>
        <v/>
      </c>
      <c r="E1384">
        <f>INDEX(FactorTable!$B$2:$Y$301, MATCH(ROUND(MIN(300,MAX(1,D1384)),0), FactorTable!$A$2:$A$301,0), Skills!M23+1)</f>
        <v/>
      </c>
      <c r="F1384">
        <f>IF(Skills!N23=TRUE,(Skills!L23/10)*(E1384/1000),Skills!L23/10)+Skills!O23</f>
        <v/>
      </c>
      <c r="G1384">
        <f>Skills!G23*IF(Skills!H23&gt;0,Skills!I23/Skills!H23,1)</f>
        <v/>
      </c>
      <c r="H1384">
        <f>1-(1-Skills!J23/100)^Skills!K23</f>
        <v/>
      </c>
      <c r="I1384" t="inlineStr">
        <is>
          <t>1</t>
        </is>
      </c>
      <c r="J1384" t="inlineStr"/>
      <c r="K1384" t="inlineStr"/>
      <c r="L1384" t="inlineStr"/>
      <c r="M1384" t="inlineStr"/>
      <c r="N1384" t="inlineStr"/>
      <c r="O1384">
        <f>(1-Summary!$B$11)*T1384+Summary!$B$11*V1384</f>
        <v/>
      </c>
      <c r="P1384">
        <f>IF(B1401=0,0,O1384/B1401)</f>
        <v/>
      </c>
      <c r="Q1384" t="n">
        <v>0</v>
      </c>
      <c r="R1384" t="n">
        <v>0</v>
      </c>
      <c r="S1384">
        <f>IFERROR(O1384/N1384,0)</f>
        <v/>
      </c>
      <c r="T1384" t="n">
        <v>0</v>
      </c>
      <c r="V1384" t="n">
        <v>0</v>
      </c>
    </row>
    <row r="1385">
      <c r="A1385">
        <f>Skills!A24</f>
        <v/>
      </c>
      <c r="B1385">
        <f>Skills!B24</f>
        <v/>
      </c>
      <c r="C1385">
        <f>Inputs!$B$3&gt;=40</f>
        <v/>
      </c>
      <c r="D1385">
        <f>IF(Skills!C24=1,60+Inputs!$B$25+Inputs!$B$29,IF(Skills!C24=2,90+Inputs!$B$26+Inputs!$B$29,IF(Skills!C24=3,120+Inputs!$B$27+Inputs!$B$29,MAX(0,(Inputs!$B$3-100)*3)+Inputs!$B$28+Inputs!$B$29)))</f>
        <v/>
      </c>
      <c r="E1385">
        <f>INDEX(FactorTable!$B$2:$Y$301, MATCH(ROUND(MIN(300,MAX(1,D1385)),0), FactorTable!$A$2:$A$301,0), Skills!M24+1)</f>
        <v/>
      </c>
      <c r="F1385">
        <f>IF(Skills!N24=TRUE,(Skills!L24/10)*(E1385/1000),Skills!L24/10)+Skills!O24</f>
        <v/>
      </c>
      <c r="G1385">
        <f>Skills!G24*IF(Skills!H24&gt;0,Skills!I24/Skills!H24,1)</f>
        <v/>
      </c>
      <c r="H1385">
        <f>1-(1-Skills!J24/100)^Skills!K24</f>
        <v/>
      </c>
      <c r="I1385" t="inlineStr">
        <is>
          <t>1</t>
        </is>
      </c>
      <c r="J1385" t="inlineStr"/>
      <c r="K1385" t="inlineStr"/>
      <c r="L1385" t="inlineStr"/>
      <c r="M1385" t="inlineStr"/>
      <c r="N1385" t="inlineStr"/>
      <c r="O1385">
        <f>(1-Summary!$B$11)*T1385+Summary!$B$11*V1385</f>
        <v/>
      </c>
      <c r="P1385">
        <f>IF(B1401=0,0,O1385/B1401)</f>
        <v/>
      </c>
      <c r="Q1385" t="n">
        <v>0</v>
      </c>
      <c r="R1385" t="n">
        <v>0</v>
      </c>
      <c r="S1385">
        <f>IFERROR(O1385/N1385,0)</f>
        <v/>
      </c>
      <c r="T1385" t="n">
        <v>0</v>
      </c>
      <c r="V1385" t="n">
        <v>0</v>
      </c>
    </row>
    <row r="1386">
      <c r="A1386">
        <f>Skills!A25</f>
        <v/>
      </c>
      <c r="B1386">
        <f>Skills!B25</f>
        <v/>
      </c>
      <c r="C1386">
        <f>Inputs!$B$3&gt;=72</f>
        <v/>
      </c>
      <c r="D1386">
        <f>IF(Skills!C25=1,60+Inputs!$B$25+Inputs!$B$29,IF(Skills!C25=2,90+Inputs!$B$26+Inputs!$B$29,IF(Skills!C25=3,120+Inputs!$B$27+Inputs!$B$29,MAX(0,(Inputs!$B$3-100)*3)+Inputs!$B$28+Inputs!$B$29)))</f>
        <v/>
      </c>
      <c r="E1386">
        <f>INDEX(FactorTable!$B$2:$Y$301, MATCH(ROUND(MIN(300,MAX(1,D1386)),0), FactorTable!$A$2:$A$301,0), Skills!M25+1)</f>
        <v/>
      </c>
      <c r="F1386">
        <f>IF(Skills!N25=TRUE,(Skills!L25/10)*(E1386/1000),Skills!L25/10)+Skills!O25</f>
        <v/>
      </c>
      <c r="G1386">
        <f>Skills!G25*IF(Skills!H25&gt;0,Skills!I25/Skills!H25,1)</f>
        <v/>
      </c>
      <c r="H1386">
        <f>1-(1-Skills!J25/100)^Skills!K25</f>
        <v/>
      </c>
      <c r="I1386" t="inlineStr">
        <is>
          <t>1</t>
        </is>
      </c>
      <c r="J1386" t="inlineStr"/>
      <c r="K1386" t="inlineStr"/>
      <c r="L1386" t="inlineStr"/>
      <c r="M1386" t="inlineStr"/>
      <c r="N1386" t="inlineStr"/>
      <c r="O1386">
        <f>(1-Summary!$B$11)*T1386+Summary!$B$11*V1386</f>
        <v/>
      </c>
      <c r="P1386">
        <f>IF(B1401=0,0,O1386/B1401)</f>
        <v/>
      </c>
      <c r="Q1386" t="n">
        <v>0</v>
      </c>
      <c r="R1386" t="n">
        <v>0</v>
      </c>
      <c r="S1386">
        <f>IFERROR(O1386/N1386,0)</f>
        <v/>
      </c>
      <c r="T1386" t="n">
        <v>0</v>
      </c>
      <c r="V1386" t="n">
        <v>0</v>
      </c>
    </row>
    <row r="1387">
      <c r="A1387">
        <f>Skills!A26</f>
        <v/>
      </c>
      <c r="B1387">
        <f>Skills!B26</f>
        <v/>
      </c>
      <c r="C1387">
        <f>Inputs!$B$3&gt;=75</f>
        <v/>
      </c>
      <c r="D1387">
        <f>IF(Skills!C26=1,60+Inputs!$B$25+Inputs!$B$29,IF(Skills!C26=2,90+Inputs!$B$26+Inputs!$B$29,IF(Skills!C26=3,120+Inputs!$B$27+Inputs!$B$29,MAX(0,(Inputs!$B$3-100)*3)+Inputs!$B$28+Inputs!$B$29)))</f>
        <v/>
      </c>
      <c r="E1387">
        <f>INDEX(FactorTable!$B$2:$Y$301, MATCH(ROUND(MIN(300,MAX(1,D1387)),0), FactorTable!$A$2:$A$301,0), Skills!M26+1)</f>
        <v/>
      </c>
      <c r="F1387">
        <f>IF(Skills!N26=TRUE,(Skills!L26/10)*(E1387/1000),Skills!L26/10)+Skills!O26</f>
        <v/>
      </c>
      <c r="G1387">
        <f>Skills!G26*IF(Skills!H26&gt;0,Skills!I26/Skills!H26,1)</f>
        <v/>
      </c>
      <c r="H1387">
        <f>1-(1-Skills!J26/100)^Skills!K26</f>
        <v/>
      </c>
      <c r="I1387" t="inlineStr">
        <is>
          <t>1</t>
        </is>
      </c>
      <c r="J1387" t="inlineStr"/>
      <c r="K1387" t="inlineStr"/>
      <c r="L1387" t="inlineStr"/>
      <c r="M1387" t="inlineStr"/>
      <c r="N1387" t="inlineStr"/>
      <c r="O1387">
        <f>(1-Summary!$B$11)*T1387+Summary!$B$11*V1387</f>
        <v/>
      </c>
      <c r="P1387">
        <f>IF(B1401=0,0,O1387/B1401)</f>
        <v/>
      </c>
      <c r="Q1387" t="n">
        <v>0</v>
      </c>
      <c r="R1387" t="n">
        <v>0</v>
      </c>
      <c r="S1387">
        <f>IFERROR(O1387/N1387,0)</f>
        <v/>
      </c>
      <c r="T1387" t="n">
        <v>0</v>
      </c>
      <c r="V1387" t="n">
        <v>0</v>
      </c>
    </row>
    <row r="1388">
      <c r="A1388">
        <f>Skills!A27</f>
        <v/>
      </c>
      <c r="B1388">
        <f>Skills!B27</f>
        <v/>
      </c>
      <c r="C1388">
        <f>Inputs!$B$3&gt;=117</f>
        <v/>
      </c>
      <c r="D1388">
        <f>IF(Skills!C27=1,60+Inputs!$B$25+Inputs!$B$29,IF(Skills!C27=2,90+Inputs!$B$26+Inputs!$B$29,IF(Skills!C27=3,120+Inputs!$B$27+Inputs!$B$29,MAX(0,(Inputs!$B$3-100)*3)+Inputs!$B$28+Inputs!$B$29)))</f>
        <v/>
      </c>
      <c r="E1388">
        <f>INDEX(FactorTable!$B$2:$Y$301, MATCH(ROUND(MIN(300,MAX(1,D1388)),0), FactorTable!$A$2:$A$301,0), Skills!M27+1)</f>
        <v/>
      </c>
      <c r="F1388">
        <f>IF(Skills!N27=TRUE,(Skills!L27/10)*(E1388/1000),Skills!L27/10)+Skills!O27</f>
        <v/>
      </c>
      <c r="G1388">
        <f>Skills!G27*IF(Skills!H27&gt;0,Skills!I27/Skills!H27,1)</f>
        <v/>
      </c>
      <c r="H1388">
        <f>1-(1-Skills!J27/100)^Skills!K27</f>
        <v/>
      </c>
      <c r="I1388" t="inlineStr">
        <is>
          <t>1</t>
        </is>
      </c>
      <c r="J1388" t="inlineStr"/>
      <c r="K1388" t="inlineStr"/>
      <c r="L1388" t="inlineStr"/>
      <c r="M1388" t="inlineStr"/>
      <c r="N1388" t="inlineStr"/>
      <c r="O1388">
        <f>(1-Summary!$B$11)*T1388+Summary!$B$11*V1388</f>
        <v/>
      </c>
      <c r="P1388">
        <f>IF(B1401=0,0,O1388/B1401)</f>
        <v/>
      </c>
      <c r="Q1388" t="n">
        <v>0</v>
      </c>
      <c r="R1388" t="n">
        <v>0</v>
      </c>
      <c r="S1388">
        <f>IFERROR(O1388/N1388,0)</f>
        <v/>
      </c>
      <c r="T1388" t="n">
        <v>0</v>
      </c>
      <c r="V1388" t="n">
        <v>0</v>
      </c>
    </row>
    <row r="1390">
      <c r="A1390" t="inlineStr">
        <is>
          <t>Attack% Bucket Multiplier</t>
        </is>
      </c>
      <c r="B1390">
        <f>(1+(((C1378=TRUE)*F1378)+((C1385=TRUE)*(F1385-Calc!F24))+(IF(ArtifactsInput!$M$21,CHOOSE(ArtifactsInput!$N$21+1,25,30,35,40,45,50)*(IF(OR(Inputs!$B$4="Chapter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91">
      <c r="A1391" t="inlineStr">
        <is>
          <t>Global Crit Rate Bonus %</t>
        </is>
      </c>
      <c r="B1391" t="n">
        <v>0</v>
      </c>
    </row>
    <row r="1392">
      <c r="A1392" t="inlineStr">
        <is>
          <t>Attack Speed Buff Bonus % (unused)</t>
        </is>
      </c>
      <c r="B1392" t="n">
        <v>0</v>
      </c>
    </row>
    <row r="1393">
      <c r="A1393" t="inlineStr">
        <is>
          <t>Actions Per Second</t>
        </is>
      </c>
      <c r="B1393">
        <f>1+MIN(150,150*(1-(1-(Inputs!$B$11+((C1381=TRUE)*(F1381-Calc!F20))+((C1382=TRUE)*(F1382-Calc!F21)))/150)*(1-B1392/150)))/100</f>
        <v/>
      </c>
    </row>
    <row r="1394">
      <c r="A1394" t="inlineStr">
        <is>
          <t>Skill + Buff Cast Rate</t>
        </is>
      </c>
      <c r="B1394">
        <f>IF(AND(Inputs!$B$38&lt;&gt;"pvp",Inputs!$B$43&gt;0),SUMPRODUCT((Skills!E2:E27=TRUE)*(C1363:C1388=TRUE)*R1363:R1388*Skills!F2:F27)/Inputs!$B$43,SUMPRODUCT((Skills!E2:E27=TRUE)*(C1363:C1388=TRUE)*Q1363:Q1388*Skills!F2:F27))</f>
        <v/>
      </c>
    </row>
    <row r="1395">
      <c r="A1395" t="inlineStr">
        <is>
          <t>Eight-Legs Easton Casts Per Second</t>
        </is>
      </c>
      <c r="B1395">
        <f>MAX(0,B1393-B1394)</f>
        <v/>
      </c>
    </row>
    <row r="1396">
      <c r="A1396" t="inlineStr">
        <is>
          <t>Global Critical Damage Bonus % (unused)</t>
        </is>
      </c>
      <c r="B1396" t="n">
        <v>0</v>
      </c>
    </row>
    <row r="1397">
      <c r="A1397" t="inlineStr">
        <is>
          <t>Global Final Damage Bonus % (Jolly Roger only)</t>
        </is>
      </c>
      <c r="B1397">
        <f>((C1379=TRUE)*F1379)</f>
        <v/>
      </c>
    </row>
    <row r="1398">
      <c r="A1398" t="inlineStr">
        <is>
          <t>Buff-Casting Startup Delay (s, fixed-duration only)</t>
        </is>
      </c>
      <c r="B1398">
        <f>IF(AND(Inputs!$B$38&lt;&gt;"pvp",Inputs!$B$43&gt;0),SUMPRODUCT((Skills!T2:T27&gt;0)*(Skills!E2:E27=TRUE)*(C1363:C1388=TRUE))/B1393,0)</f>
        <v/>
      </c>
    </row>
    <row r="1399">
      <c r="A1399" t="inlineStr">
        <is>
          <t>Boss-Only Total DPS (this block's swept value)</t>
        </is>
      </c>
      <c r="B1399">
        <f>SUM(T1363:T1388)</f>
        <v/>
      </c>
    </row>
    <row r="1400">
      <c r="A1400" t="inlineStr">
        <is>
          <t>Normal-Only Total DPS (this block's swept value)</t>
        </is>
      </c>
      <c r="B1400">
        <f>SUM(V1363:V1388)</f>
        <v/>
      </c>
    </row>
    <row r="1401">
      <c r="A1401" s="6" t="inlineStr">
        <is>
          <t>TOTAL DPS</t>
        </is>
      </c>
      <c r="B1401" s="6">
        <f>SUM(O1363:O1388)</f>
        <v/>
      </c>
    </row>
    <row r="1404">
      <c r="A1404" s="6" t="inlineStr">
        <is>
          <t>Stat: Hexagon Necklace (Equip)</t>
        </is>
      </c>
    </row>
    <row r="1405">
      <c r="A1405" s="5" t="inlineStr">
        <is>
          <t>Key</t>
        </is>
      </c>
      <c r="B1405" s="5" t="inlineStr">
        <is>
          <t>Name</t>
        </is>
      </c>
      <c r="C1405" s="5" t="inlineStr">
        <is>
          <t>Unlocked</t>
        </is>
      </c>
      <c r="D1405" s="5" t="inlineStr">
        <is>
          <t>InputLevel</t>
        </is>
      </c>
      <c r="E1405" s="5" t="inlineStr">
        <is>
          <t>Factor</t>
        </is>
      </c>
      <c r="F1405" s="5" t="inlineStr">
        <is>
          <t>CoefficientPercent</t>
        </is>
      </c>
      <c r="G1405" s="5" t="inlineStr">
        <is>
          <t>EffectiveHits</t>
        </is>
      </c>
      <c r="H1405" s="5" t="inlineStr">
        <is>
          <t>ProcProbability</t>
        </is>
      </c>
      <c r="I1405" s="5" t="inlineStr">
        <is>
          <t>MapleHeroMultiplier</t>
        </is>
      </c>
      <c r="J1405" s="5" t="inlineStr">
        <is>
          <t>BaseDamage</t>
        </is>
      </c>
      <c r="K1405" s="5" t="inlineStr">
        <is>
          <t>BaseHitDamage</t>
        </is>
      </c>
      <c r="L1405" s="5" t="inlineStr">
        <is>
          <t>NonCritAvg</t>
        </is>
      </c>
      <c r="M1405" s="5" t="inlineStr">
        <is>
          <t>CritAvg</t>
        </is>
      </c>
      <c r="N1405" s="5" t="inlineStr">
        <is>
          <t>ExpectedDamage(perHit)</t>
        </is>
      </c>
      <c r="O1405" s="5" t="inlineStr">
        <is>
          <t>DPS</t>
        </is>
      </c>
      <c r="P1405" s="5" t="inlineStr">
        <is>
          <t>% of Total</t>
        </is>
      </c>
      <c r="Q1405" s="5" t="inlineStr">
        <is>
          <t>InvCooldown</t>
        </is>
      </c>
      <c r="R1405" s="5" t="inlineStr">
        <is>
          <t>CastsInFight</t>
        </is>
      </c>
      <c r="S1405" s="5" t="inlineStr">
        <is>
          <t>HitRate(perSec)</t>
        </is>
      </c>
      <c r="U1405" t="inlineStr">
        <is>
          <t>helpers</t>
        </is>
      </c>
    </row>
    <row r="1406">
      <c r="A1406">
        <f>Skills!A2</f>
        <v/>
      </c>
      <c r="B1406">
        <f>Skills!B2</f>
        <v/>
      </c>
      <c r="C1406">
        <f>Inputs!$B$3&gt;=100</f>
        <v/>
      </c>
      <c r="D1406" t="inlineStr"/>
      <c r="E1406" t="inlineStr"/>
      <c r="F1406">
        <f>U1408+Skills!O2</f>
        <v/>
      </c>
      <c r="G1406">
        <f>Skills!G2*IF(Skills!H2&gt;0,Skills!I2/Skills!H2,1)</f>
        <v/>
      </c>
      <c r="H1406">
        <f>1-(1-Skills!J2/100)^Skills!K2</f>
        <v/>
      </c>
      <c r="I1406" t="inlineStr">
        <is>
          <t>1</t>
        </is>
      </c>
      <c r="J1406">
        <f>((Inputs!$B$6*(1+Inputs!$B$7/100))+(((Inputs!$B$12*(1+Inputs!$B$13/100))-(Inputs!$B$12*(1+Inputs!$B$13/100)))+0.25*(Inputs!$B$14-Inputs!$B$14))*(1+Inputs!$B$7/100))*(F1406/100)</f>
        <v/>
      </c>
      <c r="K1406">
        <f>J1406*(1+((Inputs!$B$12*(1+Inputs!$B$13/100))*0.01+Inputs!$B$14*0.0025)/100)*(1+Inputs!$B$15/100)*(1+Inputs!$B$16/100)*(5000/(6000+Inputs!$B$42*(1-(100*(1-(1-(Inputs!$B$19+0)/100)*(1-CHOOSE(ArtifactsInput!$N$40+1,5,6,7,8,9,10)/100)^(ArtifactsInput!$M$40-ArtifactsInput!$M$40)))/100)))*(1+(Inputs!$B$24+((C1430=TRUE)*(F1430-Calc!F26))+B1440)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1427=TRUE)*(F1427-Calc!F23))+((C1431=TRUE)*(F1431-Calc!F27))+(((IF(AND(ArtifactsInput!$M$42,((Inputs!$B$9+((C1423=TRUE)*(F1423-Calc!F19))+B1434+(ArtifactsInput!$M$24-ArtifactsInput!$M$24)*CHOOSE(ArtifactsInput!$N$24+1,10,12,14,16,18,20)+IF(ArtifactsInput!$M$10,CHOOSE(ArtifactsInput!$N$10+1,15,18,21,24,27,30)*(IF(Inputs!$B$38="pvp",MIN(15,15)/15,IF(AND(Inputs!$B$38&lt;&gt;"pvp",Inputs!$B$43&gt;0),MIN(15,Inputs!$B$43)/(Inputs!$B$43),0))),0)))&gt;=100),MIN(100,((Inputs!$B$9+((C1423=TRUE)*(F1423-Calc!F19))+B1434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1423=TRUE)*(F1423-Calc!F19))+B1434+(ArtifactsInput!$M$24-ArtifactsInput!$M$24)*CHOOSE(ArtifactsInput!$N$24+1,10,12,14,16,18,20)+IF(ArtifactsInput!$M$10,CHOOSE(ArtifactsInput!$N$10+1,15,18,21,24,27,30)*(IF(Inputs!$B$38="pvp",MIN(15,15)/15,IF(AND(Inputs!$B$38&lt;&gt;"pvp",Inputs!$B$43&gt;0),MIN(15,Inputs!$B$43)/(Inputs!$B$43),0))),0)))&gt;=100),CHOOSE(ArtifactsInput!$N$42+1,40,48,56,64,72,80),0))))/100)*((1+(((C1421=TRUE)*F1421)+((C1428=TRUE)*(F1428-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1406)</f>
        <v/>
      </c>
      <c r="L1406">
        <f>K1406*(MIN(Inputs!$B$22+((C1426=TRUE)*(F1426-Calc!F22)),(Inputs!$B$23+0+(IF(ArtifactsInput!$M$15,CHOOSE(ArtifactsInput!$N$15+1,25,30,35,40,45,50)/100*(Inputs!$B$11-Inputs!$B$11),0))))/100+(Inputs!$B$23+0+(IF(ArtifactsInput!$M$15,CHOOSE(ArtifactsInput!$N$15+1,25,30,35,40,45,50)/100*(Inputs!$B$11-Inputs!$B$11),0)))/100)/2</f>
        <v/>
      </c>
      <c r="M1406">
        <f>L1406*(1+(Inputs!$B$10+((C1429=TRUE)*(F1429-Calc!F25))+B1439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6">
        <f>L1406*(1-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1406*(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6">
        <f>(1-Summary!$B$11)*T1406+Summary!$B$11*V1406</f>
        <v/>
      </c>
      <c r="P1406">
        <f>IF(B1444=0,0,O1406/B1444)</f>
        <v/>
      </c>
      <c r="Q1406" t="n">
        <v>0</v>
      </c>
      <c r="R1406" t="n">
        <v>0</v>
      </c>
      <c r="S1406">
        <f>IFERROR(O1406/N1406,0)</f>
        <v/>
      </c>
      <c r="T1406">
        <f>IF(C1406,(Skills!G2*N1406*B1438)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1406*(1-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1406*(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1406*(1-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1406*(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6">
        <f>MAX(0,(Inputs!$B$3-100)*3)+Inputs!$B$28+Inputs!$B$29</f>
        <v/>
      </c>
      <c r="V1406">
        <f>IF(C1406,(Skills!G2*N1406*B1438)*IF(Inputs!$B$38="pvp",1,(1+(Inputs!$B$21+Skills!Q2+(IF(ArtifactsInput!$M$33,CHOOSE(ArtifactsInput!$N$33+1,30,36,42,48,54,60),0))+(IF(AND(ArtifactsInput!$M$35,Inputs!$B$4&lt;&gt;"Chapter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7">
      <c r="A1407">
        <f>Skills!A3</f>
        <v/>
      </c>
      <c r="B1407">
        <f>Skills!B3</f>
        <v/>
      </c>
      <c r="C1407">
        <f>Inputs!$B$3&gt;=35</f>
        <v/>
      </c>
      <c r="D1407">
        <f>IF(Skills!C3=1,60+Inputs!$B$25+Inputs!$B$29,IF(Skills!C3=2,90+Inputs!$B$26+Inputs!$B$29,IF(Skills!C3=3,120+Inputs!$B$27+Inputs!$B$29,MAX(0,(Inputs!$B$3-100)*3)+Inputs!$B$28+Inputs!$B$29)))</f>
        <v/>
      </c>
      <c r="E1407">
        <f>INDEX(FactorTable!$B$2:$Y$301, MATCH(ROUND(MIN(300,MAX(1,D1407)),0), FactorTable!$A$2:$A$301,0), Skills!M3+1)</f>
        <v/>
      </c>
      <c r="F1407">
        <f>IF(Skills!N3=TRUE,(Skills!L3/10)*(E1407/1000),Skills!L3/10)+Skills!O3</f>
        <v/>
      </c>
      <c r="G1407">
        <f>Skills!G3*IF(Skills!H3&gt;0,Skills!I3/Skills!H3,1)</f>
        <v/>
      </c>
      <c r="H1407">
        <f>1-(1-Skills!J3/100)^Skills!K3</f>
        <v/>
      </c>
      <c r="I1407" t="inlineStr">
        <is>
          <t>1</t>
        </is>
      </c>
      <c r="J1407">
        <f>((Inputs!$B$6*(1+Inputs!$B$7/100))+(((Inputs!$B$12*(1+Inputs!$B$13/100))-(Inputs!$B$12*(1+Inputs!$B$13/100)))+0.25*(Inputs!$B$14-Inputs!$B$14))*(1+Inputs!$B$7/100))*(F1407/100)</f>
        <v/>
      </c>
      <c r="K1407">
        <f>J1407*(1+((Inputs!$B$12*(1+Inputs!$B$13/100))*0.01+Inputs!$B$14*0.0025)/100)*(1+Inputs!$B$15/100)*(1+Inputs!$B$16/100)*(5000/(6000+Inputs!$B$42*(1-(100*(1-(1-(Inputs!$B$19+0)/100)*(1-CHOOSE(ArtifactsInput!$N$40+1,5,6,7,8,9,10)/100)^(ArtifactsInput!$M$40-ArtifactsInput!$M$40)))/100)))*(1+(Inputs!$B$24+((C1430=TRUE)*(F1430-Calc!F26))+B1440)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1419=TRUE,F1419,0)/100)*(1+(IF(Skills!A3="EIGHT_LEGS_EASTON",Inputs!$B$17+((C1427=TRUE)*(F1427-Calc!F23))+((C1431=TRUE)*(F1431-Calc!F27))+(((IF(AND(ArtifactsInput!$M$42,((Inputs!$B$9+((C1423=TRUE)*(F1423-Calc!F19))+B1434+(ArtifactsInput!$M$24-ArtifactsInput!$M$24)*CHOOSE(ArtifactsInput!$N$24+1,10,12,14,16,18,20)+IF(ArtifactsInput!$M$10,CHOOSE(ArtifactsInput!$N$10+1,15,18,21,24,27,30)*(IF(Inputs!$B$38="pvp",MIN(15,15)/15,IF(AND(Inputs!$B$38&lt;&gt;"pvp",Inputs!$B$43&gt;0),MIN(15,Inputs!$B$43)/(Inputs!$B$43),0))),0)))&gt;=100),MIN(100,((Inputs!$B$9+((C1423=TRUE)*(F1423-Calc!F19))+B1434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1423=TRUE)*(F1423-Calc!F19))+B1434+(ArtifactsInput!$M$24-ArtifactsInput!$M$24)*CHOOSE(ArtifactsInput!$N$24+1,10,12,14,16,18,20)+IF(ArtifactsInput!$M$10,CHOOSE(ArtifactsInput!$N$10+1,15,18,21,24,27,30)*(IF(Inputs!$B$38="pvp",MIN(15,15)/15,IF(AND(Inputs!$B$38&lt;&gt;"pvp",Inputs!$B$43&gt;0),MIN(15,Inputs!$B$43)/(Inputs!$B$43),0))),0)))&gt;=100),CHOOSE(ArtifactsInput!$N$42+1,40,48,56,64,72,80),0))))/100)*((1+(((C1421=TRUE)*F1421)+((C1428=TRUE)*(F1428-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1407)</f>
        <v/>
      </c>
      <c r="L1407">
        <f>K1407*(MIN(Inputs!$B$22+((C1426=TRUE)*(F1426-Calc!F22)),(Inputs!$B$23+0+(IF(ArtifactsInput!$M$15,CHOOSE(ArtifactsInput!$N$15+1,25,30,35,40,45,50)/100*(Inputs!$B$11-Inputs!$B$11),0))))/100+(Inputs!$B$23+0+(IF(ArtifactsInput!$M$15,CHOOSE(ArtifactsInput!$N$15+1,25,30,35,40,45,50)/100*(Inputs!$B$11-Inputs!$B$11),0)))/100)/2</f>
        <v/>
      </c>
      <c r="M1407">
        <f>L1407*(1+(Inputs!$B$10+((C1429=TRUE)*(F1429-Calc!F25))+B1439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7">
        <f>L1407*(1-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1407*(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7">
        <f>(1-Summary!$B$11)*T1407+Summary!$B$11*V1407</f>
        <v/>
      </c>
      <c r="P1407">
        <f>IF(B1444=0,0,O1407/B1444)</f>
        <v/>
      </c>
      <c r="Q1407">
        <f>IFERROR(1/(IF(Inputs!$B$38="pvp",15,MAX(0.1,Skills!D3-IF(Skills!E3=TRUE,Inputs!$B$32,0)))*(1-IF(AND(ArtifactsInput!$M$27,Inputs!$B$4="Chapter Hunt"),CHOOSE(ArtifactsInput!$N$27+1,20,24,28,32,36,40),0)/100)),0)</f>
        <v/>
      </c>
      <c r="R1407">
        <f>IF(AND(Inputs!$B$38&lt;&gt;"pvp",Inputs!$B$43&gt;0),IF(MAX(0,Inputs!$B$43-B1441)&lt;=0,0,(INT(MAX(0,Inputs!$B$43-B1441)/(IF(Inputs!$B$38="pvp",15,MAX(0.1,Skills!D3-IF(Skills!E3=TRUE,Inputs!$B$32,0)))*(1-IF(AND(ArtifactsInput!$M$27,Inputs!$B$4="Chapter Hunt"),CHOOSE(ArtifactsInput!$N$27+1,20,24,28,32,36,40),0)/100)))+1)),0)</f>
        <v/>
      </c>
      <c r="S1407">
        <f>IFERROR(O1407/N1407,0)</f>
        <v/>
      </c>
      <c r="T1407">
        <f>IF(C1407,(H1407*N1407*IF(AND(Inputs!$B$38&lt;&gt;"pvp",Inputs!$B$43&gt;0),((Skills!G3*((R1407-1)*IF(Skills!H3&gt;0,Skills!I3/Skills!H3,1)+IF(Skills!H3&gt;0,MIN(Skills!I3,MAX(0,MAX(0,Inputs!$B$43-B1441)-((R1407-1)*(IF(Inputs!$B$38="pvp",15,MAX(0.1,Skills!D3-IF(Skills!E3=TRUE,Inputs!$B$32,0)))*(1-IF(AND(ArtifactsInput!$M$27,Inputs!$B$4="Chapter Hunt"),CHOOSE(ArtifactsInput!$N$27+1,20,24,28,32,36,40),0)/100)))))/Skills!H3,1)))/Inputs!$B$43),G1407*Q1407)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1407*(1-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1407*(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1407*(1-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1407*(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7">
        <f>INDEX(FactorTable!$B$2:$Y$301, MATCH(ROUND(MIN(300,MAX(1,U1406)),0), FactorTable!$A$2:$A$301,0), 22)</f>
        <v/>
      </c>
      <c r="V1407">
        <f>IF(C1407,(H1407*N1407*IF(AND(Inputs!$B$38&lt;&gt;"pvp",Inputs!$B$43&gt;0),((Skills!G3*((R1407-1)*IF(Skills!H3&gt;0,Skills!I3/Skills!H3,1)+IF(Skills!H3&gt;0,MIN(Skills!I3,MAX(0,MAX(0,Inputs!$B$43-B1441)-((R1407-1)*(IF(Inputs!$B$38="pvp",15,MAX(0.1,Skills!D3-IF(Skills!E3=TRUE,Inputs!$B$32,0)))*(1-IF(AND(ArtifactsInput!$M$27,Inputs!$B$4="Chapter Hunt"),CHOOSE(ArtifactsInput!$N$27+1,20,24,28,32,36,40),0)/100)))))/Skills!H3,1)))/Inputs!$B$43),G1407*Q1407))*IF(Inputs!$B$38="pvp",1,(1+(Inputs!$B$21+Skills!Q3+(IF(ArtifactsInput!$M$33,CHOOSE(ArtifactsInput!$N$33+1,30,36,42,48,54,60)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8">
      <c r="A1408">
        <f>Skills!A4</f>
        <v/>
      </c>
      <c r="B1408">
        <f>Skills!B4</f>
        <v/>
      </c>
      <c r="C1408">
        <f>Inputs!$B$3&gt;=40</f>
        <v/>
      </c>
      <c r="D1408">
        <f>IF(Skills!C4=1,60+Inputs!$B$25+Inputs!$B$29,IF(Skills!C4=2,90+Inputs!$B$26+Inputs!$B$29,IF(Skills!C4=3,120+Inputs!$B$27+Inputs!$B$29,MAX(0,(Inputs!$B$3-100)*3)+Inputs!$B$28+Inputs!$B$29)))</f>
        <v/>
      </c>
      <c r="E1408">
        <f>INDEX(FactorTable!$B$2:$Y$301, MATCH(ROUND(MIN(300,MAX(1,D1408)),0), FactorTable!$A$2:$A$301,0), Skills!M4+1)</f>
        <v/>
      </c>
      <c r="F1408">
        <f>IF(Skills!N4=TRUE,(Skills!L4/10)*(E1408/1000),Skills!L4/10)+Skills!O4</f>
        <v/>
      </c>
      <c r="G1408">
        <f>Skills!G4*IF(Skills!H4&gt;0,Skills!I4/Skills!H4,1)</f>
        <v/>
      </c>
      <c r="H1408">
        <f>1-(1-Skills!J4/100)^Skills!K4</f>
        <v/>
      </c>
      <c r="I1408" t="inlineStr">
        <is>
          <t>1</t>
        </is>
      </c>
      <c r="J1408">
        <f>((Inputs!$B$6*(1+Inputs!$B$7/100))+(((Inputs!$B$12*(1+Inputs!$B$13/100))-(Inputs!$B$12*(1+Inputs!$B$13/100)))+0.25*(Inputs!$B$14-Inputs!$B$14))*(1+Inputs!$B$7/100))*(F1408/100)</f>
        <v/>
      </c>
      <c r="K1408">
        <f>J1408*(1+((Inputs!$B$12*(1+Inputs!$B$13/100))*0.01+Inputs!$B$14*0.0025)/100)*(1+Inputs!$B$15/100)*(1+Inputs!$B$16/100)*(5000/(6000+Inputs!$B$42*(1-(100*(1-(1-(Inputs!$B$19+0)/100)*(1-CHOOSE(ArtifactsInput!$N$40+1,5,6,7,8,9,10)/100)^(ArtifactsInput!$M$40-ArtifactsInput!$M$40)))/100)))*(1+(Inputs!$B$24+((C1430=TRUE)*(F1430-Calc!F26))+B1440)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1420=TRUE,F1420,0)/100)*(1+(IF(Skills!A4="EIGHT_LEGS_EASTON",Inputs!$B$17+((C1427=TRUE)*(F1427-Calc!F23))+((C1431=TRUE)*(F1431-Calc!F27))+(((IF(AND(ArtifactsInput!$M$42,((Inputs!$B$9+((C1423=TRUE)*(F1423-Calc!F19))+B1434+(ArtifactsInput!$M$24-ArtifactsInput!$M$24)*CHOOSE(ArtifactsInput!$N$24+1,10,12,14,16,18,20)+IF(ArtifactsInput!$M$10,CHOOSE(ArtifactsInput!$N$10+1,15,18,21,24,27,30)*(IF(Inputs!$B$38="pvp",MIN(15,15)/15,IF(AND(Inputs!$B$38&lt;&gt;"pvp",Inputs!$B$43&gt;0),MIN(15,Inputs!$B$43)/(Inputs!$B$43),0))),0)))&gt;=100),MIN(100,((Inputs!$B$9+((C1423=TRUE)*(F1423-Calc!F19))+B1434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1423=TRUE)*(F1423-Calc!F19))+B1434+(ArtifactsInput!$M$24-ArtifactsInput!$M$24)*CHOOSE(ArtifactsInput!$N$24+1,10,12,14,16,18,20)+IF(ArtifactsInput!$M$10,CHOOSE(ArtifactsInput!$N$10+1,15,18,21,24,27,30)*(IF(Inputs!$B$38="pvp",MIN(15,15)/15,IF(AND(Inputs!$B$38&lt;&gt;"pvp",Inputs!$B$43&gt;0),MIN(15,Inputs!$B$43)/(Inputs!$B$43),0))),0)))&gt;=100),CHOOSE(ArtifactsInput!$N$42+1,40,48,56,64,72,80),0))))/100)*((1+(((C1421=TRUE)*F1421)+((C1428=TRUE)*(F1428-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1408)</f>
        <v/>
      </c>
      <c r="L1408">
        <f>K1408*(MIN(Inputs!$B$22+((C1426=TRUE)*(F1426-Calc!F22)),(Inputs!$B$23+0+(IF(ArtifactsInput!$M$15,CHOOSE(ArtifactsInput!$N$15+1,25,30,35,40,45,50)/100*(Inputs!$B$11-Inputs!$B$11),0))))/100+(Inputs!$B$23+0+(IF(ArtifactsInput!$M$15,CHOOSE(ArtifactsInput!$N$15+1,25,30,35,40,45,50)/100*(Inputs!$B$11-Inputs!$B$11),0)))/100)/2</f>
        <v/>
      </c>
      <c r="M1408">
        <f>L1408*(1+(Inputs!$B$10+((C1429=TRUE)*(F1429-Calc!F25))+B1439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8">
        <f>L1408*(1-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1408*(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8">
        <f>(1-Summary!$B$11)*T1408+Summary!$B$11*V1408</f>
        <v/>
      </c>
      <c r="P1408">
        <f>IF(B1444=0,0,O1408/B1444)</f>
        <v/>
      </c>
      <c r="Q1408">
        <f>IFERROR(1/(IF(Inputs!$B$38="pvp",15,MAX(0.1,Skills!D4-IF(Skills!E4=TRUE,Inputs!$B$32,0)))*(1-IF(AND(ArtifactsInput!$M$27,Inputs!$B$4="Chapter Hunt"),CHOOSE(ArtifactsInput!$N$27+1,20,24,28,32,36,40),0)/100)),0)</f>
        <v/>
      </c>
      <c r="R1408">
        <f>IF(AND(Inputs!$B$38&lt;&gt;"pvp",Inputs!$B$43&gt;0),IF(MAX(0,Inputs!$B$43-B1441)&lt;=0,0,(INT(MAX(0,Inputs!$B$43-B1441)/(IF(Inputs!$B$38="pvp",15,MAX(0.1,Skills!D4-IF(Skills!E4=TRUE,Inputs!$B$32,0)))*(1-IF(AND(ArtifactsInput!$M$27,Inputs!$B$4="Chapter Hunt"),CHOOSE(ArtifactsInput!$N$27+1,20,24,28,32,36,40),0)/100)))+1)),0)</f>
        <v/>
      </c>
      <c r="S1408">
        <f>IFERROR(O1408/N1408,0)</f>
        <v/>
      </c>
      <c r="T1408">
        <f>IF(C1408,(H1408*N1408*IF(AND(Inputs!$B$38&lt;&gt;"pvp",Inputs!$B$43&gt;0),((Skills!G4*((R1408-1)*IF(Skills!H4&gt;0,Skills!I4/Skills!H4,1)+IF(Skills!H4&gt;0,MIN(Skills!I4,MAX(0,MAX(0,Inputs!$B$43-B1441)-((R1408-1)*(IF(Inputs!$B$38="pvp",15,MAX(0.1,Skills!D4-IF(Skills!E4=TRUE,Inputs!$B$32,0)))*(1-IF(AND(ArtifactsInput!$M$27,Inputs!$B$4="Chapter Hunt"),CHOOSE(ArtifactsInput!$N$27+1,20,24,28,32,36,40),0)/100)))))/Skills!H4,1)))/Inputs!$B$43),G1408*Q1408)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1408*(1-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1408*(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1408*(1-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1408*(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8">
        <f>290*U1407/1000</f>
        <v/>
      </c>
      <c r="V1408">
        <f>IF(C1408,(H1408*N1408*IF(AND(Inputs!$B$38&lt;&gt;"pvp",Inputs!$B$43&gt;0),((Skills!G4*((R1408-1)*IF(Skills!H4&gt;0,Skills!I4/Skills!H4,1)+IF(Skills!H4&gt;0,MIN(Skills!I4,MAX(0,MAX(0,Inputs!$B$43-B1441)-((R1408-1)*(IF(Inputs!$B$38="pvp",15,MAX(0.1,Skills!D4-IF(Skills!E4=TRUE,Inputs!$B$32,0)))*(1-IF(AND(ArtifactsInput!$M$27,Inputs!$B$4="Chapter Hunt"),CHOOSE(ArtifactsInput!$N$27+1,20,24,28,32,36,40),0)/100)))))/Skills!H4,1)))/Inputs!$B$43),G1408*Q1408))*IF(Inputs!$B$38="pvp",1,(1+(Inputs!$B$21+Skills!Q4+(IF(ArtifactsInput!$M$33,CHOOSE(ArtifactsInput!$N$33+1,30,36,42,48,54,60)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9">
      <c r="A1409">
        <f>Skills!A5</f>
        <v/>
      </c>
      <c r="B1409">
        <f>Skills!B5</f>
        <v/>
      </c>
      <c r="C1409">
        <f>Inputs!$B$3&gt;=45</f>
        <v/>
      </c>
      <c r="D1409">
        <f>IF(Skills!C5=1,60+Inputs!$B$25+Inputs!$B$29,IF(Skills!C5=2,90+Inputs!$B$26+Inputs!$B$29,IF(Skills!C5=3,120+Inputs!$B$27+Inputs!$B$29,MAX(0,(Inputs!$B$3-100)*3)+Inputs!$B$28+Inputs!$B$29)))</f>
        <v/>
      </c>
      <c r="E1409">
        <f>INDEX(FactorTable!$B$2:$Y$301, MATCH(ROUND(MIN(300,MAX(1,D1409)),0), FactorTable!$A$2:$A$301,0), Skills!M5+1)</f>
        <v/>
      </c>
      <c r="F1409">
        <f>IF(Skills!N5=TRUE,(Skills!L5/10)*(E1409/1000),Skills!L5/10)+Skills!O5</f>
        <v/>
      </c>
      <c r="G1409">
        <f>Skills!G5*IF(Skills!H5&gt;0,Skills!I5/Skills!H5,1)</f>
        <v/>
      </c>
      <c r="H1409">
        <f>1-(1-Skills!J5/100)^Skills!K5</f>
        <v/>
      </c>
      <c r="I1409" t="inlineStr">
        <is>
          <t>1</t>
        </is>
      </c>
      <c r="J1409">
        <f>((Inputs!$B$6*(1+Inputs!$B$7/100))+(((Inputs!$B$12*(1+Inputs!$B$13/100))-(Inputs!$B$12*(1+Inputs!$B$13/100)))+0.25*(Inputs!$B$14-Inputs!$B$14))*(1+Inputs!$B$7/100))*(F1409/100)</f>
        <v/>
      </c>
      <c r="K1409">
        <f>J1409*(1+((Inputs!$B$12*(1+Inputs!$B$13/100))*0.01+Inputs!$B$14*0.0025)/100)*(1+Inputs!$B$15/100)*(1+Inputs!$B$16/100)*(5000/(6000+Inputs!$B$42*(1-(100*(1-(1-(Inputs!$B$19+0)/100)*(1-CHOOSE(ArtifactsInput!$N$40+1,5,6,7,8,9,10)/100)^(ArtifactsInput!$M$40-ArtifactsInput!$M$40)))/100)))*(1+(Inputs!$B$24+((C1430=TRUE)*(F1430-Calc!F26))+B1440)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1420=TRUE,F1420,0)/100)*(1+(IF(Skills!A5="EIGHT_LEGS_EASTON",Inputs!$B$17+((C1427=TRUE)*(F1427-Calc!F23))+((C1431=TRUE)*(F1431-Calc!F27))+(((IF(AND(ArtifactsInput!$M$42,((Inputs!$B$9+((C1423=TRUE)*(F1423-Calc!F19))+B1434+(ArtifactsInput!$M$24-ArtifactsInput!$M$24)*CHOOSE(ArtifactsInput!$N$24+1,10,12,14,16,18,20)+IF(ArtifactsInput!$M$10,CHOOSE(ArtifactsInput!$N$10+1,15,18,21,24,27,30)*(IF(Inputs!$B$38="pvp",MIN(15,15)/15,IF(AND(Inputs!$B$38&lt;&gt;"pvp",Inputs!$B$43&gt;0),MIN(15,Inputs!$B$43)/(Inputs!$B$43),0))),0)))&gt;=100),MIN(100,((Inputs!$B$9+((C1423=TRUE)*(F1423-Calc!F19))+B1434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1423=TRUE)*(F1423-Calc!F19))+B1434+(ArtifactsInput!$M$24-ArtifactsInput!$M$24)*CHOOSE(ArtifactsInput!$N$24+1,10,12,14,16,18,20)+IF(ArtifactsInput!$M$10,CHOOSE(ArtifactsInput!$N$10+1,15,18,21,24,27,30)*(IF(Inputs!$B$38="pvp",MIN(15,15)/15,IF(AND(Inputs!$B$38&lt;&gt;"pvp",Inputs!$B$43&gt;0),MIN(15,Inputs!$B$43)/(Inputs!$B$43),0))),0)))&gt;=100),CHOOSE(ArtifactsInput!$N$42+1,40,48,56,64,72,80),0))))/100)*((1+(((C1421=TRUE)*F1421)+((C1428=TRUE)*(F1428-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1409)</f>
        <v/>
      </c>
      <c r="L1409">
        <f>K1409*(MIN(Inputs!$B$22+((C1426=TRUE)*(F1426-Calc!F22)),(Inputs!$B$23+0+(IF(ArtifactsInput!$M$15,CHOOSE(ArtifactsInput!$N$15+1,25,30,35,40,45,50)/100*(Inputs!$B$11-Inputs!$B$11),0))))/100+(Inputs!$B$23+0+(IF(ArtifactsInput!$M$15,CHOOSE(ArtifactsInput!$N$15+1,25,30,35,40,45,50)/100*(Inputs!$B$11-Inputs!$B$11),0)))/100)/2</f>
        <v/>
      </c>
      <c r="M1409">
        <f>L1409*(1+(Inputs!$B$10+((C1429=TRUE)*(F1429-Calc!F25))+B1439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9">
        <f>L1409*(1-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1409*(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9">
        <f>(1-Summary!$B$11)*T1409+Summary!$B$11*V1409</f>
        <v/>
      </c>
      <c r="P1409">
        <f>IF(B1444=0,0,O1409/B1444)</f>
        <v/>
      </c>
      <c r="Q1409">
        <f>IFERROR(1/(IF(Inputs!$B$38="pvp",15,MAX(0.1,Skills!D5-IF(Skills!E5=TRUE,Inputs!$B$32,0)))*(1-IF(AND(ArtifactsInput!$M$27,Inputs!$B$4="Chapter Hunt"),CHOOSE(ArtifactsInput!$N$27+1,20,24,28,32,36,40),0)/100)),0)</f>
        <v/>
      </c>
      <c r="R1409">
        <f>IF(AND(Inputs!$B$38&lt;&gt;"pvp",Inputs!$B$43&gt;0),IF(MAX(0,Inputs!$B$43-B1441)&lt;=0,0,(INT(MAX(0,Inputs!$B$43-B1441)/(IF(Inputs!$B$38="pvp",15,MAX(0.1,Skills!D5-IF(Skills!E5=TRUE,Inputs!$B$32,0)))*(1-IF(AND(ArtifactsInput!$M$27,Inputs!$B$4="Chapter Hunt"),CHOOSE(ArtifactsInput!$N$27+1,20,24,28,32,36,40),0)/100)))+1)),0)</f>
        <v/>
      </c>
      <c r="S1409">
        <f>IFERROR(O1409/N1409,0)</f>
        <v/>
      </c>
      <c r="T1409">
        <f>IF(C1409,(H1409*N1409*IF(AND(Inputs!$B$38&lt;&gt;"pvp",Inputs!$B$43&gt;0),((Skills!G5*((R1409-1)*IF(Skills!H5&gt;0,Skills!I5/Skills!H5,1)+IF(Skills!H5&gt;0,MIN(Skills!I5,MAX(0,MAX(0,Inputs!$B$43-B1441)-((R1409-1)*(IF(Inputs!$B$38="pvp",15,MAX(0.1,Skills!D5-IF(Skills!E5=TRUE,Inputs!$B$32,0)))*(1-IF(AND(ArtifactsInput!$M$27,Inputs!$B$4="Chapter Hunt"),CHOOSE(ArtifactsInput!$N$27+1,20,24,28,32,36,40),0)/100)))))/Skills!H5,1)))/Inputs!$B$43),G1409*Q1409)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1409*(1-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1409*(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1409*(1-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1409*(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9">
        <f>IF(C1409,(H1409*N1409*IF(AND(Inputs!$B$38&lt;&gt;"pvp",Inputs!$B$43&gt;0),((Skills!G5*((R1409-1)*IF(Skills!H5&gt;0,Skills!I5/Skills!H5,1)+IF(Skills!H5&gt;0,MIN(Skills!I5,MAX(0,MAX(0,Inputs!$B$43-B1441)-((R1409-1)*(IF(Inputs!$B$38="pvp",15,MAX(0.1,Skills!D5-IF(Skills!E5=TRUE,Inputs!$B$32,0)))*(1-IF(AND(ArtifactsInput!$M$27,Inputs!$B$4="Chapter Hunt"),CHOOSE(ArtifactsInput!$N$27+1,20,24,28,32,36,40),0)/100)))))/Skills!H5,1)))/Inputs!$B$43),G1409*Q1409))*IF(Inputs!$B$38="pvp",1,(1+(Inputs!$B$21+Skills!Q5+(IF(ArtifactsInput!$M$33,CHOOSE(ArtifactsInput!$N$33+1,30,36,42,48,54,60)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0">
      <c r="A1410">
        <f>Skills!A6</f>
        <v/>
      </c>
      <c r="B1410">
        <f>Skills!B6</f>
        <v/>
      </c>
      <c r="C1410">
        <f>Inputs!$B$3&gt;=63</f>
        <v/>
      </c>
      <c r="D1410">
        <f>IF(Skills!C6=1,60+Inputs!$B$25+Inputs!$B$29,IF(Skills!C6=2,90+Inputs!$B$26+Inputs!$B$29,IF(Skills!C6=3,120+Inputs!$B$27+Inputs!$B$29,MAX(0,(Inputs!$B$3-100)*3)+Inputs!$B$28+Inputs!$B$29)))</f>
        <v/>
      </c>
      <c r="E1410">
        <f>INDEX(FactorTable!$B$2:$Y$301, MATCH(ROUND(MIN(300,MAX(1,D1410)),0), FactorTable!$A$2:$A$301,0), Skills!M6+1)</f>
        <v/>
      </c>
      <c r="F1410">
        <f>IF(Skills!N6=TRUE,(Skills!L6/10)*(E1410/1000),Skills!L6/10)+Skills!O6</f>
        <v/>
      </c>
      <c r="G1410">
        <f>Skills!G6*IF(Skills!H6&gt;0,Skills!I6/Skills!H6,1)</f>
        <v/>
      </c>
      <c r="H1410">
        <f>1-(1-Skills!J6/100)^Skills!K6</f>
        <v/>
      </c>
      <c r="I1410" t="inlineStr">
        <is>
          <t>1</t>
        </is>
      </c>
      <c r="J1410">
        <f>((Inputs!$B$6*(1+Inputs!$B$7/100))+(((Inputs!$B$12*(1+Inputs!$B$13/100))-(Inputs!$B$12*(1+Inputs!$B$13/100)))+0.25*(Inputs!$B$14-Inputs!$B$14))*(1+Inputs!$B$7/100))*(F1410/100)</f>
        <v/>
      </c>
      <c r="K1410">
        <f>J1410*(1+((Inputs!$B$12*(1+Inputs!$B$13/100))*0.01+Inputs!$B$14*0.0025)/100)*(1+Inputs!$B$15/100)*(1+Inputs!$B$16/100)*(5000/(6000+Inputs!$B$42*(1-(100*(1-(1-(Inputs!$B$19+0)/100)*(1-CHOOSE(ArtifactsInput!$N$40+1,5,6,7,8,9,10)/100)^(ArtifactsInput!$M$40-ArtifactsInput!$M$40)))/100)))*(1+(Inputs!$B$24+((C1430=TRUE)*(F1430-Calc!F26))+B1440)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1419=TRUE,F1419,0)/100)*(1+(IF(Skills!A6="EIGHT_LEGS_EASTON",Inputs!$B$17+((C1427=TRUE)*(F1427-Calc!F23))+((C1431=TRUE)*(F1431-Calc!F27))+(((IF(AND(ArtifactsInput!$M$42,((Inputs!$B$9+((C1423=TRUE)*(F1423-Calc!F19))+B1434+(ArtifactsInput!$M$24-ArtifactsInput!$M$24)*CHOOSE(ArtifactsInput!$N$24+1,10,12,14,16,18,20)+IF(ArtifactsInput!$M$10,CHOOSE(ArtifactsInput!$N$10+1,15,18,21,24,27,30)*(IF(Inputs!$B$38="pvp",MIN(15,15)/15,IF(AND(Inputs!$B$38&lt;&gt;"pvp",Inputs!$B$43&gt;0),MIN(15,Inputs!$B$43)/(Inputs!$B$43),0))),0)))&gt;=100),MIN(100,((Inputs!$B$9+((C1423=TRUE)*(F1423-Calc!F19))+B1434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1423=TRUE)*(F1423-Calc!F19))+B1434+(ArtifactsInput!$M$24-ArtifactsInput!$M$24)*CHOOSE(ArtifactsInput!$N$24+1,10,12,14,16,18,20)+IF(ArtifactsInput!$M$10,CHOOSE(ArtifactsInput!$N$10+1,15,18,21,24,27,30)*(IF(Inputs!$B$38="pvp",MIN(15,15)/15,IF(AND(Inputs!$B$38&lt;&gt;"pvp",Inputs!$B$43&gt;0),MIN(15,Inputs!$B$43)/(Inputs!$B$43),0))),0)))&gt;=100),CHOOSE(ArtifactsInput!$N$42+1,40,48,56,64,72,80),0))))/100)*((1+(((C1421=TRUE)*F1421)+((C1428=TRUE)*(F1428-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1410)</f>
        <v/>
      </c>
      <c r="L1410">
        <f>K1410*(MIN(Inputs!$B$22+((C1426=TRUE)*(F1426-Calc!F22)),(Inputs!$B$23+0+(IF(ArtifactsInput!$M$15,CHOOSE(ArtifactsInput!$N$15+1,25,30,35,40,45,50)/100*(Inputs!$B$11-Inputs!$B$11),0))))/100+(Inputs!$B$23+0+(IF(ArtifactsInput!$M$15,CHOOSE(ArtifactsInput!$N$15+1,25,30,35,40,45,50)/100*(Inputs!$B$11-Inputs!$B$11),0)))/100)/2</f>
        <v/>
      </c>
      <c r="M1410">
        <f>L1410*(1+(Inputs!$B$10+((C1429=TRUE)*(F1429-Calc!F25))+B1439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0">
        <f>L1410*(1-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1410*(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0">
        <f>(1-Summary!$B$11)*T1410+Summary!$B$11*V1410</f>
        <v/>
      </c>
      <c r="P1410">
        <f>IF(B1444=0,0,O1410/B1444)</f>
        <v/>
      </c>
      <c r="Q1410">
        <f>IFERROR(1/(IF(Inputs!$B$38="pvp",15,MAX(0.1,Skills!D6-IF(Skills!E6=TRUE,Inputs!$B$32,0)))*(1-IF(AND(ArtifactsInput!$M$27,Inputs!$B$4="Chapter Hunt"),CHOOSE(ArtifactsInput!$N$27+1,20,24,28,32,36,40),0)/100)),0)</f>
        <v/>
      </c>
      <c r="R1410">
        <f>IF(AND(Inputs!$B$38&lt;&gt;"pvp",Inputs!$B$43&gt;0),IF(MAX(0,Inputs!$B$43-B1441)&lt;=0,0,(INT(MAX(0,Inputs!$B$43-B1441)/(IF(Inputs!$B$38="pvp",15,MAX(0.1,Skills!D6-IF(Skills!E6=TRUE,Inputs!$B$32,0)))*(1-IF(AND(ArtifactsInput!$M$27,Inputs!$B$4="Chapter Hunt"),CHOOSE(ArtifactsInput!$N$27+1,20,24,28,32,36,40),0)/100)))+1)),0)</f>
        <v/>
      </c>
      <c r="S1410">
        <f>IFERROR(O1410/N1410,0)</f>
        <v/>
      </c>
      <c r="T1410">
        <f>IF(C1410,(H1410*N1410*IF(AND(Inputs!$B$38&lt;&gt;"pvp",Inputs!$B$43&gt;0),((Skills!G6*((R1410-1)*IF(Skills!H6&gt;0,Skills!I6/Skills!H6,1)+IF(Skills!H6&gt;0,MIN(Skills!I6,MAX(0,MAX(0,Inputs!$B$43-B1441)-((R1410-1)*(IF(Inputs!$B$38="pvp",15,MAX(0.1,Skills!D6-IF(Skills!E6=TRUE,Inputs!$B$32,0)))*(1-IF(AND(ArtifactsInput!$M$27,Inputs!$B$4="Chapter Hunt"),CHOOSE(ArtifactsInput!$N$27+1,20,24,28,32,36,40),0)/100)))))/Skills!H6,1)))/Inputs!$B$43),G1410*Q1410)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1410*(1-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1410*(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1410*(1-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1410*(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0">
        <f>IF(C1410,(H1410*N1410*IF(AND(Inputs!$B$38&lt;&gt;"pvp",Inputs!$B$43&gt;0),((Skills!G6*((R1410-1)*IF(Skills!H6&gt;0,Skills!I6/Skills!H6,1)+IF(Skills!H6&gt;0,MIN(Skills!I6,MAX(0,MAX(0,Inputs!$B$43-B1441)-((R1410-1)*(IF(Inputs!$B$38="pvp",15,MAX(0.1,Skills!D6-IF(Skills!E6=TRUE,Inputs!$B$32,0)))*(1-IF(AND(ArtifactsInput!$M$27,Inputs!$B$4="Chapter Hunt"),CHOOSE(ArtifactsInput!$N$27+1,20,24,28,32,36,40),0)/100)))))/Skills!H6,1)))/Inputs!$B$43),G1410*Q1410))*IF(Inputs!$B$38="pvp",1,(1+(Inputs!$B$21+Skills!Q6+(IF(ArtifactsInput!$M$33,CHOOSE(ArtifactsInput!$N$33+1,30,36,42,48,54,60)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1">
      <c r="A1411">
        <f>Skills!A7</f>
        <v/>
      </c>
      <c r="B1411">
        <f>Skills!B7</f>
        <v/>
      </c>
      <c r="C1411">
        <f>Inputs!$B$3&gt;=66</f>
        <v/>
      </c>
      <c r="D1411">
        <f>IF(Skills!C7=1,60+Inputs!$B$25+Inputs!$B$29,IF(Skills!C7=2,90+Inputs!$B$26+Inputs!$B$29,IF(Skills!C7=3,120+Inputs!$B$27+Inputs!$B$29,MAX(0,(Inputs!$B$3-100)*3)+Inputs!$B$28+Inputs!$B$29)))</f>
        <v/>
      </c>
      <c r="E1411">
        <f>INDEX(FactorTable!$B$2:$Y$301, MATCH(ROUND(MIN(300,MAX(1,D1411)),0), FactorTable!$A$2:$A$301,0), Skills!M7+1)</f>
        <v/>
      </c>
      <c r="F1411">
        <f>IF(Skills!N7=TRUE,(Skills!L7/10)*(E1411/1000),Skills!L7/10)+Skills!O7</f>
        <v/>
      </c>
      <c r="G1411">
        <f>Skills!G7*IF(Skills!H7&gt;0,Skills!I7/Skills!H7,1)</f>
        <v/>
      </c>
      <c r="H1411">
        <f>1-(1-Skills!J7/100)^Skills!K7</f>
        <v/>
      </c>
      <c r="I1411" t="inlineStr">
        <is>
          <t>1</t>
        </is>
      </c>
      <c r="J1411">
        <f>((Inputs!$B$6*(1+Inputs!$B$7/100))+(((Inputs!$B$12*(1+Inputs!$B$13/100))-(Inputs!$B$12*(1+Inputs!$B$13/100)))+0.25*(Inputs!$B$14-Inputs!$B$14))*(1+Inputs!$B$7/100))*(F1411/100)</f>
        <v/>
      </c>
      <c r="K1411">
        <f>J1411*(1+((Inputs!$B$12*(1+Inputs!$B$13/100))*0.01+Inputs!$B$14*0.0025)/100)*(1+Inputs!$B$15/100)*(1+Inputs!$B$16/100)*(5000/(6000+Inputs!$B$42*(1-(100*(1-(1-(Inputs!$B$19+0)/100)*(1-CHOOSE(ArtifactsInput!$N$40+1,5,6,7,8,9,10)/100)^(ArtifactsInput!$M$40-ArtifactsInput!$M$40)))/100)))*(1+(Inputs!$B$24+((C1430=TRUE)*(F1430-Calc!F26))+B1440)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1419=TRUE,F1419,0)/100)*(1+(IF(Skills!A7="EIGHT_LEGS_EASTON",Inputs!$B$17+((C1427=TRUE)*(F1427-Calc!F23))+((C1431=TRUE)*(F1431-Calc!F27))+(((IF(AND(ArtifactsInput!$M$42,((Inputs!$B$9+((C1423=TRUE)*(F1423-Calc!F19))+B1434+(ArtifactsInput!$M$24-ArtifactsInput!$M$24)*CHOOSE(ArtifactsInput!$N$24+1,10,12,14,16,18,20)+IF(ArtifactsInput!$M$10,CHOOSE(ArtifactsInput!$N$10+1,15,18,21,24,27,30)*(IF(Inputs!$B$38="pvp",MIN(15,15)/15,IF(AND(Inputs!$B$38&lt;&gt;"pvp",Inputs!$B$43&gt;0),MIN(15,Inputs!$B$43)/(Inputs!$B$43),0))),0)))&gt;=100),MIN(100,((Inputs!$B$9+((C1423=TRUE)*(F1423-Calc!F19))+B1434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1423=TRUE)*(F1423-Calc!F19))+B1434+(ArtifactsInput!$M$24-ArtifactsInput!$M$24)*CHOOSE(ArtifactsInput!$N$24+1,10,12,14,16,18,20)+IF(ArtifactsInput!$M$10,CHOOSE(ArtifactsInput!$N$10+1,15,18,21,24,27,30)*(IF(Inputs!$B$38="pvp",MIN(15,15)/15,IF(AND(Inputs!$B$38&lt;&gt;"pvp",Inputs!$B$43&gt;0),MIN(15,Inputs!$B$43)/(Inputs!$B$43),0))),0)))&gt;=100),CHOOSE(ArtifactsInput!$N$42+1,40,48,56,64,72,80),0))))/100)*((1+(((C1421=TRUE)*F1421)+((C1428=TRUE)*(F1428-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1411)</f>
        <v/>
      </c>
      <c r="L1411">
        <f>K1411*(MIN(Inputs!$B$22+((C1426=TRUE)*(F1426-Calc!F22)),(Inputs!$B$23+0+(IF(ArtifactsInput!$M$15,CHOOSE(ArtifactsInput!$N$15+1,25,30,35,40,45,50)/100*(Inputs!$B$11-Inputs!$B$11),0))))/100+(Inputs!$B$23+0+(IF(ArtifactsInput!$M$15,CHOOSE(ArtifactsInput!$N$15+1,25,30,35,40,45,50)/100*(Inputs!$B$11-Inputs!$B$11),0)))/100)/2</f>
        <v/>
      </c>
      <c r="M1411">
        <f>L1411*(1+(Inputs!$B$10+((C1429=TRUE)*(F1429-Calc!F25))+B1439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1">
        <f>L1411*(1-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1411*(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1">
        <f>(1-Summary!$B$11)*T1411+Summary!$B$11*V1411</f>
        <v/>
      </c>
      <c r="P1411">
        <f>IF(B1444=0,0,O1411/B1444)</f>
        <v/>
      </c>
      <c r="Q1411">
        <f>IFERROR(1/(IF(Inputs!$B$38="pvp",15,MAX(0.1,Skills!D7-IF(Skills!E7=TRUE,Inputs!$B$32,0)))*(1-IF(AND(ArtifactsInput!$M$27,Inputs!$B$4="Chapter Hunt"),CHOOSE(ArtifactsInput!$N$27+1,20,24,28,32,36,40),0)/100)),0)</f>
        <v/>
      </c>
      <c r="R1411">
        <f>IF(AND(Inputs!$B$38&lt;&gt;"pvp",Inputs!$B$43&gt;0),IF(MAX(0,Inputs!$B$43-B1441)&lt;=0,0,(INT(MAX(0,Inputs!$B$43-B1441)/(IF(Inputs!$B$38="pvp",15,MAX(0.1,Skills!D7-IF(Skills!E7=TRUE,Inputs!$B$32,0)))*(1-IF(AND(ArtifactsInput!$M$27,Inputs!$B$4="Chapter Hunt"),CHOOSE(ArtifactsInput!$N$27+1,20,24,28,32,36,40),0)/100)))+1)),0)</f>
        <v/>
      </c>
      <c r="S1411">
        <f>IFERROR(O1411/N1411,0)</f>
        <v/>
      </c>
      <c r="T1411">
        <f>IF(C1411,(H1411*N1411*IF(AND(Inputs!$B$38&lt;&gt;"pvp",Inputs!$B$43&gt;0),((Skills!G7*((R1411-1)*IF(Skills!H7&gt;0,Skills!I7/Skills!H7,1)+IF(Skills!H7&gt;0,MIN(Skills!I7,MAX(0,MAX(0,Inputs!$B$43-B1441)-((R1411-1)*(IF(Inputs!$B$38="pvp",15,MAX(0.1,Skills!D7-IF(Skills!E7=TRUE,Inputs!$B$32,0)))*(1-IF(AND(ArtifactsInput!$M$27,Inputs!$B$4="Chapter Hunt"),CHOOSE(ArtifactsInput!$N$27+1,20,24,28,32,36,40),0)/100)))))/Skills!H7,1)))/Inputs!$B$43),G1411*Q1411)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1411*(1-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1411*(1-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1">
        <f>IF(C1411,(H1411*N1411*IF(AND(Inputs!$B$38&lt;&gt;"pvp",Inputs!$B$43&gt;0),((Skills!G7*((R1411-1)*IF(Skills!H7&gt;0,Skills!I7/Skills!H7,1)+IF(Skills!H7&gt;0,MIN(Skills!I7,MAX(0,MAX(0,Inputs!$B$43-B1441)-((R1411-1)*(IF(Inputs!$B$38="pvp",15,MAX(0.1,Skills!D7-IF(Skills!E7=TRUE,Inputs!$B$32,0)))*(1-IF(AND(ArtifactsInput!$M$27,Inputs!$B$4="Chapter Hunt"),CHOOSE(ArtifactsInput!$N$27+1,20,24,28,32,36,40),0)/100)))))/Skills!H7,1)))/Inputs!$B$43),G1411*Q1411))*IF(Inputs!$B$38="pvp",1,(1+(Inputs!$B$21+Skills!Q7+(IF(ArtifactsInput!$M$33,CHOOSE(ArtifactsInput!$N$33+1,30,36,42,48,54,60)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2">
      <c r="A1412">
        <f>Skills!A8</f>
        <v/>
      </c>
      <c r="B1412">
        <f>Skills!B8</f>
        <v/>
      </c>
      <c r="C1412">
        <f>Inputs!$B$3&gt;=100</f>
        <v/>
      </c>
      <c r="D1412">
        <f>IF(Skills!C8=1,60+Inputs!$B$25+Inputs!$B$29,IF(Skills!C8=2,90+Inputs!$B$26+Inputs!$B$29,IF(Skills!C8=3,120+Inputs!$B$27+Inputs!$B$29,MAX(0,(Inputs!$B$3-100)*3)+Inputs!$B$28+Inputs!$B$29)))</f>
        <v/>
      </c>
      <c r="E1412">
        <f>INDEX(FactorTable!$B$2:$Y$301, MATCH(ROUND(MIN(300,MAX(1,D1412)),0), FactorTable!$A$2:$A$301,0), Skills!M8+1)</f>
        <v/>
      </c>
      <c r="F1412">
        <f>IF(Skills!N8=TRUE,(Skills!L8/10)*(E1412/1000),Skills!L8/10)+Skills!O8</f>
        <v/>
      </c>
      <c r="G1412">
        <f>Skills!G8*IF(Skills!H8&gt;0,Skills!I8/Skills!H8,1)</f>
        <v/>
      </c>
      <c r="H1412">
        <f>1-(1-Skills!J8/100)^Skills!K8</f>
        <v/>
      </c>
      <c r="I1412" t="inlineStr">
        <is>
          <t>1</t>
        </is>
      </c>
      <c r="J1412">
        <f>((Inputs!$B$6*(1+Inputs!$B$7/100))+(((Inputs!$B$12*(1+Inputs!$B$13/100))-(Inputs!$B$12*(1+Inputs!$B$13/100)))+0.25*(Inputs!$B$14-Inputs!$B$14))*(1+Inputs!$B$7/100))*(F1412/100)</f>
        <v/>
      </c>
      <c r="K1412">
        <f>J1412*(1+((Inputs!$B$12*(1+Inputs!$B$13/100))*0.01+Inputs!$B$14*0.0025)/100)*(1+Inputs!$B$15/100)*(1+Inputs!$B$16/100)*(5000/(6000+Inputs!$B$42*(1-(100*(1-(1-(Inputs!$B$19+0)/100)*(1-CHOOSE(ArtifactsInput!$N$40+1,5,6,7,8,9,10)/100)^(ArtifactsInput!$M$40-ArtifactsInput!$M$40)))/100)))*(1+(Inputs!$B$24+((C1430=TRUE)*(F1430-Calc!F26))+B1440)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1427=TRUE)*(F1427-Calc!F23))+((C1431=TRUE)*(F1431-Calc!F27))+(((IF(AND(ArtifactsInput!$M$42,((Inputs!$B$9+((C1423=TRUE)*(F1423-Calc!F19))+B1434+(ArtifactsInput!$M$24-ArtifactsInput!$M$24)*CHOOSE(ArtifactsInput!$N$24+1,10,12,14,16,18,20)+IF(ArtifactsInput!$M$10,CHOOSE(ArtifactsInput!$N$10+1,15,18,21,24,27,30)*(IF(Inputs!$B$38="pvp",MIN(15,15)/15,IF(AND(Inputs!$B$38&lt;&gt;"pvp",Inputs!$B$43&gt;0),MIN(15,Inputs!$B$43)/(Inputs!$B$43),0))),0)))&gt;=100),MIN(100,((Inputs!$B$9+((C1423=TRUE)*(F1423-Calc!F19))+B1434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1423=TRUE)*(F1423-Calc!F19))+B1434+(ArtifactsInput!$M$24-ArtifactsInput!$M$24)*CHOOSE(ArtifactsInput!$N$24+1,10,12,14,16,18,20)+IF(ArtifactsInput!$M$10,CHOOSE(ArtifactsInput!$N$10+1,15,18,21,24,27,30)*(IF(Inputs!$B$38="pvp",MIN(15,15)/15,IF(AND(Inputs!$B$38&lt;&gt;"pvp",Inputs!$B$43&gt;0),MIN(15,Inputs!$B$43)/(Inputs!$B$43),0))),0)))&gt;=100),CHOOSE(ArtifactsInput!$N$42+1,40,48,56,64,72,80),0))))/100)*((1+(((C1421=TRUE)*F1421)+((C1428=TRUE)*(F1428-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1412)</f>
        <v/>
      </c>
      <c r="L1412">
        <f>K1412*(MIN(Inputs!$B$22+((C1426=TRUE)*(F1426-Calc!F22)),(Inputs!$B$23+0+(IF(ArtifactsInput!$M$15,CHOOSE(ArtifactsInput!$N$15+1,25,30,35,40,45,50)/100*(Inputs!$B$11-Inputs!$B$11),0))))/100+(Inputs!$B$23+0+(IF(ArtifactsInput!$M$15,CHOOSE(ArtifactsInput!$N$15+1,25,30,35,40,45,50)/100*(Inputs!$B$11-Inputs!$B$11),0)))/100)/2</f>
        <v/>
      </c>
      <c r="M1412">
        <f>L1412*(1+(Inputs!$B$10+((C1429=TRUE)*(F1429-Calc!F25))+B1439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2">
        <f>L1412*(1-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1412*(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2">
        <f>(1-Summary!$B$11)*T1412+Summary!$B$11*V1412</f>
        <v/>
      </c>
      <c r="P1412">
        <f>IF(B1444=0,0,O1412/B1444)</f>
        <v/>
      </c>
      <c r="Q1412">
        <f>IFERROR(1/(IF(Inputs!$B$38="pvp",15,MAX(0.1,Skills!D8-IF(Skills!E8=TRUE,Inputs!$B$32,0)))*(1-IF(AND(ArtifactsInput!$M$27,Inputs!$B$4="Chapter Hunt"),CHOOSE(ArtifactsInput!$N$27+1,20,24,28,32,36,40),0)/100)),0)</f>
        <v/>
      </c>
      <c r="R1412">
        <f>IF(AND(Inputs!$B$38&lt;&gt;"pvp",Inputs!$B$43&gt;0),IF(MAX(0,Inputs!$B$43-B1441)&lt;=0,0,(INT(MAX(0,Inputs!$B$43-B1441)/(IF(Inputs!$B$38="pvp",15,MAX(0.1,Skills!D8-IF(Skills!E8=TRUE,Inputs!$B$32,0)))*(1-IF(AND(ArtifactsInput!$M$27,Inputs!$B$4="Chapter Hunt"),CHOOSE(ArtifactsInput!$N$27+1,20,24,28,32,36,40),0)/100)))+1)),0)</f>
        <v/>
      </c>
      <c r="S1412">
        <f>IFERROR(O1412/N1412,0)</f>
        <v/>
      </c>
      <c r="T1412">
        <f>IF(C1412,(H1412*N1412*IF(AND(Inputs!$B$38&lt;&gt;"pvp",Inputs!$B$43&gt;0),((Skills!G8*((R1412-1)*IF(Skills!H8&gt;0,Skills!I8/Skills!H8,1)+IF(Skills!H8&gt;0,MIN(Skills!I8,MAX(0,MAX(0,Inputs!$B$43-B1441)-((R1412-1)*(IF(Inputs!$B$38="pvp",15,MAX(0.1,Skills!D8-IF(Skills!E8=TRUE,Inputs!$B$32,0)))*(1-IF(AND(ArtifactsInput!$M$27,Inputs!$B$4="Chapter Hunt"),CHOOSE(ArtifactsInput!$N$27+1,20,24,28,32,36,40),0)/100)))))/Skills!H8,1)))/Inputs!$B$43),G1412*Q1412)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1412*(1-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1412*(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1412*(1-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1412*(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2">
        <f>IF(C1412,(H1412*N1412*IF(AND(Inputs!$B$38&lt;&gt;"pvp",Inputs!$B$43&gt;0),((Skills!G8*((R1412-1)*IF(Skills!H8&gt;0,Skills!I8/Skills!H8,1)+IF(Skills!H8&gt;0,MIN(Skills!I8,MAX(0,MAX(0,Inputs!$B$43-B1441)-((R1412-1)*(IF(Inputs!$B$38="pvp",15,MAX(0.1,Skills!D8-IF(Skills!E8=TRUE,Inputs!$B$32,0)))*(1-IF(AND(ArtifactsInput!$M$27,Inputs!$B$4="Chapter Hunt"),CHOOSE(ArtifactsInput!$N$27+1,20,24,28,32,36,40),0)/100)))))/Skills!H8,1)))/Inputs!$B$43),G1412*Q1412))*IF(Inputs!$B$38="pvp",1,(1+(Inputs!$B$21+Skills!Q8+(IF(ArtifactsInput!$M$33,CHOOSE(ArtifactsInput!$N$33+1,30,36,42,48,54,60)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3">
      <c r="A1413">
        <f>Skills!A9</f>
        <v/>
      </c>
      <c r="B1413">
        <f>Skills!B9</f>
        <v/>
      </c>
      <c r="C1413">
        <f>Inputs!$B$3&gt;=103</f>
        <v/>
      </c>
      <c r="D1413">
        <f>IF(Skills!C9=1,60+Inputs!$B$25+Inputs!$B$29,IF(Skills!C9=2,90+Inputs!$B$26+Inputs!$B$29,IF(Skills!C9=3,120+Inputs!$B$27+Inputs!$B$29,MAX(0,(Inputs!$B$3-100)*3)+Inputs!$B$28+Inputs!$B$29)))</f>
        <v/>
      </c>
      <c r="E1413">
        <f>INDEX(FactorTable!$B$2:$Y$301, MATCH(ROUND(MIN(300,MAX(1,D1413)),0), FactorTable!$A$2:$A$301,0), Skills!M9+1)</f>
        <v/>
      </c>
      <c r="F1413">
        <f>IF(Skills!N9=TRUE,(Skills!L9/10)*(E1413/1000),Skills!L9/10)+Skills!O9</f>
        <v/>
      </c>
      <c r="G1413">
        <f>Skills!G9*IF(Skills!H9&gt;0,Skills!I9/Skills!H9,1)</f>
        <v/>
      </c>
      <c r="H1413">
        <f>1-(1-Skills!J9/100)^Skills!K9</f>
        <v/>
      </c>
      <c r="I1413" t="inlineStr">
        <is>
          <t>1</t>
        </is>
      </c>
      <c r="J1413">
        <f>((Inputs!$B$6*(1+Inputs!$B$7/100))+(((Inputs!$B$12*(1+Inputs!$B$13/100))-(Inputs!$B$12*(1+Inputs!$B$13/100)))+0.25*(Inputs!$B$14-Inputs!$B$14))*(1+Inputs!$B$7/100))*(F1413/100)</f>
        <v/>
      </c>
      <c r="K1413">
        <f>J1413*(1+((Inputs!$B$12*(1+Inputs!$B$13/100))*0.01+Inputs!$B$14*0.0025)/100)*(1+Inputs!$B$15/100)*(1+Inputs!$B$16/100)*(5000/(6000+Inputs!$B$42*(1-(100*(1-(1-(Inputs!$B$19+0)/100)*(1-CHOOSE(ArtifactsInput!$N$40+1,5,6,7,8,9,10)/100)^(ArtifactsInput!$M$40-ArtifactsInput!$M$40)))/100)))*(1+(Inputs!$B$24+((C1430=TRUE)*(F1430-Calc!F26))+B1440)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1427=TRUE)*(F1427-Calc!F23))+((C1431=TRUE)*(F1431-Calc!F27))+(((IF(AND(ArtifactsInput!$M$42,((Inputs!$B$9+((C1423=TRUE)*(F1423-Calc!F19))+B1434+(ArtifactsInput!$M$24-ArtifactsInput!$M$24)*CHOOSE(ArtifactsInput!$N$24+1,10,12,14,16,18,20)+IF(ArtifactsInput!$M$10,CHOOSE(ArtifactsInput!$N$10+1,15,18,21,24,27,30)*(IF(Inputs!$B$38="pvp",MIN(15,15)/15,IF(AND(Inputs!$B$38&lt;&gt;"pvp",Inputs!$B$43&gt;0),MIN(15,Inputs!$B$43)/(Inputs!$B$43),0))),0)))&gt;=100),MIN(100,((Inputs!$B$9+((C1423=TRUE)*(F1423-Calc!F19))+B1434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1423=TRUE)*(F1423-Calc!F19))+B1434+(ArtifactsInput!$M$24-ArtifactsInput!$M$24)*CHOOSE(ArtifactsInput!$N$24+1,10,12,14,16,18,20)+IF(ArtifactsInput!$M$10,CHOOSE(ArtifactsInput!$N$10+1,15,18,21,24,27,30)*(IF(Inputs!$B$38="pvp",MIN(15,15)/15,IF(AND(Inputs!$B$38&lt;&gt;"pvp",Inputs!$B$43&gt;0),MIN(15,Inputs!$B$43)/(Inputs!$B$43),0))),0)))&gt;=100),CHOOSE(ArtifactsInput!$N$42+1,40,48,56,64,72,80),0))))/100)*((1+(((C1421=TRUE)*F1421)+((C1428=TRUE)*(F1428-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1413)</f>
        <v/>
      </c>
      <c r="L1413">
        <f>K1413*(MIN(Inputs!$B$22+((C1426=TRUE)*(F1426-Calc!F22)),(Inputs!$B$23+0+(IF(ArtifactsInput!$M$15,CHOOSE(ArtifactsInput!$N$15+1,25,30,35,40,45,50)/100*(Inputs!$B$11-Inputs!$B$11),0))))/100+(Inputs!$B$23+0+(IF(ArtifactsInput!$M$15,CHOOSE(ArtifactsInput!$N$15+1,25,30,35,40,45,50)/100*(Inputs!$B$11-Inputs!$B$11),0)))/100)/2</f>
        <v/>
      </c>
      <c r="M1413">
        <f>L1413*(1+(Inputs!$B$10+((C1429=TRUE)*(F1429-Calc!F25))+B1439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3">
        <f>L1413*(1-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1413*(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3">
        <f>(1-Summary!$B$11)*T1413+Summary!$B$11*V1413</f>
        <v/>
      </c>
      <c r="P1413">
        <f>IF(B1444=0,0,O1413/B1444)</f>
        <v/>
      </c>
      <c r="Q1413">
        <f>IFERROR(1/(IF(Inputs!$B$38="pvp",15,MAX(0.1,Skills!D9-IF(Skills!E9=TRUE,Inputs!$B$32,0)))*(1-IF(AND(ArtifactsInput!$M$27,Inputs!$B$4="Chapter Hunt"),CHOOSE(ArtifactsInput!$N$27+1,20,24,28,32,36,40),0)/100)),0)</f>
        <v/>
      </c>
      <c r="R1413">
        <f>IF(AND(Inputs!$B$38&lt;&gt;"pvp",Inputs!$B$43&gt;0),IF(MAX(0,Inputs!$B$43-B1441)&lt;=0,0,(INT(MAX(0,Inputs!$B$43-B1441)/(IF(Inputs!$B$38="pvp",15,MAX(0.1,Skills!D9-IF(Skills!E9=TRUE,Inputs!$B$32,0)))*(1-IF(AND(ArtifactsInput!$M$27,Inputs!$B$4="Chapter Hunt"),CHOOSE(ArtifactsInput!$N$27+1,20,24,28,32,36,40),0)/100)))+1)),0)</f>
        <v/>
      </c>
      <c r="S1413">
        <f>IFERROR(O1413/N1413,0)</f>
        <v/>
      </c>
      <c r="T1413">
        <f>IF(C1413,(H1413*N1413*IF(AND(Inputs!$B$38&lt;&gt;"pvp",Inputs!$B$43&gt;0),((Skills!G9*((R1413-1)*IF(Skills!H9&gt;0,Skills!I9/Skills!H9,1)+IF(Skills!H9&gt;0,MIN(Skills!I9,MAX(0,MAX(0,Inputs!$B$43-B1441)-((R1413-1)*(IF(Inputs!$B$38="pvp",15,MAX(0.1,Skills!D9-IF(Skills!E9=TRUE,Inputs!$B$32,0)))*(1-IF(AND(ArtifactsInput!$M$27,Inputs!$B$4="Chapter Hunt"),CHOOSE(ArtifactsInput!$N$27+1,20,24,28,32,36,40),0)/100)))))/Skills!H9,1)))/Inputs!$B$43),G1413*Q1413)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1413*(1-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1413*(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1413*(1-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1413*(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3">
        <f>IF(C1413,(H1413*N1413*IF(AND(Inputs!$B$38&lt;&gt;"pvp",Inputs!$B$43&gt;0),((Skills!G9*((R1413-1)*IF(Skills!H9&gt;0,Skills!I9/Skills!H9,1)+IF(Skills!H9&gt;0,MIN(Skills!I9,MAX(0,MAX(0,Inputs!$B$43-B1441)-((R1413-1)*(IF(Inputs!$B$38="pvp",15,MAX(0.1,Skills!D9-IF(Skills!E9=TRUE,Inputs!$B$32,0)))*(1-IF(AND(ArtifactsInput!$M$27,Inputs!$B$4="Chapter Hunt"),CHOOSE(ArtifactsInput!$N$27+1,20,24,28,32,36,40),0)/100)))))/Skills!H9,1)))/Inputs!$B$43),G1413*Q1413))*IF(Inputs!$B$38="pvp",1,(1+(Inputs!$B$21+Skills!Q9+(IF(ArtifactsInput!$M$33,CHOOSE(ArtifactsInput!$N$33+1,30,36,42,48,54,60)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4">
      <c r="A1414">
        <f>Skills!A10</f>
        <v/>
      </c>
      <c r="B1414">
        <f>Skills!B10</f>
        <v/>
      </c>
      <c r="C1414">
        <f>Inputs!$B$3&gt;=113</f>
        <v/>
      </c>
      <c r="D1414">
        <f>IF(Skills!C10=1,60+Inputs!$B$25+Inputs!$B$29,IF(Skills!C10=2,90+Inputs!$B$26+Inputs!$B$29,IF(Skills!C10=3,120+Inputs!$B$27+Inputs!$B$29,MAX(0,(Inputs!$B$3-100)*3)+Inputs!$B$28+Inputs!$B$29)))</f>
        <v/>
      </c>
      <c r="E1414">
        <f>INDEX(FactorTable!$B$2:$Y$301, MATCH(ROUND(MIN(300,MAX(1,D1414)),0), FactorTable!$A$2:$A$301,0), Skills!M10+1)</f>
        <v/>
      </c>
      <c r="F1414">
        <f>IF(Skills!N10=TRUE,(Skills!L10/10)*(E1414/1000),Skills!L10/10)+Skills!O10</f>
        <v/>
      </c>
      <c r="G1414">
        <f>Skills!G10*IF(Skills!H10&gt;0,Skills!I10/Skills!H10,1)</f>
        <v/>
      </c>
      <c r="H1414">
        <f>1-(1-Skills!J10/100)^Skills!K10</f>
        <v/>
      </c>
      <c r="I1414" t="inlineStr">
        <is>
          <t>1</t>
        </is>
      </c>
      <c r="J1414">
        <f>((Inputs!$B$6*(1+Inputs!$B$7/100))+(((Inputs!$B$12*(1+Inputs!$B$13/100))-(Inputs!$B$12*(1+Inputs!$B$13/100)))+0.25*(Inputs!$B$14-Inputs!$B$14))*(1+Inputs!$B$7/100))*(F1414/100)</f>
        <v/>
      </c>
      <c r="K1414">
        <f>J1414*(1+((Inputs!$B$12*(1+Inputs!$B$13/100))*0.01+Inputs!$B$14*0.0025)/100)*(1+Inputs!$B$15/100)*(1+Inputs!$B$16/100)*(5000/(6000+Inputs!$B$42*(1-(100*(1-(1-(Inputs!$B$19+0)/100)*(1-CHOOSE(ArtifactsInput!$N$40+1,5,6,7,8,9,10)/100)^(ArtifactsInput!$M$40-ArtifactsInput!$M$40)))/100)))*(1+(Inputs!$B$24+((C1430=TRUE)*(F1430-Calc!F26))+B1440)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1427=TRUE)*(F1427-Calc!F23))+((C1431=TRUE)*(F1431-Calc!F27))+(((IF(AND(ArtifactsInput!$M$42,((Inputs!$B$9+((C1423=TRUE)*(F1423-Calc!F19))+B1434+(ArtifactsInput!$M$24-ArtifactsInput!$M$24)*CHOOSE(ArtifactsInput!$N$24+1,10,12,14,16,18,20)+IF(ArtifactsInput!$M$10,CHOOSE(ArtifactsInput!$N$10+1,15,18,21,24,27,30)*(IF(Inputs!$B$38="pvp",MIN(15,15)/15,IF(AND(Inputs!$B$38&lt;&gt;"pvp",Inputs!$B$43&gt;0),MIN(15,Inputs!$B$43)/(Inputs!$B$43),0))),0)))&gt;=100),MIN(100,((Inputs!$B$9+((C1423=TRUE)*(F1423-Calc!F19))+B1434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1423=TRUE)*(F1423-Calc!F19))+B1434+(ArtifactsInput!$M$24-ArtifactsInput!$M$24)*CHOOSE(ArtifactsInput!$N$24+1,10,12,14,16,18,20)+IF(ArtifactsInput!$M$10,CHOOSE(ArtifactsInput!$N$10+1,15,18,21,24,27,30)*(IF(Inputs!$B$38="pvp",MIN(15,15)/15,IF(AND(Inputs!$B$38&lt;&gt;"pvp",Inputs!$B$43&gt;0),MIN(15,Inputs!$B$43)/(Inputs!$B$43),0))),0)))&gt;=100),CHOOSE(ArtifactsInput!$N$42+1,40,48,56,64,72,80),0))))/100)*((1+(((C1421=TRUE)*F1421)+((C1428=TRUE)*(F1428-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1414)</f>
        <v/>
      </c>
      <c r="L1414">
        <f>K1414*(MIN(Inputs!$B$22+((C1426=TRUE)*(F1426-Calc!F22)),(Inputs!$B$23+0+(IF(ArtifactsInput!$M$15,CHOOSE(ArtifactsInput!$N$15+1,25,30,35,40,45,50)/100*(Inputs!$B$11-Inputs!$B$11),0))))/100+(Inputs!$B$23+0+(IF(ArtifactsInput!$M$15,CHOOSE(ArtifactsInput!$N$15+1,25,30,35,40,45,50)/100*(Inputs!$B$11-Inputs!$B$11),0)))/100)/2</f>
        <v/>
      </c>
      <c r="M1414">
        <f>L1414*(1+(Inputs!$B$10+((C1429=TRUE)*(F1429-Calc!F25))+B1439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4">
        <f>L1414*(1-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1414*(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4">
        <f>(1-Summary!$B$11)*T1414+Summary!$B$11*V1414</f>
        <v/>
      </c>
      <c r="P1414">
        <f>IF(B1444=0,0,O1414/B1444)</f>
        <v/>
      </c>
      <c r="Q1414">
        <f>IFERROR(1/(IF(Inputs!$B$38="pvp",15,MAX(0.1,Skills!D10-IF(Skills!E10=TRUE,Inputs!$B$32,0)))*(1-IF(AND(ArtifactsInput!$M$27,Inputs!$B$4="Chapter Hunt"),CHOOSE(ArtifactsInput!$N$27+1,20,24,28,32,36,40),0)/100)),0)</f>
        <v/>
      </c>
      <c r="R1414">
        <f>IF(AND(Inputs!$B$38&lt;&gt;"pvp",Inputs!$B$43&gt;0),IF(MAX(0,Inputs!$B$43-B1441)&lt;=0,0,(INT(MAX(0,Inputs!$B$43-B1441)/(IF(Inputs!$B$38="pvp",15,MAX(0.1,Skills!D10-IF(Skills!E10=TRUE,Inputs!$B$32,0)))*(1-IF(AND(ArtifactsInput!$M$27,Inputs!$B$4="Chapter Hunt"),CHOOSE(ArtifactsInput!$N$27+1,20,24,28,32,36,40),0)/100)))+1)),0)</f>
        <v/>
      </c>
      <c r="S1414">
        <f>IFERROR(O1414/N1414,0)</f>
        <v/>
      </c>
      <c r="T1414">
        <f>IF(C1414,(H1414*N1414*IF(AND(Inputs!$B$38&lt;&gt;"pvp",Inputs!$B$43&gt;0),((Skills!G10*((R1414-1)*IF(Skills!H10&gt;0,Skills!I10/Skills!H10,1)+IF(Skills!H10&gt;0,MIN(Skills!I10,MAX(0,MAX(0,Inputs!$B$43-B1441)-((R1414-1)*(IF(Inputs!$B$38="pvp",15,MAX(0.1,Skills!D10-IF(Skills!E10=TRUE,Inputs!$B$32,0)))*(1-IF(AND(ArtifactsInput!$M$27,Inputs!$B$4="Chapter Hunt"),CHOOSE(ArtifactsInput!$N$27+1,20,24,28,32,36,40),0)/100)))))/Skills!H10,1)))/Inputs!$B$43),G1414*Q1414)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1414*(1-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1414*(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1414*(1-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1414*(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4">
        <f>IF(C1414,(H1414*N1414*IF(AND(Inputs!$B$38&lt;&gt;"pvp",Inputs!$B$43&gt;0),((Skills!G10*((R1414-1)*IF(Skills!H10&gt;0,Skills!I10/Skills!H10,1)+IF(Skills!H10&gt;0,MIN(Skills!I10,MAX(0,MAX(0,Inputs!$B$43-B1441)-((R1414-1)*(IF(Inputs!$B$38="pvp",15,MAX(0.1,Skills!D10-IF(Skills!E10=TRUE,Inputs!$B$32,0)))*(1-IF(AND(ArtifactsInput!$M$27,Inputs!$B$4="Chapter Hunt"),CHOOSE(ArtifactsInput!$N$27+1,20,24,28,32,36,40),0)/100)))))/Skills!H10,1)))/Inputs!$B$43),G1414*Q1414))*IF(Inputs!$B$38="pvp",1,(1+(Inputs!$B$21+Skills!Q10+(IF(ArtifactsInput!$M$33,CHOOSE(ArtifactsInput!$N$33+1,30,36,42,48,54,60)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5">
      <c r="A1415">
        <f>Skills!A11</f>
        <v/>
      </c>
      <c r="B1415">
        <f>Skills!B11</f>
        <v/>
      </c>
      <c r="C1415">
        <f>Inputs!$B$3&gt;=107</f>
        <v/>
      </c>
      <c r="D1415">
        <f>IF(Skills!C11=1,60+Inputs!$B$25+Inputs!$B$29,IF(Skills!C11=2,90+Inputs!$B$26+Inputs!$B$29,IF(Skills!C11=3,120+Inputs!$B$27+Inputs!$B$29,MAX(0,(Inputs!$B$3-100)*3)+Inputs!$B$28+Inputs!$B$29)))</f>
        <v/>
      </c>
      <c r="E1415">
        <f>INDEX(FactorTable!$B$2:$Y$301, MATCH(ROUND(MIN(300,MAX(1,D1415)),0), FactorTable!$A$2:$A$301,0), Skills!M11+1)</f>
        <v/>
      </c>
      <c r="F1415">
        <f>IF(Skills!N11=TRUE,(Skills!L11/10)*(E1415/1000),Skills!L11/10)+Skills!O11</f>
        <v/>
      </c>
      <c r="G1415">
        <f>Skills!G11*IF(Skills!H11&gt;0,Skills!I11/Skills!H11,1)</f>
        <v/>
      </c>
      <c r="H1415">
        <f>1-(1-Skills!J11/100)^Skills!K11</f>
        <v/>
      </c>
      <c r="I1415" t="inlineStr">
        <is>
          <t>1</t>
        </is>
      </c>
      <c r="J1415">
        <f>((Inputs!$B$6*(1+Inputs!$B$7/100))+(((Inputs!$B$12*(1+Inputs!$B$13/100))-(Inputs!$B$12*(1+Inputs!$B$13/100)))+0.25*(Inputs!$B$14-Inputs!$B$14))*(1+Inputs!$B$7/100))*(F1415/100)</f>
        <v/>
      </c>
      <c r="K1415">
        <f>J1415*(1+((Inputs!$B$12*(1+Inputs!$B$13/100))*0.01+Inputs!$B$14*0.0025)/100)*(1+Inputs!$B$15/100)*(1+Inputs!$B$16/100)*(5000/(6000+Inputs!$B$42*(1-(100*(1-(1-(Inputs!$B$19+0)/100)*(1-CHOOSE(ArtifactsInput!$N$40+1,5,6,7,8,9,10)/100)^(ArtifactsInput!$M$40-ArtifactsInput!$M$40)))/100)))*(1+(Inputs!$B$24+((C1430=TRUE)*(F1430-Calc!F26))+B1440)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1427=TRUE)*(F1427-Calc!F23))+((C1431=TRUE)*(F1431-Calc!F27))+(((IF(AND(ArtifactsInput!$M$42,((Inputs!$B$9+((C1423=TRUE)*(F1423-Calc!F19))+B1434+(ArtifactsInput!$M$24-ArtifactsInput!$M$24)*CHOOSE(ArtifactsInput!$N$24+1,10,12,14,16,18,20)+IF(ArtifactsInput!$M$10,CHOOSE(ArtifactsInput!$N$10+1,15,18,21,24,27,30)*(IF(Inputs!$B$38="pvp",MIN(15,15)/15,IF(AND(Inputs!$B$38&lt;&gt;"pvp",Inputs!$B$43&gt;0),MIN(15,Inputs!$B$43)/(Inputs!$B$43),0))),0)))&gt;=100),MIN(100,((Inputs!$B$9+((C1423=TRUE)*(F1423-Calc!F19))+B1434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1423=TRUE)*(F1423-Calc!F19))+B1434+(ArtifactsInput!$M$24-ArtifactsInput!$M$24)*CHOOSE(ArtifactsInput!$N$24+1,10,12,14,16,18,20)+IF(ArtifactsInput!$M$10,CHOOSE(ArtifactsInput!$N$10+1,15,18,21,24,27,30)*(IF(Inputs!$B$38="pvp",MIN(15,15)/15,IF(AND(Inputs!$B$38&lt;&gt;"pvp",Inputs!$B$43&gt;0),MIN(15,Inputs!$B$43)/(Inputs!$B$43),0))),0)))&gt;=100),CHOOSE(ArtifactsInput!$N$42+1,40,48,56,64,72,80),0))))/100)*((1+(((C1421=TRUE)*F1421)+((C1428=TRUE)*(F1428-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1415)</f>
        <v/>
      </c>
      <c r="L1415">
        <f>K1415*(MIN(Inputs!$B$22+((C1426=TRUE)*(F1426-Calc!F22)),(Inputs!$B$23+0+(IF(ArtifactsInput!$M$15,CHOOSE(ArtifactsInput!$N$15+1,25,30,35,40,45,50)/100*(Inputs!$B$11-Inputs!$B$11),0))))/100+(Inputs!$B$23+0+(IF(ArtifactsInput!$M$15,CHOOSE(ArtifactsInput!$N$15+1,25,30,35,40,45,50)/100*(Inputs!$B$11-Inputs!$B$11),0)))/100)/2</f>
        <v/>
      </c>
      <c r="M1415">
        <f>L1415*(1+(Inputs!$B$10+((C1429=TRUE)*(F1429-Calc!F25))+B1439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5">
        <f>L1415*(1-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1415*(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5">
        <f>(1-Summary!$B$11)*T1415+Summary!$B$11*V1415</f>
        <v/>
      </c>
      <c r="P1415">
        <f>IF(B1444=0,0,O1415/B1444)</f>
        <v/>
      </c>
      <c r="Q1415">
        <f>IFERROR(1/(IF(Inputs!$B$38="pvp",15,MAX(0.1,Skills!D11-IF(Skills!E11=TRUE,Inputs!$B$32,0)))*(1-IF(AND(ArtifactsInput!$M$27,Inputs!$B$4="Chapter Hunt"),CHOOSE(ArtifactsInput!$N$27+1,20,24,28,32,36,40),0)/100)),0)</f>
        <v/>
      </c>
      <c r="R1415">
        <f>IF(AND(Inputs!$B$38&lt;&gt;"pvp",Inputs!$B$43&gt;0),IF(MAX(0,Inputs!$B$43-B1441)&lt;=0,0,(INT(MAX(0,Inputs!$B$43-B1441)/(IF(Inputs!$B$38="pvp",15,MAX(0.1,Skills!D11-IF(Skills!E11=TRUE,Inputs!$B$32,0)))*(1-IF(AND(ArtifactsInput!$M$27,Inputs!$B$4="Chapter Hunt"),CHOOSE(ArtifactsInput!$N$27+1,20,24,28,32,36,40),0)/100)))+1)),0)</f>
        <v/>
      </c>
      <c r="S1415">
        <f>IFERROR(O1415/N1415,0)</f>
        <v/>
      </c>
      <c r="T1415">
        <f>IF(C1415,(H1415*N1415*IF(AND(Inputs!$B$38&lt;&gt;"pvp",Inputs!$B$43&gt;0),((Skills!G11*((R1415-1)*IF(Skills!H11&gt;0,Skills!I11/Skills!H11,1)+IF(Skills!H11&gt;0,MIN(Skills!I11,MAX(0,MAX(0,Inputs!$B$43-B1441)-((R1415-1)*(IF(Inputs!$B$38="pvp",15,MAX(0.1,Skills!D11-IF(Skills!E11=TRUE,Inputs!$B$32,0)))*(1-IF(AND(ArtifactsInput!$M$27,Inputs!$B$4="Chapter Hunt"),CHOOSE(ArtifactsInput!$N$27+1,20,24,28,32,36,40),0)/100)))))/Skills!H11,1)))/Inputs!$B$43),G1415*Q1415)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1415*(1-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1415*(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1415*(1-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1415*(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5">
        <f>IF(C1415,(H1415*N1415*IF(AND(Inputs!$B$38&lt;&gt;"pvp",Inputs!$B$43&gt;0),((Skills!G11*((R1415-1)*IF(Skills!H11&gt;0,Skills!I11/Skills!H11,1)+IF(Skills!H11&gt;0,MIN(Skills!I11,MAX(0,MAX(0,Inputs!$B$43-B1441)-((R1415-1)*(IF(Inputs!$B$38="pvp",15,MAX(0.1,Skills!D11-IF(Skills!E11=TRUE,Inputs!$B$32,0)))*(1-IF(AND(ArtifactsInput!$M$27,Inputs!$B$4="Chapter Hunt"),CHOOSE(ArtifactsInput!$N$27+1,20,24,28,32,36,40),0)/100)))))/Skills!H11,1)))/Inputs!$B$43),G1415*Q1415))*IF(Inputs!$B$38="pvp",1,(1+(Inputs!$B$21+Skills!Q11+(IF(ArtifactsInput!$M$33,CHOOSE(ArtifactsInput!$N$33+1,30,36,42,48,54,60)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6">
      <c r="A1416">
        <f>Skills!A12</f>
        <v/>
      </c>
      <c r="B1416">
        <f>Skills!B12</f>
        <v/>
      </c>
      <c r="C1416">
        <f>Inputs!$B$3&gt;=110</f>
        <v/>
      </c>
      <c r="D1416">
        <f>IF(Skills!C12=1,60+Inputs!$B$25+Inputs!$B$29,IF(Skills!C12=2,90+Inputs!$B$26+Inputs!$B$29,IF(Skills!C12=3,120+Inputs!$B$27+Inputs!$B$29,MAX(0,(Inputs!$B$3-100)*3)+Inputs!$B$28+Inputs!$B$29)))</f>
        <v/>
      </c>
      <c r="E1416">
        <f>INDEX(FactorTable!$B$2:$Y$301, MATCH(ROUND(MIN(300,MAX(1,D1416)),0), FactorTable!$A$2:$A$301,0), Skills!M12+1)</f>
        <v/>
      </c>
      <c r="F1416">
        <f>IF(Skills!N12=TRUE,(Skills!L12/10)*(E1416/1000),Skills!L12/10)+Skills!O12</f>
        <v/>
      </c>
      <c r="G1416">
        <f>Skills!G12*IF(Skills!H12&gt;0,Skills!I12/Skills!H12,1)</f>
        <v/>
      </c>
      <c r="H1416">
        <f>1-(1-Skills!J12/100)^Skills!K12</f>
        <v/>
      </c>
      <c r="I1416" t="inlineStr">
        <is>
          <t>1</t>
        </is>
      </c>
      <c r="J1416">
        <f>((Inputs!$B$6*(1+Inputs!$B$7/100))+(((Inputs!$B$12*(1+Inputs!$B$13/100))-(Inputs!$B$12*(1+Inputs!$B$13/100)))+0.25*(Inputs!$B$14-Inputs!$B$14))*(1+Inputs!$B$7/100))*(F1416/100)</f>
        <v/>
      </c>
      <c r="K1416">
        <f>J1416*(1+((Inputs!$B$12*(1+Inputs!$B$13/100))*0.01+Inputs!$B$14*0.0025)/100)*(1+Inputs!$B$15/100)*(1+Inputs!$B$16/100)*(5000/(6000+Inputs!$B$42*(1-(100*(1-(1-(Inputs!$B$19+0)/100)*(1-CHOOSE(ArtifactsInput!$N$40+1,5,6,7,8,9,10)/100)^(ArtifactsInput!$M$40-ArtifactsInput!$M$40)))/100)))*(1+(Inputs!$B$24+((C1430=TRUE)*(F1430-Calc!F26))+B1440)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1427=TRUE)*(F1427-Calc!F23))+((C1431=TRUE)*(F1431-Calc!F27))+(((IF(AND(ArtifactsInput!$M$42,((Inputs!$B$9+((C1423=TRUE)*(F1423-Calc!F19))+B1434+(ArtifactsInput!$M$24-ArtifactsInput!$M$24)*CHOOSE(ArtifactsInput!$N$24+1,10,12,14,16,18,20)+IF(ArtifactsInput!$M$10,CHOOSE(ArtifactsInput!$N$10+1,15,18,21,24,27,30)*(IF(Inputs!$B$38="pvp",MIN(15,15)/15,IF(AND(Inputs!$B$38&lt;&gt;"pvp",Inputs!$B$43&gt;0),MIN(15,Inputs!$B$43)/(Inputs!$B$43),0))),0)))&gt;=100),MIN(100,((Inputs!$B$9+((C1423=TRUE)*(F1423-Calc!F19))+B1434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1423=TRUE)*(F1423-Calc!F19))+B1434+(ArtifactsInput!$M$24-ArtifactsInput!$M$24)*CHOOSE(ArtifactsInput!$N$24+1,10,12,14,16,18,20)+IF(ArtifactsInput!$M$10,CHOOSE(ArtifactsInput!$N$10+1,15,18,21,24,27,30)*(IF(Inputs!$B$38="pvp",MIN(15,15)/15,IF(AND(Inputs!$B$38&lt;&gt;"pvp",Inputs!$B$43&gt;0),MIN(15,Inputs!$B$43)/(Inputs!$B$43),0))),0)))&gt;=100),CHOOSE(ArtifactsInput!$N$42+1,40,48,56,64,72,80),0))))/100)*((1+(((C1421=TRUE)*F1421)+((C1428=TRUE)*(F1428-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1416)</f>
        <v/>
      </c>
      <c r="L1416">
        <f>K1416*(MIN(Inputs!$B$22+((C1426=TRUE)*(F1426-Calc!F22)),(Inputs!$B$23+0+(IF(ArtifactsInput!$M$15,CHOOSE(ArtifactsInput!$N$15+1,25,30,35,40,45,50)/100*(Inputs!$B$11-Inputs!$B$11),0))))/100+(Inputs!$B$23+0+(IF(ArtifactsInput!$M$15,CHOOSE(ArtifactsInput!$N$15+1,25,30,35,40,45,50)/100*(Inputs!$B$11-Inputs!$B$11),0)))/100)/2</f>
        <v/>
      </c>
      <c r="M1416">
        <f>L1416*(1+(Inputs!$B$10+((C1429=TRUE)*(F1429-Calc!F25))+B1439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6">
        <f>L1416*(1-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1416*(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6">
        <f>(1-Summary!$B$11)*T1416+Summary!$B$11*V1416</f>
        <v/>
      </c>
      <c r="P1416">
        <f>IF(B1444=0,0,O1416/B1444)</f>
        <v/>
      </c>
      <c r="Q1416">
        <f>IFERROR(1/(IF(Inputs!$B$38="pvp",15,MAX(0.1,Skills!D12-IF(Skills!E12=TRUE,Inputs!$B$32,0)))*(1-IF(AND(ArtifactsInput!$M$27,Inputs!$B$4="Chapter Hunt"),CHOOSE(ArtifactsInput!$N$27+1,20,24,28,32,36,40),0)/100)),0)</f>
        <v/>
      </c>
      <c r="R1416">
        <f>IF(AND(Inputs!$B$38&lt;&gt;"pvp",Inputs!$B$43&gt;0),IF(MAX(0,Inputs!$B$43-B1441)&lt;=0,0,(INT(MAX(0,Inputs!$B$43-B1441)/(IF(Inputs!$B$38="pvp",15,MAX(0.1,Skills!D12-IF(Skills!E12=TRUE,Inputs!$B$32,0)))*(1-IF(AND(ArtifactsInput!$M$27,Inputs!$B$4="Chapter Hunt"),CHOOSE(ArtifactsInput!$N$27+1,20,24,28,32,36,40),0)/100)))+1)),0)</f>
        <v/>
      </c>
      <c r="S1416">
        <f>IFERROR(O1416/N1416,0)</f>
        <v/>
      </c>
      <c r="T1416">
        <f>IF(C1416,(H1416*N1416*IF(AND(Inputs!$B$38&lt;&gt;"pvp",Inputs!$B$43&gt;0),((Skills!G12*((R1416-1)*IF(Skills!H12&gt;0,Skills!I12/Skills!H12,1)+IF(Skills!H12&gt;0,MIN(Skills!I12,MAX(0,MAX(0,Inputs!$B$43-B1441)-((R1416-1)*(IF(Inputs!$B$38="pvp",15,MAX(0.1,Skills!D12-IF(Skills!E12=TRUE,Inputs!$B$32,0)))*(1-IF(AND(ArtifactsInput!$M$27,Inputs!$B$4="Chapter Hunt"),CHOOSE(ArtifactsInput!$N$27+1,20,24,28,32,36,40),0)/100)))))/Skills!H12,1)))/Inputs!$B$43),G1416*Q1416)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1416*(1-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1416*(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1416*(1-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1416*(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6">
        <f>IF(C1416,(H1416*N1416*IF(AND(Inputs!$B$38&lt;&gt;"pvp",Inputs!$B$43&gt;0),((Skills!G12*((R1416-1)*IF(Skills!H12&gt;0,Skills!I12/Skills!H12,1)+IF(Skills!H12&gt;0,MIN(Skills!I12,MAX(0,MAX(0,Inputs!$B$43-B1441)-((R1416-1)*(IF(Inputs!$B$38="pvp",15,MAX(0.1,Skills!D12-IF(Skills!E12=TRUE,Inputs!$B$32,0)))*(1-IF(AND(ArtifactsInput!$M$27,Inputs!$B$4="Chapter Hunt"),CHOOSE(ArtifactsInput!$N$27+1,20,24,28,32,36,40),0)/100)))))/Skills!H12,1)))/Inputs!$B$43),G1416*Q1416))*IF(Inputs!$B$38="pvp",1,(1+(Inputs!$B$21+Skills!Q12+(IF(ArtifactsInput!$M$33,CHOOSE(ArtifactsInput!$N$33+1,30,36,42,48,54,60)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7">
      <c r="A1417">
        <f>Skills!A13</f>
        <v/>
      </c>
      <c r="B1417">
        <f>Skills!B13</f>
        <v/>
      </c>
      <c r="C1417">
        <f>Inputs!$B$3&gt;=110</f>
        <v/>
      </c>
      <c r="D1417">
        <f>IF(Skills!C13=1,60+Inputs!$B$25+Inputs!$B$29,IF(Skills!C13=2,90+Inputs!$B$26+Inputs!$B$29,IF(Skills!C13=3,120+Inputs!$B$27+Inputs!$B$29,MAX(0,(Inputs!$B$3-100)*3)+Inputs!$B$28+Inputs!$B$29)))</f>
        <v/>
      </c>
      <c r="E1417">
        <f>INDEX(FactorTable!$B$2:$Y$301, MATCH(ROUND(MIN(300,MAX(1,D1417)),0), FactorTable!$A$2:$A$301,0), Skills!M13+1)</f>
        <v/>
      </c>
      <c r="F1417">
        <f>IF(Skills!N13=TRUE,(Skills!L13/10)*(E1417/1000),Skills!L13/10)+Skills!O13</f>
        <v/>
      </c>
      <c r="G1417">
        <f>Skills!G13*IF(Skills!H13&gt;0,Skills!I13/Skills!H13,1)</f>
        <v/>
      </c>
      <c r="H1417">
        <f>1-(1-Skills!J13/100)^Skills!K13</f>
        <v/>
      </c>
      <c r="I1417" t="inlineStr">
        <is>
          <t>1</t>
        </is>
      </c>
      <c r="J1417">
        <f>((Inputs!$B$6*(1+Inputs!$B$7/100))+(((Inputs!$B$12*(1+Inputs!$B$13/100))-(Inputs!$B$12*(1+Inputs!$B$13/100)))+0.25*(Inputs!$B$14-Inputs!$B$14))*(1+Inputs!$B$7/100))*(F1417/100)</f>
        <v/>
      </c>
      <c r="K1417">
        <f>J1417*(1+((Inputs!$B$12*(1+Inputs!$B$13/100))*0.01+Inputs!$B$14*0.0025)/100)*(1+Inputs!$B$15/100)*(1+Inputs!$B$16/100)*(5000/(6000+Inputs!$B$42*(1-(100*(1-(1-(Inputs!$B$19+0)/100)*(1-CHOOSE(ArtifactsInput!$N$40+1,5,6,7,8,9,10)/100)^(ArtifactsInput!$M$40-ArtifactsInput!$M$40)))/100)))*(1+(Inputs!$B$24+((C1430=TRUE)*(F1430-Calc!F26))+B1440)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1427=TRUE)*(F1427-Calc!F23))+((C1431=TRUE)*(F1431-Calc!F27))+(((IF(AND(ArtifactsInput!$M$42,((Inputs!$B$9+((C1423=TRUE)*(F1423-Calc!F19))+B1434+(ArtifactsInput!$M$24-ArtifactsInput!$M$24)*CHOOSE(ArtifactsInput!$N$24+1,10,12,14,16,18,20)+IF(ArtifactsInput!$M$10,CHOOSE(ArtifactsInput!$N$10+1,15,18,21,24,27,30)*(IF(Inputs!$B$38="pvp",MIN(15,15)/15,IF(AND(Inputs!$B$38&lt;&gt;"pvp",Inputs!$B$43&gt;0),MIN(15,Inputs!$B$43)/(Inputs!$B$43),0))),0)))&gt;=100),MIN(100,((Inputs!$B$9+((C1423=TRUE)*(F1423-Calc!F19))+B1434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1423=TRUE)*(F1423-Calc!F19))+B1434+(ArtifactsInput!$M$24-ArtifactsInput!$M$24)*CHOOSE(ArtifactsInput!$N$24+1,10,12,14,16,18,20)+IF(ArtifactsInput!$M$10,CHOOSE(ArtifactsInput!$N$10+1,15,18,21,24,27,30)*(IF(Inputs!$B$38="pvp",MIN(15,15)/15,IF(AND(Inputs!$B$38&lt;&gt;"pvp",Inputs!$B$43&gt;0),MIN(15,Inputs!$B$43)/(Inputs!$B$43),0))),0)))&gt;=100),CHOOSE(ArtifactsInput!$N$42+1,40,48,56,64,72,80),0))))/100)*((1+(((C1421=TRUE)*F1421)+((C1428=TRUE)*(F1428-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1417)</f>
        <v/>
      </c>
      <c r="L1417">
        <f>K1417*(MIN(Inputs!$B$22+((C1426=TRUE)*(F1426-Calc!F22)),(Inputs!$B$23+0+(IF(ArtifactsInput!$M$15,CHOOSE(ArtifactsInput!$N$15+1,25,30,35,40,45,50)/100*(Inputs!$B$11-Inputs!$B$11),0))))/100+(Inputs!$B$23+0+(IF(ArtifactsInput!$M$15,CHOOSE(ArtifactsInput!$N$15+1,25,30,35,40,45,50)/100*(Inputs!$B$11-Inputs!$B$11),0)))/100)/2</f>
        <v/>
      </c>
      <c r="M1417">
        <f>L1417*(1+(Inputs!$B$10+((C1429=TRUE)*(F1429-Calc!F25))+B1439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7">
        <f>L1417*(1-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1417*(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7">
        <f>(1-Summary!$B$11)*T1417+Summary!$B$11*V1417</f>
        <v/>
      </c>
      <c r="P1417">
        <f>IF(B1444=0,0,O1417/B1444)</f>
        <v/>
      </c>
      <c r="Q1417">
        <f>IFERROR(1/(IF(Inputs!$B$38="pvp",15,MAX(0.1,Skills!D13-IF(Skills!E13=TRUE,Inputs!$B$32,0)))*(1-IF(AND(ArtifactsInput!$M$27,Inputs!$B$4="Chapter Hunt"),CHOOSE(ArtifactsInput!$N$27+1,20,24,28,32,36,40),0)/100)),0)</f>
        <v/>
      </c>
      <c r="R1417">
        <f>IF(AND(Inputs!$B$38&lt;&gt;"pvp",Inputs!$B$43&gt;0),IF(MAX(0,Inputs!$B$43-B1441)&lt;=0,0,(INT(MAX(0,Inputs!$B$43-B1441)/(IF(Inputs!$B$38="pvp",15,MAX(0.1,Skills!D13-IF(Skills!E13=TRUE,Inputs!$B$32,0)))*(1-IF(AND(ArtifactsInput!$M$27,Inputs!$B$4="Chapter Hunt"),CHOOSE(ArtifactsInput!$N$27+1,20,24,28,32,36,40),0)/100)))+1)),0)</f>
        <v/>
      </c>
      <c r="S1417">
        <f>IFERROR(O1417/N1417,0)</f>
        <v/>
      </c>
      <c r="T1417">
        <f>IF(C1417,(H1417*N1417*IF(AND(Inputs!$B$38&lt;&gt;"pvp",Inputs!$B$43&gt;0),((Skills!G13*((R1417-1)*IF(Skills!H13&gt;0,Skills!I13/Skills!H13,1)+IF(Skills!H13&gt;0,MIN(Skills!I13,MAX(0,MAX(0,Inputs!$B$43-B1441)-((R1417-1)*(IF(Inputs!$B$38="pvp",15,MAX(0.1,Skills!D13-IF(Skills!E13=TRUE,Inputs!$B$32,0)))*(1-IF(AND(ArtifactsInput!$M$27,Inputs!$B$4="Chapter Hunt"),CHOOSE(ArtifactsInput!$N$27+1,20,24,28,32,36,40),0)/100)))))/Skills!H13,1)))/Inputs!$B$43),G1417*Q1417))*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1417*(1-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1417*(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1417*(1-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1417*(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7">
        <f>IF(C1417,(H1417*N1417*IF(AND(Inputs!$B$38&lt;&gt;"pvp",Inputs!$B$43&gt;0),((Skills!G13*((R1417-1)*IF(Skills!H13&gt;0,Skills!I13/Skills!H13,1)+IF(Skills!H13&gt;0,MIN(Skills!I13,MAX(0,MAX(0,Inputs!$B$43-B1441)-((R1417-1)*(IF(Inputs!$B$38="pvp",15,MAX(0.1,Skills!D13-IF(Skills!E13=TRUE,Inputs!$B$32,0)))*(1-IF(AND(ArtifactsInput!$M$27,Inputs!$B$4="Chapter Hunt"),CHOOSE(ArtifactsInput!$N$27+1,20,24,28,32,36,40),0)/100)))))/Skills!H13,1)))/Inputs!$B$43),G1417*Q1417))*IF(Inputs!$B$38="pvp",1,(1+(Inputs!$B$21+Skills!Q13+(IF(ArtifactsInput!$M$33,CHOOSE(ArtifactsInput!$N$33+1,30,36,42,48,54,60)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8">
      <c r="A1418">
        <f>Skills!A14</f>
        <v/>
      </c>
      <c r="B1418">
        <f>Skills!B14</f>
        <v/>
      </c>
      <c r="C1418">
        <f>Inputs!$B$3&gt;=125</f>
        <v/>
      </c>
      <c r="D1418">
        <f>IF(Skills!C14=1,60+Inputs!$B$25+Inputs!$B$29,IF(Skills!C14=2,90+Inputs!$B$26+Inputs!$B$29,IF(Skills!C14=3,120+Inputs!$B$27+Inputs!$B$29,MAX(0,(Inputs!$B$3-100)*3)+Inputs!$B$28+Inputs!$B$29)))</f>
        <v/>
      </c>
      <c r="E1418">
        <f>INDEX(FactorTable!$B$2:$Y$301, MATCH(ROUND(MIN(300,MAX(1,D1418)),0), FactorTable!$A$2:$A$301,0), Skills!M14+1)</f>
        <v/>
      </c>
      <c r="F1418">
        <f>IF(Skills!N14=TRUE,(Skills!L14/10)*(E1418/1000),Skills!L14/10)+Skills!O14</f>
        <v/>
      </c>
      <c r="G1418">
        <f>Skills!G14*IF(Skills!H14&gt;0,Skills!I14/Skills!H14,1)</f>
        <v/>
      </c>
      <c r="H1418">
        <f>1-(1-Skills!J14/100)^Skills!K14</f>
        <v/>
      </c>
      <c r="I1418" t="inlineStr">
        <is>
          <t>1</t>
        </is>
      </c>
      <c r="J1418">
        <f>((Inputs!$B$6*(1+Inputs!$B$7/100))+(((Inputs!$B$12*(1+Inputs!$B$13/100))-(Inputs!$B$12*(1+Inputs!$B$13/100)))+0.25*(Inputs!$B$14-Inputs!$B$14))*(1+Inputs!$B$7/100))*(F1418/100)</f>
        <v/>
      </c>
      <c r="K1418">
        <f>J1418*(1+((Inputs!$B$12*(1+Inputs!$B$13/100))*0.01+Inputs!$B$14*0.0025)/100)*(1+Inputs!$B$15/100)*(1+Inputs!$B$16/100)*(5000/(6000+Inputs!$B$42*(1-(100*(1-(1-(Inputs!$B$19+0)/100)*(1-CHOOSE(ArtifactsInput!$N$40+1,5,6,7,8,9,10)/100)^(ArtifactsInput!$M$40-ArtifactsInput!$M$40)))/100)))*(1+(Inputs!$B$24+((C1430=TRUE)*(F1430-Calc!F26))+B1440)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1427=TRUE)*(F1427-Calc!F23))+((C1431=TRUE)*(F1431-Calc!F27))+(((IF(AND(ArtifactsInput!$M$42,((Inputs!$B$9+((C1423=TRUE)*(F1423-Calc!F19))+B1434+(ArtifactsInput!$M$24-ArtifactsInput!$M$24)*CHOOSE(ArtifactsInput!$N$24+1,10,12,14,16,18,20)+IF(ArtifactsInput!$M$10,CHOOSE(ArtifactsInput!$N$10+1,15,18,21,24,27,30)*(IF(Inputs!$B$38="pvp",MIN(15,15)/15,IF(AND(Inputs!$B$38&lt;&gt;"pvp",Inputs!$B$43&gt;0),MIN(15,Inputs!$B$43)/(Inputs!$B$43),0))),0)))&gt;=100),MIN(100,((Inputs!$B$9+((C1423=TRUE)*(F1423-Calc!F19))+B1434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1423=TRUE)*(F1423-Calc!F19))+B1434+(ArtifactsInput!$M$24-ArtifactsInput!$M$24)*CHOOSE(ArtifactsInput!$N$24+1,10,12,14,16,18,20)+IF(ArtifactsInput!$M$10,CHOOSE(ArtifactsInput!$N$10+1,15,18,21,24,27,30)*(IF(Inputs!$B$38="pvp",MIN(15,15)/15,IF(AND(Inputs!$B$38&lt;&gt;"pvp",Inputs!$B$43&gt;0),MIN(15,Inputs!$B$43)/(Inputs!$B$43),0))),0)))&gt;=100),CHOOSE(ArtifactsInput!$N$42+1,40,48,56,64,72,80),0))))/100)*((1+(((C1421=TRUE)*F1421)+((C1428=TRUE)*(F1428-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1418)</f>
        <v/>
      </c>
      <c r="L1418">
        <f>K1418*(MIN(Inputs!$B$22+((C1426=TRUE)*(F1426-Calc!F22)),(Inputs!$B$23+0+(IF(ArtifactsInput!$M$15,CHOOSE(ArtifactsInput!$N$15+1,25,30,35,40,45,50)/100*(Inputs!$B$11-Inputs!$B$11),0))))/100+(Inputs!$B$23+0+(IF(ArtifactsInput!$M$15,CHOOSE(ArtifactsInput!$N$15+1,25,30,35,40,45,50)/100*(Inputs!$B$11-Inputs!$B$11),0)))/100)/2</f>
        <v/>
      </c>
      <c r="M1418">
        <f>L1418*(1+(Inputs!$B$10+((C1429=TRUE)*(F1429-Calc!F25))+B1439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8">
        <f>L1418*(1-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1418*(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8">
        <f>(1-Summary!$B$11)*T1418+Summary!$B$11*V1418</f>
        <v/>
      </c>
      <c r="P1418">
        <f>IF(B1444=0,0,O1418/B1444)</f>
        <v/>
      </c>
      <c r="Q1418" t="n">
        <v>0</v>
      </c>
      <c r="R1418" t="n">
        <v>0</v>
      </c>
      <c r="S1418">
        <f>IFERROR(O1418/N1418,0)</f>
        <v/>
      </c>
      <c r="T1418">
        <f>IF(C1418,(H1418*N1418*(B1438+IF(AND(Inputs!$B$38&lt;&gt;"pvp",Inputs!$B$43&gt;0),((Skills!G8*((R1412-1)*IF(Skills!H8&gt;0,Skills!I8/Skills!H8,1)+IF(Skills!H8&gt;0,MIN(Skills!I8,MAX(0,MAX(0,Inputs!$B$43-B1441)-((R1412-1)*(IF(Inputs!$B$38="pvp",15,MAX(0.1,Skills!D8-IF(Skills!E8=TRUE,Inputs!$B$32,0)))*(1-IF(AND(ArtifactsInput!$M$27,Inputs!$B$4="Chapter Hunt"),CHOOSE(ArtifactsInput!$N$27+1,20,24,28,32,36,40),0)/100)))))/Skills!H8,1)))/Inputs!$B$43),G1412*Q1412)+IF(AND(Inputs!$B$38&lt;&gt;"pvp",Inputs!$B$43&gt;0),((Skills!G11*((R1415-1)*IF(Skills!H11&gt;0,Skills!I11/Skills!H11,1)+IF(Skills!H11&gt;0,MIN(Skills!I11,MAX(0,MAX(0,Inputs!$B$43-B1441)-((R1415-1)*(IF(Inputs!$B$38="pvp",15,MAX(0.1,Skills!D11-IF(Skills!E11=TRUE,Inputs!$B$32,0)))*(1-IF(AND(ArtifactsInput!$M$27,Inputs!$B$4="Chapter Hunt"),CHOOSE(ArtifactsInput!$N$27+1,20,24,28,32,36,40),0)/100)))))/Skills!H11,1)))/Inputs!$B$43),G1415*Q1415)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1418*(1-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1418*(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1418*(1-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1418*(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8">
        <f>IF(C1418,(H1418*N1418*(B1438+IF(AND(Inputs!$B$38&lt;&gt;"pvp",Inputs!$B$43&gt;0),((Skills!G8*((R1412-1)*IF(Skills!H8&gt;0,Skills!I8/Skills!H8,1)+IF(Skills!H8&gt;0,MIN(Skills!I8,MAX(0,MAX(0,Inputs!$B$43-B1441)-((R1412-1)*(IF(Inputs!$B$38="pvp",15,MAX(0.1,Skills!D8-IF(Skills!E8=TRUE,Inputs!$B$32,0)))*(1-IF(AND(ArtifactsInput!$M$27,Inputs!$B$4="Chapter Hunt"),CHOOSE(ArtifactsInput!$N$27+1,20,24,28,32,36,40),0)/100)))))/Skills!H8,1)))/Inputs!$B$43),G1412*Q1412)+IF(AND(Inputs!$B$38&lt;&gt;"pvp",Inputs!$B$43&gt;0),((Skills!G11*((R1415-1)*IF(Skills!H11&gt;0,Skills!I11/Skills!H11,1)+IF(Skills!H11&gt;0,MIN(Skills!I11,MAX(0,MAX(0,Inputs!$B$43-B1441)-((R1415-1)*(IF(Inputs!$B$38="pvp",15,MAX(0.1,Skills!D11-IF(Skills!E11=TRUE,Inputs!$B$32,0)))*(1-IF(AND(ArtifactsInput!$M$27,Inputs!$B$4="Chapter Hunt"),CHOOSE(ArtifactsInput!$N$27+1,20,24,28,32,36,40),0)/100)))))/Skills!H11,1)))/Inputs!$B$43),G1415*Q1415)))*IF(Inputs!$B$38="pvp",1,(1+(Inputs!$B$21+Skills!Q14+(IF(ArtifactsInput!$M$33,CHOOSE(ArtifactsInput!$N$33+1,30,36,42,48,54,60)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9">
      <c r="A1419">
        <f>Skills!A15</f>
        <v/>
      </c>
      <c r="B1419">
        <f>Skills!B15</f>
        <v/>
      </c>
      <c r="C1419">
        <f>Inputs!$B$3&gt;=100</f>
        <v/>
      </c>
      <c r="D1419">
        <f>IF(Skills!C15=1,60+Inputs!$B$25+Inputs!$B$29,IF(Skills!C15=2,90+Inputs!$B$26+Inputs!$B$29,IF(Skills!C15=3,120+Inputs!$B$27+Inputs!$B$29,MAX(0,(Inputs!$B$3-100)*3)+Inputs!$B$28+Inputs!$B$29)))</f>
        <v/>
      </c>
      <c r="E1419">
        <f>INDEX(FactorTable!$B$2:$Y$301, MATCH(ROUND(MIN(300,MAX(1,D1419)),0), FactorTable!$A$2:$A$301,0), Skills!M15+1)</f>
        <v/>
      </c>
      <c r="F1419">
        <f>IF(Skills!N15=TRUE,(Skills!L15/10)*(E1419/1000),Skills!L15/10)+Skills!O15</f>
        <v/>
      </c>
      <c r="G1419" t="inlineStr"/>
      <c r="H1419" t="inlineStr"/>
      <c r="I1419" t="inlineStr">
        <is>
          <t>1</t>
        </is>
      </c>
      <c r="J1419" t="inlineStr"/>
      <c r="K1419" t="inlineStr"/>
      <c r="L1419" t="inlineStr"/>
      <c r="M1419" t="inlineStr"/>
      <c r="N1419" t="inlineStr"/>
      <c r="O1419" t="inlineStr"/>
      <c r="P1419" t="inlineStr"/>
      <c r="Q1419" t="inlineStr"/>
      <c r="R1419" t="inlineStr"/>
      <c r="S1419" t="inlineStr"/>
    </row>
    <row r="1420">
      <c r="A1420">
        <f>Skills!A16</f>
        <v/>
      </c>
      <c r="B1420">
        <f>Skills!B16</f>
        <v/>
      </c>
      <c r="C1420">
        <f>Inputs!$B$3&gt;=120</f>
        <v/>
      </c>
      <c r="D1420">
        <f>IF(Skills!C16=1,60+Inputs!$B$25+Inputs!$B$29,IF(Skills!C16=2,90+Inputs!$B$26+Inputs!$B$29,IF(Skills!C16=3,120+Inputs!$B$27+Inputs!$B$29,MAX(0,(Inputs!$B$3-100)*3)+Inputs!$B$28+Inputs!$B$29)))</f>
        <v/>
      </c>
      <c r="E1420">
        <f>INDEX(FactorTable!$B$2:$Y$301, MATCH(ROUND(MIN(300,MAX(1,D1420)),0), FactorTable!$A$2:$A$301,0), Skills!M16+1)</f>
        <v/>
      </c>
      <c r="F1420">
        <f>IF(Skills!N16=TRUE,(Skills!L16/10)*(E1420/1000),Skills!L16/10)+Skills!O16</f>
        <v/>
      </c>
      <c r="G1420" t="inlineStr"/>
      <c r="H1420" t="inlineStr"/>
      <c r="I1420" t="inlineStr">
        <is>
          <t>1</t>
        </is>
      </c>
      <c r="J1420" t="inlineStr"/>
      <c r="K1420" t="inlineStr"/>
      <c r="L1420" t="inlineStr"/>
      <c r="M1420" t="inlineStr"/>
      <c r="N1420" t="inlineStr"/>
      <c r="O1420" t="inlineStr"/>
      <c r="P1420" t="inlineStr"/>
      <c r="Q1420" t="inlineStr"/>
      <c r="R1420" t="inlineStr"/>
      <c r="S1420" t="inlineStr"/>
    </row>
    <row r="1421">
      <c r="A1421">
        <f>Skills!A17</f>
        <v/>
      </c>
      <c r="B1421">
        <f>Skills!B17</f>
        <v/>
      </c>
      <c r="C1421">
        <f>Inputs!$B$3&gt;=66</f>
        <v/>
      </c>
      <c r="D1421">
        <f>IF(Skills!C17=1,60+Inputs!$B$25+Inputs!$B$29,IF(Skills!C17=2,90+Inputs!$B$26+Inputs!$B$29,IF(Skills!C17=3,120+Inputs!$B$27+Inputs!$B$29,MAX(0,(Inputs!$B$3-100)*3)+Inputs!$B$28+Inputs!$B$29)))</f>
        <v/>
      </c>
      <c r="E1421">
        <f>INDEX(FactorTable!$B$2:$Y$301, MATCH(ROUND(MIN(300,MAX(1,D1421)),0), FactorTable!$A$2:$A$301,0), Skills!M17+1)</f>
        <v/>
      </c>
      <c r="F1421">
        <f>IF(Skills!N17=TRUE,(Skills!L17/10)*(E1421/1000),Skills!L17/10)+Skills!O17</f>
        <v/>
      </c>
      <c r="G1421">
        <f>Skills!G17*IF(Skills!H17&gt;0,Skills!I17/Skills!H17,1)</f>
        <v/>
      </c>
      <c r="H1421">
        <f>1-(1-Skills!J17/100)^Skills!K17</f>
        <v/>
      </c>
      <c r="I1421" t="inlineStr">
        <is>
          <t>1</t>
        </is>
      </c>
      <c r="J1421" t="inlineStr"/>
      <c r="K1421" t="inlineStr"/>
      <c r="L1421" t="inlineStr"/>
      <c r="M1421" t="inlineStr"/>
      <c r="N1421" t="inlineStr"/>
      <c r="O1421">
        <f>(1-Summary!$B$11)*T1421+Summary!$B$11*V1421</f>
        <v/>
      </c>
      <c r="P1421">
        <f>IF(B1444=0,0,O1421/B1444)</f>
        <v/>
      </c>
      <c r="Q1421" t="n">
        <v>0</v>
      </c>
      <c r="R1421" t="n">
        <v>0</v>
      </c>
      <c r="S1421">
        <f>IFERROR(O1421/N1421,0)</f>
        <v/>
      </c>
      <c r="T1421" t="n">
        <v>0</v>
      </c>
      <c r="V1421" t="n">
        <v>0</v>
      </c>
    </row>
    <row r="1422">
      <c r="A1422">
        <f>Skills!A18</f>
        <v/>
      </c>
      <c r="B1422">
        <f>Skills!B18</f>
        <v/>
      </c>
      <c r="C1422">
        <f>Inputs!$B$3&gt;=115</f>
        <v/>
      </c>
      <c r="D1422">
        <f>IF(Skills!C18=1,60+Inputs!$B$25+Inputs!$B$29,IF(Skills!C18=2,90+Inputs!$B$26+Inputs!$B$29,IF(Skills!C18=3,120+Inputs!$B$27+Inputs!$B$29,MAX(0,(Inputs!$B$3-100)*3)+Inputs!$B$28+Inputs!$B$29)))</f>
        <v/>
      </c>
      <c r="E1422">
        <f>INDEX(FactorTable!$B$2:$Y$301, MATCH(ROUND(MIN(300,MAX(1,D1422)),0), FactorTable!$A$2:$A$301,0), Skills!M18+1)</f>
        <v/>
      </c>
      <c r="F1422">
        <f>IF(Skills!N18=TRUE,(Skills!L18/10)*(E1422/1000),Skills!L18/10)+Skills!O18</f>
        <v/>
      </c>
      <c r="G1422">
        <f>Skills!G18*IF(Skills!H18&gt;0,Skills!I18/Skills!H18,1)</f>
        <v/>
      </c>
      <c r="H1422">
        <f>1-(1-Skills!J18/100)^Skills!K18</f>
        <v/>
      </c>
      <c r="I1422" t="inlineStr">
        <is>
          <t>1</t>
        </is>
      </c>
      <c r="J1422" t="inlineStr"/>
      <c r="K1422" t="inlineStr"/>
      <c r="L1422" t="inlineStr"/>
      <c r="M1422" t="inlineStr"/>
      <c r="N1422" t="inlineStr"/>
      <c r="O1422">
        <f>(1-Summary!$B$11)*T1422+Summary!$B$11*V1422</f>
        <v/>
      </c>
      <c r="P1422">
        <f>IF(B1444=0,0,O1422/B1444)</f>
        <v/>
      </c>
      <c r="Q1422" t="n">
        <v>0</v>
      </c>
      <c r="R1422" t="n">
        <v>0</v>
      </c>
      <c r="S1422">
        <f>IFERROR(O1422/N1422,0)</f>
        <v/>
      </c>
      <c r="T1422" t="n">
        <v>0</v>
      </c>
      <c r="V1422" t="n">
        <v>0</v>
      </c>
    </row>
    <row r="1423">
      <c r="A1423">
        <f>Skills!A19</f>
        <v/>
      </c>
      <c r="B1423">
        <f>Skills!B19</f>
        <v/>
      </c>
      <c r="C1423">
        <f>Inputs!$B$3&gt;=15</f>
        <v/>
      </c>
      <c r="D1423">
        <f>IF(Skills!C19=1,60+Inputs!$B$25+Inputs!$B$29,IF(Skills!C19=2,90+Inputs!$B$26+Inputs!$B$29,IF(Skills!C19=3,120+Inputs!$B$27+Inputs!$B$29,MAX(0,(Inputs!$B$3-100)*3)+Inputs!$B$28+Inputs!$B$29)))</f>
        <v/>
      </c>
      <c r="E1423">
        <f>INDEX(FactorTable!$B$2:$Y$301, MATCH(ROUND(MIN(300,MAX(1,D1423)),0), FactorTable!$A$2:$A$301,0), Skills!M19+1)</f>
        <v/>
      </c>
      <c r="F1423">
        <f>IF(Skills!N19=TRUE,(Skills!L19/10)*(E1423/1000),Skills!L19/10)+Skills!O19</f>
        <v/>
      </c>
      <c r="G1423">
        <f>Skills!G19*IF(Skills!H19&gt;0,Skills!I19/Skills!H19,1)</f>
        <v/>
      </c>
      <c r="H1423">
        <f>1-(1-Skills!J19/100)^Skills!K19</f>
        <v/>
      </c>
      <c r="I1423" t="inlineStr">
        <is>
          <t>1</t>
        </is>
      </c>
      <c r="J1423" t="inlineStr"/>
      <c r="K1423" t="inlineStr"/>
      <c r="L1423" t="inlineStr"/>
      <c r="M1423" t="inlineStr"/>
      <c r="N1423" t="inlineStr"/>
      <c r="O1423">
        <f>(1-Summary!$B$11)*T1423+Summary!$B$11*V1423</f>
        <v/>
      </c>
      <c r="P1423">
        <f>IF(B1444=0,0,O1423/B1444)</f>
        <v/>
      </c>
      <c r="Q1423" t="n">
        <v>0</v>
      </c>
      <c r="R1423" t="n">
        <v>0</v>
      </c>
      <c r="S1423">
        <f>IFERROR(O1423/N1423,0)</f>
        <v/>
      </c>
      <c r="T1423" t="n">
        <v>0</v>
      </c>
      <c r="V1423" t="n">
        <v>0</v>
      </c>
    </row>
    <row r="1424">
      <c r="A1424">
        <f>Skills!A20</f>
        <v/>
      </c>
      <c r="B1424">
        <f>Skills!B20</f>
        <v/>
      </c>
      <c r="C1424">
        <f>Inputs!$B$3&gt;=10</f>
        <v/>
      </c>
      <c r="D1424">
        <f>IF(Skills!C20=1,60+Inputs!$B$25+Inputs!$B$29,IF(Skills!C20=2,90+Inputs!$B$26+Inputs!$B$29,IF(Skills!C20=3,120+Inputs!$B$27+Inputs!$B$29,MAX(0,(Inputs!$B$3-100)*3)+Inputs!$B$28+Inputs!$B$29)))</f>
        <v/>
      </c>
      <c r="E1424">
        <f>INDEX(FactorTable!$B$2:$Y$301, MATCH(ROUND(MIN(300,MAX(1,D1424)),0), FactorTable!$A$2:$A$301,0), Skills!M20+1)</f>
        <v/>
      </c>
      <c r="F1424">
        <f>IF(Skills!N20=TRUE,(Skills!L20/10)*(E1424/1000),Skills!L20/10)+Skills!O20</f>
        <v/>
      </c>
      <c r="G1424">
        <f>Skills!G20*IF(Skills!H20&gt;0,Skills!I20/Skills!H20,1)</f>
        <v/>
      </c>
      <c r="H1424">
        <f>1-(1-Skills!J20/100)^Skills!K20</f>
        <v/>
      </c>
      <c r="I1424" t="inlineStr">
        <is>
          <t>1</t>
        </is>
      </c>
      <c r="J1424" t="inlineStr"/>
      <c r="K1424" t="inlineStr"/>
      <c r="L1424" t="inlineStr"/>
      <c r="M1424" t="inlineStr"/>
      <c r="N1424" t="inlineStr"/>
      <c r="O1424">
        <f>(1-Summary!$B$11)*T1424+Summary!$B$11*V1424</f>
        <v/>
      </c>
      <c r="P1424">
        <f>IF(B1444=0,0,O1424/B1444)</f>
        <v/>
      </c>
      <c r="Q1424" t="n">
        <v>0</v>
      </c>
      <c r="R1424" t="n">
        <v>0</v>
      </c>
      <c r="S1424">
        <f>IFERROR(O1424/N1424,0)</f>
        <v/>
      </c>
      <c r="T1424" t="n">
        <v>0</v>
      </c>
      <c r="V1424" t="n">
        <v>0</v>
      </c>
    </row>
    <row r="1425">
      <c r="A1425">
        <f>Skills!A21</f>
        <v/>
      </c>
      <c r="B1425">
        <f>Skills!B21</f>
        <v/>
      </c>
      <c r="C1425">
        <f>Inputs!$B$3&gt;=33</f>
        <v/>
      </c>
      <c r="D1425">
        <f>IF(Skills!C21=1,60+Inputs!$B$25+Inputs!$B$29,IF(Skills!C21=2,90+Inputs!$B$26+Inputs!$B$29,IF(Skills!C21=3,120+Inputs!$B$27+Inputs!$B$29,MAX(0,(Inputs!$B$3-100)*3)+Inputs!$B$28+Inputs!$B$29)))</f>
        <v/>
      </c>
      <c r="E1425">
        <f>INDEX(FactorTable!$B$2:$Y$301, MATCH(ROUND(MIN(300,MAX(1,D1425)),0), FactorTable!$A$2:$A$301,0), Skills!M21+1)</f>
        <v/>
      </c>
      <c r="F1425">
        <f>IF(Skills!N21=TRUE,(Skills!L21/10)*(E1425/1000),Skills!L21/10)+Skills!O21</f>
        <v/>
      </c>
      <c r="G1425">
        <f>Skills!G21*IF(Skills!H21&gt;0,Skills!I21/Skills!H21,1)</f>
        <v/>
      </c>
      <c r="H1425">
        <f>1-(1-Skills!J21/100)^Skills!K21</f>
        <v/>
      </c>
      <c r="I1425" t="inlineStr">
        <is>
          <t>1</t>
        </is>
      </c>
      <c r="J1425" t="inlineStr"/>
      <c r="K1425" t="inlineStr"/>
      <c r="L1425" t="inlineStr"/>
      <c r="M1425" t="inlineStr"/>
      <c r="N1425" t="inlineStr"/>
      <c r="O1425">
        <f>(1-Summary!$B$11)*T1425+Summary!$B$11*V1425</f>
        <v/>
      </c>
      <c r="P1425">
        <f>IF(B1444=0,0,O1425/B1444)</f>
        <v/>
      </c>
      <c r="Q1425" t="n">
        <v>0</v>
      </c>
      <c r="R1425" t="n">
        <v>0</v>
      </c>
      <c r="S1425">
        <f>IFERROR(O1425/N1425,0)</f>
        <v/>
      </c>
      <c r="T1425" t="n">
        <v>0</v>
      </c>
      <c r="V1425" t="n">
        <v>0</v>
      </c>
    </row>
    <row r="1426">
      <c r="A1426">
        <f>Skills!A22</f>
        <v/>
      </c>
      <c r="B1426">
        <f>Skills!B22</f>
        <v/>
      </c>
      <c r="C1426">
        <f>Inputs!$B$3&gt;=43</f>
        <v/>
      </c>
      <c r="D1426">
        <f>IF(Skills!C22=1,60+Inputs!$B$25+Inputs!$B$29,IF(Skills!C22=2,90+Inputs!$B$26+Inputs!$B$29,IF(Skills!C22=3,120+Inputs!$B$27+Inputs!$B$29,MAX(0,(Inputs!$B$3-100)*3)+Inputs!$B$28+Inputs!$B$29)))</f>
        <v/>
      </c>
      <c r="E1426">
        <f>INDEX(FactorTable!$B$2:$Y$301, MATCH(ROUND(MIN(300,MAX(1,D1426)),0), FactorTable!$A$2:$A$301,0), Skills!M22+1)</f>
        <v/>
      </c>
      <c r="F1426">
        <f>IF(Skills!N22=TRUE,(Skills!L22/10)*(E1426/1000),Skills!L22/10)+Skills!O22</f>
        <v/>
      </c>
      <c r="G1426">
        <f>Skills!G22*IF(Skills!H22&gt;0,Skills!I22/Skills!H22,1)</f>
        <v/>
      </c>
      <c r="H1426">
        <f>1-(1-Skills!J22/100)^Skills!K22</f>
        <v/>
      </c>
      <c r="I1426" t="inlineStr">
        <is>
          <t>1</t>
        </is>
      </c>
      <c r="J1426" t="inlineStr"/>
      <c r="K1426" t="inlineStr"/>
      <c r="L1426" t="inlineStr"/>
      <c r="M1426" t="inlineStr"/>
      <c r="N1426" t="inlineStr"/>
      <c r="O1426">
        <f>(1-Summary!$B$11)*T1426+Summary!$B$11*V1426</f>
        <v/>
      </c>
      <c r="P1426">
        <f>IF(B1444=0,0,O1426/B1444)</f>
        <v/>
      </c>
      <c r="Q1426" t="n">
        <v>0</v>
      </c>
      <c r="R1426" t="n">
        <v>0</v>
      </c>
      <c r="S1426">
        <f>IFERROR(O1426/N1426,0)</f>
        <v/>
      </c>
      <c r="T1426" t="n">
        <v>0</v>
      </c>
      <c r="V1426" t="n">
        <v>0</v>
      </c>
    </row>
    <row r="1427">
      <c r="A1427">
        <f>Skills!A23</f>
        <v/>
      </c>
      <c r="B1427">
        <f>Skills!B23</f>
        <v/>
      </c>
      <c r="C1427">
        <f>Inputs!$B$3&gt;=38</f>
        <v/>
      </c>
      <c r="D1427">
        <f>IF(Skills!C23=1,60+Inputs!$B$25+Inputs!$B$29,IF(Skills!C23=2,90+Inputs!$B$26+Inputs!$B$29,IF(Skills!C23=3,120+Inputs!$B$27+Inputs!$B$29,MAX(0,(Inputs!$B$3-100)*3)+Inputs!$B$28+Inputs!$B$29)))</f>
        <v/>
      </c>
      <c r="E1427">
        <f>INDEX(FactorTable!$B$2:$Y$301, MATCH(ROUND(MIN(300,MAX(1,D1427)),0), FactorTable!$A$2:$A$301,0), Skills!M23+1)</f>
        <v/>
      </c>
      <c r="F1427">
        <f>IF(Skills!N23=TRUE,(Skills!L23/10)*(E1427/1000),Skills!L23/10)+Skills!O23</f>
        <v/>
      </c>
      <c r="G1427">
        <f>Skills!G23*IF(Skills!H23&gt;0,Skills!I23/Skills!H23,1)</f>
        <v/>
      </c>
      <c r="H1427">
        <f>1-(1-Skills!J23/100)^Skills!K23</f>
        <v/>
      </c>
      <c r="I1427" t="inlineStr">
        <is>
          <t>1</t>
        </is>
      </c>
      <c r="J1427" t="inlineStr"/>
      <c r="K1427" t="inlineStr"/>
      <c r="L1427" t="inlineStr"/>
      <c r="M1427" t="inlineStr"/>
      <c r="N1427" t="inlineStr"/>
      <c r="O1427">
        <f>(1-Summary!$B$11)*T1427+Summary!$B$11*V1427</f>
        <v/>
      </c>
      <c r="P1427">
        <f>IF(B1444=0,0,O1427/B1444)</f>
        <v/>
      </c>
      <c r="Q1427" t="n">
        <v>0</v>
      </c>
      <c r="R1427" t="n">
        <v>0</v>
      </c>
      <c r="S1427">
        <f>IFERROR(O1427/N1427,0)</f>
        <v/>
      </c>
      <c r="T1427" t="n">
        <v>0</v>
      </c>
      <c r="V1427" t="n">
        <v>0</v>
      </c>
    </row>
    <row r="1428">
      <c r="A1428">
        <f>Skills!A24</f>
        <v/>
      </c>
      <c r="B1428">
        <f>Skills!B24</f>
        <v/>
      </c>
      <c r="C1428">
        <f>Inputs!$B$3&gt;=40</f>
        <v/>
      </c>
      <c r="D1428">
        <f>IF(Skills!C24=1,60+Inputs!$B$25+Inputs!$B$29,IF(Skills!C24=2,90+Inputs!$B$26+Inputs!$B$29,IF(Skills!C24=3,120+Inputs!$B$27+Inputs!$B$29,MAX(0,(Inputs!$B$3-100)*3)+Inputs!$B$28+Inputs!$B$29)))</f>
        <v/>
      </c>
      <c r="E1428">
        <f>INDEX(FactorTable!$B$2:$Y$301, MATCH(ROUND(MIN(300,MAX(1,D1428)),0), FactorTable!$A$2:$A$301,0), Skills!M24+1)</f>
        <v/>
      </c>
      <c r="F1428">
        <f>IF(Skills!N24=TRUE,(Skills!L24/10)*(E1428/1000),Skills!L24/10)+Skills!O24</f>
        <v/>
      </c>
      <c r="G1428">
        <f>Skills!G24*IF(Skills!H24&gt;0,Skills!I24/Skills!H24,1)</f>
        <v/>
      </c>
      <c r="H1428">
        <f>1-(1-Skills!J24/100)^Skills!K24</f>
        <v/>
      </c>
      <c r="I1428" t="inlineStr">
        <is>
          <t>1</t>
        </is>
      </c>
      <c r="J1428" t="inlineStr"/>
      <c r="K1428" t="inlineStr"/>
      <c r="L1428" t="inlineStr"/>
      <c r="M1428" t="inlineStr"/>
      <c r="N1428" t="inlineStr"/>
      <c r="O1428">
        <f>(1-Summary!$B$11)*T1428+Summary!$B$11*V1428</f>
        <v/>
      </c>
      <c r="P1428">
        <f>IF(B1444=0,0,O1428/B1444)</f>
        <v/>
      </c>
      <c r="Q1428" t="n">
        <v>0</v>
      </c>
      <c r="R1428" t="n">
        <v>0</v>
      </c>
      <c r="S1428">
        <f>IFERROR(O1428/N1428,0)</f>
        <v/>
      </c>
      <c r="T1428" t="n">
        <v>0</v>
      </c>
      <c r="V1428" t="n">
        <v>0</v>
      </c>
    </row>
    <row r="1429">
      <c r="A1429">
        <f>Skills!A25</f>
        <v/>
      </c>
      <c r="B1429">
        <f>Skills!B25</f>
        <v/>
      </c>
      <c r="C1429">
        <f>Inputs!$B$3&gt;=72</f>
        <v/>
      </c>
      <c r="D1429">
        <f>IF(Skills!C25=1,60+Inputs!$B$25+Inputs!$B$29,IF(Skills!C25=2,90+Inputs!$B$26+Inputs!$B$29,IF(Skills!C25=3,120+Inputs!$B$27+Inputs!$B$29,MAX(0,(Inputs!$B$3-100)*3)+Inputs!$B$28+Inputs!$B$29)))</f>
        <v/>
      </c>
      <c r="E1429">
        <f>INDEX(FactorTable!$B$2:$Y$301, MATCH(ROUND(MIN(300,MAX(1,D1429)),0), FactorTable!$A$2:$A$301,0), Skills!M25+1)</f>
        <v/>
      </c>
      <c r="F1429">
        <f>IF(Skills!N25=TRUE,(Skills!L25/10)*(E1429/1000),Skills!L25/10)+Skills!O25</f>
        <v/>
      </c>
      <c r="G1429">
        <f>Skills!G25*IF(Skills!H25&gt;0,Skills!I25/Skills!H25,1)</f>
        <v/>
      </c>
      <c r="H1429">
        <f>1-(1-Skills!J25/100)^Skills!K25</f>
        <v/>
      </c>
      <c r="I1429" t="inlineStr">
        <is>
          <t>1</t>
        </is>
      </c>
      <c r="J1429" t="inlineStr"/>
      <c r="K1429" t="inlineStr"/>
      <c r="L1429" t="inlineStr"/>
      <c r="M1429" t="inlineStr"/>
      <c r="N1429" t="inlineStr"/>
      <c r="O1429">
        <f>(1-Summary!$B$11)*T1429+Summary!$B$11*V1429</f>
        <v/>
      </c>
      <c r="P1429">
        <f>IF(B1444=0,0,O1429/B1444)</f>
        <v/>
      </c>
      <c r="Q1429" t="n">
        <v>0</v>
      </c>
      <c r="R1429" t="n">
        <v>0</v>
      </c>
      <c r="S1429">
        <f>IFERROR(O1429/N1429,0)</f>
        <v/>
      </c>
      <c r="T1429" t="n">
        <v>0</v>
      </c>
      <c r="V1429" t="n">
        <v>0</v>
      </c>
    </row>
    <row r="1430">
      <c r="A1430">
        <f>Skills!A26</f>
        <v/>
      </c>
      <c r="B1430">
        <f>Skills!B26</f>
        <v/>
      </c>
      <c r="C1430">
        <f>Inputs!$B$3&gt;=75</f>
        <v/>
      </c>
      <c r="D1430">
        <f>IF(Skills!C26=1,60+Inputs!$B$25+Inputs!$B$29,IF(Skills!C26=2,90+Inputs!$B$26+Inputs!$B$29,IF(Skills!C26=3,120+Inputs!$B$27+Inputs!$B$29,MAX(0,(Inputs!$B$3-100)*3)+Inputs!$B$28+Inputs!$B$29)))</f>
        <v/>
      </c>
      <c r="E1430">
        <f>INDEX(FactorTable!$B$2:$Y$301, MATCH(ROUND(MIN(300,MAX(1,D1430)),0), FactorTable!$A$2:$A$301,0), Skills!M26+1)</f>
        <v/>
      </c>
      <c r="F1430">
        <f>IF(Skills!N26=TRUE,(Skills!L26/10)*(E1430/1000),Skills!L26/10)+Skills!O26</f>
        <v/>
      </c>
      <c r="G1430">
        <f>Skills!G26*IF(Skills!H26&gt;0,Skills!I26/Skills!H26,1)</f>
        <v/>
      </c>
      <c r="H1430">
        <f>1-(1-Skills!J26/100)^Skills!K26</f>
        <v/>
      </c>
      <c r="I1430" t="inlineStr">
        <is>
          <t>1</t>
        </is>
      </c>
      <c r="J1430" t="inlineStr"/>
      <c r="K1430" t="inlineStr"/>
      <c r="L1430" t="inlineStr"/>
      <c r="M1430" t="inlineStr"/>
      <c r="N1430" t="inlineStr"/>
      <c r="O1430">
        <f>(1-Summary!$B$11)*T1430+Summary!$B$11*V1430</f>
        <v/>
      </c>
      <c r="P1430">
        <f>IF(B1444=0,0,O1430/B1444)</f>
        <v/>
      </c>
      <c r="Q1430" t="n">
        <v>0</v>
      </c>
      <c r="R1430" t="n">
        <v>0</v>
      </c>
      <c r="S1430">
        <f>IFERROR(O1430/N1430,0)</f>
        <v/>
      </c>
      <c r="T1430" t="n">
        <v>0</v>
      </c>
      <c r="V1430" t="n">
        <v>0</v>
      </c>
    </row>
    <row r="1431">
      <c r="A1431">
        <f>Skills!A27</f>
        <v/>
      </c>
      <c r="B1431">
        <f>Skills!B27</f>
        <v/>
      </c>
      <c r="C1431">
        <f>Inputs!$B$3&gt;=117</f>
        <v/>
      </c>
      <c r="D1431">
        <f>IF(Skills!C27=1,60+Inputs!$B$25+Inputs!$B$29,IF(Skills!C27=2,90+Inputs!$B$26+Inputs!$B$29,IF(Skills!C27=3,120+Inputs!$B$27+Inputs!$B$29,MAX(0,(Inputs!$B$3-100)*3)+Inputs!$B$28+Inputs!$B$29)))</f>
        <v/>
      </c>
      <c r="E1431">
        <f>INDEX(FactorTable!$B$2:$Y$301, MATCH(ROUND(MIN(300,MAX(1,D1431)),0), FactorTable!$A$2:$A$301,0), Skills!M27+1)</f>
        <v/>
      </c>
      <c r="F1431">
        <f>IF(Skills!N27=TRUE,(Skills!L27/10)*(E1431/1000),Skills!L27/10)+Skills!O27</f>
        <v/>
      </c>
      <c r="G1431">
        <f>Skills!G27*IF(Skills!H27&gt;0,Skills!I27/Skills!H27,1)</f>
        <v/>
      </c>
      <c r="H1431">
        <f>1-(1-Skills!J27/100)^Skills!K27</f>
        <v/>
      </c>
      <c r="I1431" t="inlineStr">
        <is>
          <t>1</t>
        </is>
      </c>
      <c r="J1431" t="inlineStr"/>
      <c r="K1431" t="inlineStr"/>
      <c r="L1431" t="inlineStr"/>
      <c r="M1431" t="inlineStr"/>
      <c r="N1431" t="inlineStr"/>
      <c r="O1431">
        <f>(1-Summary!$B$11)*T1431+Summary!$B$11*V1431</f>
        <v/>
      </c>
      <c r="P1431">
        <f>IF(B1444=0,0,O1431/B1444)</f>
        <v/>
      </c>
      <c r="Q1431" t="n">
        <v>0</v>
      </c>
      <c r="R1431" t="n">
        <v>0</v>
      </c>
      <c r="S1431">
        <f>IFERROR(O1431/N1431,0)</f>
        <v/>
      </c>
      <c r="T1431" t="n">
        <v>0</v>
      </c>
      <c r="V1431" t="n">
        <v>0</v>
      </c>
    </row>
    <row r="1433">
      <c r="A1433" t="inlineStr">
        <is>
          <t>Attack% Bucket Multiplier</t>
        </is>
      </c>
      <c r="B1433">
        <f>(1+(((C1421=TRUE)*F1421)+((C1428=TRUE)*(F1428-Calc!F24))+(IF(ArtifactsInput!$M$21,CHOOSE(ArtifactsInput!$N$21+1,25,30,35,40,45,50)*(IF(OR(Inputs!$B$4="Chapter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34">
      <c r="A1434" t="inlineStr">
        <is>
          <t>Global Crit Rate Bonus %</t>
        </is>
      </c>
      <c r="B1434" t="n">
        <v>0</v>
      </c>
    </row>
    <row r="1435">
      <c r="A1435" t="inlineStr">
        <is>
          <t>Attack Speed Buff Bonus % (unused)</t>
        </is>
      </c>
      <c r="B1435" t="n">
        <v>0</v>
      </c>
    </row>
    <row r="1436">
      <c r="A1436" t="inlineStr">
        <is>
          <t>Actions Per Second</t>
        </is>
      </c>
      <c r="B1436">
        <f>1+MIN(150,150*(1-(1-(Inputs!$B$11+((C1424=TRUE)*(F1424-Calc!F20))+((C1425=TRUE)*(F1425-Calc!F21)))/150)*(1-B1435/150)))/100</f>
        <v/>
      </c>
    </row>
    <row r="1437">
      <c r="A1437" t="inlineStr">
        <is>
          <t>Skill + Buff Cast Rate</t>
        </is>
      </c>
      <c r="B1437">
        <f>IF(AND(Inputs!$B$38&lt;&gt;"pvp",Inputs!$B$43&gt;0),SUMPRODUCT((Skills!E2:E27=TRUE)*(C1406:C1431=TRUE)*R1406:R1431*Skills!F2:F27)/Inputs!$B$43,SUMPRODUCT((Skills!E2:E27=TRUE)*(C1406:C1431=TRUE)*Q1406:Q1431*Skills!F2:F27))</f>
        <v/>
      </c>
    </row>
    <row r="1438">
      <c r="A1438" t="inlineStr">
        <is>
          <t>Eight-Legs Easton Casts Per Second</t>
        </is>
      </c>
      <c r="B1438">
        <f>MAX(0,B1436-B1437)</f>
        <v/>
      </c>
    </row>
    <row r="1439">
      <c r="A1439" t="inlineStr">
        <is>
          <t>Global Critical Damage Bonus % (unused)</t>
        </is>
      </c>
      <c r="B1439" t="n">
        <v>0</v>
      </c>
    </row>
    <row r="1440">
      <c r="A1440" t="inlineStr">
        <is>
          <t>Global Final Damage Bonus % (Jolly Roger only)</t>
        </is>
      </c>
      <c r="B1440">
        <f>((C1422=TRUE)*F1422)</f>
        <v/>
      </c>
    </row>
    <row r="1441">
      <c r="A1441" t="inlineStr">
        <is>
          <t>Buff-Casting Startup Delay (s, fixed-duration only)</t>
        </is>
      </c>
      <c r="B1441">
        <f>IF(AND(Inputs!$B$38&lt;&gt;"pvp",Inputs!$B$43&gt;0),SUMPRODUCT((Skills!T2:T27&gt;0)*(Skills!E2:E27=TRUE)*(C1406:C1431=TRUE))/B1436,0)</f>
        <v/>
      </c>
    </row>
    <row r="1442">
      <c r="A1442" t="inlineStr">
        <is>
          <t>Boss-Only Total DPS (this block's swept value)</t>
        </is>
      </c>
      <c r="B1442">
        <f>SUM(T1406:T1431)</f>
        <v/>
      </c>
    </row>
    <row r="1443">
      <c r="A1443" t="inlineStr">
        <is>
          <t>Normal-Only Total DPS (this block's swept value)</t>
        </is>
      </c>
      <c r="B1443">
        <f>SUM(V1406:V1431)</f>
        <v/>
      </c>
    </row>
    <row r="1444">
      <c r="A1444" s="6" t="inlineStr">
        <is>
          <t>TOTAL DPS</t>
        </is>
      </c>
      <c r="B1444" s="6">
        <f>SUM(O1406:O1431)</f>
        <v/>
      </c>
    </row>
    <row r="1447">
      <c r="A1447" s="6" t="inlineStr">
        <is>
          <t>Stat: Arwen's Glass Shoes (Equip)</t>
        </is>
      </c>
    </row>
    <row r="1448">
      <c r="A1448" s="5" t="inlineStr">
        <is>
          <t>Key</t>
        </is>
      </c>
      <c r="B1448" s="5" t="inlineStr">
        <is>
          <t>Name</t>
        </is>
      </c>
      <c r="C1448" s="5" t="inlineStr">
        <is>
          <t>Unlocked</t>
        </is>
      </c>
      <c r="D1448" s="5" t="inlineStr">
        <is>
          <t>InputLevel</t>
        </is>
      </c>
      <c r="E1448" s="5" t="inlineStr">
        <is>
          <t>Factor</t>
        </is>
      </c>
      <c r="F1448" s="5" t="inlineStr">
        <is>
          <t>CoefficientPercent</t>
        </is>
      </c>
      <c r="G1448" s="5" t="inlineStr">
        <is>
          <t>EffectiveHits</t>
        </is>
      </c>
      <c r="H1448" s="5" t="inlineStr">
        <is>
          <t>ProcProbability</t>
        </is>
      </c>
      <c r="I1448" s="5" t="inlineStr">
        <is>
          <t>MapleHeroMultiplier</t>
        </is>
      </c>
      <c r="J1448" s="5" t="inlineStr">
        <is>
          <t>BaseDamage</t>
        </is>
      </c>
      <c r="K1448" s="5" t="inlineStr">
        <is>
          <t>BaseHitDamage</t>
        </is>
      </c>
      <c r="L1448" s="5" t="inlineStr">
        <is>
          <t>NonCritAvg</t>
        </is>
      </c>
      <c r="M1448" s="5" t="inlineStr">
        <is>
          <t>CritAvg</t>
        </is>
      </c>
      <c r="N1448" s="5" t="inlineStr">
        <is>
          <t>ExpectedDamage(perHit)</t>
        </is>
      </c>
      <c r="O1448" s="5" t="inlineStr">
        <is>
          <t>DPS</t>
        </is>
      </c>
      <c r="P1448" s="5" t="inlineStr">
        <is>
          <t>% of Total</t>
        </is>
      </c>
      <c r="Q1448" s="5" t="inlineStr">
        <is>
          <t>InvCooldown</t>
        </is>
      </c>
      <c r="R1448" s="5" t="inlineStr">
        <is>
          <t>CastsInFight</t>
        </is>
      </c>
      <c r="S1448" s="5" t="inlineStr">
        <is>
          <t>HitRate(perSec)</t>
        </is>
      </c>
      <c r="U1448" t="inlineStr">
        <is>
          <t>helpers</t>
        </is>
      </c>
    </row>
    <row r="1449">
      <c r="A1449">
        <f>Skills!A2</f>
        <v/>
      </c>
      <c r="B1449">
        <f>Skills!B2</f>
        <v/>
      </c>
      <c r="C1449">
        <f>Inputs!$B$3&gt;=100</f>
        <v/>
      </c>
      <c r="D1449" t="inlineStr"/>
      <c r="E1449" t="inlineStr"/>
      <c r="F1449">
        <f>U1451+Skills!O2</f>
        <v/>
      </c>
      <c r="G1449">
        <f>Skills!G2*IF(Skills!H2&gt;0,Skills!I2/Skills!H2,1)</f>
        <v/>
      </c>
      <c r="H1449">
        <f>1-(1-Skills!J2/100)^Skills!K2</f>
        <v/>
      </c>
      <c r="I1449" t="inlineStr">
        <is>
          <t>1</t>
        </is>
      </c>
      <c r="J1449">
        <f>((Inputs!$B$6*(1+Inputs!$B$7/100))+(((Inputs!$B$12*(1+Inputs!$B$13/100))-(Inputs!$B$12*(1+Inputs!$B$13/100)))+0.25*(Inputs!$B$14-Inputs!$B$14))*(1+Inputs!$B$7/100))*(F1449/100)</f>
        <v/>
      </c>
      <c r="K1449">
        <f>J1449*(1+((Inputs!$B$12*(1+Inputs!$B$13/100))*0.01+Inputs!$B$14*0.0025)/100)*(1+Inputs!$B$15/100)*(1+Inputs!$B$16/100)*(5000/(6000+Inputs!$B$42*(1-(100*(1-(1-(Inputs!$B$19+0)/100)*(1-CHOOSE(ArtifactsInput!$N$40+1,5,6,7,8,9,10)/100)^(ArtifactsInput!$M$40-ArtifactsInput!$M$40)))/100)))*(1+(Inputs!$B$24+((C1473=TRUE)*(F1473-Calc!F26))+B1483)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1470=TRUE)*(F1470-Calc!F23))+((C1474=TRUE)*(F1474-Calc!F27))+(((IF(AND(ArtifactsInput!$M$42,((Inputs!$B$9+((C1466=TRUE)*(F1466-Calc!F19))+B1477+(ArtifactsInput!$M$24-ArtifactsInput!$M$24)*CHOOSE(ArtifactsInput!$N$24+1,10,12,14,16,18,20)+IF(ArtifactsInput!$M$10,CHOOSE(ArtifactsInput!$N$10+1,15,18,21,24,27,30)*(IF(Inputs!$B$38="pvp",MIN(15,15)/15,IF(AND(Inputs!$B$38&lt;&gt;"pvp",Inputs!$B$43&gt;0),MIN(15,Inputs!$B$43)/(Inputs!$B$43),0))),0)))&gt;=100),MIN(100,((Inputs!$B$9+((C1466=TRUE)*(F1466-Calc!F19))+B1477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1466=TRUE)*(F1466-Calc!F19))+B1477+(ArtifactsInput!$M$24-ArtifactsInput!$M$24)*CHOOSE(ArtifactsInput!$N$24+1,10,12,14,16,18,20)+IF(ArtifactsInput!$M$10,CHOOSE(ArtifactsInput!$N$10+1,15,18,21,24,27,30)*(IF(Inputs!$B$38="pvp",MIN(15,15)/15,IF(AND(Inputs!$B$38&lt;&gt;"pvp",Inputs!$B$43&gt;0),MIN(15,Inputs!$B$43)/(Inputs!$B$43),0))),0)))&gt;=100),CHOOSE(ArtifactsInput!$N$42+1,40,48,56,64,72,80),0))))/100)*((1+(((C1464=TRUE)*F1464)+((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1449)</f>
        <v/>
      </c>
      <c r="L1449">
        <f>K1449*(MIN(Inputs!$B$22+((C1469=TRUE)*(F1469-Calc!F22)),(Inputs!$B$23+0+(IF(ArtifactsInput!$M$15,CHOOSE(ArtifactsInput!$N$15+1,25,30,35,40,45,50)/100*(Inputs!$B$11-Inputs!$B$11),0))))/100+(Inputs!$B$23+0+(IF(ArtifactsInput!$M$15,CHOOSE(ArtifactsInput!$N$15+1,25,30,35,40,45,50)/100*(Inputs!$B$11-Inputs!$B$11),0)))/100)/2</f>
        <v/>
      </c>
      <c r="M1449">
        <f>L1449*(1+(Inputs!$B$10+((C1472=TRUE)*(F1472-Calc!F25))+B1482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9">
        <f>L1449*(1-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1449*(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9">
        <f>(1-Summary!$B$11)*T1449+Summary!$B$11*V1449</f>
        <v/>
      </c>
      <c r="P1449">
        <f>IF(B1487=0,0,O1449/B1487)</f>
        <v/>
      </c>
      <c r="Q1449" t="n">
        <v>0</v>
      </c>
      <c r="R1449" t="n">
        <v>0</v>
      </c>
      <c r="S1449">
        <f>IFERROR(O1449/N1449,0)</f>
        <v/>
      </c>
      <c r="T1449">
        <f>IF(C1449,(Skills!G2*N1449*B1481)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1449*(1-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1449*(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1449*(1-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1449*(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9">
        <f>MAX(0,(Inputs!$B$3-100)*3)+Inputs!$B$28+Inputs!$B$29</f>
        <v/>
      </c>
      <c r="V1449">
        <f>IF(C1449,(Skills!G2*N1449*B1481)*IF(Inputs!$B$38="pvp",1,(1+(Inputs!$B$21+Skills!Q2+(IF(ArtifactsInput!$M$33,CHOOSE(ArtifactsInput!$N$33+1,30,36,42,48,54,60),0))+(IF(AND(ArtifactsInput!$M$35,Inputs!$B$4&lt;&gt;"Chapter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0">
      <c r="A1450">
        <f>Skills!A3</f>
        <v/>
      </c>
      <c r="B1450">
        <f>Skills!B3</f>
        <v/>
      </c>
      <c r="C1450">
        <f>Inputs!$B$3&gt;=35</f>
        <v/>
      </c>
      <c r="D1450">
        <f>IF(Skills!C3=1,60+Inputs!$B$25+Inputs!$B$29,IF(Skills!C3=2,90+Inputs!$B$26+Inputs!$B$29,IF(Skills!C3=3,120+Inputs!$B$27+Inputs!$B$29,MAX(0,(Inputs!$B$3-100)*3)+Inputs!$B$28+Inputs!$B$29)))</f>
        <v/>
      </c>
      <c r="E1450">
        <f>INDEX(FactorTable!$B$2:$Y$301, MATCH(ROUND(MIN(300,MAX(1,D1450)),0), FactorTable!$A$2:$A$301,0), Skills!M3+1)</f>
        <v/>
      </c>
      <c r="F1450">
        <f>IF(Skills!N3=TRUE,(Skills!L3/10)*(E1450/1000),Skills!L3/10)+Skills!O3</f>
        <v/>
      </c>
      <c r="G1450">
        <f>Skills!G3*IF(Skills!H3&gt;0,Skills!I3/Skills!H3,1)</f>
        <v/>
      </c>
      <c r="H1450">
        <f>1-(1-Skills!J3/100)^Skills!K3</f>
        <v/>
      </c>
      <c r="I1450" t="inlineStr">
        <is>
          <t>1</t>
        </is>
      </c>
      <c r="J1450">
        <f>((Inputs!$B$6*(1+Inputs!$B$7/100))+(((Inputs!$B$12*(1+Inputs!$B$13/100))-(Inputs!$B$12*(1+Inputs!$B$13/100)))+0.25*(Inputs!$B$14-Inputs!$B$14))*(1+Inputs!$B$7/100))*(F1450/100)</f>
        <v/>
      </c>
      <c r="K1450">
        <f>J1450*(1+((Inputs!$B$12*(1+Inputs!$B$13/100))*0.01+Inputs!$B$14*0.0025)/100)*(1+Inputs!$B$15/100)*(1+Inputs!$B$16/100)*(5000/(6000+Inputs!$B$42*(1-(100*(1-(1-(Inputs!$B$19+0)/100)*(1-CHOOSE(ArtifactsInput!$N$40+1,5,6,7,8,9,10)/100)^(ArtifactsInput!$M$40-ArtifactsInput!$M$40)))/100)))*(1+(Inputs!$B$24+((C1473=TRUE)*(F1473-Calc!F26))+B1483)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1462=TRUE,F1462,0)/100)*(1+(IF(Skills!A3="EIGHT_LEGS_EASTON",Inputs!$B$17+((C1470=TRUE)*(F1470-Calc!F23))+((C1474=TRUE)*(F1474-Calc!F27))+(((IF(AND(ArtifactsInput!$M$42,((Inputs!$B$9+((C1466=TRUE)*(F1466-Calc!F19))+B1477+(ArtifactsInput!$M$24-ArtifactsInput!$M$24)*CHOOSE(ArtifactsInput!$N$24+1,10,12,14,16,18,20)+IF(ArtifactsInput!$M$10,CHOOSE(ArtifactsInput!$N$10+1,15,18,21,24,27,30)*(IF(Inputs!$B$38="pvp",MIN(15,15)/15,IF(AND(Inputs!$B$38&lt;&gt;"pvp",Inputs!$B$43&gt;0),MIN(15,Inputs!$B$43)/(Inputs!$B$43),0))),0)))&gt;=100),MIN(100,((Inputs!$B$9+((C1466=TRUE)*(F1466-Calc!F19))+B1477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1466=TRUE)*(F1466-Calc!F19))+B1477+(ArtifactsInput!$M$24-ArtifactsInput!$M$24)*CHOOSE(ArtifactsInput!$N$24+1,10,12,14,16,18,20)+IF(ArtifactsInput!$M$10,CHOOSE(ArtifactsInput!$N$10+1,15,18,21,24,27,30)*(IF(Inputs!$B$38="pvp",MIN(15,15)/15,IF(AND(Inputs!$B$38&lt;&gt;"pvp",Inputs!$B$43&gt;0),MIN(15,Inputs!$B$43)/(Inputs!$B$43),0))),0)))&gt;=100),CHOOSE(ArtifactsInput!$N$42+1,40,48,56,64,72,80),0))))/100)*((1+(((C1464=TRUE)*F1464)+((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1450)</f>
        <v/>
      </c>
      <c r="L1450">
        <f>K1450*(MIN(Inputs!$B$22+((C1469=TRUE)*(F1469-Calc!F22)),(Inputs!$B$23+0+(IF(ArtifactsInput!$M$15,CHOOSE(ArtifactsInput!$N$15+1,25,30,35,40,45,50)/100*(Inputs!$B$11-Inputs!$B$11),0))))/100+(Inputs!$B$23+0+(IF(ArtifactsInput!$M$15,CHOOSE(ArtifactsInput!$N$15+1,25,30,35,40,45,50)/100*(Inputs!$B$11-Inputs!$B$11),0)))/100)/2</f>
        <v/>
      </c>
      <c r="M1450">
        <f>L1450*(1+(Inputs!$B$10+((C1472=TRUE)*(F1472-Calc!F25))+B1482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0">
        <f>L1450*(1-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1450*(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0">
        <f>(1-Summary!$B$11)*T1450+Summary!$B$11*V1450</f>
        <v/>
      </c>
      <c r="P1450">
        <f>IF(B1487=0,0,O1450/B1487)</f>
        <v/>
      </c>
      <c r="Q1450">
        <f>IFERROR(1/(IF(Inputs!$B$38="pvp",15,MAX(0.1,Skills!D3-IF(Skills!E3=TRUE,Inputs!$B$32,0)))*(1-IF(AND(ArtifactsInput!$M$27,Inputs!$B$4="Chapter Hunt"),CHOOSE(ArtifactsInput!$N$27+1,20,24,28,32,36,40),0)/100)),0)</f>
        <v/>
      </c>
      <c r="R1450">
        <f>IF(AND(Inputs!$B$38&lt;&gt;"pvp",Inputs!$B$43&gt;0),IF(MAX(0,Inputs!$B$43-B1484)&lt;=0,0,(INT(MAX(0,Inputs!$B$43-B1484)/(IF(Inputs!$B$38="pvp",15,MAX(0.1,Skills!D3-IF(Skills!E3=TRUE,Inputs!$B$32,0)))*(1-IF(AND(ArtifactsInput!$M$27,Inputs!$B$4="Chapter Hunt"),CHOOSE(ArtifactsInput!$N$27+1,20,24,28,32,36,40),0)/100)))+1)),0)</f>
        <v/>
      </c>
      <c r="S1450">
        <f>IFERROR(O1450/N1450,0)</f>
        <v/>
      </c>
      <c r="T1450">
        <f>IF(C1450,(H1450*N1450*IF(AND(Inputs!$B$38&lt;&gt;"pvp",Inputs!$B$43&gt;0),((Skills!G3*((R1450-1)*IF(Skills!H3&gt;0,Skills!I3/Skills!H3,1)+IF(Skills!H3&gt;0,MIN(Skills!I3,MAX(0,MAX(0,Inputs!$B$43-B1484)-((R1450-1)*(IF(Inputs!$B$38="pvp",15,MAX(0.1,Skills!D3-IF(Skills!E3=TRUE,Inputs!$B$32,0)))*(1-IF(AND(ArtifactsInput!$M$27,Inputs!$B$4="Chapter Hunt"),CHOOSE(ArtifactsInput!$N$27+1,20,24,28,32,36,40),0)/100)))))/Skills!H3,1)))/Inputs!$B$43),G1450*Q1450)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1450*(1-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1450*(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1450*(1-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1450*(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50">
        <f>INDEX(FactorTable!$B$2:$Y$301, MATCH(ROUND(MIN(300,MAX(1,U1449)),0), FactorTable!$A$2:$A$301,0), 22)</f>
        <v/>
      </c>
      <c r="V1450">
        <f>IF(C1450,(H1450*N1450*IF(AND(Inputs!$B$38&lt;&gt;"pvp",Inputs!$B$43&gt;0),((Skills!G3*((R1450-1)*IF(Skills!H3&gt;0,Skills!I3/Skills!H3,1)+IF(Skills!H3&gt;0,MIN(Skills!I3,MAX(0,MAX(0,Inputs!$B$43-B1484)-((R1450-1)*(IF(Inputs!$B$38="pvp",15,MAX(0.1,Skills!D3-IF(Skills!E3=TRUE,Inputs!$B$32,0)))*(1-IF(AND(ArtifactsInput!$M$27,Inputs!$B$4="Chapter Hunt"),CHOOSE(ArtifactsInput!$N$27+1,20,24,28,32,36,40),0)/100)))))/Skills!H3,1)))/Inputs!$B$43),G1450*Q1450))*IF(Inputs!$B$38="pvp",1,(1+(Inputs!$B$21+Skills!Q3+(IF(ArtifactsInput!$M$33,CHOOSE(ArtifactsInput!$N$33+1,30,36,42,48,54,60)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1">
      <c r="A1451">
        <f>Skills!A4</f>
        <v/>
      </c>
      <c r="B1451">
        <f>Skills!B4</f>
        <v/>
      </c>
      <c r="C1451">
        <f>Inputs!$B$3&gt;=40</f>
        <v/>
      </c>
      <c r="D1451">
        <f>IF(Skills!C4=1,60+Inputs!$B$25+Inputs!$B$29,IF(Skills!C4=2,90+Inputs!$B$26+Inputs!$B$29,IF(Skills!C4=3,120+Inputs!$B$27+Inputs!$B$29,MAX(0,(Inputs!$B$3-100)*3)+Inputs!$B$28+Inputs!$B$29)))</f>
        <v/>
      </c>
      <c r="E1451">
        <f>INDEX(FactorTable!$B$2:$Y$301, MATCH(ROUND(MIN(300,MAX(1,D1451)),0), FactorTable!$A$2:$A$301,0), Skills!M4+1)</f>
        <v/>
      </c>
      <c r="F1451">
        <f>IF(Skills!N4=TRUE,(Skills!L4/10)*(E1451/1000),Skills!L4/10)+Skills!O4</f>
        <v/>
      </c>
      <c r="G1451">
        <f>Skills!G4*IF(Skills!H4&gt;0,Skills!I4/Skills!H4,1)</f>
        <v/>
      </c>
      <c r="H1451">
        <f>1-(1-Skills!J4/100)^Skills!K4</f>
        <v/>
      </c>
      <c r="I1451" t="inlineStr">
        <is>
          <t>1</t>
        </is>
      </c>
      <c r="J1451">
        <f>((Inputs!$B$6*(1+Inputs!$B$7/100))+(((Inputs!$B$12*(1+Inputs!$B$13/100))-(Inputs!$B$12*(1+Inputs!$B$13/100)))+0.25*(Inputs!$B$14-Inputs!$B$14))*(1+Inputs!$B$7/100))*(F1451/100)</f>
        <v/>
      </c>
      <c r="K1451">
        <f>J1451*(1+((Inputs!$B$12*(1+Inputs!$B$13/100))*0.01+Inputs!$B$14*0.0025)/100)*(1+Inputs!$B$15/100)*(1+Inputs!$B$16/100)*(5000/(6000+Inputs!$B$42*(1-(100*(1-(1-(Inputs!$B$19+0)/100)*(1-CHOOSE(ArtifactsInput!$N$40+1,5,6,7,8,9,10)/100)^(ArtifactsInput!$M$40-ArtifactsInput!$M$40)))/100)))*(1+(Inputs!$B$24+((C1473=TRUE)*(F1473-Calc!F26))+B1483)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1463=TRUE,F1463,0)/100)*(1+(IF(Skills!A4="EIGHT_LEGS_EASTON",Inputs!$B$17+((C1470=TRUE)*(F1470-Calc!F23))+((C1474=TRUE)*(F1474-Calc!F27))+(((IF(AND(ArtifactsInput!$M$42,((Inputs!$B$9+((C1466=TRUE)*(F1466-Calc!F19))+B1477+(ArtifactsInput!$M$24-ArtifactsInput!$M$24)*CHOOSE(ArtifactsInput!$N$24+1,10,12,14,16,18,20)+IF(ArtifactsInput!$M$10,CHOOSE(ArtifactsInput!$N$10+1,15,18,21,24,27,30)*(IF(Inputs!$B$38="pvp",MIN(15,15)/15,IF(AND(Inputs!$B$38&lt;&gt;"pvp",Inputs!$B$43&gt;0),MIN(15,Inputs!$B$43)/(Inputs!$B$43),0))),0)))&gt;=100),MIN(100,((Inputs!$B$9+((C1466=TRUE)*(F1466-Calc!F19))+B1477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1466=TRUE)*(F1466-Calc!F19))+B1477+(ArtifactsInput!$M$24-ArtifactsInput!$M$24)*CHOOSE(ArtifactsInput!$N$24+1,10,12,14,16,18,20)+IF(ArtifactsInput!$M$10,CHOOSE(ArtifactsInput!$N$10+1,15,18,21,24,27,30)*(IF(Inputs!$B$38="pvp",MIN(15,15)/15,IF(AND(Inputs!$B$38&lt;&gt;"pvp",Inputs!$B$43&gt;0),MIN(15,Inputs!$B$43)/(Inputs!$B$43),0))),0)))&gt;=100),CHOOSE(ArtifactsInput!$N$42+1,40,48,56,64,72,80),0))))/100)*((1+(((C1464=TRUE)*F1464)+((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1451)</f>
        <v/>
      </c>
      <c r="L1451">
        <f>K1451*(MIN(Inputs!$B$22+((C1469=TRUE)*(F1469-Calc!F22)),(Inputs!$B$23+0+(IF(ArtifactsInput!$M$15,CHOOSE(ArtifactsInput!$N$15+1,25,30,35,40,45,50)/100*(Inputs!$B$11-Inputs!$B$11),0))))/100+(Inputs!$B$23+0+(IF(ArtifactsInput!$M$15,CHOOSE(ArtifactsInput!$N$15+1,25,30,35,40,45,50)/100*(Inputs!$B$11-Inputs!$B$11),0)))/100)/2</f>
        <v/>
      </c>
      <c r="M1451">
        <f>L1451*(1+(Inputs!$B$10+((C1472=TRUE)*(F1472-Calc!F25))+B1482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1">
        <f>L1451*(1-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1">
        <f>(1-Summary!$B$11)*T1451+Summary!$B$11*V1451</f>
        <v/>
      </c>
      <c r="P1451">
        <f>IF(B1487=0,0,O1451/B1487)</f>
        <v/>
      </c>
      <c r="Q1451">
        <f>IFERROR(1/(IF(Inputs!$B$38="pvp",15,MAX(0.1,Skills!D4-IF(Skills!E4=TRUE,Inputs!$B$32,0)))*(1-IF(AND(ArtifactsInput!$M$27,Inputs!$B$4="Chapter Hunt"),CHOOSE(ArtifactsInput!$N$27+1,20,24,28,32,36,40),0)/100)),0)</f>
        <v/>
      </c>
      <c r="R1451">
        <f>IF(AND(Inputs!$B$38&lt;&gt;"pvp",Inputs!$B$43&gt;0),IF(MAX(0,Inputs!$B$43-B1484)&lt;=0,0,(INT(MAX(0,Inputs!$B$43-B1484)/(IF(Inputs!$B$38="pvp",15,MAX(0.1,Skills!D4-IF(Skills!E4=TRUE,Inputs!$B$32,0)))*(1-IF(AND(ArtifactsInput!$M$27,Inputs!$B$4="Chapter Hunt"),CHOOSE(ArtifactsInput!$N$27+1,20,24,28,32,36,40),0)/100)))+1)),0)</f>
        <v/>
      </c>
      <c r="S1451">
        <f>IFERROR(O1451/N1451,0)</f>
        <v/>
      </c>
      <c r="T1451">
        <f>IF(C1451,(H1451*N1451*IF(AND(Inputs!$B$38&lt;&gt;"pvp",Inputs!$B$43&gt;0),((Skills!G4*((R1451-1)*IF(Skills!H4&gt;0,Skills!I4/Skills!H4,1)+IF(Skills!H4&gt;0,MIN(Skills!I4,MAX(0,MAX(0,Inputs!$B$43-B1484)-((R1451-1)*(IF(Inputs!$B$38="pvp",15,MAX(0.1,Skills!D4-IF(Skills!E4=TRUE,Inputs!$B$32,0)))*(1-IF(AND(ArtifactsInput!$M$27,Inputs!$B$4="Chapter Hunt"),CHOOSE(ArtifactsInput!$N$27+1,20,24,28,32,36,40),0)/100)))))/Skills!H4,1)))/Inputs!$B$43),G1451*Q1451)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1451*(1-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1451*(1-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51">
        <f>290*U1450/1000</f>
        <v/>
      </c>
      <c r="V1451">
        <f>IF(C1451,(H1451*N1451*IF(AND(Inputs!$B$38&lt;&gt;"pvp",Inputs!$B$43&gt;0),((Skills!G4*((R1451-1)*IF(Skills!H4&gt;0,Skills!I4/Skills!H4,1)+IF(Skills!H4&gt;0,MIN(Skills!I4,MAX(0,MAX(0,Inputs!$B$43-B1484)-((R1451-1)*(IF(Inputs!$B$38="pvp",15,MAX(0.1,Skills!D4-IF(Skills!E4=TRUE,Inputs!$B$32,0)))*(1-IF(AND(ArtifactsInput!$M$27,Inputs!$B$4="Chapter Hunt"),CHOOSE(ArtifactsInput!$N$27+1,20,24,28,32,36,40),0)/100)))))/Skills!H4,1)))/Inputs!$B$43),G1451*Q1451))*IF(Inputs!$B$38="pvp",1,(1+(Inputs!$B$21+Skills!Q4+(IF(ArtifactsInput!$M$33,CHOOSE(ArtifactsInput!$N$33+1,30,36,42,48,54,60)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2">
      <c r="A1452">
        <f>Skills!A5</f>
        <v/>
      </c>
      <c r="B1452">
        <f>Skills!B5</f>
        <v/>
      </c>
      <c r="C1452">
        <f>Inputs!$B$3&gt;=45</f>
        <v/>
      </c>
      <c r="D1452">
        <f>IF(Skills!C5=1,60+Inputs!$B$25+Inputs!$B$29,IF(Skills!C5=2,90+Inputs!$B$26+Inputs!$B$29,IF(Skills!C5=3,120+Inputs!$B$27+Inputs!$B$29,MAX(0,(Inputs!$B$3-100)*3)+Inputs!$B$28+Inputs!$B$29)))</f>
        <v/>
      </c>
      <c r="E1452">
        <f>INDEX(FactorTable!$B$2:$Y$301, MATCH(ROUND(MIN(300,MAX(1,D1452)),0), FactorTable!$A$2:$A$301,0), Skills!M5+1)</f>
        <v/>
      </c>
      <c r="F1452">
        <f>IF(Skills!N5=TRUE,(Skills!L5/10)*(E1452/1000),Skills!L5/10)+Skills!O5</f>
        <v/>
      </c>
      <c r="G1452">
        <f>Skills!G5*IF(Skills!H5&gt;0,Skills!I5/Skills!H5,1)</f>
        <v/>
      </c>
      <c r="H1452">
        <f>1-(1-Skills!J5/100)^Skills!K5</f>
        <v/>
      </c>
      <c r="I1452" t="inlineStr">
        <is>
          <t>1</t>
        </is>
      </c>
      <c r="J1452">
        <f>((Inputs!$B$6*(1+Inputs!$B$7/100))+(((Inputs!$B$12*(1+Inputs!$B$13/100))-(Inputs!$B$12*(1+Inputs!$B$13/100)))+0.25*(Inputs!$B$14-Inputs!$B$14))*(1+Inputs!$B$7/100))*(F1452/100)</f>
        <v/>
      </c>
      <c r="K1452">
        <f>J1452*(1+((Inputs!$B$12*(1+Inputs!$B$13/100))*0.01+Inputs!$B$14*0.0025)/100)*(1+Inputs!$B$15/100)*(1+Inputs!$B$16/100)*(5000/(6000+Inputs!$B$42*(1-(100*(1-(1-(Inputs!$B$19+0)/100)*(1-CHOOSE(ArtifactsInput!$N$40+1,5,6,7,8,9,10)/100)^(ArtifactsInput!$M$40-ArtifactsInput!$M$40)))/100)))*(1+(Inputs!$B$24+((C1473=TRUE)*(F1473-Calc!F26))+B1483)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1463=TRUE,F1463,0)/100)*(1+(IF(Skills!A5="EIGHT_LEGS_EASTON",Inputs!$B$17+((C1470=TRUE)*(F1470-Calc!F23))+((C1474=TRUE)*(F1474-Calc!F27))+(((IF(AND(ArtifactsInput!$M$42,((Inputs!$B$9+((C1466=TRUE)*(F1466-Calc!F19))+B1477+(ArtifactsInput!$M$24-ArtifactsInput!$M$24)*CHOOSE(ArtifactsInput!$N$24+1,10,12,14,16,18,20)+IF(ArtifactsInput!$M$10,CHOOSE(ArtifactsInput!$N$10+1,15,18,21,24,27,30)*(IF(Inputs!$B$38="pvp",MIN(15,15)/15,IF(AND(Inputs!$B$38&lt;&gt;"pvp",Inputs!$B$43&gt;0),MIN(15,Inputs!$B$43)/(Inputs!$B$43),0))),0)))&gt;=100),MIN(100,((Inputs!$B$9+((C1466=TRUE)*(F1466-Calc!F19))+B1477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1466=TRUE)*(F1466-Calc!F19))+B1477+(ArtifactsInput!$M$24-ArtifactsInput!$M$24)*CHOOSE(ArtifactsInput!$N$24+1,10,12,14,16,18,20)+IF(ArtifactsInput!$M$10,CHOOSE(ArtifactsInput!$N$10+1,15,18,21,24,27,30)*(IF(Inputs!$B$38="pvp",MIN(15,15)/15,IF(AND(Inputs!$B$38&lt;&gt;"pvp",Inputs!$B$43&gt;0),MIN(15,Inputs!$B$43)/(Inputs!$B$43),0))),0)))&gt;=100),CHOOSE(ArtifactsInput!$N$42+1,40,48,56,64,72,80),0))))/100)*((1+(((C1464=TRUE)*F1464)+((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1452)</f>
        <v/>
      </c>
      <c r="L1452">
        <f>K1452*(MIN(Inputs!$B$22+((C1469=TRUE)*(F1469-Calc!F22)),(Inputs!$B$23+0+(IF(ArtifactsInput!$M$15,CHOOSE(ArtifactsInput!$N$15+1,25,30,35,40,45,50)/100*(Inputs!$B$11-Inputs!$B$11),0))))/100+(Inputs!$B$23+0+(IF(ArtifactsInput!$M$15,CHOOSE(ArtifactsInput!$N$15+1,25,30,35,40,45,50)/100*(Inputs!$B$11-Inputs!$B$11),0)))/100)/2</f>
        <v/>
      </c>
      <c r="M1452">
        <f>L1452*(1+(Inputs!$B$10+((C1472=TRUE)*(F1472-Calc!F25))+B1482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2">
        <f>L1452*(1-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1452*(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2">
        <f>(1-Summary!$B$11)*T1452+Summary!$B$11*V1452</f>
        <v/>
      </c>
      <c r="P1452">
        <f>IF(B1487=0,0,O1452/B1487)</f>
        <v/>
      </c>
      <c r="Q1452">
        <f>IFERROR(1/(IF(Inputs!$B$38="pvp",15,MAX(0.1,Skills!D5-IF(Skills!E5=TRUE,Inputs!$B$32,0)))*(1-IF(AND(ArtifactsInput!$M$27,Inputs!$B$4="Chapter Hunt"),CHOOSE(ArtifactsInput!$N$27+1,20,24,28,32,36,40),0)/100)),0)</f>
        <v/>
      </c>
      <c r="R1452">
        <f>IF(AND(Inputs!$B$38&lt;&gt;"pvp",Inputs!$B$43&gt;0),IF(MAX(0,Inputs!$B$43-B1484)&lt;=0,0,(INT(MAX(0,Inputs!$B$43-B1484)/(IF(Inputs!$B$38="pvp",15,MAX(0.1,Skills!D5-IF(Skills!E5=TRUE,Inputs!$B$32,0)))*(1-IF(AND(ArtifactsInput!$M$27,Inputs!$B$4="Chapter Hunt"),CHOOSE(ArtifactsInput!$N$27+1,20,24,28,32,36,40),0)/100)))+1)),0)</f>
        <v/>
      </c>
      <c r="S1452">
        <f>IFERROR(O1452/N1452,0)</f>
        <v/>
      </c>
      <c r="T1452">
        <f>IF(C1452,(H1452*N1452*IF(AND(Inputs!$B$38&lt;&gt;"pvp",Inputs!$B$43&gt;0),((Skills!G5*((R1452-1)*IF(Skills!H5&gt;0,Skills!I5/Skills!H5,1)+IF(Skills!H5&gt;0,MIN(Skills!I5,MAX(0,MAX(0,Inputs!$B$43-B1484)-((R1452-1)*(IF(Inputs!$B$38="pvp",15,MAX(0.1,Skills!D5-IF(Skills!E5=TRUE,Inputs!$B$32,0)))*(1-IF(AND(ArtifactsInput!$M$27,Inputs!$B$4="Chapter Hunt"),CHOOSE(ArtifactsInput!$N$27+1,20,24,28,32,36,40),0)/100)))))/Skills!H5,1)))/Inputs!$B$43),G1452*Q1452)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1452*(1-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1452*(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1452*(1-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1452*(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52">
        <f>IF(C1452,(H1452*N1452*IF(AND(Inputs!$B$38&lt;&gt;"pvp",Inputs!$B$43&gt;0),((Skills!G5*((R1452-1)*IF(Skills!H5&gt;0,Skills!I5/Skills!H5,1)+IF(Skills!H5&gt;0,MIN(Skills!I5,MAX(0,MAX(0,Inputs!$B$43-B1484)-((R1452-1)*(IF(Inputs!$B$38="pvp",15,MAX(0.1,Skills!D5-IF(Skills!E5=TRUE,Inputs!$B$32,0)))*(1-IF(AND(ArtifactsInput!$M$27,Inputs!$B$4="Chapter Hunt"),CHOOSE(ArtifactsInput!$N$27+1,20,24,28,32,36,40),0)/100)))))/Skills!H5,1)))/Inputs!$B$43),G1452*Q1452))*IF(Inputs!$B$38="pvp",1,(1+(Inputs!$B$21+Skills!Q5+(IF(ArtifactsInput!$M$33,CHOOSE(ArtifactsInput!$N$33+1,30,36,42,48,54,60)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3">
      <c r="A1453">
        <f>Skills!A6</f>
        <v/>
      </c>
      <c r="B1453">
        <f>Skills!B6</f>
        <v/>
      </c>
      <c r="C1453">
        <f>Inputs!$B$3&gt;=63</f>
        <v/>
      </c>
      <c r="D1453">
        <f>IF(Skills!C6=1,60+Inputs!$B$25+Inputs!$B$29,IF(Skills!C6=2,90+Inputs!$B$26+Inputs!$B$29,IF(Skills!C6=3,120+Inputs!$B$27+Inputs!$B$29,MAX(0,(Inputs!$B$3-100)*3)+Inputs!$B$28+Inputs!$B$29)))</f>
        <v/>
      </c>
      <c r="E1453">
        <f>INDEX(FactorTable!$B$2:$Y$301, MATCH(ROUND(MIN(300,MAX(1,D1453)),0), FactorTable!$A$2:$A$301,0), Skills!M6+1)</f>
        <v/>
      </c>
      <c r="F1453">
        <f>IF(Skills!N6=TRUE,(Skills!L6/10)*(E1453/1000),Skills!L6/10)+Skills!O6</f>
        <v/>
      </c>
      <c r="G1453">
        <f>Skills!G6*IF(Skills!H6&gt;0,Skills!I6/Skills!H6,1)</f>
        <v/>
      </c>
      <c r="H1453">
        <f>1-(1-Skills!J6/100)^Skills!K6</f>
        <v/>
      </c>
      <c r="I1453" t="inlineStr">
        <is>
          <t>1</t>
        </is>
      </c>
      <c r="J1453">
        <f>((Inputs!$B$6*(1+Inputs!$B$7/100))+(((Inputs!$B$12*(1+Inputs!$B$13/100))-(Inputs!$B$12*(1+Inputs!$B$13/100)))+0.25*(Inputs!$B$14-Inputs!$B$14))*(1+Inputs!$B$7/100))*(F1453/100)</f>
        <v/>
      </c>
      <c r="K1453">
        <f>J1453*(1+((Inputs!$B$12*(1+Inputs!$B$13/100))*0.01+Inputs!$B$14*0.0025)/100)*(1+Inputs!$B$15/100)*(1+Inputs!$B$16/100)*(5000/(6000+Inputs!$B$42*(1-(100*(1-(1-(Inputs!$B$19+0)/100)*(1-CHOOSE(ArtifactsInput!$N$40+1,5,6,7,8,9,10)/100)^(ArtifactsInput!$M$40-ArtifactsInput!$M$40)))/100)))*(1+(Inputs!$B$24+((C1473=TRUE)*(F1473-Calc!F26))+B1483)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1462=TRUE,F1462,0)/100)*(1+(IF(Skills!A6="EIGHT_LEGS_EASTON",Inputs!$B$17+((C1470=TRUE)*(F1470-Calc!F23))+((C1474=TRUE)*(F1474-Calc!F27))+(((IF(AND(ArtifactsInput!$M$42,((Inputs!$B$9+((C1466=TRUE)*(F1466-Calc!F19))+B1477+(ArtifactsInput!$M$24-ArtifactsInput!$M$24)*CHOOSE(ArtifactsInput!$N$24+1,10,12,14,16,18,20)+IF(ArtifactsInput!$M$10,CHOOSE(ArtifactsInput!$N$10+1,15,18,21,24,27,30)*(IF(Inputs!$B$38="pvp",MIN(15,15)/15,IF(AND(Inputs!$B$38&lt;&gt;"pvp",Inputs!$B$43&gt;0),MIN(15,Inputs!$B$43)/(Inputs!$B$43),0))),0)))&gt;=100),MIN(100,((Inputs!$B$9+((C1466=TRUE)*(F1466-Calc!F19))+B1477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1466=TRUE)*(F1466-Calc!F19))+B1477+(ArtifactsInput!$M$24-ArtifactsInput!$M$24)*CHOOSE(ArtifactsInput!$N$24+1,10,12,14,16,18,20)+IF(ArtifactsInput!$M$10,CHOOSE(ArtifactsInput!$N$10+1,15,18,21,24,27,30)*(IF(Inputs!$B$38="pvp",MIN(15,15)/15,IF(AND(Inputs!$B$38&lt;&gt;"pvp",Inputs!$B$43&gt;0),MIN(15,Inputs!$B$43)/(Inputs!$B$43),0))),0)))&gt;=100),CHOOSE(ArtifactsInput!$N$42+1,40,48,56,64,72,80),0))))/100)*((1+(((C1464=TRUE)*F1464)+((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1453)</f>
        <v/>
      </c>
      <c r="L1453">
        <f>K1453*(MIN(Inputs!$B$22+((C1469=TRUE)*(F1469-Calc!F22)),(Inputs!$B$23+0+(IF(ArtifactsInput!$M$15,CHOOSE(ArtifactsInput!$N$15+1,25,30,35,40,45,50)/100*(Inputs!$B$11-Inputs!$B$11),0))))/100+(Inputs!$B$23+0+(IF(ArtifactsInput!$M$15,CHOOSE(ArtifactsInput!$N$15+1,25,30,35,40,45,50)/100*(Inputs!$B$11-Inputs!$B$11),0)))/100)/2</f>
        <v/>
      </c>
      <c r="M1453">
        <f>L1453*(1+(Inputs!$B$10+((C1472=TRUE)*(F1472-Calc!F25))+B1482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3">
        <f>L1453*(1-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1453*(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3">
        <f>(1-Summary!$B$11)*T1453+Summary!$B$11*V1453</f>
        <v/>
      </c>
      <c r="P1453">
        <f>IF(B1487=0,0,O1453/B1487)</f>
        <v/>
      </c>
      <c r="Q1453">
        <f>IFERROR(1/(IF(Inputs!$B$38="pvp",15,MAX(0.1,Skills!D6-IF(Skills!E6=TRUE,Inputs!$B$32,0)))*(1-IF(AND(ArtifactsInput!$M$27,Inputs!$B$4="Chapter Hunt"),CHOOSE(ArtifactsInput!$N$27+1,20,24,28,32,36,40),0)/100)),0)</f>
        <v/>
      </c>
      <c r="R1453">
        <f>IF(AND(Inputs!$B$38&lt;&gt;"pvp",Inputs!$B$43&gt;0),IF(MAX(0,Inputs!$B$43-B1484)&lt;=0,0,(INT(MAX(0,Inputs!$B$43-B1484)/(IF(Inputs!$B$38="pvp",15,MAX(0.1,Skills!D6-IF(Skills!E6=TRUE,Inputs!$B$32,0)))*(1-IF(AND(ArtifactsInput!$M$27,Inputs!$B$4="Chapter Hunt"),CHOOSE(ArtifactsInput!$N$27+1,20,24,28,32,36,40),0)/100)))+1)),0)</f>
        <v/>
      </c>
      <c r="S1453">
        <f>IFERROR(O1453/N1453,0)</f>
        <v/>
      </c>
      <c r="T1453">
        <f>IF(C1453,(H1453*N1453*IF(AND(Inputs!$B$38&lt;&gt;"pvp",Inputs!$B$43&gt;0),((Skills!G6*((R1453-1)*IF(Skills!H6&gt;0,Skills!I6/Skills!H6,1)+IF(Skills!H6&gt;0,MIN(Skills!I6,MAX(0,MAX(0,Inputs!$B$43-B1484)-((R1453-1)*(IF(Inputs!$B$38="pvp",15,MAX(0.1,Skills!D6-IF(Skills!E6=TRUE,Inputs!$B$32,0)))*(1-IF(AND(ArtifactsInput!$M$27,Inputs!$B$4="Chapter Hunt"),CHOOSE(ArtifactsInput!$N$27+1,20,24,28,32,36,40),0)/100)))))/Skills!H6,1)))/Inputs!$B$43),G1453*Q1453)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1453*(1-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1453*(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1453*(1-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1453*(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53">
        <f>IF(C1453,(H1453*N1453*IF(AND(Inputs!$B$38&lt;&gt;"pvp",Inputs!$B$43&gt;0),((Skills!G6*((R1453-1)*IF(Skills!H6&gt;0,Skills!I6/Skills!H6,1)+IF(Skills!H6&gt;0,MIN(Skills!I6,MAX(0,MAX(0,Inputs!$B$43-B1484)-((R1453-1)*(IF(Inputs!$B$38="pvp",15,MAX(0.1,Skills!D6-IF(Skills!E6=TRUE,Inputs!$B$32,0)))*(1-IF(AND(ArtifactsInput!$M$27,Inputs!$B$4="Chapter Hunt"),CHOOSE(ArtifactsInput!$N$27+1,20,24,28,32,36,40),0)/100)))))/Skills!H6,1)))/Inputs!$B$43),G1453*Q1453))*IF(Inputs!$B$38="pvp",1,(1+(Inputs!$B$21+Skills!Q6+(IF(ArtifactsInput!$M$33,CHOOSE(ArtifactsInput!$N$33+1,30,36,42,48,54,60)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4">
      <c r="A1454">
        <f>Skills!A7</f>
        <v/>
      </c>
      <c r="B1454">
        <f>Skills!B7</f>
        <v/>
      </c>
      <c r="C1454">
        <f>Inputs!$B$3&gt;=66</f>
        <v/>
      </c>
      <c r="D1454">
        <f>IF(Skills!C7=1,60+Inputs!$B$25+Inputs!$B$29,IF(Skills!C7=2,90+Inputs!$B$26+Inputs!$B$29,IF(Skills!C7=3,120+Inputs!$B$27+Inputs!$B$29,MAX(0,(Inputs!$B$3-100)*3)+Inputs!$B$28+Inputs!$B$29)))</f>
        <v/>
      </c>
      <c r="E1454">
        <f>INDEX(FactorTable!$B$2:$Y$301, MATCH(ROUND(MIN(300,MAX(1,D1454)),0), FactorTable!$A$2:$A$301,0), Skills!M7+1)</f>
        <v/>
      </c>
      <c r="F1454">
        <f>IF(Skills!N7=TRUE,(Skills!L7/10)*(E1454/1000),Skills!L7/10)+Skills!O7</f>
        <v/>
      </c>
      <c r="G1454">
        <f>Skills!G7*IF(Skills!H7&gt;0,Skills!I7/Skills!H7,1)</f>
        <v/>
      </c>
      <c r="H1454">
        <f>1-(1-Skills!J7/100)^Skills!K7</f>
        <v/>
      </c>
      <c r="I1454" t="inlineStr">
        <is>
          <t>1</t>
        </is>
      </c>
      <c r="J1454">
        <f>((Inputs!$B$6*(1+Inputs!$B$7/100))+(((Inputs!$B$12*(1+Inputs!$B$13/100))-(Inputs!$B$12*(1+Inputs!$B$13/100)))+0.25*(Inputs!$B$14-Inputs!$B$14))*(1+Inputs!$B$7/100))*(F1454/100)</f>
        <v/>
      </c>
      <c r="K1454">
        <f>J1454*(1+((Inputs!$B$12*(1+Inputs!$B$13/100))*0.01+Inputs!$B$14*0.0025)/100)*(1+Inputs!$B$15/100)*(1+Inputs!$B$16/100)*(5000/(6000+Inputs!$B$42*(1-(100*(1-(1-(Inputs!$B$19+0)/100)*(1-CHOOSE(ArtifactsInput!$N$40+1,5,6,7,8,9,10)/100)^(ArtifactsInput!$M$40-ArtifactsInput!$M$40)))/100)))*(1+(Inputs!$B$24+((C1473=TRUE)*(F1473-Calc!F26))+B1483)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1462=TRUE,F1462,0)/100)*(1+(IF(Skills!A7="EIGHT_LEGS_EASTON",Inputs!$B$17+((C1470=TRUE)*(F1470-Calc!F23))+((C1474=TRUE)*(F1474-Calc!F27))+(((IF(AND(ArtifactsInput!$M$42,((Inputs!$B$9+((C1466=TRUE)*(F1466-Calc!F19))+B1477+(ArtifactsInput!$M$24-ArtifactsInput!$M$24)*CHOOSE(ArtifactsInput!$N$24+1,10,12,14,16,18,20)+IF(ArtifactsInput!$M$10,CHOOSE(ArtifactsInput!$N$10+1,15,18,21,24,27,30)*(IF(Inputs!$B$38="pvp",MIN(15,15)/15,IF(AND(Inputs!$B$38&lt;&gt;"pvp",Inputs!$B$43&gt;0),MIN(15,Inputs!$B$43)/(Inputs!$B$43),0))),0)))&gt;=100),MIN(100,((Inputs!$B$9+((C1466=TRUE)*(F1466-Calc!F19))+B1477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1466=TRUE)*(F1466-Calc!F19))+B1477+(ArtifactsInput!$M$24-ArtifactsInput!$M$24)*CHOOSE(ArtifactsInput!$N$24+1,10,12,14,16,18,20)+IF(ArtifactsInput!$M$10,CHOOSE(ArtifactsInput!$N$10+1,15,18,21,24,27,30)*(IF(Inputs!$B$38="pvp",MIN(15,15)/15,IF(AND(Inputs!$B$38&lt;&gt;"pvp",Inputs!$B$43&gt;0),MIN(15,Inputs!$B$43)/(Inputs!$B$43),0))),0)))&gt;=100),CHOOSE(ArtifactsInput!$N$42+1,40,48,56,64,72,80),0))))/100)*((1+(((C1464=TRUE)*F1464)+((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1454)</f>
        <v/>
      </c>
      <c r="L1454">
        <f>K1454*(MIN(Inputs!$B$22+((C1469=TRUE)*(F1469-Calc!F22)),(Inputs!$B$23+0+(IF(ArtifactsInput!$M$15,CHOOSE(ArtifactsInput!$N$15+1,25,30,35,40,45,50)/100*(Inputs!$B$11-Inputs!$B$11),0))))/100+(Inputs!$B$23+0+(IF(ArtifactsInput!$M$15,CHOOSE(ArtifactsInput!$N$15+1,25,30,35,40,45,50)/100*(Inputs!$B$11-Inputs!$B$11),0)))/100)/2</f>
        <v/>
      </c>
      <c r="M1454">
        <f>L1454*(1+(Inputs!$B$10+((C1472=TRUE)*(F1472-Calc!F25))+B1482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4">
        <f>L1454*(1-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1454*(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4">
        <f>(1-Summary!$B$11)*T1454+Summary!$B$11*V1454</f>
        <v/>
      </c>
      <c r="P1454">
        <f>IF(B1487=0,0,O1454/B1487)</f>
        <v/>
      </c>
      <c r="Q1454">
        <f>IFERROR(1/(IF(Inputs!$B$38="pvp",15,MAX(0.1,Skills!D7-IF(Skills!E7=TRUE,Inputs!$B$32,0)))*(1-IF(AND(ArtifactsInput!$M$27,Inputs!$B$4="Chapter Hunt"),CHOOSE(ArtifactsInput!$N$27+1,20,24,28,32,36,40),0)/100)),0)</f>
        <v/>
      </c>
      <c r="R1454">
        <f>IF(AND(Inputs!$B$38&lt;&gt;"pvp",Inputs!$B$43&gt;0),IF(MAX(0,Inputs!$B$43-B1484)&lt;=0,0,(INT(MAX(0,Inputs!$B$43-B1484)/(IF(Inputs!$B$38="pvp",15,MAX(0.1,Skills!D7-IF(Skills!E7=TRUE,Inputs!$B$32,0)))*(1-IF(AND(ArtifactsInput!$M$27,Inputs!$B$4="Chapter Hunt"),CHOOSE(ArtifactsInput!$N$27+1,20,24,28,32,36,40),0)/100)))+1)),0)</f>
        <v/>
      </c>
      <c r="S1454">
        <f>IFERROR(O1454/N1454,0)</f>
        <v/>
      </c>
      <c r="T1454">
        <f>IF(C1454,(H1454*N1454*IF(AND(Inputs!$B$38&lt;&gt;"pvp",Inputs!$B$43&gt;0),((Skills!G7*((R1454-1)*IF(Skills!H7&gt;0,Skills!I7/Skills!H7,1)+IF(Skills!H7&gt;0,MIN(Skills!I7,MAX(0,MAX(0,Inputs!$B$43-B1484)-((R1454-1)*(IF(Inputs!$B$38="pvp",15,MAX(0.1,Skills!D7-IF(Skills!E7=TRUE,Inputs!$B$32,0)))*(1-IF(AND(ArtifactsInput!$M$27,Inputs!$B$4="Chapter Hunt"),CHOOSE(ArtifactsInput!$N$27+1,20,24,28,32,36,40),0)/100)))))/Skills!H7,1)))/Inputs!$B$43),G1454*Q1454)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1454*(1-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1454*(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1454*(1-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1454*(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54">
        <f>IF(C1454,(H1454*N1454*IF(AND(Inputs!$B$38&lt;&gt;"pvp",Inputs!$B$43&gt;0),((Skills!G7*((R1454-1)*IF(Skills!H7&gt;0,Skills!I7/Skills!H7,1)+IF(Skills!H7&gt;0,MIN(Skills!I7,MAX(0,MAX(0,Inputs!$B$43-B1484)-((R1454-1)*(IF(Inputs!$B$38="pvp",15,MAX(0.1,Skills!D7-IF(Skills!E7=TRUE,Inputs!$B$32,0)))*(1-IF(AND(ArtifactsInput!$M$27,Inputs!$B$4="Chapter Hunt"),CHOOSE(ArtifactsInput!$N$27+1,20,24,28,32,36,40),0)/100)))))/Skills!H7,1)))/Inputs!$B$43),G1454*Q1454))*IF(Inputs!$B$38="pvp",1,(1+(Inputs!$B$21+Skills!Q7+(IF(ArtifactsInput!$M$33,CHOOSE(ArtifactsInput!$N$33+1,30,36,42,48,54,60)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5">
      <c r="A1455">
        <f>Skills!A8</f>
        <v/>
      </c>
      <c r="B1455">
        <f>Skills!B8</f>
        <v/>
      </c>
      <c r="C1455">
        <f>Inputs!$B$3&gt;=100</f>
        <v/>
      </c>
      <c r="D1455">
        <f>IF(Skills!C8=1,60+Inputs!$B$25+Inputs!$B$29,IF(Skills!C8=2,90+Inputs!$B$26+Inputs!$B$29,IF(Skills!C8=3,120+Inputs!$B$27+Inputs!$B$29,MAX(0,(Inputs!$B$3-100)*3)+Inputs!$B$28+Inputs!$B$29)))</f>
        <v/>
      </c>
      <c r="E1455">
        <f>INDEX(FactorTable!$B$2:$Y$301, MATCH(ROUND(MIN(300,MAX(1,D1455)),0), FactorTable!$A$2:$A$301,0), Skills!M8+1)</f>
        <v/>
      </c>
      <c r="F1455">
        <f>IF(Skills!N8=TRUE,(Skills!L8/10)*(E1455/1000),Skills!L8/10)+Skills!O8</f>
        <v/>
      </c>
      <c r="G1455">
        <f>Skills!G8*IF(Skills!H8&gt;0,Skills!I8/Skills!H8,1)</f>
        <v/>
      </c>
      <c r="H1455">
        <f>1-(1-Skills!J8/100)^Skills!K8</f>
        <v/>
      </c>
      <c r="I1455" t="inlineStr">
        <is>
          <t>1</t>
        </is>
      </c>
      <c r="J1455">
        <f>((Inputs!$B$6*(1+Inputs!$B$7/100))+(((Inputs!$B$12*(1+Inputs!$B$13/100))-(Inputs!$B$12*(1+Inputs!$B$13/100)))+0.25*(Inputs!$B$14-Inputs!$B$14))*(1+Inputs!$B$7/100))*(F1455/100)</f>
        <v/>
      </c>
      <c r="K1455">
        <f>J1455*(1+((Inputs!$B$12*(1+Inputs!$B$13/100))*0.01+Inputs!$B$14*0.0025)/100)*(1+Inputs!$B$15/100)*(1+Inputs!$B$16/100)*(5000/(6000+Inputs!$B$42*(1-(100*(1-(1-(Inputs!$B$19+0)/100)*(1-CHOOSE(ArtifactsInput!$N$40+1,5,6,7,8,9,10)/100)^(ArtifactsInput!$M$40-ArtifactsInput!$M$40)))/100)))*(1+(Inputs!$B$24+((C1473=TRUE)*(F1473-Calc!F26))+B1483)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1470=TRUE)*(F1470-Calc!F23))+((C1474=TRUE)*(F1474-Calc!F27))+(((IF(AND(ArtifactsInput!$M$42,((Inputs!$B$9+((C1466=TRUE)*(F1466-Calc!F19))+B1477+(ArtifactsInput!$M$24-ArtifactsInput!$M$24)*CHOOSE(ArtifactsInput!$N$24+1,10,12,14,16,18,20)+IF(ArtifactsInput!$M$10,CHOOSE(ArtifactsInput!$N$10+1,15,18,21,24,27,30)*(IF(Inputs!$B$38="pvp",MIN(15,15)/15,IF(AND(Inputs!$B$38&lt;&gt;"pvp",Inputs!$B$43&gt;0),MIN(15,Inputs!$B$43)/(Inputs!$B$43),0))),0)))&gt;=100),MIN(100,((Inputs!$B$9+((C1466=TRUE)*(F1466-Calc!F19))+B1477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1466=TRUE)*(F1466-Calc!F19))+B1477+(ArtifactsInput!$M$24-ArtifactsInput!$M$24)*CHOOSE(ArtifactsInput!$N$24+1,10,12,14,16,18,20)+IF(ArtifactsInput!$M$10,CHOOSE(ArtifactsInput!$N$10+1,15,18,21,24,27,30)*(IF(Inputs!$B$38="pvp",MIN(15,15)/15,IF(AND(Inputs!$B$38&lt;&gt;"pvp",Inputs!$B$43&gt;0),MIN(15,Inputs!$B$43)/(Inputs!$B$43),0))),0)))&gt;=100),CHOOSE(ArtifactsInput!$N$42+1,40,48,56,64,72,80),0))))/100)*((1+(((C1464=TRUE)*F1464)+((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1455)</f>
        <v/>
      </c>
      <c r="L1455">
        <f>K1455*(MIN(Inputs!$B$22+((C1469=TRUE)*(F1469-Calc!F22)),(Inputs!$B$23+0+(IF(ArtifactsInput!$M$15,CHOOSE(ArtifactsInput!$N$15+1,25,30,35,40,45,50)/100*(Inputs!$B$11-Inputs!$B$11),0))))/100+(Inputs!$B$23+0+(IF(ArtifactsInput!$M$15,CHOOSE(ArtifactsInput!$N$15+1,25,30,35,40,45,50)/100*(Inputs!$B$11-Inputs!$B$11),0)))/100)/2</f>
        <v/>
      </c>
      <c r="M1455">
        <f>L1455*(1+(Inputs!$B$10+((C1472=TRUE)*(F1472-Calc!F25))+B1482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5">
        <f>L1455*(1-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1455*(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5">
        <f>(1-Summary!$B$11)*T1455+Summary!$B$11*V1455</f>
        <v/>
      </c>
      <c r="P1455">
        <f>IF(B1487=0,0,O1455/B1487)</f>
        <v/>
      </c>
      <c r="Q1455">
        <f>IFERROR(1/(IF(Inputs!$B$38="pvp",15,MAX(0.1,Skills!D8-IF(Skills!E8=TRUE,Inputs!$B$32,0)))*(1-IF(AND(ArtifactsInput!$M$27,Inputs!$B$4="Chapter Hunt"),CHOOSE(ArtifactsInput!$N$27+1,20,24,28,32,36,40),0)/100)),0)</f>
        <v/>
      </c>
      <c r="R1455">
        <f>IF(AND(Inputs!$B$38&lt;&gt;"pvp",Inputs!$B$43&gt;0),IF(MAX(0,Inputs!$B$43-B1484)&lt;=0,0,(INT(MAX(0,Inputs!$B$43-B1484)/(IF(Inputs!$B$38="pvp",15,MAX(0.1,Skills!D8-IF(Skills!E8=TRUE,Inputs!$B$32,0)))*(1-IF(AND(ArtifactsInput!$M$27,Inputs!$B$4="Chapter Hunt"),CHOOSE(ArtifactsInput!$N$27+1,20,24,28,32,36,40),0)/100)))+1)),0)</f>
        <v/>
      </c>
      <c r="S1455">
        <f>IFERROR(O1455/N1455,0)</f>
        <v/>
      </c>
      <c r="T1455">
        <f>IF(C1455,(H1455*N1455*IF(AND(Inputs!$B$38&lt;&gt;"pvp",Inputs!$B$43&gt;0),((Skills!G8*((R1455-1)*IF(Skills!H8&gt;0,Skills!I8/Skills!H8,1)+IF(Skills!H8&gt;0,MIN(Skills!I8,MAX(0,MAX(0,Inputs!$B$43-B1484)-((R1455-1)*(IF(Inputs!$B$38="pvp",15,MAX(0.1,Skills!D8-IF(Skills!E8=TRUE,Inputs!$B$32,0)))*(1-IF(AND(ArtifactsInput!$M$27,Inputs!$B$4="Chapter Hunt"),CHOOSE(ArtifactsInput!$N$27+1,20,24,28,32,36,40),0)/100)))))/Skills!H8,1)))/Inputs!$B$43),G1455*Q1455)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1455*(1-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1455*(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1455*(1-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1455*(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55">
        <f>IF(C1455,(H1455*N1455*IF(AND(Inputs!$B$38&lt;&gt;"pvp",Inputs!$B$43&gt;0),((Skills!G8*((R1455-1)*IF(Skills!H8&gt;0,Skills!I8/Skills!H8,1)+IF(Skills!H8&gt;0,MIN(Skills!I8,MAX(0,MAX(0,Inputs!$B$43-B1484)-((R1455-1)*(IF(Inputs!$B$38="pvp",15,MAX(0.1,Skills!D8-IF(Skills!E8=TRUE,Inputs!$B$32,0)))*(1-IF(AND(ArtifactsInput!$M$27,Inputs!$B$4="Chapter Hunt"),CHOOSE(ArtifactsInput!$N$27+1,20,24,28,32,36,40),0)/100)))))/Skills!H8,1)))/Inputs!$B$43),G1455*Q1455))*IF(Inputs!$B$38="pvp",1,(1+(Inputs!$B$21+Skills!Q8+(IF(ArtifactsInput!$M$33,CHOOSE(ArtifactsInput!$N$33+1,30,36,42,48,54,60)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6">
      <c r="A1456">
        <f>Skills!A9</f>
        <v/>
      </c>
      <c r="B1456">
        <f>Skills!B9</f>
        <v/>
      </c>
      <c r="C1456">
        <f>Inputs!$B$3&gt;=103</f>
        <v/>
      </c>
      <c r="D1456">
        <f>IF(Skills!C9=1,60+Inputs!$B$25+Inputs!$B$29,IF(Skills!C9=2,90+Inputs!$B$26+Inputs!$B$29,IF(Skills!C9=3,120+Inputs!$B$27+Inputs!$B$29,MAX(0,(Inputs!$B$3-100)*3)+Inputs!$B$28+Inputs!$B$29)))</f>
        <v/>
      </c>
      <c r="E1456">
        <f>INDEX(FactorTable!$B$2:$Y$301, MATCH(ROUND(MIN(300,MAX(1,D1456)),0), FactorTable!$A$2:$A$301,0), Skills!M9+1)</f>
        <v/>
      </c>
      <c r="F1456">
        <f>IF(Skills!N9=TRUE,(Skills!L9/10)*(E1456/1000),Skills!L9/10)+Skills!O9</f>
        <v/>
      </c>
      <c r="G1456">
        <f>Skills!G9*IF(Skills!H9&gt;0,Skills!I9/Skills!H9,1)</f>
        <v/>
      </c>
      <c r="H1456">
        <f>1-(1-Skills!J9/100)^Skills!K9</f>
        <v/>
      </c>
      <c r="I1456" t="inlineStr">
        <is>
          <t>1</t>
        </is>
      </c>
      <c r="J1456">
        <f>((Inputs!$B$6*(1+Inputs!$B$7/100))+(((Inputs!$B$12*(1+Inputs!$B$13/100))-(Inputs!$B$12*(1+Inputs!$B$13/100)))+0.25*(Inputs!$B$14-Inputs!$B$14))*(1+Inputs!$B$7/100))*(F1456/100)</f>
        <v/>
      </c>
      <c r="K1456">
        <f>J1456*(1+((Inputs!$B$12*(1+Inputs!$B$13/100))*0.01+Inputs!$B$14*0.0025)/100)*(1+Inputs!$B$15/100)*(1+Inputs!$B$16/100)*(5000/(6000+Inputs!$B$42*(1-(100*(1-(1-(Inputs!$B$19+0)/100)*(1-CHOOSE(ArtifactsInput!$N$40+1,5,6,7,8,9,10)/100)^(ArtifactsInput!$M$40-ArtifactsInput!$M$40)))/100)))*(1+(Inputs!$B$24+((C1473=TRUE)*(F1473-Calc!F26))+B1483)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1470=TRUE)*(F1470-Calc!F23))+((C1474=TRUE)*(F1474-Calc!F27))+(((IF(AND(ArtifactsInput!$M$42,((Inputs!$B$9+((C1466=TRUE)*(F1466-Calc!F19))+B1477+(ArtifactsInput!$M$24-ArtifactsInput!$M$24)*CHOOSE(ArtifactsInput!$N$24+1,10,12,14,16,18,20)+IF(ArtifactsInput!$M$10,CHOOSE(ArtifactsInput!$N$10+1,15,18,21,24,27,30)*(IF(Inputs!$B$38="pvp",MIN(15,15)/15,IF(AND(Inputs!$B$38&lt;&gt;"pvp",Inputs!$B$43&gt;0),MIN(15,Inputs!$B$43)/(Inputs!$B$43),0))),0)))&gt;=100),MIN(100,((Inputs!$B$9+((C1466=TRUE)*(F1466-Calc!F19))+B1477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1466=TRUE)*(F1466-Calc!F19))+B1477+(ArtifactsInput!$M$24-ArtifactsInput!$M$24)*CHOOSE(ArtifactsInput!$N$24+1,10,12,14,16,18,20)+IF(ArtifactsInput!$M$10,CHOOSE(ArtifactsInput!$N$10+1,15,18,21,24,27,30)*(IF(Inputs!$B$38="pvp",MIN(15,15)/15,IF(AND(Inputs!$B$38&lt;&gt;"pvp",Inputs!$B$43&gt;0),MIN(15,Inputs!$B$43)/(Inputs!$B$43),0))),0)))&gt;=100),CHOOSE(ArtifactsInput!$N$42+1,40,48,56,64,72,80),0))))/100)*((1+(((C1464=TRUE)*F1464)+((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1456)</f>
        <v/>
      </c>
      <c r="L1456">
        <f>K1456*(MIN(Inputs!$B$22+((C1469=TRUE)*(F1469-Calc!F22)),(Inputs!$B$23+0+(IF(ArtifactsInput!$M$15,CHOOSE(ArtifactsInput!$N$15+1,25,30,35,40,45,50)/100*(Inputs!$B$11-Inputs!$B$11),0))))/100+(Inputs!$B$23+0+(IF(ArtifactsInput!$M$15,CHOOSE(ArtifactsInput!$N$15+1,25,30,35,40,45,50)/100*(Inputs!$B$11-Inputs!$B$11),0)))/100)/2</f>
        <v/>
      </c>
      <c r="M1456">
        <f>L1456*(1+(Inputs!$B$10+((C1472=TRUE)*(F1472-Calc!F25))+B1482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6">
        <f>L1456*(1-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1456*(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6">
        <f>(1-Summary!$B$11)*T1456+Summary!$B$11*V1456</f>
        <v/>
      </c>
      <c r="P1456">
        <f>IF(B1487=0,0,O1456/B1487)</f>
        <v/>
      </c>
      <c r="Q1456">
        <f>IFERROR(1/(IF(Inputs!$B$38="pvp",15,MAX(0.1,Skills!D9-IF(Skills!E9=TRUE,Inputs!$B$32,0)))*(1-IF(AND(ArtifactsInput!$M$27,Inputs!$B$4="Chapter Hunt"),CHOOSE(ArtifactsInput!$N$27+1,20,24,28,32,36,40),0)/100)),0)</f>
        <v/>
      </c>
      <c r="R1456">
        <f>IF(AND(Inputs!$B$38&lt;&gt;"pvp",Inputs!$B$43&gt;0),IF(MAX(0,Inputs!$B$43-B1484)&lt;=0,0,(INT(MAX(0,Inputs!$B$43-B1484)/(IF(Inputs!$B$38="pvp",15,MAX(0.1,Skills!D9-IF(Skills!E9=TRUE,Inputs!$B$32,0)))*(1-IF(AND(ArtifactsInput!$M$27,Inputs!$B$4="Chapter Hunt"),CHOOSE(ArtifactsInput!$N$27+1,20,24,28,32,36,40),0)/100)))+1)),0)</f>
        <v/>
      </c>
      <c r="S1456">
        <f>IFERROR(O1456/N1456,0)</f>
        <v/>
      </c>
      <c r="T1456">
        <f>IF(C1456,(H1456*N1456*IF(AND(Inputs!$B$38&lt;&gt;"pvp",Inputs!$B$43&gt;0),((Skills!G9*((R1456-1)*IF(Skills!H9&gt;0,Skills!I9/Skills!H9,1)+IF(Skills!H9&gt;0,MIN(Skills!I9,MAX(0,MAX(0,Inputs!$B$43-B1484)-((R1456-1)*(IF(Inputs!$B$38="pvp",15,MAX(0.1,Skills!D9-IF(Skills!E9=TRUE,Inputs!$B$32,0)))*(1-IF(AND(ArtifactsInput!$M$27,Inputs!$B$4="Chapter Hunt"),CHOOSE(ArtifactsInput!$N$27+1,20,24,28,32,36,40),0)/100)))))/Skills!H9,1)))/Inputs!$B$43),G1456*Q1456)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1456*(1-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1456*(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1456*(1-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1456*(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56">
        <f>IF(C1456,(H1456*N1456*IF(AND(Inputs!$B$38&lt;&gt;"pvp",Inputs!$B$43&gt;0),((Skills!G9*((R1456-1)*IF(Skills!H9&gt;0,Skills!I9/Skills!H9,1)+IF(Skills!H9&gt;0,MIN(Skills!I9,MAX(0,MAX(0,Inputs!$B$43-B1484)-((R1456-1)*(IF(Inputs!$B$38="pvp",15,MAX(0.1,Skills!D9-IF(Skills!E9=TRUE,Inputs!$B$32,0)))*(1-IF(AND(ArtifactsInput!$M$27,Inputs!$B$4="Chapter Hunt"),CHOOSE(ArtifactsInput!$N$27+1,20,24,28,32,36,40),0)/100)))))/Skills!H9,1)))/Inputs!$B$43),G1456*Q1456))*IF(Inputs!$B$38="pvp",1,(1+(Inputs!$B$21+Skills!Q9+(IF(ArtifactsInput!$M$33,CHOOSE(ArtifactsInput!$N$33+1,30,36,42,48,54,60)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7">
      <c r="A1457">
        <f>Skills!A10</f>
        <v/>
      </c>
      <c r="B1457">
        <f>Skills!B10</f>
        <v/>
      </c>
      <c r="C1457">
        <f>Inputs!$B$3&gt;=113</f>
        <v/>
      </c>
      <c r="D1457">
        <f>IF(Skills!C10=1,60+Inputs!$B$25+Inputs!$B$29,IF(Skills!C10=2,90+Inputs!$B$26+Inputs!$B$29,IF(Skills!C10=3,120+Inputs!$B$27+Inputs!$B$29,MAX(0,(Inputs!$B$3-100)*3)+Inputs!$B$28+Inputs!$B$29)))</f>
        <v/>
      </c>
      <c r="E1457">
        <f>INDEX(FactorTable!$B$2:$Y$301, MATCH(ROUND(MIN(300,MAX(1,D1457)),0), FactorTable!$A$2:$A$301,0), Skills!M10+1)</f>
        <v/>
      </c>
      <c r="F1457">
        <f>IF(Skills!N10=TRUE,(Skills!L10/10)*(E1457/1000),Skills!L10/10)+Skills!O10</f>
        <v/>
      </c>
      <c r="G1457">
        <f>Skills!G10*IF(Skills!H10&gt;0,Skills!I10/Skills!H10,1)</f>
        <v/>
      </c>
      <c r="H1457">
        <f>1-(1-Skills!J10/100)^Skills!K10</f>
        <v/>
      </c>
      <c r="I1457" t="inlineStr">
        <is>
          <t>1</t>
        </is>
      </c>
      <c r="J1457">
        <f>((Inputs!$B$6*(1+Inputs!$B$7/100))+(((Inputs!$B$12*(1+Inputs!$B$13/100))-(Inputs!$B$12*(1+Inputs!$B$13/100)))+0.25*(Inputs!$B$14-Inputs!$B$14))*(1+Inputs!$B$7/100))*(F1457/100)</f>
        <v/>
      </c>
      <c r="K1457">
        <f>J1457*(1+((Inputs!$B$12*(1+Inputs!$B$13/100))*0.01+Inputs!$B$14*0.0025)/100)*(1+Inputs!$B$15/100)*(1+Inputs!$B$16/100)*(5000/(6000+Inputs!$B$42*(1-(100*(1-(1-(Inputs!$B$19+0)/100)*(1-CHOOSE(ArtifactsInput!$N$40+1,5,6,7,8,9,10)/100)^(ArtifactsInput!$M$40-ArtifactsInput!$M$40)))/100)))*(1+(Inputs!$B$24+((C1473=TRUE)*(F1473-Calc!F26))+B1483)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1470=TRUE)*(F1470-Calc!F23))+((C1474=TRUE)*(F1474-Calc!F27))+(((IF(AND(ArtifactsInput!$M$42,((Inputs!$B$9+((C1466=TRUE)*(F1466-Calc!F19))+B1477+(ArtifactsInput!$M$24-ArtifactsInput!$M$24)*CHOOSE(ArtifactsInput!$N$24+1,10,12,14,16,18,20)+IF(ArtifactsInput!$M$10,CHOOSE(ArtifactsInput!$N$10+1,15,18,21,24,27,30)*(IF(Inputs!$B$38="pvp",MIN(15,15)/15,IF(AND(Inputs!$B$38&lt;&gt;"pvp",Inputs!$B$43&gt;0),MIN(15,Inputs!$B$43)/(Inputs!$B$43),0))),0)))&gt;=100),MIN(100,((Inputs!$B$9+((C1466=TRUE)*(F1466-Calc!F19))+B1477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1466=TRUE)*(F1466-Calc!F19))+B1477+(ArtifactsInput!$M$24-ArtifactsInput!$M$24)*CHOOSE(ArtifactsInput!$N$24+1,10,12,14,16,18,20)+IF(ArtifactsInput!$M$10,CHOOSE(ArtifactsInput!$N$10+1,15,18,21,24,27,30)*(IF(Inputs!$B$38="pvp",MIN(15,15)/15,IF(AND(Inputs!$B$38&lt;&gt;"pvp",Inputs!$B$43&gt;0),MIN(15,Inputs!$B$43)/(Inputs!$B$43),0))),0)))&gt;=100),CHOOSE(ArtifactsInput!$N$42+1,40,48,56,64,72,80),0))))/100)*((1+(((C1464=TRUE)*F1464)+((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1457)</f>
        <v/>
      </c>
      <c r="L1457">
        <f>K1457*(MIN(Inputs!$B$22+((C1469=TRUE)*(F1469-Calc!F22)),(Inputs!$B$23+0+(IF(ArtifactsInput!$M$15,CHOOSE(ArtifactsInput!$N$15+1,25,30,35,40,45,50)/100*(Inputs!$B$11-Inputs!$B$11),0))))/100+(Inputs!$B$23+0+(IF(ArtifactsInput!$M$15,CHOOSE(ArtifactsInput!$N$15+1,25,30,35,40,45,50)/100*(Inputs!$B$11-Inputs!$B$11),0)))/100)/2</f>
        <v/>
      </c>
      <c r="M1457">
        <f>L1457*(1+(Inputs!$B$10+((C1472=TRUE)*(F1472-Calc!F25))+B1482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7">
        <f>L1457*(1-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1457*(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7">
        <f>(1-Summary!$B$11)*T1457+Summary!$B$11*V1457</f>
        <v/>
      </c>
      <c r="P1457">
        <f>IF(B1487=0,0,O1457/B1487)</f>
        <v/>
      </c>
      <c r="Q1457">
        <f>IFERROR(1/(IF(Inputs!$B$38="pvp",15,MAX(0.1,Skills!D10-IF(Skills!E10=TRUE,Inputs!$B$32,0)))*(1-IF(AND(ArtifactsInput!$M$27,Inputs!$B$4="Chapter Hunt"),CHOOSE(ArtifactsInput!$N$27+1,20,24,28,32,36,40),0)/100)),0)</f>
        <v/>
      </c>
      <c r="R1457">
        <f>IF(AND(Inputs!$B$38&lt;&gt;"pvp",Inputs!$B$43&gt;0),IF(MAX(0,Inputs!$B$43-B1484)&lt;=0,0,(INT(MAX(0,Inputs!$B$43-B1484)/(IF(Inputs!$B$38="pvp",15,MAX(0.1,Skills!D10-IF(Skills!E10=TRUE,Inputs!$B$32,0)))*(1-IF(AND(ArtifactsInput!$M$27,Inputs!$B$4="Chapter Hunt"),CHOOSE(ArtifactsInput!$N$27+1,20,24,28,32,36,40),0)/100)))+1)),0)</f>
        <v/>
      </c>
      <c r="S1457">
        <f>IFERROR(O1457/N1457,0)</f>
        <v/>
      </c>
      <c r="T1457">
        <f>IF(C1457,(H1457*N1457*IF(AND(Inputs!$B$38&lt;&gt;"pvp",Inputs!$B$43&gt;0),((Skills!G10*((R1457-1)*IF(Skills!H10&gt;0,Skills!I10/Skills!H10,1)+IF(Skills!H10&gt;0,MIN(Skills!I10,MAX(0,MAX(0,Inputs!$B$43-B1484)-((R1457-1)*(IF(Inputs!$B$38="pvp",15,MAX(0.1,Skills!D10-IF(Skills!E10=TRUE,Inputs!$B$32,0)))*(1-IF(AND(ArtifactsInput!$M$27,Inputs!$B$4="Chapter Hunt"),CHOOSE(ArtifactsInput!$N$27+1,20,24,28,32,36,40),0)/100)))))/Skills!H10,1)))/Inputs!$B$43),G1457*Q1457)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1457*(1-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1457*(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1457*(1-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1457*(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57">
        <f>IF(C1457,(H1457*N1457*IF(AND(Inputs!$B$38&lt;&gt;"pvp",Inputs!$B$43&gt;0),((Skills!G10*((R1457-1)*IF(Skills!H10&gt;0,Skills!I10/Skills!H10,1)+IF(Skills!H10&gt;0,MIN(Skills!I10,MAX(0,MAX(0,Inputs!$B$43-B1484)-((R1457-1)*(IF(Inputs!$B$38="pvp",15,MAX(0.1,Skills!D10-IF(Skills!E10=TRUE,Inputs!$B$32,0)))*(1-IF(AND(ArtifactsInput!$M$27,Inputs!$B$4="Chapter Hunt"),CHOOSE(ArtifactsInput!$N$27+1,20,24,28,32,36,40),0)/100)))))/Skills!H10,1)))/Inputs!$B$43),G1457*Q1457))*IF(Inputs!$B$38="pvp",1,(1+(Inputs!$B$21+Skills!Q10+(IF(ArtifactsInput!$M$33,CHOOSE(ArtifactsInput!$N$33+1,30,36,42,48,54,60)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8">
      <c r="A1458">
        <f>Skills!A11</f>
        <v/>
      </c>
      <c r="B1458">
        <f>Skills!B11</f>
        <v/>
      </c>
      <c r="C1458">
        <f>Inputs!$B$3&gt;=107</f>
        <v/>
      </c>
      <c r="D1458">
        <f>IF(Skills!C11=1,60+Inputs!$B$25+Inputs!$B$29,IF(Skills!C11=2,90+Inputs!$B$26+Inputs!$B$29,IF(Skills!C11=3,120+Inputs!$B$27+Inputs!$B$29,MAX(0,(Inputs!$B$3-100)*3)+Inputs!$B$28+Inputs!$B$29)))</f>
        <v/>
      </c>
      <c r="E1458">
        <f>INDEX(FactorTable!$B$2:$Y$301, MATCH(ROUND(MIN(300,MAX(1,D1458)),0), FactorTable!$A$2:$A$301,0), Skills!M11+1)</f>
        <v/>
      </c>
      <c r="F1458">
        <f>IF(Skills!N11=TRUE,(Skills!L11/10)*(E1458/1000),Skills!L11/10)+Skills!O11</f>
        <v/>
      </c>
      <c r="G1458">
        <f>Skills!G11*IF(Skills!H11&gt;0,Skills!I11/Skills!H11,1)</f>
        <v/>
      </c>
      <c r="H1458">
        <f>1-(1-Skills!J11/100)^Skills!K11</f>
        <v/>
      </c>
      <c r="I1458" t="inlineStr">
        <is>
          <t>1</t>
        </is>
      </c>
      <c r="J1458">
        <f>((Inputs!$B$6*(1+Inputs!$B$7/100))+(((Inputs!$B$12*(1+Inputs!$B$13/100))-(Inputs!$B$12*(1+Inputs!$B$13/100)))+0.25*(Inputs!$B$14-Inputs!$B$14))*(1+Inputs!$B$7/100))*(F1458/100)</f>
        <v/>
      </c>
      <c r="K1458">
        <f>J1458*(1+((Inputs!$B$12*(1+Inputs!$B$13/100))*0.01+Inputs!$B$14*0.0025)/100)*(1+Inputs!$B$15/100)*(1+Inputs!$B$16/100)*(5000/(6000+Inputs!$B$42*(1-(100*(1-(1-(Inputs!$B$19+0)/100)*(1-CHOOSE(ArtifactsInput!$N$40+1,5,6,7,8,9,10)/100)^(ArtifactsInput!$M$40-ArtifactsInput!$M$40)))/100)))*(1+(Inputs!$B$24+((C1473=TRUE)*(F1473-Calc!F26))+B1483)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1470=TRUE)*(F1470-Calc!F23))+((C1474=TRUE)*(F1474-Calc!F27))+(((IF(AND(ArtifactsInput!$M$42,((Inputs!$B$9+((C1466=TRUE)*(F1466-Calc!F19))+B1477+(ArtifactsInput!$M$24-ArtifactsInput!$M$24)*CHOOSE(ArtifactsInput!$N$24+1,10,12,14,16,18,20)+IF(ArtifactsInput!$M$10,CHOOSE(ArtifactsInput!$N$10+1,15,18,21,24,27,30)*(IF(Inputs!$B$38="pvp",MIN(15,15)/15,IF(AND(Inputs!$B$38&lt;&gt;"pvp",Inputs!$B$43&gt;0),MIN(15,Inputs!$B$43)/(Inputs!$B$43),0))),0)))&gt;=100),MIN(100,((Inputs!$B$9+((C1466=TRUE)*(F1466-Calc!F19))+B1477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1466=TRUE)*(F1466-Calc!F19))+B1477+(ArtifactsInput!$M$24-ArtifactsInput!$M$24)*CHOOSE(ArtifactsInput!$N$24+1,10,12,14,16,18,20)+IF(ArtifactsInput!$M$10,CHOOSE(ArtifactsInput!$N$10+1,15,18,21,24,27,30)*(IF(Inputs!$B$38="pvp",MIN(15,15)/15,IF(AND(Inputs!$B$38&lt;&gt;"pvp",Inputs!$B$43&gt;0),MIN(15,Inputs!$B$43)/(Inputs!$B$43),0))),0)))&gt;=100),CHOOSE(ArtifactsInput!$N$42+1,40,48,56,64,72,80),0))))/100)*((1+(((C1464=TRUE)*F1464)+((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1458)</f>
        <v/>
      </c>
      <c r="L1458">
        <f>K1458*(MIN(Inputs!$B$22+((C1469=TRUE)*(F1469-Calc!F22)),(Inputs!$B$23+0+(IF(ArtifactsInput!$M$15,CHOOSE(ArtifactsInput!$N$15+1,25,30,35,40,45,50)/100*(Inputs!$B$11-Inputs!$B$11),0))))/100+(Inputs!$B$23+0+(IF(ArtifactsInput!$M$15,CHOOSE(ArtifactsInput!$N$15+1,25,30,35,40,45,50)/100*(Inputs!$B$11-Inputs!$B$11),0)))/100)/2</f>
        <v/>
      </c>
      <c r="M1458">
        <f>L1458*(1+(Inputs!$B$10+((C1472=TRUE)*(F1472-Calc!F25))+B1482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8">
        <f>L1458*(1-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1458*(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8">
        <f>(1-Summary!$B$11)*T1458+Summary!$B$11*V1458</f>
        <v/>
      </c>
      <c r="P1458">
        <f>IF(B1487=0,0,O1458/B1487)</f>
        <v/>
      </c>
      <c r="Q1458">
        <f>IFERROR(1/(IF(Inputs!$B$38="pvp",15,MAX(0.1,Skills!D11-IF(Skills!E11=TRUE,Inputs!$B$32,0)))*(1-IF(AND(ArtifactsInput!$M$27,Inputs!$B$4="Chapter Hunt"),CHOOSE(ArtifactsInput!$N$27+1,20,24,28,32,36,40),0)/100)),0)</f>
        <v/>
      </c>
      <c r="R1458">
        <f>IF(AND(Inputs!$B$38&lt;&gt;"pvp",Inputs!$B$43&gt;0),IF(MAX(0,Inputs!$B$43-B1484)&lt;=0,0,(INT(MAX(0,Inputs!$B$43-B1484)/(IF(Inputs!$B$38="pvp",15,MAX(0.1,Skills!D11-IF(Skills!E11=TRUE,Inputs!$B$32,0)))*(1-IF(AND(ArtifactsInput!$M$27,Inputs!$B$4="Chapter Hunt"),CHOOSE(ArtifactsInput!$N$27+1,20,24,28,32,36,40),0)/100)))+1)),0)</f>
        <v/>
      </c>
      <c r="S1458">
        <f>IFERROR(O1458/N1458,0)</f>
        <v/>
      </c>
      <c r="T1458">
        <f>IF(C1458,(H1458*N1458*IF(AND(Inputs!$B$38&lt;&gt;"pvp",Inputs!$B$43&gt;0),((Skills!G11*((R1458-1)*IF(Skills!H11&gt;0,Skills!I11/Skills!H11,1)+IF(Skills!H11&gt;0,MIN(Skills!I11,MAX(0,MAX(0,Inputs!$B$43-B1484)-((R1458-1)*(IF(Inputs!$B$38="pvp",15,MAX(0.1,Skills!D11-IF(Skills!E11=TRUE,Inputs!$B$32,0)))*(1-IF(AND(ArtifactsInput!$M$27,Inputs!$B$4="Chapter Hunt"),CHOOSE(ArtifactsInput!$N$27+1,20,24,28,32,36,40),0)/100)))))/Skills!H11,1)))/Inputs!$B$43),G1458*Q1458)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1458*(1-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1458*(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1458*(1-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1458*(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58">
        <f>IF(C1458,(H1458*N1458*IF(AND(Inputs!$B$38&lt;&gt;"pvp",Inputs!$B$43&gt;0),((Skills!G11*((R1458-1)*IF(Skills!H11&gt;0,Skills!I11/Skills!H11,1)+IF(Skills!H11&gt;0,MIN(Skills!I11,MAX(0,MAX(0,Inputs!$B$43-B1484)-((R1458-1)*(IF(Inputs!$B$38="pvp",15,MAX(0.1,Skills!D11-IF(Skills!E11=TRUE,Inputs!$B$32,0)))*(1-IF(AND(ArtifactsInput!$M$27,Inputs!$B$4="Chapter Hunt"),CHOOSE(ArtifactsInput!$N$27+1,20,24,28,32,36,40),0)/100)))))/Skills!H11,1)))/Inputs!$B$43),G1458*Q1458))*IF(Inputs!$B$38="pvp",1,(1+(Inputs!$B$21+Skills!Q11+(IF(ArtifactsInput!$M$33,CHOOSE(ArtifactsInput!$N$33+1,30,36,42,48,54,60)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9">
      <c r="A1459">
        <f>Skills!A12</f>
        <v/>
      </c>
      <c r="B1459">
        <f>Skills!B12</f>
        <v/>
      </c>
      <c r="C1459">
        <f>Inputs!$B$3&gt;=110</f>
        <v/>
      </c>
      <c r="D1459">
        <f>IF(Skills!C12=1,60+Inputs!$B$25+Inputs!$B$29,IF(Skills!C12=2,90+Inputs!$B$26+Inputs!$B$29,IF(Skills!C12=3,120+Inputs!$B$27+Inputs!$B$29,MAX(0,(Inputs!$B$3-100)*3)+Inputs!$B$28+Inputs!$B$29)))</f>
        <v/>
      </c>
      <c r="E1459">
        <f>INDEX(FactorTable!$B$2:$Y$301, MATCH(ROUND(MIN(300,MAX(1,D1459)),0), FactorTable!$A$2:$A$301,0), Skills!M12+1)</f>
        <v/>
      </c>
      <c r="F1459">
        <f>IF(Skills!N12=TRUE,(Skills!L12/10)*(E1459/1000),Skills!L12/10)+Skills!O12</f>
        <v/>
      </c>
      <c r="G1459">
        <f>Skills!G12*IF(Skills!H12&gt;0,Skills!I12/Skills!H12,1)</f>
        <v/>
      </c>
      <c r="H1459">
        <f>1-(1-Skills!J12/100)^Skills!K12</f>
        <v/>
      </c>
      <c r="I1459" t="inlineStr">
        <is>
          <t>1</t>
        </is>
      </c>
      <c r="J1459">
        <f>((Inputs!$B$6*(1+Inputs!$B$7/100))+(((Inputs!$B$12*(1+Inputs!$B$13/100))-(Inputs!$B$12*(1+Inputs!$B$13/100)))+0.25*(Inputs!$B$14-Inputs!$B$14))*(1+Inputs!$B$7/100))*(F1459/100)</f>
        <v/>
      </c>
      <c r="K1459">
        <f>J1459*(1+((Inputs!$B$12*(1+Inputs!$B$13/100))*0.01+Inputs!$B$14*0.0025)/100)*(1+Inputs!$B$15/100)*(1+Inputs!$B$16/100)*(5000/(6000+Inputs!$B$42*(1-(100*(1-(1-(Inputs!$B$19+0)/100)*(1-CHOOSE(ArtifactsInput!$N$40+1,5,6,7,8,9,10)/100)^(ArtifactsInput!$M$40-ArtifactsInput!$M$40)))/100)))*(1+(Inputs!$B$24+((C1473=TRUE)*(F1473-Calc!F26))+B1483)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1470=TRUE)*(F1470-Calc!F23))+((C1474=TRUE)*(F1474-Calc!F27))+(((IF(AND(ArtifactsInput!$M$42,((Inputs!$B$9+((C1466=TRUE)*(F1466-Calc!F19))+B1477+(ArtifactsInput!$M$24-ArtifactsInput!$M$24)*CHOOSE(ArtifactsInput!$N$24+1,10,12,14,16,18,20)+IF(ArtifactsInput!$M$10,CHOOSE(ArtifactsInput!$N$10+1,15,18,21,24,27,30)*(IF(Inputs!$B$38="pvp",MIN(15,15)/15,IF(AND(Inputs!$B$38&lt;&gt;"pvp",Inputs!$B$43&gt;0),MIN(15,Inputs!$B$43)/(Inputs!$B$43),0))),0)))&gt;=100),MIN(100,((Inputs!$B$9+((C1466=TRUE)*(F1466-Calc!F19))+B1477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1466=TRUE)*(F1466-Calc!F19))+B1477+(ArtifactsInput!$M$24-ArtifactsInput!$M$24)*CHOOSE(ArtifactsInput!$N$24+1,10,12,14,16,18,20)+IF(ArtifactsInput!$M$10,CHOOSE(ArtifactsInput!$N$10+1,15,18,21,24,27,30)*(IF(Inputs!$B$38="pvp",MIN(15,15)/15,IF(AND(Inputs!$B$38&lt;&gt;"pvp",Inputs!$B$43&gt;0),MIN(15,Inputs!$B$43)/(Inputs!$B$43),0))),0)))&gt;=100),CHOOSE(ArtifactsInput!$N$42+1,40,48,56,64,72,80),0))))/100)*((1+(((C1464=TRUE)*F1464)+((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1459)</f>
        <v/>
      </c>
      <c r="L1459">
        <f>K1459*(MIN(Inputs!$B$22+((C1469=TRUE)*(F1469-Calc!F22)),(Inputs!$B$23+0+(IF(ArtifactsInput!$M$15,CHOOSE(ArtifactsInput!$N$15+1,25,30,35,40,45,50)/100*(Inputs!$B$11-Inputs!$B$11),0))))/100+(Inputs!$B$23+0+(IF(ArtifactsInput!$M$15,CHOOSE(ArtifactsInput!$N$15+1,25,30,35,40,45,50)/100*(Inputs!$B$11-Inputs!$B$11),0)))/100)/2</f>
        <v/>
      </c>
      <c r="M1459">
        <f>L1459*(1+(Inputs!$B$10+((C1472=TRUE)*(F1472-Calc!F25))+B1482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9">
        <f>L1459*(1-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1459*(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9">
        <f>(1-Summary!$B$11)*T1459+Summary!$B$11*V1459</f>
        <v/>
      </c>
      <c r="P1459">
        <f>IF(B1487=0,0,O1459/B1487)</f>
        <v/>
      </c>
      <c r="Q1459">
        <f>IFERROR(1/(IF(Inputs!$B$38="pvp",15,MAX(0.1,Skills!D12-IF(Skills!E12=TRUE,Inputs!$B$32,0)))*(1-IF(AND(ArtifactsInput!$M$27,Inputs!$B$4="Chapter Hunt"),CHOOSE(ArtifactsInput!$N$27+1,20,24,28,32,36,40),0)/100)),0)</f>
        <v/>
      </c>
      <c r="R1459">
        <f>IF(AND(Inputs!$B$38&lt;&gt;"pvp",Inputs!$B$43&gt;0),IF(MAX(0,Inputs!$B$43-B1484)&lt;=0,0,(INT(MAX(0,Inputs!$B$43-B1484)/(IF(Inputs!$B$38="pvp",15,MAX(0.1,Skills!D12-IF(Skills!E12=TRUE,Inputs!$B$32,0)))*(1-IF(AND(ArtifactsInput!$M$27,Inputs!$B$4="Chapter Hunt"),CHOOSE(ArtifactsInput!$N$27+1,20,24,28,32,36,40),0)/100)))+1)),0)</f>
        <v/>
      </c>
      <c r="S1459">
        <f>IFERROR(O1459/N1459,0)</f>
        <v/>
      </c>
      <c r="T1459">
        <f>IF(C1459,(H1459*N1459*IF(AND(Inputs!$B$38&lt;&gt;"pvp",Inputs!$B$43&gt;0),((Skills!G12*((R1459-1)*IF(Skills!H12&gt;0,Skills!I12/Skills!H12,1)+IF(Skills!H12&gt;0,MIN(Skills!I12,MAX(0,MAX(0,Inputs!$B$43-B1484)-((R1459-1)*(IF(Inputs!$B$38="pvp",15,MAX(0.1,Skills!D12-IF(Skills!E12=TRUE,Inputs!$B$32,0)))*(1-IF(AND(ArtifactsInput!$M$27,Inputs!$B$4="Chapter Hunt"),CHOOSE(ArtifactsInput!$N$27+1,20,24,28,32,36,40),0)/100)))))/Skills!H12,1)))/Inputs!$B$43),G1459*Q1459)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1459*(1-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1459*(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1459*(1-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1459*(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59">
        <f>IF(C1459,(H1459*N1459*IF(AND(Inputs!$B$38&lt;&gt;"pvp",Inputs!$B$43&gt;0),((Skills!G12*((R1459-1)*IF(Skills!H12&gt;0,Skills!I12/Skills!H12,1)+IF(Skills!H12&gt;0,MIN(Skills!I12,MAX(0,MAX(0,Inputs!$B$43-B1484)-((R1459-1)*(IF(Inputs!$B$38="pvp",15,MAX(0.1,Skills!D12-IF(Skills!E12=TRUE,Inputs!$B$32,0)))*(1-IF(AND(ArtifactsInput!$M$27,Inputs!$B$4="Chapter Hunt"),CHOOSE(ArtifactsInput!$N$27+1,20,24,28,32,36,40),0)/100)))))/Skills!H12,1)))/Inputs!$B$43),G1459*Q1459))*IF(Inputs!$B$38="pvp",1,(1+(Inputs!$B$21+Skills!Q12+(IF(ArtifactsInput!$M$33,CHOOSE(ArtifactsInput!$N$33+1,30,36,42,48,54,60)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0">
      <c r="A1460">
        <f>Skills!A13</f>
        <v/>
      </c>
      <c r="B1460">
        <f>Skills!B13</f>
        <v/>
      </c>
      <c r="C1460">
        <f>Inputs!$B$3&gt;=110</f>
        <v/>
      </c>
      <c r="D1460">
        <f>IF(Skills!C13=1,60+Inputs!$B$25+Inputs!$B$29,IF(Skills!C13=2,90+Inputs!$B$26+Inputs!$B$29,IF(Skills!C13=3,120+Inputs!$B$27+Inputs!$B$29,MAX(0,(Inputs!$B$3-100)*3)+Inputs!$B$28+Inputs!$B$29)))</f>
        <v/>
      </c>
      <c r="E1460">
        <f>INDEX(FactorTable!$B$2:$Y$301, MATCH(ROUND(MIN(300,MAX(1,D1460)),0), FactorTable!$A$2:$A$301,0), Skills!M13+1)</f>
        <v/>
      </c>
      <c r="F1460">
        <f>IF(Skills!N13=TRUE,(Skills!L13/10)*(E1460/1000),Skills!L13/10)+Skills!O13</f>
        <v/>
      </c>
      <c r="G1460">
        <f>Skills!G13*IF(Skills!H13&gt;0,Skills!I13/Skills!H13,1)</f>
        <v/>
      </c>
      <c r="H1460">
        <f>1-(1-Skills!J13/100)^Skills!K13</f>
        <v/>
      </c>
      <c r="I1460" t="inlineStr">
        <is>
          <t>1</t>
        </is>
      </c>
      <c r="J1460">
        <f>((Inputs!$B$6*(1+Inputs!$B$7/100))+(((Inputs!$B$12*(1+Inputs!$B$13/100))-(Inputs!$B$12*(1+Inputs!$B$13/100)))+0.25*(Inputs!$B$14-Inputs!$B$14))*(1+Inputs!$B$7/100))*(F1460/100)</f>
        <v/>
      </c>
      <c r="K1460">
        <f>J1460*(1+((Inputs!$B$12*(1+Inputs!$B$13/100))*0.01+Inputs!$B$14*0.0025)/100)*(1+Inputs!$B$15/100)*(1+Inputs!$B$16/100)*(5000/(6000+Inputs!$B$42*(1-(100*(1-(1-(Inputs!$B$19+0)/100)*(1-CHOOSE(ArtifactsInput!$N$40+1,5,6,7,8,9,10)/100)^(ArtifactsInput!$M$40-ArtifactsInput!$M$40)))/100)))*(1+(Inputs!$B$24+((C1473=TRUE)*(F1473-Calc!F26))+B1483)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1470=TRUE)*(F1470-Calc!F23))+((C1474=TRUE)*(F1474-Calc!F27))+(((IF(AND(ArtifactsInput!$M$42,((Inputs!$B$9+((C1466=TRUE)*(F1466-Calc!F19))+B1477+(ArtifactsInput!$M$24-ArtifactsInput!$M$24)*CHOOSE(ArtifactsInput!$N$24+1,10,12,14,16,18,20)+IF(ArtifactsInput!$M$10,CHOOSE(ArtifactsInput!$N$10+1,15,18,21,24,27,30)*(IF(Inputs!$B$38="pvp",MIN(15,15)/15,IF(AND(Inputs!$B$38&lt;&gt;"pvp",Inputs!$B$43&gt;0),MIN(15,Inputs!$B$43)/(Inputs!$B$43),0))),0)))&gt;=100),MIN(100,((Inputs!$B$9+((C1466=TRUE)*(F1466-Calc!F19))+B1477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1466=TRUE)*(F1466-Calc!F19))+B1477+(ArtifactsInput!$M$24-ArtifactsInput!$M$24)*CHOOSE(ArtifactsInput!$N$24+1,10,12,14,16,18,20)+IF(ArtifactsInput!$M$10,CHOOSE(ArtifactsInput!$N$10+1,15,18,21,24,27,30)*(IF(Inputs!$B$38="pvp",MIN(15,15)/15,IF(AND(Inputs!$B$38&lt;&gt;"pvp",Inputs!$B$43&gt;0),MIN(15,Inputs!$B$43)/(Inputs!$B$43),0))),0)))&gt;=100),CHOOSE(ArtifactsInput!$N$42+1,40,48,56,64,72,80),0))))/100)*((1+(((C1464=TRUE)*F1464)+((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1460)</f>
        <v/>
      </c>
      <c r="L1460">
        <f>K1460*(MIN(Inputs!$B$22+((C1469=TRUE)*(F1469-Calc!F22)),(Inputs!$B$23+0+(IF(ArtifactsInput!$M$15,CHOOSE(ArtifactsInput!$N$15+1,25,30,35,40,45,50)/100*(Inputs!$B$11-Inputs!$B$11),0))))/100+(Inputs!$B$23+0+(IF(ArtifactsInput!$M$15,CHOOSE(ArtifactsInput!$N$15+1,25,30,35,40,45,50)/100*(Inputs!$B$11-Inputs!$B$11),0)))/100)/2</f>
        <v/>
      </c>
      <c r="M1460">
        <f>L1460*(1+(Inputs!$B$10+((C1472=TRUE)*(F1472-Calc!F25))+B1482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0">
        <f>L1460*(1-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1460*(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0">
        <f>(1-Summary!$B$11)*T1460+Summary!$B$11*V1460</f>
        <v/>
      </c>
      <c r="P1460">
        <f>IF(B1487=0,0,O1460/B1487)</f>
        <v/>
      </c>
      <c r="Q1460">
        <f>IFERROR(1/(IF(Inputs!$B$38="pvp",15,MAX(0.1,Skills!D13-IF(Skills!E13=TRUE,Inputs!$B$32,0)))*(1-IF(AND(ArtifactsInput!$M$27,Inputs!$B$4="Chapter Hunt"),CHOOSE(ArtifactsInput!$N$27+1,20,24,28,32,36,40),0)/100)),0)</f>
        <v/>
      </c>
      <c r="R1460">
        <f>IF(AND(Inputs!$B$38&lt;&gt;"pvp",Inputs!$B$43&gt;0),IF(MAX(0,Inputs!$B$43-B1484)&lt;=0,0,(INT(MAX(0,Inputs!$B$43-B1484)/(IF(Inputs!$B$38="pvp",15,MAX(0.1,Skills!D13-IF(Skills!E13=TRUE,Inputs!$B$32,0)))*(1-IF(AND(ArtifactsInput!$M$27,Inputs!$B$4="Chapter Hunt"),CHOOSE(ArtifactsInput!$N$27+1,20,24,28,32,36,40),0)/100)))+1)),0)</f>
        <v/>
      </c>
      <c r="S1460">
        <f>IFERROR(O1460/N1460,0)</f>
        <v/>
      </c>
      <c r="T1460">
        <f>IF(C1460,(H1460*N1460*IF(AND(Inputs!$B$38&lt;&gt;"pvp",Inputs!$B$43&gt;0),((Skills!G13*((R1460-1)*IF(Skills!H13&gt;0,Skills!I13/Skills!H13,1)+IF(Skills!H13&gt;0,MIN(Skills!I13,MAX(0,MAX(0,Inputs!$B$43-B1484)-((R1460-1)*(IF(Inputs!$B$38="pvp",15,MAX(0.1,Skills!D13-IF(Skills!E13=TRUE,Inputs!$B$32,0)))*(1-IF(AND(ArtifactsInput!$M$27,Inputs!$B$4="Chapter Hunt"),CHOOSE(ArtifactsInput!$N$27+1,20,24,28,32,36,40),0)/100)))))/Skills!H13,1)))/Inputs!$B$43),G1460*Q1460)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1460*(1-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1460*(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1460*(1-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1460*(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0">
        <f>IF(C1460,(H1460*N1460*IF(AND(Inputs!$B$38&lt;&gt;"pvp",Inputs!$B$43&gt;0),((Skills!G13*((R1460-1)*IF(Skills!H13&gt;0,Skills!I13/Skills!H13,1)+IF(Skills!H13&gt;0,MIN(Skills!I13,MAX(0,MAX(0,Inputs!$B$43-B1484)-((R1460-1)*(IF(Inputs!$B$38="pvp",15,MAX(0.1,Skills!D13-IF(Skills!E13=TRUE,Inputs!$B$32,0)))*(1-IF(AND(ArtifactsInput!$M$27,Inputs!$B$4="Chapter Hunt"),CHOOSE(ArtifactsInput!$N$27+1,20,24,28,32,36,40),0)/100)))))/Skills!H13,1)))/Inputs!$B$43),G1460*Q1460))*IF(Inputs!$B$38="pvp",1,(1+(Inputs!$B$21+Skills!Q13+(IF(ArtifactsInput!$M$33,CHOOSE(ArtifactsInput!$N$33+1,30,36,42,48,54,60)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1">
      <c r="A1461">
        <f>Skills!A14</f>
        <v/>
      </c>
      <c r="B1461">
        <f>Skills!B14</f>
        <v/>
      </c>
      <c r="C1461">
        <f>Inputs!$B$3&gt;=125</f>
        <v/>
      </c>
      <c r="D1461">
        <f>IF(Skills!C14=1,60+Inputs!$B$25+Inputs!$B$29,IF(Skills!C14=2,90+Inputs!$B$26+Inputs!$B$29,IF(Skills!C14=3,120+Inputs!$B$27+Inputs!$B$29,MAX(0,(Inputs!$B$3-100)*3)+Inputs!$B$28+Inputs!$B$29)))</f>
        <v/>
      </c>
      <c r="E1461">
        <f>INDEX(FactorTable!$B$2:$Y$301, MATCH(ROUND(MIN(300,MAX(1,D1461)),0), FactorTable!$A$2:$A$301,0), Skills!M14+1)</f>
        <v/>
      </c>
      <c r="F1461">
        <f>IF(Skills!N14=TRUE,(Skills!L14/10)*(E1461/1000),Skills!L14/10)+Skills!O14</f>
        <v/>
      </c>
      <c r="G1461">
        <f>Skills!G14*IF(Skills!H14&gt;0,Skills!I14/Skills!H14,1)</f>
        <v/>
      </c>
      <c r="H1461">
        <f>1-(1-Skills!J14/100)^Skills!K14</f>
        <v/>
      </c>
      <c r="I1461" t="inlineStr">
        <is>
          <t>1</t>
        </is>
      </c>
      <c r="J1461">
        <f>((Inputs!$B$6*(1+Inputs!$B$7/100))+(((Inputs!$B$12*(1+Inputs!$B$13/100))-(Inputs!$B$12*(1+Inputs!$B$13/100)))+0.25*(Inputs!$B$14-Inputs!$B$14))*(1+Inputs!$B$7/100))*(F1461/100)</f>
        <v/>
      </c>
      <c r="K1461">
        <f>J1461*(1+((Inputs!$B$12*(1+Inputs!$B$13/100))*0.01+Inputs!$B$14*0.0025)/100)*(1+Inputs!$B$15/100)*(1+Inputs!$B$16/100)*(5000/(6000+Inputs!$B$42*(1-(100*(1-(1-(Inputs!$B$19+0)/100)*(1-CHOOSE(ArtifactsInput!$N$40+1,5,6,7,8,9,10)/100)^(ArtifactsInput!$M$40-ArtifactsInput!$M$40)))/100)))*(1+(Inputs!$B$24+((C1473=TRUE)*(F1473-Calc!F26))+B1483)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1470=TRUE)*(F1470-Calc!F23))+((C1474=TRUE)*(F1474-Calc!F27))+(((IF(AND(ArtifactsInput!$M$42,((Inputs!$B$9+((C1466=TRUE)*(F1466-Calc!F19))+B1477+(ArtifactsInput!$M$24-ArtifactsInput!$M$24)*CHOOSE(ArtifactsInput!$N$24+1,10,12,14,16,18,20)+IF(ArtifactsInput!$M$10,CHOOSE(ArtifactsInput!$N$10+1,15,18,21,24,27,30)*(IF(Inputs!$B$38="pvp",MIN(15,15)/15,IF(AND(Inputs!$B$38&lt;&gt;"pvp",Inputs!$B$43&gt;0),MIN(15,Inputs!$B$43)/(Inputs!$B$43),0))),0)))&gt;=100),MIN(100,((Inputs!$B$9+((C1466=TRUE)*(F1466-Calc!F19))+B1477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1466=TRUE)*(F1466-Calc!F19))+B1477+(ArtifactsInput!$M$24-ArtifactsInput!$M$24)*CHOOSE(ArtifactsInput!$N$24+1,10,12,14,16,18,20)+IF(ArtifactsInput!$M$10,CHOOSE(ArtifactsInput!$N$10+1,15,18,21,24,27,30)*(IF(Inputs!$B$38="pvp",MIN(15,15)/15,IF(AND(Inputs!$B$38&lt;&gt;"pvp",Inputs!$B$43&gt;0),MIN(15,Inputs!$B$43)/(Inputs!$B$43),0))),0)))&gt;=100),CHOOSE(ArtifactsInput!$N$42+1,40,48,56,64,72,80),0))))/100)*((1+(((C1464=TRUE)*F1464)+((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1461)</f>
        <v/>
      </c>
      <c r="L1461">
        <f>K1461*(MIN(Inputs!$B$22+((C1469=TRUE)*(F1469-Calc!F22)),(Inputs!$B$23+0+(IF(ArtifactsInput!$M$15,CHOOSE(ArtifactsInput!$N$15+1,25,30,35,40,45,50)/100*(Inputs!$B$11-Inputs!$B$11),0))))/100+(Inputs!$B$23+0+(IF(ArtifactsInput!$M$15,CHOOSE(ArtifactsInput!$N$15+1,25,30,35,40,45,50)/100*(Inputs!$B$11-Inputs!$B$11),0)))/100)/2</f>
        <v/>
      </c>
      <c r="M1461">
        <f>L1461*(1+(Inputs!$B$10+((C1472=TRUE)*(F1472-Calc!F25))+B1482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1">
        <f>L1461*(1-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1">
        <f>(1-Summary!$B$11)*T1461+Summary!$B$11*V1461</f>
        <v/>
      </c>
      <c r="P1461">
        <f>IF(B1487=0,0,O1461/B1487)</f>
        <v/>
      </c>
      <c r="Q1461" t="n">
        <v>0</v>
      </c>
      <c r="R1461" t="n">
        <v>0</v>
      </c>
      <c r="S1461">
        <f>IFERROR(O1461/N1461,0)</f>
        <v/>
      </c>
      <c r="T1461">
        <f>IF(C1461,(H1461*N1461*(B1481+IF(AND(Inputs!$B$38&lt;&gt;"pvp",Inputs!$B$43&gt;0),((Skills!G8*((R1455-1)*IF(Skills!H8&gt;0,Skills!I8/Skills!H8,1)+IF(Skills!H8&gt;0,MIN(Skills!I8,MAX(0,MAX(0,Inputs!$B$43-B1484)-((R1455-1)*(IF(Inputs!$B$38="pvp",15,MAX(0.1,Skills!D8-IF(Skills!E8=TRUE,Inputs!$B$32,0)))*(1-IF(AND(ArtifactsInput!$M$27,Inputs!$B$4="Chapter Hunt"),CHOOSE(ArtifactsInput!$N$27+1,20,24,28,32,36,40),0)/100)))))/Skills!H8,1)))/Inputs!$B$43),G1455*Q1455)+IF(AND(Inputs!$B$38&lt;&gt;"pvp",Inputs!$B$43&gt;0),((Skills!G11*((R1458-1)*IF(Skills!H11&gt;0,Skills!I11/Skills!H11,1)+IF(Skills!H11&gt;0,MIN(Skills!I11,MAX(0,MAX(0,Inputs!$B$43-B1484)-((R1458-1)*(IF(Inputs!$B$38="pvp",15,MAX(0.1,Skills!D11-IF(Skills!E11=TRUE,Inputs!$B$32,0)))*(1-IF(AND(ArtifactsInput!$M$27,Inputs!$B$4="Chapter Hunt"),CHOOSE(ArtifactsInput!$N$27+1,20,24,28,32,36,40),0)/100)))))/Skills!H11,1)))/Inputs!$B$43),G1458*Q1458)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1461*(1-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1461*(1-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1">
        <f>IF(C1461,(H1461*N1461*(B1481+IF(AND(Inputs!$B$38&lt;&gt;"pvp",Inputs!$B$43&gt;0),((Skills!G8*((R1455-1)*IF(Skills!H8&gt;0,Skills!I8/Skills!H8,1)+IF(Skills!H8&gt;0,MIN(Skills!I8,MAX(0,MAX(0,Inputs!$B$43-B1484)-((R1455-1)*(IF(Inputs!$B$38="pvp",15,MAX(0.1,Skills!D8-IF(Skills!E8=TRUE,Inputs!$B$32,0)))*(1-IF(AND(ArtifactsInput!$M$27,Inputs!$B$4="Chapter Hunt"),CHOOSE(ArtifactsInput!$N$27+1,20,24,28,32,36,40),0)/100)))))/Skills!H8,1)))/Inputs!$B$43),G1455*Q1455)+IF(AND(Inputs!$B$38&lt;&gt;"pvp",Inputs!$B$43&gt;0),((Skills!G11*((R1458-1)*IF(Skills!H11&gt;0,Skills!I11/Skills!H11,1)+IF(Skills!H11&gt;0,MIN(Skills!I11,MAX(0,MAX(0,Inputs!$B$43-B1484)-((R1458-1)*(IF(Inputs!$B$38="pvp",15,MAX(0.1,Skills!D11-IF(Skills!E11=TRUE,Inputs!$B$32,0)))*(1-IF(AND(ArtifactsInput!$M$27,Inputs!$B$4="Chapter Hunt"),CHOOSE(ArtifactsInput!$N$27+1,20,24,28,32,36,40),0)/100)))))/Skills!H11,1)))/Inputs!$B$43),G1458*Q1458)))*IF(Inputs!$B$38="pvp",1,(1+(Inputs!$B$21+Skills!Q14+(IF(ArtifactsInput!$M$33,CHOOSE(ArtifactsInput!$N$33+1,30,36,42,48,54,60)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2">
      <c r="A1462">
        <f>Skills!A15</f>
        <v/>
      </c>
      <c r="B1462">
        <f>Skills!B15</f>
        <v/>
      </c>
      <c r="C1462">
        <f>Inputs!$B$3&gt;=100</f>
        <v/>
      </c>
      <c r="D1462">
        <f>IF(Skills!C15=1,60+Inputs!$B$25+Inputs!$B$29,IF(Skills!C15=2,90+Inputs!$B$26+Inputs!$B$29,IF(Skills!C15=3,120+Inputs!$B$27+Inputs!$B$29,MAX(0,(Inputs!$B$3-100)*3)+Inputs!$B$28+Inputs!$B$29)))</f>
        <v/>
      </c>
      <c r="E1462">
        <f>INDEX(FactorTable!$B$2:$Y$301, MATCH(ROUND(MIN(300,MAX(1,D1462)),0), FactorTable!$A$2:$A$301,0), Skills!M15+1)</f>
        <v/>
      </c>
      <c r="F1462">
        <f>IF(Skills!N15=TRUE,(Skills!L15/10)*(E1462/1000),Skills!L15/10)+Skills!O15</f>
        <v/>
      </c>
      <c r="G1462" t="inlineStr"/>
      <c r="H1462" t="inlineStr"/>
      <c r="I1462" t="inlineStr">
        <is>
          <t>1</t>
        </is>
      </c>
      <c r="J1462" t="inlineStr"/>
      <c r="K1462" t="inlineStr"/>
      <c r="L1462" t="inlineStr"/>
      <c r="M1462" t="inlineStr"/>
      <c r="N1462" t="inlineStr"/>
      <c r="O1462" t="inlineStr"/>
      <c r="P1462" t="inlineStr"/>
      <c r="Q1462" t="inlineStr"/>
      <c r="R1462" t="inlineStr"/>
      <c r="S1462" t="inlineStr"/>
    </row>
    <row r="1463">
      <c r="A1463">
        <f>Skills!A16</f>
        <v/>
      </c>
      <c r="B1463">
        <f>Skills!B16</f>
        <v/>
      </c>
      <c r="C1463">
        <f>Inputs!$B$3&gt;=120</f>
        <v/>
      </c>
      <c r="D1463">
        <f>IF(Skills!C16=1,60+Inputs!$B$25+Inputs!$B$29,IF(Skills!C16=2,90+Inputs!$B$26+Inputs!$B$29,IF(Skills!C16=3,120+Inputs!$B$27+Inputs!$B$29,MAX(0,(Inputs!$B$3-100)*3)+Inputs!$B$28+Inputs!$B$29)))</f>
        <v/>
      </c>
      <c r="E1463">
        <f>INDEX(FactorTable!$B$2:$Y$301, MATCH(ROUND(MIN(300,MAX(1,D1463)),0), FactorTable!$A$2:$A$301,0), Skills!M16+1)</f>
        <v/>
      </c>
      <c r="F1463">
        <f>IF(Skills!N16=TRUE,(Skills!L16/10)*(E1463/1000),Skills!L16/10)+Skills!O16</f>
        <v/>
      </c>
      <c r="G1463" t="inlineStr"/>
      <c r="H1463" t="inlineStr"/>
      <c r="I1463" t="inlineStr">
        <is>
          <t>1</t>
        </is>
      </c>
      <c r="J1463" t="inlineStr"/>
      <c r="K1463" t="inlineStr"/>
      <c r="L1463" t="inlineStr"/>
      <c r="M1463" t="inlineStr"/>
      <c r="N1463" t="inlineStr"/>
      <c r="O1463" t="inlineStr"/>
      <c r="P1463" t="inlineStr"/>
      <c r="Q1463" t="inlineStr"/>
      <c r="R1463" t="inlineStr"/>
      <c r="S1463" t="inlineStr"/>
    </row>
    <row r="1464">
      <c r="A1464">
        <f>Skills!A17</f>
        <v/>
      </c>
      <c r="B1464">
        <f>Skills!B17</f>
        <v/>
      </c>
      <c r="C1464">
        <f>Inputs!$B$3&gt;=66</f>
        <v/>
      </c>
      <c r="D1464">
        <f>IF(Skills!C17=1,60+Inputs!$B$25+Inputs!$B$29,IF(Skills!C17=2,90+Inputs!$B$26+Inputs!$B$29,IF(Skills!C17=3,120+Inputs!$B$27+Inputs!$B$29,MAX(0,(Inputs!$B$3-100)*3)+Inputs!$B$28+Inputs!$B$29)))</f>
        <v/>
      </c>
      <c r="E1464">
        <f>INDEX(FactorTable!$B$2:$Y$301, MATCH(ROUND(MIN(300,MAX(1,D1464)),0), FactorTable!$A$2:$A$301,0), Skills!M17+1)</f>
        <v/>
      </c>
      <c r="F1464">
        <f>IF(Skills!N17=TRUE,(Skills!L17/10)*(E1464/1000),Skills!L17/10)+Skills!O17</f>
        <v/>
      </c>
      <c r="G1464">
        <f>Skills!G17*IF(Skills!H17&gt;0,Skills!I17/Skills!H17,1)</f>
        <v/>
      </c>
      <c r="H1464">
        <f>1-(1-Skills!J17/100)^Skills!K17</f>
        <v/>
      </c>
      <c r="I1464" t="inlineStr">
        <is>
          <t>1</t>
        </is>
      </c>
      <c r="J1464" t="inlineStr"/>
      <c r="K1464" t="inlineStr"/>
      <c r="L1464" t="inlineStr"/>
      <c r="M1464" t="inlineStr"/>
      <c r="N1464" t="inlineStr"/>
      <c r="O1464">
        <f>(1-Summary!$B$11)*T1464+Summary!$B$11*V1464</f>
        <v/>
      </c>
      <c r="P1464">
        <f>IF(B1487=0,0,O1464/B1487)</f>
        <v/>
      </c>
      <c r="Q1464" t="n">
        <v>0</v>
      </c>
      <c r="R1464" t="n">
        <v>0</v>
      </c>
      <c r="S1464">
        <f>IFERROR(O1464/N1464,0)</f>
        <v/>
      </c>
      <c r="T1464" t="n">
        <v>0</v>
      </c>
      <c r="V1464" t="n">
        <v>0</v>
      </c>
    </row>
    <row r="1465">
      <c r="A1465">
        <f>Skills!A18</f>
        <v/>
      </c>
      <c r="B1465">
        <f>Skills!B18</f>
        <v/>
      </c>
      <c r="C1465">
        <f>Inputs!$B$3&gt;=115</f>
        <v/>
      </c>
      <c r="D1465">
        <f>IF(Skills!C18=1,60+Inputs!$B$25+Inputs!$B$29,IF(Skills!C18=2,90+Inputs!$B$26+Inputs!$B$29,IF(Skills!C18=3,120+Inputs!$B$27+Inputs!$B$29,MAX(0,(Inputs!$B$3-100)*3)+Inputs!$B$28+Inputs!$B$29)))</f>
        <v/>
      </c>
      <c r="E1465">
        <f>INDEX(FactorTable!$B$2:$Y$301, MATCH(ROUND(MIN(300,MAX(1,D1465)),0), FactorTable!$A$2:$A$301,0), Skills!M18+1)</f>
        <v/>
      </c>
      <c r="F1465">
        <f>IF(Skills!N18=TRUE,(Skills!L18/10)*(E1465/1000),Skills!L18/10)+Skills!O18</f>
        <v/>
      </c>
      <c r="G1465">
        <f>Skills!G18*IF(Skills!H18&gt;0,Skills!I18/Skills!H18,1)</f>
        <v/>
      </c>
      <c r="H1465">
        <f>1-(1-Skills!J18/100)^Skills!K18</f>
        <v/>
      </c>
      <c r="I1465" t="inlineStr">
        <is>
          <t>1</t>
        </is>
      </c>
      <c r="J1465" t="inlineStr"/>
      <c r="K1465" t="inlineStr"/>
      <c r="L1465" t="inlineStr"/>
      <c r="M1465" t="inlineStr"/>
      <c r="N1465" t="inlineStr"/>
      <c r="O1465">
        <f>(1-Summary!$B$11)*T1465+Summary!$B$11*V1465</f>
        <v/>
      </c>
      <c r="P1465">
        <f>IF(B1487=0,0,O1465/B1487)</f>
        <v/>
      </c>
      <c r="Q1465" t="n">
        <v>0</v>
      </c>
      <c r="R1465" t="n">
        <v>0</v>
      </c>
      <c r="S1465">
        <f>IFERROR(O1465/N1465,0)</f>
        <v/>
      </c>
      <c r="T1465" t="n">
        <v>0</v>
      </c>
      <c r="V1465" t="n">
        <v>0</v>
      </c>
    </row>
    <row r="1466">
      <c r="A1466">
        <f>Skills!A19</f>
        <v/>
      </c>
      <c r="B1466">
        <f>Skills!B19</f>
        <v/>
      </c>
      <c r="C1466">
        <f>Inputs!$B$3&gt;=15</f>
        <v/>
      </c>
      <c r="D1466">
        <f>IF(Skills!C19=1,60+Inputs!$B$25+Inputs!$B$29,IF(Skills!C19=2,90+Inputs!$B$26+Inputs!$B$29,IF(Skills!C19=3,120+Inputs!$B$27+Inputs!$B$29,MAX(0,(Inputs!$B$3-100)*3)+Inputs!$B$28+Inputs!$B$29)))</f>
        <v/>
      </c>
      <c r="E1466">
        <f>INDEX(FactorTable!$B$2:$Y$301, MATCH(ROUND(MIN(300,MAX(1,D1466)),0), FactorTable!$A$2:$A$301,0), Skills!M19+1)</f>
        <v/>
      </c>
      <c r="F1466">
        <f>IF(Skills!N19=TRUE,(Skills!L19/10)*(E1466/1000),Skills!L19/10)+Skills!O19</f>
        <v/>
      </c>
      <c r="G1466">
        <f>Skills!G19*IF(Skills!H19&gt;0,Skills!I19/Skills!H19,1)</f>
        <v/>
      </c>
      <c r="H1466">
        <f>1-(1-Skills!J19/100)^Skills!K19</f>
        <v/>
      </c>
      <c r="I1466" t="inlineStr">
        <is>
          <t>1</t>
        </is>
      </c>
      <c r="J1466" t="inlineStr"/>
      <c r="K1466" t="inlineStr"/>
      <c r="L1466" t="inlineStr"/>
      <c r="M1466" t="inlineStr"/>
      <c r="N1466" t="inlineStr"/>
      <c r="O1466">
        <f>(1-Summary!$B$11)*T1466+Summary!$B$11*V1466</f>
        <v/>
      </c>
      <c r="P1466">
        <f>IF(B1487=0,0,O1466/B1487)</f>
        <v/>
      </c>
      <c r="Q1466" t="n">
        <v>0</v>
      </c>
      <c r="R1466" t="n">
        <v>0</v>
      </c>
      <c r="S1466">
        <f>IFERROR(O1466/N1466,0)</f>
        <v/>
      </c>
      <c r="T1466" t="n">
        <v>0</v>
      </c>
      <c r="V1466" t="n">
        <v>0</v>
      </c>
    </row>
    <row r="1467">
      <c r="A1467">
        <f>Skills!A20</f>
        <v/>
      </c>
      <c r="B1467">
        <f>Skills!B20</f>
        <v/>
      </c>
      <c r="C1467">
        <f>Inputs!$B$3&gt;=10</f>
        <v/>
      </c>
      <c r="D1467">
        <f>IF(Skills!C20=1,60+Inputs!$B$25+Inputs!$B$29,IF(Skills!C20=2,90+Inputs!$B$26+Inputs!$B$29,IF(Skills!C20=3,120+Inputs!$B$27+Inputs!$B$29,MAX(0,(Inputs!$B$3-100)*3)+Inputs!$B$28+Inputs!$B$29)))</f>
        <v/>
      </c>
      <c r="E1467">
        <f>INDEX(FactorTable!$B$2:$Y$301, MATCH(ROUND(MIN(300,MAX(1,D1467)),0), FactorTable!$A$2:$A$301,0), Skills!M20+1)</f>
        <v/>
      </c>
      <c r="F1467">
        <f>IF(Skills!N20=TRUE,(Skills!L20/10)*(E1467/1000),Skills!L20/10)+Skills!O20</f>
        <v/>
      </c>
      <c r="G1467">
        <f>Skills!G20*IF(Skills!H20&gt;0,Skills!I20/Skills!H20,1)</f>
        <v/>
      </c>
      <c r="H1467">
        <f>1-(1-Skills!J20/100)^Skills!K20</f>
        <v/>
      </c>
      <c r="I1467" t="inlineStr">
        <is>
          <t>1</t>
        </is>
      </c>
      <c r="J1467" t="inlineStr"/>
      <c r="K1467" t="inlineStr"/>
      <c r="L1467" t="inlineStr"/>
      <c r="M1467" t="inlineStr"/>
      <c r="N1467" t="inlineStr"/>
      <c r="O1467">
        <f>(1-Summary!$B$11)*T1467+Summary!$B$11*V1467</f>
        <v/>
      </c>
      <c r="P1467">
        <f>IF(B1487=0,0,O1467/B1487)</f>
        <v/>
      </c>
      <c r="Q1467" t="n">
        <v>0</v>
      </c>
      <c r="R1467" t="n">
        <v>0</v>
      </c>
      <c r="S1467">
        <f>IFERROR(O1467/N1467,0)</f>
        <v/>
      </c>
      <c r="T1467" t="n">
        <v>0</v>
      </c>
      <c r="V1467" t="n">
        <v>0</v>
      </c>
    </row>
    <row r="1468">
      <c r="A1468">
        <f>Skills!A21</f>
        <v/>
      </c>
      <c r="B1468">
        <f>Skills!B21</f>
        <v/>
      </c>
      <c r="C1468">
        <f>Inputs!$B$3&gt;=33</f>
        <v/>
      </c>
      <c r="D1468">
        <f>IF(Skills!C21=1,60+Inputs!$B$25+Inputs!$B$29,IF(Skills!C21=2,90+Inputs!$B$26+Inputs!$B$29,IF(Skills!C21=3,120+Inputs!$B$27+Inputs!$B$29,MAX(0,(Inputs!$B$3-100)*3)+Inputs!$B$28+Inputs!$B$29)))</f>
        <v/>
      </c>
      <c r="E1468">
        <f>INDEX(FactorTable!$B$2:$Y$301, MATCH(ROUND(MIN(300,MAX(1,D1468)),0), FactorTable!$A$2:$A$301,0), Skills!M21+1)</f>
        <v/>
      </c>
      <c r="F1468">
        <f>IF(Skills!N21=TRUE,(Skills!L21/10)*(E1468/1000),Skills!L21/10)+Skills!O21</f>
        <v/>
      </c>
      <c r="G1468">
        <f>Skills!G21*IF(Skills!H21&gt;0,Skills!I21/Skills!H21,1)</f>
        <v/>
      </c>
      <c r="H1468">
        <f>1-(1-Skills!J21/100)^Skills!K21</f>
        <v/>
      </c>
      <c r="I1468" t="inlineStr">
        <is>
          <t>1</t>
        </is>
      </c>
      <c r="J1468" t="inlineStr"/>
      <c r="K1468" t="inlineStr"/>
      <c r="L1468" t="inlineStr"/>
      <c r="M1468" t="inlineStr"/>
      <c r="N1468" t="inlineStr"/>
      <c r="O1468">
        <f>(1-Summary!$B$11)*T1468+Summary!$B$11*V1468</f>
        <v/>
      </c>
      <c r="P1468">
        <f>IF(B1487=0,0,O1468/B1487)</f>
        <v/>
      </c>
      <c r="Q1468" t="n">
        <v>0</v>
      </c>
      <c r="R1468" t="n">
        <v>0</v>
      </c>
      <c r="S1468">
        <f>IFERROR(O1468/N1468,0)</f>
        <v/>
      </c>
      <c r="T1468" t="n">
        <v>0</v>
      </c>
      <c r="V1468" t="n">
        <v>0</v>
      </c>
    </row>
    <row r="1469">
      <c r="A1469">
        <f>Skills!A22</f>
        <v/>
      </c>
      <c r="B1469">
        <f>Skills!B22</f>
        <v/>
      </c>
      <c r="C1469">
        <f>Inputs!$B$3&gt;=43</f>
        <v/>
      </c>
      <c r="D1469">
        <f>IF(Skills!C22=1,60+Inputs!$B$25+Inputs!$B$29,IF(Skills!C22=2,90+Inputs!$B$26+Inputs!$B$29,IF(Skills!C22=3,120+Inputs!$B$27+Inputs!$B$29,MAX(0,(Inputs!$B$3-100)*3)+Inputs!$B$28+Inputs!$B$29)))</f>
        <v/>
      </c>
      <c r="E1469">
        <f>INDEX(FactorTable!$B$2:$Y$301, MATCH(ROUND(MIN(300,MAX(1,D1469)),0), FactorTable!$A$2:$A$301,0), Skills!M22+1)</f>
        <v/>
      </c>
      <c r="F1469">
        <f>IF(Skills!N22=TRUE,(Skills!L22/10)*(E1469/1000),Skills!L22/10)+Skills!O22</f>
        <v/>
      </c>
      <c r="G1469">
        <f>Skills!G22*IF(Skills!H22&gt;0,Skills!I22/Skills!H22,1)</f>
        <v/>
      </c>
      <c r="H1469">
        <f>1-(1-Skills!J22/100)^Skills!K22</f>
        <v/>
      </c>
      <c r="I1469" t="inlineStr">
        <is>
          <t>1</t>
        </is>
      </c>
      <c r="J1469" t="inlineStr"/>
      <c r="K1469" t="inlineStr"/>
      <c r="L1469" t="inlineStr"/>
      <c r="M1469" t="inlineStr"/>
      <c r="N1469" t="inlineStr"/>
      <c r="O1469">
        <f>(1-Summary!$B$11)*T1469+Summary!$B$11*V1469</f>
        <v/>
      </c>
      <c r="P1469">
        <f>IF(B1487=0,0,O1469/B1487)</f>
        <v/>
      </c>
      <c r="Q1469" t="n">
        <v>0</v>
      </c>
      <c r="R1469" t="n">
        <v>0</v>
      </c>
      <c r="S1469">
        <f>IFERROR(O1469/N1469,0)</f>
        <v/>
      </c>
      <c r="T1469" t="n">
        <v>0</v>
      </c>
      <c r="V1469" t="n">
        <v>0</v>
      </c>
    </row>
    <row r="1470">
      <c r="A1470">
        <f>Skills!A23</f>
        <v/>
      </c>
      <c r="B1470">
        <f>Skills!B23</f>
        <v/>
      </c>
      <c r="C1470">
        <f>Inputs!$B$3&gt;=38</f>
        <v/>
      </c>
      <c r="D1470">
        <f>IF(Skills!C23=1,60+Inputs!$B$25+Inputs!$B$29,IF(Skills!C23=2,90+Inputs!$B$26+Inputs!$B$29,IF(Skills!C23=3,120+Inputs!$B$27+Inputs!$B$29,MAX(0,(Inputs!$B$3-100)*3)+Inputs!$B$28+Inputs!$B$29)))</f>
        <v/>
      </c>
      <c r="E1470">
        <f>INDEX(FactorTable!$B$2:$Y$301, MATCH(ROUND(MIN(300,MAX(1,D1470)),0), FactorTable!$A$2:$A$301,0), Skills!M23+1)</f>
        <v/>
      </c>
      <c r="F1470">
        <f>IF(Skills!N23=TRUE,(Skills!L23/10)*(E1470/1000),Skills!L23/10)+Skills!O23</f>
        <v/>
      </c>
      <c r="G1470">
        <f>Skills!G23*IF(Skills!H23&gt;0,Skills!I23/Skills!H23,1)</f>
        <v/>
      </c>
      <c r="H1470">
        <f>1-(1-Skills!J23/100)^Skills!K23</f>
        <v/>
      </c>
      <c r="I1470" t="inlineStr">
        <is>
          <t>1</t>
        </is>
      </c>
      <c r="J1470" t="inlineStr"/>
      <c r="K1470" t="inlineStr"/>
      <c r="L1470" t="inlineStr"/>
      <c r="M1470" t="inlineStr"/>
      <c r="N1470" t="inlineStr"/>
      <c r="O1470">
        <f>(1-Summary!$B$11)*T1470+Summary!$B$11*V1470</f>
        <v/>
      </c>
      <c r="P1470">
        <f>IF(B1487=0,0,O1470/B1487)</f>
        <v/>
      </c>
      <c r="Q1470" t="n">
        <v>0</v>
      </c>
      <c r="R1470" t="n">
        <v>0</v>
      </c>
      <c r="S1470">
        <f>IFERROR(O1470/N1470,0)</f>
        <v/>
      </c>
      <c r="T1470" t="n">
        <v>0</v>
      </c>
      <c r="V1470" t="n">
        <v>0</v>
      </c>
    </row>
    <row r="1471">
      <c r="A1471">
        <f>Skills!A24</f>
        <v/>
      </c>
      <c r="B1471">
        <f>Skills!B24</f>
        <v/>
      </c>
      <c r="C1471">
        <f>Inputs!$B$3&gt;=40</f>
        <v/>
      </c>
      <c r="D1471">
        <f>IF(Skills!C24=1,60+Inputs!$B$25+Inputs!$B$29,IF(Skills!C24=2,90+Inputs!$B$26+Inputs!$B$29,IF(Skills!C24=3,120+Inputs!$B$27+Inputs!$B$29,MAX(0,(Inputs!$B$3-100)*3)+Inputs!$B$28+Inputs!$B$29)))</f>
        <v/>
      </c>
      <c r="E1471">
        <f>INDEX(FactorTable!$B$2:$Y$301, MATCH(ROUND(MIN(300,MAX(1,D1471)),0), FactorTable!$A$2:$A$301,0), Skills!M24+1)</f>
        <v/>
      </c>
      <c r="F1471">
        <f>IF(Skills!N24=TRUE,(Skills!L24/10)*(E1471/1000),Skills!L24/10)+Skills!O24</f>
        <v/>
      </c>
      <c r="G1471">
        <f>Skills!G24*IF(Skills!H24&gt;0,Skills!I24/Skills!H24,1)</f>
        <v/>
      </c>
      <c r="H1471">
        <f>1-(1-Skills!J24/100)^Skills!K24</f>
        <v/>
      </c>
      <c r="I1471" t="inlineStr">
        <is>
          <t>1</t>
        </is>
      </c>
      <c r="J1471" t="inlineStr"/>
      <c r="K1471" t="inlineStr"/>
      <c r="L1471" t="inlineStr"/>
      <c r="M1471" t="inlineStr"/>
      <c r="N1471" t="inlineStr"/>
      <c r="O1471">
        <f>(1-Summary!$B$11)*T1471+Summary!$B$11*V1471</f>
        <v/>
      </c>
      <c r="P1471">
        <f>IF(B1487=0,0,O1471/B1487)</f>
        <v/>
      </c>
      <c r="Q1471" t="n">
        <v>0</v>
      </c>
      <c r="R1471" t="n">
        <v>0</v>
      </c>
      <c r="S1471">
        <f>IFERROR(O1471/N1471,0)</f>
        <v/>
      </c>
      <c r="T1471" t="n">
        <v>0</v>
      </c>
      <c r="V1471" t="n">
        <v>0</v>
      </c>
    </row>
    <row r="1472">
      <c r="A1472">
        <f>Skills!A25</f>
        <v/>
      </c>
      <c r="B1472">
        <f>Skills!B25</f>
        <v/>
      </c>
      <c r="C1472">
        <f>Inputs!$B$3&gt;=72</f>
        <v/>
      </c>
      <c r="D1472">
        <f>IF(Skills!C25=1,60+Inputs!$B$25+Inputs!$B$29,IF(Skills!C25=2,90+Inputs!$B$26+Inputs!$B$29,IF(Skills!C25=3,120+Inputs!$B$27+Inputs!$B$29,MAX(0,(Inputs!$B$3-100)*3)+Inputs!$B$28+Inputs!$B$29)))</f>
        <v/>
      </c>
      <c r="E1472">
        <f>INDEX(FactorTable!$B$2:$Y$301, MATCH(ROUND(MIN(300,MAX(1,D1472)),0), FactorTable!$A$2:$A$301,0), Skills!M25+1)</f>
        <v/>
      </c>
      <c r="F1472">
        <f>IF(Skills!N25=TRUE,(Skills!L25/10)*(E1472/1000),Skills!L25/10)+Skills!O25</f>
        <v/>
      </c>
      <c r="G1472">
        <f>Skills!G25*IF(Skills!H25&gt;0,Skills!I25/Skills!H25,1)</f>
        <v/>
      </c>
      <c r="H1472">
        <f>1-(1-Skills!J25/100)^Skills!K25</f>
        <v/>
      </c>
      <c r="I1472" t="inlineStr">
        <is>
          <t>1</t>
        </is>
      </c>
      <c r="J1472" t="inlineStr"/>
      <c r="K1472" t="inlineStr"/>
      <c r="L1472" t="inlineStr"/>
      <c r="M1472" t="inlineStr"/>
      <c r="N1472" t="inlineStr"/>
      <c r="O1472">
        <f>(1-Summary!$B$11)*T1472+Summary!$B$11*V1472</f>
        <v/>
      </c>
      <c r="P1472">
        <f>IF(B1487=0,0,O1472/B1487)</f>
        <v/>
      </c>
      <c r="Q1472" t="n">
        <v>0</v>
      </c>
      <c r="R1472" t="n">
        <v>0</v>
      </c>
      <c r="S1472">
        <f>IFERROR(O1472/N1472,0)</f>
        <v/>
      </c>
      <c r="T1472" t="n">
        <v>0</v>
      </c>
      <c r="V1472" t="n">
        <v>0</v>
      </c>
    </row>
    <row r="1473">
      <c r="A1473">
        <f>Skills!A26</f>
        <v/>
      </c>
      <c r="B1473">
        <f>Skills!B26</f>
        <v/>
      </c>
      <c r="C1473">
        <f>Inputs!$B$3&gt;=75</f>
        <v/>
      </c>
      <c r="D1473">
        <f>IF(Skills!C26=1,60+Inputs!$B$25+Inputs!$B$29,IF(Skills!C26=2,90+Inputs!$B$26+Inputs!$B$29,IF(Skills!C26=3,120+Inputs!$B$27+Inputs!$B$29,MAX(0,(Inputs!$B$3-100)*3)+Inputs!$B$28+Inputs!$B$29)))</f>
        <v/>
      </c>
      <c r="E1473">
        <f>INDEX(FactorTable!$B$2:$Y$301, MATCH(ROUND(MIN(300,MAX(1,D1473)),0), FactorTable!$A$2:$A$301,0), Skills!M26+1)</f>
        <v/>
      </c>
      <c r="F1473">
        <f>IF(Skills!N26=TRUE,(Skills!L26/10)*(E1473/1000),Skills!L26/10)+Skills!O26</f>
        <v/>
      </c>
      <c r="G1473">
        <f>Skills!G26*IF(Skills!H26&gt;0,Skills!I26/Skills!H26,1)</f>
        <v/>
      </c>
      <c r="H1473">
        <f>1-(1-Skills!J26/100)^Skills!K26</f>
        <v/>
      </c>
      <c r="I1473" t="inlineStr">
        <is>
          <t>1</t>
        </is>
      </c>
      <c r="J1473" t="inlineStr"/>
      <c r="K1473" t="inlineStr"/>
      <c r="L1473" t="inlineStr"/>
      <c r="M1473" t="inlineStr"/>
      <c r="N1473" t="inlineStr"/>
      <c r="O1473">
        <f>(1-Summary!$B$11)*T1473+Summary!$B$11*V1473</f>
        <v/>
      </c>
      <c r="P1473">
        <f>IF(B1487=0,0,O1473/B1487)</f>
        <v/>
      </c>
      <c r="Q1473" t="n">
        <v>0</v>
      </c>
      <c r="R1473" t="n">
        <v>0</v>
      </c>
      <c r="S1473">
        <f>IFERROR(O1473/N1473,0)</f>
        <v/>
      </c>
      <c r="T1473" t="n">
        <v>0</v>
      </c>
      <c r="V1473" t="n">
        <v>0</v>
      </c>
    </row>
    <row r="1474">
      <c r="A1474">
        <f>Skills!A27</f>
        <v/>
      </c>
      <c r="B1474">
        <f>Skills!B27</f>
        <v/>
      </c>
      <c r="C1474">
        <f>Inputs!$B$3&gt;=117</f>
        <v/>
      </c>
      <c r="D1474">
        <f>IF(Skills!C27=1,60+Inputs!$B$25+Inputs!$B$29,IF(Skills!C27=2,90+Inputs!$B$26+Inputs!$B$29,IF(Skills!C27=3,120+Inputs!$B$27+Inputs!$B$29,MAX(0,(Inputs!$B$3-100)*3)+Inputs!$B$28+Inputs!$B$29)))</f>
        <v/>
      </c>
      <c r="E1474">
        <f>INDEX(FactorTable!$B$2:$Y$301, MATCH(ROUND(MIN(300,MAX(1,D1474)),0), FactorTable!$A$2:$A$301,0), Skills!M27+1)</f>
        <v/>
      </c>
      <c r="F1474">
        <f>IF(Skills!N27=TRUE,(Skills!L27/10)*(E1474/1000),Skills!L27/10)+Skills!O27</f>
        <v/>
      </c>
      <c r="G1474">
        <f>Skills!G27*IF(Skills!H27&gt;0,Skills!I27/Skills!H27,1)</f>
        <v/>
      </c>
      <c r="H1474">
        <f>1-(1-Skills!J27/100)^Skills!K27</f>
        <v/>
      </c>
      <c r="I1474" t="inlineStr">
        <is>
          <t>1</t>
        </is>
      </c>
      <c r="J1474" t="inlineStr"/>
      <c r="K1474" t="inlineStr"/>
      <c r="L1474" t="inlineStr"/>
      <c r="M1474" t="inlineStr"/>
      <c r="N1474" t="inlineStr"/>
      <c r="O1474">
        <f>(1-Summary!$B$11)*T1474+Summary!$B$11*V1474</f>
        <v/>
      </c>
      <c r="P1474">
        <f>IF(B1487=0,0,O1474/B1487)</f>
        <v/>
      </c>
      <c r="Q1474" t="n">
        <v>0</v>
      </c>
      <c r="R1474" t="n">
        <v>0</v>
      </c>
      <c r="S1474">
        <f>IFERROR(O1474/N1474,0)</f>
        <v/>
      </c>
      <c r="T1474" t="n">
        <v>0</v>
      </c>
      <c r="V1474" t="n">
        <v>0</v>
      </c>
    </row>
    <row r="1476">
      <c r="A1476" t="inlineStr">
        <is>
          <t>Attack% Bucket Multiplier</t>
        </is>
      </c>
      <c r="B1476">
        <f>(1+(((C1464=TRUE)*F1464)+((C1471=TRUE)*(F1471-Calc!F24))+(IF(ArtifactsInput!$M$21,CHOOSE(ArtifactsInput!$N$21+1,25,30,35,40,45,50)*(IF(OR(Inputs!$B$4="Chapter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77">
      <c r="A1477" t="inlineStr">
        <is>
          <t>Global Crit Rate Bonus %</t>
        </is>
      </c>
      <c r="B1477" t="n">
        <v>0</v>
      </c>
    </row>
    <row r="1478">
      <c r="A1478" t="inlineStr">
        <is>
          <t>Attack Speed Buff Bonus % (unused)</t>
        </is>
      </c>
      <c r="B1478" t="n">
        <v>0</v>
      </c>
    </row>
    <row r="1479">
      <c r="A1479" t="inlineStr">
        <is>
          <t>Actions Per Second</t>
        </is>
      </c>
      <c r="B1479">
        <f>1+MIN(150,150*(1-(1-(Inputs!$B$11+((C1467=TRUE)*(F1467-Calc!F20))+((C1468=TRUE)*(F1468-Calc!F21)))/150)*(1-B1478/150)))/100</f>
        <v/>
      </c>
    </row>
    <row r="1480">
      <c r="A1480" t="inlineStr">
        <is>
          <t>Skill + Buff Cast Rate</t>
        </is>
      </c>
      <c r="B1480">
        <f>IF(AND(Inputs!$B$38&lt;&gt;"pvp",Inputs!$B$43&gt;0),SUMPRODUCT((Skills!E2:E27=TRUE)*(C1449:C1474=TRUE)*R1449:R1474*Skills!F2:F27)/Inputs!$B$43,SUMPRODUCT((Skills!E2:E27=TRUE)*(C1449:C1474=TRUE)*Q1449:Q1474*Skills!F2:F27))</f>
        <v/>
      </c>
    </row>
    <row r="1481">
      <c r="A1481" t="inlineStr">
        <is>
          <t>Eight-Legs Easton Casts Per Second</t>
        </is>
      </c>
      <c r="B1481">
        <f>MAX(0,B1479-B1480)</f>
        <v/>
      </c>
    </row>
    <row r="1482">
      <c r="A1482" t="inlineStr">
        <is>
          <t>Global Critical Damage Bonus % (unused)</t>
        </is>
      </c>
      <c r="B1482" t="n">
        <v>0</v>
      </c>
    </row>
    <row r="1483">
      <c r="A1483" t="inlineStr">
        <is>
          <t>Global Final Damage Bonus % (Jolly Roger only)</t>
        </is>
      </c>
      <c r="B1483">
        <f>((C1465=TRUE)*F1465)</f>
        <v/>
      </c>
    </row>
    <row r="1484">
      <c r="A1484" t="inlineStr">
        <is>
          <t>Buff-Casting Startup Delay (s, fixed-duration only)</t>
        </is>
      </c>
      <c r="B1484">
        <f>IF(AND(Inputs!$B$38&lt;&gt;"pvp",Inputs!$B$43&gt;0),SUMPRODUCT((Skills!T2:T27&gt;0)*(Skills!E2:E27=TRUE)*(C1449:C1474=TRUE))/B1479,0)</f>
        <v/>
      </c>
    </row>
    <row r="1485">
      <c r="A1485" t="inlineStr">
        <is>
          <t>Boss-Only Total DPS (this block's swept value)</t>
        </is>
      </c>
      <c r="B1485">
        <f>SUM(T1449:T1474)</f>
        <v/>
      </c>
    </row>
    <row r="1486">
      <c r="A1486" t="inlineStr">
        <is>
          <t>Normal-Only Total DPS (this block's swept value)</t>
        </is>
      </c>
      <c r="B1486">
        <f>SUM(V1449:V1474)</f>
        <v/>
      </c>
    </row>
    <row r="1487">
      <c r="A1487" s="6" t="inlineStr">
        <is>
          <t>TOTAL DPS</t>
        </is>
      </c>
      <c r="B1487" s="6">
        <f>SUM(O1449:O1474)</f>
        <v/>
      </c>
    </row>
    <row r="1490">
      <c r="A1490" s="6" t="inlineStr">
        <is>
          <t>Stat: Mushmom's Cap (Equip)</t>
        </is>
      </c>
    </row>
    <row r="1491">
      <c r="A1491" s="5" t="inlineStr">
        <is>
          <t>Key</t>
        </is>
      </c>
      <c r="B1491" s="5" t="inlineStr">
        <is>
          <t>Name</t>
        </is>
      </c>
      <c r="C1491" s="5" t="inlineStr">
        <is>
          <t>Unlocked</t>
        </is>
      </c>
      <c r="D1491" s="5" t="inlineStr">
        <is>
          <t>InputLevel</t>
        </is>
      </c>
      <c r="E1491" s="5" t="inlineStr">
        <is>
          <t>Factor</t>
        </is>
      </c>
      <c r="F1491" s="5" t="inlineStr">
        <is>
          <t>CoefficientPercent</t>
        </is>
      </c>
      <c r="G1491" s="5" t="inlineStr">
        <is>
          <t>EffectiveHits</t>
        </is>
      </c>
      <c r="H1491" s="5" t="inlineStr">
        <is>
          <t>ProcProbability</t>
        </is>
      </c>
      <c r="I1491" s="5" t="inlineStr">
        <is>
          <t>MapleHeroMultiplier</t>
        </is>
      </c>
      <c r="J1491" s="5" t="inlineStr">
        <is>
          <t>BaseDamage</t>
        </is>
      </c>
      <c r="K1491" s="5" t="inlineStr">
        <is>
          <t>BaseHitDamage</t>
        </is>
      </c>
      <c r="L1491" s="5" t="inlineStr">
        <is>
          <t>NonCritAvg</t>
        </is>
      </c>
      <c r="M1491" s="5" t="inlineStr">
        <is>
          <t>CritAvg</t>
        </is>
      </c>
      <c r="N1491" s="5" t="inlineStr">
        <is>
          <t>ExpectedDamage(perHit)</t>
        </is>
      </c>
      <c r="O1491" s="5" t="inlineStr">
        <is>
          <t>DPS</t>
        </is>
      </c>
      <c r="P1491" s="5" t="inlineStr">
        <is>
          <t>% of Total</t>
        </is>
      </c>
      <c r="Q1491" s="5" t="inlineStr">
        <is>
          <t>InvCooldown</t>
        </is>
      </c>
      <c r="R1491" s="5" t="inlineStr">
        <is>
          <t>CastsInFight</t>
        </is>
      </c>
      <c r="S1491" s="5" t="inlineStr">
        <is>
          <t>HitRate(perSec)</t>
        </is>
      </c>
      <c r="U1491" t="inlineStr">
        <is>
          <t>helpers</t>
        </is>
      </c>
    </row>
    <row r="1492">
      <c r="A1492">
        <f>Skills!A2</f>
        <v/>
      </c>
      <c r="B1492">
        <f>Skills!B2</f>
        <v/>
      </c>
      <c r="C1492">
        <f>Inputs!$B$3&gt;=100</f>
        <v/>
      </c>
      <c r="D1492" t="inlineStr"/>
      <c r="E1492" t="inlineStr"/>
      <c r="F1492">
        <f>U1494+Skills!O2</f>
        <v/>
      </c>
      <c r="G1492">
        <f>Skills!G2*IF(Skills!H2&gt;0,Skills!I2/Skills!H2,1)</f>
        <v/>
      </c>
      <c r="H1492">
        <f>1-(1-Skills!J2/100)^Skills!K2</f>
        <v/>
      </c>
      <c r="I1492" t="inlineStr">
        <is>
          <t>1</t>
        </is>
      </c>
      <c r="J1492">
        <f>((Inputs!$B$6*(1+Inputs!$B$7/100))+(((Inputs!$B$12*(1+Inputs!$B$13/100))-(Inputs!$B$12*(1+Inputs!$B$13/100)))+0.25*(Inputs!$B$14-Inputs!$B$14))*(1+Inputs!$B$7/100))*(F1492/100)</f>
        <v/>
      </c>
      <c r="K1492">
        <f>J1492*(1+((Inputs!$B$12*(1+Inputs!$B$13/100))*0.01+Inputs!$B$14*0.0025)/100)*(1+Inputs!$B$15/100)*(1+Inputs!$B$16/100)*(5000/(6000+Inputs!$B$42*(1-(100*(1-(1-(Inputs!$B$19+0)/100)*(1-CHOOSE(ArtifactsInput!$N$40+1,5,6,7,8,9,10)/100)^(ArtifactsInput!$M$40-ArtifactsInput!$M$40)))/100)))*(1+(Inputs!$B$24+((C1516=TRUE)*(F1516-Calc!F26))+B1526)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1513=TRUE)*(F1513-Calc!F23))+((C1517=TRUE)*(F1517-Calc!F27))+(((IF(AND(ArtifactsInput!$M$42,((Inputs!$B$9+((C1509=TRUE)*(F1509-Calc!F19))+B1520+(ArtifactsInput!$M$24-ArtifactsInput!$M$24)*CHOOSE(ArtifactsInput!$N$24+1,10,12,14,16,18,20)+IF(ArtifactsInput!$M$10,CHOOSE(ArtifactsInput!$N$10+1,15,18,21,24,27,30)*(IF(Inputs!$B$38="pvp",MIN(15,15)/15,IF(AND(Inputs!$B$38&lt;&gt;"pvp",Inputs!$B$43&gt;0),MIN(15,Inputs!$B$43)/(Inputs!$B$43),0))),0)))&gt;=100),MIN(100,((Inputs!$B$9+((C1509=TRUE)*(F1509-Calc!F19))+B1520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1509=TRUE)*(F1509-Calc!F19))+B1520+(ArtifactsInput!$M$24-ArtifactsInput!$M$24)*CHOOSE(ArtifactsInput!$N$24+1,10,12,14,16,18,20)+IF(ArtifactsInput!$M$10,CHOOSE(ArtifactsInput!$N$10+1,15,18,21,24,27,30)*(IF(Inputs!$B$38="pvp",MIN(15,15)/15,IF(AND(Inputs!$B$38&lt;&gt;"pvp",Inputs!$B$43&gt;0),MIN(15,Inputs!$B$43)/(Inputs!$B$43),0))),0)))&gt;=100),CHOOSE(ArtifactsInput!$N$42+1,40,48,56,64,72,80),0))))/100)*((1+(((C1507=TRUE)*F1507)+((C1514=TRUE)*(F1514-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1492)</f>
        <v/>
      </c>
      <c r="L1492">
        <f>K1492*(MIN(Inputs!$B$22+((C1512=TRUE)*(F1512-Calc!F22)),(Inputs!$B$23+0+(IF(ArtifactsInput!$M$15,CHOOSE(ArtifactsInput!$N$15+1,25,30,35,40,45,50)/100*(Inputs!$B$11-Inputs!$B$11),0))))/100+(Inputs!$B$23+0+(IF(ArtifactsInput!$M$15,CHOOSE(ArtifactsInput!$N$15+1,25,30,35,40,45,50)/100*(Inputs!$B$11-Inputs!$B$11),0)))/100)/2</f>
        <v/>
      </c>
      <c r="M1492">
        <f>L1492*(1+(Inputs!$B$10+((C1515=TRUE)*(F1515-Calc!F25))+B1525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2">
        <f>L1492*(1-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1492*(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2">
        <f>(1-Summary!$B$11)*T1492+Summary!$B$11*V1492</f>
        <v/>
      </c>
      <c r="P1492">
        <f>IF(B1530=0,0,O1492/B1530)</f>
        <v/>
      </c>
      <c r="Q1492" t="n">
        <v>0</v>
      </c>
      <c r="R1492" t="n">
        <v>0</v>
      </c>
      <c r="S1492">
        <f>IFERROR(O1492/N1492,0)</f>
        <v/>
      </c>
      <c r="T1492">
        <f>IF(C1492,(Skills!G2*N1492*B1524)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1492*(1-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1492*(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1492*(1-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1492*(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92">
        <f>MAX(0,(Inputs!$B$3-100)*3)+Inputs!$B$28+Inputs!$B$29</f>
        <v/>
      </c>
      <c r="V1492">
        <f>IF(C1492,(Skills!G2*N1492*B1524)*IF(Inputs!$B$38="pvp",1,(1+(Inputs!$B$21+Skills!Q2+(IF(ArtifactsInput!$M$33,CHOOSE(ArtifactsInput!$N$33+1,30,36,42,48,54,60),0))+(IF(AND(ArtifactsInput!$M$35,Inputs!$B$4&lt;&gt;"Chapter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3">
      <c r="A1493">
        <f>Skills!A3</f>
        <v/>
      </c>
      <c r="B1493">
        <f>Skills!B3</f>
        <v/>
      </c>
      <c r="C1493">
        <f>Inputs!$B$3&gt;=35</f>
        <v/>
      </c>
      <c r="D1493">
        <f>IF(Skills!C3=1,60+Inputs!$B$25+Inputs!$B$29,IF(Skills!C3=2,90+Inputs!$B$26+Inputs!$B$29,IF(Skills!C3=3,120+Inputs!$B$27+Inputs!$B$29,MAX(0,(Inputs!$B$3-100)*3)+Inputs!$B$28+Inputs!$B$29)))</f>
        <v/>
      </c>
      <c r="E1493">
        <f>INDEX(FactorTable!$B$2:$Y$301, MATCH(ROUND(MIN(300,MAX(1,D1493)),0), FactorTable!$A$2:$A$301,0), Skills!M3+1)</f>
        <v/>
      </c>
      <c r="F1493">
        <f>IF(Skills!N3=TRUE,(Skills!L3/10)*(E1493/1000),Skills!L3/10)+Skills!O3</f>
        <v/>
      </c>
      <c r="G1493">
        <f>Skills!G3*IF(Skills!H3&gt;0,Skills!I3/Skills!H3,1)</f>
        <v/>
      </c>
      <c r="H1493">
        <f>1-(1-Skills!J3/100)^Skills!K3</f>
        <v/>
      </c>
      <c r="I1493" t="inlineStr">
        <is>
          <t>1</t>
        </is>
      </c>
      <c r="J1493">
        <f>((Inputs!$B$6*(1+Inputs!$B$7/100))+(((Inputs!$B$12*(1+Inputs!$B$13/100))-(Inputs!$B$12*(1+Inputs!$B$13/100)))+0.25*(Inputs!$B$14-Inputs!$B$14))*(1+Inputs!$B$7/100))*(F1493/100)</f>
        <v/>
      </c>
      <c r="K1493">
        <f>J1493*(1+((Inputs!$B$12*(1+Inputs!$B$13/100))*0.01+Inputs!$B$14*0.0025)/100)*(1+Inputs!$B$15/100)*(1+Inputs!$B$16/100)*(5000/(6000+Inputs!$B$42*(1-(100*(1-(1-(Inputs!$B$19+0)/100)*(1-CHOOSE(ArtifactsInput!$N$40+1,5,6,7,8,9,10)/100)^(ArtifactsInput!$M$40-ArtifactsInput!$M$40)))/100)))*(1+(Inputs!$B$24+((C1516=TRUE)*(F1516-Calc!F26))+B1526)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1505=TRUE,F1505,0)/100)*(1+(IF(Skills!A3="EIGHT_LEGS_EASTON",Inputs!$B$17+((C1513=TRUE)*(F1513-Calc!F23))+((C1517=TRUE)*(F1517-Calc!F27))+(((IF(AND(ArtifactsInput!$M$42,((Inputs!$B$9+((C1509=TRUE)*(F1509-Calc!F19))+B1520+(ArtifactsInput!$M$24-ArtifactsInput!$M$24)*CHOOSE(ArtifactsInput!$N$24+1,10,12,14,16,18,20)+IF(ArtifactsInput!$M$10,CHOOSE(ArtifactsInput!$N$10+1,15,18,21,24,27,30)*(IF(Inputs!$B$38="pvp",MIN(15,15)/15,IF(AND(Inputs!$B$38&lt;&gt;"pvp",Inputs!$B$43&gt;0),MIN(15,Inputs!$B$43)/(Inputs!$B$43),0))),0)))&gt;=100),MIN(100,((Inputs!$B$9+((C1509=TRUE)*(F1509-Calc!F19))+B1520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1509=TRUE)*(F1509-Calc!F19))+B1520+(ArtifactsInput!$M$24-ArtifactsInput!$M$24)*CHOOSE(ArtifactsInput!$N$24+1,10,12,14,16,18,20)+IF(ArtifactsInput!$M$10,CHOOSE(ArtifactsInput!$N$10+1,15,18,21,24,27,30)*(IF(Inputs!$B$38="pvp",MIN(15,15)/15,IF(AND(Inputs!$B$38&lt;&gt;"pvp",Inputs!$B$43&gt;0),MIN(15,Inputs!$B$43)/(Inputs!$B$43),0))),0)))&gt;=100),CHOOSE(ArtifactsInput!$N$42+1,40,48,56,64,72,80),0))))/100)*((1+(((C1507=TRUE)*F1507)+((C1514=TRUE)*(F1514-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1493)</f>
        <v/>
      </c>
      <c r="L1493">
        <f>K1493*(MIN(Inputs!$B$22+((C1512=TRUE)*(F1512-Calc!F22)),(Inputs!$B$23+0+(IF(ArtifactsInput!$M$15,CHOOSE(ArtifactsInput!$N$15+1,25,30,35,40,45,50)/100*(Inputs!$B$11-Inputs!$B$11),0))))/100+(Inputs!$B$23+0+(IF(ArtifactsInput!$M$15,CHOOSE(ArtifactsInput!$N$15+1,25,30,35,40,45,50)/100*(Inputs!$B$11-Inputs!$B$11),0)))/100)/2</f>
        <v/>
      </c>
      <c r="M1493">
        <f>L1493*(1+(Inputs!$B$10+((C1515=TRUE)*(F1515-Calc!F25))+B1525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3">
        <f>L1493*(1-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1493*(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3">
        <f>(1-Summary!$B$11)*T1493+Summary!$B$11*V1493</f>
        <v/>
      </c>
      <c r="P1493">
        <f>IF(B1530=0,0,O1493/B1530)</f>
        <v/>
      </c>
      <c r="Q1493">
        <f>IFERROR(1/(IF(Inputs!$B$38="pvp",15,MAX(0.1,Skills!D3-IF(Skills!E3=TRUE,Inputs!$B$32,0)))*(1-IF(AND(ArtifactsInput!$M$27,Inputs!$B$4="Chapter Hunt"),CHOOSE(ArtifactsInput!$N$27+1,20,24,28,32,36,40),0)/100)),0)</f>
        <v/>
      </c>
      <c r="R1493">
        <f>IF(AND(Inputs!$B$38&lt;&gt;"pvp",Inputs!$B$43&gt;0),IF(MAX(0,Inputs!$B$43-B1527)&lt;=0,0,(INT(MAX(0,Inputs!$B$43-B1527)/(IF(Inputs!$B$38="pvp",15,MAX(0.1,Skills!D3-IF(Skills!E3=TRUE,Inputs!$B$32,0)))*(1-IF(AND(ArtifactsInput!$M$27,Inputs!$B$4="Chapter Hunt"),CHOOSE(ArtifactsInput!$N$27+1,20,24,28,32,36,40),0)/100)))+1)),0)</f>
        <v/>
      </c>
      <c r="S1493">
        <f>IFERROR(O1493/N1493,0)</f>
        <v/>
      </c>
      <c r="T1493">
        <f>IF(C1493,(H1493*N1493*IF(AND(Inputs!$B$38&lt;&gt;"pvp",Inputs!$B$43&gt;0),((Skills!G3*((R1493-1)*IF(Skills!H3&gt;0,Skills!I3/Skills!H3,1)+IF(Skills!H3&gt;0,MIN(Skills!I3,MAX(0,MAX(0,Inputs!$B$43-B1527)-((R1493-1)*(IF(Inputs!$B$38="pvp",15,MAX(0.1,Skills!D3-IF(Skills!E3=TRUE,Inputs!$B$32,0)))*(1-IF(AND(ArtifactsInput!$M$27,Inputs!$B$4="Chapter Hunt"),CHOOSE(ArtifactsInput!$N$27+1,20,24,28,32,36,40),0)/100)))))/Skills!H3,1)))/Inputs!$B$43),G1493*Q1493)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1493*(1-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1493*(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1493*(1-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1493*(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93">
        <f>INDEX(FactorTable!$B$2:$Y$301, MATCH(ROUND(MIN(300,MAX(1,U1492)),0), FactorTable!$A$2:$A$301,0), 22)</f>
        <v/>
      </c>
      <c r="V1493">
        <f>IF(C1493,(H1493*N1493*IF(AND(Inputs!$B$38&lt;&gt;"pvp",Inputs!$B$43&gt;0),((Skills!G3*((R1493-1)*IF(Skills!H3&gt;0,Skills!I3/Skills!H3,1)+IF(Skills!H3&gt;0,MIN(Skills!I3,MAX(0,MAX(0,Inputs!$B$43-B1527)-((R1493-1)*(IF(Inputs!$B$38="pvp",15,MAX(0.1,Skills!D3-IF(Skills!E3=TRUE,Inputs!$B$32,0)))*(1-IF(AND(ArtifactsInput!$M$27,Inputs!$B$4="Chapter Hunt"),CHOOSE(ArtifactsInput!$N$27+1,20,24,28,32,36,40),0)/100)))))/Skills!H3,1)))/Inputs!$B$43),G1493*Q1493))*IF(Inputs!$B$38="pvp",1,(1+(Inputs!$B$21+Skills!Q3+(IF(ArtifactsInput!$M$33,CHOOSE(ArtifactsInput!$N$33+1,30,36,42,48,54,60)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4">
      <c r="A1494">
        <f>Skills!A4</f>
        <v/>
      </c>
      <c r="B1494">
        <f>Skills!B4</f>
        <v/>
      </c>
      <c r="C1494">
        <f>Inputs!$B$3&gt;=40</f>
        <v/>
      </c>
      <c r="D1494">
        <f>IF(Skills!C4=1,60+Inputs!$B$25+Inputs!$B$29,IF(Skills!C4=2,90+Inputs!$B$26+Inputs!$B$29,IF(Skills!C4=3,120+Inputs!$B$27+Inputs!$B$29,MAX(0,(Inputs!$B$3-100)*3)+Inputs!$B$28+Inputs!$B$29)))</f>
        <v/>
      </c>
      <c r="E1494">
        <f>INDEX(FactorTable!$B$2:$Y$301, MATCH(ROUND(MIN(300,MAX(1,D1494)),0), FactorTable!$A$2:$A$301,0), Skills!M4+1)</f>
        <v/>
      </c>
      <c r="F1494">
        <f>IF(Skills!N4=TRUE,(Skills!L4/10)*(E1494/1000),Skills!L4/10)+Skills!O4</f>
        <v/>
      </c>
      <c r="G1494">
        <f>Skills!G4*IF(Skills!H4&gt;0,Skills!I4/Skills!H4,1)</f>
        <v/>
      </c>
      <c r="H1494">
        <f>1-(1-Skills!J4/100)^Skills!K4</f>
        <v/>
      </c>
      <c r="I1494" t="inlineStr">
        <is>
          <t>1</t>
        </is>
      </c>
      <c r="J1494">
        <f>((Inputs!$B$6*(1+Inputs!$B$7/100))+(((Inputs!$B$12*(1+Inputs!$B$13/100))-(Inputs!$B$12*(1+Inputs!$B$13/100)))+0.25*(Inputs!$B$14-Inputs!$B$14))*(1+Inputs!$B$7/100))*(F1494/100)</f>
        <v/>
      </c>
      <c r="K1494">
        <f>J1494*(1+((Inputs!$B$12*(1+Inputs!$B$13/100))*0.01+Inputs!$B$14*0.0025)/100)*(1+Inputs!$B$15/100)*(1+Inputs!$B$16/100)*(5000/(6000+Inputs!$B$42*(1-(100*(1-(1-(Inputs!$B$19+0)/100)*(1-CHOOSE(ArtifactsInput!$N$40+1,5,6,7,8,9,10)/100)^(ArtifactsInput!$M$40-ArtifactsInput!$M$40)))/100)))*(1+(Inputs!$B$24+((C1516=TRUE)*(F1516-Calc!F26))+B1526)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1506=TRUE,F1506,0)/100)*(1+(IF(Skills!A4="EIGHT_LEGS_EASTON",Inputs!$B$17+((C1513=TRUE)*(F1513-Calc!F23))+((C1517=TRUE)*(F1517-Calc!F27))+(((IF(AND(ArtifactsInput!$M$42,((Inputs!$B$9+((C1509=TRUE)*(F1509-Calc!F19))+B1520+(ArtifactsInput!$M$24-ArtifactsInput!$M$24)*CHOOSE(ArtifactsInput!$N$24+1,10,12,14,16,18,20)+IF(ArtifactsInput!$M$10,CHOOSE(ArtifactsInput!$N$10+1,15,18,21,24,27,30)*(IF(Inputs!$B$38="pvp",MIN(15,15)/15,IF(AND(Inputs!$B$38&lt;&gt;"pvp",Inputs!$B$43&gt;0),MIN(15,Inputs!$B$43)/(Inputs!$B$43),0))),0)))&gt;=100),MIN(100,((Inputs!$B$9+((C1509=TRUE)*(F1509-Calc!F19))+B1520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1509=TRUE)*(F1509-Calc!F19))+B1520+(ArtifactsInput!$M$24-ArtifactsInput!$M$24)*CHOOSE(ArtifactsInput!$N$24+1,10,12,14,16,18,20)+IF(ArtifactsInput!$M$10,CHOOSE(ArtifactsInput!$N$10+1,15,18,21,24,27,30)*(IF(Inputs!$B$38="pvp",MIN(15,15)/15,IF(AND(Inputs!$B$38&lt;&gt;"pvp",Inputs!$B$43&gt;0),MIN(15,Inputs!$B$43)/(Inputs!$B$43),0))),0)))&gt;=100),CHOOSE(ArtifactsInput!$N$42+1,40,48,56,64,72,80),0))))/100)*((1+(((C1507=TRUE)*F1507)+((C1514=TRUE)*(F1514-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1494)</f>
        <v/>
      </c>
      <c r="L1494">
        <f>K1494*(MIN(Inputs!$B$22+((C1512=TRUE)*(F1512-Calc!F22)),(Inputs!$B$23+0+(IF(ArtifactsInput!$M$15,CHOOSE(ArtifactsInput!$N$15+1,25,30,35,40,45,50)/100*(Inputs!$B$11-Inputs!$B$11),0))))/100+(Inputs!$B$23+0+(IF(ArtifactsInput!$M$15,CHOOSE(ArtifactsInput!$N$15+1,25,30,35,40,45,50)/100*(Inputs!$B$11-Inputs!$B$11),0)))/100)/2</f>
        <v/>
      </c>
      <c r="M1494">
        <f>L1494*(1+(Inputs!$B$10+((C1515=TRUE)*(F1515-Calc!F25))+B1525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4">
        <f>L1494*(1-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1494*(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4">
        <f>(1-Summary!$B$11)*T1494+Summary!$B$11*V1494</f>
        <v/>
      </c>
      <c r="P1494">
        <f>IF(B1530=0,0,O1494/B1530)</f>
        <v/>
      </c>
      <c r="Q1494">
        <f>IFERROR(1/(IF(Inputs!$B$38="pvp",15,MAX(0.1,Skills!D4-IF(Skills!E4=TRUE,Inputs!$B$32,0)))*(1-IF(AND(ArtifactsInput!$M$27,Inputs!$B$4="Chapter Hunt"),CHOOSE(ArtifactsInput!$N$27+1,20,24,28,32,36,40),0)/100)),0)</f>
        <v/>
      </c>
      <c r="R1494">
        <f>IF(AND(Inputs!$B$38&lt;&gt;"pvp",Inputs!$B$43&gt;0),IF(MAX(0,Inputs!$B$43-B1527)&lt;=0,0,(INT(MAX(0,Inputs!$B$43-B1527)/(IF(Inputs!$B$38="pvp",15,MAX(0.1,Skills!D4-IF(Skills!E4=TRUE,Inputs!$B$32,0)))*(1-IF(AND(ArtifactsInput!$M$27,Inputs!$B$4="Chapter Hunt"),CHOOSE(ArtifactsInput!$N$27+1,20,24,28,32,36,40),0)/100)))+1)),0)</f>
        <v/>
      </c>
      <c r="S1494">
        <f>IFERROR(O1494/N1494,0)</f>
        <v/>
      </c>
      <c r="T1494">
        <f>IF(C1494,(H1494*N1494*IF(AND(Inputs!$B$38&lt;&gt;"pvp",Inputs!$B$43&gt;0),((Skills!G4*((R1494-1)*IF(Skills!H4&gt;0,Skills!I4/Skills!H4,1)+IF(Skills!H4&gt;0,MIN(Skills!I4,MAX(0,MAX(0,Inputs!$B$43-B1527)-((R1494-1)*(IF(Inputs!$B$38="pvp",15,MAX(0.1,Skills!D4-IF(Skills!E4=TRUE,Inputs!$B$32,0)))*(1-IF(AND(ArtifactsInput!$M$27,Inputs!$B$4="Chapter Hunt"),CHOOSE(ArtifactsInput!$N$27+1,20,24,28,32,36,40),0)/100)))))/Skills!H4,1)))/Inputs!$B$43),G1494*Q1494)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1494*(1-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1494*(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1494*(1-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1494*(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94">
        <f>290*U1493/1000</f>
        <v/>
      </c>
      <c r="V1494">
        <f>IF(C1494,(H1494*N1494*IF(AND(Inputs!$B$38&lt;&gt;"pvp",Inputs!$B$43&gt;0),((Skills!G4*((R1494-1)*IF(Skills!H4&gt;0,Skills!I4/Skills!H4,1)+IF(Skills!H4&gt;0,MIN(Skills!I4,MAX(0,MAX(0,Inputs!$B$43-B1527)-((R1494-1)*(IF(Inputs!$B$38="pvp",15,MAX(0.1,Skills!D4-IF(Skills!E4=TRUE,Inputs!$B$32,0)))*(1-IF(AND(ArtifactsInput!$M$27,Inputs!$B$4="Chapter Hunt"),CHOOSE(ArtifactsInput!$N$27+1,20,24,28,32,36,40),0)/100)))))/Skills!H4,1)))/Inputs!$B$43),G1494*Q1494))*IF(Inputs!$B$38="pvp",1,(1+(Inputs!$B$21+Skills!Q4+(IF(ArtifactsInput!$M$33,CHOOSE(ArtifactsInput!$N$33+1,30,36,42,48,54,60)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5">
      <c r="A1495">
        <f>Skills!A5</f>
        <v/>
      </c>
      <c r="B1495">
        <f>Skills!B5</f>
        <v/>
      </c>
      <c r="C1495">
        <f>Inputs!$B$3&gt;=45</f>
        <v/>
      </c>
      <c r="D1495">
        <f>IF(Skills!C5=1,60+Inputs!$B$25+Inputs!$B$29,IF(Skills!C5=2,90+Inputs!$B$26+Inputs!$B$29,IF(Skills!C5=3,120+Inputs!$B$27+Inputs!$B$29,MAX(0,(Inputs!$B$3-100)*3)+Inputs!$B$28+Inputs!$B$29)))</f>
        <v/>
      </c>
      <c r="E1495">
        <f>INDEX(FactorTable!$B$2:$Y$301, MATCH(ROUND(MIN(300,MAX(1,D1495)),0), FactorTable!$A$2:$A$301,0), Skills!M5+1)</f>
        <v/>
      </c>
      <c r="F1495">
        <f>IF(Skills!N5=TRUE,(Skills!L5/10)*(E1495/1000),Skills!L5/10)+Skills!O5</f>
        <v/>
      </c>
      <c r="G1495">
        <f>Skills!G5*IF(Skills!H5&gt;0,Skills!I5/Skills!H5,1)</f>
        <v/>
      </c>
      <c r="H1495">
        <f>1-(1-Skills!J5/100)^Skills!K5</f>
        <v/>
      </c>
      <c r="I1495" t="inlineStr">
        <is>
          <t>1</t>
        </is>
      </c>
      <c r="J1495">
        <f>((Inputs!$B$6*(1+Inputs!$B$7/100))+(((Inputs!$B$12*(1+Inputs!$B$13/100))-(Inputs!$B$12*(1+Inputs!$B$13/100)))+0.25*(Inputs!$B$14-Inputs!$B$14))*(1+Inputs!$B$7/100))*(F1495/100)</f>
        <v/>
      </c>
      <c r="K1495">
        <f>J1495*(1+((Inputs!$B$12*(1+Inputs!$B$13/100))*0.01+Inputs!$B$14*0.0025)/100)*(1+Inputs!$B$15/100)*(1+Inputs!$B$16/100)*(5000/(6000+Inputs!$B$42*(1-(100*(1-(1-(Inputs!$B$19+0)/100)*(1-CHOOSE(ArtifactsInput!$N$40+1,5,6,7,8,9,10)/100)^(ArtifactsInput!$M$40-ArtifactsInput!$M$40)))/100)))*(1+(Inputs!$B$24+((C1516=TRUE)*(F1516-Calc!F26))+B1526)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1506=TRUE,F1506,0)/100)*(1+(IF(Skills!A5="EIGHT_LEGS_EASTON",Inputs!$B$17+((C1513=TRUE)*(F1513-Calc!F23))+((C1517=TRUE)*(F1517-Calc!F27))+(((IF(AND(ArtifactsInput!$M$42,((Inputs!$B$9+((C1509=TRUE)*(F1509-Calc!F19))+B1520+(ArtifactsInput!$M$24-ArtifactsInput!$M$24)*CHOOSE(ArtifactsInput!$N$24+1,10,12,14,16,18,20)+IF(ArtifactsInput!$M$10,CHOOSE(ArtifactsInput!$N$10+1,15,18,21,24,27,30)*(IF(Inputs!$B$38="pvp",MIN(15,15)/15,IF(AND(Inputs!$B$38&lt;&gt;"pvp",Inputs!$B$43&gt;0),MIN(15,Inputs!$B$43)/(Inputs!$B$43),0))),0)))&gt;=100),MIN(100,((Inputs!$B$9+((C1509=TRUE)*(F1509-Calc!F19))+B1520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1509=TRUE)*(F1509-Calc!F19))+B1520+(ArtifactsInput!$M$24-ArtifactsInput!$M$24)*CHOOSE(ArtifactsInput!$N$24+1,10,12,14,16,18,20)+IF(ArtifactsInput!$M$10,CHOOSE(ArtifactsInput!$N$10+1,15,18,21,24,27,30)*(IF(Inputs!$B$38="pvp",MIN(15,15)/15,IF(AND(Inputs!$B$38&lt;&gt;"pvp",Inputs!$B$43&gt;0),MIN(15,Inputs!$B$43)/(Inputs!$B$43),0))),0)))&gt;=100),CHOOSE(ArtifactsInput!$N$42+1,40,48,56,64,72,80),0))))/100)*((1+(((C1507=TRUE)*F1507)+((C1514=TRUE)*(F1514-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1495)</f>
        <v/>
      </c>
      <c r="L1495">
        <f>K1495*(MIN(Inputs!$B$22+((C1512=TRUE)*(F1512-Calc!F22)),(Inputs!$B$23+0+(IF(ArtifactsInput!$M$15,CHOOSE(ArtifactsInput!$N$15+1,25,30,35,40,45,50)/100*(Inputs!$B$11-Inputs!$B$11),0))))/100+(Inputs!$B$23+0+(IF(ArtifactsInput!$M$15,CHOOSE(ArtifactsInput!$N$15+1,25,30,35,40,45,50)/100*(Inputs!$B$11-Inputs!$B$11),0)))/100)/2</f>
        <v/>
      </c>
      <c r="M1495">
        <f>L1495*(1+(Inputs!$B$10+((C1515=TRUE)*(F1515-Calc!F25))+B1525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5">
        <f>L1495*(1-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1495*(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5">
        <f>(1-Summary!$B$11)*T1495+Summary!$B$11*V1495</f>
        <v/>
      </c>
      <c r="P1495">
        <f>IF(B1530=0,0,O1495/B1530)</f>
        <v/>
      </c>
      <c r="Q1495">
        <f>IFERROR(1/(IF(Inputs!$B$38="pvp",15,MAX(0.1,Skills!D5-IF(Skills!E5=TRUE,Inputs!$B$32,0)))*(1-IF(AND(ArtifactsInput!$M$27,Inputs!$B$4="Chapter Hunt"),CHOOSE(ArtifactsInput!$N$27+1,20,24,28,32,36,40),0)/100)),0)</f>
        <v/>
      </c>
      <c r="R1495">
        <f>IF(AND(Inputs!$B$38&lt;&gt;"pvp",Inputs!$B$43&gt;0),IF(MAX(0,Inputs!$B$43-B1527)&lt;=0,0,(INT(MAX(0,Inputs!$B$43-B1527)/(IF(Inputs!$B$38="pvp",15,MAX(0.1,Skills!D5-IF(Skills!E5=TRUE,Inputs!$B$32,0)))*(1-IF(AND(ArtifactsInput!$M$27,Inputs!$B$4="Chapter Hunt"),CHOOSE(ArtifactsInput!$N$27+1,20,24,28,32,36,40),0)/100)))+1)),0)</f>
        <v/>
      </c>
      <c r="S1495">
        <f>IFERROR(O1495/N1495,0)</f>
        <v/>
      </c>
      <c r="T1495">
        <f>IF(C1495,(H1495*N1495*IF(AND(Inputs!$B$38&lt;&gt;"pvp",Inputs!$B$43&gt;0),((Skills!G5*((R1495-1)*IF(Skills!H5&gt;0,Skills!I5/Skills!H5,1)+IF(Skills!H5&gt;0,MIN(Skills!I5,MAX(0,MAX(0,Inputs!$B$43-B1527)-((R1495-1)*(IF(Inputs!$B$38="pvp",15,MAX(0.1,Skills!D5-IF(Skills!E5=TRUE,Inputs!$B$32,0)))*(1-IF(AND(ArtifactsInput!$M$27,Inputs!$B$4="Chapter Hunt"),CHOOSE(ArtifactsInput!$N$27+1,20,24,28,32,36,40),0)/100)))))/Skills!H5,1)))/Inputs!$B$43),G1495*Q1495)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1495*(1-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1495*(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1495*(1-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1495*(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5">
        <f>IF(C1495,(H1495*N1495*IF(AND(Inputs!$B$38&lt;&gt;"pvp",Inputs!$B$43&gt;0),((Skills!G5*((R1495-1)*IF(Skills!H5&gt;0,Skills!I5/Skills!H5,1)+IF(Skills!H5&gt;0,MIN(Skills!I5,MAX(0,MAX(0,Inputs!$B$43-B1527)-((R1495-1)*(IF(Inputs!$B$38="pvp",15,MAX(0.1,Skills!D5-IF(Skills!E5=TRUE,Inputs!$B$32,0)))*(1-IF(AND(ArtifactsInput!$M$27,Inputs!$B$4="Chapter Hunt"),CHOOSE(ArtifactsInput!$N$27+1,20,24,28,32,36,40),0)/100)))))/Skills!H5,1)))/Inputs!$B$43),G1495*Q1495))*IF(Inputs!$B$38="pvp",1,(1+(Inputs!$B$21+Skills!Q5+(IF(ArtifactsInput!$M$33,CHOOSE(ArtifactsInput!$N$33+1,30,36,42,48,54,60)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6">
      <c r="A1496">
        <f>Skills!A6</f>
        <v/>
      </c>
      <c r="B1496">
        <f>Skills!B6</f>
        <v/>
      </c>
      <c r="C1496">
        <f>Inputs!$B$3&gt;=63</f>
        <v/>
      </c>
      <c r="D1496">
        <f>IF(Skills!C6=1,60+Inputs!$B$25+Inputs!$B$29,IF(Skills!C6=2,90+Inputs!$B$26+Inputs!$B$29,IF(Skills!C6=3,120+Inputs!$B$27+Inputs!$B$29,MAX(0,(Inputs!$B$3-100)*3)+Inputs!$B$28+Inputs!$B$29)))</f>
        <v/>
      </c>
      <c r="E1496">
        <f>INDEX(FactorTable!$B$2:$Y$301, MATCH(ROUND(MIN(300,MAX(1,D1496)),0), FactorTable!$A$2:$A$301,0), Skills!M6+1)</f>
        <v/>
      </c>
      <c r="F1496">
        <f>IF(Skills!N6=TRUE,(Skills!L6/10)*(E1496/1000),Skills!L6/10)+Skills!O6</f>
        <v/>
      </c>
      <c r="G1496">
        <f>Skills!G6*IF(Skills!H6&gt;0,Skills!I6/Skills!H6,1)</f>
        <v/>
      </c>
      <c r="H1496">
        <f>1-(1-Skills!J6/100)^Skills!K6</f>
        <v/>
      </c>
      <c r="I1496" t="inlineStr">
        <is>
          <t>1</t>
        </is>
      </c>
      <c r="J1496">
        <f>((Inputs!$B$6*(1+Inputs!$B$7/100))+(((Inputs!$B$12*(1+Inputs!$B$13/100))-(Inputs!$B$12*(1+Inputs!$B$13/100)))+0.25*(Inputs!$B$14-Inputs!$B$14))*(1+Inputs!$B$7/100))*(F1496/100)</f>
        <v/>
      </c>
      <c r="K1496">
        <f>J1496*(1+((Inputs!$B$12*(1+Inputs!$B$13/100))*0.01+Inputs!$B$14*0.0025)/100)*(1+Inputs!$B$15/100)*(1+Inputs!$B$16/100)*(5000/(6000+Inputs!$B$42*(1-(100*(1-(1-(Inputs!$B$19+0)/100)*(1-CHOOSE(ArtifactsInput!$N$40+1,5,6,7,8,9,10)/100)^(ArtifactsInput!$M$40-ArtifactsInput!$M$40)))/100)))*(1+(Inputs!$B$24+((C1516=TRUE)*(F1516-Calc!F26))+B1526)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1505=TRUE,F1505,0)/100)*(1+(IF(Skills!A6="EIGHT_LEGS_EASTON",Inputs!$B$17+((C1513=TRUE)*(F1513-Calc!F23))+((C1517=TRUE)*(F1517-Calc!F27))+(((IF(AND(ArtifactsInput!$M$42,((Inputs!$B$9+((C1509=TRUE)*(F1509-Calc!F19))+B1520+(ArtifactsInput!$M$24-ArtifactsInput!$M$24)*CHOOSE(ArtifactsInput!$N$24+1,10,12,14,16,18,20)+IF(ArtifactsInput!$M$10,CHOOSE(ArtifactsInput!$N$10+1,15,18,21,24,27,30)*(IF(Inputs!$B$38="pvp",MIN(15,15)/15,IF(AND(Inputs!$B$38&lt;&gt;"pvp",Inputs!$B$43&gt;0),MIN(15,Inputs!$B$43)/(Inputs!$B$43),0))),0)))&gt;=100),MIN(100,((Inputs!$B$9+((C1509=TRUE)*(F1509-Calc!F19))+B1520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1509=TRUE)*(F1509-Calc!F19))+B1520+(ArtifactsInput!$M$24-ArtifactsInput!$M$24)*CHOOSE(ArtifactsInput!$N$24+1,10,12,14,16,18,20)+IF(ArtifactsInput!$M$10,CHOOSE(ArtifactsInput!$N$10+1,15,18,21,24,27,30)*(IF(Inputs!$B$38="pvp",MIN(15,15)/15,IF(AND(Inputs!$B$38&lt;&gt;"pvp",Inputs!$B$43&gt;0),MIN(15,Inputs!$B$43)/(Inputs!$B$43),0))),0)))&gt;=100),CHOOSE(ArtifactsInput!$N$42+1,40,48,56,64,72,80),0))))/100)*((1+(((C1507=TRUE)*F1507)+((C1514=TRUE)*(F1514-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1496)</f>
        <v/>
      </c>
      <c r="L1496">
        <f>K1496*(MIN(Inputs!$B$22+((C1512=TRUE)*(F1512-Calc!F22)),(Inputs!$B$23+0+(IF(ArtifactsInput!$M$15,CHOOSE(ArtifactsInput!$N$15+1,25,30,35,40,45,50)/100*(Inputs!$B$11-Inputs!$B$11),0))))/100+(Inputs!$B$23+0+(IF(ArtifactsInput!$M$15,CHOOSE(ArtifactsInput!$N$15+1,25,30,35,40,45,50)/100*(Inputs!$B$11-Inputs!$B$11),0)))/100)/2</f>
        <v/>
      </c>
      <c r="M1496">
        <f>L1496*(1+(Inputs!$B$10+((C1515=TRUE)*(F1515-Calc!F25))+B1525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6">
        <f>L1496*(1-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1496*(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6">
        <f>(1-Summary!$B$11)*T1496+Summary!$B$11*V1496</f>
        <v/>
      </c>
      <c r="P1496">
        <f>IF(B1530=0,0,O1496/B1530)</f>
        <v/>
      </c>
      <c r="Q1496">
        <f>IFERROR(1/(IF(Inputs!$B$38="pvp",15,MAX(0.1,Skills!D6-IF(Skills!E6=TRUE,Inputs!$B$32,0)))*(1-IF(AND(ArtifactsInput!$M$27,Inputs!$B$4="Chapter Hunt"),CHOOSE(ArtifactsInput!$N$27+1,20,24,28,32,36,40),0)/100)),0)</f>
        <v/>
      </c>
      <c r="R1496">
        <f>IF(AND(Inputs!$B$38&lt;&gt;"pvp",Inputs!$B$43&gt;0),IF(MAX(0,Inputs!$B$43-B1527)&lt;=0,0,(INT(MAX(0,Inputs!$B$43-B1527)/(IF(Inputs!$B$38="pvp",15,MAX(0.1,Skills!D6-IF(Skills!E6=TRUE,Inputs!$B$32,0)))*(1-IF(AND(ArtifactsInput!$M$27,Inputs!$B$4="Chapter Hunt"),CHOOSE(ArtifactsInput!$N$27+1,20,24,28,32,36,40),0)/100)))+1)),0)</f>
        <v/>
      </c>
      <c r="S1496">
        <f>IFERROR(O1496/N1496,0)</f>
        <v/>
      </c>
      <c r="T1496">
        <f>IF(C1496,(H1496*N1496*IF(AND(Inputs!$B$38&lt;&gt;"pvp",Inputs!$B$43&gt;0),((Skills!G6*((R1496-1)*IF(Skills!H6&gt;0,Skills!I6/Skills!H6,1)+IF(Skills!H6&gt;0,MIN(Skills!I6,MAX(0,MAX(0,Inputs!$B$43-B1527)-((R1496-1)*(IF(Inputs!$B$38="pvp",15,MAX(0.1,Skills!D6-IF(Skills!E6=TRUE,Inputs!$B$32,0)))*(1-IF(AND(ArtifactsInput!$M$27,Inputs!$B$4="Chapter Hunt"),CHOOSE(ArtifactsInput!$N$27+1,20,24,28,32,36,40),0)/100)))))/Skills!H6,1)))/Inputs!$B$43),G1496*Q1496)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1496*(1-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1496*(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1496*(1-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1496*(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6">
        <f>IF(C1496,(H1496*N1496*IF(AND(Inputs!$B$38&lt;&gt;"pvp",Inputs!$B$43&gt;0),((Skills!G6*((R1496-1)*IF(Skills!H6&gt;0,Skills!I6/Skills!H6,1)+IF(Skills!H6&gt;0,MIN(Skills!I6,MAX(0,MAX(0,Inputs!$B$43-B1527)-((R1496-1)*(IF(Inputs!$B$38="pvp",15,MAX(0.1,Skills!D6-IF(Skills!E6=TRUE,Inputs!$B$32,0)))*(1-IF(AND(ArtifactsInput!$M$27,Inputs!$B$4="Chapter Hunt"),CHOOSE(ArtifactsInput!$N$27+1,20,24,28,32,36,40),0)/100)))))/Skills!H6,1)))/Inputs!$B$43),G1496*Q1496))*IF(Inputs!$B$38="pvp",1,(1+(Inputs!$B$21+Skills!Q6+(IF(ArtifactsInput!$M$33,CHOOSE(ArtifactsInput!$N$33+1,30,36,42,48,54,60)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7">
      <c r="A1497">
        <f>Skills!A7</f>
        <v/>
      </c>
      <c r="B1497">
        <f>Skills!B7</f>
        <v/>
      </c>
      <c r="C1497">
        <f>Inputs!$B$3&gt;=66</f>
        <v/>
      </c>
      <c r="D1497">
        <f>IF(Skills!C7=1,60+Inputs!$B$25+Inputs!$B$29,IF(Skills!C7=2,90+Inputs!$B$26+Inputs!$B$29,IF(Skills!C7=3,120+Inputs!$B$27+Inputs!$B$29,MAX(0,(Inputs!$B$3-100)*3)+Inputs!$B$28+Inputs!$B$29)))</f>
        <v/>
      </c>
      <c r="E1497">
        <f>INDEX(FactorTable!$B$2:$Y$301, MATCH(ROUND(MIN(300,MAX(1,D1497)),0), FactorTable!$A$2:$A$301,0), Skills!M7+1)</f>
        <v/>
      </c>
      <c r="F1497">
        <f>IF(Skills!N7=TRUE,(Skills!L7/10)*(E1497/1000),Skills!L7/10)+Skills!O7</f>
        <v/>
      </c>
      <c r="G1497">
        <f>Skills!G7*IF(Skills!H7&gt;0,Skills!I7/Skills!H7,1)</f>
        <v/>
      </c>
      <c r="H1497">
        <f>1-(1-Skills!J7/100)^Skills!K7</f>
        <v/>
      </c>
      <c r="I1497" t="inlineStr">
        <is>
          <t>1</t>
        </is>
      </c>
      <c r="J1497">
        <f>((Inputs!$B$6*(1+Inputs!$B$7/100))+(((Inputs!$B$12*(1+Inputs!$B$13/100))-(Inputs!$B$12*(1+Inputs!$B$13/100)))+0.25*(Inputs!$B$14-Inputs!$B$14))*(1+Inputs!$B$7/100))*(F1497/100)</f>
        <v/>
      </c>
      <c r="K1497">
        <f>J1497*(1+((Inputs!$B$12*(1+Inputs!$B$13/100))*0.01+Inputs!$B$14*0.0025)/100)*(1+Inputs!$B$15/100)*(1+Inputs!$B$16/100)*(5000/(6000+Inputs!$B$42*(1-(100*(1-(1-(Inputs!$B$19+0)/100)*(1-CHOOSE(ArtifactsInput!$N$40+1,5,6,7,8,9,10)/100)^(ArtifactsInput!$M$40-ArtifactsInput!$M$40)))/100)))*(1+(Inputs!$B$24+((C1516=TRUE)*(F1516-Calc!F26))+B1526)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1505=TRUE,F1505,0)/100)*(1+(IF(Skills!A7="EIGHT_LEGS_EASTON",Inputs!$B$17+((C1513=TRUE)*(F1513-Calc!F23))+((C1517=TRUE)*(F1517-Calc!F27))+(((IF(AND(ArtifactsInput!$M$42,((Inputs!$B$9+((C1509=TRUE)*(F1509-Calc!F19))+B1520+(ArtifactsInput!$M$24-ArtifactsInput!$M$24)*CHOOSE(ArtifactsInput!$N$24+1,10,12,14,16,18,20)+IF(ArtifactsInput!$M$10,CHOOSE(ArtifactsInput!$N$10+1,15,18,21,24,27,30)*(IF(Inputs!$B$38="pvp",MIN(15,15)/15,IF(AND(Inputs!$B$38&lt;&gt;"pvp",Inputs!$B$43&gt;0),MIN(15,Inputs!$B$43)/(Inputs!$B$43),0))),0)))&gt;=100),MIN(100,((Inputs!$B$9+((C1509=TRUE)*(F1509-Calc!F19))+B1520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1509=TRUE)*(F1509-Calc!F19))+B1520+(ArtifactsInput!$M$24-ArtifactsInput!$M$24)*CHOOSE(ArtifactsInput!$N$24+1,10,12,14,16,18,20)+IF(ArtifactsInput!$M$10,CHOOSE(ArtifactsInput!$N$10+1,15,18,21,24,27,30)*(IF(Inputs!$B$38="pvp",MIN(15,15)/15,IF(AND(Inputs!$B$38&lt;&gt;"pvp",Inputs!$B$43&gt;0),MIN(15,Inputs!$B$43)/(Inputs!$B$43),0))),0)))&gt;=100),CHOOSE(ArtifactsInput!$N$42+1,40,48,56,64,72,80),0))))/100)*((1+(((C1507=TRUE)*F1507)+((C1514=TRUE)*(F1514-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1497)</f>
        <v/>
      </c>
      <c r="L1497">
        <f>K1497*(MIN(Inputs!$B$22+((C1512=TRUE)*(F1512-Calc!F22)),(Inputs!$B$23+0+(IF(ArtifactsInput!$M$15,CHOOSE(ArtifactsInput!$N$15+1,25,30,35,40,45,50)/100*(Inputs!$B$11-Inputs!$B$11),0))))/100+(Inputs!$B$23+0+(IF(ArtifactsInput!$M$15,CHOOSE(ArtifactsInput!$N$15+1,25,30,35,40,45,50)/100*(Inputs!$B$11-Inputs!$B$11),0)))/100)/2</f>
        <v/>
      </c>
      <c r="M1497">
        <f>L1497*(1+(Inputs!$B$10+((C1515=TRUE)*(F1515-Calc!F25))+B1525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7">
        <f>L1497*(1-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1497*(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7">
        <f>(1-Summary!$B$11)*T1497+Summary!$B$11*V1497</f>
        <v/>
      </c>
      <c r="P1497">
        <f>IF(B1530=0,0,O1497/B1530)</f>
        <v/>
      </c>
      <c r="Q1497">
        <f>IFERROR(1/(IF(Inputs!$B$38="pvp",15,MAX(0.1,Skills!D7-IF(Skills!E7=TRUE,Inputs!$B$32,0)))*(1-IF(AND(ArtifactsInput!$M$27,Inputs!$B$4="Chapter Hunt"),CHOOSE(ArtifactsInput!$N$27+1,20,24,28,32,36,40),0)/100)),0)</f>
        <v/>
      </c>
      <c r="R1497">
        <f>IF(AND(Inputs!$B$38&lt;&gt;"pvp",Inputs!$B$43&gt;0),IF(MAX(0,Inputs!$B$43-B1527)&lt;=0,0,(INT(MAX(0,Inputs!$B$43-B1527)/(IF(Inputs!$B$38="pvp",15,MAX(0.1,Skills!D7-IF(Skills!E7=TRUE,Inputs!$B$32,0)))*(1-IF(AND(ArtifactsInput!$M$27,Inputs!$B$4="Chapter Hunt"),CHOOSE(ArtifactsInput!$N$27+1,20,24,28,32,36,40),0)/100)))+1)),0)</f>
        <v/>
      </c>
      <c r="S1497">
        <f>IFERROR(O1497/N1497,0)</f>
        <v/>
      </c>
      <c r="T1497">
        <f>IF(C1497,(H1497*N1497*IF(AND(Inputs!$B$38&lt;&gt;"pvp",Inputs!$B$43&gt;0),((Skills!G7*((R1497-1)*IF(Skills!H7&gt;0,Skills!I7/Skills!H7,1)+IF(Skills!H7&gt;0,MIN(Skills!I7,MAX(0,MAX(0,Inputs!$B$43-B1527)-((R1497-1)*(IF(Inputs!$B$38="pvp",15,MAX(0.1,Skills!D7-IF(Skills!E7=TRUE,Inputs!$B$32,0)))*(1-IF(AND(ArtifactsInput!$M$27,Inputs!$B$4="Chapter Hunt"),CHOOSE(ArtifactsInput!$N$27+1,20,24,28,32,36,40),0)/100)))))/Skills!H7,1)))/Inputs!$B$43),G1497*Q1497)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1497*(1-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1497*(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1497*(1-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1497*(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7">
        <f>IF(C1497,(H1497*N1497*IF(AND(Inputs!$B$38&lt;&gt;"pvp",Inputs!$B$43&gt;0),((Skills!G7*((R1497-1)*IF(Skills!H7&gt;0,Skills!I7/Skills!H7,1)+IF(Skills!H7&gt;0,MIN(Skills!I7,MAX(0,MAX(0,Inputs!$B$43-B1527)-((R1497-1)*(IF(Inputs!$B$38="pvp",15,MAX(0.1,Skills!D7-IF(Skills!E7=TRUE,Inputs!$B$32,0)))*(1-IF(AND(ArtifactsInput!$M$27,Inputs!$B$4="Chapter Hunt"),CHOOSE(ArtifactsInput!$N$27+1,20,24,28,32,36,40),0)/100)))))/Skills!H7,1)))/Inputs!$B$43),G1497*Q1497))*IF(Inputs!$B$38="pvp",1,(1+(Inputs!$B$21+Skills!Q7+(IF(ArtifactsInput!$M$33,CHOOSE(ArtifactsInput!$N$33+1,30,36,42,48,54,60)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8">
      <c r="A1498">
        <f>Skills!A8</f>
        <v/>
      </c>
      <c r="B1498">
        <f>Skills!B8</f>
        <v/>
      </c>
      <c r="C1498">
        <f>Inputs!$B$3&gt;=100</f>
        <v/>
      </c>
      <c r="D1498">
        <f>IF(Skills!C8=1,60+Inputs!$B$25+Inputs!$B$29,IF(Skills!C8=2,90+Inputs!$B$26+Inputs!$B$29,IF(Skills!C8=3,120+Inputs!$B$27+Inputs!$B$29,MAX(0,(Inputs!$B$3-100)*3)+Inputs!$B$28+Inputs!$B$29)))</f>
        <v/>
      </c>
      <c r="E1498">
        <f>INDEX(FactorTable!$B$2:$Y$301, MATCH(ROUND(MIN(300,MAX(1,D1498)),0), FactorTable!$A$2:$A$301,0), Skills!M8+1)</f>
        <v/>
      </c>
      <c r="F1498">
        <f>IF(Skills!N8=TRUE,(Skills!L8/10)*(E1498/1000),Skills!L8/10)+Skills!O8</f>
        <v/>
      </c>
      <c r="G1498">
        <f>Skills!G8*IF(Skills!H8&gt;0,Skills!I8/Skills!H8,1)</f>
        <v/>
      </c>
      <c r="H1498">
        <f>1-(1-Skills!J8/100)^Skills!K8</f>
        <v/>
      </c>
      <c r="I1498" t="inlineStr">
        <is>
          <t>1</t>
        </is>
      </c>
      <c r="J1498">
        <f>((Inputs!$B$6*(1+Inputs!$B$7/100))+(((Inputs!$B$12*(1+Inputs!$B$13/100))-(Inputs!$B$12*(1+Inputs!$B$13/100)))+0.25*(Inputs!$B$14-Inputs!$B$14))*(1+Inputs!$B$7/100))*(F1498/100)</f>
        <v/>
      </c>
      <c r="K1498">
        <f>J1498*(1+((Inputs!$B$12*(1+Inputs!$B$13/100))*0.01+Inputs!$B$14*0.0025)/100)*(1+Inputs!$B$15/100)*(1+Inputs!$B$16/100)*(5000/(6000+Inputs!$B$42*(1-(100*(1-(1-(Inputs!$B$19+0)/100)*(1-CHOOSE(ArtifactsInput!$N$40+1,5,6,7,8,9,10)/100)^(ArtifactsInput!$M$40-ArtifactsInput!$M$40)))/100)))*(1+(Inputs!$B$24+((C1516=TRUE)*(F1516-Calc!F26))+B1526)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1513=TRUE)*(F1513-Calc!F23))+((C1517=TRUE)*(F1517-Calc!F27))+(((IF(AND(ArtifactsInput!$M$42,((Inputs!$B$9+((C1509=TRUE)*(F1509-Calc!F19))+B1520+(ArtifactsInput!$M$24-ArtifactsInput!$M$24)*CHOOSE(ArtifactsInput!$N$24+1,10,12,14,16,18,20)+IF(ArtifactsInput!$M$10,CHOOSE(ArtifactsInput!$N$10+1,15,18,21,24,27,30)*(IF(Inputs!$B$38="pvp",MIN(15,15)/15,IF(AND(Inputs!$B$38&lt;&gt;"pvp",Inputs!$B$43&gt;0),MIN(15,Inputs!$B$43)/(Inputs!$B$43),0))),0)))&gt;=100),MIN(100,((Inputs!$B$9+((C1509=TRUE)*(F1509-Calc!F19))+B1520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1509=TRUE)*(F1509-Calc!F19))+B1520+(ArtifactsInput!$M$24-ArtifactsInput!$M$24)*CHOOSE(ArtifactsInput!$N$24+1,10,12,14,16,18,20)+IF(ArtifactsInput!$M$10,CHOOSE(ArtifactsInput!$N$10+1,15,18,21,24,27,30)*(IF(Inputs!$B$38="pvp",MIN(15,15)/15,IF(AND(Inputs!$B$38&lt;&gt;"pvp",Inputs!$B$43&gt;0),MIN(15,Inputs!$B$43)/(Inputs!$B$43),0))),0)))&gt;=100),CHOOSE(ArtifactsInput!$N$42+1,40,48,56,64,72,80),0))))/100)*((1+(((C1507=TRUE)*F1507)+((C1514=TRUE)*(F1514-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1498)</f>
        <v/>
      </c>
      <c r="L1498">
        <f>K1498*(MIN(Inputs!$B$22+((C1512=TRUE)*(F1512-Calc!F22)),(Inputs!$B$23+0+(IF(ArtifactsInput!$M$15,CHOOSE(ArtifactsInput!$N$15+1,25,30,35,40,45,50)/100*(Inputs!$B$11-Inputs!$B$11),0))))/100+(Inputs!$B$23+0+(IF(ArtifactsInput!$M$15,CHOOSE(ArtifactsInput!$N$15+1,25,30,35,40,45,50)/100*(Inputs!$B$11-Inputs!$B$11),0)))/100)/2</f>
        <v/>
      </c>
      <c r="M1498">
        <f>L1498*(1+(Inputs!$B$10+((C1515=TRUE)*(F1515-Calc!F25))+B1525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8">
        <f>L1498*(1-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1498*(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8">
        <f>(1-Summary!$B$11)*T1498+Summary!$B$11*V1498</f>
        <v/>
      </c>
      <c r="P1498">
        <f>IF(B1530=0,0,O1498/B1530)</f>
        <v/>
      </c>
      <c r="Q1498">
        <f>IFERROR(1/(IF(Inputs!$B$38="pvp",15,MAX(0.1,Skills!D8-IF(Skills!E8=TRUE,Inputs!$B$32,0)))*(1-IF(AND(ArtifactsInput!$M$27,Inputs!$B$4="Chapter Hunt"),CHOOSE(ArtifactsInput!$N$27+1,20,24,28,32,36,40),0)/100)),0)</f>
        <v/>
      </c>
      <c r="R1498">
        <f>IF(AND(Inputs!$B$38&lt;&gt;"pvp",Inputs!$B$43&gt;0),IF(MAX(0,Inputs!$B$43-B1527)&lt;=0,0,(INT(MAX(0,Inputs!$B$43-B1527)/(IF(Inputs!$B$38="pvp",15,MAX(0.1,Skills!D8-IF(Skills!E8=TRUE,Inputs!$B$32,0)))*(1-IF(AND(ArtifactsInput!$M$27,Inputs!$B$4="Chapter Hunt"),CHOOSE(ArtifactsInput!$N$27+1,20,24,28,32,36,40),0)/100)))+1)),0)</f>
        <v/>
      </c>
      <c r="S1498">
        <f>IFERROR(O1498/N1498,0)</f>
        <v/>
      </c>
      <c r="T1498">
        <f>IF(C1498,(H1498*N1498*IF(AND(Inputs!$B$38&lt;&gt;"pvp",Inputs!$B$43&gt;0),((Skills!G8*((R1498-1)*IF(Skills!H8&gt;0,Skills!I8/Skills!H8,1)+IF(Skills!H8&gt;0,MIN(Skills!I8,MAX(0,MAX(0,Inputs!$B$43-B1527)-((R1498-1)*(IF(Inputs!$B$38="pvp",15,MAX(0.1,Skills!D8-IF(Skills!E8=TRUE,Inputs!$B$32,0)))*(1-IF(AND(ArtifactsInput!$M$27,Inputs!$B$4="Chapter Hunt"),CHOOSE(ArtifactsInput!$N$27+1,20,24,28,32,36,40),0)/100)))))/Skills!H8,1)))/Inputs!$B$43),G1498*Q1498)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1498*(1-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1498*(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1498*(1-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1498*(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8">
        <f>IF(C1498,(H1498*N1498*IF(AND(Inputs!$B$38&lt;&gt;"pvp",Inputs!$B$43&gt;0),((Skills!G8*((R1498-1)*IF(Skills!H8&gt;0,Skills!I8/Skills!H8,1)+IF(Skills!H8&gt;0,MIN(Skills!I8,MAX(0,MAX(0,Inputs!$B$43-B1527)-((R1498-1)*(IF(Inputs!$B$38="pvp",15,MAX(0.1,Skills!D8-IF(Skills!E8=TRUE,Inputs!$B$32,0)))*(1-IF(AND(ArtifactsInput!$M$27,Inputs!$B$4="Chapter Hunt"),CHOOSE(ArtifactsInput!$N$27+1,20,24,28,32,36,40),0)/100)))))/Skills!H8,1)))/Inputs!$B$43),G1498*Q1498))*IF(Inputs!$B$38="pvp",1,(1+(Inputs!$B$21+Skills!Q8+(IF(ArtifactsInput!$M$33,CHOOSE(ArtifactsInput!$N$33+1,30,36,42,48,54,60)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9">
      <c r="A1499">
        <f>Skills!A9</f>
        <v/>
      </c>
      <c r="B1499">
        <f>Skills!B9</f>
        <v/>
      </c>
      <c r="C1499">
        <f>Inputs!$B$3&gt;=103</f>
        <v/>
      </c>
      <c r="D1499">
        <f>IF(Skills!C9=1,60+Inputs!$B$25+Inputs!$B$29,IF(Skills!C9=2,90+Inputs!$B$26+Inputs!$B$29,IF(Skills!C9=3,120+Inputs!$B$27+Inputs!$B$29,MAX(0,(Inputs!$B$3-100)*3)+Inputs!$B$28+Inputs!$B$29)))</f>
        <v/>
      </c>
      <c r="E1499">
        <f>INDEX(FactorTable!$B$2:$Y$301, MATCH(ROUND(MIN(300,MAX(1,D1499)),0), FactorTable!$A$2:$A$301,0), Skills!M9+1)</f>
        <v/>
      </c>
      <c r="F1499">
        <f>IF(Skills!N9=TRUE,(Skills!L9/10)*(E1499/1000),Skills!L9/10)+Skills!O9</f>
        <v/>
      </c>
      <c r="G1499">
        <f>Skills!G9*IF(Skills!H9&gt;0,Skills!I9/Skills!H9,1)</f>
        <v/>
      </c>
      <c r="H1499">
        <f>1-(1-Skills!J9/100)^Skills!K9</f>
        <v/>
      </c>
      <c r="I1499" t="inlineStr">
        <is>
          <t>1</t>
        </is>
      </c>
      <c r="J1499">
        <f>((Inputs!$B$6*(1+Inputs!$B$7/100))+(((Inputs!$B$12*(1+Inputs!$B$13/100))-(Inputs!$B$12*(1+Inputs!$B$13/100)))+0.25*(Inputs!$B$14-Inputs!$B$14))*(1+Inputs!$B$7/100))*(F1499/100)</f>
        <v/>
      </c>
      <c r="K1499">
        <f>J1499*(1+((Inputs!$B$12*(1+Inputs!$B$13/100))*0.01+Inputs!$B$14*0.0025)/100)*(1+Inputs!$B$15/100)*(1+Inputs!$B$16/100)*(5000/(6000+Inputs!$B$42*(1-(100*(1-(1-(Inputs!$B$19+0)/100)*(1-CHOOSE(ArtifactsInput!$N$40+1,5,6,7,8,9,10)/100)^(ArtifactsInput!$M$40-ArtifactsInput!$M$40)))/100)))*(1+(Inputs!$B$24+((C1516=TRUE)*(F1516-Calc!F26))+B1526)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1513=TRUE)*(F1513-Calc!F23))+((C1517=TRUE)*(F1517-Calc!F27))+(((IF(AND(ArtifactsInput!$M$42,((Inputs!$B$9+((C1509=TRUE)*(F1509-Calc!F19))+B1520+(ArtifactsInput!$M$24-ArtifactsInput!$M$24)*CHOOSE(ArtifactsInput!$N$24+1,10,12,14,16,18,20)+IF(ArtifactsInput!$M$10,CHOOSE(ArtifactsInput!$N$10+1,15,18,21,24,27,30)*(IF(Inputs!$B$38="pvp",MIN(15,15)/15,IF(AND(Inputs!$B$38&lt;&gt;"pvp",Inputs!$B$43&gt;0),MIN(15,Inputs!$B$43)/(Inputs!$B$43),0))),0)))&gt;=100),MIN(100,((Inputs!$B$9+((C1509=TRUE)*(F1509-Calc!F19))+B1520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1509=TRUE)*(F1509-Calc!F19))+B1520+(ArtifactsInput!$M$24-ArtifactsInput!$M$24)*CHOOSE(ArtifactsInput!$N$24+1,10,12,14,16,18,20)+IF(ArtifactsInput!$M$10,CHOOSE(ArtifactsInput!$N$10+1,15,18,21,24,27,30)*(IF(Inputs!$B$38="pvp",MIN(15,15)/15,IF(AND(Inputs!$B$38&lt;&gt;"pvp",Inputs!$B$43&gt;0),MIN(15,Inputs!$B$43)/(Inputs!$B$43),0))),0)))&gt;=100),CHOOSE(ArtifactsInput!$N$42+1,40,48,56,64,72,80),0))))/100)*((1+(((C1507=TRUE)*F1507)+((C1514=TRUE)*(F1514-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1499)</f>
        <v/>
      </c>
      <c r="L1499">
        <f>K1499*(MIN(Inputs!$B$22+((C1512=TRUE)*(F1512-Calc!F22)),(Inputs!$B$23+0+(IF(ArtifactsInput!$M$15,CHOOSE(ArtifactsInput!$N$15+1,25,30,35,40,45,50)/100*(Inputs!$B$11-Inputs!$B$11),0))))/100+(Inputs!$B$23+0+(IF(ArtifactsInput!$M$15,CHOOSE(ArtifactsInput!$N$15+1,25,30,35,40,45,50)/100*(Inputs!$B$11-Inputs!$B$11),0)))/100)/2</f>
        <v/>
      </c>
      <c r="M1499">
        <f>L1499*(1+(Inputs!$B$10+((C1515=TRUE)*(F1515-Calc!F25))+B1525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9">
        <f>L1499*(1-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1499*(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9">
        <f>(1-Summary!$B$11)*T1499+Summary!$B$11*V1499</f>
        <v/>
      </c>
      <c r="P1499">
        <f>IF(B1530=0,0,O1499/B1530)</f>
        <v/>
      </c>
      <c r="Q1499">
        <f>IFERROR(1/(IF(Inputs!$B$38="pvp",15,MAX(0.1,Skills!D9-IF(Skills!E9=TRUE,Inputs!$B$32,0)))*(1-IF(AND(ArtifactsInput!$M$27,Inputs!$B$4="Chapter Hunt"),CHOOSE(ArtifactsInput!$N$27+1,20,24,28,32,36,40),0)/100)),0)</f>
        <v/>
      </c>
      <c r="R1499">
        <f>IF(AND(Inputs!$B$38&lt;&gt;"pvp",Inputs!$B$43&gt;0),IF(MAX(0,Inputs!$B$43-B1527)&lt;=0,0,(INT(MAX(0,Inputs!$B$43-B1527)/(IF(Inputs!$B$38="pvp",15,MAX(0.1,Skills!D9-IF(Skills!E9=TRUE,Inputs!$B$32,0)))*(1-IF(AND(ArtifactsInput!$M$27,Inputs!$B$4="Chapter Hunt"),CHOOSE(ArtifactsInput!$N$27+1,20,24,28,32,36,40),0)/100)))+1)),0)</f>
        <v/>
      </c>
      <c r="S1499">
        <f>IFERROR(O1499/N1499,0)</f>
        <v/>
      </c>
      <c r="T1499">
        <f>IF(C1499,(H1499*N1499*IF(AND(Inputs!$B$38&lt;&gt;"pvp",Inputs!$B$43&gt;0),((Skills!G9*((R1499-1)*IF(Skills!H9&gt;0,Skills!I9/Skills!H9,1)+IF(Skills!H9&gt;0,MIN(Skills!I9,MAX(0,MAX(0,Inputs!$B$43-B1527)-((R1499-1)*(IF(Inputs!$B$38="pvp",15,MAX(0.1,Skills!D9-IF(Skills!E9=TRUE,Inputs!$B$32,0)))*(1-IF(AND(ArtifactsInput!$M$27,Inputs!$B$4="Chapter Hunt"),CHOOSE(ArtifactsInput!$N$27+1,20,24,28,32,36,40),0)/100)))))/Skills!H9,1)))/Inputs!$B$43),G1499*Q1499)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1499*(1-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1499*(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1499*(1-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1499*(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9">
        <f>IF(C1499,(H1499*N1499*IF(AND(Inputs!$B$38&lt;&gt;"pvp",Inputs!$B$43&gt;0),((Skills!G9*((R1499-1)*IF(Skills!H9&gt;0,Skills!I9/Skills!H9,1)+IF(Skills!H9&gt;0,MIN(Skills!I9,MAX(0,MAX(0,Inputs!$B$43-B1527)-((R1499-1)*(IF(Inputs!$B$38="pvp",15,MAX(0.1,Skills!D9-IF(Skills!E9=TRUE,Inputs!$B$32,0)))*(1-IF(AND(ArtifactsInput!$M$27,Inputs!$B$4="Chapter Hunt"),CHOOSE(ArtifactsInput!$N$27+1,20,24,28,32,36,40),0)/100)))))/Skills!H9,1)))/Inputs!$B$43),G1499*Q1499))*IF(Inputs!$B$38="pvp",1,(1+(Inputs!$B$21+Skills!Q9+(IF(ArtifactsInput!$M$33,CHOOSE(ArtifactsInput!$N$33+1,30,36,42,48,54,60)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0">
      <c r="A1500">
        <f>Skills!A10</f>
        <v/>
      </c>
      <c r="B1500">
        <f>Skills!B10</f>
        <v/>
      </c>
      <c r="C1500">
        <f>Inputs!$B$3&gt;=113</f>
        <v/>
      </c>
      <c r="D1500">
        <f>IF(Skills!C10=1,60+Inputs!$B$25+Inputs!$B$29,IF(Skills!C10=2,90+Inputs!$B$26+Inputs!$B$29,IF(Skills!C10=3,120+Inputs!$B$27+Inputs!$B$29,MAX(0,(Inputs!$B$3-100)*3)+Inputs!$B$28+Inputs!$B$29)))</f>
        <v/>
      </c>
      <c r="E1500">
        <f>INDEX(FactorTable!$B$2:$Y$301, MATCH(ROUND(MIN(300,MAX(1,D1500)),0), FactorTable!$A$2:$A$301,0), Skills!M10+1)</f>
        <v/>
      </c>
      <c r="F1500">
        <f>IF(Skills!N10=TRUE,(Skills!L10/10)*(E1500/1000),Skills!L10/10)+Skills!O10</f>
        <v/>
      </c>
      <c r="G1500">
        <f>Skills!G10*IF(Skills!H10&gt;0,Skills!I10/Skills!H10,1)</f>
        <v/>
      </c>
      <c r="H1500">
        <f>1-(1-Skills!J10/100)^Skills!K10</f>
        <v/>
      </c>
      <c r="I1500" t="inlineStr">
        <is>
          <t>1</t>
        </is>
      </c>
      <c r="J1500">
        <f>((Inputs!$B$6*(1+Inputs!$B$7/100))+(((Inputs!$B$12*(1+Inputs!$B$13/100))-(Inputs!$B$12*(1+Inputs!$B$13/100)))+0.25*(Inputs!$B$14-Inputs!$B$14))*(1+Inputs!$B$7/100))*(F1500/100)</f>
        <v/>
      </c>
      <c r="K1500">
        <f>J1500*(1+((Inputs!$B$12*(1+Inputs!$B$13/100))*0.01+Inputs!$B$14*0.0025)/100)*(1+Inputs!$B$15/100)*(1+Inputs!$B$16/100)*(5000/(6000+Inputs!$B$42*(1-(100*(1-(1-(Inputs!$B$19+0)/100)*(1-CHOOSE(ArtifactsInput!$N$40+1,5,6,7,8,9,10)/100)^(ArtifactsInput!$M$40-ArtifactsInput!$M$40)))/100)))*(1+(Inputs!$B$24+((C1516=TRUE)*(F1516-Calc!F26))+B1526)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1513=TRUE)*(F1513-Calc!F23))+((C1517=TRUE)*(F1517-Calc!F27))+(((IF(AND(ArtifactsInput!$M$42,((Inputs!$B$9+((C1509=TRUE)*(F1509-Calc!F19))+B1520+(ArtifactsInput!$M$24-ArtifactsInput!$M$24)*CHOOSE(ArtifactsInput!$N$24+1,10,12,14,16,18,20)+IF(ArtifactsInput!$M$10,CHOOSE(ArtifactsInput!$N$10+1,15,18,21,24,27,30)*(IF(Inputs!$B$38="pvp",MIN(15,15)/15,IF(AND(Inputs!$B$38&lt;&gt;"pvp",Inputs!$B$43&gt;0),MIN(15,Inputs!$B$43)/(Inputs!$B$43),0))),0)))&gt;=100),MIN(100,((Inputs!$B$9+((C1509=TRUE)*(F1509-Calc!F19))+B1520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1509=TRUE)*(F1509-Calc!F19))+B1520+(ArtifactsInput!$M$24-ArtifactsInput!$M$24)*CHOOSE(ArtifactsInput!$N$24+1,10,12,14,16,18,20)+IF(ArtifactsInput!$M$10,CHOOSE(ArtifactsInput!$N$10+1,15,18,21,24,27,30)*(IF(Inputs!$B$38="pvp",MIN(15,15)/15,IF(AND(Inputs!$B$38&lt;&gt;"pvp",Inputs!$B$43&gt;0),MIN(15,Inputs!$B$43)/(Inputs!$B$43),0))),0)))&gt;=100),CHOOSE(ArtifactsInput!$N$42+1,40,48,56,64,72,80),0))))/100)*((1+(((C1507=TRUE)*F1507)+((C1514=TRUE)*(F1514-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1500)</f>
        <v/>
      </c>
      <c r="L1500">
        <f>K1500*(MIN(Inputs!$B$22+((C1512=TRUE)*(F1512-Calc!F22)),(Inputs!$B$23+0+(IF(ArtifactsInput!$M$15,CHOOSE(ArtifactsInput!$N$15+1,25,30,35,40,45,50)/100*(Inputs!$B$11-Inputs!$B$11),0))))/100+(Inputs!$B$23+0+(IF(ArtifactsInput!$M$15,CHOOSE(ArtifactsInput!$N$15+1,25,30,35,40,45,50)/100*(Inputs!$B$11-Inputs!$B$11),0)))/100)/2</f>
        <v/>
      </c>
      <c r="M1500">
        <f>L1500*(1+(Inputs!$B$10+((C1515=TRUE)*(F1515-Calc!F25))+B1525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0">
        <f>L1500*(1-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1500*(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0">
        <f>(1-Summary!$B$11)*T1500+Summary!$B$11*V1500</f>
        <v/>
      </c>
      <c r="P1500">
        <f>IF(B1530=0,0,O1500/B1530)</f>
        <v/>
      </c>
      <c r="Q1500">
        <f>IFERROR(1/(IF(Inputs!$B$38="pvp",15,MAX(0.1,Skills!D10-IF(Skills!E10=TRUE,Inputs!$B$32,0)))*(1-IF(AND(ArtifactsInput!$M$27,Inputs!$B$4="Chapter Hunt"),CHOOSE(ArtifactsInput!$N$27+1,20,24,28,32,36,40),0)/100)),0)</f>
        <v/>
      </c>
      <c r="R1500">
        <f>IF(AND(Inputs!$B$38&lt;&gt;"pvp",Inputs!$B$43&gt;0),IF(MAX(0,Inputs!$B$43-B1527)&lt;=0,0,(INT(MAX(0,Inputs!$B$43-B1527)/(IF(Inputs!$B$38="pvp",15,MAX(0.1,Skills!D10-IF(Skills!E10=TRUE,Inputs!$B$32,0)))*(1-IF(AND(ArtifactsInput!$M$27,Inputs!$B$4="Chapter Hunt"),CHOOSE(ArtifactsInput!$N$27+1,20,24,28,32,36,40),0)/100)))+1)),0)</f>
        <v/>
      </c>
      <c r="S1500">
        <f>IFERROR(O1500/N1500,0)</f>
        <v/>
      </c>
      <c r="T1500">
        <f>IF(C1500,(H1500*N1500*IF(AND(Inputs!$B$38&lt;&gt;"pvp",Inputs!$B$43&gt;0),((Skills!G10*((R1500-1)*IF(Skills!H10&gt;0,Skills!I10/Skills!H10,1)+IF(Skills!H10&gt;0,MIN(Skills!I10,MAX(0,MAX(0,Inputs!$B$43-B1527)-((R1500-1)*(IF(Inputs!$B$38="pvp",15,MAX(0.1,Skills!D10-IF(Skills!E10=TRUE,Inputs!$B$32,0)))*(1-IF(AND(ArtifactsInput!$M$27,Inputs!$B$4="Chapter Hunt"),CHOOSE(ArtifactsInput!$N$27+1,20,24,28,32,36,40),0)/100)))))/Skills!H10,1)))/Inputs!$B$43),G1500*Q1500)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1500*(1-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1500*(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1500*(1-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1500*(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0">
        <f>IF(C1500,(H1500*N1500*IF(AND(Inputs!$B$38&lt;&gt;"pvp",Inputs!$B$43&gt;0),((Skills!G10*((R1500-1)*IF(Skills!H10&gt;0,Skills!I10/Skills!H10,1)+IF(Skills!H10&gt;0,MIN(Skills!I10,MAX(0,MAX(0,Inputs!$B$43-B1527)-((R1500-1)*(IF(Inputs!$B$38="pvp",15,MAX(0.1,Skills!D10-IF(Skills!E10=TRUE,Inputs!$B$32,0)))*(1-IF(AND(ArtifactsInput!$M$27,Inputs!$B$4="Chapter Hunt"),CHOOSE(ArtifactsInput!$N$27+1,20,24,28,32,36,40),0)/100)))))/Skills!H10,1)))/Inputs!$B$43),G1500*Q1500))*IF(Inputs!$B$38="pvp",1,(1+(Inputs!$B$21+Skills!Q10+(IF(ArtifactsInput!$M$33,CHOOSE(ArtifactsInput!$N$33+1,30,36,42,48,54,60)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1">
      <c r="A1501">
        <f>Skills!A11</f>
        <v/>
      </c>
      <c r="B1501">
        <f>Skills!B11</f>
        <v/>
      </c>
      <c r="C1501">
        <f>Inputs!$B$3&gt;=107</f>
        <v/>
      </c>
      <c r="D1501">
        <f>IF(Skills!C11=1,60+Inputs!$B$25+Inputs!$B$29,IF(Skills!C11=2,90+Inputs!$B$26+Inputs!$B$29,IF(Skills!C11=3,120+Inputs!$B$27+Inputs!$B$29,MAX(0,(Inputs!$B$3-100)*3)+Inputs!$B$28+Inputs!$B$29)))</f>
        <v/>
      </c>
      <c r="E1501">
        <f>INDEX(FactorTable!$B$2:$Y$301, MATCH(ROUND(MIN(300,MAX(1,D1501)),0), FactorTable!$A$2:$A$301,0), Skills!M11+1)</f>
        <v/>
      </c>
      <c r="F1501">
        <f>IF(Skills!N11=TRUE,(Skills!L11/10)*(E1501/1000),Skills!L11/10)+Skills!O11</f>
        <v/>
      </c>
      <c r="G1501">
        <f>Skills!G11*IF(Skills!H11&gt;0,Skills!I11/Skills!H11,1)</f>
        <v/>
      </c>
      <c r="H1501">
        <f>1-(1-Skills!J11/100)^Skills!K11</f>
        <v/>
      </c>
      <c r="I1501" t="inlineStr">
        <is>
          <t>1</t>
        </is>
      </c>
      <c r="J1501">
        <f>((Inputs!$B$6*(1+Inputs!$B$7/100))+(((Inputs!$B$12*(1+Inputs!$B$13/100))-(Inputs!$B$12*(1+Inputs!$B$13/100)))+0.25*(Inputs!$B$14-Inputs!$B$14))*(1+Inputs!$B$7/100))*(F1501/100)</f>
        <v/>
      </c>
      <c r="K1501">
        <f>J1501*(1+((Inputs!$B$12*(1+Inputs!$B$13/100))*0.01+Inputs!$B$14*0.0025)/100)*(1+Inputs!$B$15/100)*(1+Inputs!$B$16/100)*(5000/(6000+Inputs!$B$42*(1-(100*(1-(1-(Inputs!$B$19+0)/100)*(1-CHOOSE(ArtifactsInput!$N$40+1,5,6,7,8,9,10)/100)^(ArtifactsInput!$M$40-ArtifactsInput!$M$40)))/100)))*(1+(Inputs!$B$24+((C1516=TRUE)*(F1516-Calc!F26))+B1526)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1513=TRUE)*(F1513-Calc!F23))+((C1517=TRUE)*(F1517-Calc!F27))+(((IF(AND(ArtifactsInput!$M$42,((Inputs!$B$9+((C1509=TRUE)*(F1509-Calc!F19))+B1520+(ArtifactsInput!$M$24-ArtifactsInput!$M$24)*CHOOSE(ArtifactsInput!$N$24+1,10,12,14,16,18,20)+IF(ArtifactsInput!$M$10,CHOOSE(ArtifactsInput!$N$10+1,15,18,21,24,27,30)*(IF(Inputs!$B$38="pvp",MIN(15,15)/15,IF(AND(Inputs!$B$38&lt;&gt;"pvp",Inputs!$B$43&gt;0),MIN(15,Inputs!$B$43)/(Inputs!$B$43),0))),0)))&gt;=100),MIN(100,((Inputs!$B$9+((C1509=TRUE)*(F1509-Calc!F19))+B1520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1509=TRUE)*(F1509-Calc!F19))+B1520+(ArtifactsInput!$M$24-ArtifactsInput!$M$24)*CHOOSE(ArtifactsInput!$N$24+1,10,12,14,16,18,20)+IF(ArtifactsInput!$M$10,CHOOSE(ArtifactsInput!$N$10+1,15,18,21,24,27,30)*(IF(Inputs!$B$38="pvp",MIN(15,15)/15,IF(AND(Inputs!$B$38&lt;&gt;"pvp",Inputs!$B$43&gt;0),MIN(15,Inputs!$B$43)/(Inputs!$B$43),0))),0)))&gt;=100),CHOOSE(ArtifactsInput!$N$42+1,40,48,56,64,72,80),0))))/100)*((1+(((C1507=TRUE)*F1507)+((C1514=TRUE)*(F1514-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1501)</f>
        <v/>
      </c>
      <c r="L1501">
        <f>K1501*(MIN(Inputs!$B$22+((C1512=TRUE)*(F1512-Calc!F22)),(Inputs!$B$23+0+(IF(ArtifactsInput!$M$15,CHOOSE(ArtifactsInput!$N$15+1,25,30,35,40,45,50)/100*(Inputs!$B$11-Inputs!$B$11),0))))/100+(Inputs!$B$23+0+(IF(ArtifactsInput!$M$15,CHOOSE(ArtifactsInput!$N$15+1,25,30,35,40,45,50)/100*(Inputs!$B$11-Inputs!$B$11),0)))/100)/2</f>
        <v/>
      </c>
      <c r="M1501">
        <f>L1501*(1+(Inputs!$B$10+((C1515=TRUE)*(F1515-Calc!F25))+B1525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1">
        <f>L1501*(1-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1501*(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1">
        <f>(1-Summary!$B$11)*T1501+Summary!$B$11*V1501</f>
        <v/>
      </c>
      <c r="P1501">
        <f>IF(B1530=0,0,O1501/B1530)</f>
        <v/>
      </c>
      <c r="Q1501">
        <f>IFERROR(1/(IF(Inputs!$B$38="pvp",15,MAX(0.1,Skills!D11-IF(Skills!E11=TRUE,Inputs!$B$32,0)))*(1-IF(AND(ArtifactsInput!$M$27,Inputs!$B$4="Chapter Hunt"),CHOOSE(ArtifactsInput!$N$27+1,20,24,28,32,36,40),0)/100)),0)</f>
        <v/>
      </c>
      <c r="R1501">
        <f>IF(AND(Inputs!$B$38&lt;&gt;"pvp",Inputs!$B$43&gt;0),IF(MAX(0,Inputs!$B$43-B1527)&lt;=0,0,(INT(MAX(0,Inputs!$B$43-B1527)/(IF(Inputs!$B$38="pvp",15,MAX(0.1,Skills!D11-IF(Skills!E11=TRUE,Inputs!$B$32,0)))*(1-IF(AND(ArtifactsInput!$M$27,Inputs!$B$4="Chapter Hunt"),CHOOSE(ArtifactsInput!$N$27+1,20,24,28,32,36,40),0)/100)))+1)),0)</f>
        <v/>
      </c>
      <c r="S1501">
        <f>IFERROR(O1501/N1501,0)</f>
        <v/>
      </c>
      <c r="T1501">
        <f>IF(C1501,(H1501*N1501*IF(AND(Inputs!$B$38&lt;&gt;"pvp",Inputs!$B$43&gt;0),((Skills!G11*((R1501-1)*IF(Skills!H11&gt;0,Skills!I11/Skills!H11,1)+IF(Skills!H11&gt;0,MIN(Skills!I11,MAX(0,MAX(0,Inputs!$B$43-B1527)-((R1501-1)*(IF(Inputs!$B$38="pvp",15,MAX(0.1,Skills!D11-IF(Skills!E11=TRUE,Inputs!$B$32,0)))*(1-IF(AND(ArtifactsInput!$M$27,Inputs!$B$4="Chapter Hunt"),CHOOSE(ArtifactsInput!$N$27+1,20,24,28,32,36,40),0)/100)))))/Skills!H11,1)))/Inputs!$B$43),G1501*Q1501)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1501*(1-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1501*(1-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1">
        <f>IF(C1501,(H1501*N1501*IF(AND(Inputs!$B$38&lt;&gt;"pvp",Inputs!$B$43&gt;0),((Skills!G11*((R1501-1)*IF(Skills!H11&gt;0,Skills!I11/Skills!H11,1)+IF(Skills!H11&gt;0,MIN(Skills!I11,MAX(0,MAX(0,Inputs!$B$43-B1527)-((R1501-1)*(IF(Inputs!$B$38="pvp",15,MAX(0.1,Skills!D11-IF(Skills!E11=TRUE,Inputs!$B$32,0)))*(1-IF(AND(ArtifactsInput!$M$27,Inputs!$B$4="Chapter Hunt"),CHOOSE(ArtifactsInput!$N$27+1,20,24,28,32,36,40),0)/100)))))/Skills!H11,1)))/Inputs!$B$43),G1501*Q1501))*IF(Inputs!$B$38="pvp",1,(1+(Inputs!$B$21+Skills!Q11+(IF(ArtifactsInput!$M$33,CHOOSE(ArtifactsInput!$N$33+1,30,36,42,48,54,60)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2">
      <c r="A1502">
        <f>Skills!A12</f>
        <v/>
      </c>
      <c r="B1502">
        <f>Skills!B12</f>
        <v/>
      </c>
      <c r="C1502">
        <f>Inputs!$B$3&gt;=110</f>
        <v/>
      </c>
      <c r="D1502">
        <f>IF(Skills!C12=1,60+Inputs!$B$25+Inputs!$B$29,IF(Skills!C12=2,90+Inputs!$B$26+Inputs!$B$29,IF(Skills!C12=3,120+Inputs!$B$27+Inputs!$B$29,MAX(0,(Inputs!$B$3-100)*3)+Inputs!$B$28+Inputs!$B$29)))</f>
        <v/>
      </c>
      <c r="E1502">
        <f>INDEX(FactorTable!$B$2:$Y$301, MATCH(ROUND(MIN(300,MAX(1,D1502)),0), FactorTable!$A$2:$A$301,0), Skills!M12+1)</f>
        <v/>
      </c>
      <c r="F1502">
        <f>IF(Skills!N12=TRUE,(Skills!L12/10)*(E1502/1000),Skills!L12/10)+Skills!O12</f>
        <v/>
      </c>
      <c r="G1502">
        <f>Skills!G12*IF(Skills!H12&gt;0,Skills!I12/Skills!H12,1)</f>
        <v/>
      </c>
      <c r="H1502">
        <f>1-(1-Skills!J12/100)^Skills!K12</f>
        <v/>
      </c>
      <c r="I1502" t="inlineStr">
        <is>
          <t>1</t>
        </is>
      </c>
      <c r="J1502">
        <f>((Inputs!$B$6*(1+Inputs!$B$7/100))+(((Inputs!$B$12*(1+Inputs!$B$13/100))-(Inputs!$B$12*(1+Inputs!$B$13/100)))+0.25*(Inputs!$B$14-Inputs!$B$14))*(1+Inputs!$B$7/100))*(F1502/100)</f>
        <v/>
      </c>
      <c r="K1502">
        <f>J1502*(1+((Inputs!$B$12*(1+Inputs!$B$13/100))*0.01+Inputs!$B$14*0.0025)/100)*(1+Inputs!$B$15/100)*(1+Inputs!$B$16/100)*(5000/(6000+Inputs!$B$42*(1-(100*(1-(1-(Inputs!$B$19+0)/100)*(1-CHOOSE(ArtifactsInput!$N$40+1,5,6,7,8,9,10)/100)^(ArtifactsInput!$M$40-ArtifactsInput!$M$40)))/100)))*(1+(Inputs!$B$24+((C1516=TRUE)*(F1516-Calc!F26))+B1526)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1513=TRUE)*(F1513-Calc!F23))+((C1517=TRUE)*(F1517-Calc!F27))+(((IF(AND(ArtifactsInput!$M$42,((Inputs!$B$9+((C1509=TRUE)*(F1509-Calc!F19))+B1520+(ArtifactsInput!$M$24-ArtifactsInput!$M$24)*CHOOSE(ArtifactsInput!$N$24+1,10,12,14,16,18,20)+IF(ArtifactsInput!$M$10,CHOOSE(ArtifactsInput!$N$10+1,15,18,21,24,27,30)*(IF(Inputs!$B$38="pvp",MIN(15,15)/15,IF(AND(Inputs!$B$38&lt;&gt;"pvp",Inputs!$B$43&gt;0),MIN(15,Inputs!$B$43)/(Inputs!$B$43),0))),0)))&gt;=100),MIN(100,((Inputs!$B$9+((C1509=TRUE)*(F1509-Calc!F19))+B1520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1509=TRUE)*(F1509-Calc!F19))+B1520+(ArtifactsInput!$M$24-ArtifactsInput!$M$24)*CHOOSE(ArtifactsInput!$N$24+1,10,12,14,16,18,20)+IF(ArtifactsInput!$M$10,CHOOSE(ArtifactsInput!$N$10+1,15,18,21,24,27,30)*(IF(Inputs!$B$38="pvp",MIN(15,15)/15,IF(AND(Inputs!$B$38&lt;&gt;"pvp",Inputs!$B$43&gt;0),MIN(15,Inputs!$B$43)/(Inputs!$B$43),0))),0)))&gt;=100),CHOOSE(ArtifactsInput!$N$42+1,40,48,56,64,72,80),0))))/100)*((1+(((C1507=TRUE)*F1507)+((C1514=TRUE)*(F1514-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1502)</f>
        <v/>
      </c>
      <c r="L1502">
        <f>K1502*(MIN(Inputs!$B$22+((C1512=TRUE)*(F1512-Calc!F22)),(Inputs!$B$23+0+(IF(ArtifactsInput!$M$15,CHOOSE(ArtifactsInput!$N$15+1,25,30,35,40,45,50)/100*(Inputs!$B$11-Inputs!$B$11),0))))/100+(Inputs!$B$23+0+(IF(ArtifactsInput!$M$15,CHOOSE(ArtifactsInput!$N$15+1,25,30,35,40,45,50)/100*(Inputs!$B$11-Inputs!$B$11),0)))/100)/2</f>
        <v/>
      </c>
      <c r="M1502">
        <f>L1502*(1+(Inputs!$B$10+((C1515=TRUE)*(F1515-Calc!F25))+B1525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2">
        <f>L1502*(1-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1502*(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2">
        <f>(1-Summary!$B$11)*T1502+Summary!$B$11*V1502</f>
        <v/>
      </c>
      <c r="P1502">
        <f>IF(B1530=0,0,O1502/B1530)</f>
        <v/>
      </c>
      <c r="Q1502">
        <f>IFERROR(1/(IF(Inputs!$B$38="pvp",15,MAX(0.1,Skills!D12-IF(Skills!E12=TRUE,Inputs!$B$32,0)))*(1-IF(AND(ArtifactsInput!$M$27,Inputs!$B$4="Chapter Hunt"),CHOOSE(ArtifactsInput!$N$27+1,20,24,28,32,36,40),0)/100)),0)</f>
        <v/>
      </c>
      <c r="R1502">
        <f>IF(AND(Inputs!$B$38&lt;&gt;"pvp",Inputs!$B$43&gt;0),IF(MAX(0,Inputs!$B$43-B1527)&lt;=0,0,(INT(MAX(0,Inputs!$B$43-B1527)/(IF(Inputs!$B$38="pvp",15,MAX(0.1,Skills!D12-IF(Skills!E12=TRUE,Inputs!$B$32,0)))*(1-IF(AND(ArtifactsInput!$M$27,Inputs!$B$4="Chapter Hunt"),CHOOSE(ArtifactsInput!$N$27+1,20,24,28,32,36,40),0)/100)))+1)),0)</f>
        <v/>
      </c>
      <c r="S1502">
        <f>IFERROR(O1502/N1502,0)</f>
        <v/>
      </c>
      <c r="T1502">
        <f>IF(C1502,(H1502*N1502*IF(AND(Inputs!$B$38&lt;&gt;"pvp",Inputs!$B$43&gt;0),((Skills!G12*((R1502-1)*IF(Skills!H12&gt;0,Skills!I12/Skills!H12,1)+IF(Skills!H12&gt;0,MIN(Skills!I12,MAX(0,MAX(0,Inputs!$B$43-B1527)-((R1502-1)*(IF(Inputs!$B$38="pvp",15,MAX(0.1,Skills!D12-IF(Skills!E12=TRUE,Inputs!$B$32,0)))*(1-IF(AND(ArtifactsInput!$M$27,Inputs!$B$4="Chapter Hunt"),CHOOSE(ArtifactsInput!$N$27+1,20,24,28,32,36,40),0)/100)))))/Skills!H12,1)))/Inputs!$B$43),G1502*Q1502)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1502*(1-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1502*(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1502*(1-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1502*(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2">
        <f>IF(C1502,(H1502*N1502*IF(AND(Inputs!$B$38&lt;&gt;"pvp",Inputs!$B$43&gt;0),((Skills!G12*((R1502-1)*IF(Skills!H12&gt;0,Skills!I12/Skills!H12,1)+IF(Skills!H12&gt;0,MIN(Skills!I12,MAX(0,MAX(0,Inputs!$B$43-B1527)-((R1502-1)*(IF(Inputs!$B$38="pvp",15,MAX(0.1,Skills!D12-IF(Skills!E12=TRUE,Inputs!$B$32,0)))*(1-IF(AND(ArtifactsInput!$M$27,Inputs!$B$4="Chapter Hunt"),CHOOSE(ArtifactsInput!$N$27+1,20,24,28,32,36,40),0)/100)))))/Skills!H12,1)))/Inputs!$B$43),G1502*Q1502))*IF(Inputs!$B$38="pvp",1,(1+(Inputs!$B$21+Skills!Q12+(IF(ArtifactsInput!$M$33,CHOOSE(ArtifactsInput!$N$33+1,30,36,42,48,54,60)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3">
      <c r="A1503">
        <f>Skills!A13</f>
        <v/>
      </c>
      <c r="B1503">
        <f>Skills!B13</f>
        <v/>
      </c>
      <c r="C1503">
        <f>Inputs!$B$3&gt;=110</f>
        <v/>
      </c>
      <c r="D1503">
        <f>IF(Skills!C13=1,60+Inputs!$B$25+Inputs!$B$29,IF(Skills!C13=2,90+Inputs!$B$26+Inputs!$B$29,IF(Skills!C13=3,120+Inputs!$B$27+Inputs!$B$29,MAX(0,(Inputs!$B$3-100)*3)+Inputs!$B$28+Inputs!$B$29)))</f>
        <v/>
      </c>
      <c r="E1503">
        <f>INDEX(FactorTable!$B$2:$Y$301, MATCH(ROUND(MIN(300,MAX(1,D1503)),0), FactorTable!$A$2:$A$301,0), Skills!M13+1)</f>
        <v/>
      </c>
      <c r="F1503">
        <f>IF(Skills!N13=TRUE,(Skills!L13/10)*(E1503/1000),Skills!L13/10)+Skills!O13</f>
        <v/>
      </c>
      <c r="G1503">
        <f>Skills!G13*IF(Skills!H13&gt;0,Skills!I13/Skills!H13,1)</f>
        <v/>
      </c>
      <c r="H1503">
        <f>1-(1-Skills!J13/100)^Skills!K13</f>
        <v/>
      </c>
      <c r="I1503" t="inlineStr">
        <is>
          <t>1</t>
        </is>
      </c>
      <c r="J1503">
        <f>((Inputs!$B$6*(1+Inputs!$B$7/100))+(((Inputs!$B$12*(1+Inputs!$B$13/100))-(Inputs!$B$12*(1+Inputs!$B$13/100)))+0.25*(Inputs!$B$14-Inputs!$B$14))*(1+Inputs!$B$7/100))*(F1503/100)</f>
        <v/>
      </c>
      <c r="K1503">
        <f>J1503*(1+((Inputs!$B$12*(1+Inputs!$B$13/100))*0.01+Inputs!$B$14*0.0025)/100)*(1+Inputs!$B$15/100)*(1+Inputs!$B$16/100)*(5000/(6000+Inputs!$B$42*(1-(100*(1-(1-(Inputs!$B$19+0)/100)*(1-CHOOSE(ArtifactsInput!$N$40+1,5,6,7,8,9,10)/100)^(ArtifactsInput!$M$40-ArtifactsInput!$M$40)))/100)))*(1+(Inputs!$B$24+((C1516=TRUE)*(F1516-Calc!F26))+B1526)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1513=TRUE)*(F1513-Calc!F23))+((C1517=TRUE)*(F1517-Calc!F27))+(((IF(AND(ArtifactsInput!$M$42,((Inputs!$B$9+((C1509=TRUE)*(F1509-Calc!F19))+B1520+(ArtifactsInput!$M$24-ArtifactsInput!$M$24)*CHOOSE(ArtifactsInput!$N$24+1,10,12,14,16,18,20)+IF(ArtifactsInput!$M$10,CHOOSE(ArtifactsInput!$N$10+1,15,18,21,24,27,30)*(IF(Inputs!$B$38="pvp",MIN(15,15)/15,IF(AND(Inputs!$B$38&lt;&gt;"pvp",Inputs!$B$43&gt;0),MIN(15,Inputs!$B$43)/(Inputs!$B$43),0))),0)))&gt;=100),MIN(100,((Inputs!$B$9+((C1509=TRUE)*(F1509-Calc!F19))+B1520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1509=TRUE)*(F1509-Calc!F19))+B1520+(ArtifactsInput!$M$24-ArtifactsInput!$M$24)*CHOOSE(ArtifactsInput!$N$24+1,10,12,14,16,18,20)+IF(ArtifactsInput!$M$10,CHOOSE(ArtifactsInput!$N$10+1,15,18,21,24,27,30)*(IF(Inputs!$B$38="pvp",MIN(15,15)/15,IF(AND(Inputs!$B$38&lt;&gt;"pvp",Inputs!$B$43&gt;0),MIN(15,Inputs!$B$43)/(Inputs!$B$43),0))),0)))&gt;=100),CHOOSE(ArtifactsInput!$N$42+1,40,48,56,64,72,80),0))))/100)*((1+(((C1507=TRUE)*F1507)+((C1514=TRUE)*(F1514-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1503)</f>
        <v/>
      </c>
      <c r="L1503">
        <f>K1503*(MIN(Inputs!$B$22+((C1512=TRUE)*(F1512-Calc!F22)),(Inputs!$B$23+0+(IF(ArtifactsInput!$M$15,CHOOSE(ArtifactsInput!$N$15+1,25,30,35,40,45,50)/100*(Inputs!$B$11-Inputs!$B$11),0))))/100+(Inputs!$B$23+0+(IF(ArtifactsInput!$M$15,CHOOSE(ArtifactsInput!$N$15+1,25,30,35,40,45,50)/100*(Inputs!$B$11-Inputs!$B$11),0)))/100)/2</f>
        <v/>
      </c>
      <c r="M1503">
        <f>L1503*(1+(Inputs!$B$10+((C1515=TRUE)*(F1515-Calc!F25))+B1525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3">
        <f>L1503*(1-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1503*(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3">
        <f>(1-Summary!$B$11)*T1503+Summary!$B$11*V1503</f>
        <v/>
      </c>
      <c r="P1503">
        <f>IF(B1530=0,0,O1503/B1530)</f>
        <v/>
      </c>
      <c r="Q1503">
        <f>IFERROR(1/(IF(Inputs!$B$38="pvp",15,MAX(0.1,Skills!D13-IF(Skills!E13=TRUE,Inputs!$B$32,0)))*(1-IF(AND(ArtifactsInput!$M$27,Inputs!$B$4="Chapter Hunt"),CHOOSE(ArtifactsInput!$N$27+1,20,24,28,32,36,40),0)/100)),0)</f>
        <v/>
      </c>
      <c r="R1503">
        <f>IF(AND(Inputs!$B$38&lt;&gt;"pvp",Inputs!$B$43&gt;0),IF(MAX(0,Inputs!$B$43-B1527)&lt;=0,0,(INT(MAX(0,Inputs!$B$43-B1527)/(IF(Inputs!$B$38="pvp",15,MAX(0.1,Skills!D13-IF(Skills!E13=TRUE,Inputs!$B$32,0)))*(1-IF(AND(ArtifactsInput!$M$27,Inputs!$B$4="Chapter Hunt"),CHOOSE(ArtifactsInput!$N$27+1,20,24,28,32,36,40),0)/100)))+1)),0)</f>
        <v/>
      </c>
      <c r="S1503">
        <f>IFERROR(O1503/N1503,0)</f>
        <v/>
      </c>
      <c r="T1503">
        <f>IF(C1503,(H1503*N1503*IF(AND(Inputs!$B$38&lt;&gt;"pvp",Inputs!$B$43&gt;0),((Skills!G13*((R1503-1)*IF(Skills!H13&gt;0,Skills!I13/Skills!H13,1)+IF(Skills!H13&gt;0,MIN(Skills!I13,MAX(0,MAX(0,Inputs!$B$43-B1527)-((R1503-1)*(IF(Inputs!$B$38="pvp",15,MAX(0.1,Skills!D13-IF(Skills!E13=TRUE,Inputs!$B$32,0)))*(1-IF(AND(ArtifactsInput!$M$27,Inputs!$B$4="Chapter Hunt"),CHOOSE(ArtifactsInput!$N$27+1,20,24,28,32,36,40),0)/100)))))/Skills!H13,1)))/Inputs!$B$43),G1503*Q1503))*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1503*(1-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1503*(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1503*(1-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1503*(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3">
        <f>IF(C1503,(H1503*N1503*IF(AND(Inputs!$B$38&lt;&gt;"pvp",Inputs!$B$43&gt;0),((Skills!G13*((R1503-1)*IF(Skills!H13&gt;0,Skills!I13/Skills!H13,1)+IF(Skills!H13&gt;0,MIN(Skills!I13,MAX(0,MAX(0,Inputs!$B$43-B1527)-((R1503-1)*(IF(Inputs!$B$38="pvp",15,MAX(0.1,Skills!D13-IF(Skills!E13=TRUE,Inputs!$B$32,0)))*(1-IF(AND(ArtifactsInput!$M$27,Inputs!$B$4="Chapter Hunt"),CHOOSE(ArtifactsInput!$N$27+1,20,24,28,32,36,40),0)/100)))))/Skills!H13,1)))/Inputs!$B$43),G1503*Q1503))*IF(Inputs!$B$38="pvp",1,(1+(Inputs!$B$21+Skills!Q13+(IF(ArtifactsInput!$M$33,CHOOSE(ArtifactsInput!$N$33+1,30,36,42,48,54,60)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4">
      <c r="A1504">
        <f>Skills!A14</f>
        <v/>
      </c>
      <c r="B1504">
        <f>Skills!B14</f>
        <v/>
      </c>
      <c r="C1504">
        <f>Inputs!$B$3&gt;=125</f>
        <v/>
      </c>
      <c r="D1504">
        <f>IF(Skills!C14=1,60+Inputs!$B$25+Inputs!$B$29,IF(Skills!C14=2,90+Inputs!$B$26+Inputs!$B$29,IF(Skills!C14=3,120+Inputs!$B$27+Inputs!$B$29,MAX(0,(Inputs!$B$3-100)*3)+Inputs!$B$28+Inputs!$B$29)))</f>
        <v/>
      </c>
      <c r="E1504">
        <f>INDEX(FactorTable!$B$2:$Y$301, MATCH(ROUND(MIN(300,MAX(1,D1504)),0), FactorTable!$A$2:$A$301,0), Skills!M14+1)</f>
        <v/>
      </c>
      <c r="F1504">
        <f>IF(Skills!N14=TRUE,(Skills!L14/10)*(E1504/1000),Skills!L14/10)+Skills!O14</f>
        <v/>
      </c>
      <c r="G1504">
        <f>Skills!G14*IF(Skills!H14&gt;0,Skills!I14/Skills!H14,1)</f>
        <v/>
      </c>
      <c r="H1504">
        <f>1-(1-Skills!J14/100)^Skills!K14</f>
        <v/>
      </c>
      <c r="I1504" t="inlineStr">
        <is>
          <t>1</t>
        </is>
      </c>
      <c r="J1504">
        <f>((Inputs!$B$6*(1+Inputs!$B$7/100))+(((Inputs!$B$12*(1+Inputs!$B$13/100))-(Inputs!$B$12*(1+Inputs!$B$13/100)))+0.25*(Inputs!$B$14-Inputs!$B$14))*(1+Inputs!$B$7/100))*(F1504/100)</f>
        <v/>
      </c>
      <c r="K1504">
        <f>J1504*(1+((Inputs!$B$12*(1+Inputs!$B$13/100))*0.01+Inputs!$B$14*0.0025)/100)*(1+Inputs!$B$15/100)*(1+Inputs!$B$16/100)*(5000/(6000+Inputs!$B$42*(1-(100*(1-(1-(Inputs!$B$19+0)/100)*(1-CHOOSE(ArtifactsInput!$N$40+1,5,6,7,8,9,10)/100)^(ArtifactsInput!$M$40-ArtifactsInput!$M$40)))/100)))*(1+(Inputs!$B$24+((C1516=TRUE)*(F1516-Calc!F26))+B1526)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1513=TRUE)*(F1513-Calc!F23))+((C1517=TRUE)*(F1517-Calc!F27))+(((IF(AND(ArtifactsInput!$M$42,((Inputs!$B$9+((C1509=TRUE)*(F1509-Calc!F19))+B1520+(ArtifactsInput!$M$24-ArtifactsInput!$M$24)*CHOOSE(ArtifactsInput!$N$24+1,10,12,14,16,18,20)+IF(ArtifactsInput!$M$10,CHOOSE(ArtifactsInput!$N$10+1,15,18,21,24,27,30)*(IF(Inputs!$B$38="pvp",MIN(15,15)/15,IF(AND(Inputs!$B$38&lt;&gt;"pvp",Inputs!$B$43&gt;0),MIN(15,Inputs!$B$43)/(Inputs!$B$43),0))),0)))&gt;=100),MIN(100,((Inputs!$B$9+((C1509=TRUE)*(F1509-Calc!F19))+B1520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1509=TRUE)*(F1509-Calc!F19))+B1520+(ArtifactsInput!$M$24-ArtifactsInput!$M$24)*CHOOSE(ArtifactsInput!$N$24+1,10,12,14,16,18,20)+IF(ArtifactsInput!$M$10,CHOOSE(ArtifactsInput!$N$10+1,15,18,21,24,27,30)*(IF(Inputs!$B$38="pvp",MIN(15,15)/15,IF(AND(Inputs!$B$38&lt;&gt;"pvp",Inputs!$B$43&gt;0),MIN(15,Inputs!$B$43)/(Inputs!$B$43),0))),0)))&gt;=100),CHOOSE(ArtifactsInput!$N$42+1,40,48,56,64,72,80),0))))/100)*((1+(((C1507=TRUE)*F1507)+((C1514=TRUE)*(F1514-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1504)</f>
        <v/>
      </c>
      <c r="L1504">
        <f>K1504*(MIN(Inputs!$B$22+((C1512=TRUE)*(F1512-Calc!F22)),(Inputs!$B$23+0+(IF(ArtifactsInput!$M$15,CHOOSE(ArtifactsInput!$N$15+1,25,30,35,40,45,50)/100*(Inputs!$B$11-Inputs!$B$11),0))))/100+(Inputs!$B$23+0+(IF(ArtifactsInput!$M$15,CHOOSE(ArtifactsInput!$N$15+1,25,30,35,40,45,50)/100*(Inputs!$B$11-Inputs!$B$11),0)))/100)/2</f>
        <v/>
      </c>
      <c r="M1504">
        <f>L1504*(1+(Inputs!$B$10+((C1515=TRUE)*(F1515-Calc!F25))+B1525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4">
        <f>L1504*(1-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1504*(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4">
        <f>(1-Summary!$B$11)*T1504+Summary!$B$11*V1504</f>
        <v/>
      </c>
      <c r="P1504">
        <f>IF(B1530=0,0,O1504/B1530)</f>
        <v/>
      </c>
      <c r="Q1504" t="n">
        <v>0</v>
      </c>
      <c r="R1504" t="n">
        <v>0</v>
      </c>
      <c r="S1504">
        <f>IFERROR(O1504/N1504,0)</f>
        <v/>
      </c>
      <c r="T1504">
        <f>IF(C1504,(H1504*N1504*(B1524+IF(AND(Inputs!$B$38&lt;&gt;"pvp",Inputs!$B$43&gt;0),((Skills!G8*((R1498-1)*IF(Skills!H8&gt;0,Skills!I8/Skills!H8,1)+IF(Skills!H8&gt;0,MIN(Skills!I8,MAX(0,MAX(0,Inputs!$B$43-B1527)-((R1498-1)*(IF(Inputs!$B$38="pvp",15,MAX(0.1,Skills!D8-IF(Skills!E8=TRUE,Inputs!$B$32,0)))*(1-IF(AND(ArtifactsInput!$M$27,Inputs!$B$4="Chapter Hunt"),CHOOSE(ArtifactsInput!$N$27+1,20,24,28,32,36,40),0)/100)))))/Skills!H8,1)))/Inputs!$B$43),G1498*Q1498)+IF(AND(Inputs!$B$38&lt;&gt;"pvp",Inputs!$B$43&gt;0),((Skills!G11*((R1501-1)*IF(Skills!H11&gt;0,Skills!I11/Skills!H11,1)+IF(Skills!H11&gt;0,MIN(Skills!I11,MAX(0,MAX(0,Inputs!$B$43-B1527)-((R1501-1)*(IF(Inputs!$B$38="pvp",15,MAX(0.1,Skills!D11-IF(Skills!E11=TRUE,Inputs!$B$32,0)))*(1-IF(AND(ArtifactsInput!$M$27,Inputs!$B$4="Chapter Hunt"),CHOOSE(ArtifactsInput!$N$27+1,20,24,28,32,36,40),0)/100)))))/Skills!H11,1)))/Inputs!$B$43),G1501*Q1501)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1504*(1-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1504*(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1504*(1-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1504*(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4">
        <f>IF(C1504,(H1504*N1504*(B1524+IF(AND(Inputs!$B$38&lt;&gt;"pvp",Inputs!$B$43&gt;0),((Skills!G8*((R1498-1)*IF(Skills!H8&gt;0,Skills!I8/Skills!H8,1)+IF(Skills!H8&gt;0,MIN(Skills!I8,MAX(0,MAX(0,Inputs!$B$43-B1527)-((R1498-1)*(IF(Inputs!$B$38="pvp",15,MAX(0.1,Skills!D8-IF(Skills!E8=TRUE,Inputs!$B$32,0)))*(1-IF(AND(ArtifactsInput!$M$27,Inputs!$B$4="Chapter Hunt"),CHOOSE(ArtifactsInput!$N$27+1,20,24,28,32,36,40),0)/100)))))/Skills!H8,1)))/Inputs!$B$43),G1498*Q1498)+IF(AND(Inputs!$B$38&lt;&gt;"pvp",Inputs!$B$43&gt;0),((Skills!G11*((R1501-1)*IF(Skills!H11&gt;0,Skills!I11/Skills!H11,1)+IF(Skills!H11&gt;0,MIN(Skills!I11,MAX(0,MAX(0,Inputs!$B$43-B1527)-((R1501-1)*(IF(Inputs!$B$38="pvp",15,MAX(0.1,Skills!D11-IF(Skills!E11=TRUE,Inputs!$B$32,0)))*(1-IF(AND(ArtifactsInput!$M$27,Inputs!$B$4="Chapter Hunt"),CHOOSE(ArtifactsInput!$N$27+1,20,24,28,32,36,40),0)/100)))))/Skills!H11,1)))/Inputs!$B$43),G1501*Q1501)))*IF(Inputs!$B$38="pvp",1,(1+(Inputs!$B$21+Skills!Q14+(IF(ArtifactsInput!$M$33,CHOOSE(ArtifactsInput!$N$33+1,30,36,42,48,54,60)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5">
      <c r="A1505">
        <f>Skills!A15</f>
        <v/>
      </c>
      <c r="B1505">
        <f>Skills!B15</f>
        <v/>
      </c>
      <c r="C1505">
        <f>Inputs!$B$3&gt;=100</f>
        <v/>
      </c>
      <c r="D1505">
        <f>IF(Skills!C15=1,60+Inputs!$B$25+Inputs!$B$29,IF(Skills!C15=2,90+Inputs!$B$26+Inputs!$B$29,IF(Skills!C15=3,120+Inputs!$B$27+Inputs!$B$29,MAX(0,(Inputs!$B$3-100)*3)+Inputs!$B$28+Inputs!$B$29)))</f>
        <v/>
      </c>
      <c r="E1505">
        <f>INDEX(FactorTable!$B$2:$Y$301, MATCH(ROUND(MIN(300,MAX(1,D1505)),0), FactorTable!$A$2:$A$301,0), Skills!M15+1)</f>
        <v/>
      </c>
      <c r="F1505">
        <f>IF(Skills!N15=TRUE,(Skills!L15/10)*(E1505/1000),Skills!L15/10)+Skills!O15</f>
        <v/>
      </c>
      <c r="G1505" t="inlineStr"/>
      <c r="H1505" t="inlineStr"/>
      <c r="I1505" t="inlineStr">
        <is>
          <t>1</t>
        </is>
      </c>
      <c r="J1505" t="inlineStr"/>
      <c r="K1505" t="inlineStr"/>
      <c r="L1505" t="inlineStr"/>
      <c r="M1505" t="inlineStr"/>
      <c r="N1505" t="inlineStr"/>
      <c r="O1505" t="inlineStr"/>
      <c r="P1505" t="inlineStr"/>
      <c r="Q1505" t="inlineStr"/>
      <c r="R1505" t="inlineStr"/>
      <c r="S1505" t="inlineStr"/>
    </row>
    <row r="1506">
      <c r="A1506">
        <f>Skills!A16</f>
        <v/>
      </c>
      <c r="B1506">
        <f>Skills!B16</f>
        <v/>
      </c>
      <c r="C1506">
        <f>Inputs!$B$3&gt;=120</f>
        <v/>
      </c>
      <c r="D1506">
        <f>IF(Skills!C16=1,60+Inputs!$B$25+Inputs!$B$29,IF(Skills!C16=2,90+Inputs!$B$26+Inputs!$B$29,IF(Skills!C16=3,120+Inputs!$B$27+Inputs!$B$29,MAX(0,(Inputs!$B$3-100)*3)+Inputs!$B$28+Inputs!$B$29)))</f>
        <v/>
      </c>
      <c r="E1506">
        <f>INDEX(FactorTable!$B$2:$Y$301, MATCH(ROUND(MIN(300,MAX(1,D1506)),0), FactorTable!$A$2:$A$301,0), Skills!M16+1)</f>
        <v/>
      </c>
      <c r="F1506">
        <f>IF(Skills!N16=TRUE,(Skills!L16/10)*(E1506/1000),Skills!L16/10)+Skills!O16</f>
        <v/>
      </c>
      <c r="G1506" t="inlineStr"/>
      <c r="H1506" t="inlineStr"/>
      <c r="I1506" t="inlineStr">
        <is>
          <t>1</t>
        </is>
      </c>
      <c r="J1506" t="inlineStr"/>
      <c r="K1506" t="inlineStr"/>
      <c r="L1506" t="inlineStr"/>
      <c r="M1506" t="inlineStr"/>
      <c r="N1506" t="inlineStr"/>
      <c r="O1506" t="inlineStr"/>
      <c r="P1506" t="inlineStr"/>
      <c r="Q1506" t="inlineStr"/>
      <c r="R1506" t="inlineStr"/>
      <c r="S1506" t="inlineStr"/>
    </row>
    <row r="1507">
      <c r="A1507">
        <f>Skills!A17</f>
        <v/>
      </c>
      <c r="B1507">
        <f>Skills!B17</f>
        <v/>
      </c>
      <c r="C1507">
        <f>Inputs!$B$3&gt;=66</f>
        <v/>
      </c>
      <c r="D1507">
        <f>IF(Skills!C17=1,60+Inputs!$B$25+Inputs!$B$29,IF(Skills!C17=2,90+Inputs!$B$26+Inputs!$B$29,IF(Skills!C17=3,120+Inputs!$B$27+Inputs!$B$29,MAX(0,(Inputs!$B$3-100)*3)+Inputs!$B$28+Inputs!$B$29)))</f>
        <v/>
      </c>
      <c r="E1507">
        <f>INDEX(FactorTable!$B$2:$Y$301, MATCH(ROUND(MIN(300,MAX(1,D1507)),0), FactorTable!$A$2:$A$301,0), Skills!M17+1)</f>
        <v/>
      </c>
      <c r="F1507">
        <f>IF(Skills!N17=TRUE,(Skills!L17/10)*(E1507/1000),Skills!L17/10)+Skills!O17</f>
        <v/>
      </c>
      <c r="G1507">
        <f>Skills!G17*IF(Skills!H17&gt;0,Skills!I17/Skills!H17,1)</f>
        <v/>
      </c>
      <c r="H1507">
        <f>1-(1-Skills!J17/100)^Skills!K17</f>
        <v/>
      </c>
      <c r="I1507" t="inlineStr">
        <is>
          <t>1</t>
        </is>
      </c>
      <c r="J1507" t="inlineStr"/>
      <c r="K1507" t="inlineStr"/>
      <c r="L1507" t="inlineStr"/>
      <c r="M1507" t="inlineStr"/>
      <c r="N1507" t="inlineStr"/>
      <c r="O1507">
        <f>(1-Summary!$B$11)*T1507+Summary!$B$11*V1507</f>
        <v/>
      </c>
      <c r="P1507">
        <f>IF(B1530=0,0,O1507/B1530)</f>
        <v/>
      </c>
      <c r="Q1507" t="n">
        <v>0</v>
      </c>
      <c r="R1507" t="n">
        <v>0</v>
      </c>
      <c r="S1507">
        <f>IFERROR(O1507/N1507,0)</f>
        <v/>
      </c>
      <c r="T1507" t="n">
        <v>0</v>
      </c>
      <c r="V1507" t="n">
        <v>0</v>
      </c>
    </row>
    <row r="1508">
      <c r="A1508">
        <f>Skills!A18</f>
        <v/>
      </c>
      <c r="B1508">
        <f>Skills!B18</f>
        <v/>
      </c>
      <c r="C1508">
        <f>Inputs!$B$3&gt;=115</f>
        <v/>
      </c>
      <c r="D1508">
        <f>IF(Skills!C18=1,60+Inputs!$B$25+Inputs!$B$29,IF(Skills!C18=2,90+Inputs!$B$26+Inputs!$B$29,IF(Skills!C18=3,120+Inputs!$B$27+Inputs!$B$29,MAX(0,(Inputs!$B$3-100)*3)+Inputs!$B$28+Inputs!$B$29)))</f>
        <v/>
      </c>
      <c r="E1508">
        <f>INDEX(FactorTable!$B$2:$Y$301, MATCH(ROUND(MIN(300,MAX(1,D1508)),0), FactorTable!$A$2:$A$301,0), Skills!M18+1)</f>
        <v/>
      </c>
      <c r="F1508">
        <f>IF(Skills!N18=TRUE,(Skills!L18/10)*(E1508/1000),Skills!L18/10)+Skills!O18</f>
        <v/>
      </c>
      <c r="G1508">
        <f>Skills!G18*IF(Skills!H18&gt;0,Skills!I18/Skills!H18,1)</f>
        <v/>
      </c>
      <c r="H1508">
        <f>1-(1-Skills!J18/100)^Skills!K18</f>
        <v/>
      </c>
      <c r="I1508" t="inlineStr">
        <is>
          <t>1</t>
        </is>
      </c>
      <c r="J1508" t="inlineStr"/>
      <c r="K1508" t="inlineStr"/>
      <c r="L1508" t="inlineStr"/>
      <c r="M1508" t="inlineStr"/>
      <c r="N1508" t="inlineStr"/>
      <c r="O1508">
        <f>(1-Summary!$B$11)*T1508+Summary!$B$11*V1508</f>
        <v/>
      </c>
      <c r="P1508">
        <f>IF(B1530=0,0,O1508/B1530)</f>
        <v/>
      </c>
      <c r="Q1508" t="n">
        <v>0</v>
      </c>
      <c r="R1508" t="n">
        <v>0</v>
      </c>
      <c r="S1508">
        <f>IFERROR(O1508/N1508,0)</f>
        <v/>
      </c>
      <c r="T1508" t="n">
        <v>0</v>
      </c>
      <c r="V1508" t="n">
        <v>0</v>
      </c>
    </row>
    <row r="1509">
      <c r="A1509">
        <f>Skills!A19</f>
        <v/>
      </c>
      <c r="B1509">
        <f>Skills!B19</f>
        <v/>
      </c>
      <c r="C1509">
        <f>Inputs!$B$3&gt;=15</f>
        <v/>
      </c>
      <c r="D1509">
        <f>IF(Skills!C19=1,60+Inputs!$B$25+Inputs!$B$29,IF(Skills!C19=2,90+Inputs!$B$26+Inputs!$B$29,IF(Skills!C19=3,120+Inputs!$B$27+Inputs!$B$29,MAX(0,(Inputs!$B$3-100)*3)+Inputs!$B$28+Inputs!$B$29)))</f>
        <v/>
      </c>
      <c r="E1509">
        <f>INDEX(FactorTable!$B$2:$Y$301, MATCH(ROUND(MIN(300,MAX(1,D1509)),0), FactorTable!$A$2:$A$301,0), Skills!M19+1)</f>
        <v/>
      </c>
      <c r="F1509">
        <f>IF(Skills!N19=TRUE,(Skills!L19/10)*(E1509/1000),Skills!L19/10)+Skills!O19</f>
        <v/>
      </c>
      <c r="G1509">
        <f>Skills!G19*IF(Skills!H19&gt;0,Skills!I19/Skills!H19,1)</f>
        <v/>
      </c>
      <c r="H1509">
        <f>1-(1-Skills!J19/100)^Skills!K19</f>
        <v/>
      </c>
      <c r="I1509" t="inlineStr">
        <is>
          <t>1</t>
        </is>
      </c>
      <c r="J1509" t="inlineStr"/>
      <c r="K1509" t="inlineStr"/>
      <c r="L1509" t="inlineStr"/>
      <c r="M1509" t="inlineStr"/>
      <c r="N1509" t="inlineStr"/>
      <c r="O1509">
        <f>(1-Summary!$B$11)*T1509+Summary!$B$11*V1509</f>
        <v/>
      </c>
      <c r="P1509">
        <f>IF(B1530=0,0,O1509/B1530)</f>
        <v/>
      </c>
      <c r="Q1509" t="n">
        <v>0</v>
      </c>
      <c r="R1509" t="n">
        <v>0</v>
      </c>
      <c r="S1509">
        <f>IFERROR(O1509/N1509,0)</f>
        <v/>
      </c>
      <c r="T1509" t="n">
        <v>0</v>
      </c>
      <c r="V1509" t="n">
        <v>0</v>
      </c>
    </row>
    <row r="1510">
      <c r="A1510">
        <f>Skills!A20</f>
        <v/>
      </c>
      <c r="B1510">
        <f>Skills!B20</f>
        <v/>
      </c>
      <c r="C1510">
        <f>Inputs!$B$3&gt;=10</f>
        <v/>
      </c>
      <c r="D1510">
        <f>IF(Skills!C20=1,60+Inputs!$B$25+Inputs!$B$29,IF(Skills!C20=2,90+Inputs!$B$26+Inputs!$B$29,IF(Skills!C20=3,120+Inputs!$B$27+Inputs!$B$29,MAX(0,(Inputs!$B$3-100)*3)+Inputs!$B$28+Inputs!$B$29)))</f>
        <v/>
      </c>
      <c r="E1510">
        <f>INDEX(FactorTable!$B$2:$Y$301, MATCH(ROUND(MIN(300,MAX(1,D1510)),0), FactorTable!$A$2:$A$301,0), Skills!M20+1)</f>
        <v/>
      </c>
      <c r="F1510">
        <f>IF(Skills!N20=TRUE,(Skills!L20/10)*(E1510/1000),Skills!L20/10)+Skills!O20</f>
        <v/>
      </c>
      <c r="G1510">
        <f>Skills!G20*IF(Skills!H20&gt;0,Skills!I20/Skills!H20,1)</f>
        <v/>
      </c>
      <c r="H1510">
        <f>1-(1-Skills!J20/100)^Skills!K20</f>
        <v/>
      </c>
      <c r="I1510" t="inlineStr">
        <is>
          <t>1</t>
        </is>
      </c>
      <c r="J1510" t="inlineStr"/>
      <c r="K1510" t="inlineStr"/>
      <c r="L1510" t="inlineStr"/>
      <c r="M1510" t="inlineStr"/>
      <c r="N1510" t="inlineStr"/>
      <c r="O1510">
        <f>(1-Summary!$B$11)*T1510+Summary!$B$11*V1510</f>
        <v/>
      </c>
      <c r="P1510">
        <f>IF(B1530=0,0,O1510/B1530)</f>
        <v/>
      </c>
      <c r="Q1510" t="n">
        <v>0</v>
      </c>
      <c r="R1510" t="n">
        <v>0</v>
      </c>
      <c r="S1510">
        <f>IFERROR(O1510/N1510,0)</f>
        <v/>
      </c>
      <c r="T1510" t="n">
        <v>0</v>
      </c>
      <c r="V1510" t="n">
        <v>0</v>
      </c>
    </row>
    <row r="1511">
      <c r="A1511">
        <f>Skills!A21</f>
        <v/>
      </c>
      <c r="B1511">
        <f>Skills!B21</f>
        <v/>
      </c>
      <c r="C1511">
        <f>Inputs!$B$3&gt;=33</f>
        <v/>
      </c>
      <c r="D1511">
        <f>IF(Skills!C21=1,60+Inputs!$B$25+Inputs!$B$29,IF(Skills!C21=2,90+Inputs!$B$26+Inputs!$B$29,IF(Skills!C21=3,120+Inputs!$B$27+Inputs!$B$29,MAX(0,(Inputs!$B$3-100)*3)+Inputs!$B$28+Inputs!$B$29)))</f>
        <v/>
      </c>
      <c r="E1511">
        <f>INDEX(FactorTable!$B$2:$Y$301, MATCH(ROUND(MIN(300,MAX(1,D1511)),0), FactorTable!$A$2:$A$301,0), Skills!M21+1)</f>
        <v/>
      </c>
      <c r="F1511">
        <f>IF(Skills!N21=TRUE,(Skills!L21/10)*(E1511/1000),Skills!L21/10)+Skills!O21</f>
        <v/>
      </c>
      <c r="G1511">
        <f>Skills!G21*IF(Skills!H21&gt;0,Skills!I21/Skills!H21,1)</f>
        <v/>
      </c>
      <c r="H1511">
        <f>1-(1-Skills!J21/100)^Skills!K21</f>
        <v/>
      </c>
      <c r="I1511" t="inlineStr">
        <is>
          <t>1</t>
        </is>
      </c>
      <c r="J1511" t="inlineStr"/>
      <c r="K1511" t="inlineStr"/>
      <c r="L1511" t="inlineStr"/>
      <c r="M1511" t="inlineStr"/>
      <c r="N1511" t="inlineStr"/>
      <c r="O1511">
        <f>(1-Summary!$B$11)*T1511+Summary!$B$11*V1511</f>
        <v/>
      </c>
      <c r="P1511">
        <f>IF(B1530=0,0,O1511/B1530)</f>
        <v/>
      </c>
      <c r="Q1511" t="n">
        <v>0</v>
      </c>
      <c r="R1511" t="n">
        <v>0</v>
      </c>
      <c r="S1511">
        <f>IFERROR(O1511/N1511,0)</f>
        <v/>
      </c>
      <c r="T1511" t="n">
        <v>0</v>
      </c>
      <c r="V1511" t="n">
        <v>0</v>
      </c>
    </row>
    <row r="1512">
      <c r="A1512">
        <f>Skills!A22</f>
        <v/>
      </c>
      <c r="B1512">
        <f>Skills!B22</f>
        <v/>
      </c>
      <c r="C1512">
        <f>Inputs!$B$3&gt;=43</f>
        <v/>
      </c>
      <c r="D1512">
        <f>IF(Skills!C22=1,60+Inputs!$B$25+Inputs!$B$29,IF(Skills!C22=2,90+Inputs!$B$26+Inputs!$B$29,IF(Skills!C22=3,120+Inputs!$B$27+Inputs!$B$29,MAX(0,(Inputs!$B$3-100)*3)+Inputs!$B$28+Inputs!$B$29)))</f>
        <v/>
      </c>
      <c r="E1512">
        <f>INDEX(FactorTable!$B$2:$Y$301, MATCH(ROUND(MIN(300,MAX(1,D1512)),0), FactorTable!$A$2:$A$301,0), Skills!M22+1)</f>
        <v/>
      </c>
      <c r="F1512">
        <f>IF(Skills!N22=TRUE,(Skills!L22/10)*(E1512/1000),Skills!L22/10)+Skills!O22</f>
        <v/>
      </c>
      <c r="G1512">
        <f>Skills!G22*IF(Skills!H22&gt;0,Skills!I22/Skills!H22,1)</f>
        <v/>
      </c>
      <c r="H1512">
        <f>1-(1-Skills!J22/100)^Skills!K22</f>
        <v/>
      </c>
      <c r="I1512" t="inlineStr">
        <is>
          <t>1</t>
        </is>
      </c>
      <c r="J1512" t="inlineStr"/>
      <c r="K1512" t="inlineStr"/>
      <c r="L1512" t="inlineStr"/>
      <c r="M1512" t="inlineStr"/>
      <c r="N1512" t="inlineStr"/>
      <c r="O1512">
        <f>(1-Summary!$B$11)*T1512+Summary!$B$11*V1512</f>
        <v/>
      </c>
      <c r="P1512">
        <f>IF(B1530=0,0,O1512/B1530)</f>
        <v/>
      </c>
      <c r="Q1512" t="n">
        <v>0</v>
      </c>
      <c r="R1512" t="n">
        <v>0</v>
      </c>
      <c r="S1512">
        <f>IFERROR(O1512/N1512,0)</f>
        <v/>
      </c>
      <c r="T1512" t="n">
        <v>0</v>
      </c>
      <c r="V1512" t="n">
        <v>0</v>
      </c>
    </row>
    <row r="1513">
      <c r="A1513">
        <f>Skills!A23</f>
        <v/>
      </c>
      <c r="B1513">
        <f>Skills!B23</f>
        <v/>
      </c>
      <c r="C1513">
        <f>Inputs!$B$3&gt;=38</f>
        <v/>
      </c>
      <c r="D1513">
        <f>IF(Skills!C23=1,60+Inputs!$B$25+Inputs!$B$29,IF(Skills!C23=2,90+Inputs!$B$26+Inputs!$B$29,IF(Skills!C23=3,120+Inputs!$B$27+Inputs!$B$29,MAX(0,(Inputs!$B$3-100)*3)+Inputs!$B$28+Inputs!$B$29)))</f>
        <v/>
      </c>
      <c r="E1513">
        <f>INDEX(FactorTable!$B$2:$Y$301, MATCH(ROUND(MIN(300,MAX(1,D1513)),0), FactorTable!$A$2:$A$301,0), Skills!M23+1)</f>
        <v/>
      </c>
      <c r="F1513">
        <f>IF(Skills!N23=TRUE,(Skills!L23/10)*(E1513/1000),Skills!L23/10)+Skills!O23</f>
        <v/>
      </c>
      <c r="G1513">
        <f>Skills!G23*IF(Skills!H23&gt;0,Skills!I23/Skills!H23,1)</f>
        <v/>
      </c>
      <c r="H1513">
        <f>1-(1-Skills!J23/100)^Skills!K23</f>
        <v/>
      </c>
      <c r="I1513" t="inlineStr">
        <is>
          <t>1</t>
        </is>
      </c>
      <c r="J1513" t="inlineStr"/>
      <c r="K1513" t="inlineStr"/>
      <c r="L1513" t="inlineStr"/>
      <c r="M1513" t="inlineStr"/>
      <c r="N1513" t="inlineStr"/>
      <c r="O1513">
        <f>(1-Summary!$B$11)*T1513+Summary!$B$11*V1513</f>
        <v/>
      </c>
      <c r="P1513">
        <f>IF(B1530=0,0,O1513/B1530)</f>
        <v/>
      </c>
      <c r="Q1513" t="n">
        <v>0</v>
      </c>
      <c r="R1513" t="n">
        <v>0</v>
      </c>
      <c r="S1513">
        <f>IFERROR(O1513/N1513,0)</f>
        <v/>
      </c>
      <c r="T1513" t="n">
        <v>0</v>
      </c>
      <c r="V1513" t="n">
        <v>0</v>
      </c>
    </row>
    <row r="1514">
      <c r="A1514">
        <f>Skills!A24</f>
        <v/>
      </c>
      <c r="B1514">
        <f>Skills!B24</f>
        <v/>
      </c>
      <c r="C1514">
        <f>Inputs!$B$3&gt;=40</f>
        <v/>
      </c>
      <c r="D1514">
        <f>IF(Skills!C24=1,60+Inputs!$B$25+Inputs!$B$29,IF(Skills!C24=2,90+Inputs!$B$26+Inputs!$B$29,IF(Skills!C24=3,120+Inputs!$B$27+Inputs!$B$29,MAX(0,(Inputs!$B$3-100)*3)+Inputs!$B$28+Inputs!$B$29)))</f>
        <v/>
      </c>
      <c r="E1514">
        <f>INDEX(FactorTable!$B$2:$Y$301, MATCH(ROUND(MIN(300,MAX(1,D1514)),0), FactorTable!$A$2:$A$301,0), Skills!M24+1)</f>
        <v/>
      </c>
      <c r="F1514">
        <f>IF(Skills!N24=TRUE,(Skills!L24/10)*(E1514/1000),Skills!L24/10)+Skills!O24</f>
        <v/>
      </c>
      <c r="G1514">
        <f>Skills!G24*IF(Skills!H24&gt;0,Skills!I24/Skills!H24,1)</f>
        <v/>
      </c>
      <c r="H1514">
        <f>1-(1-Skills!J24/100)^Skills!K24</f>
        <v/>
      </c>
      <c r="I1514" t="inlineStr">
        <is>
          <t>1</t>
        </is>
      </c>
      <c r="J1514" t="inlineStr"/>
      <c r="K1514" t="inlineStr"/>
      <c r="L1514" t="inlineStr"/>
      <c r="M1514" t="inlineStr"/>
      <c r="N1514" t="inlineStr"/>
      <c r="O1514">
        <f>(1-Summary!$B$11)*T1514+Summary!$B$11*V1514</f>
        <v/>
      </c>
      <c r="P1514">
        <f>IF(B1530=0,0,O1514/B1530)</f>
        <v/>
      </c>
      <c r="Q1514" t="n">
        <v>0</v>
      </c>
      <c r="R1514" t="n">
        <v>0</v>
      </c>
      <c r="S1514">
        <f>IFERROR(O1514/N1514,0)</f>
        <v/>
      </c>
      <c r="T1514" t="n">
        <v>0</v>
      </c>
      <c r="V1514" t="n">
        <v>0</v>
      </c>
    </row>
    <row r="1515">
      <c r="A1515">
        <f>Skills!A25</f>
        <v/>
      </c>
      <c r="B1515">
        <f>Skills!B25</f>
        <v/>
      </c>
      <c r="C1515">
        <f>Inputs!$B$3&gt;=72</f>
        <v/>
      </c>
      <c r="D1515">
        <f>IF(Skills!C25=1,60+Inputs!$B$25+Inputs!$B$29,IF(Skills!C25=2,90+Inputs!$B$26+Inputs!$B$29,IF(Skills!C25=3,120+Inputs!$B$27+Inputs!$B$29,MAX(0,(Inputs!$B$3-100)*3)+Inputs!$B$28+Inputs!$B$29)))</f>
        <v/>
      </c>
      <c r="E1515">
        <f>INDEX(FactorTable!$B$2:$Y$301, MATCH(ROUND(MIN(300,MAX(1,D1515)),0), FactorTable!$A$2:$A$301,0), Skills!M25+1)</f>
        <v/>
      </c>
      <c r="F1515">
        <f>IF(Skills!N25=TRUE,(Skills!L25/10)*(E1515/1000),Skills!L25/10)+Skills!O25</f>
        <v/>
      </c>
      <c r="G1515">
        <f>Skills!G25*IF(Skills!H25&gt;0,Skills!I25/Skills!H25,1)</f>
        <v/>
      </c>
      <c r="H1515">
        <f>1-(1-Skills!J25/100)^Skills!K25</f>
        <v/>
      </c>
      <c r="I1515" t="inlineStr">
        <is>
          <t>1</t>
        </is>
      </c>
      <c r="J1515" t="inlineStr"/>
      <c r="K1515" t="inlineStr"/>
      <c r="L1515" t="inlineStr"/>
      <c r="M1515" t="inlineStr"/>
      <c r="N1515" t="inlineStr"/>
      <c r="O1515">
        <f>(1-Summary!$B$11)*T1515+Summary!$B$11*V1515</f>
        <v/>
      </c>
      <c r="P1515">
        <f>IF(B1530=0,0,O1515/B1530)</f>
        <v/>
      </c>
      <c r="Q1515" t="n">
        <v>0</v>
      </c>
      <c r="R1515" t="n">
        <v>0</v>
      </c>
      <c r="S1515">
        <f>IFERROR(O1515/N1515,0)</f>
        <v/>
      </c>
      <c r="T1515" t="n">
        <v>0</v>
      </c>
      <c r="V1515" t="n">
        <v>0</v>
      </c>
    </row>
    <row r="1516">
      <c r="A1516">
        <f>Skills!A26</f>
        <v/>
      </c>
      <c r="B1516">
        <f>Skills!B26</f>
        <v/>
      </c>
      <c r="C1516">
        <f>Inputs!$B$3&gt;=75</f>
        <v/>
      </c>
      <c r="D1516">
        <f>IF(Skills!C26=1,60+Inputs!$B$25+Inputs!$B$29,IF(Skills!C26=2,90+Inputs!$B$26+Inputs!$B$29,IF(Skills!C26=3,120+Inputs!$B$27+Inputs!$B$29,MAX(0,(Inputs!$B$3-100)*3)+Inputs!$B$28+Inputs!$B$29)))</f>
        <v/>
      </c>
      <c r="E1516">
        <f>INDEX(FactorTable!$B$2:$Y$301, MATCH(ROUND(MIN(300,MAX(1,D1516)),0), FactorTable!$A$2:$A$301,0), Skills!M26+1)</f>
        <v/>
      </c>
      <c r="F1516">
        <f>IF(Skills!N26=TRUE,(Skills!L26/10)*(E1516/1000),Skills!L26/10)+Skills!O26</f>
        <v/>
      </c>
      <c r="G1516">
        <f>Skills!G26*IF(Skills!H26&gt;0,Skills!I26/Skills!H26,1)</f>
        <v/>
      </c>
      <c r="H1516">
        <f>1-(1-Skills!J26/100)^Skills!K26</f>
        <v/>
      </c>
      <c r="I1516" t="inlineStr">
        <is>
          <t>1</t>
        </is>
      </c>
      <c r="J1516" t="inlineStr"/>
      <c r="K1516" t="inlineStr"/>
      <c r="L1516" t="inlineStr"/>
      <c r="M1516" t="inlineStr"/>
      <c r="N1516" t="inlineStr"/>
      <c r="O1516">
        <f>(1-Summary!$B$11)*T1516+Summary!$B$11*V1516</f>
        <v/>
      </c>
      <c r="P1516">
        <f>IF(B1530=0,0,O1516/B1530)</f>
        <v/>
      </c>
      <c r="Q1516" t="n">
        <v>0</v>
      </c>
      <c r="R1516" t="n">
        <v>0</v>
      </c>
      <c r="S1516">
        <f>IFERROR(O1516/N1516,0)</f>
        <v/>
      </c>
      <c r="T1516" t="n">
        <v>0</v>
      </c>
      <c r="V1516" t="n">
        <v>0</v>
      </c>
    </row>
    <row r="1517">
      <c r="A1517">
        <f>Skills!A27</f>
        <v/>
      </c>
      <c r="B1517">
        <f>Skills!B27</f>
        <v/>
      </c>
      <c r="C1517">
        <f>Inputs!$B$3&gt;=117</f>
        <v/>
      </c>
      <c r="D1517">
        <f>IF(Skills!C27=1,60+Inputs!$B$25+Inputs!$B$29,IF(Skills!C27=2,90+Inputs!$B$26+Inputs!$B$29,IF(Skills!C27=3,120+Inputs!$B$27+Inputs!$B$29,MAX(0,(Inputs!$B$3-100)*3)+Inputs!$B$28+Inputs!$B$29)))</f>
        <v/>
      </c>
      <c r="E1517">
        <f>INDEX(FactorTable!$B$2:$Y$301, MATCH(ROUND(MIN(300,MAX(1,D1517)),0), FactorTable!$A$2:$A$301,0), Skills!M27+1)</f>
        <v/>
      </c>
      <c r="F1517">
        <f>IF(Skills!N27=TRUE,(Skills!L27/10)*(E1517/1000),Skills!L27/10)+Skills!O27</f>
        <v/>
      </c>
      <c r="G1517">
        <f>Skills!G27*IF(Skills!H27&gt;0,Skills!I27/Skills!H27,1)</f>
        <v/>
      </c>
      <c r="H1517">
        <f>1-(1-Skills!J27/100)^Skills!K27</f>
        <v/>
      </c>
      <c r="I1517" t="inlineStr">
        <is>
          <t>1</t>
        </is>
      </c>
      <c r="J1517" t="inlineStr"/>
      <c r="K1517" t="inlineStr"/>
      <c r="L1517" t="inlineStr"/>
      <c r="M1517" t="inlineStr"/>
      <c r="N1517" t="inlineStr"/>
      <c r="O1517">
        <f>(1-Summary!$B$11)*T1517+Summary!$B$11*V1517</f>
        <v/>
      </c>
      <c r="P1517">
        <f>IF(B1530=0,0,O1517/B1530)</f>
        <v/>
      </c>
      <c r="Q1517" t="n">
        <v>0</v>
      </c>
      <c r="R1517" t="n">
        <v>0</v>
      </c>
      <c r="S1517">
        <f>IFERROR(O1517/N1517,0)</f>
        <v/>
      </c>
      <c r="T1517" t="n">
        <v>0</v>
      </c>
      <c r="V1517" t="n">
        <v>0</v>
      </c>
    </row>
    <row r="1519">
      <c r="A1519" t="inlineStr">
        <is>
          <t>Attack% Bucket Multiplier</t>
        </is>
      </c>
      <c r="B1519">
        <f>(1+(((C1507=TRUE)*F1507)+((C1514=TRUE)*(F1514-Calc!F24))+(IF(ArtifactsInput!$M$21,CHOOSE(ArtifactsInput!$N$21+1,25,30,35,40,45,50)*(IF(OR(Inputs!$B$4="Chapter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20">
      <c r="A1520" t="inlineStr">
        <is>
          <t>Global Crit Rate Bonus %</t>
        </is>
      </c>
      <c r="B1520" t="n">
        <v>0</v>
      </c>
    </row>
    <row r="1521">
      <c r="A1521" t="inlineStr">
        <is>
          <t>Attack Speed Buff Bonus % (unused)</t>
        </is>
      </c>
      <c r="B1521" t="n">
        <v>0</v>
      </c>
    </row>
    <row r="1522">
      <c r="A1522" t="inlineStr">
        <is>
          <t>Actions Per Second</t>
        </is>
      </c>
      <c r="B1522">
        <f>1+MIN(150,150*(1-(1-(Inputs!$B$11+((C1510=TRUE)*(F1510-Calc!F20))+((C1511=TRUE)*(F1511-Calc!F21)))/150)*(1-B1521/150)))/100</f>
        <v/>
      </c>
    </row>
    <row r="1523">
      <c r="A1523" t="inlineStr">
        <is>
          <t>Skill + Buff Cast Rate</t>
        </is>
      </c>
      <c r="B1523">
        <f>IF(AND(Inputs!$B$38&lt;&gt;"pvp",Inputs!$B$43&gt;0),SUMPRODUCT((Skills!E2:E27=TRUE)*(C1492:C1517=TRUE)*R1492:R1517*Skills!F2:F27)/Inputs!$B$43,SUMPRODUCT((Skills!E2:E27=TRUE)*(C1492:C1517=TRUE)*Q1492:Q1517*Skills!F2:F27))</f>
        <v/>
      </c>
    </row>
    <row r="1524">
      <c r="A1524" t="inlineStr">
        <is>
          <t>Eight-Legs Easton Casts Per Second</t>
        </is>
      </c>
      <c r="B1524">
        <f>MAX(0,B1522-B1523)</f>
        <v/>
      </c>
    </row>
    <row r="1525">
      <c r="A1525" t="inlineStr">
        <is>
          <t>Global Critical Damage Bonus % (unused)</t>
        </is>
      </c>
      <c r="B1525" t="n">
        <v>0</v>
      </c>
    </row>
    <row r="1526">
      <c r="A1526" t="inlineStr">
        <is>
          <t>Global Final Damage Bonus % (Jolly Roger only)</t>
        </is>
      </c>
      <c r="B1526">
        <f>((C1508=TRUE)*F1508)</f>
        <v/>
      </c>
    </row>
    <row r="1527">
      <c r="A1527" t="inlineStr">
        <is>
          <t>Buff-Casting Startup Delay (s, fixed-duration only)</t>
        </is>
      </c>
      <c r="B1527">
        <f>IF(AND(Inputs!$B$38&lt;&gt;"pvp",Inputs!$B$43&gt;0),SUMPRODUCT((Skills!T2:T27&gt;0)*(Skills!E2:E27=TRUE)*(C1492:C1517=TRUE))/B1522,0)</f>
        <v/>
      </c>
    </row>
    <row r="1528">
      <c r="A1528" t="inlineStr">
        <is>
          <t>Boss-Only Total DPS (this block's swept value)</t>
        </is>
      </c>
      <c r="B1528">
        <f>SUM(T1492:T1517)</f>
        <v/>
      </c>
    </row>
    <row r="1529">
      <c r="A1529" t="inlineStr">
        <is>
          <t>Normal-Only Total DPS (this block's swept value)</t>
        </is>
      </c>
      <c r="B1529">
        <f>SUM(V1492:V1517)</f>
        <v/>
      </c>
    </row>
    <row r="1530">
      <c r="A1530" s="6" t="inlineStr">
        <is>
          <t>TOTAL DPS</t>
        </is>
      </c>
      <c r="B1530" s="6">
        <f>SUM(O1492:O1517)</f>
        <v/>
      </c>
    </row>
    <row r="1533">
      <c r="A1533" s="6" t="inlineStr">
        <is>
          <t>Stat: Clear Spring Water (Equip)</t>
        </is>
      </c>
    </row>
    <row r="1534">
      <c r="A1534" s="5" t="inlineStr">
        <is>
          <t>Key</t>
        </is>
      </c>
      <c r="B1534" s="5" t="inlineStr">
        <is>
          <t>Name</t>
        </is>
      </c>
      <c r="C1534" s="5" t="inlineStr">
        <is>
          <t>Unlocked</t>
        </is>
      </c>
      <c r="D1534" s="5" t="inlineStr">
        <is>
          <t>InputLevel</t>
        </is>
      </c>
      <c r="E1534" s="5" t="inlineStr">
        <is>
          <t>Factor</t>
        </is>
      </c>
      <c r="F1534" s="5" t="inlineStr">
        <is>
          <t>CoefficientPercent</t>
        </is>
      </c>
      <c r="G1534" s="5" t="inlineStr">
        <is>
          <t>EffectiveHits</t>
        </is>
      </c>
      <c r="H1534" s="5" t="inlineStr">
        <is>
          <t>ProcProbability</t>
        </is>
      </c>
      <c r="I1534" s="5" t="inlineStr">
        <is>
          <t>MapleHeroMultiplier</t>
        </is>
      </c>
      <c r="J1534" s="5" t="inlineStr">
        <is>
          <t>BaseDamage</t>
        </is>
      </c>
      <c r="K1534" s="5" t="inlineStr">
        <is>
          <t>BaseHitDamage</t>
        </is>
      </c>
      <c r="L1534" s="5" t="inlineStr">
        <is>
          <t>NonCritAvg</t>
        </is>
      </c>
      <c r="M1534" s="5" t="inlineStr">
        <is>
          <t>CritAvg</t>
        </is>
      </c>
      <c r="N1534" s="5" t="inlineStr">
        <is>
          <t>ExpectedDamage(perHit)</t>
        </is>
      </c>
      <c r="O1534" s="5" t="inlineStr">
        <is>
          <t>DPS</t>
        </is>
      </c>
      <c r="P1534" s="5" t="inlineStr">
        <is>
          <t>% of Total</t>
        </is>
      </c>
      <c r="Q1534" s="5" t="inlineStr">
        <is>
          <t>InvCooldown</t>
        </is>
      </c>
      <c r="R1534" s="5" t="inlineStr">
        <is>
          <t>CastsInFight</t>
        </is>
      </c>
      <c r="S1534" s="5" t="inlineStr">
        <is>
          <t>HitRate(perSec)</t>
        </is>
      </c>
      <c r="U1534" t="inlineStr">
        <is>
          <t>helpers</t>
        </is>
      </c>
    </row>
    <row r="1535">
      <c r="A1535">
        <f>Skills!A2</f>
        <v/>
      </c>
      <c r="B1535">
        <f>Skills!B2</f>
        <v/>
      </c>
      <c r="C1535">
        <f>Inputs!$B$3&gt;=100</f>
        <v/>
      </c>
      <c r="D1535" t="inlineStr"/>
      <c r="E1535" t="inlineStr"/>
      <c r="F1535">
        <f>U1537+Skills!O2</f>
        <v/>
      </c>
      <c r="G1535">
        <f>Skills!G2*IF(Skills!H2&gt;0,Skills!I2/Skills!H2,1)</f>
        <v/>
      </c>
      <c r="H1535">
        <f>1-(1-Skills!J2/100)^Skills!K2</f>
        <v/>
      </c>
      <c r="I1535" t="inlineStr">
        <is>
          <t>1</t>
        </is>
      </c>
      <c r="J1535">
        <f>((Inputs!$B$6*(1+Inputs!$B$7/100))+(((Inputs!$B$12*(1+Inputs!$B$13/100))-(Inputs!$B$12*(1+Inputs!$B$13/100)))+0.25*(Inputs!$B$14-Inputs!$B$14))*(1+Inputs!$B$7/100))*(F1535/100)</f>
        <v/>
      </c>
      <c r="K1535">
        <f>J1535*(1+((Inputs!$B$12*(1+Inputs!$B$13/100))*0.01+Inputs!$B$14*0.0025)/100)*(1+Inputs!$B$15/100)*(1+Inputs!$B$16/100)*(5000/(6000+Inputs!$B$42*(1-(100*(1-(1-(Inputs!$B$19+0)/100)*(1-CHOOSE(ArtifactsInput!$N$40+1,5,6,7,8,9,10)/100)^(ArtifactsInput!$M$40-ArtifactsInput!$M$40)))/100)))*(1+(Inputs!$B$24+((C1559=TRUE)*(F1559-Calc!F26))+B1569)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1556=TRUE)*(F1556-Calc!F23))+((C1560=TRUE)*(F1560-Calc!F27))+(((IF(AND(ArtifactsInput!$M$42,((Inputs!$B$9+((C1552=TRUE)*(F1552-Calc!F19))+B1563+(ArtifactsInput!$M$24-ArtifactsInput!$M$24)*CHOOSE(ArtifactsInput!$N$24+1,10,12,14,16,18,20)+IF(ArtifactsInput!$M$10,CHOOSE(ArtifactsInput!$N$10+1,15,18,21,24,27,30)*(IF(Inputs!$B$38="pvp",MIN(15,15)/15,IF(AND(Inputs!$B$38&lt;&gt;"pvp",Inputs!$B$43&gt;0),MIN(15,Inputs!$B$43)/(Inputs!$B$43),0))),0)))&gt;=100),MIN(100,((Inputs!$B$9+((C1552=TRUE)*(F1552-Calc!F19))+B1563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1552=TRUE)*(F1552-Calc!F19))+B1563+(ArtifactsInput!$M$24-ArtifactsInput!$M$24)*CHOOSE(ArtifactsInput!$N$24+1,10,12,14,16,18,20)+IF(ArtifactsInput!$M$10,CHOOSE(ArtifactsInput!$N$10+1,15,18,21,24,27,30)*(IF(Inputs!$B$38="pvp",MIN(15,15)/15,IF(AND(Inputs!$B$38&lt;&gt;"pvp",Inputs!$B$43&gt;0),MIN(15,Inputs!$B$43)/(Inputs!$B$43),0))),0)))&gt;=100),CHOOSE(ArtifactsInput!$N$42+1,40,48,56,64,72,80),0))))/100)*((1+(((C1550=TRUE)*F1550)+((C1557=TRUE)*(F1557-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1535)</f>
        <v/>
      </c>
      <c r="L1535">
        <f>K1535*(MIN(Inputs!$B$22+((C1555=TRUE)*(F1555-Calc!F22)),(Inputs!$B$23+0+(IF(ArtifactsInput!$M$15,CHOOSE(ArtifactsInput!$N$15+1,25,30,35,40,45,50)/100*(Inputs!$B$11-Inputs!$B$11),0))))/100+(Inputs!$B$23+0+(IF(ArtifactsInput!$M$15,CHOOSE(ArtifactsInput!$N$15+1,25,30,35,40,45,50)/100*(Inputs!$B$11-Inputs!$B$11),0)))/100)/2</f>
        <v/>
      </c>
      <c r="M1535">
        <f>L1535*(1+(Inputs!$B$10+((C1558=TRUE)*(F1558-Calc!F25))+B1568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5">
        <f>L1535*(1-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1535*(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5">
        <f>(1-Summary!$B$11)*T1535+Summary!$B$11*V1535</f>
        <v/>
      </c>
      <c r="P1535">
        <f>IF(B1573=0,0,O1535/B1573)</f>
        <v/>
      </c>
      <c r="Q1535" t="n">
        <v>0</v>
      </c>
      <c r="R1535" t="n">
        <v>0</v>
      </c>
      <c r="S1535">
        <f>IFERROR(O1535/N1535,0)</f>
        <v/>
      </c>
      <c r="T1535">
        <f>IF(C1535,(Skills!G2*N1535*B1567)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1535*(1-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1535*(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1535*(1-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1535*(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5">
        <f>MAX(0,(Inputs!$B$3-100)*3)+Inputs!$B$28+Inputs!$B$29</f>
        <v/>
      </c>
      <c r="V1535">
        <f>IF(C1535,(Skills!G2*N1535*B1567)*IF(Inputs!$B$38="pvp",1,(1+(Inputs!$B$21+Skills!Q2+(IF(ArtifactsInput!$M$33,CHOOSE(ArtifactsInput!$N$33+1,30,36,42,48,54,60),0))+(IF(AND(ArtifactsInput!$M$35,Inputs!$B$4&lt;&gt;"Chapter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6">
      <c r="A1536">
        <f>Skills!A3</f>
        <v/>
      </c>
      <c r="B1536">
        <f>Skills!B3</f>
        <v/>
      </c>
      <c r="C1536">
        <f>Inputs!$B$3&gt;=35</f>
        <v/>
      </c>
      <c r="D1536">
        <f>IF(Skills!C3=1,60+Inputs!$B$25+Inputs!$B$29,IF(Skills!C3=2,90+Inputs!$B$26+Inputs!$B$29,IF(Skills!C3=3,120+Inputs!$B$27+Inputs!$B$29,MAX(0,(Inputs!$B$3-100)*3)+Inputs!$B$28+Inputs!$B$29)))</f>
        <v/>
      </c>
      <c r="E1536">
        <f>INDEX(FactorTable!$B$2:$Y$301, MATCH(ROUND(MIN(300,MAX(1,D1536)),0), FactorTable!$A$2:$A$301,0), Skills!M3+1)</f>
        <v/>
      </c>
      <c r="F1536">
        <f>IF(Skills!N3=TRUE,(Skills!L3/10)*(E1536/1000),Skills!L3/10)+Skills!O3</f>
        <v/>
      </c>
      <c r="G1536">
        <f>Skills!G3*IF(Skills!H3&gt;0,Skills!I3/Skills!H3,1)</f>
        <v/>
      </c>
      <c r="H1536">
        <f>1-(1-Skills!J3/100)^Skills!K3</f>
        <v/>
      </c>
      <c r="I1536" t="inlineStr">
        <is>
          <t>1</t>
        </is>
      </c>
      <c r="J1536">
        <f>((Inputs!$B$6*(1+Inputs!$B$7/100))+(((Inputs!$B$12*(1+Inputs!$B$13/100))-(Inputs!$B$12*(1+Inputs!$B$13/100)))+0.25*(Inputs!$B$14-Inputs!$B$14))*(1+Inputs!$B$7/100))*(F1536/100)</f>
        <v/>
      </c>
      <c r="K1536">
        <f>J1536*(1+((Inputs!$B$12*(1+Inputs!$B$13/100))*0.01+Inputs!$B$14*0.0025)/100)*(1+Inputs!$B$15/100)*(1+Inputs!$B$16/100)*(5000/(6000+Inputs!$B$42*(1-(100*(1-(1-(Inputs!$B$19+0)/100)*(1-CHOOSE(ArtifactsInput!$N$40+1,5,6,7,8,9,10)/100)^(ArtifactsInput!$M$40-ArtifactsInput!$M$40)))/100)))*(1+(Inputs!$B$24+((C1559=TRUE)*(F1559-Calc!F26))+B1569)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1548=TRUE,F1548,0)/100)*(1+(IF(Skills!A3="EIGHT_LEGS_EASTON",Inputs!$B$17+((C1556=TRUE)*(F1556-Calc!F23))+((C1560=TRUE)*(F1560-Calc!F27))+(((IF(AND(ArtifactsInput!$M$42,((Inputs!$B$9+((C1552=TRUE)*(F1552-Calc!F19))+B1563+(ArtifactsInput!$M$24-ArtifactsInput!$M$24)*CHOOSE(ArtifactsInput!$N$24+1,10,12,14,16,18,20)+IF(ArtifactsInput!$M$10,CHOOSE(ArtifactsInput!$N$10+1,15,18,21,24,27,30)*(IF(Inputs!$B$38="pvp",MIN(15,15)/15,IF(AND(Inputs!$B$38&lt;&gt;"pvp",Inputs!$B$43&gt;0),MIN(15,Inputs!$B$43)/(Inputs!$B$43),0))),0)))&gt;=100),MIN(100,((Inputs!$B$9+((C1552=TRUE)*(F1552-Calc!F19))+B1563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1552=TRUE)*(F1552-Calc!F19))+B1563+(ArtifactsInput!$M$24-ArtifactsInput!$M$24)*CHOOSE(ArtifactsInput!$N$24+1,10,12,14,16,18,20)+IF(ArtifactsInput!$M$10,CHOOSE(ArtifactsInput!$N$10+1,15,18,21,24,27,30)*(IF(Inputs!$B$38="pvp",MIN(15,15)/15,IF(AND(Inputs!$B$38&lt;&gt;"pvp",Inputs!$B$43&gt;0),MIN(15,Inputs!$B$43)/(Inputs!$B$43),0))),0)))&gt;=100),CHOOSE(ArtifactsInput!$N$42+1,40,48,56,64,72,80),0))))/100)*((1+(((C1550=TRUE)*F1550)+((C1557=TRUE)*(F1557-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1536)</f>
        <v/>
      </c>
      <c r="L1536">
        <f>K1536*(MIN(Inputs!$B$22+((C1555=TRUE)*(F1555-Calc!F22)),(Inputs!$B$23+0+(IF(ArtifactsInput!$M$15,CHOOSE(ArtifactsInput!$N$15+1,25,30,35,40,45,50)/100*(Inputs!$B$11-Inputs!$B$11),0))))/100+(Inputs!$B$23+0+(IF(ArtifactsInput!$M$15,CHOOSE(ArtifactsInput!$N$15+1,25,30,35,40,45,50)/100*(Inputs!$B$11-Inputs!$B$11),0)))/100)/2</f>
        <v/>
      </c>
      <c r="M1536">
        <f>L1536*(1+(Inputs!$B$10+((C1558=TRUE)*(F1558-Calc!F25))+B1568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6">
        <f>L1536*(1-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1536*(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6">
        <f>(1-Summary!$B$11)*T1536+Summary!$B$11*V1536</f>
        <v/>
      </c>
      <c r="P1536">
        <f>IF(B1573=0,0,O1536/B1573)</f>
        <v/>
      </c>
      <c r="Q1536">
        <f>IFERROR(1/(IF(Inputs!$B$38="pvp",15,MAX(0.1,Skills!D3-IF(Skills!E3=TRUE,Inputs!$B$32,0)))*(1-IF(AND(ArtifactsInput!$M$27,Inputs!$B$4="Chapter Hunt"),CHOOSE(ArtifactsInput!$N$27+1,20,24,28,32,36,40),0)/100)),0)</f>
        <v/>
      </c>
      <c r="R1536">
        <f>IF(AND(Inputs!$B$38&lt;&gt;"pvp",Inputs!$B$43&gt;0),IF(MAX(0,Inputs!$B$43-B1570)&lt;=0,0,(INT(MAX(0,Inputs!$B$43-B1570)/(IF(Inputs!$B$38="pvp",15,MAX(0.1,Skills!D3-IF(Skills!E3=TRUE,Inputs!$B$32,0)))*(1-IF(AND(ArtifactsInput!$M$27,Inputs!$B$4="Chapter Hunt"),CHOOSE(ArtifactsInput!$N$27+1,20,24,28,32,36,40),0)/100)))+1)),0)</f>
        <v/>
      </c>
      <c r="S1536">
        <f>IFERROR(O1536/N1536,0)</f>
        <v/>
      </c>
      <c r="T1536">
        <f>IF(C1536,(H1536*N1536*IF(AND(Inputs!$B$38&lt;&gt;"pvp",Inputs!$B$43&gt;0),((Skills!G3*((R1536-1)*IF(Skills!H3&gt;0,Skills!I3/Skills!H3,1)+IF(Skills!H3&gt;0,MIN(Skills!I3,MAX(0,MAX(0,Inputs!$B$43-B1570)-((R1536-1)*(IF(Inputs!$B$38="pvp",15,MAX(0.1,Skills!D3-IF(Skills!E3=TRUE,Inputs!$B$32,0)))*(1-IF(AND(ArtifactsInput!$M$27,Inputs!$B$4="Chapter Hunt"),CHOOSE(ArtifactsInput!$N$27+1,20,24,28,32,36,40),0)/100)))))/Skills!H3,1)))/Inputs!$B$43),G1536*Q1536)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1536*(1-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1536*(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1536*(1-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1536*(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6">
        <f>INDEX(FactorTable!$B$2:$Y$301, MATCH(ROUND(MIN(300,MAX(1,U1535)),0), FactorTable!$A$2:$A$301,0), 22)</f>
        <v/>
      </c>
      <c r="V1536">
        <f>IF(C1536,(H1536*N1536*IF(AND(Inputs!$B$38&lt;&gt;"pvp",Inputs!$B$43&gt;0),((Skills!G3*((R1536-1)*IF(Skills!H3&gt;0,Skills!I3/Skills!H3,1)+IF(Skills!H3&gt;0,MIN(Skills!I3,MAX(0,MAX(0,Inputs!$B$43-B1570)-((R1536-1)*(IF(Inputs!$B$38="pvp",15,MAX(0.1,Skills!D3-IF(Skills!E3=TRUE,Inputs!$B$32,0)))*(1-IF(AND(ArtifactsInput!$M$27,Inputs!$B$4="Chapter Hunt"),CHOOSE(ArtifactsInput!$N$27+1,20,24,28,32,36,40),0)/100)))))/Skills!H3,1)))/Inputs!$B$43),G1536*Q1536))*IF(Inputs!$B$38="pvp",1,(1+(Inputs!$B$21+Skills!Q3+(IF(ArtifactsInput!$M$33,CHOOSE(ArtifactsInput!$N$33+1,30,36,42,48,54,60)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7">
      <c r="A1537">
        <f>Skills!A4</f>
        <v/>
      </c>
      <c r="B1537">
        <f>Skills!B4</f>
        <v/>
      </c>
      <c r="C1537">
        <f>Inputs!$B$3&gt;=40</f>
        <v/>
      </c>
      <c r="D1537">
        <f>IF(Skills!C4=1,60+Inputs!$B$25+Inputs!$B$29,IF(Skills!C4=2,90+Inputs!$B$26+Inputs!$B$29,IF(Skills!C4=3,120+Inputs!$B$27+Inputs!$B$29,MAX(0,(Inputs!$B$3-100)*3)+Inputs!$B$28+Inputs!$B$29)))</f>
        <v/>
      </c>
      <c r="E1537">
        <f>INDEX(FactorTable!$B$2:$Y$301, MATCH(ROUND(MIN(300,MAX(1,D1537)),0), FactorTable!$A$2:$A$301,0), Skills!M4+1)</f>
        <v/>
      </c>
      <c r="F1537">
        <f>IF(Skills!N4=TRUE,(Skills!L4/10)*(E1537/1000),Skills!L4/10)+Skills!O4</f>
        <v/>
      </c>
      <c r="G1537">
        <f>Skills!G4*IF(Skills!H4&gt;0,Skills!I4/Skills!H4,1)</f>
        <v/>
      </c>
      <c r="H1537">
        <f>1-(1-Skills!J4/100)^Skills!K4</f>
        <v/>
      </c>
      <c r="I1537" t="inlineStr">
        <is>
          <t>1</t>
        </is>
      </c>
      <c r="J1537">
        <f>((Inputs!$B$6*(1+Inputs!$B$7/100))+(((Inputs!$B$12*(1+Inputs!$B$13/100))-(Inputs!$B$12*(1+Inputs!$B$13/100)))+0.25*(Inputs!$B$14-Inputs!$B$14))*(1+Inputs!$B$7/100))*(F1537/100)</f>
        <v/>
      </c>
      <c r="K1537">
        <f>J1537*(1+((Inputs!$B$12*(1+Inputs!$B$13/100))*0.01+Inputs!$B$14*0.0025)/100)*(1+Inputs!$B$15/100)*(1+Inputs!$B$16/100)*(5000/(6000+Inputs!$B$42*(1-(100*(1-(1-(Inputs!$B$19+0)/100)*(1-CHOOSE(ArtifactsInput!$N$40+1,5,6,7,8,9,10)/100)^(ArtifactsInput!$M$40-ArtifactsInput!$M$40)))/100)))*(1+(Inputs!$B$24+((C1559=TRUE)*(F1559-Calc!F26))+B1569)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1549=TRUE,F1549,0)/100)*(1+(IF(Skills!A4="EIGHT_LEGS_EASTON",Inputs!$B$17+((C1556=TRUE)*(F1556-Calc!F23))+((C1560=TRUE)*(F1560-Calc!F27))+(((IF(AND(ArtifactsInput!$M$42,((Inputs!$B$9+((C1552=TRUE)*(F1552-Calc!F19))+B1563+(ArtifactsInput!$M$24-ArtifactsInput!$M$24)*CHOOSE(ArtifactsInput!$N$24+1,10,12,14,16,18,20)+IF(ArtifactsInput!$M$10,CHOOSE(ArtifactsInput!$N$10+1,15,18,21,24,27,30)*(IF(Inputs!$B$38="pvp",MIN(15,15)/15,IF(AND(Inputs!$B$38&lt;&gt;"pvp",Inputs!$B$43&gt;0),MIN(15,Inputs!$B$43)/(Inputs!$B$43),0))),0)))&gt;=100),MIN(100,((Inputs!$B$9+((C1552=TRUE)*(F1552-Calc!F19))+B1563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1552=TRUE)*(F1552-Calc!F19))+B1563+(ArtifactsInput!$M$24-ArtifactsInput!$M$24)*CHOOSE(ArtifactsInput!$N$24+1,10,12,14,16,18,20)+IF(ArtifactsInput!$M$10,CHOOSE(ArtifactsInput!$N$10+1,15,18,21,24,27,30)*(IF(Inputs!$B$38="pvp",MIN(15,15)/15,IF(AND(Inputs!$B$38&lt;&gt;"pvp",Inputs!$B$43&gt;0),MIN(15,Inputs!$B$43)/(Inputs!$B$43),0))),0)))&gt;=100),CHOOSE(ArtifactsInput!$N$42+1,40,48,56,64,72,80),0))))/100)*((1+(((C1550=TRUE)*F1550)+((C1557=TRUE)*(F1557-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1537)</f>
        <v/>
      </c>
      <c r="L1537">
        <f>K1537*(MIN(Inputs!$B$22+((C1555=TRUE)*(F1555-Calc!F22)),(Inputs!$B$23+0+(IF(ArtifactsInput!$M$15,CHOOSE(ArtifactsInput!$N$15+1,25,30,35,40,45,50)/100*(Inputs!$B$11-Inputs!$B$11),0))))/100+(Inputs!$B$23+0+(IF(ArtifactsInput!$M$15,CHOOSE(ArtifactsInput!$N$15+1,25,30,35,40,45,50)/100*(Inputs!$B$11-Inputs!$B$11),0)))/100)/2</f>
        <v/>
      </c>
      <c r="M1537">
        <f>L1537*(1+(Inputs!$B$10+((C1558=TRUE)*(F1558-Calc!F25))+B1568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7">
        <f>L1537*(1-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1537*(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7">
        <f>(1-Summary!$B$11)*T1537+Summary!$B$11*V1537</f>
        <v/>
      </c>
      <c r="P1537">
        <f>IF(B1573=0,0,O1537/B1573)</f>
        <v/>
      </c>
      <c r="Q1537">
        <f>IFERROR(1/(IF(Inputs!$B$38="pvp",15,MAX(0.1,Skills!D4-IF(Skills!E4=TRUE,Inputs!$B$32,0)))*(1-IF(AND(ArtifactsInput!$M$27,Inputs!$B$4="Chapter Hunt"),CHOOSE(ArtifactsInput!$N$27+1,20,24,28,32,36,40),0)/100)),0)</f>
        <v/>
      </c>
      <c r="R1537">
        <f>IF(AND(Inputs!$B$38&lt;&gt;"pvp",Inputs!$B$43&gt;0),IF(MAX(0,Inputs!$B$43-B1570)&lt;=0,0,(INT(MAX(0,Inputs!$B$43-B1570)/(IF(Inputs!$B$38="pvp",15,MAX(0.1,Skills!D4-IF(Skills!E4=TRUE,Inputs!$B$32,0)))*(1-IF(AND(ArtifactsInput!$M$27,Inputs!$B$4="Chapter Hunt"),CHOOSE(ArtifactsInput!$N$27+1,20,24,28,32,36,40),0)/100)))+1)),0)</f>
        <v/>
      </c>
      <c r="S1537">
        <f>IFERROR(O1537/N1537,0)</f>
        <v/>
      </c>
      <c r="T1537">
        <f>IF(C1537,(H1537*N1537*IF(AND(Inputs!$B$38&lt;&gt;"pvp",Inputs!$B$43&gt;0),((Skills!G4*((R1537-1)*IF(Skills!H4&gt;0,Skills!I4/Skills!H4,1)+IF(Skills!H4&gt;0,MIN(Skills!I4,MAX(0,MAX(0,Inputs!$B$43-B1570)-((R1537-1)*(IF(Inputs!$B$38="pvp",15,MAX(0.1,Skills!D4-IF(Skills!E4=TRUE,Inputs!$B$32,0)))*(1-IF(AND(ArtifactsInput!$M$27,Inputs!$B$4="Chapter Hunt"),CHOOSE(ArtifactsInput!$N$27+1,20,24,28,32,36,40),0)/100)))))/Skills!H4,1)))/Inputs!$B$43),G1537*Q1537)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1537*(1-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1537*(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1537*(1-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1537*(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7">
        <f>290*U1536/1000</f>
        <v/>
      </c>
      <c r="V1537">
        <f>IF(C1537,(H1537*N1537*IF(AND(Inputs!$B$38&lt;&gt;"pvp",Inputs!$B$43&gt;0),((Skills!G4*((R1537-1)*IF(Skills!H4&gt;0,Skills!I4/Skills!H4,1)+IF(Skills!H4&gt;0,MIN(Skills!I4,MAX(0,MAX(0,Inputs!$B$43-B1570)-((R1537-1)*(IF(Inputs!$B$38="pvp",15,MAX(0.1,Skills!D4-IF(Skills!E4=TRUE,Inputs!$B$32,0)))*(1-IF(AND(ArtifactsInput!$M$27,Inputs!$B$4="Chapter Hunt"),CHOOSE(ArtifactsInput!$N$27+1,20,24,28,32,36,40),0)/100)))))/Skills!H4,1)))/Inputs!$B$43),G1537*Q1537))*IF(Inputs!$B$38="pvp",1,(1+(Inputs!$B$21+Skills!Q4+(IF(ArtifactsInput!$M$33,CHOOSE(ArtifactsInput!$N$33+1,30,36,42,48,54,60)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8">
      <c r="A1538">
        <f>Skills!A5</f>
        <v/>
      </c>
      <c r="B1538">
        <f>Skills!B5</f>
        <v/>
      </c>
      <c r="C1538">
        <f>Inputs!$B$3&gt;=45</f>
        <v/>
      </c>
      <c r="D1538">
        <f>IF(Skills!C5=1,60+Inputs!$B$25+Inputs!$B$29,IF(Skills!C5=2,90+Inputs!$B$26+Inputs!$B$29,IF(Skills!C5=3,120+Inputs!$B$27+Inputs!$B$29,MAX(0,(Inputs!$B$3-100)*3)+Inputs!$B$28+Inputs!$B$29)))</f>
        <v/>
      </c>
      <c r="E1538">
        <f>INDEX(FactorTable!$B$2:$Y$301, MATCH(ROUND(MIN(300,MAX(1,D1538)),0), FactorTable!$A$2:$A$301,0), Skills!M5+1)</f>
        <v/>
      </c>
      <c r="F1538">
        <f>IF(Skills!N5=TRUE,(Skills!L5/10)*(E1538/1000),Skills!L5/10)+Skills!O5</f>
        <v/>
      </c>
      <c r="G1538">
        <f>Skills!G5*IF(Skills!H5&gt;0,Skills!I5/Skills!H5,1)</f>
        <v/>
      </c>
      <c r="H1538">
        <f>1-(1-Skills!J5/100)^Skills!K5</f>
        <v/>
      </c>
      <c r="I1538" t="inlineStr">
        <is>
          <t>1</t>
        </is>
      </c>
      <c r="J1538">
        <f>((Inputs!$B$6*(1+Inputs!$B$7/100))+(((Inputs!$B$12*(1+Inputs!$B$13/100))-(Inputs!$B$12*(1+Inputs!$B$13/100)))+0.25*(Inputs!$B$14-Inputs!$B$14))*(1+Inputs!$B$7/100))*(F1538/100)</f>
        <v/>
      </c>
      <c r="K1538">
        <f>J1538*(1+((Inputs!$B$12*(1+Inputs!$B$13/100))*0.01+Inputs!$B$14*0.0025)/100)*(1+Inputs!$B$15/100)*(1+Inputs!$B$16/100)*(5000/(6000+Inputs!$B$42*(1-(100*(1-(1-(Inputs!$B$19+0)/100)*(1-CHOOSE(ArtifactsInput!$N$40+1,5,6,7,8,9,10)/100)^(ArtifactsInput!$M$40-ArtifactsInput!$M$40)))/100)))*(1+(Inputs!$B$24+((C1559=TRUE)*(F1559-Calc!F26))+B1569)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1549=TRUE,F1549,0)/100)*(1+(IF(Skills!A5="EIGHT_LEGS_EASTON",Inputs!$B$17+((C1556=TRUE)*(F1556-Calc!F23))+((C1560=TRUE)*(F1560-Calc!F27))+(((IF(AND(ArtifactsInput!$M$42,((Inputs!$B$9+((C1552=TRUE)*(F1552-Calc!F19))+B1563+(ArtifactsInput!$M$24-ArtifactsInput!$M$24)*CHOOSE(ArtifactsInput!$N$24+1,10,12,14,16,18,20)+IF(ArtifactsInput!$M$10,CHOOSE(ArtifactsInput!$N$10+1,15,18,21,24,27,30)*(IF(Inputs!$B$38="pvp",MIN(15,15)/15,IF(AND(Inputs!$B$38&lt;&gt;"pvp",Inputs!$B$43&gt;0),MIN(15,Inputs!$B$43)/(Inputs!$B$43),0))),0)))&gt;=100),MIN(100,((Inputs!$B$9+((C1552=TRUE)*(F1552-Calc!F19))+B1563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1552=TRUE)*(F1552-Calc!F19))+B1563+(ArtifactsInput!$M$24-ArtifactsInput!$M$24)*CHOOSE(ArtifactsInput!$N$24+1,10,12,14,16,18,20)+IF(ArtifactsInput!$M$10,CHOOSE(ArtifactsInput!$N$10+1,15,18,21,24,27,30)*(IF(Inputs!$B$38="pvp",MIN(15,15)/15,IF(AND(Inputs!$B$38&lt;&gt;"pvp",Inputs!$B$43&gt;0),MIN(15,Inputs!$B$43)/(Inputs!$B$43),0))),0)))&gt;=100),CHOOSE(ArtifactsInput!$N$42+1,40,48,56,64,72,80),0))))/100)*((1+(((C1550=TRUE)*F1550)+((C1557=TRUE)*(F1557-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1538)</f>
        <v/>
      </c>
      <c r="L1538">
        <f>K1538*(MIN(Inputs!$B$22+((C1555=TRUE)*(F1555-Calc!F22)),(Inputs!$B$23+0+(IF(ArtifactsInput!$M$15,CHOOSE(ArtifactsInput!$N$15+1,25,30,35,40,45,50)/100*(Inputs!$B$11-Inputs!$B$11),0))))/100+(Inputs!$B$23+0+(IF(ArtifactsInput!$M$15,CHOOSE(ArtifactsInput!$N$15+1,25,30,35,40,45,50)/100*(Inputs!$B$11-Inputs!$B$11),0)))/100)/2</f>
        <v/>
      </c>
      <c r="M1538">
        <f>L1538*(1+(Inputs!$B$10+((C1558=TRUE)*(F1558-Calc!F25))+B1568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8">
        <f>L1538*(1-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1538*(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8">
        <f>(1-Summary!$B$11)*T1538+Summary!$B$11*V1538</f>
        <v/>
      </c>
      <c r="P1538">
        <f>IF(B1573=0,0,O1538/B1573)</f>
        <v/>
      </c>
      <c r="Q1538">
        <f>IFERROR(1/(IF(Inputs!$B$38="pvp",15,MAX(0.1,Skills!D5-IF(Skills!E5=TRUE,Inputs!$B$32,0)))*(1-IF(AND(ArtifactsInput!$M$27,Inputs!$B$4="Chapter Hunt"),CHOOSE(ArtifactsInput!$N$27+1,20,24,28,32,36,40),0)/100)),0)</f>
        <v/>
      </c>
      <c r="R1538">
        <f>IF(AND(Inputs!$B$38&lt;&gt;"pvp",Inputs!$B$43&gt;0),IF(MAX(0,Inputs!$B$43-B1570)&lt;=0,0,(INT(MAX(0,Inputs!$B$43-B1570)/(IF(Inputs!$B$38="pvp",15,MAX(0.1,Skills!D5-IF(Skills!E5=TRUE,Inputs!$B$32,0)))*(1-IF(AND(ArtifactsInput!$M$27,Inputs!$B$4="Chapter Hunt"),CHOOSE(ArtifactsInput!$N$27+1,20,24,28,32,36,40),0)/100)))+1)),0)</f>
        <v/>
      </c>
      <c r="S1538">
        <f>IFERROR(O1538/N1538,0)</f>
        <v/>
      </c>
      <c r="T1538">
        <f>IF(C1538,(H1538*N1538*IF(AND(Inputs!$B$38&lt;&gt;"pvp",Inputs!$B$43&gt;0),((Skills!G5*((R1538-1)*IF(Skills!H5&gt;0,Skills!I5/Skills!H5,1)+IF(Skills!H5&gt;0,MIN(Skills!I5,MAX(0,MAX(0,Inputs!$B$43-B1570)-((R1538-1)*(IF(Inputs!$B$38="pvp",15,MAX(0.1,Skills!D5-IF(Skills!E5=TRUE,Inputs!$B$32,0)))*(1-IF(AND(ArtifactsInput!$M$27,Inputs!$B$4="Chapter Hunt"),CHOOSE(ArtifactsInput!$N$27+1,20,24,28,32,36,40),0)/100)))))/Skills!H5,1)))/Inputs!$B$43),G1538*Q1538)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1538*(1-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1538*(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1538*(1-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1538*(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8">
        <f>IF(C1538,(H1538*N1538*IF(AND(Inputs!$B$38&lt;&gt;"pvp",Inputs!$B$43&gt;0),((Skills!G5*((R1538-1)*IF(Skills!H5&gt;0,Skills!I5/Skills!H5,1)+IF(Skills!H5&gt;0,MIN(Skills!I5,MAX(0,MAX(0,Inputs!$B$43-B1570)-((R1538-1)*(IF(Inputs!$B$38="pvp",15,MAX(0.1,Skills!D5-IF(Skills!E5=TRUE,Inputs!$B$32,0)))*(1-IF(AND(ArtifactsInput!$M$27,Inputs!$B$4="Chapter Hunt"),CHOOSE(ArtifactsInput!$N$27+1,20,24,28,32,36,40),0)/100)))))/Skills!H5,1)))/Inputs!$B$43),G1538*Q1538))*IF(Inputs!$B$38="pvp",1,(1+(Inputs!$B$21+Skills!Q5+(IF(ArtifactsInput!$M$33,CHOOSE(ArtifactsInput!$N$33+1,30,36,42,48,54,60)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9">
      <c r="A1539">
        <f>Skills!A6</f>
        <v/>
      </c>
      <c r="B1539">
        <f>Skills!B6</f>
        <v/>
      </c>
      <c r="C1539">
        <f>Inputs!$B$3&gt;=63</f>
        <v/>
      </c>
      <c r="D1539">
        <f>IF(Skills!C6=1,60+Inputs!$B$25+Inputs!$B$29,IF(Skills!C6=2,90+Inputs!$B$26+Inputs!$B$29,IF(Skills!C6=3,120+Inputs!$B$27+Inputs!$B$29,MAX(0,(Inputs!$B$3-100)*3)+Inputs!$B$28+Inputs!$B$29)))</f>
        <v/>
      </c>
      <c r="E1539">
        <f>INDEX(FactorTable!$B$2:$Y$301, MATCH(ROUND(MIN(300,MAX(1,D1539)),0), FactorTable!$A$2:$A$301,0), Skills!M6+1)</f>
        <v/>
      </c>
      <c r="F1539">
        <f>IF(Skills!N6=TRUE,(Skills!L6/10)*(E1539/1000),Skills!L6/10)+Skills!O6</f>
        <v/>
      </c>
      <c r="G1539">
        <f>Skills!G6*IF(Skills!H6&gt;0,Skills!I6/Skills!H6,1)</f>
        <v/>
      </c>
      <c r="H1539">
        <f>1-(1-Skills!J6/100)^Skills!K6</f>
        <v/>
      </c>
      <c r="I1539" t="inlineStr">
        <is>
          <t>1</t>
        </is>
      </c>
      <c r="J1539">
        <f>((Inputs!$B$6*(1+Inputs!$B$7/100))+(((Inputs!$B$12*(1+Inputs!$B$13/100))-(Inputs!$B$12*(1+Inputs!$B$13/100)))+0.25*(Inputs!$B$14-Inputs!$B$14))*(1+Inputs!$B$7/100))*(F1539/100)</f>
        <v/>
      </c>
      <c r="K1539">
        <f>J1539*(1+((Inputs!$B$12*(1+Inputs!$B$13/100))*0.01+Inputs!$B$14*0.0025)/100)*(1+Inputs!$B$15/100)*(1+Inputs!$B$16/100)*(5000/(6000+Inputs!$B$42*(1-(100*(1-(1-(Inputs!$B$19+0)/100)*(1-CHOOSE(ArtifactsInput!$N$40+1,5,6,7,8,9,10)/100)^(ArtifactsInput!$M$40-ArtifactsInput!$M$40)))/100)))*(1+(Inputs!$B$24+((C1559=TRUE)*(F1559-Calc!F26))+B1569)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1548=TRUE,F1548,0)/100)*(1+(IF(Skills!A6="EIGHT_LEGS_EASTON",Inputs!$B$17+((C1556=TRUE)*(F1556-Calc!F23))+((C1560=TRUE)*(F1560-Calc!F27))+(((IF(AND(ArtifactsInput!$M$42,((Inputs!$B$9+((C1552=TRUE)*(F1552-Calc!F19))+B1563+(ArtifactsInput!$M$24-ArtifactsInput!$M$24)*CHOOSE(ArtifactsInput!$N$24+1,10,12,14,16,18,20)+IF(ArtifactsInput!$M$10,CHOOSE(ArtifactsInput!$N$10+1,15,18,21,24,27,30)*(IF(Inputs!$B$38="pvp",MIN(15,15)/15,IF(AND(Inputs!$B$38&lt;&gt;"pvp",Inputs!$B$43&gt;0),MIN(15,Inputs!$B$43)/(Inputs!$B$43),0))),0)))&gt;=100),MIN(100,((Inputs!$B$9+((C1552=TRUE)*(F1552-Calc!F19))+B1563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1552=TRUE)*(F1552-Calc!F19))+B1563+(ArtifactsInput!$M$24-ArtifactsInput!$M$24)*CHOOSE(ArtifactsInput!$N$24+1,10,12,14,16,18,20)+IF(ArtifactsInput!$M$10,CHOOSE(ArtifactsInput!$N$10+1,15,18,21,24,27,30)*(IF(Inputs!$B$38="pvp",MIN(15,15)/15,IF(AND(Inputs!$B$38&lt;&gt;"pvp",Inputs!$B$43&gt;0),MIN(15,Inputs!$B$43)/(Inputs!$B$43),0))),0)))&gt;=100),CHOOSE(ArtifactsInput!$N$42+1,40,48,56,64,72,80),0))))/100)*((1+(((C1550=TRUE)*F1550)+((C1557=TRUE)*(F1557-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1539)</f>
        <v/>
      </c>
      <c r="L1539">
        <f>K1539*(MIN(Inputs!$B$22+((C1555=TRUE)*(F1555-Calc!F22)),(Inputs!$B$23+0+(IF(ArtifactsInput!$M$15,CHOOSE(ArtifactsInput!$N$15+1,25,30,35,40,45,50)/100*(Inputs!$B$11-Inputs!$B$11),0))))/100+(Inputs!$B$23+0+(IF(ArtifactsInput!$M$15,CHOOSE(ArtifactsInput!$N$15+1,25,30,35,40,45,50)/100*(Inputs!$B$11-Inputs!$B$11),0)))/100)/2</f>
        <v/>
      </c>
      <c r="M1539">
        <f>L1539*(1+(Inputs!$B$10+((C1558=TRUE)*(F1558-Calc!F25))+B1568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9">
        <f>L1539*(1-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1539*(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9">
        <f>(1-Summary!$B$11)*T1539+Summary!$B$11*V1539</f>
        <v/>
      </c>
      <c r="P1539">
        <f>IF(B1573=0,0,O1539/B1573)</f>
        <v/>
      </c>
      <c r="Q1539">
        <f>IFERROR(1/(IF(Inputs!$B$38="pvp",15,MAX(0.1,Skills!D6-IF(Skills!E6=TRUE,Inputs!$B$32,0)))*(1-IF(AND(ArtifactsInput!$M$27,Inputs!$B$4="Chapter Hunt"),CHOOSE(ArtifactsInput!$N$27+1,20,24,28,32,36,40),0)/100)),0)</f>
        <v/>
      </c>
      <c r="R1539">
        <f>IF(AND(Inputs!$B$38&lt;&gt;"pvp",Inputs!$B$43&gt;0),IF(MAX(0,Inputs!$B$43-B1570)&lt;=0,0,(INT(MAX(0,Inputs!$B$43-B1570)/(IF(Inputs!$B$38="pvp",15,MAX(0.1,Skills!D6-IF(Skills!E6=TRUE,Inputs!$B$32,0)))*(1-IF(AND(ArtifactsInput!$M$27,Inputs!$B$4="Chapter Hunt"),CHOOSE(ArtifactsInput!$N$27+1,20,24,28,32,36,40),0)/100)))+1)),0)</f>
        <v/>
      </c>
      <c r="S1539">
        <f>IFERROR(O1539/N1539,0)</f>
        <v/>
      </c>
      <c r="T1539">
        <f>IF(C1539,(H1539*N1539*IF(AND(Inputs!$B$38&lt;&gt;"pvp",Inputs!$B$43&gt;0),((Skills!G6*((R1539-1)*IF(Skills!H6&gt;0,Skills!I6/Skills!H6,1)+IF(Skills!H6&gt;0,MIN(Skills!I6,MAX(0,MAX(0,Inputs!$B$43-B1570)-((R1539-1)*(IF(Inputs!$B$38="pvp",15,MAX(0.1,Skills!D6-IF(Skills!E6=TRUE,Inputs!$B$32,0)))*(1-IF(AND(ArtifactsInput!$M$27,Inputs!$B$4="Chapter Hunt"),CHOOSE(ArtifactsInput!$N$27+1,20,24,28,32,36,40),0)/100)))))/Skills!H6,1)))/Inputs!$B$43),G1539*Q1539)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1539*(1-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1539*(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1539*(1-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1539*(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9">
        <f>IF(C1539,(H1539*N1539*IF(AND(Inputs!$B$38&lt;&gt;"pvp",Inputs!$B$43&gt;0),((Skills!G6*((R1539-1)*IF(Skills!H6&gt;0,Skills!I6/Skills!H6,1)+IF(Skills!H6&gt;0,MIN(Skills!I6,MAX(0,MAX(0,Inputs!$B$43-B1570)-((R1539-1)*(IF(Inputs!$B$38="pvp",15,MAX(0.1,Skills!D6-IF(Skills!E6=TRUE,Inputs!$B$32,0)))*(1-IF(AND(ArtifactsInput!$M$27,Inputs!$B$4="Chapter Hunt"),CHOOSE(ArtifactsInput!$N$27+1,20,24,28,32,36,40),0)/100)))))/Skills!H6,1)))/Inputs!$B$43),G1539*Q1539))*IF(Inputs!$B$38="pvp",1,(1+(Inputs!$B$21+Skills!Q6+(IF(ArtifactsInput!$M$33,CHOOSE(ArtifactsInput!$N$33+1,30,36,42,48,54,60)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0">
      <c r="A1540">
        <f>Skills!A7</f>
        <v/>
      </c>
      <c r="B1540">
        <f>Skills!B7</f>
        <v/>
      </c>
      <c r="C1540">
        <f>Inputs!$B$3&gt;=66</f>
        <v/>
      </c>
      <c r="D1540">
        <f>IF(Skills!C7=1,60+Inputs!$B$25+Inputs!$B$29,IF(Skills!C7=2,90+Inputs!$B$26+Inputs!$B$29,IF(Skills!C7=3,120+Inputs!$B$27+Inputs!$B$29,MAX(0,(Inputs!$B$3-100)*3)+Inputs!$B$28+Inputs!$B$29)))</f>
        <v/>
      </c>
      <c r="E1540">
        <f>INDEX(FactorTable!$B$2:$Y$301, MATCH(ROUND(MIN(300,MAX(1,D1540)),0), FactorTable!$A$2:$A$301,0), Skills!M7+1)</f>
        <v/>
      </c>
      <c r="F1540">
        <f>IF(Skills!N7=TRUE,(Skills!L7/10)*(E1540/1000),Skills!L7/10)+Skills!O7</f>
        <v/>
      </c>
      <c r="G1540">
        <f>Skills!G7*IF(Skills!H7&gt;0,Skills!I7/Skills!H7,1)</f>
        <v/>
      </c>
      <c r="H1540">
        <f>1-(1-Skills!J7/100)^Skills!K7</f>
        <v/>
      </c>
      <c r="I1540" t="inlineStr">
        <is>
          <t>1</t>
        </is>
      </c>
      <c r="J1540">
        <f>((Inputs!$B$6*(1+Inputs!$B$7/100))+(((Inputs!$B$12*(1+Inputs!$B$13/100))-(Inputs!$B$12*(1+Inputs!$B$13/100)))+0.25*(Inputs!$B$14-Inputs!$B$14))*(1+Inputs!$B$7/100))*(F1540/100)</f>
        <v/>
      </c>
      <c r="K1540">
        <f>J1540*(1+((Inputs!$B$12*(1+Inputs!$B$13/100))*0.01+Inputs!$B$14*0.0025)/100)*(1+Inputs!$B$15/100)*(1+Inputs!$B$16/100)*(5000/(6000+Inputs!$B$42*(1-(100*(1-(1-(Inputs!$B$19+0)/100)*(1-CHOOSE(ArtifactsInput!$N$40+1,5,6,7,8,9,10)/100)^(ArtifactsInput!$M$40-ArtifactsInput!$M$40)))/100)))*(1+(Inputs!$B$24+((C1559=TRUE)*(F1559-Calc!F26))+B1569)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1548=TRUE,F1548,0)/100)*(1+(IF(Skills!A7="EIGHT_LEGS_EASTON",Inputs!$B$17+((C1556=TRUE)*(F1556-Calc!F23))+((C1560=TRUE)*(F1560-Calc!F27))+(((IF(AND(ArtifactsInput!$M$42,((Inputs!$B$9+((C1552=TRUE)*(F1552-Calc!F19))+B1563+(ArtifactsInput!$M$24-ArtifactsInput!$M$24)*CHOOSE(ArtifactsInput!$N$24+1,10,12,14,16,18,20)+IF(ArtifactsInput!$M$10,CHOOSE(ArtifactsInput!$N$10+1,15,18,21,24,27,30)*(IF(Inputs!$B$38="pvp",MIN(15,15)/15,IF(AND(Inputs!$B$38&lt;&gt;"pvp",Inputs!$B$43&gt;0),MIN(15,Inputs!$B$43)/(Inputs!$B$43),0))),0)))&gt;=100),MIN(100,((Inputs!$B$9+((C1552=TRUE)*(F1552-Calc!F19))+B1563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1552=TRUE)*(F1552-Calc!F19))+B1563+(ArtifactsInput!$M$24-ArtifactsInput!$M$24)*CHOOSE(ArtifactsInput!$N$24+1,10,12,14,16,18,20)+IF(ArtifactsInput!$M$10,CHOOSE(ArtifactsInput!$N$10+1,15,18,21,24,27,30)*(IF(Inputs!$B$38="pvp",MIN(15,15)/15,IF(AND(Inputs!$B$38&lt;&gt;"pvp",Inputs!$B$43&gt;0),MIN(15,Inputs!$B$43)/(Inputs!$B$43),0))),0)))&gt;=100),CHOOSE(ArtifactsInput!$N$42+1,40,48,56,64,72,80),0))))/100)*((1+(((C1550=TRUE)*F1550)+((C1557=TRUE)*(F1557-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1540)</f>
        <v/>
      </c>
      <c r="L1540">
        <f>K1540*(MIN(Inputs!$B$22+((C1555=TRUE)*(F1555-Calc!F22)),(Inputs!$B$23+0+(IF(ArtifactsInput!$M$15,CHOOSE(ArtifactsInput!$N$15+1,25,30,35,40,45,50)/100*(Inputs!$B$11-Inputs!$B$11),0))))/100+(Inputs!$B$23+0+(IF(ArtifactsInput!$M$15,CHOOSE(ArtifactsInput!$N$15+1,25,30,35,40,45,50)/100*(Inputs!$B$11-Inputs!$B$11),0)))/100)/2</f>
        <v/>
      </c>
      <c r="M1540">
        <f>L1540*(1+(Inputs!$B$10+((C1558=TRUE)*(F1558-Calc!F25))+B1568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0">
        <f>L1540*(1-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1540*(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0">
        <f>(1-Summary!$B$11)*T1540+Summary!$B$11*V1540</f>
        <v/>
      </c>
      <c r="P1540">
        <f>IF(B1573=0,0,O1540/B1573)</f>
        <v/>
      </c>
      <c r="Q1540">
        <f>IFERROR(1/(IF(Inputs!$B$38="pvp",15,MAX(0.1,Skills!D7-IF(Skills!E7=TRUE,Inputs!$B$32,0)))*(1-IF(AND(ArtifactsInput!$M$27,Inputs!$B$4="Chapter Hunt"),CHOOSE(ArtifactsInput!$N$27+1,20,24,28,32,36,40),0)/100)),0)</f>
        <v/>
      </c>
      <c r="R1540">
        <f>IF(AND(Inputs!$B$38&lt;&gt;"pvp",Inputs!$B$43&gt;0),IF(MAX(0,Inputs!$B$43-B1570)&lt;=0,0,(INT(MAX(0,Inputs!$B$43-B1570)/(IF(Inputs!$B$38="pvp",15,MAX(0.1,Skills!D7-IF(Skills!E7=TRUE,Inputs!$B$32,0)))*(1-IF(AND(ArtifactsInput!$M$27,Inputs!$B$4="Chapter Hunt"),CHOOSE(ArtifactsInput!$N$27+1,20,24,28,32,36,40),0)/100)))+1)),0)</f>
        <v/>
      </c>
      <c r="S1540">
        <f>IFERROR(O1540/N1540,0)</f>
        <v/>
      </c>
      <c r="T1540">
        <f>IF(C1540,(H1540*N1540*IF(AND(Inputs!$B$38&lt;&gt;"pvp",Inputs!$B$43&gt;0),((Skills!G7*((R1540-1)*IF(Skills!H7&gt;0,Skills!I7/Skills!H7,1)+IF(Skills!H7&gt;0,MIN(Skills!I7,MAX(0,MAX(0,Inputs!$B$43-B1570)-((R1540-1)*(IF(Inputs!$B$38="pvp",15,MAX(0.1,Skills!D7-IF(Skills!E7=TRUE,Inputs!$B$32,0)))*(1-IF(AND(ArtifactsInput!$M$27,Inputs!$B$4="Chapter Hunt"),CHOOSE(ArtifactsInput!$N$27+1,20,24,28,32,36,40),0)/100)))))/Skills!H7,1)))/Inputs!$B$43),G1540*Q1540)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1540*(1-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1540*(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1540*(1-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1540*(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0">
        <f>IF(C1540,(H1540*N1540*IF(AND(Inputs!$B$38&lt;&gt;"pvp",Inputs!$B$43&gt;0),((Skills!G7*((R1540-1)*IF(Skills!H7&gt;0,Skills!I7/Skills!H7,1)+IF(Skills!H7&gt;0,MIN(Skills!I7,MAX(0,MAX(0,Inputs!$B$43-B1570)-((R1540-1)*(IF(Inputs!$B$38="pvp",15,MAX(0.1,Skills!D7-IF(Skills!E7=TRUE,Inputs!$B$32,0)))*(1-IF(AND(ArtifactsInput!$M$27,Inputs!$B$4="Chapter Hunt"),CHOOSE(ArtifactsInput!$N$27+1,20,24,28,32,36,40),0)/100)))))/Skills!H7,1)))/Inputs!$B$43),G1540*Q1540))*IF(Inputs!$B$38="pvp",1,(1+(Inputs!$B$21+Skills!Q7+(IF(ArtifactsInput!$M$33,CHOOSE(ArtifactsInput!$N$33+1,30,36,42,48,54,60)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1">
      <c r="A1541">
        <f>Skills!A8</f>
        <v/>
      </c>
      <c r="B1541">
        <f>Skills!B8</f>
        <v/>
      </c>
      <c r="C1541">
        <f>Inputs!$B$3&gt;=100</f>
        <v/>
      </c>
      <c r="D1541">
        <f>IF(Skills!C8=1,60+Inputs!$B$25+Inputs!$B$29,IF(Skills!C8=2,90+Inputs!$B$26+Inputs!$B$29,IF(Skills!C8=3,120+Inputs!$B$27+Inputs!$B$29,MAX(0,(Inputs!$B$3-100)*3)+Inputs!$B$28+Inputs!$B$29)))</f>
        <v/>
      </c>
      <c r="E1541">
        <f>INDEX(FactorTable!$B$2:$Y$301, MATCH(ROUND(MIN(300,MAX(1,D1541)),0), FactorTable!$A$2:$A$301,0), Skills!M8+1)</f>
        <v/>
      </c>
      <c r="F1541">
        <f>IF(Skills!N8=TRUE,(Skills!L8/10)*(E1541/1000),Skills!L8/10)+Skills!O8</f>
        <v/>
      </c>
      <c r="G1541">
        <f>Skills!G8*IF(Skills!H8&gt;0,Skills!I8/Skills!H8,1)</f>
        <v/>
      </c>
      <c r="H1541">
        <f>1-(1-Skills!J8/100)^Skills!K8</f>
        <v/>
      </c>
      <c r="I1541" t="inlineStr">
        <is>
          <t>1</t>
        </is>
      </c>
      <c r="J1541">
        <f>((Inputs!$B$6*(1+Inputs!$B$7/100))+(((Inputs!$B$12*(1+Inputs!$B$13/100))-(Inputs!$B$12*(1+Inputs!$B$13/100)))+0.25*(Inputs!$B$14-Inputs!$B$14))*(1+Inputs!$B$7/100))*(F1541/100)</f>
        <v/>
      </c>
      <c r="K1541">
        <f>J1541*(1+((Inputs!$B$12*(1+Inputs!$B$13/100))*0.01+Inputs!$B$14*0.0025)/100)*(1+Inputs!$B$15/100)*(1+Inputs!$B$16/100)*(5000/(6000+Inputs!$B$42*(1-(100*(1-(1-(Inputs!$B$19+0)/100)*(1-CHOOSE(ArtifactsInput!$N$40+1,5,6,7,8,9,10)/100)^(ArtifactsInput!$M$40-ArtifactsInput!$M$40)))/100)))*(1+(Inputs!$B$24+((C1559=TRUE)*(F1559-Calc!F26))+B1569)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1556=TRUE)*(F1556-Calc!F23))+((C1560=TRUE)*(F1560-Calc!F27))+(((IF(AND(ArtifactsInput!$M$42,((Inputs!$B$9+((C1552=TRUE)*(F1552-Calc!F19))+B1563+(ArtifactsInput!$M$24-ArtifactsInput!$M$24)*CHOOSE(ArtifactsInput!$N$24+1,10,12,14,16,18,20)+IF(ArtifactsInput!$M$10,CHOOSE(ArtifactsInput!$N$10+1,15,18,21,24,27,30)*(IF(Inputs!$B$38="pvp",MIN(15,15)/15,IF(AND(Inputs!$B$38&lt;&gt;"pvp",Inputs!$B$43&gt;0),MIN(15,Inputs!$B$43)/(Inputs!$B$43),0))),0)))&gt;=100),MIN(100,((Inputs!$B$9+((C1552=TRUE)*(F1552-Calc!F19))+B1563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1552=TRUE)*(F1552-Calc!F19))+B1563+(ArtifactsInput!$M$24-ArtifactsInput!$M$24)*CHOOSE(ArtifactsInput!$N$24+1,10,12,14,16,18,20)+IF(ArtifactsInput!$M$10,CHOOSE(ArtifactsInput!$N$10+1,15,18,21,24,27,30)*(IF(Inputs!$B$38="pvp",MIN(15,15)/15,IF(AND(Inputs!$B$38&lt;&gt;"pvp",Inputs!$B$43&gt;0),MIN(15,Inputs!$B$43)/(Inputs!$B$43),0))),0)))&gt;=100),CHOOSE(ArtifactsInput!$N$42+1,40,48,56,64,72,80),0))))/100)*((1+(((C1550=TRUE)*F1550)+((C1557=TRUE)*(F1557-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1541)</f>
        <v/>
      </c>
      <c r="L1541">
        <f>K1541*(MIN(Inputs!$B$22+((C1555=TRUE)*(F1555-Calc!F22)),(Inputs!$B$23+0+(IF(ArtifactsInput!$M$15,CHOOSE(ArtifactsInput!$N$15+1,25,30,35,40,45,50)/100*(Inputs!$B$11-Inputs!$B$11),0))))/100+(Inputs!$B$23+0+(IF(ArtifactsInput!$M$15,CHOOSE(ArtifactsInput!$N$15+1,25,30,35,40,45,50)/100*(Inputs!$B$11-Inputs!$B$11),0)))/100)/2</f>
        <v/>
      </c>
      <c r="M1541">
        <f>L1541*(1+(Inputs!$B$10+((C1558=TRUE)*(F1558-Calc!F25))+B1568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1">
        <f>L1541*(1-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1541*(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1">
        <f>(1-Summary!$B$11)*T1541+Summary!$B$11*V1541</f>
        <v/>
      </c>
      <c r="P1541">
        <f>IF(B1573=0,0,O1541/B1573)</f>
        <v/>
      </c>
      <c r="Q1541">
        <f>IFERROR(1/(IF(Inputs!$B$38="pvp",15,MAX(0.1,Skills!D8-IF(Skills!E8=TRUE,Inputs!$B$32,0)))*(1-IF(AND(ArtifactsInput!$M$27,Inputs!$B$4="Chapter Hunt"),CHOOSE(ArtifactsInput!$N$27+1,20,24,28,32,36,40),0)/100)),0)</f>
        <v/>
      </c>
      <c r="R1541">
        <f>IF(AND(Inputs!$B$38&lt;&gt;"pvp",Inputs!$B$43&gt;0),IF(MAX(0,Inputs!$B$43-B1570)&lt;=0,0,(INT(MAX(0,Inputs!$B$43-B1570)/(IF(Inputs!$B$38="pvp",15,MAX(0.1,Skills!D8-IF(Skills!E8=TRUE,Inputs!$B$32,0)))*(1-IF(AND(ArtifactsInput!$M$27,Inputs!$B$4="Chapter Hunt"),CHOOSE(ArtifactsInput!$N$27+1,20,24,28,32,36,40),0)/100)))+1)),0)</f>
        <v/>
      </c>
      <c r="S1541">
        <f>IFERROR(O1541/N1541,0)</f>
        <v/>
      </c>
      <c r="T1541">
        <f>IF(C1541,(H1541*N1541*IF(AND(Inputs!$B$38&lt;&gt;"pvp",Inputs!$B$43&gt;0),((Skills!G8*((R1541-1)*IF(Skills!H8&gt;0,Skills!I8/Skills!H8,1)+IF(Skills!H8&gt;0,MIN(Skills!I8,MAX(0,MAX(0,Inputs!$B$43-B1570)-((R1541-1)*(IF(Inputs!$B$38="pvp",15,MAX(0.1,Skills!D8-IF(Skills!E8=TRUE,Inputs!$B$32,0)))*(1-IF(AND(ArtifactsInput!$M$27,Inputs!$B$4="Chapter Hunt"),CHOOSE(ArtifactsInput!$N$27+1,20,24,28,32,36,40),0)/100)))))/Skills!H8,1)))/Inputs!$B$43),G1541*Q1541)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1541*(1-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1541*(1-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1">
        <f>IF(C1541,(H1541*N1541*IF(AND(Inputs!$B$38&lt;&gt;"pvp",Inputs!$B$43&gt;0),((Skills!G8*((R1541-1)*IF(Skills!H8&gt;0,Skills!I8/Skills!H8,1)+IF(Skills!H8&gt;0,MIN(Skills!I8,MAX(0,MAX(0,Inputs!$B$43-B1570)-((R1541-1)*(IF(Inputs!$B$38="pvp",15,MAX(0.1,Skills!D8-IF(Skills!E8=TRUE,Inputs!$B$32,0)))*(1-IF(AND(ArtifactsInput!$M$27,Inputs!$B$4="Chapter Hunt"),CHOOSE(ArtifactsInput!$N$27+1,20,24,28,32,36,40),0)/100)))))/Skills!H8,1)))/Inputs!$B$43),G1541*Q1541))*IF(Inputs!$B$38="pvp",1,(1+(Inputs!$B$21+Skills!Q8+(IF(ArtifactsInput!$M$33,CHOOSE(ArtifactsInput!$N$33+1,30,36,42,48,54,60)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2">
      <c r="A1542">
        <f>Skills!A9</f>
        <v/>
      </c>
      <c r="B1542">
        <f>Skills!B9</f>
        <v/>
      </c>
      <c r="C1542">
        <f>Inputs!$B$3&gt;=103</f>
        <v/>
      </c>
      <c r="D1542">
        <f>IF(Skills!C9=1,60+Inputs!$B$25+Inputs!$B$29,IF(Skills!C9=2,90+Inputs!$B$26+Inputs!$B$29,IF(Skills!C9=3,120+Inputs!$B$27+Inputs!$B$29,MAX(0,(Inputs!$B$3-100)*3)+Inputs!$B$28+Inputs!$B$29)))</f>
        <v/>
      </c>
      <c r="E1542">
        <f>INDEX(FactorTable!$B$2:$Y$301, MATCH(ROUND(MIN(300,MAX(1,D1542)),0), FactorTable!$A$2:$A$301,0), Skills!M9+1)</f>
        <v/>
      </c>
      <c r="F1542">
        <f>IF(Skills!N9=TRUE,(Skills!L9/10)*(E1542/1000),Skills!L9/10)+Skills!O9</f>
        <v/>
      </c>
      <c r="G1542">
        <f>Skills!G9*IF(Skills!H9&gt;0,Skills!I9/Skills!H9,1)</f>
        <v/>
      </c>
      <c r="H1542">
        <f>1-(1-Skills!J9/100)^Skills!K9</f>
        <v/>
      </c>
      <c r="I1542" t="inlineStr">
        <is>
          <t>1</t>
        </is>
      </c>
      <c r="J1542">
        <f>((Inputs!$B$6*(1+Inputs!$B$7/100))+(((Inputs!$B$12*(1+Inputs!$B$13/100))-(Inputs!$B$12*(1+Inputs!$B$13/100)))+0.25*(Inputs!$B$14-Inputs!$B$14))*(1+Inputs!$B$7/100))*(F1542/100)</f>
        <v/>
      </c>
      <c r="K1542">
        <f>J1542*(1+((Inputs!$B$12*(1+Inputs!$B$13/100))*0.01+Inputs!$B$14*0.0025)/100)*(1+Inputs!$B$15/100)*(1+Inputs!$B$16/100)*(5000/(6000+Inputs!$B$42*(1-(100*(1-(1-(Inputs!$B$19+0)/100)*(1-CHOOSE(ArtifactsInput!$N$40+1,5,6,7,8,9,10)/100)^(ArtifactsInput!$M$40-ArtifactsInput!$M$40)))/100)))*(1+(Inputs!$B$24+((C1559=TRUE)*(F1559-Calc!F26))+B1569)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1556=TRUE)*(F1556-Calc!F23))+((C1560=TRUE)*(F1560-Calc!F27))+(((IF(AND(ArtifactsInput!$M$42,((Inputs!$B$9+((C1552=TRUE)*(F1552-Calc!F19))+B1563+(ArtifactsInput!$M$24-ArtifactsInput!$M$24)*CHOOSE(ArtifactsInput!$N$24+1,10,12,14,16,18,20)+IF(ArtifactsInput!$M$10,CHOOSE(ArtifactsInput!$N$10+1,15,18,21,24,27,30)*(IF(Inputs!$B$38="pvp",MIN(15,15)/15,IF(AND(Inputs!$B$38&lt;&gt;"pvp",Inputs!$B$43&gt;0),MIN(15,Inputs!$B$43)/(Inputs!$B$43),0))),0)))&gt;=100),MIN(100,((Inputs!$B$9+((C1552=TRUE)*(F1552-Calc!F19))+B1563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1552=TRUE)*(F1552-Calc!F19))+B1563+(ArtifactsInput!$M$24-ArtifactsInput!$M$24)*CHOOSE(ArtifactsInput!$N$24+1,10,12,14,16,18,20)+IF(ArtifactsInput!$M$10,CHOOSE(ArtifactsInput!$N$10+1,15,18,21,24,27,30)*(IF(Inputs!$B$38="pvp",MIN(15,15)/15,IF(AND(Inputs!$B$38&lt;&gt;"pvp",Inputs!$B$43&gt;0),MIN(15,Inputs!$B$43)/(Inputs!$B$43),0))),0)))&gt;=100),CHOOSE(ArtifactsInput!$N$42+1,40,48,56,64,72,80),0))))/100)*((1+(((C1550=TRUE)*F1550)+((C1557=TRUE)*(F1557-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1542)</f>
        <v/>
      </c>
      <c r="L1542">
        <f>K1542*(MIN(Inputs!$B$22+((C1555=TRUE)*(F1555-Calc!F22)),(Inputs!$B$23+0+(IF(ArtifactsInput!$M$15,CHOOSE(ArtifactsInput!$N$15+1,25,30,35,40,45,50)/100*(Inputs!$B$11-Inputs!$B$11),0))))/100+(Inputs!$B$23+0+(IF(ArtifactsInput!$M$15,CHOOSE(ArtifactsInput!$N$15+1,25,30,35,40,45,50)/100*(Inputs!$B$11-Inputs!$B$11),0)))/100)/2</f>
        <v/>
      </c>
      <c r="M1542">
        <f>L1542*(1+(Inputs!$B$10+((C1558=TRUE)*(F1558-Calc!F25))+B1568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2">
        <f>L1542*(1-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1542*(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2">
        <f>(1-Summary!$B$11)*T1542+Summary!$B$11*V1542</f>
        <v/>
      </c>
      <c r="P1542">
        <f>IF(B1573=0,0,O1542/B1573)</f>
        <v/>
      </c>
      <c r="Q1542">
        <f>IFERROR(1/(IF(Inputs!$B$38="pvp",15,MAX(0.1,Skills!D9-IF(Skills!E9=TRUE,Inputs!$B$32,0)))*(1-IF(AND(ArtifactsInput!$M$27,Inputs!$B$4="Chapter Hunt"),CHOOSE(ArtifactsInput!$N$27+1,20,24,28,32,36,40),0)/100)),0)</f>
        <v/>
      </c>
      <c r="R1542">
        <f>IF(AND(Inputs!$B$38&lt;&gt;"pvp",Inputs!$B$43&gt;0),IF(MAX(0,Inputs!$B$43-B1570)&lt;=0,0,(INT(MAX(0,Inputs!$B$43-B1570)/(IF(Inputs!$B$38="pvp",15,MAX(0.1,Skills!D9-IF(Skills!E9=TRUE,Inputs!$B$32,0)))*(1-IF(AND(ArtifactsInput!$M$27,Inputs!$B$4="Chapter Hunt"),CHOOSE(ArtifactsInput!$N$27+1,20,24,28,32,36,40),0)/100)))+1)),0)</f>
        <v/>
      </c>
      <c r="S1542">
        <f>IFERROR(O1542/N1542,0)</f>
        <v/>
      </c>
      <c r="T1542">
        <f>IF(C1542,(H1542*N1542*IF(AND(Inputs!$B$38&lt;&gt;"pvp",Inputs!$B$43&gt;0),((Skills!G9*((R1542-1)*IF(Skills!H9&gt;0,Skills!I9/Skills!H9,1)+IF(Skills!H9&gt;0,MIN(Skills!I9,MAX(0,MAX(0,Inputs!$B$43-B1570)-((R1542-1)*(IF(Inputs!$B$38="pvp",15,MAX(0.1,Skills!D9-IF(Skills!E9=TRUE,Inputs!$B$32,0)))*(1-IF(AND(ArtifactsInput!$M$27,Inputs!$B$4="Chapter Hunt"),CHOOSE(ArtifactsInput!$N$27+1,20,24,28,32,36,40),0)/100)))))/Skills!H9,1)))/Inputs!$B$43),G1542*Q1542)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1542*(1-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1542*(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1542*(1-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1542*(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2">
        <f>IF(C1542,(H1542*N1542*IF(AND(Inputs!$B$38&lt;&gt;"pvp",Inputs!$B$43&gt;0),((Skills!G9*((R1542-1)*IF(Skills!H9&gt;0,Skills!I9/Skills!H9,1)+IF(Skills!H9&gt;0,MIN(Skills!I9,MAX(0,MAX(0,Inputs!$B$43-B1570)-((R1542-1)*(IF(Inputs!$B$38="pvp",15,MAX(0.1,Skills!D9-IF(Skills!E9=TRUE,Inputs!$B$32,0)))*(1-IF(AND(ArtifactsInput!$M$27,Inputs!$B$4="Chapter Hunt"),CHOOSE(ArtifactsInput!$N$27+1,20,24,28,32,36,40),0)/100)))))/Skills!H9,1)))/Inputs!$B$43),G1542*Q1542))*IF(Inputs!$B$38="pvp",1,(1+(Inputs!$B$21+Skills!Q9+(IF(ArtifactsInput!$M$33,CHOOSE(ArtifactsInput!$N$33+1,30,36,42,48,54,60)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3">
      <c r="A1543">
        <f>Skills!A10</f>
        <v/>
      </c>
      <c r="B1543">
        <f>Skills!B10</f>
        <v/>
      </c>
      <c r="C1543">
        <f>Inputs!$B$3&gt;=113</f>
        <v/>
      </c>
      <c r="D1543">
        <f>IF(Skills!C10=1,60+Inputs!$B$25+Inputs!$B$29,IF(Skills!C10=2,90+Inputs!$B$26+Inputs!$B$29,IF(Skills!C10=3,120+Inputs!$B$27+Inputs!$B$29,MAX(0,(Inputs!$B$3-100)*3)+Inputs!$B$28+Inputs!$B$29)))</f>
        <v/>
      </c>
      <c r="E1543">
        <f>INDEX(FactorTable!$B$2:$Y$301, MATCH(ROUND(MIN(300,MAX(1,D1543)),0), FactorTable!$A$2:$A$301,0), Skills!M10+1)</f>
        <v/>
      </c>
      <c r="F1543">
        <f>IF(Skills!N10=TRUE,(Skills!L10/10)*(E1543/1000),Skills!L10/10)+Skills!O10</f>
        <v/>
      </c>
      <c r="G1543">
        <f>Skills!G10*IF(Skills!H10&gt;0,Skills!I10/Skills!H10,1)</f>
        <v/>
      </c>
      <c r="H1543">
        <f>1-(1-Skills!J10/100)^Skills!K10</f>
        <v/>
      </c>
      <c r="I1543" t="inlineStr">
        <is>
          <t>1</t>
        </is>
      </c>
      <c r="J1543">
        <f>((Inputs!$B$6*(1+Inputs!$B$7/100))+(((Inputs!$B$12*(1+Inputs!$B$13/100))-(Inputs!$B$12*(1+Inputs!$B$13/100)))+0.25*(Inputs!$B$14-Inputs!$B$14))*(1+Inputs!$B$7/100))*(F1543/100)</f>
        <v/>
      </c>
      <c r="K1543">
        <f>J1543*(1+((Inputs!$B$12*(1+Inputs!$B$13/100))*0.01+Inputs!$B$14*0.0025)/100)*(1+Inputs!$B$15/100)*(1+Inputs!$B$16/100)*(5000/(6000+Inputs!$B$42*(1-(100*(1-(1-(Inputs!$B$19+0)/100)*(1-CHOOSE(ArtifactsInput!$N$40+1,5,6,7,8,9,10)/100)^(ArtifactsInput!$M$40-ArtifactsInput!$M$40)))/100)))*(1+(Inputs!$B$24+((C1559=TRUE)*(F1559-Calc!F26))+B1569)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1556=TRUE)*(F1556-Calc!F23))+((C1560=TRUE)*(F1560-Calc!F27))+(((IF(AND(ArtifactsInput!$M$42,((Inputs!$B$9+((C1552=TRUE)*(F1552-Calc!F19))+B1563+(ArtifactsInput!$M$24-ArtifactsInput!$M$24)*CHOOSE(ArtifactsInput!$N$24+1,10,12,14,16,18,20)+IF(ArtifactsInput!$M$10,CHOOSE(ArtifactsInput!$N$10+1,15,18,21,24,27,30)*(IF(Inputs!$B$38="pvp",MIN(15,15)/15,IF(AND(Inputs!$B$38&lt;&gt;"pvp",Inputs!$B$43&gt;0),MIN(15,Inputs!$B$43)/(Inputs!$B$43),0))),0)))&gt;=100),MIN(100,((Inputs!$B$9+((C1552=TRUE)*(F1552-Calc!F19))+B1563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1552=TRUE)*(F1552-Calc!F19))+B1563+(ArtifactsInput!$M$24-ArtifactsInput!$M$24)*CHOOSE(ArtifactsInput!$N$24+1,10,12,14,16,18,20)+IF(ArtifactsInput!$M$10,CHOOSE(ArtifactsInput!$N$10+1,15,18,21,24,27,30)*(IF(Inputs!$B$38="pvp",MIN(15,15)/15,IF(AND(Inputs!$B$38&lt;&gt;"pvp",Inputs!$B$43&gt;0),MIN(15,Inputs!$B$43)/(Inputs!$B$43),0))),0)))&gt;=100),CHOOSE(ArtifactsInput!$N$42+1,40,48,56,64,72,80),0))))/100)*((1+(((C1550=TRUE)*F1550)+((C1557=TRUE)*(F1557-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1543)</f>
        <v/>
      </c>
      <c r="L1543">
        <f>K1543*(MIN(Inputs!$B$22+((C1555=TRUE)*(F1555-Calc!F22)),(Inputs!$B$23+0+(IF(ArtifactsInput!$M$15,CHOOSE(ArtifactsInput!$N$15+1,25,30,35,40,45,50)/100*(Inputs!$B$11-Inputs!$B$11),0))))/100+(Inputs!$B$23+0+(IF(ArtifactsInput!$M$15,CHOOSE(ArtifactsInput!$N$15+1,25,30,35,40,45,50)/100*(Inputs!$B$11-Inputs!$B$11),0)))/100)/2</f>
        <v/>
      </c>
      <c r="M1543">
        <f>L1543*(1+(Inputs!$B$10+((C1558=TRUE)*(F1558-Calc!F25))+B1568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3">
        <f>L1543*(1-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1543*(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3">
        <f>(1-Summary!$B$11)*T1543+Summary!$B$11*V1543</f>
        <v/>
      </c>
      <c r="P1543">
        <f>IF(B1573=0,0,O1543/B1573)</f>
        <v/>
      </c>
      <c r="Q1543">
        <f>IFERROR(1/(IF(Inputs!$B$38="pvp",15,MAX(0.1,Skills!D10-IF(Skills!E10=TRUE,Inputs!$B$32,0)))*(1-IF(AND(ArtifactsInput!$M$27,Inputs!$B$4="Chapter Hunt"),CHOOSE(ArtifactsInput!$N$27+1,20,24,28,32,36,40),0)/100)),0)</f>
        <v/>
      </c>
      <c r="R1543">
        <f>IF(AND(Inputs!$B$38&lt;&gt;"pvp",Inputs!$B$43&gt;0),IF(MAX(0,Inputs!$B$43-B1570)&lt;=0,0,(INT(MAX(0,Inputs!$B$43-B1570)/(IF(Inputs!$B$38="pvp",15,MAX(0.1,Skills!D10-IF(Skills!E10=TRUE,Inputs!$B$32,0)))*(1-IF(AND(ArtifactsInput!$M$27,Inputs!$B$4="Chapter Hunt"),CHOOSE(ArtifactsInput!$N$27+1,20,24,28,32,36,40),0)/100)))+1)),0)</f>
        <v/>
      </c>
      <c r="S1543">
        <f>IFERROR(O1543/N1543,0)</f>
        <v/>
      </c>
      <c r="T1543">
        <f>IF(C1543,(H1543*N1543*IF(AND(Inputs!$B$38&lt;&gt;"pvp",Inputs!$B$43&gt;0),((Skills!G10*((R1543-1)*IF(Skills!H10&gt;0,Skills!I10/Skills!H10,1)+IF(Skills!H10&gt;0,MIN(Skills!I10,MAX(0,MAX(0,Inputs!$B$43-B1570)-((R1543-1)*(IF(Inputs!$B$38="pvp",15,MAX(0.1,Skills!D10-IF(Skills!E10=TRUE,Inputs!$B$32,0)))*(1-IF(AND(ArtifactsInput!$M$27,Inputs!$B$4="Chapter Hunt"),CHOOSE(ArtifactsInput!$N$27+1,20,24,28,32,36,40),0)/100)))))/Skills!H10,1)))/Inputs!$B$43),G1543*Q1543)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1543*(1-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1543*(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1543*(1-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1543*(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3">
        <f>IF(C1543,(H1543*N1543*IF(AND(Inputs!$B$38&lt;&gt;"pvp",Inputs!$B$43&gt;0),((Skills!G10*((R1543-1)*IF(Skills!H10&gt;0,Skills!I10/Skills!H10,1)+IF(Skills!H10&gt;0,MIN(Skills!I10,MAX(0,MAX(0,Inputs!$B$43-B1570)-((R1543-1)*(IF(Inputs!$B$38="pvp",15,MAX(0.1,Skills!D10-IF(Skills!E10=TRUE,Inputs!$B$32,0)))*(1-IF(AND(ArtifactsInput!$M$27,Inputs!$B$4="Chapter Hunt"),CHOOSE(ArtifactsInput!$N$27+1,20,24,28,32,36,40),0)/100)))))/Skills!H10,1)))/Inputs!$B$43),G1543*Q1543))*IF(Inputs!$B$38="pvp",1,(1+(Inputs!$B$21+Skills!Q10+(IF(ArtifactsInput!$M$33,CHOOSE(ArtifactsInput!$N$33+1,30,36,42,48,54,60)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4">
      <c r="A1544">
        <f>Skills!A11</f>
        <v/>
      </c>
      <c r="B1544">
        <f>Skills!B11</f>
        <v/>
      </c>
      <c r="C1544">
        <f>Inputs!$B$3&gt;=107</f>
        <v/>
      </c>
      <c r="D1544">
        <f>IF(Skills!C11=1,60+Inputs!$B$25+Inputs!$B$29,IF(Skills!C11=2,90+Inputs!$B$26+Inputs!$B$29,IF(Skills!C11=3,120+Inputs!$B$27+Inputs!$B$29,MAX(0,(Inputs!$B$3-100)*3)+Inputs!$B$28+Inputs!$B$29)))</f>
        <v/>
      </c>
      <c r="E1544">
        <f>INDEX(FactorTable!$B$2:$Y$301, MATCH(ROUND(MIN(300,MAX(1,D1544)),0), FactorTable!$A$2:$A$301,0), Skills!M11+1)</f>
        <v/>
      </c>
      <c r="F1544">
        <f>IF(Skills!N11=TRUE,(Skills!L11/10)*(E1544/1000),Skills!L11/10)+Skills!O11</f>
        <v/>
      </c>
      <c r="G1544">
        <f>Skills!G11*IF(Skills!H11&gt;0,Skills!I11/Skills!H11,1)</f>
        <v/>
      </c>
      <c r="H1544">
        <f>1-(1-Skills!J11/100)^Skills!K11</f>
        <v/>
      </c>
      <c r="I1544" t="inlineStr">
        <is>
          <t>1</t>
        </is>
      </c>
      <c r="J1544">
        <f>((Inputs!$B$6*(1+Inputs!$B$7/100))+(((Inputs!$B$12*(1+Inputs!$B$13/100))-(Inputs!$B$12*(1+Inputs!$B$13/100)))+0.25*(Inputs!$B$14-Inputs!$B$14))*(1+Inputs!$B$7/100))*(F1544/100)</f>
        <v/>
      </c>
      <c r="K1544">
        <f>J1544*(1+((Inputs!$B$12*(1+Inputs!$B$13/100))*0.01+Inputs!$B$14*0.0025)/100)*(1+Inputs!$B$15/100)*(1+Inputs!$B$16/100)*(5000/(6000+Inputs!$B$42*(1-(100*(1-(1-(Inputs!$B$19+0)/100)*(1-CHOOSE(ArtifactsInput!$N$40+1,5,6,7,8,9,10)/100)^(ArtifactsInput!$M$40-ArtifactsInput!$M$40)))/100)))*(1+(Inputs!$B$24+((C1559=TRUE)*(F1559-Calc!F26))+B1569)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1556=TRUE)*(F1556-Calc!F23))+((C1560=TRUE)*(F1560-Calc!F27))+(((IF(AND(ArtifactsInput!$M$42,((Inputs!$B$9+((C1552=TRUE)*(F1552-Calc!F19))+B1563+(ArtifactsInput!$M$24-ArtifactsInput!$M$24)*CHOOSE(ArtifactsInput!$N$24+1,10,12,14,16,18,20)+IF(ArtifactsInput!$M$10,CHOOSE(ArtifactsInput!$N$10+1,15,18,21,24,27,30)*(IF(Inputs!$B$38="pvp",MIN(15,15)/15,IF(AND(Inputs!$B$38&lt;&gt;"pvp",Inputs!$B$43&gt;0),MIN(15,Inputs!$B$43)/(Inputs!$B$43),0))),0)))&gt;=100),MIN(100,((Inputs!$B$9+((C1552=TRUE)*(F1552-Calc!F19))+B1563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1552=TRUE)*(F1552-Calc!F19))+B1563+(ArtifactsInput!$M$24-ArtifactsInput!$M$24)*CHOOSE(ArtifactsInput!$N$24+1,10,12,14,16,18,20)+IF(ArtifactsInput!$M$10,CHOOSE(ArtifactsInput!$N$10+1,15,18,21,24,27,30)*(IF(Inputs!$B$38="pvp",MIN(15,15)/15,IF(AND(Inputs!$B$38&lt;&gt;"pvp",Inputs!$B$43&gt;0),MIN(15,Inputs!$B$43)/(Inputs!$B$43),0))),0)))&gt;=100),CHOOSE(ArtifactsInput!$N$42+1,40,48,56,64,72,80),0))))/100)*((1+(((C1550=TRUE)*F1550)+((C1557=TRUE)*(F1557-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1544)</f>
        <v/>
      </c>
      <c r="L1544">
        <f>K1544*(MIN(Inputs!$B$22+((C1555=TRUE)*(F1555-Calc!F22)),(Inputs!$B$23+0+(IF(ArtifactsInput!$M$15,CHOOSE(ArtifactsInput!$N$15+1,25,30,35,40,45,50)/100*(Inputs!$B$11-Inputs!$B$11),0))))/100+(Inputs!$B$23+0+(IF(ArtifactsInput!$M$15,CHOOSE(ArtifactsInput!$N$15+1,25,30,35,40,45,50)/100*(Inputs!$B$11-Inputs!$B$11),0)))/100)/2</f>
        <v/>
      </c>
      <c r="M1544">
        <f>L1544*(1+(Inputs!$B$10+((C1558=TRUE)*(F1558-Calc!F25))+B1568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4">
        <f>L1544*(1-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1544*(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4">
        <f>(1-Summary!$B$11)*T1544+Summary!$B$11*V1544</f>
        <v/>
      </c>
      <c r="P1544">
        <f>IF(B1573=0,0,O1544/B1573)</f>
        <v/>
      </c>
      <c r="Q1544">
        <f>IFERROR(1/(IF(Inputs!$B$38="pvp",15,MAX(0.1,Skills!D11-IF(Skills!E11=TRUE,Inputs!$B$32,0)))*(1-IF(AND(ArtifactsInput!$M$27,Inputs!$B$4="Chapter Hunt"),CHOOSE(ArtifactsInput!$N$27+1,20,24,28,32,36,40),0)/100)),0)</f>
        <v/>
      </c>
      <c r="R1544">
        <f>IF(AND(Inputs!$B$38&lt;&gt;"pvp",Inputs!$B$43&gt;0),IF(MAX(0,Inputs!$B$43-B1570)&lt;=0,0,(INT(MAX(0,Inputs!$B$43-B1570)/(IF(Inputs!$B$38="pvp",15,MAX(0.1,Skills!D11-IF(Skills!E11=TRUE,Inputs!$B$32,0)))*(1-IF(AND(ArtifactsInput!$M$27,Inputs!$B$4="Chapter Hunt"),CHOOSE(ArtifactsInput!$N$27+1,20,24,28,32,36,40),0)/100)))+1)),0)</f>
        <v/>
      </c>
      <c r="S1544">
        <f>IFERROR(O1544/N1544,0)</f>
        <v/>
      </c>
      <c r="T1544">
        <f>IF(C1544,(H1544*N1544*IF(AND(Inputs!$B$38&lt;&gt;"pvp",Inputs!$B$43&gt;0),((Skills!G11*((R1544-1)*IF(Skills!H11&gt;0,Skills!I11/Skills!H11,1)+IF(Skills!H11&gt;0,MIN(Skills!I11,MAX(0,MAX(0,Inputs!$B$43-B1570)-((R1544-1)*(IF(Inputs!$B$38="pvp",15,MAX(0.1,Skills!D11-IF(Skills!E11=TRUE,Inputs!$B$32,0)))*(1-IF(AND(ArtifactsInput!$M$27,Inputs!$B$4="Chapter Hunt"),CHOOSE(ArtifactsInput!$N$27+1,20,24,28,32,36,40),0)/100)))))/Skills!H11,1)))/Inputs!$B$43),G1544*Q1544)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1544*(1-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1544*(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1544*(1-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1544*(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4">
        <f>IF(C1544,(H1544*N1544*IF(AND(Inputs!$B$38&lt;&gt;"pvp",Inputs!$B$43&gt;0),((Skills!G11*((R1544-1)*IF(Skills!H11&gt;0,Skills!I11/Skills!H11,1)+IF(Skills!H11&gt;0,MIN(Skills!I11,MAX(0,MAX(0,Inputs!$B$43-B1570)-((R1544-1)*(IF(Inputs!$B$38="pvp",15,MAX(0.1,Skills!D11-IF(Skills!E11=TRUE,Inputs!$B$32,0)))*(1-IF(AND(ArtifactsInput!$M$27,Inputs!$B$4="Chapter Hunt"),CHOOSE(ArtifactsInput!$N$27+1,20,24,28,32,36,40),0)/100)))))/Skills!H11,1)))/Inputs!$B$43),G1544*Q1544))*IF(Inputs!$B$38="pvp",1,(1+(Inputs!$B$21+Skills!Q11+(IF(ArtifactsInput!$M$33,CHOOSE(ArtifactsInput!$N$33+1,30,36,42,48,54,60)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5">
      <c r="A1545">
        <f>Skills!A12</f>
        <v/>
      </c>
      <c r="B1545">
        <f>Skills!B12</f>
        <v/>
      </c>
      <c r="C1545">
        <f>Inputs!$B$3&gt;=110</f>
        <v/>
      </c>
      <c r="D1545">
        <f>IF(Skills!C12=1,60+Inputs!$B$25+Inputs!$B$29,IF(Skills!C12=2,90+Inputs!$B$26+Inputs!$B$29,IF(Skills!C12=3,120+Inputs!$B$27+Inputs!$B$29,MAX(0,(Inputs!$B$3-100)*3)+Inputs!$B$28+Inputs!$B$29)))</f>
        <v/>
      </c>
      <c r="E1545">
        <f>INDEX(FactorTable!$B$2:$Y$301, MATCH(ROUND(MIN(300,MAX(1,D1545)),0), FactorTable!$A$2:$A$301,0), Skills!M12+1)</f>
        <v/>
      </c>
      <c r="F1545">
        <f>IF(Skills!N12=TRUE,(Skills!L12/10)*(E1545/1000),Skills!L12/10)+Skills!O12</f>
        <v/>
      </c>
      <c r="G1545">
        <f>Skills!G12*IF(Skills!H12&gt;0,Skills!I12/Skills!H12,1)</f>
        <v/>
      </c>
      <c r="H1545">
        <f>1-(1-Skills!J12/100)^Skills!K12</f>
        <v/>
      </c>
      <c r="I1545" t="inlineStr">
        <is>
          <t>1</t>
        </is>
      </c>
      <c r="J1545">
        <f>((Inputs!$B$6*(1+Inputs!$B$7/100))+(((Inputs!$B$12*(1+Inputs!$B$13/100))-(Inputs!$B$12*(1+Inputs!$B$13/100)))+0.25*(Inputs!$B$14-Inputs!$B$14))*(1+Inputs!$B$7/100))*(F1545/100)</f>
        <v/>
      </c>
      <c r="K1545">
        <f>J1545*(1+((Inputs!$B$12*(1+Inputs!$B$13/100))*0.01+Inputs!$B$14*0.0025)/100)*(1+Inputs!$B$15/100)*(1+Inputs!$B$16/100)*(5000/(6000+Inputs!$B$42*(1-(100*(1-(1-(Inputs!$B$19+0)/100)*(1-CHOOSE(ArtifactsInput!$N$40+1,5,6,7,8,9,10)/100)^(ArtifactsInput!$M$40-ArtifactsInput!$M$40)))/100)))*(1+(Inputs!$B$24+((C1559=TRUE)*(F1559-Calc!F26))+B1569)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1556=TRUE)*(F1556-Calc!F23))+((C1560=TRUE)*(F1560-Calc!F27))+(((IF(AND(ArtifactsInput!$M$42,((Inputs!$B$9+((C1552=TRUE)*(F1552-Calc!F19))+B1563+(ArtifactsInput!$M$24-ArtifactsInput!$M$24)*CHOOSE(ArtifactsInput!$N$24+1,10,12,14,16,18,20)+IF(ArtifactsInput!$M$10,CHOOSE(ArtifactsInput!$N$10+1,15,18,21,24,27,30)*(IF(Inputs!$B$38="pvp",MIN(15,15)/15,IF(AND(Inputs!$B$38&lt;&gt;"pvp",Inputs!$B$43&gt;0),MIN(15,Inputs!$B$43)/(Inputs!$B$43),0))),0)))&gt;=100),MIN(100,((Inputs!$B$9+((C1552=TRUE)*(F1552-Calc!F19))+B1563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1552=TRUE)*(F1552-Calc!F19))+B1563+(ArtifactsInput!$M$24-ArtifactsInput!$M$24)*CHOOSE(ArtifactsInput!$N$24+1,10,12,14,16,18,20)+IF(ArtifactsInput!$M$10,CHOOSE(ArtifactsInput!$N$10+1,15,18,21,24,27,30)*(IF(Inputs!$B$38="pvp",MIN(15,15)/15,IF(AND(Inputs!$B$38&lt;&gt;"pvp",Inputs!$B$43&gt;0),MIN(15,Inputs!$B$43)/(Inputs!$B$43),0))),0)))&gt;=100),CHOOSE(ArtifactsInput!$N$42+1,40,48,56,64,72,80),0))))/100)*((1+(((C1550=TRUE)*F1550)+((C1557=TRUE)*(F1557-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1545)</f>
        <v/>
      </c>
      <c r="L1545">
        <f>K1545*(MIN(Inputs!$B$22+((C1555=TRUE)*(F1555-Calc!F22)),(Inputs!$B$23+0+(IF(ArtifactsInput!$M$15,CHOOSE(ArtifactsInput!$N$15+1,25,30,35,40,45,50)/100*(Inputs!$B$11-Inputs!$B$11),0))))/100+(Inputs!$B$23+0+(IF(ArtifactsInput!$M$15,CHOOSE(ArtifactsInput!$N$15+1,25,30,35,40,45,50)/100*(Inputs!$B$11-Inputs!$B$11),0)))/100)/2</f>
        <v/>
      </c>
      <c r="M1545">
        <f>L1545*(1+(Inputs!$B$10+((C1558=TRUE)*(F1558-Calc!F25))+B1568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5">
        <f>L1545*(1-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1545*(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5">
        <f>(1-Summary!$B$11)*T1545+Summary!$B$11*V1545</f>
        <v/>
      </c>
      <c r="P1545">
        <f>IF(B1573=0,0,O1545/B1573)</f>
        <v/>
      </c>
      <c r="Q1545">
        <f>IFERROR(1/(IF(Inputs!$B$38="pvp",15,MAX(0.1,Skills!D12-IF(Skills!E12=TRUE,Inputs!$B$32,0)))*(1-IF(AND(ArtifactsInput!$M$27,Inputs!$B$4="Chapter Hunt"),CHOOSE(ArtifactsInput!$N$27+1,20,24,28,32,36,40),0)/100)),0)</f>
        <v/>
      </c>
      <c r="R1545">
        <f>IF(AND(Inputs!$B$38&lt;&gt;"pvp",Inputs!$B$43&gt;0),IF(MAX(0,Inputs!$B$43-B1570)&lt;=0,0,(INT(MAX(0,Inputs!$B$43-B1570)/(IF(Inputs!$B$38="pvp",15,MAX(0.1,Skills!D12-IF(Skills!E12=TRUE,Inputs!$B$32,0)))*(1-IF(AND(ArtifactsInput!$M$27,Inputs!$B$4="Chapter Hunt"),CHOOSE(ArtifactsInput!$N$27+1,20,24,28,32,36,40),0)/100)))+1)),0)</f>
        <v/>
      </c>
      <c r="S1545">
        <f>IFERROR(O1545/N1545,0)</f>
        <v/>
      </c>
      <c r="T1545">
        <f>IF(C1545,(H1545*N1545*IF(AND(Inputs!$B$38&lt;&gt;"pvp",Inputs!$B$43&gt;0),((Skills!G12*((R1545-1)*IF(Skills!H12&gt;0,Skills!I12/Skills!H12,1)+IF(Skills!H12&gt;0,MIN(Skills!I12,MAX(0,MAX(0,Inputs!$B$43-B1570)-((R1545-1)*(IF(Inputs!$B$38="pvp",15,MAX(0.1,Skills!D12-IF(Skills!E12=TRUE,Inputs!$B$32,0)))*(1-IF(AND(ArtifactsInput!$M$27,Inputs!$B$4="Chapter Hunt"),CHOOSE(ArtifactsInput!$N$27+1,20,24,28,32,36,40),0)/100)))))/Skills!H12,1)))/Inputs!$B$43),G1545*Q1545)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1545*(1-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1545*(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1545*(1-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1545*(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5">
        <f>IF(C1545,(H1545*N1545*IF(AND(Inputs!$B$38&lt;&gt;"pvp",Inputs!$B$43&gt;0),((Skills!G12*((R1545-1)*IF(Skills!H12&gt;0,Skills!I12/Skills!H12,1)+IF(Skills!H12&gt;0,MIN(Skills!I12,MAX(0,MAX(0,Inputs!$B$43-B1570)-((R1545-1)*(IF(Inputs!$B$38="pvp",15,MAX(0.1,Skills!D12-IF(Skills!E12=TRUE,Inputs!$B$32,0)))*(1-IF(AND(ArtifactsInput!$M$27,Inputs!$B$4="Chapter Hunt"),CHOOSE(ArtifactsInput!$N$27+1,20,24,28,32,36,40),0)/100)))))/Skills!H12,1)))/Inputs!$B$43),G1545*Q1545))*IF(Inputs!$B$38="pvp",1,(1+(Inputs!$B$21+Skills!Q12+(IF(ArtifactsInput!$M$33,CHOOSE(ArtifactsInput!$N$33+1,30,36,42,48,54,60)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6">
      <c r="A1546">
        <f>Skills!A13</f>
        <v/>
      </c>
      <c r="B1546">
        <f>Skills!B13</f>
        <v/>
      </c>
      <c r="C1546">
        <f>Inputs!$B$3&gt;=110</f>
        <v/>
      </c>
      <c r="D1546">
        <f>IF(Skills!C13=1,60+Inputs!$B$25+Inputs!$B$29,IF(Skills!C13=2,90+Inputs!$B$26+Inputs!$B$29,IF(Skills!C13=3,120+Inputs!$B$27+Inputs!$B$29,MAX(0,(Inputs!$B$3-100)*3)+Inputs!$B$28+Inputs!$B$29)))</f>
        <v/>
      </c>
      <c r="E1546">
        <f>INDEX(FactorTable!$B$2:$Y$301, MATCH(ROUND(MIN(300,MAX(1,D1546)),0), FactorTable!$A$2:$A$301,0), Skills!M13+1)</f>
        <v/>
      </c>
      <c r="F1546">
        <f>IF(Skills!N13=TRUE,(Skills!L13/10)*(E1546/1000),Skills!L13/10)+Skills!O13</f>
        <v/>
      </c>
      <c r="G1546">
        <f>Skills!G13*IF(Skills!H13&gt;0,Skills!I13/Skills!H13,1)</f>
        <v/>
      </c>
      <c r="H1546">
        <f>1-(1-Skills!J13/100)^Skills!K13</f>
        <v/>
      </c>
      <c r="I1546" t="inlineStr">
        <is>
          <t>1</t>
        </is>
      </c>
      <c r="J1546">
        <f>((Inputs!$B$6*(1+Inputs!$B$7/100))+(((Inputs!$B$12*(1+Inputs!$B$13/100))-(Inputs!$B$12*(1+Inputs!$B$13/100)))+0.25*(Inputs!$B$14-Inputs!$B$14))*(1+Inputs!$B$7/100))*(F1546/100)</f>
        <v/>
      </c>
      <c r="K1546">
        <f>J1546*(1+((Inputs!$B$12*(1+Inputs!$B$13/100))*0.01+Inputs!$B$14*0.0025)/100)*(1+Inputs!$B$15/100)*(1+Inputs!$B$16/100)*(5000/(6000+Inputs!$B$42*(1-(100*(1-(1-(Inputs!$B$19+0)/100)*(1-CHOOSE(ArtifactsInput!$N$40+1,5,6,7,8,9,10)/100)^(ArtifactsInput!$M$40-ArtifactsInput!$M$40)))/100)))*(1+(Inputs!$B$24+((C1559=TRUE)*(F1559-Calc!F26))+B1569)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1556=TRUE)*(F1556-Calc!F23))+((C1560=TRUE)*(F1560-Calc!F27))+(((IF(AND(ArtifactsInput!$M$42,((Inputs!$B$9+((C1552=TRUE)*(F1552-Calc!F19))+B1563+(ArtifactsInput!$M$24-ArtifactsInput!$M$24)*CHOOSE(ArtifactsInput!$N$24+1,10,12,14,16,18,20)+IF(ArtifactsInput!$M$10,CHOOSE(ArtifactsInput!$N$10+1,15,18,21,24,27,30)*(IF(Inputs!$B$38="pvp",MIN(15,15)/15,IF(AND(Inputs!$B$38&lt;&gt;"pvp",Inputs!$B$43&gt;0),MIN(15,Inputs!$B$43)/(Inputs!$B$43),0))),0)))&gt;=100),MIN(100,((Inputs!$B$9+((C1552=TRUE)*(F1552-Calc!F19))+B1563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1552=TRUE)*(F1552-Calc!F19))+B1563+(ArtifactsInput!$M$24-ArtifactsInput!$M$24)*CHOOSE(ArtifactsInput!$N$24+1,10,12,14,16,18,20)+IF(ArtifactsInput!$M$10,CHOOSE(ArtifactsInput!$N$10+1,15,18,21,24,27,30)*(IF(Inputs!$B$38="pvp",MIN(15,15)/15,IF(AND(Inputs!$B$38&lt;&gt;"pvp",Inputs!$B$43&gt;0),MIN(15,Inputs!$B$43)/(Inputs!$B$43),0))),0)))&gt;=100),CHOOSE(ArtifactsInput!$N$42+1,40,48,56,64,72,80),0))))/100)*((1+(((C1550=TRUE)*F1550)+((C1557=TRUE)*(F1557-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1546)</f>
        <v/>
      </c>
      <c r="L1546">
        <f>K1546*(MIN(Inputs!$B$22+((C1555=TRUE)*(F1555-Calc!F22)),(Inputs!$B$23+0+(IF(ArtifactsInput!$M$15,CHOOSE(ArtifactsInput!$N$15+1,25,30,35,40,45,50)/100*(Inputs!$B$11-Inputs!$B$11),0))))/100+(Inputs!$B$23+0+(IF(ArtifactsInput!$M$15,CHOOSE(ArtifactsInput!$N$15+1,25,30,35,40,45,50)/100*(Inputs!$B$11-Inputs!$B$11),0)))/100)/2</f>
        <v/>
      </c>
      <c r="M1546">
        <f>L1546*(1+(Inputs!$B$10+((C1558=TRUE)*(F1558-Calc!F25))+B1568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6">
        <f>L1546*(1-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1546*(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6">
        <f>(1-Summary!$B$11)*T1546+Summary!$B$11*V1546</f>
        <v/>
      </c>
      <c r="P1546">
        <f>IF(B1573=0,0,O1546/B1573)</f>
        <v/>
      </c>
      <c r="Q1546">
        <f>IFERROR(1/(IF(Inputs!$B$38="pvp",15,MAX(0.1,Skills!D13-IF(Skills!E13=TRUE,Inputs!$B$32,0)))*(1-IF(AND(ArtifactsInput!$M$27,Inputs!$B$4="Chapter Hunt"),CHOOSE(ArtifactsInput!$N$27+1,20,24,28,32,36,40),0)/100)),0)</f>
        <v/>
      </c>
      <c r="R1546">
        <f>IF(AND(Inputs!$B$38&lt;&gt;"pvp",Inputs!$B$43&gt;0),IF(MAX(0,Inputs!$B$43-B1570)&lt;=0,0,(INT(MAX(0,Inputs!$B$43-B1570)/(IF(Inputs!$B$38="pvp",15,MAX(0.1,Skills!D13-IF(Skills!E13=TRUE,Inputs!$B$32,0)))*(1-IF(AND(ArtifactsInput!$M$27,Inputs!$B$4="Chapter Hunt"),CHOOSE(ArtifactsInput!$N$27+1,20,24,28,32,36,40),0)/100)))+1)),0)</f>
        <v/>
      </c>
      <c r="S1546">
        <f>IFERROR(O1546/N1546,0)</f>
        <v/>
      </c>
      <c r="T1546">
        <f>IF(C1546,(H1546*N1546*IF(AND(Inputs!$B$38&lt;&gt;"pvp",Inputs!$B$43&gt;0),((Skills!G13*((R1546-1)*IF(Skills!H13&gt;0,Skills!I13/Skills!H13,1)+IF(Skills!H13&gt;0,MIN(Skills!I13,MAX(0,MAX(0,Inputs!$B$43-B1570)-((R1546-1)*(IF(Inputs!$B$38="pvp",15,MAX(0.1,Skills!D13-IF(Skills!E13=TRUE,Inputs!$B$32,0)))*(1-IF(AND(ArtifactsInput!$M$27,Inputs!$B$4="Chapter Hunt"),CHOOSE(ArtifactsInput!$N$27+1,20,24,28,32,36,40),0)/100)))))/Skills!H13,1)))/Inputs!$B$43),G1546*Q1546)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1546*(1-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1546*(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1546*(1-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1546*(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6">
        <f>IF(C1546,(H1546*N1546*IF(AND(Inputs!$B$38&lt;&gt;"pvp",Inputs!$B$43&gt;0),((Skills!G13*((R1546-1)*IF(Skills!H13&gt;0,Skills!I13/Skills!H13,1)+IF(Skills!H13&gt;0,MIN(Skills!I13,MAX(0,MAX(0,Inputs!$B$43-B1570)-((R1546-1)*(IF(Inputs!$B$38="pvp",15,MAX(0.1,Skills!D13-IF(Skills!E13=TRUE,Inputs!$B$32,0)))*(1-IF(AND(ArtifactsInput!$M$27,Inputs!$B$4="Chapter Hunt"),CHOOSE(ArtifactsInput!$N$27+1,20,24,28,32,36,40),0)/100)))))/Skills!H13,1)))/Inputs!$B$43),G1546*Q1546))*IF(Inputs!$B$38="pvp",1,(1+(Inputs!$B$21+Skills!Q13+(IF(ArtifactsInput!$M$33,CHOOSE(ArtifactsInput!$N$33+1,30,36,42,48,54,60)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7">
      <c r="A1547">
        <f>Skills!A14</f>
        <v/>
      </c>
      <c r="B1547">
        <f>Skills!B14</f>
        <v/>
      </c>
      <c r="C1547">
        <f>Inputs!$B$3&gt;=125</f>
        <v/>
      </c>
      <c r="D1547">
        <f>IF(Skills!C14=1,60+Inputs!$B$25+Inputs!$B$29,IF(Skills!C14=2,90+Inputs!$B$26+Inputs!$B$29,IF(Skills!C14=3,120+Inputs!$B$27+Inputs!$B$29,MAX(0,(Inputs!$B$3-100)*3)+Inputs!$B$28+Inputs!$B$29)))</f>
        <v/>
      </c>
      <c r="E1547">
        <f>INDEX(FactorTable!$B$2:$Y$301, MATCH(ROUND(MIN(300,MAX(1,D1547)),0), FactorTable!$A$2:$A$301,0), Skills!M14+1)</f>
        <v/>
      </c>
      <c r="F1547">
        <f>IF(Skills!N14=TRUE,(Skills!L14/10)*(E1547/1000),Skills!L14/10)+Skills!O14</f>
        <v/>
      </c>
      <c r="G1547">
        <f>Skills!G14*IF(Skills!H14&gt;0,Skills!I14/Skills!H14,1)</f>
        <v/>
      </c>
      <c r="H1547">
        <f>1-(1-Skills!J14/100)^Skills!K14</f>
        <v/>
      </c>
      <c r="I1547" t="inlineStr">
        <is>
          <t>1</t>
        </is>
      </c>
      <c r="J1547">
        <f>((Inputs!$B$6*(1+Inputs!$B$7/100))+(((Inputs!$B$12*(1+Inputs!$B$13/100))-(Inputs!$B$12*(1+Inputs!$B$13/100)))+0.25*(Inputs!$B$14-Inputs!$B$14))*(1+Inputs!$B$7/100))*(F1547/100)</f>
        <v/>
      </c>
      <c r="K1547">
        <f>J1547*(1+((Inputs!$B$12*(1+Inputs!$B$13/100))*0.01+Inputs!$B$14*0.0025)/100)*(1+Inputs!$B$15/100)*(1+Inputs!$B$16/100)*(5000/(6000+Inputs!$B$42*(1-(100*(1-(1-(Inputs!$B$19+0)/100)*(1-CHOOSE(ArtifactsInput!$N$40+1,5,6,7,8,9,10)/100)^(ArtifactsInput!$M$40-ArtifactsInput!$M$40)))/100)))*(1+(Inputs!$B$24+((C1559=TRUE)*(F1559-Calc!F26))+B1569)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1556=TRUE)*(F1556-Calc!F23))+((C1560=TRUE)*(F1560-Calc!F27))+(((IF(AND(ArtifactsInput!$M$42,((Inputs!$B$9+((C1552=TRUE)*(F1552-Calc!F19))+B1563+(ArtifactsInput!$M$24-ArtifactsInput!$M$24)*CHOOSE(ArtifactsInput!$N$24+1,10,12,14,16,18,20)+IF(ArtifactsInput!$M$10,CHOOSE(ArtifactsInput!$N$10+1,15,18,21,24,27,30)*(IF(Inputs!$B$38="pvp",MIN(15,15)/15,IF(AND(Inputs!$B$38&lt;&gt;"pvp",Inputs!$B$43&gt;0),MIN(15,Inputs!$B$43)/(Inputs!$B$43),0))),0)))&gt;=100),MIN(100,((Inputs!$B$9+((C1552=TRUE)*(F1552-Calc!F19))+B1563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1552=TRUE)*(F1552-Calc!F19))+B1563+(ArtifactsInput!$M$24-ArtifactsInput!$M$24)*CHOOSE(ArtifactsInput!$N$24+1,10,12,14,16,18,20)+IF(ArtifactsInput!$M$10,CHOOSE(ArtifactsInput!$N$10+1,15,18,21,24,27,30)*(IF(Inputs!$B$38="pvp",MIN(15,15)/15,IF(AND(Inputs!$B$38&lt;&gt;"pvp",Inputs!$B$43&gt;0),MIN(15,Inputs!$B$43)/(Inputs!$B$43),0))),0)))&gt;=100),CHOOSE(ArtifactsInput!$N$42+1,40,48,56,64,72,80),0))))/100)*((1+(((C1550=TRUE)*F1550)+((C1557=TRUE)*(F1557-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1547)</f>
        <v/>
      </c>
      <c r="L1547">
        <f>K1547*(MIN(Inputs!$B$22+((C1555=TRUE)*(F1555-Calc!F22)),(Inputs!$B$23+0+(IF(ArtifactsInput!$M$15,CHOOSE(ArtifactsInput!$N$15+1,25,30,35,40,45,50)/100*(Inputs!$B$11-Inputs!$B$11),0))))/100+(Inputs!$B$23+0+(IF(ArtifactsInput!$M$15,CHOOSE(ArtifactsInput!$N$15+1,25,30,35,40,45,50)/100*(Inputs!$B$11-Inputs!$B$11),0)))/100)/2</f>
        <v/>
      </c>
      <c r="M1547">
        <f>L1547*(1+(Inputs!$B$10+((C1558=TRUE)*(F1558-Calc!F25))+B1568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7">
        <f>L1547*(1-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1547*(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7">
        <f>(1-Summary!$B$11)*T1547+Summary!$B$11*V1547</f>
        <v/>
      </c>
      <c r="P1547">
        <f>IF(B1573=0,0,O1547/B1573)</f>
        <v/>
      </c>
      <c r="Q1547" t="n">
        <v>0</v>
      </c>
      <c r="R1547" t="n">
        <v>0</v>
      </c>
      <c r="S1547">
        <f>IFERROR(O1547/N1547,0)</f>
        <v/>
      </c>
      <c r="T1547">
        <f>IF(C1547,(H1547*N1547*(B1567+IF(AND(Inputs!$B$38&lt;&gt;"pvp",Inputs!$B$43&gt;0),((Skills!G8*((R1541-1)*IF(Skills!H8&gt;0,Skills!I8/Skills!H8,1)+IF(Skills!H8&gt;0,MIN(Skills!I8,MAX(0,MAX(0,Inputs!$B$43-B1570)-((R1541-1)*(IF(Inputs!$B$38="pvp",15,MAX(0.1,Skills!D8-IF(Skills!E8=TRUE,Inputs!$B$32,0)))*(1-IF(AND(ArtifactsInput!$M$27,Inputs!$B$4="Chapter Hunt"),CHOOSE(ArtifactsInput!$N$27+1,20,24,28,32,36,40),0)/100)))))/Skills!H8,1)))/Inputs!$B$43),G1541*Q1541)+IF(AND(Inputs!$B$38&lt;&gt;"pvp",Inputs!$B$43&gt;0),((Skills!G11*((R1544-1)*IF(Skills!H11&gt;0,Skills!I11/Skills!H11,1)+IF(Skills!H11&gt;0,MIN(Skills!I11,MAX(0,MAX(0,Inputs!$B$43-B1570)-((R1544-1)*(IF(Inputs!$B$38="pvp",15,MAX(0.1,Skills!D11-IF(Skills!E11=TRUE,Inputs!$B$32,0)))*(1-IF(AND(ArtifactsInput!$M$27,Inputs!$B$4="Chapter Hunt"),CHOOSE(ArtifactsInput!$N$27+1,20,24,28,32,36,40),0)/100)))))/Skills!H11,1)))/Inputs!$B$43),G1544*Q1544)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1547*(1-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1547*(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1547*(1-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1547*(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7">
        <f>IF(C1547,(H1547*N1547*(B1567+IF(AND(Inputs!$B$38&lt;&gt;"pvp",Inputs!$B$43&gt;0),((Skills!G8*((R1541-1)*IF(Skills!H8&gt;0,Skills!I8/Skills!H8,1)+IF(Skills!H8&gt;0,MIN(Skills!I8,MAX(0,MAX(0,Inputs!$B$43-B1570)-((R1541-1)*(IF(Inputs!$B$38="pvp",15,MAX(0.1,Skills!D8-IF(Skills!E8=TRUE,Inputs!$B$32,0)))*(1-IF(AND(ArtifactsInput!$M$27,Inputs!$B$4="Chapter Hunt"),CHOOSE(ArtifactsInput!$N$27+1,20,24,28,32,36,40),0)/100)))))/Skills!H8,1)))/Inputs!$B$43),G1541*Q1541)+IF(AND(Inputs!$B$38&lt;&gt;"pvp",Inputs!$B$43&gt;0),((Skills!G11*((R1544-1)*IF(Skills!H11&gt;0,Skills!I11/Skills!H11,1)+IF(Skills!H11&gt;0,MIN(Skills!I11,MAX(0,MAX(0,Inputs!$B$43-B1570)-((R1544-1)*(IF(Inputs!$B$38="pvp",15,MAX(0.1,Skills!D11-IF(Skills!E11=TRUE,Inputs!$B$32,0)))*(1-IF(AND(ArtifactsInput!$M$27,Inputs!$B$4="Chapter Hunt"),CHOOSE(ArtifactsInput!$N$27+1,20,24,28,32,36,40),0)/100)))))/Skills!H11,1)))/Inputs!$B$43),G1544*Q1544)))*IF(Inputs!$B$38="pvp",1,(1+(Inputs!$B$21+Skills!Q14+(IF(ArtifactsInput!$M$33,CHOOSE(ArtifactsInput!$N$33+1,30,36,42,48,54,60)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8">
      <c r="A1548">
        <f>Skills!A15</f>
        <v/>
      </c>
      <c r="B1548">
        <f>Skills!B15</f>
        <v/>
      </c>
      <c r="C1548">
        <f>Inputs!$B$3&gt;=100</f>
        <v/>
      </c>
      <c r="D1548">
        <f>IF(Skills!C15=1,60+Inputs!$B$25+Inputs!$B$29,IF(Skills!C15=2,90+Inputs!$B$26+Inputs!$B$29,IF(Skills!C15=3,120+Inputs!$B$27+Inputs!$B$29,MAX(0,(Inputs!$B$3-100)*3)+Inputs!$B$28+Inputs!$B$29)))</f>
        <v/>
      </c>
      <c r="E1548">
        <f>INDEX(FactorTable!$B$2:$Y$301, MATCH(ROUND(MIN(300,MAX(1,D1548)),0), FactorTable!$A$2:$A$301,0), Skills!M15+1)</f>
        <v/>
      </c>
      <c r="F1548">
        <f>IF(Skills!N15=TRUE,(Skills!L15/10)*(E1548/1000),Skills!L15/10)+Skills!O15</f>
        <v/>
      </c>
      <c r="G1548" t="inlineStr"/>
      <c r="H1548" t="inlineStr"/>
      <c r="I1548" t="inlineStr">
        <is>
          <t>1</t>
        </is>
      </c>
      <c r="J1548" t="inlineStr"/>
      <c r="K1548" t="inlineStr"/>
      <c r="L1548" t="inlineStr"/>
      <c r="M1548" t="inlineStr"/>
      <c r="N1548" t="inlineStr"/>
      <c r="O1548" t="inlineStr"/>
      <c r="P1548" t="inlineStr"/>
      <c r="Q1548" t="inlineStr"/>
      <c r="R1548" t="inlineStr"/>
      <c r="S1548" t="inlineStr"/>
    </row>
    <row r="1549">
      <c r="A1549">
        <f>Skills!A16</f>
        <v/>
      </c>
      <c r="B1549">
        <f>Skills!B16</f>
        <v/>
      </c>
      <c r="C1549">
        <f>Inputs!$B$3&gt;=120</f>
        <v/>
      </c>
      <c r="D1549">
        <f>IF(Skills!C16=1,60+Inputs!$B$25+Inputs!$B$29,IF(Skills!C16=2,90+Inputs!$B$26+Inputs!$B$29,IF(Skills!C16=3,120+Inputs!$B$27+Inputs!$B$29,MAX(0,(Inputs!$B$3-100)*3)+Inputs!$B$28+Inputs!$B$29)))</f>
        <v/>
      </c>
      <c r="E1549">
        <f>INDEX(FactorTable!$B$2:$Y$301, MATCH(ROUND(MIN(300,MAX(1,D1549)),0), FactorTable!$A$2:$A$301,0), Skills!M16+1)</f>
        <v/>
      </c>
      <c r="F1549">
        <f>IF(Skills!N16=TRUE,(Skills!L16/10)*(E1549/1000),Skills!L16/10)+Skills!O16</f>
        <v/>
      </c>
      <c r="G1549" t="inlineStr"/>
      <c r="H1549" t="inlineStr"/>
      <c r="I1549" t="inlineStr">
        <is>
          <t>1</t>
        </is>
      </c>
      <c r="J1549" t="inlineStr"/>
      <c r="K1549" t="inlineStr"/>
      <c r="L1549" t="inlineStr"/>
      <c r="M1549" t="inlineStr"/>
      <c r="N1549" t="inlineStr"/>
      <c r="O1549" t="inlineStr"/>
      <c r="P1549" t="inlineStr"/>
      <c r="Q1549" t="inlineStr"/>
      <c r="R1549" t="inlineStr"/>
      <c r="S1549" t="inlineStr"/>
    </row>
    <row r="1550">
      <c r="A1550">
        <f>Skills!A17</f>
        <v/>
      </c>
      <c r="B1550">
        <f>Skills!B17</f>
        <v/>
      </c>
      <c r="C1550">
        <f>Inputs!$B$3&gt;=66</f>
        <v/>
      </c>
      <c r="D1550">
        <f>IF(Skills!C17=1,60+Inputs!$B$25+Inputs!$B$29,IF(Skills!C17=2,90+Inputs!$B$26+Inputs!$B$29,IF(Skills!C17=3,120+Inputs!$B$27+Inputs!$B$29,MAX(0,(Inputs!$B$3-100)*3)+Inputs!$B$28+Inputs!$B$29)))</f>
        <v/>
      </c>
      <c r="E1550">
        <f>INDEX(FactorTable!$B$2:$Y$301, MATCH(ROUND(MIN(300,MAX(1,D1550)),0), FactorTable!$A$2:$A$301,0), Skills!M17+1)</f>
        <v/>
      </c>
      <c r="F1550">
        <f>IF(Skills!N17=TRUE,(Skills!L17/10)*(E1550/1000),Skills!L17/10)+Skills!O17</f>
        <v/>
      </c>
      <c r="G1550">
        <f>Skills!G17*IF(Skills!H17&gt;0,Skills!I17/Skills!H17,1)</f>
        <v/>
      </c>
      <c r="H1550">
        <f>1-(1-Skills!J17/100)^Skills!K17</f>
        <v/>
      </c>
      <c r="I1550" t="inlineStr">
        <is>
          <t>1</t>
        </is>
      </c>
      <c r="J1550" t="inlineStr"/>
      <c r="K1550" t="inlineStr"/>
      <c r="L1550" t="inlineStr"/>
      <c r="M1550" t="inlineStr"/>
      <c r="N1550" t="inlineStr"/>
      <c r="O1550">
        <f>(1-Summary!$B$11)*T1550+Summary!$B$11*V1550</f>
        <v/>
      </c>
      <c r="P1550">
        <f>IF(B1573=0,0,O1550/B1573)</f>
        <v/>
      </c>
      <c r="Q1550" t="n">
        <v>0</v>
      </c>
      <c r="R1550" t="n">
        <v>0</v>
      </c>
      <c r="S1550">
        <f>IFERROR(O1550/N1550,0)</f>
        <v/>
      </c>
      <c r="T1550" t="n">
        <v>0</v>
      </c>
      <c r="V1550" t="n">
        <v>0</v>
      </c>
    </row>
    <row r="1551">
      <c r="A1551">
        <f>Skills!A18</f>
        <v/>
      </c>
      <c r="B1551">
        <f>Skills!B18</f>
        <v/>
      </c>
      <c r="C1551">
        <f>Inputs!$B$3&gt;=115</f>
        <v/>
      </c>
      <c r="D1551">
        <f>IF(Skills!C18=1,60+Inputs!$B$25+Inputs!$B$29,IF(Skills!C18=2,90+Inputs!$B$26+Inputs!$B$29,IF(Skills!C18=3,120+Inputs!$B$27+Inputs!$B$29,MAX(0,(Inputs!$B$3-100)*3)+Inputs!$B$28+Inputs!$B$29)))</f>
        <v/>
      </c>
      <c r="E1551">
        <f>INDEX(FactorTable!$B$2:$Y$301, MATCH(ROUND(MIN(300,MAX(1,D1551)),0), FactorTable!$A$2:$A$301,0), Skills!M18+1)</f>
        <v/>
      </c>
      <c r="F1551">
        <f>IF(Skills!N18=TRUE,(Skills!L18/10)*(E1551/1000),Skills!L18/10)+Skills!O18</f>
        <v/>
      </c>
      <c r="G1551">
        <f>Skills!G18*IF(Skills!H18&gt;0,Skills!I18/Skills!H18,1)</f>
        <v/>
      </c>
      <c r="H1551">
        <f>1-(1-Skills!J18/100)^Skills!K18</f>
        <v/>
      </c>
      <c r="I1551" t="inlineStr">
        <is>
          <t>1</t>
        </is>
      </c>
      <c r="J1551" t="inlineStr"/>
      <c r="K1551" t="inlineStr"/>
      <c r="L1551" t="inlineStr"/>
      <c r="M1551" t="inlineStr"/>
      <c r="N1551" t="inlineStr"/>
      <c r="O1551">
        <f>(1-Summary!$B$11)*T1551+Summary!$B$11*V1551</f>
        <v/>
      </c>
      <c r="P1551">
        <f>IF(B1573=0,0,O1551/B1573)</f>
        <v/>
      </c>
      <c r="Q1551" t="n">
        <v>0</v>
      </c>
      <c r="R1551" t="n">
        <v>0</v>
      </c>
      <c r="S1551">
        <f>IFERROR(O1551/N1551,0)</f>
        <v/>
      </c>
      <c r="T1551" t="n">
        <v>0</v>
      </c>
      <c r="V1551" t="n">
        <v>0</v>
      </c>
    </row>
    <row r="1552">
      <c r="A1552">
        <f>Skills!A19</f>
        <v/>
      </c>
      <c r="B1552">
        <f>Skills!B19</f>
        <v/>
      </c>
      <c r="C1552">
        <f>Inputs!$B$3&gt;=15</f>
        <v/>
      </c>
      <c r="D1552">
        <f>IF(Skills!C19=1,60+Inputs!$B$25+Inputs!$B$29,IF(Skills!C19=2,90+Inputs!$B$26+Inputs!$B$29,IF(Skills!C19=3,120+Inputs!$B$27+Inputs!$B$29,MAX(0,(Inputs!$B$3-100)*3)+Inputs!$B$28+Inputs!$B$29)))</f>
        <v/>
      </c>
      <c r="E1552">
        <f>INDEX(FactorTable!$B$2:$Y$301, MATCH(ROUND(MIN(300,MAX(1,D1552)),0), FactorTable!$A$2:$A$301,0), Skills!M19+1)</f>
        <v/>
      </c>
      <c r="F1552">
        <f>IF(Skills!N19=TRUE,(Skills!L19/10)*(E1552/1000),Skills!L19/10)+Skills!O19</f>
        <v/>
      </c>
      <c r="G1552">
        <f>Skills!G19*IF(Skills!H19&gt;0,Skills!I19/Skills!H19,1)</f>
        <v/>
      </c>
      <c r="H1552">
        <f>1-(1-Skills!J19/100)^Skills!K19</f>
        <v/>
      </c>
      <c r="I1552" t="inlineStr">
        <is>
          <t>1</t>
        </is>
      </c>
      <c r="J1552" t="inlineStr"/>
      <c r="K1552" t="inlineStr"/>
      <c r="L1552" t="inlineStr"/>
      <c r="M1552" t="inlineStr"/>
      <c r="N1552" t="inlineStr"/>
      <c r="O1552">
        <f>(1-Summary!$B$11)*T1552+Summary!$B$11*V1552</f>
        <v/>
      </c>
      <c r="P1552">
        <f>IF(B1573=0,0,O1552/B1573)</f>
        <v/>
      </c>
      <c r="Q1552" t="n">
        <v>0</v>
      </c>
      <c r="R1552" t="n">
        <v>0</v>
      </c>
      <c r="S1552">
        <f>IFERROR(O1552/N1552,0)</f>
        <v/>
      </c>
      <c r="T1552" t="n">
        <v>0</v>
      </c>
      <c r="V1552" t="n">
        <v>0</v>
      </c>
    </row>
    <row r="1553">
      <c r="A1553">
        <f>Skills!A20</f>
        <v/>
      </c>
      <c r="B1553">
        <f>Skills!B20</f>
        <v/>
      </c>
      <c r="C1553">
        <f>Inputs!$B$3&gt;=10</f>
        <v/>
      </c>
      <c r="D1553">
        <f>IF(Skills!C20=1,60+Inputs!$B$25+Inputs!$B$29,IF(Skills!C20=2,90+Inputs!$B$26+Inputs!$B$29,IF(Skills!C20=3,120+Inputs!$B$27+Inputs!$B$29,MAX(0,(Inputs!$B$3-100)*3)+Inputs!$B$28+Inputs!$B$29)))</f>
        <v/>
      </c>
      <c r="E1553">
        <f>INDEX(FactorTable!$B$2:$Y$301, MATCH(ROUND(MIN(300,MAX(1,D1553)),0), FactorTable!$A$2:$A$301,0), Skills!M20+1)</f>
        <v/>
      </c>
      <c r="F1553">
        <f>IF(Skills!N20=TRUE,(Skills!L20/10)*(E1553/1000),Skills!L20/10)+Skills!O20</f>
        <v/>
      </c>
      <c r="G1553">
        <f>Skills!G20*IF(Skills!H20&gt;0,Skills!I20/Skills!H20,1)</f>
        <v/>
      </c>
      <c r="H1553">
        <f>1-(1-Skills!J20/100)^Skills!K20</f>
        <v/>
      </c>
      <c r="I1553" t="inlineStr">
        <is>
          <t>1</t>
        </is>
      </c>
      <c r="J1553" t="inlineStr"/>
      <c r="K1553" t="inlineStr"/>
      <c r="L1553" t="inlineStr"/>
      <c r="M1553" t="inlineStr"/>
      <c r="N1553" t="inlineStr"/>
      <c r="O1553">
        <f>(1-Summary!$B$11)*T1553+Summary!$B$11*V1553</f>
        <v/>
      </c>
      <c r="P1553">
        <f>IF(B1573=0,0,O1553/B1573)</f>
        <v/>
      </c>
      <c r="Q1553" t="n">
        <v>0</v>
      </c>
      <c r="R1553" t="n">
        <v>0</v>
      </c>
      <c r="S1553">
        <f>IFERROR(O1553/N1553,0)</f>
        <v/>
      </c>
      <c r="T1553" t="n">
        <v>0</v>
      </c>
      <c r="V1553" t="n">
        <v>0</v>
      </c>
    </row>
    <row r="1554">
      <c r="A1554">
        <f>Skills!A21</f>
        <v/>
      </c>
      <c r="B1554">
        <f>Skills!B21</f>
        <v/>
      </c>
      <c r="C1554">
        <f>Inputs!$B$3&gt;=33</f>
        <v/>
      </c>
      <c r="D1554">
        <f>IF(Skills!C21=1,60+Inputs!$B$25+Inputs!$B$29,IF(Skills!C21=2,90+Inputs!$B$26+Inputs!$B$29,IF(Skills!C21=3,120+Inputs!$B$27+Inputs!$B$29,MAX(0,(Inputs!$B$3-100)*3)+Inputs!$B$28+Inputs!$B$29)))</f>
        <v/>
      </c>
      <c r="E1554">
        <f>INDEX(FactorTable!$B$2:$Y$301, MATCH(ROUND(MIN(300,MAX(1,D1554)),0), FactorTable!$A$2:$A$301,0), Skills!M21+1)</f>
        <v/>
      </c>
      <c r="F1554">
        <f>IF(Skills!N21=TRUE,(Skills!L21/10)*(E1554/1000),Skills!L21/10)+Skills!O21</f>
        <v/>
      </c>
      <c r="G1554">
        <f>Skills!G21*IF(Skills!H21&gt;0,Skills!I21/Skills!H21,1)</f>
        <v/>
      </c>
      <c r="H1554">
        <f>1-(1-Skills!J21/100)^Skills!K21</f>
        <v/>
      </c>
      <c r="I1554" t="inlineStr">
        <is>
          <t>1</t>
        </is>
      </c>
      <c r="J1554" t="inlineStr"/>
      <c r="K1554" t="inlineStr"/>
      <c r="L1554" t="inlineStr"/>
      <c r="M1554" t="inlineStr"/>
      <c r="N1554" t="inlineStr"/>
      <c r="O1554">
        <f>(1-Summary!$B$11)*T1554+Summary!$B$11*V1554</f>
        <v/>
      </c>
      <c r="P1554">
        <f>IF(B1573=0,0,O1554/B1573)</f>
        <v/>
      </c>
      <c r="Q1554" t="n">
        <v>0</v>
      </c>
      <c r="R1554" t="n">
        <v>0</v>
      </c>
      <c r="S1554">
        <f>IFERROR(O1554/N1554,0)</f>
        <v/>
      </c>
      <c r="T1554" t="n">
        <v>0</v>
      </c>
      <c r="V1554" t="n">
        <v>0</v>
      </c>
    </row>
    <row r="1555">
      <c r="A1555">
        <f>Skills!A22</f>
        <v/>
      </c>
      <c r="B1555">
        <f>Skills!B22</f>
        <v/>
      </c>
      <c r="C1555">
        <f>Inputs!$B$3&gt;=43</f>
        <v/>
      </c>
      <c r="D1555">
        <f>IF(Skills!C22=1,60+Inputs!$B$25+Inputs!$B$29,IF(Skills!C22=2,90+Inputs!$B$26+Inputs!$B$29,IF(Skills!C22=3,120+Inputs!$B$27+Inputs!$B$29,MAX(0,(Inputs!$B$3-100)*3)+Inputs!$B$28+Inputs!$B$29)))</f>
        <v/>
      </c>
      <c r="E1555">
        <f>INDEX(FactorTable!$B$2:$Y$301, MATCH(ROUND(MIN(300,MAX(1,D1555)),0), FactorTable!$A$2:$A$301,0), Skills!M22+1)</f>
        <v/>
      </c>
      <c r="F1555">
        <f>IF(Skills!N22=TRUE,(Skills!L22/10)*(E1555/1000),Skills!L22/10)+Skills!O22</f>
        <v/>
      </c>
      <c r="G1555">
        <f>Skills!G22*IF(Skills!H22&gt;0,Skills!I22/Skills!H22,1)</f>
        <v/>
      </c>
      <c r="H1555">
        <f>1-(1-Skills!J22/100)^Skills!K22</f>
        <v/>
      </c>
      <c r="I1555" t="inlineStr">
        <is>
          <t>1</t>
        </is>
      </c>
      <c r="J1555" t="inlineStr"/>
      <c r="K1555" t="inlineStr"/>
      <c r="L1555" t="inlineStr"/>
      <c r="M1555" t="inlineStr"/>
      <c r="N1555" t="inlineStr"/>
      <c r="O1555">
        <f>(1-Summary!$B$11)*T1555+Summary!$B$11*V1555</f>
        <v/>
      </c>
      <c r="P1555">
        <f>IF(B1573=0,0,O1555/B1573)</f>
        <v/>
      </c>
      <c r="Q1555" t="n">
        <v>0</v>
      </c>
      <c r="R1555" t="n">
        <v>0</v>
      </c>
      <c r="S1555">
        <f>IFERROR(O1555/N1555,0)</f>
        <v/>
      </c>
      <c r="T1555" t="n">
        <v>0</v>
      </c>
      <c r="V1555" t="n">
        <v>0</v>
      </c>
    </row>
    <row r="1556">
      <c r="A1556">
        <f>Skills!A23</f>
        <v/>
      </c>
      <c r="B1556">
        <f>Skills!B23</f>
        <v/>
      </c>
      <c r="C1556">
        <f>Inputs!$B$3&gt;=38</f>
        <v/>
      </c>
      <c r="D1556">
        <f>IF(Skills!C23=1,60+Inputs!$B$25+Inputs!$B$29,IF(Skills!C23=2,90+Inputs!$B$26+Inputs!$B$29,IF(Skills!C23=3,120+Inputs!$B$27+Inputs!$B$29,MAX(0,(Inputs!$B$3-100)*3)+Inputs!$B$28+Inputs!$B$29)))</f>
        <v/>
      </c>
      <c r="E1556">
        <f>INDEX(FactorTable!$B$2:$Y$301, MATCH(ROUND(MIN(300,MAX(1,D1556)),0), FactorTable!$A$2:$A$301,0), Skills!M23+1)</f>
        <v/>
      </c>
      <c r="F1556">
        <f>IF(Skills!N23=TRUE,(Skills!L23/10)*(E1556/1000),Skills!L23/10)+Skills!O23</f>
        <v/>
      </c>
      <c r="G1556">
        <f>Skills!G23*IF(Skills!H23&gt;0,Skills!I23/Skills!H23,1)</f>
        <v/>
      </c>
      <c r="H1556">
        <f>1-(1-Skills!J23/100)^Skills!K23</f>
        <v/>
      </c>
      <c r="I1556" t="inlineStr">
        <is>
          <t>1</t>
        </is>
      </c>
      <c r="J1556" t="inlineStr"/>
      <c r="K1556" t="inlineStr"/>
      <c r="L1556" t="inlineStr"/>
      <c r="M1556" t="inlineStr"/>
      <c r="N1556" t="inlineStr"/>
      <c r="O1556">
        <f>(1-Summary!$B$11)*T1556+Summary!$B$11*V1556</f>
        <v/>
      </c>
      <c r="P1556">
        <f>IF(B1573=0,0,O1556/B1573)</f>
        <v/>
      </c>
      <c r="Q1556" t="n">
        <v>0</v>
      </c>
      <c r="R1556" t="n">
        <v>0</v>
      </c>
      <c r="S1556">
        <f>IFERROR(O1556/N1556,0)</f>
        <v/>
      </c>
      <c r="T1556" t="n">
        <v>0</v>
      </c>
      <c r="V1556" t="n">
        <v>0</v>
      </c>
    </row>
    <row r="1557">
      <c r="A1557">
        <f>Skills!A24</f>
        <v/>
      </c>
      <c r="B1557">
        <f>Skills!B24</f>
        <v/>
      </c>
      <c r="C1557">
        <f>Inputs!$B$3&gt;=40</f>
        <v/>
      </c>
      <c r="D1557">
        <f>IF(Skills!C24=1,60+Inputs!$B$25+Inputs!$B$29,IF(Skills!C24=2,90+Inputs!$B$26+Inputs!$B$29,IF(Skills!C24=3,120+Inputs!$B$27+Inputs!$B$29,MAX(0,(Inputs!$B$3-100)*3)+Inputs!$B$28+Inputs!$B$29)))</f>
        <v/>
      </c>
      <c r="E1557">
        <f>INDEX(FactorTable!$B$2:$Y$301, MATCH(ROUND(MIN(300,MAX(1,D1557)),0), FactorTable!$A$2:$A$301,0), Skills!M24+1)</f>
        <v/>
      </c>
      <c r="F1557">
        <f>IF(Skills!N24=TRUE,(Skills!L24/10)*(E1557/1000),Skills!L24/10)+Skills!O24</f>
        <v/>
      </c>
      <c r="G1557">
        <f>Skills!G24*IF(Skills!H24&gt;0,Skills!I24/Skills!H24,1)</f>
        <v/>
      </c>
      <c r="H1557">
        <f>1-(1-Skills!J24/100)^Skills!K24</f>
        <v/>
      </c>
      <c r="I1557" t="inlineStr">
        <is>
          <t>1</t>
        </is>
      </c>
      <c r="J1557" t="inlineStr"/>
      <c r="K1557" t="inlineStr"/>
      <c r="L1557" t="inlineStr"/>
      <c r="M1557" t="inlineStr"/>
      <c r="N1557" t="inlineStr"/>
      <c r="O1557">
        <f>(1-Summary!$B$11)*T1557+Summary!$B$11*V1557</f>
        <v/>
      </c>
      <c r="P1557">
        <f>IF(B1573=0,0,O1557/B1573)</f>
        <v/>
      </c>
      <c r="Q1557" t="n">
        <v>0</v>
      </c>
      <c r="R1557" t="n">
        <v>0</v>
      </c>
      <c r="S1557">
        <f>IFERROR(O1557/N1557,0)</f>
        <v/>
      </c>
      <c r="T1557" t="n">
        <v>0</v>
      </c>
      <c r="V1557" t="n">
        <v>0</v>
      </c>
    </row>
    <row r="1558">
      <c r="A1558">
        <f>Skills!A25</f>
        <v/>
      </c>
      <c r="B1558">
        <f>Skills!B25</f>
        <v/>
      </c>
      <c r="C1558">
        <f>Inputs!$B$3&gt;=72</f>
        <v/>
      </c>
      <c r="D1558">
        <f>IF(Skills!C25=1,60+Inputs!$B$25+Inputs!$B$29,IF(Skills!C25=2,90+Inputs!$B$26+Inputs!$B$29,IF(Skills!C25=3,120+Inputs!$B$27+Inputs!$B$29,MAX(0,(Inputs!$B$3-100)*3)+Inputs!$B$28+Inputs!$B$29)))</f>
        <v/>
      </c>
      <c r="E1558">
        <f>INDEX(FactorTable!$B$2:$Y$301, MATCH(ROUND(MIN(300,MAX(1,D1558)),0), FactorTable!$A$2:$A$301,0), Skills!M25+1)</f>
        <v/>
      </c>
      <c r="F1558">
        <f>IF(Skills!N25=TRUE,(Skills!L25/10)*(E1558/1000),Skills!L25/10)+Skills!O25</f>
        <v/>
      </c>
      <c r="G1558">
        <f>Skills!G25*IF(Skills!H25&gt;0,Skills!I25/Skills!H25,1)</f>
        <v/>
      </c>
      <c r="H1558">
        <f>1-(1-Skills!J25/100)^Skills!K25</f>
        <v/>
      </c>
      <c r="I1558" t="inlineStr">
        <is>
          <t>1</t>
        </is>
      </c>
      <c r="J1558" t="inlineStr"/>
      <c r="K1558" t="inlineStr"/>
      <c r="L1558" t="inlineStr"/>
      <c r="M1558" t="inlineStr"/>
      <c r="N1558" t="inlineStr"/>
      <c r="O1558">
        <f>(1-Summary!$B$11)*T1558+Summary!$B$11*V1558</f>
        <v/>
      </c>
      <c r="P1558">
        <f>IF(B1573=0,0,O1558/B1573)</f>
        <v/>
      </c>
      <c r="Q1558" t="n">
        <v>0</v>
      </c>
      <c r="R1558" t="n">
        <v>0</v>
      </c>
      <c r="S1558">
        <f>IFERROR(O1558/N1558,0)</f>
        <v/>
      </c>
      <c r="T1558" t="n">
        <v>0</v>
      </c>
      <c r="V1558" t="n">
        <v>0</v>
      </c>
    </row>
    <row r="1559">
      <c r="A1559">
        <f>Skills!A26</f>
        <v/>
      </c>
      <c r="B1559">
        <f>Skills!B26</f>
        <v/>
      </c>
      <c r="C1559">
        <f>Inputs!$B$3&gt;=75</f>
        <v/>
      </c>
      <c r="D1559">
        <f>IF(Skills!C26=1,60+Inputs!$B$25+Inputs!$B$29,IF(Skills!C26=2,90+Inputs!$B$26+Inputs!$B$29,IF(Skills!C26=3,120+Inputs!$B$27+Inputs!$B$29,MAX(0,(Inputs!$B$3-100)*3)+Inputs!$B$28+Inputs!$B$29)))</f>
        <v/>
      </c>
      <c r="E1559">
        <f>INDEX(FactorTable!$B$2:$Y$301, MATCH(ROUND(MIN(300,MAX(1,D1559)),0), FactorTable!$A$2:$A$301,0), Skills!M26+1)</f>
        <v/>
      </c>
      <c r="F1559">
        <f>IF(Skills!N26=TRUE,(Skills!L26/10)*(E1559/1000),Skills!L26/10)+Skills!O26</f>
        <v/>
      </c>
      <c r="G1559">
        <f>Skills!G26*IF(Skills!H26&gt;0,Skills!I26/Skills!H26,1)</f>
        <v/>
      </c>
      <c r="H1559">
        <f>1-(1-Skills!J26/100)^Skills!K26</f>
        <v/>
      </c>
      <c r="I1559" t="inlineStr">
        <is>
          <t>1</t>
        </is>
      </c>
      <c r="J1559" t="inlineStr"/>
      <c r="K1559" t="inlineStr"/>
      <c r="L1559" t="inlineStr"/>
      <c r="M1559" t="inlineStr"/>
      <c r="N1559" t="inlineStr"/>
      <c r="O1559">
        <f>(1-Summary!$B$11)*T1559+Summary!$B$11*V1559</f>
        <v/>
      </c>
      <c r="P1559">
        <f>IF(B1573=0,0,O1559/B1573)</f>
        <v/>
      </c>
      <c r="Q1559" t="n">
        <v>0</v>
      </c>
      <c r="R1559" t="n">
        <v>0</v>
      </c>
      <c r="S1559">
        <f>IFERROR(O1559/N1559,0)</f>
        <v/>
      </c>
      <c r="T1559" t="n">
        <v>0</v>
      </c>
      <c r="V1559" t="n">
        <v>0</v>
      </c>
    </row>
    <row r="1560">
      <c r="A1560">
        <f>Skills!A27</f>
        <v/>
      </c>
      <c r="B1560">
        <f>Skills!B27</f>
        <v/>
      </c>
      <c r="C1560">
        <f>Inputs!$B$3&gt;=117</f>
        <v/>
      </c>
      <c r="D1560">
        <f>IF(Skills!C27=1,60+Inputs!$B$25+Inputs!$B$29,IF(Skills!C27=2,90+Inputs!$B$26+Inputs!$B$29,IF(Skills!C27=3,120+Inputs!$B$27+Inputs!$B$29,MAX(0,(Inputs!$B$3-100)*3)+Inputs!$B$28+Inputs!$B$29)))</f>
        <v/>
      </c>
      <c r="E1560">
        <f>INDEX(FactorTable!$B$2:$Y$301, MATCH(ROUND(MIN(300,MAX(1,D1560)),0), FactorTable!$A$2:$A$301,0), Skills!M27+1)</f>
        <v/>
      </c>
      <c r="F1560">
        <f>IF(Skills!N27=TRUE,(Skills!L27/10)*(E1560/1000),Skills!L27/10)+Skills!O27</f>
        <v/>
      </c>
      <c r="G1560">
        <f>Skills!G27*IF(Skills!H27&gt;0,Skills!I27/Skills!H27,1)</f>
        <v/>
      </c>
      <c r="H1560">
        <f>1-(1-Skills!J27/100)^Skills!K27</f>
        <v/>
      </c>
      <c r="I1560" t="inlineStr">
        <is>
          <t>1</t>
        </is>
      </c>
      <c r="J1560" t="inlineStr"/>
      <c r="K1560" t="inlineStr"/>
      <c r="L1560" t="inlineStr"/>
      <c r="M1560" t="inlineStr"/>
      <c r="N1560" t="inlineStr"/>
      <c r="O1560">
        <f>(1-Summary!$B$11)*T1560+Summary!$B$11*V1560</f>
        <v/>
      </c>
      <c r="P1560">
        <f>IF(B1573=0,0,O1560/B1573)</f>
        <v/>
      </c>
      <c r="Q1560" t="n">
        <v>0</v>
      </c>
      <c r="R1560" t="n">
        <v>0</v>
      </c>
      <c r="S1560">
        <f>IFERROR(O1560/N1560,0)</f>
        <v/>
      </c>
      <c r="T1560" t="n">
        <v>0</v>
      </c>
      <c r="V1560" t="n">
        <v>0</v>
      </c>
    </row>
    <row r="1562">
      <c r="A1562" t="inlineStr">
        <is>
          <t>Attack% Bucket Multiplier</t>
        </is>
      </c>
      <c r="B1562">
        <f>(1+(((C1550=TRUE)*F1550)+((C1557=TRUE)*(F1557-Calc!F24))+(IF(ArtifactsInput!$M$21,CHOOSE(ArtifactsInput!$N$21+1,25,30,35,40,45,50)*(IF(OR(Inputs!$B$4="Chapter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63">
      <c r="A1563" t="inlineStr">
        <is>
          <t>Global Crit Rate Bonus %</t>
        </is>
      </c>
      <c r="B1563" t="n">
        <v>0</v>
      </c>
    </row>
    <row r="1564">
      <c r="A1564" t="inlineStr">
        <is>
          <t>Attack Speed Buff Bonus % (unused)</t>
        </is>
      </c>
      <c r="B1564" t="n">
        <v>0</v>
      </c>
    </row>
    <row r="1565">
      <c r="A1565" t="inlineStr">
        <is>
          <t>Actions Per Second</t>
        </is>
      </c>
      <c r="B1565">
        <f>1+MIN(150,150*(1-(1-(Inputs!$B$11+((C1553=TRUE)*(F1553-Calc!F20))+((C1554=TRUE)*(F1554-Calc!F21)))/150)*(1-B1564/150)))/100</f>
        <v/>
      </c>
    </row>
    <row r="1566">
      <c r="A1566" t="inlineStr">
        <is>
          <t>Skill + Buff Cast Rate</t>
        </is>
      </c>
      <c r="B1566">
        <f>IF(AND(Inputs!$B$38&lt;&gt;"pvp",Inputs!$B$43&gt;0),SUMPRODUCT((Skills!E2:E27=TRUE)*(C1535:C1560=TRUE)*R1535:R1560*Skills!F2:F27)/Inputs!$B$43,SUMPRODUCT((Skills!E2:E27=TRUE)*(C1535:C1560=TRUE)*Q1535:Q1560*Skills!F2:F27))</f>
        <v/>
      </c>
    </row>
    <row r="1567">
      <c r="A1567" t="inlineStr">
        <is>
          <t>Eight-Legs Easton Casts Per Second</t>
        </is>
      </c>
      <c r="B1567">
        <f>MAX(0,B1565-B1566)</f>
        <v/>
      </c>
    </row>
    <row r="1568">
      <c r="A1568" t="inlineStr">
        <is>
          <t>Global Critical Damage Bonus % (unused)</t>
        </is>
      </c>
      <c r="B1568" t="n">
        <v>0</v>
      </c>
    </row>
    <row r="1569">
      <c r="A1569" t="inlineStr">
        <is>
          <t>Global Final Damage Bonus % (Jolly Roger only)</t>
        </is>
      </c>
      <c r="B1569">
        <f>((C1551=TRUE)*F1551)</f>
        <v/>
      </c>
    </row>
    <row r="1570">
      <c r="A1570" t="inlineStr">
        <is>
          <t>Buff-Casting Startup Delay (s, fixed-duration only)</t>
        </is>
      </c>
      <c r="B1570">
        <f>IF(AND(Inputs!$B$38&lt;&gt;"pvp",Inputs!$B$43&gt;0),SUMPRODUCT((Skills!T2:T27&gt;0)*(Skills!E2:E27=TRUE)*(C1535:C1560=TRUE))/B1565,0)</f>
        <v/>
      </c>
    </row>
    <row r="1571">
      <c r="A1571" t="inlineStr">
        <is>
          <t>Boss-Only Total DPS (this block's swept value)</t>
        </is>
      </c>
      <c r="B1571">
        <f>SUM(T1535:T1560)</f>
        <v/>
      </c>
    </row>
    <row r="1572">
      <c r="A1572" t="inlineStr">
        <is>
          <t>Normal-Only Total DPS (this block's swept value)</t>
        </is>
      </c>
      <c r="B1572">
        <f>SUM(V1535:V1560)</f>
        <v/>
      </c>
    </row>
    <row r="1573">
      <c r="A1573" s="6" t="inlineStr">
        <is>
          <t>TOTAL DPS</t>
        </is>
      </c>
      <c r="B1573" s="6">
        <f>SUM(O1535:O1560)</f>
        <v/>
      </c>
    </row>
    <row r="1576">
      <c r="A1576" s="6" t="inlineStr">
        <is>
          <t>Stat: Athena Pierce's Old Gloves (Equip)</t>
        </is>
      </c>
    </row>
    <row r="1577">
      <c r="A1577" s="5" t="inlineStr">
        <is>
          <t>Key</t>
        </is>
      </c>
      <c r="B1577" s="5" t="inlineStr">
        <is>
          <t>Name</t>
        </is>
      </c>
      <c r="C1577" s="5" t="inlineStr">
        <is>
          <t>Unlocked</t>
        </is>
      </c>
      <c r="D1577" s="5" t="inlineStr">
        <is>
          <t>InputLevel</t>
        </is>
      </c>
      <c r="E1577" s="5" t="inlineStr">
        <is>
          <t>Factor</t>
        </is>
      </c>
      <c r="F1577" s="5" t="inlineStr">
        <is>
          <t>CoefficientPercent</t>
        </is>
      </c>
      <c r="G1577" s="5" t="inlineStr">
        <is>
          <t>EffectiveHits</t>
        </is>
      </c>
      <c r="H1577" s="5" t="inlineStr">
        <is>
          <t>ProcProbability</t>
        </is>
      </c>
      <c r="I1577" s="5" t="inlineStr">
        <is>
          <t>MapleHeroMultiplier</t>
        </is>
      </c>
      <c r="J1577" s="5" t="inlineStr">
        <is>
          <t>BaseDamage</t>
        </is>
      </c>
      <c r="K1577" s="5" t="inlineStr">
        <is>
          <t>BaseHitDamage</t>
        </is>
      </c>
      <c r="L1577" s="5" t="inlineStr">
        <is>
          <t>NonCritAvg</t>
        </is>
      </c>
      <c r="M1577" s="5" t="inlineStr">
        <is>
          <t>CritAvg</t>
        </is>
      </c>
      <c r="N1577" s="5" t="inlineStr">
        <is>
          <t>ExpectedDamage(perHit)</t>
        </is>
      </c>
      <c r="O1577" s="5" t="inlineStr">
        <is>
          <t>DPS</t>
        </is>
      </c>
      <c r="P1577" s="5" t="inlineStr">
        <is>
          <t>% of Total</t>
        </is>
      </c>
      <c r="Q1577" s="5" t="inlineStr">
        <is>
          <t>InvCooldown</t>
        </is>
      </c>
      <c r="R1577" s="5" t="inlineStr">
        <is>
          <t>CastsInFight</t>
        </is>
      </c>
      <c r="S1577" s="5" t="inlineStr">
        <is>
          <t>HitRate(perSec)</t>
        </is>
      </c>
      <c r="U1577" t="inlineStr">
        <is>
          <t>helpers</t>
        </is>
      </c>
    </row>
    <row r="1578">
      <c r="A1578">
        <f>Skills!A2</f>
        <v/>
      </c>
      <c r="B1578">
        <f>Skills!B2</f>
        <v/>
      </c>
      <c r="C1578">
        <f>Inputs!$B$3&gt;=100</f>
        <v/>
      </c>
      <c r="D1578" t="inlineStr"/>
      <c r="E1578" t="inlineStr"/>
      <c r="F1578">
        <f>U1580+Skills!O2</f>
        <v/>
      </c>
      <c r="G1578">
        <f>Skills!G2*IF(Skills!H2&gt;0,Skills!I2/Skills!H2,1)</f>
        <v/>
      </c>
      <c r="H1578">
        <f>1-(1-Skills!J2/100)^Skills!K2</f>
        <v/>
      </c>
      <c r="I1578" t="inlineStr">
        <is>
          <t>1</t>
        </is>
      </c>
      <c r="J1578">
        <f>((Inputs!$B$6*(1+Inputs!$B$7/100))+(((Inputs!$B$12*(1+Inputs!$B$13/100))-(Inputs!$B$12*(1+Inputs!$B$13/100)))+0.25*(Inputs!$B$14-Inputs!$B$14))*(1+Inputs!$B$7/100))*(F1578/100)</f>
        <v/>
      </c>
      <c r="K1578">
        <f>J1578*(1+((Inputs!$B$12*(1+Inputs!$B$13/100))*0.01+Inputs!$B$14*0.0025)/100)*(1+Inputs!$B$15/100)*(1+Inputs!$B$16/100)*(5000/(6000+Inputs!$B$42*(1-(100*(1-(1-(Inputs!$B$19+0)/100)*(1-CHOOSE(ArtifactsInput!$N$40+1,5,6,7,8,9,10)/100)^(ArtifactsInput!$M$40-ArtifactsInput!$M$40)))/100)))*(1+(Inputs!$B$24+((C1602=TRUE)*(F1602-Calc!F26))+B1612)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1599=TRUE)*(F1599-Calc!F23))+((C1603=TRUE)*(F1603-Calc!F27))+(((IF(AND(ArtifactsInput!$M$42,((Inputs!$B$9+((C1595=TRUE)*(F1595-Calc!F19))+B1606+(ArtifactsInput!$M$24-ArtifactsInput!$M$24)*CHOOSE(ArtifactsInput!$N$24+1,10,12,14,16,18,20)+IF(ArtifactsInput!$M$10,CHOOSE(ArtifactsInput!$N$10+1,15,18,21,24,27,30)*(IF(Inputs!$B$38="pvp",MIN(15,15)/15,IF(AND(Inputs!$B$38&lt;&gt;"pvp",Inputs!$B$43&gt;0),MIN(15,Inputs!$B$43)/(Inputs!$B$43),0))),0)))&gt;=100),MIN(100,((Inputs!$B$9+((C1595=TRUE)*(F1595-Calc!F19))+B1606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1595=TRUE)*(F1595-Calc!F19))+B1606+(ArtifactsInput!$M$24-ArtifactsInput!$M$24)*CHOOSE(ArtifactsInput!$N$24+1,10,12,14,16,18,20)+IF(ArtifactsInput!$M$10,CHOOSE(ArtifactsInput!$N$10+1,15,18,21,24,27,30)*(IF(Inputs!$B$38="pvp",MIN(15,15)/15,IF(AND(Inputs!$B$38&lt;&gt;"pvp",Inputs!$B$43&gt;0),MIN(15,Inputs!$B$43)/(Inputs!$B$43),0))),0)))&gt;=100),CHOOSE(ArtifactsInput!$N$42+1,40,48,56,64,72,80),0))))/100)*((1+(((C1593=TRUE)*F1593)+((C1600=TRUE)*(F1600-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1578)</f>
        <v/>
      </c>
      <c r="L1578">
        <f>K1578*(MIN(Inputs!$B$22+((C1598=TRUE)*(F1598-Calc!F22)),(Inputs!$B$23+0+((IF(IF(ArtifactsInput!$M$15,FALSE,TRUE),1,-1)*CHOOSE(ArtifactsInput!$N$15+1,25,30,35,40,45,50)/100*IF(IF(ArtifactsInput!$M$15,FALSE,TRUE),(Inputs!$B$11+((C1596=TRUE)*(F1596-Calc!F20))+((C1597=TRUE)*(F1597-Calc!F21))+(IF(ArtifactsInput!$M$15,FALSE,TRUE)-ArtifactsInput!$M$15)*CHOOSE(ArtifactsInput!$N$15+1,8,9.6,11.2,12.8,14.4,16)),Inputs!$B$11)))))/100+(Inputs!$B$23+0+((IF(IF(ArtifactsInput!$M$15,FALSE,TRUE),1,-1)*CHOOSE(ArtifactsInput!$N$15+1,25,30,35,40,45,50)/100*IF(IF(ArtifactsInput!$M$15,FALSE,TRUE),(Inputs!$B$11+((C1596=TRUE)*(F1596-Calc!F20))+((C1597=TRUE)*(F1597-Calc!F21))+(IF(ArtifactsInput!$M$15,FALSE,TRUE)-ArtifactsInput!$M$15)*CHOOSE(ArtifactsInput!$N$15+1,8,9.6,11.2,12.8,14.4,16)),Inputs!$B$11))))/100)/2</f>
        <v/>
      </c>
      <c r="M1578">
        <f>L1578*(1+(Inputs!$B$10+((C1601=TRUE)*(F1601-Calc!F25))+B1611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8">
        <f>L1578*(1-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1578*(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8">
        <f>(1-Summary!$B$11)*T1578+Summary!$B$11*V1578</f>
        <v/>
      </c>
      <c r="P1578">
        <f>IF(B1616=0,0,O1578/B1616)</f>
        <v/>
      </c>
      <c r="Q1578" t="n">
        <v>0</v>
      </c>
      <c r="R1578" t="n">
        <v>0</v>
      </c>
      <c r="S1578">
        <f>IFERROR(O1578/N1578,0)</f>
        <v/>
      </c>
      <c r="T1578">
        <f>IF(C1578,(Skills!G2*N1578*B1610)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1578*(1-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1578*(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1578*(1-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1578*(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8">
        <f>MAX(0,(Inputs!$B$3-100)*3)+Inputs!$B$28+Inputs!$B$29</f>
        <v/>
      </c>
      <c r="V1578">
        <f>IF(C1578,(Skills!G2*N1578*B1610)*IF(Inputs!$B$38="pvp",1,(1+(Inputs!$B$21+Skills!Q2+(IF(ArtifactsInput!$M$33,CHOOSE(ArtifactsInput!$N$33+1,30,36,42,48,54,60),0))+(IF(AND(ArtifactsInput!$M$35,Inputs!$B$4&lt;&gt;"Chapter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9">
      <c r="A1579">
        <f>Skills!A3</f>
        <v/>
      </c>
      <c r="B1579">
        <f>Skills!B3</f>
        <v/>
      </c>
      <c r="C1579">
        <f>Inputs!$B$3&gt;=35</f>
        <v/>
      </c>
      <c r="D1579">
        <f>IF(Skills!C3=1,60+Inputs!$B$25+Inputs!$B$29,IF(Skills!C3=2,90+Inputs!$B$26+Inputs!$B$29,IF(Skills!C3=3,120+Inputs!$B$27+Inputs!$B$29,MAX(0,(Inputs!$B$3-100)*3)+Inputs!$B$28+Inputs!$B$29)))</f>
        <v/>
      </c>
      <c r="E1579">
        <f>INDEX(FactorTable!$B$2:$Y$301, MATCH(ROUND(MIN(300,MAX(1,D1579)),0), FactorTable!$A$2:$A$301,0), Skills!M3+1)</f>
        <v/>
      </c>
      <c r="F1579">
        <f>IF(Skills!N3=TRUE,(Skills!L3/10)*(E1579/1000),Skills!L3/10)+Skills!O3</f>
        <v/>
      </c>
      <c r="G1579">
        <f>Skills!G3*IF(Skills!H3&gt;0,Skills!I3/Skills!H3,1)</f>
        <v/>
      </c>
      <c r="H1579">
        <f>1-(1-Skills!J3/100)^Skills!K3</f>
        <v/>
      </c>
      <c r="I1579" t="inlineStr">
        <is>
          <t>1</t>
        </is>
      </c>
      <c r="J1579">
        <f>((Inputs!$B$6*(1+Inputs!$B$7/100))+(((Inputs!$B$12*(1+Inputs!$B$13/100))-(Inputs!$B$12*(1+Inputs!$B$13/100)))+0.25*(Inputs!$B$14-Inputs!$B$14))*(1+Inputs!$B$7/100))*(F1579/100)</f>
        <v/>
      </c>
      <c r="K1579">
        <f>J1579*(1+((Inputs!$B$12*(1+Inputs!$B$13/100))*0.01+Inputs!$B$14*0.0025)/100)*(1+Inputs!$B$15/100)*(1+Inputs!$B$16/100)*(5000/(6000+Inputs!$B$42*(1-(100*(1-(1-(Inputs!$B$19+0)/100)*(1-CHOOSE(ArtifactsInput!$N$40+1,5,6,7,8,9,10)/100)^(ArtifactsInput!$M$40-ArtifactsInput!$M$40)))/100)))*(1+(Inputs!$B$24+((C1602=TRUE)*(F1602-Calc!F26))+B1612)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1591=TRUE,F1591,0)/100)*(1+(IF(Skills!A3="EIGHT_LEGS_EASTON",Inputs!$B$17+((C1599=TRUE)*(F1599-Calc!F23))+((C1603=TRUE)*(F1603-Calc!F27))+(((IF(AND(ArtifactsInput!$M$42,((Inputs!$B$9+((C1595=TRUE)*(F1595-Calc!F19))+B1606+(ArtifactsInput!$M$24-ArtifactsInput!$M$24)*CHOOSE(ArtifactsInput!$N$24+1,10,12,14,16,18,20)+IF(ArtifactsInput!$M$10,CHOOSE(ArtifactsInput!$N$10+1,15,18,21,24,27,30)*(IF(Inputs!$B$38="pvp",MIN(15,15)/15,IF(AND(Inputs!$B$38&lt;&gt;"pvp",Inputs!$B$43&gt;0),MIN(15,Inputs!$B$43)/(Inputs!$B$43),0))),0)))&gt;=100),MIN(100,((Inputs!$B$9+((C1595=TRUE)*(F1595-Calc!F19))+B1606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1595=TRUE)*(F1595-Calc!F19))+B1606+(ArtifactsInput!$M$24-ArtifactsInput!$M$24)*CHOOSE(ArtifactsInput!$N$24+1,10,12,14,16,18,20)+IF(ArtifactsInput!$M$10,CHOOSE(ArtifactsInput!$N$10+1,15,18,21,24,27,30)*(IF(Inputs!$B$38="pvp",MIN(15,15)/15,IF(AND(Inputs!$B$38&lt;&gt;"pvp",Inputs!$B$43&gt;0),MIN(15,Inputs!$B$43)/(Inputs!$B$43),0))),0)))&gt;=100),CHOOSE(ArtifactsInput!$N$42+1,40,48,56,64,72,80),0))))/100)*((1+(((C1593=TRUE)*F1593)+((C1600=TRUE)*(F1600-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1579)</f>
        <v/>
      </c>
      <c r="L1579">
        <f>K1579*(MIN(Inputs!$B$22+((C1598=TRUE)*(F1598-Calc!F22)),(Inputs!$B$23+0+((IF(IF(ArtifactsInput!$M$15,FALSE,TRUE),1,-1)*CHOOSE(ArtifactsInput!$N$15+1,25,30,35,40,45,50)/100*IF(IF(ArtifactsInput!$M$15,FALSE,TRUE),(Inputs!$B$11+((C1596=TRUE)*(F1596-Calc!F20))+((C1597=TRUE)*(F1597-Calc!F21))+(IF(ArtifactsInput!$M$15,FALSE,TRUE)-ArtifactsInput!$M$15)*CHOOSE(ArtifactsInput!$N$15+1,8,9.6,11.2,12.8,14.4,16)),Inputs!$B$11)))))/100+(Inputs!$B$23+0+((IF(IF(ArtifactsInput!$M$15,FALSE,TRUE),1,-1)*CHOOSE(ArtifactsInput!$N$15+1,25,30,35,40,45,50)/100*IF(IF(ArtifactsInput!$M$15,FALSE,TRUE),(Inputs!$B$11+((C1596=TRUE)*(F1596-Calc!F20))+((C1597=TRUE)*(F1597-Calc!F21))+(IF(ArtifactsInput!$M$15,FALSE,TRUE)-ArtifactsInput!$M$15)*CHOOSE(ArtifactsInput!$N$15+1,8,9.6,11.2,12.8,14.4,16)),Inputs!$B$11))))/100)/2</f>
        <v/>
      </c>
      <c r="M1579">
        <f>L1579*(1+(Inputs!$B$10+((C1601=TRUE)*(F1601-Calc!F25))+B1611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9">
        <f>L1579*(1-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1579*(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9">
        <f>(1-Summary!$B$11)*T1579+Summary!$B$11*V1579</f>
        <v/>
      </c>
      <c r="P1579">
        <f>IF(B1616=0,0,O1579/B1616)</f>
        <v/>
      </c>
      <c r="Q1579">
        <f>IFERROR(1/(IF(Inputs!$B$38="pvp",15,MAX(0.1,Skills!D3-IF(Skills!E3=TRUE,Inputs!$B$32,0)))*(1-IF(AND(ArtifactsInput!$M$27,Inputs!$B$4="Chapter Hunt"),CHOOSE(ArtifactsInput!$N$27+1,20,24,28,32,36,40),0)/100)),0)</f>
        <v/>
      </c>
      <c r="R1579">
        <f>IF(AND(Inputs!$B$38&lt;&gt;"pvp",Inputs!$B$43&gt;0),IF(MAX(0,Inputs!$B$43-B1613)&lt;=0,0,(INT(MAX(0,Inputs!$B$43-B1613)/(IF(Inputs!$B$38="pvp",15,MAX(0.1,Skills!D3-IF(Skills!E3=TRUE,Inputs!$B$32,0)))*(1-IF(AND(ArtifactsInput!$M$27,Inputs!$B$4="Chapter Hunt"),CHOOSE(ArtifactsInput!$N$27+1,20,24,28,32,36,40),0)/100)))+1)),0)</f>
        <v/>
      </c>
      <c r="S1579">
        <f>IFERROR(O1579/N1579,0)</f>
        <v/>
      </c>
      <c r="T1579">
        <f>IF(C1579,(H1579*N1579*IF(AND(Inputs!$B$38&lt;&gt;"pvp",Inputs!$B$43&gt;0),((Skills!G3*((R1579-1)*IF(Skills!H3&gt;0,Skills!I3/Skills!H3,1)+IF(Skills!H3&gt;0,MIN(Skills!I3,MAX(0,MAX(0,Inputs!$B$43-B1613)-((R1579-1)*(IF(Inputs!$B$38="pvp",15,MAX(0.1,Skills!D3-IF(Skills!E3=TRUE,Inputs!$B$32,0)))*(1-IF(AND(ArtifactsInput!$M$27,Inputs!$B$4="Chapter Hunt"),CHOOSE(ArtifactsInput!$N$27+1,20,24,28,32,36,40),0)/100)))))/Skills!H3,1)))/Inputs!$B$43),G1579*Q1579)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1579*(1-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1579*(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1579*(1-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1579*(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9">
        <f>INDEX(FactorTable!$B$2:$Y$301, MATCH(ROUND(MIN(300,MAX(1,U1578)),0), FactorTable!$A$2:$A$301,0), 22)</f>
        <v/>
      </c>
      <c r="V1579">
        <f>IF(C1579,(H1579*N1579*IF(AND(Inputs!$B$38&lt;&gt;"pvp",Inputs!$B$43&gt;0),((Skills!G3*((R1579-1)*IF(Skills!H3&gt;0,Skills!I3/Skills!H3,1)+IF(Skills!H3&gt;0,MIN(Skills!I3,MAX(0,MAX(0,Inputs!$B$43-B1613)-((R1579-1)*(IF(Inputs!$B$38="pvp",15,MAX(0.1,Skills!D3-IF(Skills!E3=TRUE,Inputs!$B$32,0)))*(1-IF(AND(ArtifactsInput!$M$27,Inputs!$B$4="Chapter Hunt"),CHOOSE(ArtifactsInput!$N$27+1,20,24,28,32,36,40),0)/100)))))/Skills!H3,1)))/Inputs!$B$43),G1579*Q1579))*IF(Inputs!$B$38="pvp",1,(1+(Inputs!$B$21+Skills!Q3+(IF(ArtifactsInput!$M$33,CHOOSE(ArtifactsInput!$N$33+1,30,36,42,48,54,60)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0">
      <c r="A1580">
        <f>Skills!A4</f>
        <v/>
      </c>
      <c r="B1580">
        <f>Skills!B4</f>
        <v/>
      </c>
      <c r="C1580">
        <f>Inputs!$B$3&gt;=40</f>
        <v/>
      </c>
      <c r="D1580">
        <f>IF(Skills!C4=1,60+Inputs!$B$25+Inputs!$B$29,IF(Skills!C4=2,90+Inputs!$B$26+Inputs!$B$29,IF(Skills!C4=3,120+Inputs!$B$27+Inputs!$B$29,MAX(0,(Inputs!$B$3-100)*3)+Inputs!$B$28+Inputs!$B$29)))</f>
        <v/>
      </c>
      <c r="E1580">
        <f>INDEX(FactorTable!$B$2:$Y$301, MATCH(ROUND(MIN(300,MAX(1,D1580)),0), FactorTable!$A$2:$A$301,0), Skills!M4+1)</f>
        <v/>
      </c>
      <c r="F1580">
        <f>IF(Skills!N4=TRUE,(Skills!L4/10)*(E1580/1000),Skills!L4/10)+Skills!O4</f>
        <v/>
      </c>
      <c r="G1580">
        <f>Skills!G4*IF(Skills!H4&gt;0,Skills!I4/Skills!H4,1)</f>
        <v/>
      </c>
      <c r="H1580">
        <f>1-(1-Skills!J4/100)^Skills!K4</f>
        <v/>
      </c>
      <c r="I1580" t="inlineStr">
        <is>
          <t>1</t>
        </is>
      </c>
      <c r="J1580">
        <f>((Inputs!$B$6*(1+Inputs!$B$7/100))+(((Inputs!$B$12*(1+Inputs!$B$13/100))-(Inputs!$B$12*(1+Inputs!$B$13/100)))+0.25*(Inputs!$B$14-Inputs!$B$14))*(1+Inputs!$B$7/100))*(F1580/100)</f>
        <v/>
      </c>
      <c r="K1580">
        <f>J1580*(1+((Inputs!$B$12*(1+Inputs!$B$13/100))*0.01+Inputs!$B$14*0.0025)/100)*(1+Inputs!$B$15/100)*(1+Inputs!$B$16/100)*(5000/(6000+Inputs!$B$42*(1-(100*(1-(1-(Inputs!$B$19+0)/100)*(1-CHOOSE(ArtifactsInput!$N$40+1,5,6,7,8,9,10)/100)^(ArtifactsInput!$M$40-ArtifactsInput!$M$40)))/100)))*(1+(Inputs!$B$24+((C1602=TRUE)*(F1602-Calc!F26))+B1612)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1592=TRUE,F1592,0)/100)*(1+(IF(Skills!A4="EIGHT_LEGS_EASTON",Inputs!$B$17+((C1599=TRUE)*(F1599-Calc!F23))+((C1603=TRUE)*(F1603-Calc!F27))+(((IF(AND(ArtifactsInput!$M$42,((Inputs!$B$9+((C1595=TRUE)*(F1595-Calc!F19))+B1606+(ArtifactsInput!$M$24-ArtifactsInput!$M$24)*CHOOSE(ArtifactsInput!$N$24+1,10,12,14,16,18,20)+IF(ArtifactsInput!$M$10,CHOOSE(ArtifactsInput!$N$10+1,15,18,21,24,27,30)*(IF(Inputs!$B$38="pvp",MIN(15,15)/15,IF(AND(Inputs!$B$38&lt;&gt;"pvp",Inputs!$B$43&gt;0),MIN(15,Inputs!$B$43)/(Inputs!$B$43),0))),0)))&gt;=100),MIN(100,((Inputs!$B$9+((C1595=TRUE)*(F1595-Calc!F19))+B1606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1595=TRUE)*(F1595-Calc!F19))+B1606+(ArtifactsInput!$M$24-ArtifactsInput!$M$24)*CHOOSE(ArtifactsInput!$N$24+1,10,12,14,16,18,20)+IF(ArtifactsInput!$M$10,CHOOSE(ArtifactsInput!$N$10+1,15,18,21,24,27,30)*(IF(Inputs!$B$38="pvp",MIN(15,15)/15,IF(AND(Inputs!$B$38&lt;&gt;"pvp",Inputs!$B$43&gt;0),MIN(15,Inputs!$B$43)/(Inputs!$B$43),0))),0)))&gt;=100),CHOOSE(ArtifactsInput!$N$42+1,40,48,56,64,72,80),0))))/100)*((1+(((C1593=TRUE)*F1593)+((C1600=TRUE)*(F1600-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1580)</f>
        <v/>
      </c>
      <c r="L1580">
        <f>K1580*(MIN(Inputs!$B$22+((C1598=TRUE)*(F1598-Calc!F22)),(Inputs!$B$23+0+((IF(IF(ArtifactsInput!$M$15,FALSE,TRUE),1,-1)*CHOOSE(ArtifactsInput!$N$15+1,25,30,35,40,45,50)/100*IF(IF(ArtifactsInput!$M$15,FALSE,TRUE),(Inputs!$B$11+((C1596=TRUE)*(F1596-Calc!F20))+((C1597=TRUE)*(F1597-Calc!F21))+(IF(ArtifactsInput!$M$15,FALSE,TRUE)-ArtifactsInput!$M$15)*CHOOSE(ArtifactsInput!$N$15+1,8,9.6,11.2,12.8,14.4,16)),Inputs!$B$11)))))/100+(Inputs!$B$23+0+((IF(IF(ArtifactsInput!$M$15,FALSE,TRUE),1,-1)*CHOOSE(ArtifactsInput!$N$15+1,25,30,35,40,45,50)/100*IF(IF(ArtifactsInput!$M$15,FALSE,TRUE),(Inputs!$B$11+((C1596=TRUE)*(F1596-Calc!F20))+((C1597=TRUE)*(F1597-Calc!F21))+(IF(ArtifactsInput!$M$15,FALSE,TRUE)-ArtifactsInput!$M$15)*CHOOSE(ArtifactsInput!$N$15+1,8,9.6,11.2,12.8,14.4,16)),Inputs!$B$11))))/100)/2</f>
        <v/>
      </c>
      <c r="M1580">
        <f>L1580*(1+(Inputs!$B$10+((C1601=TRUE)*(F1601-Calc!F25))+B1611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0">
        <f>L1580*(1-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1580*(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0">
        <f>(1-Summary!$B$11)*T1580+Summary!$B$11*V1580</f>
        <v/>
      </c>
      <c r="P1580">
        <f>IF(B1616=0,0,O1580/B1616)</f>
        <v/>
      </c>
      <c r="Q1580">
        <f>IFERROR(1/(IF(Inputs!$B$38="pvp",15,MAX(0.1,Skills!D4-IF(Skills!E4=TRUE,Inputs!$B$32,0)))*(1-IF(AND(ArtifactsInput!$M$27,Inputs!$B$4="Chapter Hunt"),CHOOSE(ArtifactsInput!$N$27+1,20,24,28,32,36,40),0)/100)),0)</f>
        <v/>
      </c>
      <c r="R1580">
        <f>IF(AND(Inputs!$B$38&lt;&gt;"pvp",Inputs!$B$43&gt;0),IF(MAX(0,Inputs!$B$43-B1613)&lt;=0,0,(INT(MAX(0,Inputs!$B$43-B1613)/(IF(Inputs!$B$38="pvp",15,MAX(0.1,Skills!D4-IF(Skills!E4=TRUE,Inputs!$B$32,0)))*(1-IF(AND(ArtifactsInput!$M$27,Inputs!$B$4="Chapter Hunt"),CHOOSE(ArtifactsInput!$N$27+1,20,24,28,32,36,40),0)/100)))+1)),0)</f>
        <v/>
      </c>
      <c r="S1580">
        <f>IFERROR(O1580/N1580,0)</f>
        <v/>
      </c>
      <c r="T1580">
        <f>IF(C1580,(H1580*N1580*IF(AND(Inputs!$B$38&lt;&gt;"pvp",Inputs!$B$43&gt;0),((Skills!G4*((R1580-1)*IF(Skills!H4&gt;0,Skills!I4/Skills!H4,1)+IF(Skills!H4&gt;0,MIN(Skills!I4,MAX(0,MAX(0,Inputs!$B$43-B1613)-((R1580-1)*(IF(Inputs!$B$38="pvp",15,MAX(0.1,Skills!D4-IF(Skills!E4=TRUE,Inputs!$B$32,0)))*(1-IF(AND(ArtifactsInput!$M$27,Inputs!$B$4="Chapter Hunt"),CHOOSE(ArtifactsInput!$N$27+1,20,24,28,32,36,40),0)/100)))))/Skills!H4,1)))/Inputs!$B$43),G1580*Q1580)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1580*(1-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1580*(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1580*(1-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1580*(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0">
        <f>290*U1579/1000</f>
        <v/>
      </c>
      <c r="V1580">
        <f>IF(C1580,(H1580*N1580*IF(AND(Inputs!$B$38&lt;&gt;"pvp",Inputs!$B$43&gt;0),((Skills!G4*((R1580-1)*IF(Skills!H4&gt;0,Skills!I4/Skills!H4,1)+IF(Skills!H4&gt;0,MIN(Skills!I4,MAX(0,MAX(0,Inputs!$B$43-B1613)-((R1580-1)*(IF(Inputs!$B$38="pvp",15,MAX(0.1,Skills!D4-IF(Skills!E4=TRUE,Inputs!$B$32,0)))*(1-IF(AND(ArtifactsInput!$M$27,Inputs!$B$4="Chapter Hunt"),CHOOSE(ArtifactsInput!$N$27+1,20,24,28,32,36,40),0)/100)))))/Skills!H4,1)))/Inputs!$B$43),G1580*Q1580))*IF(Inputs!$B$38="pvp",1,(1+(Inputs!$B$21+Skills!Q4+(IF(ArtifactsInput!$M$33,CHOOSE(ArtifactsInput!$N$33+1,30,36,42,48,54,60)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1">
      <c r="A1581">
        <f>Skills!A5</f>
        <v/>
      </c>
      <c r="B1581">
        <f>Skills!B5</f>
        <v/>
      </c>
      <c r="C1581">
        <f>Inputs!$B$3&gt;=45</f>
        <v/>
      </c>
      <c r="D1581">
        <f>IF(Skills!C5=1,60+Inputs!$B$25+Inputs!$B$29,IF(Skills!C5=2,90+Inputs!$B$26+Inputs!$B$29,IF(Skills!C5=3,120+Inputs!$B$27+Inputs!$B$29,MAX(0,(Inputs!$B$3-100)*3)+Inputs!$B$28+Inputs!$B$29)))</f>
        <v/>
      </c>
      <c r="E1581">
        <f>INDEX(FactorTable!$B$2:$Y$301, MATCH(ROUND(MIN(300,MAX(1,D1581)),0), FactorTable!$A$2:$A$301,0), Skills!M5+1)</f>
        <v/>
      </c>
      <c r="F1581">
        <f>IF(Skills!N5=TRUE,(Skills!L5/10)*(E1581/1000),Skills!L5/10)+Skills!O5</f>
        <v/>
      </c>
      <c r="G1581">
        <f>Skills!G5*IF(Skills!H5&gt;0,Skills!I5/Skills!H5,1)</f>
        <v/>
      </c>
      <c r="H1581">
        <f>1-(1-Skills!J5/100)^Skills!K5</f>
        <v/>
      </c>
      <c r="I1581" t="inlineStr">
        <is>
          <t>1</t>
        </is>
      </c>
      <c r="J1581">
        <f>((Inputs!$B$6*(1+Inputs!$B$7/100))+(((Inputs!$B$12*(1+Inputs!$B$13/100))-(Inputs!$B$12*(1+Inputs!$B$13/100)))+0.25*(Inputs!$B$14-Inputs!$B$14))*(1+Inputs!$B$7/100))*(F1581/100)</f>
        <v/>
      </c>
      <c r="K1581">
        <f>J1581*(1+((Inputs!$B$12*(1+Inputs!$B$13/100))*0.01+Inputs!$B$14*0.0025)/100)*(1+Inputs!$B$15/100)*(1+Inputs!$B$16/100)*(5000/(6000+Inputs!$B$42*(1-(100*(1-(1-(Inputs!$B$19+0)/100)*(1-CHOOSE(ArtifactsInput!$N$40+1,5,6,7,8,9,10)/100)^(ArtifactsInput!$M$40-ArtifactsInput!$M$40)))/100)))*(1+(Inputs!$B$24+((C1602=TRUE)*(F1602-Calc!F26))+B1612)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1592=TRUE,F1592,0)/100)*(1+(IF(Skills!A5="EIGHT_LEGS_EASTON",Inputs!$B$17+((C1599=TRUE)*(F1599-Calc!F23))+((C1603=TRUE)*(F1603-Calc!F27))+(((IF(AND(ArtifactsInput!$M$42,((Inputs!$B$9+((C1595=TRUE)*(F1595-Calc!F19))+B1606+(ArtifactsInput!$M$24-ArtifactsInput!$M$24)*CHOOSE(ArtifactsInput!$N$24+1,10,12,14,16,18,20)+IF(ArtifactsInput!$M$10,CHOOSE(ArtifactsInput!$N$10+1,15,18,21,24,27,30)*(IF(Inputs!$B$38="pvp",MIN(15,15)/15,IF(AND(Inputs!$B$38&lt;&gt;"pvp",Inputs!$B$43&gt;0),MIN(15,Inputs!$B$43)/(Inputs!$B$43),0))),0)))&gt;=100),MIN(100,((Inputs!$B$9+((C1595=TRUE)*(F1595-Calc!F19))+B1606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1595=TRUE)*(F1595-Calc!F19))+B1606+(ArtifactsInput!$M$24-ArtifactsInput!$M$24)*CHOOSE(ArtifactsInput!$N$24+1,10,12,14,16,18,20)+IF(ArtifactsInput!$M$10,CHOOSE(ArtifactsInput!$N$10+1,15,18,21,24,27,30)*(IF(Inputs!$B$38="pvp",MIN(15,15)/15,IF(AND(Inputs!$B$38&lt;&gt;"pvp",Inputs!$B$43&gt;0),MIN(15,Inputs!$B$43)/(Inputs!$B$43),0))),0)))&gt;=100),CHOOSE(ArtifactsInput!$N$42+1,40,48,56,64,72,80),0))))/100)*((1+(((C1593=TRUE)*F1593)+((C1600=TRUE)*(F1600-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1581)</f>
        <v/>
      </c>
      <c r="L1581">
        <f>K1581*(MIN(Inputs!$B$22+((C1598=TRUE)*(F1598-Calc!F22)),(Inputs!$B$23+0+((IF(IF(ArtifactsInput!$M$15,FALSE,TRUE),1,-1)*CHOOSE(ArtifactsInput!$N$15+1,25,30,35,40,45,50)/100*IF(IF(ArtifactsInput!$M$15,FALSE,TRUE),(Inputs!$B$11+((C1596=TRUE)*(F1596-Calc!F20))+((C1597=TRUE)*(F1597-Calc!F21))+(IF(ArtifactsInput!$M$15,FALSE,TRUE)-ArtifactsInput!$M$15)*CHOOSE(ArtifactsInput!$N$15+1,8,9.6,11.2,12.8,14.4,16)),Inputs!$B$11)))))/100+(Inputs!$B$23+0+((IF(IF(ArtifactsInput!$M$15,FALSE,TRUE),1,-1)*CHOOSE(ArtifactsInput!$N$15+1,25,30,35,40,45,50)/100*IF(IF(ArtifactsInput!$M$15,FALSE,TRUE),(Inputs!$B$11+((C1596=TRUE)*(F1596-Calc!F20))+((C1597=TRUE)*(F1597-Calc!F21))+(IF(ArtifactsInput!$M$15,FALSE,TRUE)-ArtifactsInput!$M$15)*CHOOSE(ArtifactsInput!$N$15+1,8,9.6,11.2,12.8,14.4,16)),Inputs!$B$11))))/100)/2</f>
        <v/>
      </c>
      <c r="M1581">
        <f>L1581*(1+(Inputs!$B$10+((C1601=TRUE)*(F1601-Calc!F25))+B1611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1">
        <f>L1581*(1-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1581*(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1">
        <f>(1-Summary!$B$11)*T1581+Summary!$B$11*V1581</f>
        <v/>
      </c>
      <c r="P1581">
        <f>IF(B1616=0,0,O1581/B1616)</f>
        <v/>
      </c>
      <c r="Q1581">
        <f>IFERROR(1/(IF(Inputs!$B$38="pvp",15,MAX(0.1,Skills!D5-IF(Skills!E5=TRUE,Inputs!$B$32,0)))*(1-IF(AND(ArtifactsInput!$M$27,Inputs!$B$4="Chapter Hunt"),CHOOSE(ArtifactsInput!$N$27+1,20,24,28,32,36,40),0)/100)),0)</f>
        <v/>
      </c>
      <c r="R1581">
        <f>IF(AND(Inputs!$B$38&lt;&gt;"pvp",Inputs!$B$43&gt;0),IF(MAX(0,Inputs!$B$43-B1613)&lt;=0,0,(INT(MAX(0,Inputs!$B$43-B1613)/(IF(Inputs!$B$38="pvp",15,MAX(0.1,Skills!D5-IF(Skills!E5=TRUE,Inputs!$B$32,0)))*(1-IF(AND(ArtifactsInput!$M$27,Inputs!$B$4="Chapter Hunt"),CHOOSE(ArtifactsInput!$N$27+1,20,24,28,32,36,40),0)/100)))+1)),0)</f>
        <v/>
      </c>
      <c r="S1581">
        <f>IFERROR(O1581/N1581,0)</f>
        <v/>
      </c>
      <c r="T1581">
        <f>IF(C1581,(H1581*N1581*IF(AND(Inputs!$B$38&lt;&gt;"pvp",Inputs!$B$43&gt;0),((Skills!G5*((R1581-1)*IF(Skills!H5&gt;0,Skills!I5/Skills!H5,1)+IF(Skills!H5&gt;0,MIN(Skills!I5,MAX(0,MAX(0,Inputs!$B$43-B1613)-((R1581-1)*(IF(Inputs!$B$38="pvp",15,MAX(0.1,Skills!D5-IF(Skills!E5=TRUE,Inputs!$B$32,0)))*(1-IF(AND(ArtifactsInput!$M$27,Inputs!$B$4="Chapter Hunt"),CHOOSE(ArtifactsInput!$N$27+1,20,24,28,32,36,40),0)/100)))))/Skills!H5,1)))/Inputs!$B$43),G1581*Q1581)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1581*(1-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1581*(1-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1">
        <f>IF(C1581,(H1581*N1581*IF(AND(Inputs!$B$38&lt;&gt;"pvp",Inputs!$B$43&gt;0),((Skills!G5*((R1581-1)*IF(Skills!H5&gt;0,Skills!I5/Skills!H5,1)+IF(Skills!H5&gt;0,MIN(Skills!I5,MAX(0,MAX(0,Inputs!$B$43-B1613)-((R1581-1)*(IF(Inputs!$B$38="pvp",15,MAX(0.1,Skills!D5-IF(Skills!E5=TRUE,Inputs!$B$32,0)))*(1-IF(AND(ArtifactsInput!$M$27,Inputs!$B$4="Chapter Hunt"),CHOOSE(ArtifactsInput!$N$27+1,20,24,28,32,36,40),0)/100)))))/Skills!H5,1)))/Inputs!$B$43),G1581*Q1581))*IF(Inputs!$B$38="pvp",1,(1+(Inputs!$B$21+Skills!Q5+(IF(ArtifactsInput!$M$33,CHOOSE(ArtifactsInput!$N$33+1,30,36,42,48,54,60)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2">
      <c r="A1582">
        <f>Skills!A6</f>
        <v/>
      </c>
      <c r="B1582">
        <f>Skills!B6</f>
        <v/>
      </c>
      <c r="C1582">
        <f>Inputs!$B$3&gt;=63</f>
        <v/>
      </c>
      <c r="D1582">
        <f>IF(Skills!C6=1,60+Inputs!$B$25+Inputs!$B$29,IF(Skills!C6=2,90+Inputs!$B$26+Inputs!$B$29,IF(Skills!C6=3,120+Inputs!$B$27+Inputs!$B$29,MAX(0,(Inputs!$B$3-100)*3)+Inputs!$B$28+Inputs!$B$29)))</f>
        <v/>
      </c>
      <c r="E1582">
        <f>INDEX(FactorTable!$B$2:$Y$301, MATCH(ROUND(MIN(300,MAX(1,D1582)),0), FactorTable!$A$2:$A$301,0), Skills!M6+1)</f>
        <v/>
      </c>
      <c r="F1582">
        <f>IF(Skills!N6=TRUE,(Skills!L6/10)*(E1582/1000),Skills!L6/10)+Skills!O6</f>
        <v/>
      </c>
      <c r="G1582">
        <f>Skills!G6*IF(Skills!H6&gt;0,Skills!I6/Skills!H6,1)</f>
        <v/>
      </c>
      <c r="H1582">
        <f>1-(1-Skills!J6/100)^Skills!K6</f>
        <v/>
      </c>
      <c r="I1582" t="inlineStr">
        <is>
          <t>1</t>
        </is>
      </c>
      <c r="J1582">
        <f>((Inputs!$B$6*(1+Inputs!$B$7/100))+(((Inputs!$B$12*(1+Inputs!$B$13/100))-(Inputs!$B$12*(1+Inputs!$B$13/100)))+0.25*(Inputs!$B$14-Inputs!$B$14))*(1+Inputs!$B$7/100))*(F1582/100)</f>
        <v/>
      </c>
      <c r="K1582">
        <f>J1582*(1+((Inputs!$B$12*(1+Inputs!$B$13/100))*0.01+Inputs!$B$14*0.0025)/100)*(1+Inputs!$B$15/100)*(1+Inputs!$B$16/100)*(5000/(6000+Inputs!$B$42*(1-(100*(1-(1-(Inputs!$B$19+0)/100)*(1-CHOOSE(ArtifactsInput!$N$40+1,5,6,7,8,9,10)/100)^(ArtifactsInput!$M$40-ArtifactsInput!$M$40)))/100)))*(1+(Inputs!$B$24+((C1602=TRUE)*(F1602-Calc!F26))+B1612)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1591=TRUE,F1591,0)/100)*(1+(IF(Skills!A6="EIGHT_LEGS_EASTON",Inputs!$B$17+((C1599=TRUE)*(F1599-Calc!F23))+((C1603=TRUE)*(F1603-Calc!F27))+(((IF(AND(ArtifactsInput!$M$42,((Inputs!$B$9+((C1595=TRUE)*(F1595-Calc!F19))+B1606+(ArtifactsInput!$M$24-ArtifactsInput!$M$24)*CHOOSE(ArtifactsInput!$N$24+1,10,12,14,16,18,20)+IF(ArtifactsInput!$M$10,CHOOSE(ArtifactsInput!$N$10+1,15,18,21,24,27,30)*(IF(Inputs!$B$38="pvp",MIN(15,15)/15,IF(AND(Inputs!$B$38&lt;&gt;"pvp",Inputs!$B$43&gt;0),MIN(15,Inputs!$B$43)/(Inputs!$B$43),0))),0)))&gt;=100),MIN(100,((Inputs!$B$9+((C1595=TRUE)*(F1595-Calc!F19))+B1606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1595=TRUE)*(F1595-Calc!F19))+B1606+(ArtifactsInput!$M$24-ArtifactsInput!$M$24)*CHOOSE(ArtifactsInput!$N$24+1,10,12,14,16,18,20)+IF(ArtifactsInput!$M$10,CHOOSE(ArtifactsInput!$N$10+1,15,18,21,24,27,30)*(IF(Inputs!$B$38="pvp",MIN(15,15)/15,IF(AND(Inputs!$B$38&lt;&gt;"pvp",Inputs!$B$43&gt;0),MIN(15,Inputs!$B$43)/(Inputs!$B$43),0))),0)))&gt;=100),CHOOSE(ArtifactsInput!$N$42+1,40,48,56,64,72,80),0))))/100)*((1+(((C1593=TRUE)*F1593)+((C1600=TRUE)*(F1600-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1582)</f>
        <v/>
      </c>
      <c r="L1582">
        <f>K1582*(MIN(Inputs!$B$22+((C1598=TRUE)*(F1598-Calc!F22)),(Inputs!$B$23+0+((IF(IF(ArtifactsInput!$M$15,FALSE,TRUE),1,-1)*CHOOSE(ArtifactsInput!$N$15+1,25,30,35,40,45,50)/100*IF(IF(ArtifactsInput!$M$15,FALSE,TRUE),(Inputs!$B$11+((C1596=TRUE)*(F1596-Calc!F20))+((C1597=TRUE)*(F1597-Calc!F21))+(IF(ArtifactsInput!$M$15,FALSE,TRUE)-ArtifactsInput!$M$15)*CHOOSE(ArtifactsInput!$N$15+1,8,9.6,11.2,12.8,14.4,16)),Inputs!$B$11)))))/100+(Inputs!$B$23+0+((IF(IF(ArtifactsInput!$M$15,FALSE,TRUE),1,-1)*CHOOSE(ArtifactsInput!$N$15+1,25,30,35,40,45,50)/100*IF(IF(ArtifactsInput!$M$15,FALSE,TRUE),(Inputs!$B$11+((C1596=TRUE)*(F1596-Calc!F20))+((C1597=TRUE)*(F1597-Calc!F21))+(IF(ArtifactsInput!$M$15,FALSE,TRUE)-ArtifactsInput!$M$15)*CHOOSE(ArtifactsInput!$N$15+1,8,9.6,11.2,12.8,14.4,16)),Inputs!$B$11))))/100)/2</f>
        <v/>
      </c>
      <c r="M1582">
        <f>L1582*(1+(Inputs!$B$10+((C1601=TRUE)*(F1601-Calc!F25))+B1611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2">
        <f>L1582*(1-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1582*(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2">
        <f>(1-Summary!$B$11)*T1582+Summary!$B$11*V1582</f>
        <v/>
      </c>
      <c r="P1582">
        <f>IF(B1616=0,0,O1582/B1616)</f>
        <v/>
      </c>
      <c r="Q1582">
        <f>IFERROR(1/(IF(Inputs!$B$38="pvp",15,MAX(0.1,Skills!D6-IF(Skills!E6=TRUE,Inputs!$B$32,0)))*(1-IF(AND(ArtifactsInput!$M$27,Inputs!$B$4="Chapter Hunt"),CHOOSE(ArtifactsInput!$N$27+1,20,24,28,32,36,40),0)/100)),0)</f>
        <v/>
      </c>
      <c r="R1582">
        <f>IF(AND(Inputs!$B$38&lt;&gt;"pvp",Inputs!$B$43&gt;0),IF(MAX(0,Inputs!$B$43-B1613)&lt;=0,0,(INT(MAX(0,Inputs!$B$43-B1613)/(IF(Inputs!$B$38="pvp",15,MAX(0.1,Skills!D6-IF(Skills!E6=TRUE,Inputs!$B$32,0)))*(1-IF(AND(ArtifactsInput!$M$27,Inputs!$B$4="Chapter Hunt"),CHOOSE(ArtifactsInput!$N$27+1,20,24,28,32,36,40),0)/100)))+1)),0)</f>
        <v/>
      </c>
      <c r="S1582">
        <f>IFERROR(O1582/N1582,0)</f>
        <v/>
      </c>
      <c r="T1582">
        <f>IF(C1582,(H1582*N1582*IF(AND(Inputs!$B$38&lt;&gt;"pvp",Inputs!$B$43&gt;0),((Skills!G6*((R1582-1)*IF(Skills!H6&gt;0,Skills!I6/Skills!H6,1)+IF(Skills!H6&gt;0,MIN(Skills!I6,MAX(0,MAX(0,Inputs!$B$43-B1613)-((R1582-1)*(IF(Inputs!$B$38="pvp",15,MAX(0.1,Skills!D6-IF(Skills!E6=TRUE,Inputs!$B$32,0)))*(1-IF(AND(ArtifactsInput!$M$27,Inputs!$B$4="Chapter Hunt"),CHOOSE(ArtifactsInput!$N$27+1,20,24,28,32,36,40),0)/100)))))/Skills!H6,1)))/Inputs!$B$43),G1582*Q1582)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1582*(1-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1582*(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1582*(1-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1582*(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2">
        <f>IF(C1582,(H1582*N1582*IF(AND(Inputs!$B$38&lt;&gt;"pvp",Inputs!$B$43&gt;0),((Skills!G6*((R1582-1)*IF(Skills!H6&gt;0,Skills!I6/Skills!H6,1)+IF(Skills!H6&gt;0,MIN(Skills!I6,MAX(0,MAX(0,Inputs!$B$43-B1613)-((R1582-1)*(IF(Inputs!$B$38="pvp",15,MAX(0.1,Skills!D6-IF(Skills!E6=TRUE,Inputs!$B$32,0)))*(1-IF(AND(ArtifactsInput!$M$27,Inputs!$B$4="Chapter Hunt"),CHOOSE(ArtifactsInput!$N$27+1,20,24,28,32,36,40),0)/100)))))/Skills!H6,1)))/Inputs!$B$43),G1582*Q1582))*IF(Inputs!$B$38="pvp",1,(1+(Inputs!$B$21+Skills!Q6+(IF(ArtifactsInput!$M$33,CHOOSE(ArtifactsInput!$N$33+1,30,36,42,48,54,60)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3">
      <c r="A1583">
        <f>Skills!A7</f>
        <v/>
      </c>
      <c r="B1583">
        <f>Skills!B7</f>
        <v/>
      </c>
      <c r="C1583">
        <f>Inputs!$B$3&gt;=66</f>
        <v/>
      </c>
      <c r="D1583">
        <f>IF(Skills!C7=1,60+Inputs!$B$25+Inputs!$B$29,IF(Skills!C7=2,90+Inputs!$B$26+Inputs!$B$29,IF(Skills!C7=3,120+Inputs!$B$27+Inputs!$B$29,MAX(0,(Inputs!$B$3-100)*3)+Inputs!$B$28+Inputs!$B$29)))</f>
        <v/>
      </c>
      <c r="E1583">
        <f>INDEX(FactorTable!$B$2:$Y$301, MATCH(ROUND(MIN(300,MAX(1,D1583)),0), FactorTable!$A$2:$A$301,0), Skills!M7+1)</f>
        <v/>
      </c>
      <c r="F1583">
        <f>IF(Skills!N7=TRUE,(Skills!L7/10)*(E1583/1000),Skills!L7/10)+Skills!O7</f>
        <v/>
      </c>
      <c r="G1583">
        <f>Skills!G7*IF(Skills!H7&gt;0,Skills!I7/Skills!H7,1)</f>
        <v/>
      </c>
      <c r="H1583">
        <f>1-(1-Skills!J7/100)^Skills!K7</f>
        <v/>
      </c>
      <c r="I1583" t="inlineStr">
        <is>
          <t>1</t>
        </is>
      </c>
      <c r="J1583">
        <f>((Inputs!$B$6*(1+Inputs!$B$7/100))+(((Inputs!$B$12*(1+Inputs!$B$13/100))-(Inputs!$B$12*(1+Inputs!$B$13/100)))+0.25*(Inputs!$B$14-Inputs!$B$14))*(1+Inputs!$B$7/100))*(F1583/100)</f>
        <v/>
      </c>
      <c r="K1583">
        <f>J1583*(1+((Inputs!$B$12*(1+Inputs!$B$13/100))*0.01+Inputs!$B$14*0.0025)/100)*(1+Inputs!$B$15/100)*(1+Inputs!$B$16/100)*(5000/(6000+Inputs!$B$42*(1-(100*(1-(1-(Inputs!$B$19+0)/100)*(1-CHOOSE(ArtifactsInput!$N$40+1,5,6,7,8,9,10)/100)^(ArtifactsInput!$M$40-ArtifactsInput!$M$40)))/100)))*(1+(Inputs!$B$24+((C1602=TRUE)*(F1602-Calc!F26))+B1612)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1591=TRUE,F1591,0)/100)*(1+(IF(Skills!A7="EIGHT_LEGS_EASTON",Inputs!$B$17+((C1599=TRUE)*(F1599-Calc!F23))+((C1603=TRUE)*(F1603-Calc!F27))+(((IF(AND(ArtifactsInput!$M$42,((Inputs!$B$9+((C1595=TRUE)*(F1595-Calc!F19))+B1606+(ArtifactsInput!$M$24-ArtifactsInput!$M$24)*CHOOSE(ArtifactsInput!$N$24+1,10,12,14,16,18,20)+IF(ArtifactsInput!$M$10,CHOOSE(ArtifactsInput!$N$10+1,15,18,21,24,27,30)*(IF(Inputs!$B$38="pvp",MIN(15,15)/15,IF(AND(Inputs!$B$38&lt;&gt;"pvp",Inputs!$B$43&gt;0),MIN(15,Inputs!$B$43)/(Inputs!$B$43),0))),0)))&gt;=100),MIN(100,((Inputs!$B$9+((C1595=TRUE)*(F1595-Calc!F19))+B1606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1595=TRUE)*(F1595-Calc!F19))+B1606+(ArtifactsInput!$M$24-ArtifactsInput!$M$24)*CHOOSE(ArtifactsInput!$N$24+1,10,12,14,16,18,20)+IF(ArtifactsInput!$M$10,CHOOSE(ArtifactsInput!$N$10+1,15,18,21,24,27,30)*(IF(Inputs!$B$38="pvp",MIN(15,15)/15,IF(AND(Inputs!$B$38&lt;&gt;"pvp",Inputs!$B$43&gt;0),MIN(15,Inputs!$B$43)/(Inputs!$B$43),0))),0)))&gt;=100),CHOOSE(ArtifactsInput!$N$42+1,40,48,56,64,72,80),0))))/100)*((1+(((C1593=TRUE)*F1593)+((C1600=TRUE)*(F1600-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1583)</f>
        <v/>
      </c>
      <c r="L1583">
        <f>K1583*(MIN(Inputs!$B$22+((C1598=TRUE)*(F1598-Calc!F22)),(Inputs!$B$23+0+((IF(IF(ArtifactsInput!$M$15,FALSE,TRUE),1,-1)*CHOOSE(ArtifactsInput!$N$15+1,25,30,35,40,45,50)/100*IF(IF(ArtifactsInput!$M$15,FALSE,TRUE),(Inputs!$B$11+((C1596=TRUE)*(F1596-Calc!F20))+((C1597=TRUE)*(F1597-Calc!F21))+(IF(ArtifactsInput!$M$15,FALSE,TRUE)-ArtifactsInput!$M$15)*CHOOSE(ArtifactsInput!$N$15+1,8,9.6,11.2,12.8,14.4,16)),Inputs!$B$11)))))/100+(Inputs!$B$23+0+((IF(IF(ArtifactsInput!$M$15,FALSE,TRUE),1,-1)*CHOOSE(ArtifactsInput!$N$15+1,25,30,35,40,45,50)/100*IF(IF(ArtifactsInput!$M$15,FALSE,TRUE),(Inputs!$B$11+((C1596=TRUE)*(F1596-Calc!F20))+((C1597=TRUE)*(F1597-Calc!F21))+(IF(ArtifactsInput!$M$15,FALSE,TRUE)-ArtifactsInput!$M$15)*CHOOSE(ArtifactsInput!$N$15+1,8,9.6,11.2,12.8,14.4,16)),Inputs!$B$11))))/100)/2</f>
        <v/>
      </c>
      <c r="M1583">
        <f>L1583*(1+(Inputs!$B$10+((C1601=TRUE)*(F1601-Calc!F25))+B1611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3">
        <f>L1583*(1-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1583*(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3">
        <f>(1-Summary!$B$11)*T1583+Summary!$B$11*V1583</f>
        <v/>
      </c>
      <c r="P1583">
        <f>IF(B1616=0,0,O1583/B1616)</f>
        <v/>
      </c>
      <c r="Q1583">
        <f>IFERROR(1/(IF(Inputs!$B$38="pvp",15,MAX(0.1,Skills!D7-IF(Skills!E7=TRUE,Inputs!$B$32,0)))*(1-IF(AND(ArtifactsInput!$M$27,Inputs!$B$4="Chapter Hunt"),CHOOSE(ArtifactsInput!$N$27+1,20,24,28,32,36,40),0)/100)),0)</f>
        <v/>
      </c>
      <c r="R1583">
        <f>IF(AND(Inputs!$B$38&lt;&gt;"pvp",Inputs!$B$43&gt;0),IF(MAX(0,Inputs!$B$43-B1613)&lt;=0,0,(INT(MAX(0,Inputs!$B$43-B1613)/(IF(Inputs!$B$38="pvp",15,MAX(0.1,Skills!D7-IF(Skills!E7=TRUE,Inputs!$B$32,0)))*(1-IF(AND(ArtifactsInput!$M$27,Inputs!$B$4="Chapter Hunt"),CHOOSE(ArtifactsInput!$N$27+1,20,24,28,32,36,40),0)/100)))+1)),0)</f>
        <v/>
      </c>
      <c r="S1583">
        <f>IFERROR(O1583/N1583,0)</f>
        <v/>
      </c>
      <c r="T1583">
        <f>IF(C1583,(H1583*N1583*IF(AND(Inputs!$B$38&lt;&gt;"pvp",Inputs!$B$43&gt;0),((Skills!G7*((R1583-1)*IF(Skills!H7&gt;0,Skills!I7/Skills!H7,1)+IF(Skills!H7&gt;0,MIN(Skills!I7,MAX(0,MAX(0,Inputs!$B$43-B1613)-((R1583-1)*(IF(Inputs!$B$38="pvp",15,MAX(0.1,Skills!D7-IF(Skills!E7=TRUE,Inputs!$B$32,0)))*(1-IF(AND(ArtifactsInput!$M$27,Inputs!$B$4="Chapter Hunt"),CHOOSE(ArtifactsInput!$N$27+1,20,24,28,32,36,40),0)/100)))))/Skills!H7,1)))/Inputs!$B$43),G1583*Q1583)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1583*(1-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1583*(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1583*(1-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1583*(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3">
        <f>IF(C1583,(H1583*N1583*IF(AND(Inputs!$B$38&lt;&gt;"pvp",Inputs!$B$43&gt;0),((Skills!G7*((R1583-1)*IF(Skills!H7&gt;0,Skills!I7/Skills!H7,1)+IF(Skills!H7&gt;0,MIN(Skills!I7,MAX(0,MAX(0,Inputs!$B$43-B1613)-((R1583-1)*(IF(Inputs!$B$38="pvp",15,MAX(0.1,Skills!D7-IF(Skills!E7=TRUE,Inputs!$B$32,0)))*(1-IF(AND(ArtifactsInput!$M$27,Inputs!$B$4="Chapter Hunt"),CHOOSE(ArtifactsInput!$N$27+1,20,24,28,32,36,40),0)/100)))))/Skills!H7,1)))/Inputs!$B$43),G1583*Q1583))*IF(Inputs!$B$38="pvp",1,(1+(Inputs!$B$21+Skills!Q7+(IF(ArtifactsInput!$M$33,CHOOSE(ArtifactsInput!$N$33+1,30,36,42,48,54,60)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4">
      <c r="A1584">
        <f>Skills!A8</f>
        <v/>
      </c>
      <c r="B1584">
        <f>Skills!B8</f>
        <v/>
      </c>
      <c r="C1584">
        <f>Inputs!$B$3&gt;=100</f>
        <v/>
      </c>
      <c r="D1584">
        <f>IF(Skills!C8=1,60+Inputs!$B$25+Inputs!$B$29,IF(Skills!C8=2,90+Inputs!$B$26+Inputs!$B$29,IF(Skills!C8=3,120+Inputs!$B$27+Inputs!$B$29,MAX(0,(Inputs!$B$3-100)*3)+Inputs!$B$28+Inputs!$B$29)))</f>
        <v/>
      </c>
      <c r="E1584">
        <f>INDEX(FactorTable!$B$2:$Y$301, MATCH(ROUND(MIN(300,MAX(1,D1584)),0), FactorTable!$A$2:$A$301,0), Skills!M8+1)</f>
        <v/>
      </c>
      <c r="F1584">
        <f>IF(Skills!N8=TRUE,(Skills!L8/10)*(E1584/1000),Skills!L8/10)+Skills!O8</f>
        <v/>
      </c>
      <c r="G1584">
        <f>Skills!G8*IF(Skills!H8&gt;0,Skills!I8/Skills!H8,1)</f>
        <v/>
      </c>
      <c r="H1584">
        <f>1-(1-Skills!J8/100)^Skills!K8</f>
        <v/>
      </c>
      <c r="I1584" t="inlineStr">
        <is>
          <t>1</t>
        </is>
      </c>
      <c r="J1584">
        <f>((Inputs!$B$6*(1+Inputs!$B$7/100))+(((Inputs!$B$12*(1+Inputs!$B$13/100))-(Inputs!$B$12*(1+Inputs!$B$13/100)))+0.25*(Inputs!$B$14-Inputs!$B$14))*(1+Inputs!$B$7/100))*(F1584/100)</f>
        <v/>
      </c>
      <c r="K1584">
        <f>J1584*(1+((Inputs!$B$12*(1+Inputs!$B$13/100))*0.01+Inputs!$B$14*0.0025)/100)*(1+Inputs!$B$15/100)*(1+Inputs!$B$16/100)*(5000/(6000+Inputs!$B$42*(1-(100*(1-(1-(Inputs!$B$19+0)/100)*(1-CHOOSE(ArtifactsInput!$N$40+1,5,6,7,8,9,10)/100)^(ArtifactsInput!$M$40-ArtifactsInput!$M$40)))/100)))*(1+(Inputs!$B$24+((C1602=TRUE)*(F1602-Calc!F26))+B1612)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1599=TRUE)*(F1599-Calc!F23))+((C1603=TRUE)*(F1603-Calc!F27))+(((IF(AND(ArtifactsInput!$M$42,((Inputs!$B$9+((C1595=TRUE)*(F1595-Calc!F19))+B1606+(ArtifactsInput!$M$24-ArtifactsInput!$M$24)*CHOOSE(ArtifactsInput!$N$24+1,10,12,14,16,18,20)+IF(ArtifactsInput!$M$10,CHOOSE(ArtifactsInput!$N$10+1,15,18,21,24,27,30)*(IF(Inputs!$B$38="pvp",MIN(15,15)/15,IF(AND(Inputs!$B$38&lt;&gt;"pvp",Inputs!$B$43&gt;0),MIN(15,Inputs!$B$43)/(Inputs!$B$43),0))),0)))&gt;=100),MIN(100,((Inputs!$B$9+((C1595=TRUE)*(F1595-Calc!F19))+B1606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1595=TRUE)*(F1595-Calc!F19))+B1606+(ArtifactsInput!$M$24-ArtifactsInput!$M$24)*CHOOSE(ArtifactsInput!$N$24+1,10,12,14,16,18,20)+IF(ArtifactsInput!$M$10,CHOOSE(ArtifactsInput!$N$10+1,15,18,21,24,27,30)*(IF(Inputs!$B$38="pvp",MIN(15,15)/15,IF(AND(Inputs!$B$38&lt;&gt;"pvp",Inputs!$B$43&gt;0),MIN(15,Inputs!$B$43)/(Inputs!$B$43),0))),0)))&gt;=100),CHOOSE(ArtifactsInput!$N$42+1,40,48,56,64,72,80),0))))/100)*((1+(((C1593=TRUE)*F1593)+((C1600=TRUE)*(F1600-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1584)</f>
        <v/>
      </c>
      <c r="L1584">
        <f>K1584*(MIN(Inputs!$B$22+((C1598=TRUE)*(F1598-Calc!F22)),(Inputs!$B$23+0+((IF(IF(ArtifactsInput!$M$15,FALSE,TRUE),1,-1)*CHOOSE(ArtifactsInput!$N$15+1,25,30,35,40,45,50)/100*IF(IF(ArtifactsInput!$M$15,FALSE,TRUE),(Inputs!$B$11+((C1596=TRUE)*(F1596-Calc!F20))+((C1597=TRUE)*(F1597-Calc!F21))+(IF(ArtifactsInput!$M$15,FALSE,TRUE)-ArtifactsInput!$M$15)*CHOOSE(ArtifactsInput!$N$15+1,8,9.6,11.2,12.8,14.4,16)),Inputs!$B$11)))))/100+(Inputs!$B$23+0+((IF(IF(ArtifactsInput!$M$15,FALSE,TRUE),1,-1)*CHOOSE(ArtifactsInput!$N$15+1,25,30,35,40,45,50)/100*IF(IF(ArtifactsInput!$M$15,FALSE,TRUE),(Inputs!$B$11+((C1596=TRUE)*(F1596-Calc!F20))+((C1597=TRUE)*(F1597-Calc!F21))+(IF(ArtifactsInput!$M$15,FALSE,TRUE)-ArtifactsInput!$M$15)*CHOOSE(ArtifactsInput!$N$15+1,8,9.6,11.2,12.8,14.4,16)),Inputs!$B$11))))/100)/2</f>
        <v/>
      </c>
      <c r="M1584">
        <f>L1584*(1+(Inputs!$B$10+((C1601=TRUE)*(F1601-Calc!F25))+B1611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4">
        <f>L1584*(1-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1584*(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4">
        <f>(1-Summary!$B$11)*T1584+Summary!$B$11*V1584</f>
        <v/>
      </c>
      <c r="P1584">
        <f>IF(B1616=0,0,O1584/B1616)</f>
        <v/>
      </c>
      <c r="Q1584">
        <f>IFERROR(1/(IF(Inputs!$B$38="pvp",15,MAX(0.1,Skills!D8-IF(Skills!E8=TRUE,Inputs!$B$32,0)))*(1-IF(AND(ArtifactsInput!$M$27,Inputs!$B$4="Chapter Hunt"),CHOOSE(ArtifactsInput!$N$27+1,20,24,28,32,36,40),0)/100)),0)</f>
        <v/>
      </c>
      <c r="R1584">
        <f>IF(AND(Inputs!$B$38&lt;&gt;"pvp",Inputs!$B$43&gt;0),IF(MAX(0,Inputs!$B$43-B1613)&lt;=0,0,(INT(MAX(0,Inputs!$B$43-B1613)/(IF(Inputs!$B$38="pvp",15,MAX(0.1,Skills!D8-IF(Skills!E8=TRUE,Inputs!$B$32,0)))*(1-IF(AND(ArtifactsInput!$M$27,Inputs!$B$4="Chapter Hunt"),CHOOSE(ArtifactsInput!$N$27+1,20,24,28,32,36,40),0)/100)))+1)),0)</f>
        <v/>
      </c>
      <c r="S1584">
        <f>IFERROR(O1584/N1584,0)</f>
        <v/>
      </c>
      <c r="T1584">
        <f>IF(C1584,(H1584*N1584*IF(AND(Inputs!$B$38&lt;&gt;"pvp",Inputs!$B$43&gt;0),((Skills!G8*((R1584-1)*IF(Skills!H8&gt;0,Skills!I8/Skills!H8,1)+IF(Skills!H8&gt;0,MIN(Skills!I8,MAX(0,MAX(0,Inputs!$B$43-B1613)-((R1584-1)*(IF(Inputs!$B$38="pvp",15,MAX(0.1,Skills!D8-IF(Skills!E8=TRUE,Inputs!$B$32,0)))*(1-IF(AND(ArtifactsInput!$M$27,Inputs!$B$4="Chapter Hunt"),CHOOSE(ArtifactsInput!$N$27+1,20,24,28,32,36,40),0)/100)))))/Skills!H8,1)))/Inputs!$B$43),G1584*Q1584)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1584*(1-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1584*(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1584*(1-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1584*(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4">
        <f>IF(C1584,(H1584*N1584*IF(AND(Inputs!$B$38&lt;&gt;"pvp",Inputs!$B$43&gt;0),((Skills!G8*((R1584-1)*IF(Skills!H8&gt;0,Skills!I8/Skills!H8,1)+IF(Skills!H8&gt;0,MIN(Skills!I8,MAX(0,MAX(0,Inputs!$B$43-B1613)-((R1584-1)*(IF(Inputs!$B$38="pvp",15,MAX(0.1,Skills!D8-IF(Skills!E8=TRUE,Inputs!$B$32,0)))*(1-IF(AND(ArtifactsInput!$M$27,Inputs!$B$4="Chapter Hunt"),CHOOSE(ArtifactsInput!$N$27+1,20,24,28,32,36,40),0)/100)))))/Skills!H8,1)))/Inputs!$B$43),G1584*Q1584))*IF(Inputs!$B$38="pvp",1,(1+(Inputs!$B$21+Skills!Q8+(IF(ArtifactsInput!$M$33,CHOOSE(ArtifactsInput!$N$33+1,30,36,42,48,54,60)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5">
      <c r="A1585">
        <f>Skills!A9</f>
        <v/>
      </c>
      <c r="B1585">
        <f>Skills!B9</f>
        <v/>
      </c>
      <c r="C1585">
        <f>Inputs!$B$3&gt;=103</f>
        <v/>
      </c>
      <c r="D1585">
        <f>IF(Skills!C9=1,60+Inputs!$B$25+Inputs!$B$29,IF(Skills!C9=2,90+Inputs!$B$26+Inputs!$B$29,IF(Skills!C9=3,120+Inputs!$B$27+Inputs!$B$29,MAX(0,(Inputs!$B$3-100)*3)+Inputs!$B$28+Inputs!$B$29)))</f>
        <v/>
      </c>
      <c r="E1585">
        <f>INDEX(FactorTable!$B$2:$Y$301, MATCH(ROUND(MIN(300,MAX(1,D1585)),0), FactorTable!$A$2:$A$301,0), Skills!M9+1)</f>
        <v/>
      </c>
      <c r="F1585">
        <f>IF(Skills!N9=TRUE,(Skills!L9/10)*(E1585/1000),Skills!L9/10)+Skills!O9</f>
        <v/>
      </c>
      <c r="G1585">
        <f>Skills!G9*IF(Skills!H9&gt;0,Skills!I9/Skills!H9,1)</f>
        <v/>
      </c>
      <c r="H1585">
        <f>1-(1-Skills!J9/100)^Skills!K9</f>
        <v/>
      </c>
      <c r="I1585" t="inlineStr">
        <is>
          <t>1</t>
        </is>
      </c>
      <c r="J1585">
        <f>((Inputs!$B$6*(1+Inputs!$B$7/100))+(((Inputs!$B$12*(1+Inputs!$B$13/100))-(Inputs!$B$12*(1+Inputs!$B$13/100)))+0.25*(Inputs!$B$14-Inputs!$B$14))*(1+Inputs!$B$7/100))*(F1585/100)</f>
        <v/>
      </c>
      <c r="K1585">
        <f>J1585*(1+((Inputs!$B$12*(1+Inputs!$B$13/100))*0.01+Inputs!$B$14*0.0025)/100)*(1+Inputs!$B$15/100)*(1+Inputs!$B$16/100)*(5000/(6000+Inputs!$B$42*(1-(100*(1-(1-(Inputs!$B$19+0)/100)*(1-CHOOSE(ArtifactsInput!$N$40+1,5,6,7,8,9,10)/100)^(ArtifactsInput!$M$40-ArtifactsInput!$M$40)))/100)))*(1+(Inputs!$B$24+((C1602=TRUE)*(F1602-Calc!F26))+B1612)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1599=TRUE)*(F1599-Calc!F23))+((C1603=TRUE)*(F1603-Calc!F27))+(((IF(AND(ArtifactsInput!$M$42,((Inputs!$B$9+((C1595=TRUE)*(F1595-Calc!F19))+B1606+(ArtifactsInput!$M$24-ArtifactsInput!$M$24)*CHOOSE(ArtifactsInput!$N$24+1,10,12,14,16,18,20)+IF(ArtifactsInput!$M$10,CHOOSE(ArtifactsInput!$N$10+1,15,18,21,24,27,30)*(IF(Inputs!$B$38="pvp",MIN(15,15)/15,IF(AND(Inputs!$B$38&lt;&gt;"pvp",Inputs!$B$43&gt;0),MIN(15,Inputs!$B$43)/(Inputs!$B$43),0))),0)))&gt;=100),MIN(100,((Inputs!$B$9+((C1595=TRUE)*(F1595-Calc!F19))+B1606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1595=TRUE)*(F1595-Calc!F19))+B1606+(ArtifactsInput!$M$24-ArtifactsInput!$M$24)*CHOOSE(ArtifactsInput!$N$24+1,10,12,14,16,18,20)+IF(ArtifactsInput!$M$10,CHOOSE(ArtifactsInput!$N$10+1,15,18,21,24,27,30)*(IF(Inputs!$B$38="pvp",MIN(15,15)/15,IF(AND(Inputs!$B$38&lt;&gt;"pvp",Inputs!$B$43&gt;0),MIN(15,Inputs!$B$43)/(Inputs!$B$43),0))),0)))&gt;=100),CHOOSE(ArtifactsInput!$N$42+1,40,48,56,64,72,80),0))))/100)*((1+(((C1593=TRUE)*F1593)+((C1600=TRUE)*(F1600-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1585)</f>
        <v/>
      </c>
      <c r="L1585">
        <f>K1585*(MIN(Inputs!$B$22+((C1598=TRUE)*(F1598-Calc!F22)),(Inputs!$B$23+0+((IF(IF(ArtifactsInput!$M$15,FALSE,TRUE),1,-1)*CHOOSE(ArtifactsInput!$N$15+1,25,30,35,40,45,50)/100*IF(IF(ArtifactsInput!$M$15,FALSE,TRUE),(Inputs!$B$11+((C1596=TRUE)*(F1596-Calc!F20))+((C1597=TRUE)*(F1597-Calc!F21))+(IF(ArtifactsInput!$M$15,FALSE,TRUE)-ArtifactsInput!$M$15)*CHOOSE(ArtifactsInput!$N$15+1,8,9.6,11.2,12.8,14.4,16)),Inputs!$B$11)))))/100+(Inputs!$B$23+0+((IF(IF(ArtifactsInput!$M$15,FALSE,TRUE),1,-1)*CHOOSE(ArtifactsInput!$N$15+1,25,30,35,40,45,50)/100*IF(IF(ArtifactsInput!$M$15,FALSE,TRUE),(Inputs!$B$11+((C1596=TRUE)*(F1596-Calc!F20))+((C1597=TRUE)*(F1597-Calc!F21))+(IF(ArtifactsInput!$M$15,FALSE,TRUE)-ArtifactsInput!$M$15)*CHOOSE(ArtifactsInput!$N$15+1,8,9.6,11.2,12.8,14.4,16)),Inputs!$B$11))))/100)/2</f>
        <v/>
      </c>
      <c r="M1585">
        <f>L1585*(1+(Inputs!$B$10+((C1601=TRUE)*(F1601-Calc!F25))+B1611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5">
        <f>L1585*(1-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1585*(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5">
        <f>(1-Summary!$B$11)*T1585+Summary!$B$11*V1585</f>
        <v/>
      </c>
      <c r="P1585">
        <f>IF(B1616=0,0,O1585/B1616)</f>
        <v/>
      </c>
      <c r="Q1585">
        <f>IFERROR(1/(IF(Inputs!$B$38="pvp",15,MAX(0.1,Skills!D9-IF(Skills!E9=TRUE,Inputs!$B$32,0)))*(1-IF(AND(ArtifactsInput!$M$27,Inputs!$B$4="Chapter Hunt"),CHOOSE(ArtifactsInput!$N$27+1,20,24,28,32,36,40),0)/100)),0)</f>
        <v/>
      </c>
      <c r="R1585">
        <f>IF(AND(Inputs!$B$38&lt;&gt;"pvp",Inputs!$B$43&gt;0),IF(MAX(0,Inputs!$B$43-B1613)&lt;=0,0,(INT(MAX(0,Inputs!$B$43-B1613)/(IF(Inputs!$B$38="pvp",15,MAX(0.1,Skills!D9-IF(Skills!E9=TRUE,Inputs!$B$32,0)))*(1-IF(AND(ArtifactsInput!$M$27,Inputs!$B$4="Chapter Hunt"),CHOOSE(ArtifactsInput!$N$27+1,20,24,28,32,36,40),0)/100)))+1)),0)</f>
        <v/>
      </c>
      <c r="S1585">
        <f>IFERROR(O1585/N1585,0)</f>
        <v/>
      </c>
      <c r="T1585">
        <f>IF(C1585,(H1585*N1585*IF(AND(Inputs!$B$38&lt;&gt;"pvp",Inputs!$B$43&gt;0),((Skills!G9*((R1585-1)*IF(Skills!H9&gt;0,Skills!I9/Skills!H9,1)+IF(Skills!H9&gt;0,MIN(Skills!I9,MAX(0,MAX(0,Inputs!$B$43-B1613)-((R1585-1)*(IF(Inputs!$B$38="pvp",15,MAX(0.1,Skills!D9-IF(Skills!E9=TRUE,Inputs!$B$32,0)))*(1-IF(AND(ArtifactsInput!$M$27,Inputs!$B$4="Chapter Hunt"),CHOOSE(ArtifactsInput!$N$27+1,20,24,28,32,36,40),0)/100)))))/Skills!H9,1)))/Inputs!$B$43),G1585*Q1585)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1585*(1-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1585*(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1585*(1-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1585*(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5">
        <f>IF(C1585,(H1585*N1585*IF(AND(Inputs!$B$38&lt;&gt;"pvp",Inputs!$B$43&gt;0),((Skills!G9*((R1585-1)*IF(Skills!H9&gt;0,Skills!I9/Skills!H9,1)+IF(Skills!H9&gt;0,MIN(Skills!I9,MAX(0,MAX(0,Inputs!$B$43-B1613)-((R1585-1)*(IF(Inputs!$B$38="pvp",15,MAX(0.1,Skills!D9-IF(Skills!E9=TRUE,Inputs!$B$32,0)))*(1-IF(AND(ArtifactsInput!$M$27,Inputs!$B$4="Chapter Hunt"),CHOOSE(ArtifactsInput!$N$27+1,20,24,28,32,36,40),0)/100)))))/Skills!H9,1)))/Inputs!$B$43),G1585*Q1585))*IF(Inputs!$B$38="pvp",1,(1+(Inputs!$B$21+Skills!Q9+(IF(ArtifactsInput!$M$33,CHOOSE(ArtifactsInput!$N$33+1,30,36,42,48,54,60)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6">
      <c r="A1586">
        <f>Skills!A10</f>
        <v/>
      </c>
      <c r="B1586">
        <f>Skills!B10</f>
        <v/>
      </c>
      <c r="C1586">
        <f>Inputs!$B$3&gt;=113</f>
        <v/>
      </c>
      <c r="D1586">
        <f>IF(Skills!C10=1,60+Inputs!$B$25+Inputs!$B$29,IF(Skills!C10=2,90+Inputs!$B$26+Inputs!$B$29,IF(Skills!C10=3,120+Inputs!$B$27+Inputs!$B$29,MAX(0,(Inputs!$B$3-100)*3)+Inputs!$B$28+Inputs!$B$29)))</f>
        <v/>
      </c>
      <c r="E1586">
        <f>INDEX(FactorTable!$B$2:$Y$301, MATCH(ROUND(MIN(300,MAX(1,D1586)),0), FactorTable!$A$2:$A$301,0), Skills!M10+1)</f>
        <v/>
      </c>
      <c r="F1586">
        <f>IF(Skills!N10=TRUE,(Skills!L10/10)*(E1586/1000),Skills!L10/10)+Skills!O10</f>
        <v/>
      </c>
      <c r="G1586">
        <f>Skills!G10*IF(Skills!H10&gt;0,Skills!I10/Skills!H10,1)</f>
        <v/>
      </c>
      <c r="H1586">
        <f>1-(1-Skills!J10/100)^Skills!K10</f>
        <v/>
      </c>
      <c r="I1586" t="inlineStr">
        <is>
          <t>1</t>
        </is>
      </c>
      <c r="J1586">
        <f>((Inputs!$B$6*(1+Inputs!$B$7/100))+(((Inputs!$B$12*(1+Inputs!$B$13/100))-(Inputs!$B$12*(1+Inputs!$B$13/100)))+0.25*(Inputs!$B$14-Inputs!$B$14))*(1+Inputs!$B$7/100))*(F1586/100)</f>
        <v/>
      </c>
      <c r="K1586">
        <f>J1586*(1+((Inputs!$B$12*(1+Inputs!$B$13/100))*0.01+Inputs!$B$14*0.0025)/100)*(1+Inputs!$B$15/100)*(1+Inputs!$B$16/100)*(5000/(6000+Inputs!$B$42*(1-(100*(1-(1-(Inputs!$B$19+0)/100)*(1-CHOOSE(ArtifactsInput!$N$40+1,5,6,7,8,9,10)/100)^(ArtifactsInput!$M$40-ArtifactsInput!$M$40)))/100)))*(1+(Inputs!$B$24+((C1602=TRUE)*(F1602-Calc!F26))+B1612)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1599=TRUE)*(F1599-Calc!F23))+((C1603=TRUE)*(F1603-Calc!F27))+(((IF(AND(ArtifactsInput!$M$42,((Inputs!$B$9+((C1595=TRUE)*(F1595-Calc!F19))+B1606+(ArtifactsInput!$M$24-ArtifactsInput!$M$24)*CHOOSE(ArtifactsInput!$N$24+1,10,12,14,16,18,20)+IF(ArtifactsInput!$M$10,CHOOSE(ArtifactsInput!$N$10+1,15,18,21,24,27,30)*(IF(Inputs!$B$38="pvp",MIN(15,15)/15,IF(AND(Inputs!$B$38&lt;&gt;"pvp",Inputs!$B$43&gt;0),MIN(15,Inputs!$B$43)/(Inputs!$B$43),0))),0)))&gt;=100),MIN(100,((Inputs!$B$9+((C1595=TRUE)*(F1595-Calc!F19))+B1606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1595=TRUE)*(F1595-Calc!F19))+B1606+(ArtifactsInput!$M$24-ArtifactsInput!$M$24)*CHOOSE(ArtifactsInput!$N$24+1,10,12,14,16,18,20)+IF(ArtifactsInput!$M$10,CHOOSE(ArtifactsInput!$N$10+1,15,18,21,24,27,30)*(IF(Inputs!$B$38="pvp",MIN(15,15)/15,IF(AND(Inputs!$B$38&lt;&gt;"pvp",Inputs!$B$43&gt;0),MIN(15,Inputs!$B$43)/(Inputs!$B$43),0))),0)))&gt;=100),CHOOSE(ArtifactsInput!$N$42+1,40,48,56,64,72,80),0))))/100)*((1+(((C1593=TRUE)*F1593)+((C1600=TRUE)*(F1600-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1586)</f>
        <v/>
      </c>
      <c r="L1586">
        <f>K1586*(MIN(Inputs!$B$22+((C1598=TRUE)*(F1598-Calc!F22)),(Inputs!$B$23+0+((IF(IF(ArtifactsInput!$M$15,FALSE,TRUE),1,-1)*CHOOSE(ArtifactsInput!$N$15+1,25,30,35,40,45,50)/100*IF(IF(ArtifactsInput!$M$15,FALSE,TRUE),(Inputs!$B$11+((C1596=TRUE)*(F1596-Calc!F20))+((C1597=TRUE)*(F1597-Calc!F21))+(IF(ArtifactsInput!$M$15,FALSE,TRUE)-ArtifactsInput!$M$15)*CHOOSE(ArtifactsInput!$N$15+1,8,9.6,11.2,12.8,14.4,16)),Inputs!$B$11)))))/100+(Inputs!$B$23+0+((IF(IF(ArtifactsInput!$M$15,FALSE,TRUE),1,-1)*CHOOSE(ArtifactsInput!$N$15+1,25,30,35,40,45,50)/100*IF(IF(ArtifactsInput!$M$15,FALSE,TRUE),(Inputs!$B$11+((C1596=TRUE)*(F1596-Calc!F20))+((C1597=TRUE)*(F1597-Calc!F21))+(IF(ArtifactsInput!$M$15,FALSE,TRUE)-ArtifactsInput!$M$15)*CHOOSE(ArtifactsInput!$N$15+1,8,9.6,11.2,12.8,14.4,16)),Inputs!$B$11))))/100)/2</f>
        <v/>
      </c>
      <c r="M1586">
        <f>L1586*(1+(Inputs!$B$10+((C1601=TRUE)*(F1601-Calc!F25))+B1611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6">
        <f>L1586*(1-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1586*(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6">
        <f>(1-Summary!$B$11)*T1586+Summary!$B$11*V1586</f>
        <v/>
      </c>
      <c r="P1586">
        <f>IF(B1616=0,0,O1586/B1616)</f>
        <v/>
      </c>
      <c r="Q1586">
        <f>IFERROR(1/(IF(Inputs!$B$38="pvp",15,MAX(0.1,Skills!D10-IF(Skills!E10=TRUE,Inputs!$B$32,0)))*(1-IF(AND(ArtifactsInput!$M$27,Inputs!$B$4="Chapter Hunt"),CHOOSE(ArtifactsInput!$N$27+1,20,24,28,32,36,40),0)/100)),0)</f>
        <v/>
      </c>
      <c r="R1586">
        <f>IF(AND(Inputs!$B$38&lt;&gt;"pvp",Inputs!$B$43&gt;0),IF(MAX(0,Inputs!$B$43-B1613)&lt;=0,0,(INT(MAX(0,Inputs!$B$43-B1613)/(IF(Inputs!$B$38="pvp",15,MAX(0.1,Skills!D10-IF(Skills!E10=TRUE,Inputs!$B$32,0)))*(1-IF(AND(ArtifactsInput!$M$27,Inputs!$B$4="Chapter Hunt"),CHOOSE(ArtifactsInput!$N$27+1,20,24,28,32,36,40),0)/100)))+1)),0)</f>
        <v/>
      </c>
      <c r="S1586">
        <f>IFERROR(O1586/N1586,0)</f>
        <v/>
      </c>
      <c r="T1586">
        <f>IF(C1586,(H1586*N1586*IF(AND(Inputs!$B$38&lt;&gt;"pvp",Inputs!$B$43&gt;0),((Skills!G10*((R1586-1)*IF(Skills!H10&gt;0,Skills!I10/Skills!H10,1)+IF(Skills!H10&gt;0,MIN(Skills!I10,MAX(0,MAX(0,Inputs!$B$43-B1613)-((R1586-1)*(IF(Inputs!$B$38="pvp",15,MAX(0.1,Skills!D10-IF(Skills!E10=TRUE,Inputs!$B$32,0)))*(1-IF(AND(ArtifactsInput!$M$27,Inputs!$B$4="Chapter Hunt"),CHOOSE(ArtifactsInput!$N$27+1,20,24,28,32,36,40),0)/100)))))/Skills!H10,1)))/Inputs!$B$43),G1586*Q1586)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1586*(1-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1586*(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1586*(1-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1586*(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6">
        <f>IF(C1586,(H1586*N1586*IF(AND(Inputs!$B$38&lt;&gt;"pvp",Inputs!$B$43&gt;0),((Skills!G10*((R1586-1)*IF(Skills!H10&gt;0,Skills!I10/Skills!H10,1)+IF(Skills!H10&gt;0,MIN(Skills!I10,MAX(0,MAX(0,Inputs!$B$43-B1613)-((R1586-1)*(IF(Inputs!$B$38="pvp",15,MAX(0.1,Skills!D10-IF(Skills!E10=TRUE,Inputs!$B$32,0)))*(1-IF(AND(ArtifactsInput!$M$27,Inputs!$B$4="Chapter Hunt"),CHOOSE(ArtifactsInput!$N$27+1,20,24,28,32,36,40),0)/100)))))/Skills!H10,1)))/Inputs!$B$43),G1586*Q1586))*IF(Inputs!$B$38="pvp",1,(1+(Inputs!$B$21+Skills!Q10+(IF(ArtifactsInput!$M$33,CHOOSE(ArtifactsInput!$N$33+1,30,36,42,48,54,60)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7">
      <c r="A1587">
        <f>Skills!A11</f>
        <v/>
      </c>
      <c r="B1587">
        <f>Skills!B11</f>
        <v/>
      </c>
      <c r="C1587">
        <f>Inputs!$B$3&gt;=107</f>
        <v/>
      </c>
      <c r="D1587">
        <f>IF(Skills!C11=1,60+Inputs!$B$25+Inputs!$B$29,IF(Skills!C11=2,90+Inputs!$B$26+Inputs!$B$29,IF(Skills!C11=3,120+Inputs!$B$27+Inputs!$B$29,MAX(0,(Inputs!$B$3-100)*3)+Inputs!$B$28+Inputs!$B$29)))</f>
        <v/>
      </c>
      <c r="E1587">
        <f>INDEX(FactorTable!$B$2:$Y$301, MATCH(ROUND(MIN(300,MAX(1,D1587)),0), FactorTable!$A$2:$A$301,0), Skills!M11+1)</f>
        <v/>
      </c>
      <c r="F1587">
        <f>IF(Skills!N11=TRUE,(Skills!L11/10)*(E1587/1000),Skills!L11/10)+Skills!O11</f>
        <v/>
      </c>
      <c r="G1587">
        <f>Skills!G11*IF(Skills!H11&gt;0,Skills!I11/Skills!H11,1)</f>
        <v/>
      </c>
      <c r="H1587">
        <f>1-(1-Skills!J11/100)^Skills!K11</f>
        <v/>
      </c>
      <c r="I1587" t="inlineStr">
        <is>
          <t>1</t>
        </is>
      </c>
      <c r="J1587">
        <f>((Inputs!$B$6*(1+Inputs!$B$7/100))+(((Inputs!$B$12*(1+Inputs!$B$13/100))-(Inputs!$B$12*(1+Inputs!$B$13/100)))+0.25*(Inputs!$B$14-Inputs!$B$14))*(1+Inputs!$B$7/100))*(F1587/100)</f>
        <v/>
      </c>
      <c r="K1587">
        <f>J1587*(1+((Inputs!$B$12*(1+Inputs!$B$13/100))*0.01+Inputs!$B$14*0.0025)/100)*(1+Inputs!$B$15/100)*(1+Inputs!$B$16/100)*(5000/(6000+Inputs!$B$42*(1-(100*(1-(1-(Inputs!$B$19+0)/100)*(1-CHOOSE(ArtifactsInput!$N$40+1,5,6,7,8,9,10)/100)^(ArtifactsInput!$M$40-ArtifactsInput!$M$40)))/100)))*(1+(Inputs!$B$24+((C1602=TRUE)*(F1602-Calc!F26))+B1612)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1599=TRUE)*(F1599-Calc!F23))+((C1603=TRUE)*(F1603-Calc!F27))+(((IF(AND(ArtifactsInput!$M$42,((Inputs!$B$9+((C1595=TRUE)*(F1595-Calc!F19))+B1606+(ArtifactsInput!$M$24-ArtifactsInput!$M$24)*CHOOSE(ArtifactsInput!$N$24+1,10,12,14,16,18,20)+IF(ArtifactsInput!$M$10,CHOOSE(ArtifactsInput!$N$10+1,15,18,21,24,27,30)*(IF(Inputs!$B$38="pvp",MIN(15,15)/15,IF(AND(Inputs!$B$38&lt;&gt;"pvp",Inputs!$B$43&gt;0),MIN(15,Inputs!$B$43)/(Inputs!$B$43),0))),0)))&gt;=100),MIN(100,((Inputs!$B$9+((C1595=TRUE)*(F1595-Calc!F19))+B1606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1595=TRUE)*(F1595-Calc!F19))+B1606+(ArtifactsInput!$M$24-ArtifactsInput!$M$24)*CHOOSE(ArtifactsInput!$N$24+1,10,12,14,16,18,20)+IF(ArtifactsInput!$M$10,CHOOSE(ArtifactsInput!$N$10+1,15,18,21,24,27,30)*(IF(Inputs!$B$38="pvp",MIN(15,15)/15,IF(AND(Inputs!$B$38&lt;&gt;"pvp",Inputs!$B$43&gt;0),MIN(15,Inputs!$B$43)/(Inputs!$B$43),0))),0)))&gt;=100),CHOOSE(ArtifactsInput!$N$42+1,40,48,56,64,72,80),0))))/100)*((1+(((C1593=TRUE)*F1593)+((C1600=TRUE)*(F1600-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1587)</f>
        <v/>
      </c>
      <c r="L1587">
        <f>K1587*(MIN(Inputs!$B$22+((C1598=TRUE)*(F1598-Calc!F22)),(Inputs!$B$23+0+((IF(IF(ArtifactsInput!$M$15,FALSE,TRUE),1,-1)*CHOOSE(ArtifactsInput!$N$15+1,25,30,35,40,45,50)/100*IF(IF(ArtifactsInput!$M$15,FALSE,TRUE),(Inputs!$B$11+((C1596=TRUE)*(F1596-Calc!F20))+((C1597=TRUE)*(F1597-Calc!F21))+(IF(ArtifactsInput!$M$15,FALSE,TRUE)-ArtifactsInput!$M$15)*CHOOSE(ArtifactsInput!$N$15+1,8,9.6,11.2,12.8,14.4,16)),Inputs!$B$11)))))/100+(Inputs!$B$23+0+((IF(IF(ArtifactsInput!$M$15,FALSE,TRUE),1,-1)*CHOOSE(ArtifactsInput!$N$15+1,25,30,35,40,45,50)/100*IF(IF(ArtifactsInput!$M$15,FALSE,TRUE),(Inputs!$B$11+((C1596=TRUE)*(F1596-Calc!F20))+((C1597=TRUE)*(F1597-Calc!F21))+(IF(ArtifactsInput!$M$15,FALSE,TRUE)-ArtifactsInput!$M$15)*CHOOSE(ArtifactsInput!$N$15+1,8,9.6,11.2,12.8,14.4,16)),Inputs!$B$11))))/100)/2</f>
        <v/>
      </c>
      <c r="M1587">
        <f>L1587*(1+(Inputs!$B$10+((C1601=TRUE)*(F1601-Calc!F25))+B1611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7">
        <f>L1587*(1-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1587*(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7">
        <f>(1-Summary!$B$11)*T1587+Summary!$B$11*V1587</f>
        <v/>
      </c>
      <c r="P1587">
        <f>IF(B1616=0,0,O1587/B1616)</f>
        <v/>
      </c>
      <c r="Q1587">
        <f>IFERROR(1/(IF(Inputs!$B$38="pvp",15,MAX(0.1,Skills!D11-IF(Skills!E11=TRUE,Inputs!$B$32,0)))*(1-IF(AND(ArtifactsInput!$M$27,Inputs!$B$4="Chapter Hunt"),CHOOSE(ArtifactsInput!$N$27+1,20,24,28,32,36,40),0)/100)),0)</f>
        <v/>
      </c>
      <c r="R1587">
        <f>IF(AND(Inputs!$B$38&lt;&gt;"pvp",Inputs!$B$43&gt;0),IF(MAX(0,Inputs!$B$43-B1613)&lt;=0,0,(INT(MAX(0,Inputs!$B$43-B1613)/(IF(Inputs!$B$38="pvp",15,MAX(0.1,Skills!D11-IF(Skills!E11=TRUE,Inputs!$B$32,0)))*(1-IF(AND(ArtifactsInput!$M$27,Inputs!$B$4="Chapter Hunt"),CHOOSE(ArtifactsInput!$N$27+1,20,24,28,32,36,40),0)/100)))+1)),0)</f>
        <v/>
      </c>
      <c r="S1587">
        <f>IFERROR(O1587/N1587,0)</f>
        <v/>
      </c>
      <c r="T1587">
        <f>IF(C1587,(H1587*N1587*IF(AND(Inputs!$B$38&lt;&gt;"pvp",Inputs!$B$43&gt;0),((Skills!G11*((R1587-1)*IF(Skills!H11&gt;0,Skills!I11/Skills!H11,1)+IF(Skills!H11&gt;0,MIN(Skills!I11,MAX(0,MAX(0,Inputs!$B$43-B1613)-((R1587-1)*(IF(Inputs!$B$38="pvp",15,MAX(0.1,Skills!D11-IF(Skills!E11=TRUE,Inputs!$B$32,0)))*(1-IF(AND(ArtifactsInput!$M$27,Inputs!$B$4="Chapter Hunt"),CHOOSE(ArtifactsInput!$N$27+1,20,24,28,32,36,40),0)/100)))))/Skills!H11,1)))/Inputs!$B$43),G1587*Q1587)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1587*(1-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1587*(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1587*(1-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1587*(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7">
        <f>IF(C1587,(H1587*N1587*IF(AND(Inputs!$B$38&lt;&gt;"pvp",Inputs!$B$43&gt;0),((Skills!G11*((R1587-1)*IF(Skills!H11&gt;0,Skills!I11/Skills!H11,1)+IF(Skills!H11&gt;0,MIN(Skills!I11,MAX(0,MAX(0,Inputs!$B$43-B1613)-((R1587-1)*(IF(Inputs!$B$38="pvp",15,MAX(0.1,Skills!D11-IF(Skills!E11=TRUE,Inputs!$B$32,0)))*(1-IF(AND(ArtifactsInput!$M$27,Inputs!$B$4="Chapter Hunt"),CHOOSE(ArtifactsInput!$N$27+1,20,24,28,32,36,40),0)/100)))))/Skills!H11,1)))/Inputs!$B$43),G1587*Q1587))*IF(Inputs!$B$38="pvp",1,(1+(Inputs!$B$21+Skills!Q11+(IF(ArtifactsInput!$M$33,CHOOSE(ArtifactsInput!$N$33+1,30,36,42,48,54,60)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8">
      <c r="A1588">
        <f>Skills!A12</f>
        <v/>
      </c>
      <c r="B1588">
        <f>Skills!B12</f>
        <v/>
      </c>
      <c r="C1588">
        <f>Inputs!$B$3&gt;=110</f>
        <v/>
      </c>
      <c r="D1588">
        <f>IF(Skills!C12=1,60+Inputs!$B$25+Inputs!$B$29,IF(Skills!C12=2,90+Inputs!$B$26+Inputs!$B$29,IF(Skills!C12=3,120+Inputs!$B$27+Inputs!$B$29,MAX(0,(Inputs!$B$3-100)*3)+Inputs!$B$28+Inputs!$B$29)))</f>
        <v/>
      </c>
      <c r="E1588">
        <f>INDEX(FactorTable!$B$2:$Y$301, MATCH(ROUND(MIN(300,MAX(1,D1588)),0), FactorTable!$A$2:$A$301,0), Skills!M12+1)</f>
        <v/>
      </c>
      <c r="F1588">
        <f>IF(Skills!N12=TRUE,(Skills!L12/10)*(E1588/1000),Skills!L12/10)+Skills!O12</f>
        <v/>
      </c>
      <c r="G1588">
        <f>Skills!G12*IF(Skills!H12&gt;0,Skills!I12/Skills!H12,1)</f>
        <v/>
      </c>
      <c r="H1588">
        <f>1-(1-Skills!J12/100)^Skills!K12</f>
        <v/>
      </c>
      <c r="I1588" t="inlineStr">
        <is>
          <t>1</t>
        </is>
      </c>
      <c r="J1588">
        <f>((Inputs!$B$6*(1+Inputs!$B$7/100))+(((Inputs!$B$12*(1+Inputs!$B$13/100))-(Inputs!$B$12*(1+Inputs!$B$13/100)))+0.25*(Inputs!$B$14-Inputs!$B$14))*(1+Inputs!$B$7/100))*(F1588/100)</f>
        <v/>
      </c>
      <c r="K1588">
        <f>J1588*(1+((Inputs!$B$12*(1+Inputs!$B$13/100))*0.01+Inputs!$B$14*0.0025)/100)*(1+Inputs!$B$15/100)*(1+Inputs!$B$16/100)*(5000/(6000+Inputs!$B$42*(1-(100*(1-(1-(Inputs!$B$19+0)/100)*(1-CHOOSE(ArtifactsInput!$N$40+1,5,6,7,8,9,10)/100)^(ArtifactsInput!$M$40-ArtifactsInput!$M$40)))/100)))*(1+(Inputs!$B$24+((C1602=TRUE)*(F1602-Calc!F26))+B1612)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1599=TRUE)*(F1599-Calc!F23))+((C1603=TRUE)*(F1603-Calc!F27))+(((IF(AND(ArtifactsInput!$M$42,((Inputs!$B$9+((C1595=TRUE)*(F1595-Calc!F19))+B1606+(ArtifactsInput!$M$24-ArtifactsInput!$M$24)*CHOOSE(ArtifactsInput!$N$24+1,10,12,14,16,18,20)+IF(ArtifactsInput!$M$10,CHOOSE(ArtifactsInput!$N$10+1,15,18,21,24,27,30)*(IF(Inputs!$B$38="pvp",MIN(15,15)/15,IF(AND(Inputs!$B$38&lt;&gt;"pvp",Inputs!$B$43&gt;0),MIN(15,Inputs!$B$43)/(Inputs!$B$43),0))),0)))&gt;=100),MIN(100,((Inputs!$B$9+((C1595=TRUE)*(F1595-Calc!F19))+B1606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1595=TRUE)*(F1595-Calc!F19))+B1606+(ArtifactsInput!$M$24-ArtifactsInput!$M$24)*CHOOSE(ArtifactsInput!$N$24+1,10,12,14,16,18,20)+IF(ArtifactsInput!$M$10,CHOOSE(ArtifactsInput!$N$10+1,15,18,21,24,27,30)*(IF(Inputs!$B$38="pvp",MIN(15,15)/15,IF(AND(Inputs!$B$38&lt;&gt;"pvp",Inputs!$B$43&gt;0),MIN(15,Inputs!$B$43)/(Inputs!$B$43),0))),0)))&gt;=100),CHOOSE(ArtifactsInput!$N$42+1,40,48,56,64,72,80),0))))/100)*((1+(((C1593=TRUE)*F1593)+((C1600=TRUE)*(F1600-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1588)</f>
        <v/>
      </c>
      <c r="L1588">
        <f>K1588*(MIN(Inputs!$B$22+((C1598=TRUE)*(F1598-Calc!F22)),(Inputs!$B$23+0+((IF(IF(ArtifactsInput!$M$15,FALSE,TRUE),1,-1)*CHOOSE(ArtifactsInput!$N$15+1,25,30,35,40,45,50)/100*IF(IF(ArtifactsInput!$M$15,FALSE,TRUE),(Inputs!$B$11+((C1596=TRUE)*(F1596-Calc!F20))+((C1597=TRUE)*(F1597-Calc!F21))+(IF(ArtifactsInput!$M$15,FALSE,TRUE)-ArtifactsInput!$M$15)*CHOOSE(ArtifactsInput!$N$15+1,8,9.6,11.2,12.8,14.4,16)),Inputs!$B$11)))))/100+(Inputs!$B$23+0+((IF(IF(ArtifactsInput!$M$15,FALSE,TRUE),1,-1)*CHOOSE(ArtifactsInput!$N$15+1,25,30,35,40,45,50)/100*IF(IF(ArtifactsInput!$M$15,FALSE,TRUE),(Inputs!$B$11+((C1596=TRUE)*(F1596-Calc!F20))+((C1597=TRUE)*(F1597-Calc!F21))+(IF(ArtifactsInput!$M$15,FALSE,TRUE)-ArtifactsInput!$M$15)*CHOOSE(ArtifactsInput!$N$15+1,8,9.6,11.2,12.8,14.4,16)),Inputs!$B$11))))/100)/2</f>
        <v/>
      </c>
      <c r="M1588">
        <f>L1588*(1+(Inputs!$B$10+((C1601=TRUE)*(F1601-Calc!F25))+B1611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8">
        <f>L1588*(1-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1588*(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8">
        <f>(1-Summary!$B$11)*T1588+Summary!$B$11*V1588</f>
        <v/>
      </c>
      <c r="P1588">
        <f>IF(B1616=0,0,O1588/B1616)</f>
        <v/>
      </c>
      <c r="Q1588">
        <f>IFERROR(1/(IF(Inputs!$B$38="pvp",15,MAX(0.1,Skills!D12-IF(Skills!E12=TRUE,Inputs!$B$32,0)))*(1-IF(AND(ArtifactsInput!$M$27,Inputs!$B$4="Chapter Hunt"),CHOOSE(ArtifactsInput!$N$27+1,20,24,28,32,36,40),0)/100)),0)</f>
        <v/>
      </c>
      <c r="R1588">
        <f>IF(AND(Inputs!$B$38&lt;&gt;"pvp",Inputs!$B$43&gt;0),IF(MAX(0,Inputs!$B$43-B1613)&lt;=0,0,(INT(MAX(0,Inputs!$B$43-B1613)/(IF(Inputs!$B$38="pvp",15,MAX(0.1,Skills!D12-IF(Skills!E12=TRUE,Inputs!$B$32,0)))*(1-IF(AND(ArtifactsInput!$M$27,Inputs!$B$4="Chapter Hunt"),CHOOSE(ArtifactsInput!$N$27+1,20,24,28,32,36,40),0)/100)))+1)),0)</f>
        <v/>
      </c>
      <c r="S1588">
        <f>IFERROR(O1588/N1588,0)</f>
        <v/>
      </c>
      <c r="T1588">
        <f>IF(C1588,(H1588*N1588*IF(AND(Inputs!$B$38&lt;&gt;"pvp",Inputs!$B$43&gt;0),((Skills!G12*((R1588-1)*IF(Skills!H12&gt;0,Skills!I12/Skills!H12,1)+IF(Skills!H12&gt;0,MIN(Skills!I12,MAX(0,MAX(0,Inputs!$B$43-B1613)-((R1588-1)*(IF(Inputs!$B$38="pvp",15,MAX(0.1,Skills!D12-IF(Skills!E12=TRUE,Inputs!$B$32,0)))*(1-IF(AND(ArtifactsInput!$M$27,Inputs!$B$4="Chapter Hunt"),CHOOSE(ArtifactsInput!$N$27+1,20,24,28,32,36,40),0)/100)))))/Skills!H12,1)))/Inputs!$B$43),G1588*Q1588))*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1588*(1-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1588*(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1588*(1-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1588*(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8">
        <f>IF(C1588,(H1588*N1588*IF(AND(Inputs!$B$38&lt;&gt;"pvp",Inputs!$B$43&gt;0),((Skills!G12*((R1588-1)*IF(Skills!H12&gt;0,Skills!I12/Skills!H12,1)+IF(Skills!H12&gt;0,MIN(Skills!I12,MAX(0,MAX(0,Inputs!$B$43-B1613)-((R1588-1)*(IF(Inputs!$B$38="pvp",15,MAX(0.1,Skills!D12-IF(Skills!E12=TRUE,Inputs!$B$32,0)))*(1-IF(AND(ArtifactsInput!$M$27,Inputs!$B$4="Chapter Hunt"),CHOOSE(ArtifactsInput!$N$27+1,20,24,28,32,36,40),0)/100)))))/Skills!H12,1)))/Inputs!$B$43),G1588*Q1588))*IF(Inputs!$B$38="pvp",1,(1+(Inputs!$B$21+Skills!Q12+(IF(ArtifactsInput!$M$33,CHOOSE(ArtifactsInput!$N$33+1,30,36,42,48,54,60)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9">
      <c r="A1589">
        <f>Skills!A13</f>
        <v/>
      </c>
      <c r="B1589">
        <f>Skills!B13</f>
        <v/>
      </c>
      <c r="C1589">
        <f>Inputs!$B$3&gt;=110</f>
        <v/>
      </c>
      <c r="D1589">
        <f>IF(Skills!C13=1,60+Inputs!$B$25+Inputs!$B$29,IF(Skills!C13=2,90+Inputs!$B$26+Inputs!$B$29,IF(Skills!C13=3,120+Inputs!$B$27+Inputs!$B$29,MAX(0,(Inputs!$B$3-100)*3)+Inputs!$B$28+Inputs!$B$29)))</f>
        <v/>
      </c>
      <c r="E1589">
        <f>INDEX(FactorTable!$B$2:$Y$301, MATCH(ROUND(MIN(300,MAX(1,D1589)),0), FactorTable!$A$2:$A$301,0), Skills!M13+1)</f>
        <v/>
      </c>
      <c r="F1589">
        <f>IF(Skills!N13=TRUE,(Skills!L13/10)*(E1589/1000),Skills!L13/10)+Skills!O13</f>
        <v/>
      </c>
      <c r="G1589">
        <f>Skills!G13*IF(Skills!H13&gt;0,Skills!I13/Skills!H13,1)</f>
        <v/>
      </c>
      <c r="H1589">
        <f>1-(1-Skills!J13/100)^Skills!K13</f>
        <v/>
      </c>
      <c r="I1589" t="inlineStr">
        <is>
          <t>1</t>
        </is>
      </c>
      <c r="J1589">
        <f>((Inputs!$B$6*(1+Inputs!$B$7/100))+(((Inputs!$B$12*(1+Inputs!$B$13/100))-(Inputs!$B$12*(1+Inputs!$B$13/100)))+0.25*(Inputs!$B$14-Inputs!$B$14))*(1+Inputs!$B$7/100))*(F1589/100)</f>
        <v/>
      </c>
      <c r="K1589">
        <f>J1589*(1+((Inputs!$B$12*(1+Inputs!$B$13/100))*0.01+Inputs!$B$14*0.0025)/100)*(1+Inputs!$B$15/100)*(1+Inputs!$B$16/100)*(5000/(6000+Inputs!$B$42*(1-(100*(1-(1-(Inputs!$B$19+0)/100)*(1-CHOOSE(ArtifactsInput!$N$40+1,5,6,7,8,9,10)/100)^(ArtifactsInput!$M$40-ArtifactsInput!$M$40)))/100)))*(1+(Inputs!$B$24+((C1602=TRUE)*(F1602-Calc!F26))+B1612)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1599=TRUE)*(F1599-Calc!F23))+((C1603=TRUE)*(F1603-Calc!F27))+(((IF(AND(ArtifactsInput!$M$42,((Inputs!$B$9+((C1595=TRUE)*(F1595-Calc!F19))+B1606+(ArtifactsInput!$M$24-ArtifactsInput!$M$24)*CHOOSE(ArtifactsInput!$N$24+1,10,12,14,16,18,20)+IF(ArtifactsInput!$M$10,CHOOSE(ArtifactsInput!$N$10+1,15,18,21,24,27,30)*(IF(Inputs!$B$38="pvp",MIN(15,15)/15,IF(AND(Inputs!$B$38&lt;&gt;"pvp",Inputs!$B$43&gt;0),MIN(15,Inputs!$B$43)/(Inputs!$B$43),0))),0)))&gt;=100),MIN(100,((Inputs!$B$9+((C1595=TRUE)*(F1595-Calc!F19))+B1606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1595=TRUE)*(F1595-Calc!F19))+B1606+(ArtifactsInput!$M$24-ArtifactsInput!$M$24)*CHOOSE(ArtifactsInput!$N$24+1,10,12,14,16,18,20)+IF(ArtifactsInput!$M$10,CHOOSE(ArtifactsInput!$N$10+1,15,18,21,24,27,30)*(IF(Inputs!$B$38="pvp",MIN(15,15)/15,IF(AND(Inputs!$B$38&lt;&gt;"pvp",Inputs!$B$43&gt;0),MIN(15,Inputs!$B$43)/(Inputs!$B$43),0))),0)))&gt;=100),CHOOSE(ArtifactsInput!$N$42+1,40,48,56,64,72,80),0))))/100)*((1+(((C1593=TRUE)*F1593)+((C1600=TRUE)*(F1600-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1589)</f>
        <v/>
      </c>
      <c r="L1589">
        <f>K1589*(MIN(Inputs!$B$22+((C1598=TRUE)*(F1598-Calc!F22)),(Inputs!$B$23+0+((IF(IF(ArtifactsInput!$M$15,FALSE,TRUE),1,-1)*CHOOSE(ArtifactsInput!$N$15+1,25,30,35,40,45,50)/100*IF(IF(ArtifactsInput!$M$15,FALSE,TRUE),(Inputs!$B$11+((C1596=TRUE)*(F1596-Calc!F20))+((C1597=TRUE)*(F1597-Calc!F21))+(IF(ArtifactsInput!$M$15,FALSE,TRUE)-ArtifactsInput!$M$15)*CHOOSE(ArtifactsInput!$N$15+1,8,9.6,11.2,12.8,14.4,16)),Inputs!$B$11)))))/100+(Inputs!$B$23+0+((IF(IF(ArtifactsInput!$M$15,FALSE,TRUE),1,-1)*CHOOSE(ArtifactsInput!$N$15+1,25,30,35,40,45,50)/100*IF(IF(ArtifactsInput!$M$15,FALSE,TRUE),(Inputs!$B$11+((C1596=TRUE)*(F1596-Calc!F20))+((C1597=TRUE)*(F1597-Calc!F21))+(IF(ArtifactsInput!$M$15,FALSE,TRUE)-ArtifactsInput!$M$15)*CHOOSE(ArtifactsInput!$N$15+1,8,9.6,11.2,12.8,14.4,16)),Inputs!$B$11))))/100)/2</f>
        <v/>
      </c>
      <c r="M1589">
        <f>L1589*(1+(Inputs!$B$10+((C1601=TRUE)*(F1601-Calc!F25))+B1611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9">
        <f>L1589*(1-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1589*(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9">
        <f>(1-Summary!$B$11)*T1589+Summary!$B$11*V1589</f>
        <v/>
      </c>
      <c r="P1589">
        <f>IF(B1616=0,0,O1589/B1616)</f>
        <v/>
      </c>
      <c r="Q1589">
        <f>IFERROR(1/(IF(Inputs!$B$38="pvp",15,MAX(0.1,Skills!D13-IF(Skills!E13=TRUE,Inputs!$B$32,0)))*(1-IF(AND(ArtifactsInput!$M$27,Inputs!$B$4="Chapter Hunt"),CHOOSE(ArtifactsInput!$N$27+1,20,24,28,32,36,40),0)/100)),0)</f>
        <v/>
      </c>
      <c r="R1589">
        <f>IF(AND(Inputs!$B$38&lt;&gt;"pvp",Inputs!$B$43&gt;0),IF(MAX(0,Inputs!$B$43-B1613)&lt;=0,0,(INT(MAX(0,Inputs!$B$43-B1613)/(IF(Inputs!$B$38="pvp",15,MAX(0.1,Skills!D13-IF(Skills!E13=TRUE,Inputs!$B$32,0)))*(1-IF(AND(ArtifactsInput!$M$27,Inputs!$B$4="Chapter Hunt"),CHOOSE(ArtifactsInput!$N$27+1,20,24,28,32,36,40),0)/100)))+1)),0)</f>
        <v/>
      </c>
      <c r="S1589">
        <f>IFERROR(O1589/N1589,0)</f>
        <v/>
      </c>
      <c r="T1589">
        <f>IF(C1589,(H1589*N1589*IF(AND(Inputs!$B$38&lt;&gt;"pvp",Inputs!$B$43&gt;0),((Skills!G13*((R1589-1)*IF(Skills!H13&gt;0,Skills!I13/Skills!H13,1)+IF(Skills!H13&gt;0,MIN(Skills!I13,MAX(0,MAX(0,Inputs!$B$43-B1613)-((R1589-1)*(IF(Inputs!$B$38="pvp",15,MAX(0.1,Skills!D13-IF(Skills!E13=TRUE,Inputs!$B$32,0)))*(1-IF(AND(ArtifactsInput!$M$27,Inputs!$B$4="Chapter Hunt"),CHOOSE(ArtifactsInput!$N$27+1,20,24,28,32,36,40),0)/100)))))/Skills!H13,1)))/Inputs!$B$43),G1589*Q1589))*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1589*(1-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1589*(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1589*(1-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1589*(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9">
        <f>IF(C1589,(H1589*N1589*IF(AND(Inputs!$B$38&lt;&gt;"pvp",Inputs!$B$43&gt;0),((Skills!G13*((R1589-1)*IF(Skills!H13&gt;0,Skills!I13/Skills!H13,1)+IF(Skills!H13&gt;0,MIN(Skills!I13,MAX(0,MAX(0,Inputs!$B$43-B1613)-((R1589-1)*(IF(Inputs!$B$38="pvp",15,MAX(0.1,Skills!D13-IF(Skills!E13=TRUE,Inputs!$B$32,0)))*(1-IF(AND(ArtifactsInput!$M$27,Inputs!$B$4="Chapter Hunt"),CHOOSE(ArtifactsInput!$N$27+1,20,24,28,32,36,40),0)/100)))))/Skills!H13,1)))/Inputs!$B$43),G1589*Q1589))*IF(Inputs!$B$38="pvp",1,(1+(Inputs!$B$21+Skills!Q13+(IF(ArtifactsInput!$M$33,CHOOSE(ArtifactsInput!$N$33+1,30,36,42,48,54,60)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0">
      <c r="A1590">
        <f>Skills!A14</f>
        <v/>
      </c>
      <c r="B1590">
        <f>Skills!B14</f>
        <v/>
      </c>
      <c r="C1590">
        <f>Inputs!$B$3&gt;=125</f>
        <v/>
      </c>
      <c r="D1590">
        <f>IF(Skills!C14=1,60+Inputs!$B$25+Inputs!$B$29,IF(Skills!C14=2,90+Inputs!$B$26+Inputs!$B$29,IF(Skills!C14=3,120+Inputs!$B$27+Inputs!$B$29,MAX(0,(Inputs!$B$3-100)*3)+Inputs!$B$28+Inputs!$B$29)))</f>
        <v/>
      </c>
      <c r="E1590">
        <f>INDEX(FactorTable!$B$2:$Y$301, MATCH(ROUND(MIN(300,MAX(1,D1590)),0), FactorTable!$A$2:$A$301,0), Skills!M14+1)</f>
        <v/>
      </c>
      <c r="F1590">
        <f>IF(Skills!N14=TRUE,(Skills!L14/10)*(E1590/1000),Skills!L14/10)+Skills!O14</f>
        <v/>
      </c>
      <c r="G1590">
        <f>Skills!G14*IF(Skills!H14&gt;0,Skills!I14/Skills!H14,1)</f>
        <v/>
      </c>
      <c r="H1590">
        <f>1-(1-Skills!J14/100)^Skills!K14</f>
        <v/>
      </c>
      <c r="I1590" t="inlineStr">
        <is>
          <t>1</t>
        </is>
      </c>
      <c r="J1590">
        <f>((Inputs!$B$6*(1+Inputs!$B$7/100))+(((Inputs!$B$12*(1+Inputs!$B$13/100))-(Inputs!$B$12*(1+Inputs!$B$13/100)))+0.25*(Inputs!$B$14-Inputs!$B$14))*(1+Inputs!$B$7/100))*(F1590/100)</f>
        <v/>
      </c>
      <c r="K1590">
        <f>J1590*(1+((Inputs!$B$12*(1+Inputs!$B$13/100))*0.01+Inputs!$B$14*0.0025)/100)*(1+Inputs!$B$15/100)*(1+Inputs!$B$16/100)*(5000/(6000+Inputs!$B$42*(1-(100*(1-(1-(Inputs!$B$19+0)/100)*(1-CHOOSE(ArtifactsInput!$N$40+1,5,6,7,8,9,10)/100)^(ArtifactsInput!$M$40-ArtifactsInput!$M$40)))/100)))*(1+(Inputs!$B$24+((C1602=TRUE)*(F1602-Calc!F26))+B1612)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1599=TRUE)*(F1599-Calc!F23))+((C1603=TRUE)*(F1603-Calc!F27))+(((IF(AND(ArtifactsInput!$M$42,((Inputs!$B$9+((C1595=TRUE)*(F1595-Calc!F19))+B1606+(ArtifactsInput!$M$24-ArtifactsInput!$M$24)*CHOOSE(ArtifactsInput!$N$24+1,10,12,14,16,18,20)+IF(ArtifactsInput!$M$10,CHOOSE(ArtifactsInput!$N$10+1,15,18,21,24,27,30)*(IF(Inputs!$B$38="pvp",MIN(15,15)/15,IF(AND(Inputs!$B$38&lt;&gt;"pvp",Inputs!$B$43&gt;0),MIN(15,Inputs!$B$43)/(Inputs!$B$43),0))),0)))&gt;=100),MIN(100,((Inputs!$B$9+((C1595=TRUE)*(F1595-Calc!F19))+B1606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1595=TRUE)*(F1595-Calc!F19))+B1606+(ArtifactsInput!$M$24-ArtifactsInput!$M$24)*CHOOSE(ArtifactsInput!$N$24+1,10,12,14,16,18,20)+IF(ArtifactsInput!$M$10,CHOOSE(ArtifactsInput!$N$10+1,15,18,21,24,27,30)*(IF(Inputs!$B$38="pvp",MIN(15,15)/15,IF(AND(Inputs!$B$38&lt;&gt;"pvp",Inputs!$B$43&gt;0),MIN(15,Inputs!$B$43)/(Inputs!$B$43),0))),0)))&gt;=100),CHOOSE(ArtifactsInput!$N$42+1,40,48,56,64,72,80),0))))/100)*((1+(((C1593=TRUE)*F1593)+((C1600=TRUE)*(F1600-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1590)</f>
        <v/>
      </c>
      <c r="L1590">
        <f>K1590*(MIN(Inputs!$B$22+((C1598=TRUE)*(F1598-Calc!F22)),(Inputs!$B$23+0+((IF(IF(ArtifactsInput!$M$15,FALSE,TRUE),1,-1)*CHOOSE(ArtifactsInput!$N$15+1,25,30,35,40,45,50)/100*IF(IF(ArtifactsInput!$M$15,FALSE,TRUE),(Inputs!$B$11+((C1596=TRUE)*(F1596-Calc!F20))+((C1597=TRUE)*(F1597-Calc!F21))+(IF(ArtifactsInput!$M$15,FALSE,TRUE)-ArtifactsInput!$M$15)*CHOOSE(ArtifactsInput!$N$15+1,8,9.6,11.2,12.8,14.4,16)),Inputs!$B$11)))))/100+(Inputs!$B$23+0+((IF(IF(ArtifactsInput!$M$15,FALSE,TRUE),1,-1)*CHOOSE(ArtifactsInput!$N$15+1,25,30,35,40,45,50)/100*IF(IF(ArtifactsInput!$M$15,FALSE,TRUE),(Inputs!$B$11+((C1596=TRUE)*(F1596-Calc!F20))+((C1597=TRUE)*(F1597-Calc!F21))+(IF(ArtifactsInput!$M$15,FALSE,TRUE)-ArtifactsInput!$M$15)*CHOOSE(ArtifactsInput!$N$15+1,8,9.6,11.2,12.8,14.4,16)),Inputs!$B$11))))/100)/2</f>
        <v/>
      </c>
      <c r="M1590">
        <f>L1590*(1+(Inputs!$B$10+((C1601=TRUE)*(F1601-Calc!F25))+B1611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0">
        <f>L1590*(1-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1590*(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0">
        <f>(1-Summary!$B$11)*T1590+Summary!$B$11*V1590</f>
        <v/>
      </c>
      <c r="P1590">
        <f>IF(B1616=0,0,O1590/B1616)</f>
        <v/>
      </c>
      <c r="Q1590" t="n">
        <v>0</v>
      </c>
      <c r="R1590" t="n">
        <v>0</v>
      </c>
      <c r="S1590">
        <f>IFERROR(O1590/N1590,0)</f>
        <v/>
      </c>
      <c r="T1590">
        <f>IF(C1590,(H1590*N1590*(B1610+IF(AND(Inputs!$B$38&lt;&gt;"pvp",Inputs!$B$43&gt;0),((Skills!G8*((R1584-1)*IF(Skills!H8&gt;0,Skills!I8/Skills!H8,1)+IF(Skills!H8&gt;0,MIN(Skills!I8,MAX(0,MAX(0,Inputs!$B$43-B1613)-((R1584-1)*(IF(Inputs!$B$38="pvp",15,MAX(0.1,Skills!D8-IF(Skills!E8=TRUE,Inputs!$B$32,0)))*(1-IF(AND(ArtifactsInput!$M$27,Inputs!$B$4="Chapter Hunt"),CHOOSE(ArtifactsInput!$N$27+1,20,24,28,32,36,40),0)/100)))))/Skills!H8,1)))/Inputs!$B$43),G1584*Q1584)+IF(AND(Inputs!$B$38&lt;&gt;"pvp",Inputs!$B$43&gt;0),((Skills!G11*((R1587-1)*IF(Skills!H11&gt;0,Skills!I11/Skills!H11,1)+IF(Skills!H11&gt;0,MIN(Skills!I11,MAX(0,MAX(0,Inputs!$B$43-B1613)-((R1587-1)*(IF(Inputs!$B$38="pvp",15,MAX(0.1,Skills!D11-IF(Skills!E11=TRUE,Inputs!$B$32,0)))*(1-IF(AND(ArtifactsInput!$M$27,Inputs!$B$4="Chapter Hunt"),CHOOSE(ArtifactsInput!$N$27+1,20,24,28,32,36,40),0)/100)))))/Skills!H11,1)))/Inputs!$B$43),G1587*Q1587)))*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1590*(1-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1590*(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1590*(1-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1590*(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0">
        <f>IF(C1590,(H1590*N1590*(B1610+IF(AND(Inputs!$B$38&lt;&gt;"pvp",Inputs!$B$43&gt;0),((Skills!G8*((R1584-1)*IF(Skills!H8&gt;0,Skills!I8/Skills!H8,1)+IF(Skills!H8&gt;0,MIN(Skills!I8,MAX(0,MAX(0,Inputs!$B$43-B1613)-((R1584-1)*(IF(Inputs!$B$38="pvp",15,MAX(0.1,Skills!D8-IF(Skills!E8=TRUE,Inputs!$B$32,0)))*(1-IF(AND(ArtifactsInput!$M$27,Inputs!$B$4="Chapter Hunt"),CHOOSE(ArtifactsInput!$N$27+1,20,24,28,32,36,40),0)/100)))))/Skills!H8,1)))/Inputs!$B$43),G1584*Q1584)+IF(AND(Inputs!$B$38&lt;&gt;"pvp",Inputs!$B$43&gt;0),((Skills!G11*((R1587-1)*IF(Skills!H11&gt;0,Skills!I11/Skills!H11,1)+IF(Skills!H11&gt;0,MIN(Skills!I11,MAX(0,MAX(0,Inputs!$B$43-B1613)-((R1587-1)*(IF(Inputs!$B$38="pvp",15,MAX(0.1,Skills!D11-IF(Skills!E11=TRUE,Inputs!$B$32,0)))*(1-IF(AND(ArtifactsInput!$M$27,Inputs!$B$4="Chapter Hunt"),CHOOSE(ArtifactsInput!$N$27+1,20,24,28,32,36,40),0)/100)))))/Skills!H11,1)))/Inputs!$B$43),G1587*Q1587)))*IF(Inputs!$B$38="pvp",1,(1+(Inputs!$B$21+Skills!Q14+(IF(ArtifactsInput!$M$33,CHOOSE(ArtifactsInput!$N$33+1,30,36,42,48,54,60)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1">
      <c r="A1591">
        <f>Skills!A15</f>
        <v/>
      </c>
      <c r="B1591">
        <f>Skills!B15</f>
        <v/>
      </c>
      <c r="C1591">
        <f>Inputs!$B$3&gt;=100</f>
        <v/>
      </c>
      <c r="D1591">
        <f>IF(Skills!C15=1,60+Inputs!$B$25+Inputs!$B$29,IF(Skills!C15=2,90+Inputs!$B$26+Inputs!$B$29,IF(Skills!C15=3,120+Inputs!$B$27+Inputs!$B$29,MAX(0,(Inputs!$B$3-100)*3)+Inputs!$B$28+Inputs!$B$29)))</f>
        <v/>
      </c>
      <c r="E1591">
        <f>INDEX(FactorTable!$B$2:$Y$301, MATCH(ROUND(MIN(300,MAX(1,D1591)),0), FactorTable!$A$2:$A$301,0), Skills!M15+1)</f>
        <v/>
      </c>
      <c r="F1591">
        <f>IF(Skills!N15=TRUE,(Skills!L15/10)*(E1591/1000),Skills!L15/10)+Skills!O15</f>
        <v/>
      </c>
      <c r="G1591" t="inlineStr"/>
      <c r="H1591" t="inlineStr"/>
      <c r="I1591" t="inlineStr">
        <is>
          <t>1</t>
        </is>
      </c>
      <c r="J1591" t="inlineStr"/>
      <c r="K1591" t="inlineStr"/>
      <c r="L1591" t="inlineStr"/>
      <c r="M1591" t="inlineStr"/>
      <c r="N1591" t="inlineStr"/>
      <c r="O1591" t="inlineStr"/>
      <c r="P1591" t="inlineStr"/>
      <c r="Q1591" t="inlineStr"/>
      <c r="R1591" t="inlineStr"/>
      <c r="S1591" t="inlineStr"/>
    </row>
    <row r="1592">
      <c r="A1592">
        <f>Skills!A16</f>
        <v/>
      </c>
      <c r="B1592">
        <f>Skills!B16</f>
        <v/>
      </c>
      <c r="C1592">
        <f>Inputs!$B$3&gt;=120</f>
        <v/>
      </c>
      <c r="D1592">
        <f>IF(Skills!C16=1,60+Inputs!$B$25+Inputs!$B$29,IF(Skills!C16=2,90+Inputs!$B$26+Inputs!$B$29,IF(Skills!C16=3,120+Inputs!$B$27+Inputs!$B$29,MAX(0,(Inputs!$B$3-100)*3)+Inputs!$B$28+Inputs!$B$29)))</f>
        <v/>
      </c>
      <c r="E1592">
        <f>INDEX(FactorTable!$B$2:$Y$301, MATCH(ROUND(MIN(300,MAX(1,D1592)),0), FactorTable!$A$2:$A$301,0), Skills!M16+1)</f>
        <v/>
      </c>
      <c r="F1592">
        <f>IF(Skills!N16=TRUE,(Skills!L16/10)*(E1592/1000),Skills!L16/10)+Skills!O16</f>
        <v/>
      </c>
      <c r="G1592" t="inlineStr"/>
      <c r="H1592" t="inlineStr"/>
      <c r="I1592" t="inlineStr">
        <is>
          <t>1</t>
        </is>
      </c>
      <c r="J1592" t="inlineStr"/>
      <c r="K1592" t="inlineStr"/>
      <c r="L1592" t="inlineStr"/>
      <c r="M1592" t="inlineStr"/>
      <c r="N1592" t="inlineStr"/>
      <c r="O1592" t="inlineStr"/>
      <c r="P1592" t="inlineStr"/>
      <c r="Q1592" t="inlineStr"/>
      <c r="R1592" t="inlineStr"/>
      <c r="S1592" t="inlineStr"/>
    </row>
    <row r="1593">
      <c r="A1593">
        <f>Skills!A17</f>
        <v/>
      </c>
      <c r="B1593">
        <f>Skills!B17</f>
        <v/>
      </c>
      <c r="C1593">
        <f>Inputs!$B$3&gt;=66</f>
        <v/>
      </c>
      <c r="D1593">
        <f>IF(Skills!C17=1,60+Inputs!$B$25+Inputs!$B$29,IF(Skills!C17=2,90+Inputs!$B$26+Inputs!$B$29,IF(Skills!C17=3,120+Inputs!$B$27+Inputs!$B$29,MAX(0,(Inputs!$B$3-100)*3)+Inputs!$B$28+Inputs!$B$29)))</f>
        <v/>
      </c>
      <c r="E1593">
        <f>INDEX(FactorTable!$B$2:$Y$301, MATCH(ROUND(MIN(300,MAX(1,D1593)),0), FactorTable!$A$2:$A$301,0), Skills!M17+1)</f>
        <v/>
      </c>
      <c r="F1593">
        <f>IF(Skills!N17=TRUE,(Skills!L17/10)*(E1593/1000),Skills!L17/10)+Skills!O17</f>
        <v/>
      </c>
      <c r="G1593">
        <f>Skills!G17*IF(Skills!H17&gt;0,Skills!I17/Skills!H17,1)</f>
        <v/>
      </c>
      <c r="H1593">
        <f>1-(1-Skills!J17/100)^Skills!K17</f>
        <v/>
      </c>
      <c r="I1593" t="inlineStr">
        <is>
          <t>1</t>
        </is>
      </c>
      <c r="J1593" t="inlineStr"/>
      <c r="K1593" t="inlineStr"/>
      <c r="L1593" t="inlineStr"/>
      <c r="M1593" t="inlineStr"/>
      <c r="N1593" t="inlineStr"/>
      <c r="O1593">
        <f>(1-Summary!$B$11)*T1593+Summary!$B$11*V1593</f>
        <v/>
      </c>
      <c r="P1593">
        <f>IF(B1616=0,0,O1593/B1616)</f>
        <v/>
      </c>
      <c r="Q1593" t="n">
        <v>0</v>
      </c>
      <c r="R1593" t="n">
        <v>0</v>
      </c>
      <c r="S1593">
        <f>IFERROR(O1593/N1593,0)</f>
        <v/>
      </c>
      <c r="T1593" t="n">
        <v>0</v>
      </c>
      <c r="V1593" t="n">
        <v>0</v>
      </c>
    </row>
    <row r="1594">
      <c r="A1594">
        <f>Skills!A18</f>
        <v/>
      </c>
      <c r="B1594">
        <f>Skills!B18</f>
        <v/>
      </c>
      <c r="C1594">
        <f>Inputs!$B$3&gt;=115</f>
        <v/>
      </c>
      <c r="D1594">
        <f>IF(Skills!C18=1,60+Inputs!$B$25+Inputs!$B$29,IF(Skills!C18=2,90+Inputs!$B$26+Inputs!$B$29,IF(Skills!C18=3,120+Inputs!$B$27+Inputs!$B$29,MAX(0,(Inputs!$B$3-100)*3)+Inputs!$B$28+Inputs!$B$29)))</f>
        <v/>
      </c>
      <c r="E1594">
        <f>INDEX(FactorTable!$B$2:$Y$301, MATCH(ROUND(MIN(300,MAX(1,D1594)),0), FactorTable!$A$2:$A$301,0), Skills!M18+1)</f>
        <v/>
      </c>
      <c r="F1594">
        <f>IF(Skills!N18=TRUE,(Skills!L18/10)*(E1594/1000),Skills!L18/10)+Skills!O18</f>
        <v/>
      </c>
      <c r="G1594">
        <f>Skills!G18*IF(Skills!H18&gt;0,Skills!I18/Skills!H18,1)</f>
        <v/>
      </c>
      <c r="H1594">
        <f>1-(1-Skills!J18/100)^Skills!K18</f>
        <v/>
      </c>
      <c r="I1594" t="inlineStr">
        <is>
          <t>1</t>
        </is>
      </c>
      <c r="J1594" t="inlineStr"/>
      <c r="K1594" t="inlineStr"/>
      <c r="L1594" t="inlineStr"/>
      <c r="M1594" t="inlineStr"/>
      <c r="N1594" t="inlineStr"/>
      <c r="O1594">
        <f>(1-Summary!$B$11)*T1594+Summary!$B$11*V1594</f>
        <v/>
      </c>
      <c r="P1594">
        <f>IF(B1616=0,0,O1594/B1616)</f>
        <v/>
      </c>
      <c r="Q1594" t="n">
        <v>0</v>
      </c>
      <c r="R1594" t="n">
        <v>0</v>
      </c>
      <c r="S1594">
        <f>IFERROR(O1594/N1594,0)</f>
        <v/>
      </c>
      <c r="T1594" t="n">
        <v>0</v>
      </c>
      <c r="V1594" t="n">
        <v>0</v>
      </c>
    </row>
    <row r="1595">
      <c r="A1595">
        <f>Skills!A19</f>
        <v/>
      </c>
      <c r="B1595">
        <f>Skills!B19</f>
        <v/>
      </c>
      <c r="C1595">
        <f>Inputs!$B$3&gt;=15</f>
        <v/>
      </c>
      <c r="D1595">
        <f>IF(Skills!C19=1,60+Inputs!$B$25+Inputs!$B$29,IF(Skills!C19=2,90+Inputs!$B$26+Inputs!$B$29,IF(Skills!C19=3,120+Inputs!$B$27+Inputs!$B$29,MAX(0,(Inputs!$B$3-100)*3)+Inputs!$B$28+Inputs!$B$29)))</f>
        <v/>
      </c>
      <c r="E1595">
        <f>INDEX(FactorTable!$B$2:$Y$301, MATCH(ROUND(MIN(300,MAX(1,D1595)),0), FactorTable!$A$2:$A$301,0), Skills!M19+1)</f>
        <v/>
      </c>
      <c r="F1595">
        <f>IF(Skills!N19=TRUE,(Skills!L19/10)*(E1595/1000),Skills!L19/10)+Skills!O19</f>
        <v/>
      </c>
      <c r="G1595">
        <f>Skills!G19*IF(Skills!H19&gt;0,Skills!I19/Skills!H19,1)</f>
        <v/>
      </c>
      <c r="H1595">
        <f>1-(1-Skills!J19/100)^Skills!K19</f>
        <v/>
      </c>
      <c r="I1595" t="inlineStr">
        <is>
          <t>1</t>
        </is>
      </c>
      <c r="J1595" t="inlineStr"/>
      <c r="K1595" t="inlineStr"/>
      <c r="L1595" t="inlineStr"/>
      <c r="M1595" t="inlineStr"/>
      <c r="N1595" t="inlineStr"/>
      <c r="O1595">
        <f>(1-Summary!$B$11)*T1595+Summary!$B$11*V1595</f>
        <v/>
      </c>
      <c r="P1595">
        <f>IF(B1616=0,0,O1595/B1616)</f>
        <v/>
      </c>
      <c r="Q1595" t="n">
        <v>0</v>
      </c>
      <c r="R1595" t="n">
        <v>0</v>
      </c>
      <c r="S1595">
        <f>IFERROR(O1595/N1595,0)</f>
        <v/>
      </c>
      <c r="T1595" t="n">
        <v>0</v>
      </c>
      <c r="V1595" t="n">
        <v>0</v>
      </c>
    </row>
    <row r="1596">
      <c r="A1596">
        <f>Skills!A20</f>
        <v/>
      </c>
      <c r="B1596">
        <f>Skills!B20</f>
        <v/>
      </c>
      <c r="C1596">
        <f>Inputs!$B$3&gt;=10</f>
        <v/>
      </c>
      <c r="D1596">
        <f>IF(Skills!C20=1,60+Inputs!$B$25+Inputs!$B$29,IF(Skills!C20=2,90+Inputs!$B$26+Inputs!$B$29,IF(Skills!C20=3,120+Inputs!$B$27+Inputs!$B$29,MAX(0,(Inputs!$B$3-100)*3)+Inputs!$B$28+Inputs!$B$29)))</f>
        <v/>
      </c>
      <c r="E1596">
        <f>INDEX(FactorTable!$B$2:$Y$301, MATCH(ROUND(MIN(300,MAX(1,D1596)),0), FactorTable!$A$2:$A$301,0), Skills!M20+1)</f>
        <v/>
      </c>
      <c r="F1596">
        <f>IF(Skills!N20=TRUE,(Skills!L20/10)*(E1596/1000),Skills!L20/10)+Skills!O20</f>
        <v/>
      </c>
      <c r="G1596">
        <f>Skills!G20*IF(Skills!H20&gt;0,Skills!I20/Skills!H20,1)</f>
        <v/>
      </c>
      <c r="H1596">
        <f>1-(1-Skills!J20/100)^Skills!K20</f>
        <v/>
      </c>
      <c r="I1596" t="inlineStr">
        <is>
          <t>1</t>
        </is>
      </c>
      <c r="J1596" t="inlineStr"/>
      <c r="K1596" t="inlineStr"/>
      <c r="L1596" t="inlineStr"/>
      <c r="M1596" t="inlineStr"/>
      <c r="N1596" t="inlineStr"/>
      <c r="O1596">
        <f>(1-Summary!$B$11)*T1596+Summary!$B$11*V1596</f>
        <v/>
      </c>
      <c r="P1596">
        <f>IF(B1616=0,0,O1596/B1616)</f>
        <v/>
      </c>
      <c r="Q1596" t="n">
        <v>0</v>
      </c>
      <c r="R1596" t="n">
        <v>0</v>
      </c>
      <c r="S1596">
        <f>IFERROR(O1596/N1596,0)</f>
        <v/>
      </c>
      <c r="T1596" t="n">
        <v>0</v>
      </c>
      <c r="V1596" t="n">
        <v>0</v>
      </c>
    </row>
    <row r="1597">
      <c r="A1597">
        <f>Skills!A21</f>
        <v/>
      </c>
      <c r="B1597">
        <f>Skills!B21</f>
        <v/>
      </c>
      <c r="C1597">
        <f>Inputs!$B$3&gt;=33</f>
        <v/>
      </c>
      <c r="D1597">
        <f>IF(Skills!C21=1,60+Inputs!$B$25+Inputs!$B$29,IF(Skills!C21=2,90+Inputs!$B$26+Inputs!$B$29,IF(Skills!C21=3,120+Inputs!$B$27+Inputs!$B$29,MAX(0,(Inputs!$B$3-100)*3)+Inputs!$B$28+Inputs!$B$29)))</f>
        <v/>
      </c>
      <c r="E1597">
        <f>INDEX(FactorTable!$B$2:$Y$301, MATCH(ROUND(MIN(300,MAX(1,D1597)),0), FactorTable!$A$2:$A$301,0), Skills!M21+1)</f>
        <v/>
      </c>
      <c r="F1597">
        <f>IF(Skills!N21=TRUE,(Skills!L21/10)*(E1597/1000),Skills!L21/10)+Skills!O21</f>
        <v/>
      </c>
      <c r="G1597">
        <f>Skills!G21*IF(Skills!H21&gt;0,Skills!I21/Skills!H21,1)</f>
        <v/>
      </c>
      <c r="H1597">
        <f>1-(1-Skills!J21/100)^Skills!K21</f>
        <v/>
      </c>
      <c r="I1597" t="inlineStr">
        <is>
          <t>1</t>
        </is>
      </c>
      <c r="J1597" t="inlineStr"/>
      <c r="K1597" t="inlineStr"/>
      <c r="L1597" t="inlineStr"/>
      <c r="M1597" t="inlineStr"/>
      <c r="N1597" t="inlineStr"/>
      <c r="O1597">
        <f>(1-Summary!$B$11)*T1597+Summary!$B$11*V1597</f>
        <v/>
      </c>
      <c r="P1597">
        <f>IF(B1616=0,0,O1597/B1616)</f>
        <v/>
      </c>
      <c r="Q1597" t="n">
        <v>0</v>
      </c>
      <c r="R1597" t="n">
        <v>0</v>
      </c>
      <c r="S1597">
        <f>IFERROR(O1597/N1597,0)</f>
        <v/>
      </c>
      <c r="T1597" t="n">
        <v>0</v>
      </c>
      <c r="V1597" t="n">
        <v>0</v>
      </c>
    </row>
    <row r="1598">
      <c r="A1598">
        <f>Skills!A22</f>
        <v/>
      </c>
      <c r="B1598">
        <f>Skills!B22</f>
        <v/>
      </c>
      <c r="C1598">
        <f>Inputs!$B$3&gt;=43</f>
        <v/>
      </c>
      <c r="D1598">
        <f>IF(Skills!C22=1,60+Inputs!$B$25+Inputs!$B$29,IF(Skills!C22=2,90+Inputs!$B$26+Inputs!$B$29,IF(Skills!C22=3,120+Inputs!$B$27+Inputs!$B$29,MAX(0,(Inputs!$B$3-100)*3)+Inputs!$B$28+Inputs!$B$29)))</f>
        <v/>
      </c>
      <c r="E1598">
        <f>INDEX(FactorTable!$B$2:$Y$301, MATCH(ROUND(MIN(300,MAX(1,D1598)),0), FactorTable!$A$2:$A$301,0), Skills!M22+1)</f>
        <v/>
      </c>
      <c r="F1598">
        <f>IF(Skills!N22=TRUE,(Skills!L22/10)*(E1598/1000),Skills!L22/10)+Skills!O22</f>
        <v/>
      </c>
      <c r="G1598">
        <f>Skills!G22*IF(Skills!H22&gt;0,Skills!I22/Skills!H22,1)</f>
        <v/>
      </c>
      <c r="H1598">
        <f>1-(1-Skills!J22/100)^Skills!K22</f>
        <v/>
      </c>
      <c r="I1598" t="inlineStr">
        <is>
          <t>1</t>
        </is>
      </c>
      <c r="J1598" t="inlineStr"/>
      <c r="K1598" t="inlineStr"/>
      <c r="L1598" t="inlineStr"/>
      <c r="M1598" t="inlineStr"/>
      <c r="N1598" t="inlineStr"/>
      <c r="O1598">
        <f>(1-Summary!$B$11)*T1598+Summary!$B$11*V1598</f>
        <v/>
      </c>
      <c r="P1598">
        <f>IF(B1616=0,0,O1598/B1616)</f>
        <v/>
      </c>
      <c r="Q1598" t="n">
        <v>0</v>
      </c>
      <c r="R1598" t="n">
        <v>0</v>
      </c>
      <c r="S1598">
        <f>IFERROR(O1598/N1598,0)</f>
        <v/>
      </c>
      <c r="T1598" t="n">
        <v>0</v>
      </c>
      <c r="V1598" t="n">
        <v>0</v>
      </c>
    </row>
    <row r="1599">
      <c r="A1599">
        <f>Skills!A23</f>
        <v/>
      </c>
      <c r="B1599">
        <f>Skills!B23</f>
        <v/>
      </c>
      <c r="C1599">
        <f>Inputs!$B$3&gt;=38</f>
        <v/>
      </c>
      <c r="D1599">
        <f>IF(Skills!C23=1,60+Inputs!$B$25+Inputs!$B$29,IF(Skills!C23=2,90+Inputs!$B$26+Inputs!$B$29,IF(Skills!C23=3,120+Inputs!$B$27+Inputs!$B$29,MAX(0,(Inputs!$B$3-100)*3)+Inputs!$B$28+Inputs!$B$29)))</f>
        <v/>
      </c>
      <c r="E1599">
        <f>INDEX(FactorTable!$B$2:$Y$301, MATCH(ROUND(MIN(300,MAX(1,D1599)),0), FactorTable!$A$2:$A$301,0), Skills!M23+1)</f>
        <v/>
      </c>
      <c r="F1599">
        <f>IF(Skills!N23=TRUE,(Skills!L23/10)*(E1599/1000),Skills!L23/10)+Skills!O23</f>
        <v/>
      </c>
      <c r="G1599">
        <f>Skills!G23*IF(Skills!H23&gt;0,Skills!I23/Skills!H23,1)</f>
        <v/>
      </c>
      <c r="H1599">
        <f>1-(1-Skills!J23/100)^Skills!K23</f>
        <v/>
      </c>
      <c r="I1599" t="inlineStr">
        <is>
          <t>1</t>
        </is>
      </c>
      <c r="J1599" t="inlineStr"/>
      <c r="K1599" t="inlineStr"/>
      <c r="L1599" t="inlineStr"/>
      <c r="M1599" t="inlineStr"/>
      <c r="N1599" t="inlineStr"/>
      <c r="O1599">
        <f>(1-Summary!$B$11)*T1599+Summary!$B$11*V1599</f>
        <v/>
      </c>
      <c r="P1599">
        <f>IF(B1616=0,0,O1599/B1616)</f>
        <v/>
      </c>
      <c r="Q1599" t="n">
        <v>0</v>
      </c>
      <c r="R1599" t="n">
        <v>0</v>
      </c>
      <c r="S1599">
        <f>IFERROR(O1599/N1599,0)</f>
        <v/>
      </c>
      <c r="T1599" t="n">
        <v>0</v>
      </c>
      <c r="V1599" t="n">
        <v>0</v>
      </c>
    </row>
    <row r="1600">
      <c r="A1600">
        <f>Skills!A24</f>
        <v/>
      </c>
      <c r="B1600">
        <f>Skills!B24</f>
        <v/>
      </c>
      <c r="C1600">
        <f>Inputs!$B$3&gt;=40</f>
        <v/>
      </c>
      <c r="D1600">
        <f>IF(Skills!C24=1,60+Inputs!$B$25+Inputs!$B$29,IF(Skills!C24=2,90+Inputs!$B$26+Inputs!$B$29,IF(Skills!C24=3,120+Inputs!$B$27+Inputs!$B$29,MAX(0,(Inputs!$B$3-100)*3)+Inputs!$B$28+Inputs!$B$29)))</f>
        <v/>
      </c>
      <c r="E1600">
        <f>INDEX(FactorTable!$B$2:$Y$301, MATCH(ROUND(MIN(300,MAX(1,D1600)),0), FactorTable!$A$2:$A$301,0), Skills!M24+1)</f>
        <v/>
      </c>
      <c r="F1600">
        <f>IF(Skills!N24=TRUE,(Skills!L24/10)*(E1600/1000),Skills!L24/10)+Skills!O24</f>
        <v/>
      </c>
      <c r="G1600">
        <f>Skills!G24*IF(Skills!H24&gt;0,Skills!I24/Skills!H24,1)</f>
        <v/>
      </c>
      <c r="H1600">
        <f>1-(1-Skills!J24/100)^Skills!K24</f>
        <v/>
      </c>
      <c r="I1600" t="inlineStr">
        <is>
          <t>1</t>
        </is>
      </c>
      <c r="J1600" t="inlineStr"/>
      <c r="K1600" t="inlineStr"/>
      <c r="L1600" t="inlineStr"/>
      <c r="M1600" t="inlineStr"/>
      <c r="N1600" t="inlineStr"/>
      <c r="O1600">
        <f>(1-Summary!$B$11)*T1600+Summary!$B$11*V1600</f>
        <v/>
      </c>
      <c r="P1600">
        <f>IF(B1616=0,0,O1600/B1616)</f>
        <v/>
      </c>
      <c r="Q1600" t="n">
        <v>0</v>
      </c>
      <c r="R1600" t="n">
        <v>0</v>
      </c>
      <c r="S1600">
        <f>IFERROR(O1600/N1600,0)</f>
        <v/>
      </c>
      <c r="T1600" t="n">
        <v>0</v>
      </c>
      <c r="V1600" t="n">
        <v>0</v>
      </c>
    </row>
    <row r="1601">
      <c r="A1601">
        <f>Skills!A25</f>
        <v/>
      </c>
      <c r="B1601">
        <f>Skills!B25</f>
        <v/>
      </c>
      <c r="C1601">
        <f>Inputs!$B$3&gt;=72</f>
        <v/>
      </c>
      <c r="D1601">
        <f>IF(Skills!C25=1,60+Inputs!$B$25+Inputs!$B$29,IF(Skills!C25=2,90+Inputs!$B$26+Inputs!$B$29,IF(Skills!C25=3,120+Inputs!$B$27+Inputs!$B$29,MAX(0,(Inputs!$B$3-100)*3)+Inputs!$B$28+Inputs!$B$29)))</f>
        <v/>
      </c>
      <c r="E1601">
        <f>INDEX(FactorTable!$B$2:$Y$301, MATCH(ROUND(MIN(300,MAX(1,D1601)),0), FactorTable!$A$2:$A$301,0), Skills!M25+1)</f>
        <v/>
      </c>
      <c r="F1601">
        <f>IF(Skills!N25=TRUE,(Skills!L25/10)*(E1601/1000),Skills!L25/10)+Skills!O25</f>
        <v/>
      </c>
      <c r="G1601">
        <f>Skills!G25*IF(Skills!H25&gt;0,Skills!I25/Skills!H25,1)</f>
        <v/>
      </c>
      <c r="H1601">
        <f>1-(1-Skills!J25/100)^Skills!K25</f>
        <v/>
      </c>
      <c r="I1601" t="inlineStr">
        <is>
          <t>1</t>
        </is>
      </c>
      <c r="J1601" t="inlineStr"/>
      <c r="K1601" t="inlineStr"/>
      <c r="L1601" t="inlineStr"/>
      <c r="M1601" t="inlineStr"/>
      <c r="N1601" t="inlineStr"/>
      <c r="O1601">
        <f>(1-Summary!$B$11)*T1601+Summary!$B$11*V1601</f>
        <v/>
      </c>
      <c r="P1601">
        <f>IF(B1616=0,0,O1601/B1616)</f>
        <v/>
      </c>
      <c r="Q1601" t="n">
        <v>0</v>
      </c>
      <c r="R1601" t="n">
        <v>0</v>
      </c>
      <c r="S1601">
        <f>IFERROR(O1601/N1601,0)</f>
        <v/>
      </c>
      <c r="T1601" t="n">
        <v>0</v>
      </c>
      <c r="V1601" t="n">
        <v>0</v>
      </c>
    </row>
    <row r="1602">
      <c r="A1602">
        <f>Skills!A26</f>
        <v/>
      </c>
      <c r="B1602">
        <f>Skills!B26</f>
        <v/>
      </c>
      <c r="C1602">
        <f>Inputs!$B$3&gt;=75</f>
        <v/>
      </c>
      <c r="D1602">
        <f>IF(Skills!C26=1,60+Inputs!$B$25+Inputs!$B$29,IF(Skills!C26=2,90+Inputs!$B$26+Inputs!$B$29,IF(Skills!C26=3,120+Inputs!$B$27+Inputs!$B$29,MAX(0,(Inputs!$B$3-100)*3)+Inputs!$B$28+Inputs!$B$29)))</f>
        <v/>
      </c>
      <c r="E1602">
        <f>INDEX(FactorTable!$B$2:$Y$301, MATCH(ROUND(MIN(300,MAX(1,D1602)),0), FactorTable!$A$2:$A$301,0), Skills!M26+1)</f>
        <v/>
      </c>
      <c r="F1602">
        <f>IF(Skills!N26=TRUE,(Skills!L26/10)*(E1602/1000),Skills!L26/10)+Skills!O26</f>
        <v/>
      </c>
      <c r="G1602">
        <f>Skills!G26*IF(Skills!H26&gt;0,Skills!I26/Skills!H26,1)</f>
        <v/>
      </c>
      <c r="H1602">
        <f>1-(1-Skills!J26/100)^Skills!K26</f>
        <v/>
      </c>
      <c r="I1602" t="inlineStr">
        <is>
          <t>1</t>
        </is>
      </c>
      <c r="J1602" t="inlineStr"/>
      <c r="K1602" t="inlineStr"/>
      <c r="L1602" t="inlineStr"/>
      <c r="M1602" t="inlineStr"/>
      <c r="N1602" t="inlineStr"/>
      <c r="O1602">
        <f>(1-Summary!$B$11)*T1602+Summary!$B$11*V1602</f>
        <v/>
      </c>
      <c r="P1602">
        <f>IF(B1616=0,0,O1602/B1616)</f>
        <v/>
      </c>
      <c r="Q1602" t="n">
        <v>0</v>
      </c>
      <c r="R1602" t="n">
        <v>0</v>
      </c>
      <c r="S1602">
        <f>IFERROR(O1602/N1602,0)</f>
        <v/>
      </c>
      <c r="T1602" t="n">
        <v>0</v>
      </c>
      <c r="V1602" t="n">
        <v>0</v>
      </c>
    </row>
    <row r="1603">
      <c r="A1603">
        <f>Skills!A27</f>
        <v/>
      </c>
      <c r="B1603">
        <f>Skills!B27</f>
        <v/>
      </c>
      <c r="C1603">
        <f>Inputs!$B$3&gt;=117</f>
        <v/>
      </c>
      <c r="D1603">
        <f>IF(Skills!C27=1,60+Inputs!$B$25+Inputs!$B$29,IF(Skills!C27=2,90+Inputs!$B$26+Inputs!$B$29,IF(Skills!C27=3,120+Inputs!$B$27+Inputs!$B$29,MAX(0,(Inputs!$B$3-100)*3)+Inputs!$B$28+Inputs!$B$29)))</f>
        <v/>
      </c>
      <c r="E1603">
        <f>INDEX(FactorTable!$B$2:$Y$301, MATCH(ROUND(MIN(300,MAX(1,D1603)),0), FactorTable!$A$2:$A$301,0), Skills!M27+1)</f>
        <v/>
      </c>
      <c r="F1603">
        <f>IF(Skills!N27=TRUE,(Skills!L27/10)*(E1603/1000),Skills!L27/10)+Skills!O27</f>
        <v/>
      </c>
      <c r="G1603">
        <f>Skills!G27*IF(Skills!H27&gt;0,Skills!I27/Skills!H27,1)</f>
        <v/>
      </c>
      <c r="H1603">
        <f>1-(1-Skills!J27/100)^Skills!K27</f>
        <v/>
      </c>
      <c r="I1603" t="inlineStr">
        <is>
          <t>1</t>
        </is>
      </c>
      <c r="J1603" t="inlineStr"/>
      <c r="K1603" t="inlineStr"/>
      <c r="L1603" t="inlineStr"/>
      <c r="M1603" t="inlineStr"/>
      <c r="N1603" t="inlineStr"/>
      <c r="O1603">
        <f>(1-Summary!$B$11)*T1603+Summary!$B$11*V1603</f>
        <v/>
      </c>
      <c r="P1603">
        <f>IF(B1616=0,0,O1603/B1616)</f>
        <v/>
      </c>
      <c r="Q1603" t="n">
        <v>0</v>
      </c>
      <c r="R1603" t="n">
        <v>0</v>
      </c>
      <c r="S1603">
        <f>IFERROR(O1603/N1603,0)</f>
        <v/>
      </c>
      <c r="T1603" t="n">
        <v>0</v>
      </c>
      <c r="V1603" t="n">
        <v>0</v>
      </c>
    </row>
    <row r="1605">
      <c r="A1605" t="inlineStr">
        <is>
          <t>Attack% Bucket Multiplier</t>
        </is>
      </c>
      <c r="B1605">
        <f>(1+(((C1593=TRUE)*F1593)+((C1600=TRUE)*(F1600-Calc!F24))+(IF(ArtifactsInput!$M$21,CHOOSE(ArtifactsInput!$N$21+1,25,30,35,40,45,50)*(IF(OR(Inputs!$B$4="Chapter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06">
      <c r="A1606" t="inlineStr">
        <is>
          <t>Global Crit Rate Bonus %</t>
        </is>
      </c>
      <c r="B1606" t="n">
        <v>0</v>
      </c>
    </row>
    <row r="1607">
      <c r="A1607" t="inlineStr">
        <is>
          <t>Attack Speed Buff Bonus % (unused)</t>
        </is>
      </c>
      <c r="B1607" t="n">
        <v>0</v>
      </c>
    </row>
    <row r="1608">
      <c r="A1608" t="inlineStr">
        <is>
          <t>Actions Per Second</t>
        </is>
      </c>
      <c r="B1608">
        <f>1+MIN(150,150*(1-(1-(Inputs!$B$11+((C1596=TRUE)*(F1596-Calc!F20))+((C1597=TRUE)*(F1597-Calc!F21)))/150)*(1-B1607/150)))/100</f>
        <v/>
      </c>
    </row>
    <row r="1609">
      <c r="A1609" t="inlineStr">
        <is>
          <t>Skill + Buff Cast Rate</t>
        </is>
      </c>
      <c r="B1609">
        <f>IF(AND(Inputs!$B$38&lt;&gt;"pvp",Inputs!$B$43&gt;0),SUMPRODUCT((Skills!E2:E27=TRUE)*(C1578:C1603=TRUE)*R1578:R1603*Skills!F2:F27)/Inputs!$B$43,SUMPRODUCT((Skills!E2:E27=TRUE)*(C1578:C1603=TRUE)*Q1578:Q1603*Skills!F2:F27))</f>
        <v/>
      </c>
    </row>
    <row r="1610">
      <c r="A1610" t="inlineStr">
        <is>
          <t>Eight-Legs Easton Casts Per Second</t>
        </is>
      </c>
      <c r="B1610">
        <f>MAX(0,B1608-B1609)</f>
        <v/>
      </c>
    </row>
    <row r="1611">
      <c r="A1611" t="inlineStr">
        <is>
          <t>Global Critical Damage Bonus % (unused)</t>
        </is>
      </c>
      <c r="B1611" t="n">
        <v>0</v>
      </c>
    </row>
    <row r="1612">
      <c r="A1612" t="inlineStr">
        <is>
          <t>Global Final Damage Bonus % (Jolly Roger only)</t>
        </is>
      </c>
      <c r="B1612">
        <f>((C1594=TRUE)*F1594)</f>
        <v/>
      </c>
    </row>
    <row r="1613">
      <c r="A1613" t="inlineStr">
        <is>
          <t>Buff-Casting Startup Delay (s, fixed-duration only)</t>
        </is>
      </c>
      <c r="B1613">
        <f>IF(AND(Inputs!$B$38&lt;&gt;"pvp",Inputs!$B$43&gt;0),SUMPRODUCT((Skills!T2:T27&gt;0)*(Skills!E2:E27=TRUE)*(C1578:C1603=TRUE))/B1608,0)</f>
        <v/>
      </c>
    </row>
    <row r="1614">
      <c r="A1614" t="inlineStr">
        <is>
          <t>Boss-Only Total DPS (this block's swept value)</t>
        </is>
      </c>
      <c r="B1614">
        <f>SUM(T1578:T1603)</f>
        <v/>
      </c>
    </row>
    <row r="1615">
      <c r="A1615" t="inlineStr">
        <is>
          <t>Normal-Only Total DPS (this block's swept value)</t>
        </is>
      </c>
      <c r="B1615">
        <f>SUM(V1578:V1603)</f>
        <v/>
      </c>
    </row>
    <row r="1616">
      <c r="A1616" s="6" t="inlineStr">
        <is>
          <t>TOTAL DPS</t>
        </is>
      </c>
      <c r="B1616" s="6">
        <f>SUM(O1578:O1603)</f>
        <v/>
      </c>
    </row>
    <row r="1619">
      <c r="A1619" s="6" t="inlineStr">
        <is>
          <t>Stat: Zakum's Stone Piece (Equip)</t>
        </is>
      </c>
    </row>
    <row r="1620">
      <c r="A1620" s="5" t="inlineStr">
        <is>
          <t>Key</t>
        </is>
      </c>
      <c r="B1620" s="5" t="inlineStr">
        <is>
          <t>Name</t>
        </is>
      </c>
      <c r="C1620" s="5" t="inlineStr">
        <is>
          <t>Unlocked</t>
        </is>
      </c>
      <c r="D1620" s="5" t="inlineStr">
        <is>
          <t>InputLevel</t>
        </is>
      </c>
      <c r="E1620" s="5" t="inlineStr">
        <is>
          <t>Factor</t>
        </is>
      </c>
      <c r="F1620" s="5" t="inlineStr">
        <is>
          <t>CoefficientPercent</t>
        </is>
      </c>
      <c r="G1620" s="5" t="inlineStr">
        <is>
          <t>EffectiveHits</t>
        </is>
      </c>
      <c r="H1620" s="5" t="inlineStr">
        <is>
          <t>ProcProbability</t>
        </is>
      </c>
      <c r="I1620" s="5" t="inlineStr">
        <is>
          <t>MapleHeroMultiplier</t>
        </is>
      </c>
      <c r="J1620" s="5" t="inlineStr">
        <is>
          <t>BaseDamage</t>
        </is>
      </c>
      <c r="K1620" s="5" t="inlineStr">
        <is>
          <t>BaseHitDamage</t>
        </is>
      </c>
      <c r="L1620" s="5" t="inlineStr">
        <is>
          <t>NonCritAvg</t>
        </is>
      </c>
      <c r="M1620" s="5" t="inlineStr">
        <is>
          <t>CritAvg</t>
        </is>
      </c>
      <c r="N1620" s="5" t="inlineStr">
        <is>
          <t>ExpectedDamage(perHit)</t>
        </is>
      </c>
      <c r="O1620" s="5" t="inlineStr">
        <is>
          <t>DPS</t>
        </is>
      </c>
      <c r="P1620" s="5" t="inlineStr">
        <is>
          <t>% of Total</t>
        </is>
      </c>
      <c r="Q1620" s="5" t="inlineStr">
        <is>
          <t>InvCooldown</t>
        </is>
      </c>
      <c r="R1620" s="5" t="inlineStr">
        <is>
          <t>CastsInFight</t>
        </is>
      </c>
      <c r="S1620" s="5" t="inlineStr">
        <is>
          <t>HitRate(perSec)</t>
        </is>
      </c>
      <c r="U1620" t="inlineStr">
        <is>
          <t>helpers</t>
        </is>
      </c>
    </row>
    <row r="1621">
      <c r="A1621">
        <f>Skills!A2</f>
        <v/>
      </c>
      <c r="B1621">
        <f>Skills!B2</f>
        <v/>
      </c>
      <c r="C1621">
        <f>Inputs!$B$3&gt;=100</f>
        <v/>
      </c>
      <c r="D1621" t="inlineStr"/>
      <c r="E1621" t="inlineStr"/>
      <c r="F1621">
        <f>U1623+Skills!O2</f>
        <v/>
      </c>
      <c r="G1621">
        <f>Skills!G2*IF(Skills!H2&gt;0,Skills!I2/Skills!H2,1)</f>
        <v/>
      </c>
      <c r="H1621">
        <f>1-(1-Skills!J2/100)^Skills!K2</f>
        <v/>
      </c>
      <c r="I1621" t="inlineStr">
        <is>
          <t>1</t>
        </is>
      </c>
      <c r="J1621">
        <f>((Inputs!$B$6*(1+Inputs!$B$7/100))+(((Inputs!$B$12*(1+Inputs!$B$13/100))-(Inputs!$B$12*(1+Inputs!$B$13/100)))+0.25*(Inputs!$B$14-Inputs!$B$14))*(1+Inputs!$B$7/100))*(F1621/100)</f>
        <v/>
      </c>
      <c r="K1621">
        <f>J1621*(1+((Inputs!$B$12*(1+Inputs!$B$13/100))*0.01+Inputs!$B$14*0.0025)/100)*(1+Inputs!$B$15/100)*(1+Inputs!$B$16/100)*(5000/(6000+Inputs!$B$42*(1-(100*(1-(1-(Inputs!$B$19+0)/100)*(1-CHOOSE(ArtifactsInput!$N$40+1,5,6,7,8,9,10)/100)^(ArtifactsInput!$M$40-ArtifactsInput!$M$40)))/100)))*(1+(Inputs!$B$24+((C1645=TRUE)*(F1645-Calc!F26))+B1655)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1642=TRUE)*(F1642-Calc!F23))+((C1646=TRUE)*(F1646-Calc!F27))+(((IF(AND(ArtifactsInput!$M$42,((Inputs!$B$9+((C1638=TRUE)*(F1638-Calc!F19))+B1649+(ArtifactsInput!$M$24-ArtifactsInput!$M$24)*CHOOSE(ArtifactsInput!$N$24+1,10,12,14,16,18,20)+IF(ArtifactsInput!$M$10,CHOOSE(ArtifactsInput!$N$10+1,15,18,21,24,27,30)*(IF(Inputs!$B$38="pvp",MIN(15,15)/15,IF(AND(Inputs!$B$38&lt;&gt;"pvp",Inputs!$B$43&gt;0),MIN(15,Inputs!$B$43)/(Inputs!$B$43),0))),0)))&gt;=100),MIN(100,((Inputs!$B$9+((C1638=TRUE)*(F1638-Calc!F19))+B1649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1638=TRUE)*(F1638-Calc!F19))+B1649+(ArtifactsInput!$M$24-ArtifactsInput!$M$24)*CHOOSE(ArtifactsInput!$N$24+1,10,12,14,16,18,20)+IF(ArtifactsInput!$M$10,CHOOSE(ArtifactsInput!$N$10+1,15,18,21,24,27,30)*(IF(Inputs!$B$38="pvp",MIN(15,15)/15,IF(AND(Inputs!$B$38&lt;&gt;"pvp",Inputs!$B$43&gt;0),MIN(15,Inputs!$B$43)/(Inputs!$B$43),0))),0)))&gt;=100),CHOOSE(ArtifactsInput!$N$42+1,40,48,56,64,72,80),0))))/100)*((1+(((C1636=TRUE)*F1636)+((C1643=TRUE)*(F1643-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1621)</f>
        <v/>
      </c>
      <c r="L1621">
        <f>K1621*(MIN(Inputs!$B$22+((C1641=TRUE)*(F1641-Calc!F22)),(Inputs!$B$23+0+(IF(ArtifactsInput!$M$15,CHOOSE(ArtifactsInput!$N$15+1,25,30,35,40,45,50)/100*(Inputs!$B$11-Inputs!$B$11),0))))/100+(Inputs!$B$23+0+(IF(ArtifactsInput!$M$15,CHOOSE(ArtifactsInput!$N$15+1,25,30,35,40,45,50)/100*(Inputs!$B$11-Inputs!$B$11),0)))/100)/2</f>
        <v/>
      </c>
      <c r="M1621">
        <f>L1621*(1+(Inputs!$B$10+((C1644=TRUE)*(F1644-Calc!F25))+B1654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1">
        <f>L1621*(1-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1">
        <f>(1-Summary!$B$11)*T1621+Summary!$B$11*V1621</f>
        <v/>
      </c>
      <c r="P1621">
        <f>IF(B1659=0,0,O1621/B1659)</f>
        <v/>
      </c>
      <c r="Q1621" t="n">
        <v>0</v>
      </c>
      <c r="R1621" t="n">
        <v>0</v>
      </c>
      <c r="S1621">
        <f>IFERROR(O1621/N1621,0)</f>
        <v/>
      </c>
      <c r="T1621">
        <f>IF(C1621,(Skills!G2*N1621*B1653)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1621*(1-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1">
        <f>MAX(0,(Inputs!$B$3-100)*3)+Inputs!$B$28+Inputs!$B$29</f>
        <v/>
      </c>
      <c r="V1621">
        <f>IF(C1621,(Skills!G2*N1621*B1653)*IF(Inputs!$B$38="pvp",1,(1+(Inputs!$B$21+Skills!Q2+(IF(ArtifactsInput!$M$33,CHOOSE(ArtifactsInput!$N$33+1,30,36,42,48,54,60),0))+(IF(AND(ArtifactsInput!$M$35,Inputs!$B$4&lt;&gt;"Chapter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2">
      <c r="A1622">
        <f>Skills!A3</f>
        <v/>
      </c>
      <c r="B1622">
        <f>Skills!B3</f>
        <v/>
      </c>
      <c r="C1622">
        <f>Inputs!$B$3&gt;=35</f>
        <v/>
      </c>
      <c r="D1622">
        <f>IF(Skills!C3=1,60+Inputs!$B$25+Inputs!$B$29,IF(Skills!C3=2,90+Inputs!$B$26+Inputs!$B$29,IF(Skills!C3=3,120+Inputs!$B$27+Inputs!$B$29,MAX(0,(Inputs!$B$3-100)*3)+Inputs!$B$28+Inputs!$B$29)))</f>
        <v/>
      </c>
      <c r="E1622">
        <f>INDEX(FactorTable!$B$2:$Y$301, MATCH(ROUND(MIN(300,MAX(1,D1622)),0), FactorTable!$A$2:$A$301,0), Skills!M3+1)</f>
        <v/>
      </c>
      <c r="F1622">
        <f>IF(Skills!N3=TRUE,(Skills!L3/10)*(E1622/1000),Skills!L3/10)+Skills!O3</f>
        <v/>
      </c>
      <c r="G1622">
        <f>Skills!G3*IF(Skills!H3&gt;0,Skills!I3/Skills!H3,1)</f>
        <v/>
      </c>
      <c r="H1622">
        <f>1-(1-Skills!J3/100)^Skills!K3</f>
        <v/>
      </c>
      <c r="I1622" t="inlineStr">
        <is>
          <t>1</t>
        </is>
      </c>
      <c r="J1622">
        <f>((Inputs!$B$6*(1+Inputs!$B$7/100))+(((Inputs!$B$12*(1+Inputs!$B$13/100))-(Inputs!$B$12*(1+Inputs!$B$13/100)))+0.25*(Inputs!$B$14-Inputs!$B$14))*(1+Inputs!$B$7/100))*(F1622/100)</f>
        <v/>
      </c>
      <c r="K1622">
        <f>J1622*(1+((Inputs!$B$12*(1+Inputs!$B$13/100))*0.01+Inputs!$B$14*0.0025)/100)*(1+Inputs!$B$15/100)*(1+Inputs!$B$16/100)*(5000/(6000+Inputs!$B$42*(1-(100*(1-(1-(Inputs!$B$19+0)/100)*(1-CHOOSE(ArtifactsInput!$N$40+1,5,6,7,8,9,10)/100)^(ArtifactsInput!$M$40-ArtifactsInput!$M$40)))/100)))*(1+(Inputs!$B$24+((C1645=TRUE)*(F1645-Calc!F26))+B1655)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1634=TRUE,F1634,0)/100)*(1+(IF(Skills!A3="EIGHT_LEGS_EASTON",Inputs!$B$17+((C1642=TRUE)*(F1642-Calc!F23))+((C1646=TRUE)*(F1646-Calc!F27))+(((IF(AND(ArtifactsInput!$M$42,((Inputs!$B$9+((C1638=TRUE)*(F1638-Calc!F19))+B1649+(ArtifactsInput!$M$24-ArtifactsInput!$M$24)*CHOOSE(ArtifactsInput!$N$24+1,10,12,14,16,18,20)+IF(ArtifactsInput!$M$10,CHOOSE(ArtifactsInput!$N$10+1,15,18,21,24,27,30)*(IF(Inputs!$B$38="pvp",MIN(15,15)/15,IF(AND(Inputs!$B$38&lt;&gt;"pvp",Inputs!$B$43&gt;0),MIN(15,Inputs!$B$43)/(Inputs!$B$43),0))),0)))&gt;=100),MIN(100,((Inputs!$B$9+((C1638=TRUE)*(F1638-Calc!F19))+B1649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1638=TRUE)*(F1638-Calc!F19))+B1649+(ArtifactsInput!$M$24-ArtifactsInput!$M$24)*CHOOSE(ArtifactsInput!$N$24+1,10,12,14,16,18,20)+IF(ArtifactsInput!$M$10,CHOOSE(ArtifactsInput!$N$10+1,15,18,21,24,27,30)*(IF(Inputs!$B$38="pvp",MIN(15,15)/15,IF(AND(Inputs!$B$38&lt;&gt;"pvp",Inputs!$B$43&gt;0),MIN(15,Inputs!$B$43)/(Inputs!$B$43),0))),0)))&gt;=100),CHOOSE(ArtifactsInput!$N$42+1,40,48,56,64,72,80),0))))/100)*((1+(((C1636=TRUE)*F1636)+((C1643=TRUE)*(F1643-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1622)</f>
        <v/>
      </c>
      <c r="L1622">
        <f>K1622*(MIN(Inputs!$B$22+((C1641=TRUE)*(F1641-Calc!F22)),(Inputs!$B$23+0+(IF(ArtifactsInput!$M$15,CHOOSE(ArtifactsInput!$N$15+1,25,30,35,40,45,50)/100*(Inputs!$B$11-Inputs!$B$11),0))))/100+(Inputs!$B$23+0+(IF(ArtifactsInput!$M$15,CHOOSE(ArtifactsInput!$N$15+1,25,30,35,40,45,50)/100*(Inputs!$B$11-Inputs!$B$11),0)))/100)/2</f>
        <v/>
      </c>
      <c r="M1622">
        <f>L1622*(1+(Inputs!$B$10+((C1644=TRUE)*(F1644-Calc!F25))+B1654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2">
        <f>L1622*(1-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1622*(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2">
        <f>(1-Summary!$B$11)*T1622+Summary!$B$11*V1622</f>
        <v/>
      </c>
      <c r="P1622">
        <f>IF(B1659=0,0,O1622/B1659)</f>
        <v/>
      </c>
      <c r="Q1622">
        <f>IFERROR(1/(IF(Inputs!$B$38="pvp",15,MAX(0.1,Skills!D3-IF(Skills!E3=TRUE,Inputs!$B$32,0)))*(1-IF(AND(ArtifactsInput!$M$27,Inputs!$B$4="Chapter Hunt"),CHOOSE(ArtifactsInput!$N$27+1,20,24,28,32,36,40),0)/100)),0)</f>
        <v/>
      </c>
      <c r="R1622">
        <f>IF(AND(Inputs!$B$38&lt;&gt;"pvp",Inputs!$B$43&gt;0),IF(MAX(0,Inputs!$B$43-B1656)&lt;=0,0,(INT(MAX(0,Inputs!$B$43-B1656)/(IF(Inputs!$B$38="pvp",15,MAX(0.1,Skills!D3-IF(Skills!E3=TRUE,Inputs!$B$32,0)))*(1-IF(AND(ArtifactsInput!$M$27,Inputs!$B$4="Chapter Hunt"),CHOOSE(ArtifactsInput!$N$27+1,20,24,28,32,36,40),0)/100)))+1)),0)</f>
        <v/>
      </c>
      <c r="S1622">
        <f>IFERROR(O1622/N1622,0)</f>
        <v/>
      </c>
      <c r="T1622">
        <f>IF(C1622,(H1622*N1622*IF(AND(Inputs!$B$38&lt;&gt;"pvp",Inputs!$B$43&gt;0),((Skills!G3*((R1622-1)*IF(Skills!H3&gt;0,Skills!I3/Skills!H3,1)+IF(Skills!H3&gt;0,MIN(Skills!I3,MAX(0,MAX(0,Inputs!$B$43-B1656)-((R1622-1)*(IF(Inputs!$B$38="pvp",15,MAX(0.1,Skills!D3-IF(Skills!E3=TRUE,Inputs!$B$32,0)))*(1-IF(AND(ArtifactsInput!$M$27,Inputs!$B$4="Chapter Hunt"),CHOOSE(ArtifactsInput!$N$27+1,20,24,28,32,36,40),0)/100)))))/Skills!H3,1)))/Inputs!$B$43),G1622*Q1622)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1622*(1-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1622*(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1622*(1-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1622*(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2">
        <f>INDEX(FactorTable!$B$2:$Y$301, MATCH(ROUND(MIN(300,MAX(1,U1621)),0), FactorTable!$A$2:$A$301,0), 22)</f>
        <v/>
      </c>
      <c r="V1622">
        <f>IF(C1622,(H1622*N1622*IF(AND(Inputs!$B$38&lt;&gt;"pvp",Inputs!$B$43&gt;0),((Skills!G3*((R1622-1)*IF(Skills!H3&gt;0,Skills!I3/Skills!H3,1)+IF(Skills!H3&gt;0,MIN(Skills!I3,MAX(0,MAX(0,Inputs!$B$43-B1656)-((R1622-1)*(IF(Inputs!$B$38="pvp",15,MAX(0.1,Skills!D3-IF(Skills!E3=TRUE,Inputs!$B$32,0)))*(1-IF(AND(ArtifactsInput!$M$27,Inputs!$B$4="Chapter Hunt"),CHOOSE(ArtifactsInput!$N$27+1,20,24,28,32,36,40),0)/100)))))/Skills!H3,1)))/Inputs!$B$43),G1622*Q1622))*IF(Inputs!$B$38="pvp",1,(1+(Inputs!$B$21+Skills!Q3+(IF(ArtifactsInput!$M$33,CHOOSE(ArtifactsInput!$N$33+1,30,36,42,48,54,60)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3">
      <c r="A1623">
        <f>Skills!A4</f>
        <v/>
      </c>
      <c r="B1623">
        <f>Skills!B4</f>
        <v/>
      </c>
      <c r="C1623">
        <f>Inputs!$B$3&gt;=40</f>
        <v/>
      </c>
      <c r="D1623">
        <f>IF(Skills!C4=1,60+Inputs!$B$25+Inputs!$B$29,IF(Skills!C4=2,90+Inputs!$B$26+Inputs!$B$29,IF(Skills!C4=3,120+Inputs!$B$27+Inputs!$B$29,MAX(0,(Inputs!$B$3-100)*3)+Inputs!$B$28+Inputs!$B$29)))</f>
        <v/>
      </c>
      <c r="E1623">
        <f>INDEX(FactorTable!$B$2:$Y$301, MATCH(ROUND(MIN(300,MAX(1,D1623)),0), FactorTable!$A$2:$A$301,0), Skills!M4+1)</f>
        <v/>
      </c>
      <c r="F1623">
        <f>IF(Skills!N4=TRUE,(Skills!L4/10)*(E1623/1000),Skills!L4/10)+Skills!O4</f>
        <v/>
      </c>
      <c r="G1623">
        <f>Skills!G4*IF(Skills!H4&gt;0,Skills!I4/Skills!H4,1)</f>
        <v/>
      </c>
      <c r="H1623">
        <f>1-(1-Skills!J4/100)^Skills!K4</f>
        <v/>
      </c>
      <c r="I1623" t="inlineStr">
        <is>
          <t>1</t>
        </is>
      </c>
      <c r="J1623">
        <f>((Inputs!$B$6*(1+Inputs!$B$7/100))+(((Inputs!$B$12*(1+Inputs!$B$13/100))-(Inputs!$B$12*(1+Inputs!$B$13/100)))+0.25*(Inputs!$B$14-Inputs!$B$14))*(1+Inputs!$B$7/100))*(F1623/100)</f>
        <v/>
      </c>
      <c r="K1623">
        <f>J1623*(1+((Inputs!$B$12*(1+Inputs!$B$13/100))*0.01+Inputs!$B$14*0.0025)/100)*(1+Inputs!$B$15/100)*(1+Inputs!$B$16/100)*(5000/(6000+Inputs!$B$42*(1-(100*(1-(1-(Inputs!$B$19+0)/100)*(1-CHOOSE(ArtifactsInput!$N$40+1,5,6,7,8,9,10)/100)^(ArtifactsInput!$M$40-ArtifactsInput!$M$40)))/100)))*(1+(Inputs!$B$24+((C1645=TRUE)*(F1645-Calc!F26))+B1655)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1635=TRUE,F1635,0)/100)*(1+(IF(Skills!A4="EIGHT_LEGS_EASTON",Inputs!$B$17+((C1642=TRUE)*(F1642-Calc!F23))+((C1646=TRUE)*(F1646-Calc!F27))+(((IF(AND(ArtifactsInput!$M$42,((Inputs!$B$9+((C1638=TRUE)*(F1638-Calc!F19))+B1649+(ArtifactsInput!$M$24-ArtifactsInput!$M$24)*CHOOSE(ArtifactsInput!$N$24+1,10,12,14,16,18,20)+IF(ArtifactsInput!$M$10,CHOOSE(ArtifactsInput!$N$10+1,15,18,21,24,27,30)*(IF(Inputs!$B$38="pvp",MIN(15,15)/15,IF(AND(Inputs!$B$38&lt;&gt;"pvp",Inputs!$B$43&gt;0),MIN(15,Inputs!$B$43)/(Inputs!$B$43),0))),0)))&gt;=100),MIN(100,((Inputs!$B$9+((C1638=TRUE)*(F1638-Calc!F19))+B1649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1638=TRUE)*(F1638-Calc!F19))+B1649+(ArtifactsInput!$M$24-ArtifactsInput!$M$24)*CHOOSE(ArtifactsInput!$N$24+1,10,12,14,16,18,20)+IF(ArtifactsInput!$M$10,CHOOSE(ArtifactsInput!$N$10+1,15,18,21,24,27,30)*(IF(Inputs!$B$38="pvp",MIN(15,15)/15,IF(AND(Inputs!$B$38&lt;&gt;"pvp",Inputs!$B$43&gt;0),MIN(15,Inputs!$B$43)/(Inputs!$B$43),0))),0)))&gt;=100),CHOOSE(ArtifactsInput!$N$42+1,40,48,56,64,72,80),0))))/100)*((1+(((C1636=TRUE)*F1636)+((C1643=TRUE)*(F1643-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1623)</f>
        <v/>
      </c>
      <c r="L1623">
        <f>K1623*(MIN(Inputs!$B$22+((C1641=TRUE)*(F1641-Calc!F22)),(Inputs!$B$23+0+(IF(ArtifactsInput!$M$15,CHOOSE(ArtifactsInput!$N$15+1,25,30,35,40,45,50)/100*(Inputs!$B$11-Inputs!$B$11),0))))/100+(Inputs!$B$23+0+(IF(ArtifactsInput!$M$15,CHOOSE(ArtifactsInput!$N$15+1,25,30,35,40,45,50)/100*(Inputs!$B$11-Inputs!$B$11),0)))/100)/2</f>
        <v/>
      </c>
      <c r="M1623">
        <f>L1623*(1+(Inputs!$B$10+((C1644=TRUE)*(F1644-Calc!F25))+B1654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3">
        <f>L1623*(1-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1623*(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3">
        <f>(1-Summary!$B$11)*T1623+Summary!$B$11*V1623</f>
        <v/>
      </c>
      <c r="P1623">
        <f>IF(B1659=0,0,O1623/B1659)</f>
        <v/>
      </c>
      <c r="Q1623">
        <f>IFERROR(1/(IF(Inputs!$B$38="pvp",15,MAX(0.1,Skills!D4-IF(Skills!E4=TRUE,Inputs!$B$32,0)))*(1-IF(AND(ArtifactsInput!$M$27,Inputs!$B$4="Chapter Hunt"),CHOOSE(ArtifactsInput!$N$27+1,20,24,28,32,36,40),0)/100)),0)</f>
        <v/>
      </c>
      <c r="R1623">
        <f>IF(AND(Inputs!$B$38&lt;&gt;"pvp",Inputs!$B$43&gt;0),IF(MAX(0,Inputs!$B$43-B1656)&lt;=0,0,(INT(MAX(0,Inputs!$B$43-B1656)/(IF(Inputs!$B$38="pvp",15,MAX(0.1,Skills!D4-IF(Skills!E4=TRUE,Inputs!$B$32,0)))*(1-IF(AND(ArtifactsInput!$M$27,Inputs!$B$4="Chapter Hunt"),CHOOSE(ArtifactsInput!$N$27+1,20,24,28,32,36,40),0)/100)))+1)),0)</f>
        <v/>
      </c>
      <c r="S1623">
        <f>IFERROR(O1623/N1623,0)</f>
        <v/>
      </c>
      <c r="T1623">
        <f>IF(C1623,(H1623*N1623*IF(AND(Inputs!$B$38&lt;&gt;"pvp",Inputs!$B$43&gt;0),((Skills!G4*((R1623-1)*IF(Skills!H4&gt;0,Skills!I4/Skills!H4,1)+IF(Skills!H4&gt;0,MIN(Skills!I4,MAX(0,MAX(0,Inputs!$B$43-B1656)-((R1623-1)*(IF(Inputs!$B$38="pvp",15,MAX(0.1,Skills!D4-IF(Skills!E4=TRUE,Inputs!$B$32,0)))*(1-IF(AND(ArtifactsInput!$M$27,Inputs!$B$4="Chapter Hunt"),CHOOSE(ArtifactsInput!$N$27+1,20,24,28,32,36,40),0)/100)))))/Skills!H4,1)))/Inputs!$B$43),G1623*Q1623)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1623*(1-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1623*(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1623*(1-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1623*(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3">
        <f>290*U1622/1000</f>
        <v/>
      </c>
      <c r="V1623">
        <f>IF(C1623,(H1623*N1623*IF(AND(Inputs!$B$38&lt;&gt;"pvp",Inputs!$B$43&gt;0),((Skills!G4*((R1623-1)*IF(Skills!H4&gt;0,Skills!I4/Skills!H4,1)+IF(Skills!H4&gt;0,MIN(Skills!I4,MAX(0,MAX(0,Inputs!$B$43-B1656)-((R1623-1)*(IF(Inputs!$B$38="pvp",15,MAX(0.1,Skills!D4-IF(Skills!E4=TRUE,Inputs!$B$32,0)))*(1-IF(AND(ArtifactsInput!$M$27,Inputs!$B$4="Chapter Hunt"),CHOOSE(ArtifactsInput!$N$27+1,20,24,28,32,36,40),0)/100)))))/Skills!H4,1)))/Inputs!$B$43),G1623*Q1623))*IF(Inputs!$B$38="pvp",1,(1+(Inputs!$B$21+Skills!Q4+(IF(ArtifactsInput!$M$33,CHOOSE(ArtifactsInput!$N$33+1,30,36,42,48,54,60)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4">
      <c r="A1624">
        <f>Skills!A5</f>
        <v/>
      </c>
      <c r="B1624">
        <f>Skills!B5</f>
        <v/>
      </c>
      <c r="C1624">
        <f>Inputs!$B$3&gt;=45</f>
        <v/>
      </c>
      <c r="D1624">
        <f>IF(Skills!C5=1,60+Inputs!$B$25+Inputs!$B$29,IF(Skills!C5=2,90+Inputs!$B$26+Inputs!$B$29,IF(Skills!C5=3,120+Inputs!$B$27+Inputs!$B$29,MAX(0,(Inputs!$B$3-100)*3)+Inputs!$B$28+Inputs!$B$29)))</f>
        <v/>
      </c>
      <c r="E1624">
        <f>INDEX(FactorTable!$B$2:$Y$301, MATCH(ROUND(MIN(300,MAX(1,D1624)),0), FactorTable!$A$2:$A$301,0), Skills!M5+1)</f>
        <v/>
      </c>
      <c r="F1624">
        <f>IF(Skills!N5=TRUE,(Skills!L5/10)*(E1624/1000),Skills!L5/10)+Skills!O5</f>
        <v/>
      </c>
      <c r="G1624">
        <f>Skills!G5*IF(Skills!H5&gt;0,Skills!I5/Skills!H5,1)</f>
        <v/>
      </c>
      <c r="H1624">
        <f>1-(1-Skills!J5/100)^Skills!K5</f>
        <v/>
      </c>
      <c r="I1624" t="inlineStr">
        <is>
          <t>1</t>
        </is>
      </c>
      <c r="J1624">
        <f>((Inputs!$B$6*(1+Inputs!$B$7/100))+(((Inputs!$B$12*(1+Inputs!$B$13/100))-(Inputs!$B$12*(1+Inputs!$B$13/100)))+0.25*(Inputs!$B$14-Inputs!$B$14))*(1+Inputs!$B$7/100))*(F1624/100)</f>
        <v/>
      </c>
      <c r="K1624">
        <f>J1624*(1+((Inputs!$B$12*(1+Inputs!$B$13/100))*0.01+Inputs!$B$14*0.0025)/100)*(1+Inputs!$B$15/100)*(1+Inputs!$B$16/100)*(5000/(6000+Inputs!$B$42*(1-(100*(1-(1-(Inputs!$B$19+0)/100)*(1-CHOOSE(ArtifactsInput!$N$40+1,5,6,7,8,9,10)/100)^(ArtifactsInput!$M$40-ArtifactsInput!$M$40)))/100)))*(1+(Inputs!$B$24+((C1645=TRUE)*(F1645-Calc!F26))+B1655)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1635=TRUE,F1635,0)/100)*(1+(IF(Skills!A5="EIGHT_LEGS_EASTON",Inputs!$B$17+((C1642=TRUE)*(F1642-Calc!F23))+((C1646=TRUE)*(F1646-Calc!F27))+(((IF(AND(ArtifactsInput!$M$42,((Inputs!$B$9+((C1638=TRUE)*(F1638-Calc!F19))+B1649+(ArtifactsInput!$M$24-ArtifactsInput!$M$24)*CHOOSE(ArtifactsInput!$N$24+1,10,12,14,16,18,20)+IF(ArtifactsInput!$M$10,CHOOSE(ArtifactsInput!$N$10+1,15,18,21,24,27,30)*(IF(Inputs!$B$38="pvp",MIN(15,15)/15,IF(AND(Inputs!$B$38&lt;&gt;"pvp",Inputs!$B$43&gt;0),MIN(15,Inputs!$B$43)/(Inputs!$B$43),0))),0)))&gt;=100),MIN(100,((Inputs!$B$9+((C1638=TRUE)*(F1638-Calc!F19))+B1649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1638=TRUE)*(F1638-Calc!F19))+B1649+(ArtifactsInput!$M$24-ArtifactsInput!$M$24)*CHOOSE(ArtifactsInput!$N$24+1,10,12,14,16,18,20)+IF(ArtifactsInput!$M$10,CHOOSE(ArtifactsInput!$N$10+1,15,18,21,24,27,30)*(IF(Inputs!$B$38="pvp",MIN(15,15)/15,IF(AND(Inputs!$B$38&lt;&gt;"pvp",Inputs!$B$43&gt;0),MIN(15,Inputs!$B$43)/(Inputs!$B$43),0))),0)))&gt;=100),CHOOSE(ArtifactsInput!$N$42+1,40,48,56,64,72,80),0))))/100)*((1+(((C1636=TRUE)*F1636)+((C1643=TRUE)*(F1643-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1624)</f>
        <v/>
      </c>
      <c r="L1624">
        <f>K1624*(MIN(Inputs!$B$22+((C1641=TRUE)*(F1641-Calc!F22)),(Inputs!$B$23+0+(IF(ArtifactsInput!$M$15,CHOOSE(ArtifactsInput!$N$15+1,25,30,35,40,45,50)/100*(Inputs!$B$11-Inputs!$B$11),0))))/100+(Inputs!$B$23+0+(IF(ArtifactsInput!$M$15,CHOOSE(ArtifactsInput!$N$15+1,25,30,35,40,45,50)/100*(Inputs!$B$11-Inputs!$B$11),0)))/100)/2</f>
        <v/>
      </c>
      <c r="M1624">
        <f>L1624*(1+(Inputs!$B$10+((C1644=TRUE)*(F1644-Calc!F25))+B1654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4">
        <f>L1624*(1-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1624*(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4">
        <f>(1-Summary!$B$11)*T1624+Summary!$B$11*V1624</f>
        <v/>
      </c>
      <c r="P1624">
        <f>IF(B1659=0,0,O1624/B1659)</f>
        <v/>
      </c>
      <c r="Q1624">
        <f>IFERROR(1/(IF(Inputs!$B$38="pvp",15,MAX(0.1,Skills!D5-IF(Skills!E5=TRUE,Inputs!$B$32,0)))*(1-IF(AND(ArtifactsInput!$M$27,Inputs!$B$4="Chapter Hunt"),CHOOSE(ArtifactsInput!$N$27+1,20,24,28,32,36,40),0)/100)),0)</f>
        <v/>
      </c>
      <c r="R1624">
        <f>IF(AND(Inputs!$B$38&lt;&gt;"pvp",Inputs!$B$43&gt;0),IF(MAX(0,Inputs!$B$43-B1656)&lt;=0,0,(INT(MAX(0,Inputs!$B$43-B1656)/(IF(Inputs!$B$38="pvp",15,MAX(0.1,Skills!D5-IF(Skills!E5=TRUE,Inputs!$B$32,0)))*(1-IF(AND(ArtifactsInput!$M$27,Inputs!$B$4="Chapter Hunt"),CHOOSE(ArtifactsInput!$N$27+1,20,24,28,32,36,40),0)/100)))+1)),0)</f>
        <v/>
      </c>
      <c r="S1624">
        <f>IFERROR(O1624/N1624,0)</f>
        <v/>
      </c>
      <c r="T1624">
        <f>IF(C1624,(H1624*N1624*IF(AND(Inputs!$B$38&lt;&gt;"pvp",Inputs!$B$43&gt;0),((Skills!G5*((R1624-1)*IF(Skills!H5&gt;0,Skills!I5/Skills!H5,1)+IF(Skills!H5&gt;0,MIN(Skills!I5,MAX(0,MAX(0,Inputs!$B$43-B1656)-((R1624-1)*(IF(Inputs!$B$38="pvp",15,MAX(0.1,Skills!D5-IF(Skills!E5=TRUE,Inputs!$B$32,0)))*(1-IF(AND(ArtifactsInput!$M$27,Inputs!$B$4="Chapter Hunt"),CHOOSE(ArtifactsInput!$N$27+1,20,24,28,32,36,40),0)/100)))))/Skills!H5,1)))/Inputs!$B$43),G1624*Q1624)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1624*(1-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1624*(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1624*(1-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1624*(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4">
        <f>IF(C1624,(H1624*N1624*IF(AND(Inputs!$B$38&lt;&gt;"pvp",Inputs!$B$43&gt;0),((Skills!G5*((R1624-1)*IF(Skills!H5&gt;0,Skills!I5/Skills!H5,1)+IF(Skills!H5&gt;0,MIN(Skills!I5,MAX(0,MAX(0,Inputs!$B$43-B1656)-((R1624-1)*(IF(Inputs!$B$38="pvp",15,MAX(0.1,Skills!D5-IF(Skills!E5=TRUE,Inputs!$B$32,0)))*(1-IF(AND(ArtifactsInput!$M$27,Inputs!$B$4="Chapter Hunt"),CHOOSE(ArtifactsInput!$N$27+1,20,24,28,32,36,40),0)/100)))))/Skills!H5,1)))/Inputs!$B$43),G1624*Q1624))*IF(Inputs!$B$38="pvp",1,(1+(Inputs!$B$21+Skills!Q5+(IF(ArtifactsInput!$M$33,CHOOSE(ArtifactsInput!$N$33+1,30,36,42,48,54,60)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5">
      <c r="A1625">
        <f>Skills!A6</f>
        <v/>
      </c>
      <c r="B1625">
        <f>Skills!B6</f>
        <v/>
      </c>
      <c r="C1625">
        <f>Inputs!$B$3&gt;=63</f>
        <v/>
      </c>
      <c r="D1625">
        <f>IF(Skills!C6=1,60+Inputs!$B$25+Inputs!$B$29,IF(Skills!C6=2,90+Inputs!$B$26+Inputs!$B$29,IF(Skills!C6=3,120+Inputs!$B$27+Inputs!$B$29,MAX(0,(Inputs!$B$3-100)*3)+Inputs!$B$28+Inputs!$B$29)))</f>
        <v/>
      </c>
      <c r="E1625">
        <f>INDEX(FactorTable!$B$2:$Y$301, MATCH(ROUND(MIN(300,MAX(1,D1625)),0), FactorTable!$A$2:$A$301,0), Skills!M6+1)</f>
        <v/>
      </c>
      <c r="F1625">
        <f>IF(Skills!N6=TRUE,(Skills!L6/10)*(E1625/1000),Skills!L6/10)+Skills!O6</f>
        <v/>
      </c>
      <c r="G1625">
        <f>Skills!G6*IF(Skills!H6&gt;0,Skills!I6/Skills!H6,1)</f>
        <v/>
      </c>
      <c r="H1625">
        <f>1-(1-Skills!J6/100)^Skills!K6</f>
        <v/>
      </c>
      <c r="I1625" t="inlineStr">
        <is>
          <t>1</t>
        </is>
      </c>
      <c r="J1625">
        <f>((Inputs!$B$6*(1+Inputs!$B$7/100))+(((Inputs!$B$12*(1+Inputs!$B$13/100))-(Inputs!$B$12*(1+Inputs!$B$13/100)))+0.25*(Inputs!$B$14-Inputs!$B$14))*(1+Inputs!$B$7/100))*(F1625/100)</f>
        <v/>
      </c>
      <c r="K1625">
        <f>J1625*(1+((Inputs!$B$12*(1+Inputs!$B$13/100))*0.01+Inputs!$B$14*0.0025)/100)*(1+Inputs!$B$15/100)*(1+Inputs!$B$16/100)*(5000/(6000+Inputs!$B$42*(1-(100*(1-(1-(Inputs!$B$19+0)/100)*(1-CHOOSE(ArtifactsInput!$N$40+1,5,6,7,8,9,10)/100)^(ArtifactsInput!$M$40-ArtifactsInput!$M$40)))/100)))*(1+(Inputs!$B$24+((C1645=TRUE)*(F1645-Calc!F26))+B1655)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1634=TRUE,F1634,0)/100)*(1+(IF(Skills!A6="EIGHT_LEGS_EASTON",Inputs!$B$17+((C1642=TRUE)*(F1642-Calc!F23))+((C1646=TRUE)*(F1646-Calc!F27))+(((IF(AND(ArtifactsInput!$M$42,((Inputs!$B$9+((C1638=TRUE)*(F1638-Calc!F19))+B1649+(ArtifactsInput!$M$24-ArtifactsInput!$M$24)*CHOOSE(ArtifactsInput!$N$24+1,10,12,14,16,18,20)+IF(ArtifactsInput!$M$10,CHOOSE(ArtifactsInput!$N$10+1,15,18,21,24,27,30)*(IF(Inputs!$B$38="pvp",MIN(15,15)/15,IF(AND(Inputs!$B$38&lt;&gt;"pvp",Inputs!$B$43&gt;0),MIN(15,Inputs!$B$43)/(Inputs!$B$43),0))),0)))&gt;=100),MIN(100,((Inputs!$B$9+((C1638=TRUE)*(F1638-Calc!F19))+B1649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1638=TRUE)*(F1638-Calc!F19))+B1649+(ArtifactsInput!$M$24-ArtifactsInput!$M$24)*CHOOSE(ArtifactsInput!$N$24+1,10,12,14,16,18,20)+IF(ArtifactsInput!$M$10,CHOOSE(ArtifactsInput!$N$10+1,15,18,21,24,27,30)*(IF(Inputs!$B$38="pvp",MIN(15,15)/15,IF(AND(Inputs!$B$38&lt;&gt;"pvp",Inputs!$B$43&gt;0),MIN(15,Inputs!$B$43)/(Inputs!$B$43),0))),0)))&gt;=100),CHOOSE(ArtifactsInput!$N$42+1,40,48,56,64,72,80),0))))/100)*((1+(((C1636=TRUE)*F1636)+((C1643=TRUE)*(F1643-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1625)</f>
        <v/>
      </c>
      <c r="L1625">
        <f>K1625*(MIN(Inputs!$B$22+((C1641=TRUE)*(F1641-Calc!F22)),(Inputs!$B$23+0+(IF(ArtifactsInput!$M$15,CHOOSE(ArtifactsInput!$N$15+1,25,30,35,40,45,50)/100*(Inputs!$B$11-Inputs!$B$11),0))))/100+(Inputs!$B$23+0+(IF(ArtifactsInput!$M$15,CHOOSE(ArtifactsInput!$N$15+1,25,30,35,40,45,50)/100*(Inputs!$B$11-Inputs!$B$11),0)))/100)/2</f>
        <v/>
      </c>
      <c r="M1625">
        <f>L1625*(1+(Inputs!$B$10+((C1644=TRUE)*(F1644-Calc!F25))+B1654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5">
        <f>L1625*(1-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1625*(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5">
        <f>(1-Summary!$B$11)*T1625+Summary!$B$11*V1625</f>
        <v/>
      </c>
      <c r="P1625">
        <f>IF(B1659=0,0,O1625/B1659)</f>
        <v/>
      </c>
      <c r="Q1625">
        <f>IFERROR(1/(IF(Inputs!$B$38="pvp",15,MAX(0.1,Skills!D6-IF(Skills!E6=TRUE,Inputs!$B$32,0)))*(1-IF(AND(ArtifactsInput!$M$27,Inputs!$B$4="Chapter Hunt"),CHOOSE(ArtifactsInput!$N$27+1,20,24,28,32,36,40),0)/100)),0)</f>
        <v/>
      </c>
      <c r="R1625">
        <f>IF(AND(Inputs!$B$38&lt;&gt;"pvp",Inputs!$B$43&gt;0),IF(MAX(0,Inputs!$B$43-B1656)&lt;=0,0,(INT(MAX(0,Inputs!$B$43-B1656)/(IF(Inputs!$B$38="pvp",15,MAX(0.1,Skills!D6-IF(Skills!E6=TRUE,Inputs!$B$32,0)))*(1-IF(AND(ArtifactsInput!$M$27,Inputs!$B$4="Chapter Hunt"),CHOOSE(ArtifactsInput!$N$27+1,20,24,28,32,36,40),0)/100)))+1)),0)</f>
        <v/>
      </c>
      <c r="S1625">
        <f>IFERROR(O1625/N1625,0)</f>
        <v/>
      </c>
      <c r="T1625">
        <f>IF(C1625,(H1625*N1625*IF(AND(Inputs!$B$38&lt;&gt;"pvp",Inputs!$B$43&gt;0),((Skills!G6*((R1625-1)*IF(Skills!H6&gt;0,Skills!I6/Skills!H6,1)+IF(Skills!H6&gt;0,MIN(Skills!I6,MAX(0,MAX(0,Inputs!$B$43-B1656)-((R1625-1)*(IF(Inputs!$B$38="pvp",15,MAX(0.1,Skills!D6-IF(Skills!E6=TRUE,Inputs!$B$32,0)))*(1-IF(AND(ArtifactsInput!$M$27,Inputs!$B$4="Chapter Hunt"),CHOOSE(ArtifactsInput!$N$27+1,20,24,28,32,36,40),0)/100)))))/Skills!H6,1)))/Inputs!$B$43),G1625*Q1625)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1625*(1-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1625*(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1625*(1-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1625*(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5">
        <f>IF(C1625,(H1625*N1625*IF(AND(Inputs!$B$38&lt;&gt;"pvp",Inputs!$B$43&gt;0),((Skills!G6*((R1625-1)*IF(Skills!H6&gt;0,Skills!I6/Skills!H6,1)+IF(Skills!H6&gt;0,MIN(Skills!I6,MAX(0,MAX(0,Inputs!$B$43-B1656)-((R1625-1)*(IF(Inputs!$B$38="pvp",15,MAX(0.1,Skills!D6-IF(Skills!E6=TRUE,Inputs!$B$32,0)))*(1-IF(AND(ArtifactsInput!$M$27,Inputs!$B$4="Chapter Hunt"),CHOOSE(ArtifactsInput!$N$27+1,20,24,28,32,36,40),0)/100)))))/Skills!H6,1)))/Inputs!$B$43),G1625*Q1625))*IF(Inputs!$B$38="pvp",1,(1+(Inputs!$B$21+Skills!Q6+(IF(ArtifactsInput!$M$33,CHOOSE(ArtifactsInput!$N$33+1,30,36,42,48,54,60)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6">
      <c r="A1626">
        <f>Skills!A7</f>
        <v/>
      </c>
      <c r="B1626">
        <f>Skills!B7</f>
        <v/>
      </c>
      <c r="C1626">
        <f>Inputs!$B$3&gt;=66</f>
        <v/>
      </c>
      <c r="D1626">
        <f>IF(Skills!C7=1,60+Inputs!$B$25+Inputs!$B$29,IF(Skills!C7=2,90+Inputs!$B$26+Inputs!$B$29,IF(Skills!C7=3,120+Inputs!$B$27+Inputs!$B$29,MAX(0,(Inputs!$B$3-100)*3)+Inputs!$B$28+Inputs!$B$29)))</f>
        <v/>
      </c>
      <c r="E1626">
        <f>INDEX(FactorTable!$B$2:$Y$301, MATCH(ROUND(MIN(300,MAX(1,D1626)),0), FactorTable!$A$2:$A$301,0), Skills!M7+1)</f>
        <v/>
      </c>
      <c r="F1626">
        <f>IF(Skills!N7=TRUE,(Skills!L7/10)*(E1626/1000),Skills!L7/10)+Skills!O7</f>
        <v/>
      </c>
      <c r="G1626">
        <f>Skills!G7*IF(Skills!H7&gt;0,Skills!I7/Skills!H7,1)</f>
        <v/>
      </c>
      <c r="H1626">
        <f>1-(1-Skills!J7/100)^Skills!K7</f>
        <v/>
      </c>
      <c r="I1626" t="inlineStr">
        <is>
          <t>1</t>
        </is>
      </c>
      <c r="J1626">
        <f>((Inputs!$B$6*(1+Inputs!$B$7/100))+(((Inputs!$B$12*(1+Inputs!$B$13/100))-(Inputs!$B$12*(1+Inputs!$B$13/100)))+0.25*(Inputs!$B$14-Inputs!$B$14))*(1+Inputs!$B$7/100))*(F1626/100)</f>
        <v/>
      </c>
      <c r="K1626">
        <f>J1626*(1+((Inputs!$B$12*(1+Inputs!$B$13/100))*0.01+Inputs!$B$14*0.0025)/100)*(1+Inputs!$B$15/100)*(1+Inputs!$B$16/100)*(5000/(6000+Inputs!$B$42*(1-(100*(1-(1-(Inputs!$B$19+0)/100)*(1-CHOOSE(ArtifactsInput!$N$40+1,5,6,7,8,9,10)/100)^(ArtifactsInput!$M$40-ArtifactsInput!$M$40)))/100)))*(1+(Inputs!$B$24+((C1645=TRUE)*(F1645-Calc!F26))+B1655)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1634=TRUE,F1634,0)/100)*(1+(IF(Skills!A7="EIGHT_LEGS_EASTON",Inputs!$B$17+((C1642=TRUE)*(F1642-Calc!F23))+((C1646=TRUE)*(F1646-Calc!F27))+(((IF(AND(ArtifactsInput!$M$42,((Inputs!$B$9+((C1638=TRUE)*(F1638-Calc!F19))+B1649+(ArtifactsInput!$M$24-ArtifactsInput!$M$24)*CHOOSE(ArtifactsInput!$N$24+1,10,12,14,16,18,20)+IF(ArtifactsInput!$M$10,CHOOSE(ArtifactsInput!$N$10+1,15,18,21,24,27,30)*(IF(Inputs!$B$38="pvp",MIN(15,15)/15,IF(AND(Inputs!$B$38&lt;&gt;"pvp",Inputs!$B$43&gt;0),MIN(15,Inputs!$B$43)/(Inputs!$B$43),0))),0)))&gt;=100),MIN(100,((Inputs!$B$9+((C1638=TRUE)*(F1638-Calc!F19))+B1649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1638=TRUE)*(F1638-Calc!F19))+B1649+(ArtifactsInput!$M$24-ArtifactsInput!$M$24)*CHOOSE(ArtifactsInput!$N$24+1,10,12,14,16,18,20)+IF(ArtifactsInput!$M$10,CHOOSE(ArtifactsInput!$N$10+1,15,18,21,24,27,30)*(IF(Inputs!$B$38="pvp",MIN(15,15)/15,IF(AND(Inputs!$B$38&lt;&gt;"pvp",Inputs!$B$43&gt;0),MIN(15,Inputs!$B$43)/(Inputs!$B$43),0))),0)))&gt;=100),CHOOSE(ArtifactsInput!$N$42+1,40,48,56,64,72,80),0))))/100)*((1+(((C1636=TRUE)*F1636)+((C1643=TRUE)*(F1643-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1626)</f>
        <v/>
      </c>
      <c r="L1626">
        <f>K1626*(MIN(Inputs!$B$22+((C1641=TRUE)*(F1641-Calc!F22)),(Inputs!$B$23+0+(IF(ArtifactsInput!$M$15,CHOOSE(ArtifactsInput!$N$15+1,25,30,35,40,45,50)/100*(Inputs!$B$11-Inputs!$B$11),0))))/100+(Inputs!$B$23+0+(IF(ArtifactsInput!$M$15,CHOOSE(ArtifactsInput!$N$15+1,25,30,35,40,45,50)/100*(Inputs!$B$11-Inputs!$B$11),0)))/100)/2</f>
        <v/>
      </c>
      <c r="M1626">
        <f>L1626*(1+(Inputs!$B$10+((C1644=TRUE)*(F1644-Calc!F25))+B1654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6">
        <f>L1626*(1-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1626*(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6">
        <f>(1-Summary!$B$11)*T1626+Summary!$B$11*V1626</f>
        <v/>
      </c>
      <c r="P1626">
        <f>IF(B1659=0,0,O1626/B1659)</f>
        <v/>
      </c>
      <c r="Q1626">
        <f>IFERROR(1/(IF(Inputs!$B$38="pvp",15,MAX(0.1,Skills!D7-IF(Skills!E7=TRUE,Inputs!$B$32,0)))*(1-IF(AND(ArtifactsInput!$M$27,Inputs!$B$4="Chapter Hunt"),CHOOSE(ArtifactsInput!$N$27+1,20,24,28,32,36,40),0)/100)),0)</f>
        <v/>
      </c>
      <c r="R1626">
        <f>IF(AND(Inputs!$B$38&lt;&gt;"pvp",Inputs!$B$43&gt;0),IF(MAX(0,Inputs!$B$43-B1656)&lt;=0,0,(INT(MAX(0,Inputs!$B$43-B1656)/(IF(Inputs!$B$38="pvp",15,MAX(0.1,Skills!D7-IF(Skills!E7=TRUE,Inputs!$B$32,0)))*(1-IF(AND(ArtifactsInput!$M$27,Inputs!$B$4="Chapter Hunt"),CHOOSE(ArtifactsInput!$N$27+1,20,24,28,32,36,40),0)/100)))+1)),0)</f>
        <v/>
      </c>
      <c r="S1626">
        <f>IFERROR(O1626/N1626,0)</f>
        <v/>
      </c>
      <c r="T1626">
        <f>IF(C1626,(H1626*N1626*IF(AND(Inputs!$B$38&lt;&gt;"pvp",Inputs!$B$43&gt;0),((Skills!G7*((R1626-1)*IF(Skills!H7&gt;0,Skills!I7/Skills!H7,1)+IF(Skills!H7&gt;0,MIN(Skills!I7,MAX(0,MAX(0,Inputs!$B$43-B1656)-((R1626-1)*(IF(Inputs!$B$38="pvp",15,MAX(0.1,Skills!D7-IF(Skills!E7=TRUE,Inputs!$B$32,0)))*(1-IF(AND(ArtifactsInput!$M$27,Inputs!$B$4="Chapter Hunt"),CHOOSE(ArtifactsInput!$N$27+1,20,24,28,32,36,40),0)/100)))))/Skills!H7,1)))/Inputs!$B$43),G1626*Q1626)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1626*(1-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1626*(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1626*(1-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1626*(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6">
        <f>IF(C1626,(H1626*N1626*IF(AND(Inputs!$B$38&lt;&gt;"pvp",Inputs!$B$43&gt;0),((Skills!G7*((R1626-1)*IF(Skills!H7&gt;0,Skills!I7/Skills!H7,1)+IF(Skills!H7&gt;0,MIN(Skills!I7,MAX(0,MAX(0,Inputs!$B$43-B1656)-((R1626-1)*(IF(Inputs!$B$38="pvp",15,MAX(0.1,Skills!D7-IF(Skills!E7=TRUE,Inputs!$B$32,0)))*(1-IF(AND(ArtifactsInput!$M$27,Inputs!$B$4="Chapter Hunt"),CHOOSE(ArtifactsInput!$N$27+1,20,24,28,32,36,40),0)/100)))))/Skills!H7,1)))/Inputs!$B$43),G1626*Q1626))*IF(Inputs!$B$38="pvp",1,(1+(Inputs!$B$21+Skills!Q7+(IF(ArtifactsInput!$M$33,CHOOSE(ArtifactsInput!$N$33+1,30,36,42,48,54,60)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7">
      <c r="A1627">
        <f>Skills!A8</f>
        <v/>
      </c>
      <c r="B1627">
        <f>Skills!B8</f>
        <v/>
      </c>
      <c r="C1627">
        <f>Inputs!$B$3&gt;=100</f>
        <v/>
      </c>
      <c r="D1627">
        <f>IF(Skills!C8=1,60+Inputs!$B$25+Inputs!$B$29,IF(Skills!C8=2,90+Inputs!$B$26+Inputs!$B$29,IF(Skills!C8=3,120+Inputs!$B$27+Inputs!$B$29,MAX(0,(Inputs!$B$3-100)*3)+Inputs!$B$28+Inputs!$B$29)))</f>
        <v/>
      </c>
      <c r="E1627">
        <f>INDEX(FactorTable!$B$2:$Y$301, MATCH(ROUND(MIN(300,MAX(1,D1627)),0), FactorTable!$A$2:$A$301,0), Skills!M8+1)</f>
        <v/>
      </c>
      <c r="F1627">
        <f>IF(Skills!N8=TRUE,(Skills!L8/10)*(E1627/1000),Skills!L8/10)+Skills!O8</f>
        <v/>
      </c>
      <c r="G1627">
        <f>Skills!G8*IF(Skills!H8&gt;0,Skills!I8/Skills!H8,1)</f>
        <v/>
      </c>
      <c r="H1627">
        <f>1-(1-Skills!J8/100)^Skills!K8</f>
        <v/>
      </c>
      <c r="I1627" t="inlineStr">
        <is>
          <t>1</t>
        </is>
      </c>
      <c r="J1627">
        <f>((Inputs!$B$6*(1+Inputs!$B$7/100))+(((Inputs!$B$12*(1+Inputs!$B$13/100))-(Inputs!$B$12*(1+Inputs!$B$13/100)))+0.25*(Inputs!$B$14-Inputs!$B$14))*(1+Inputs!$B$7/100))*(F1627/100)</f>
        <v/>
      </c>
      <c r="K1627">
        <f>J1627*(1+((Inputs!$B$12*(1+Inputs!$B$13/100))*0.01+Inputs!$B$14*0.0025)/100)*(1+Inputs!$B$15/100)*(1+Inputs!$B$16/100)*(5000/(6000+Inputs!$B$42*(1-(100*(1-(1-(Inputs!$B$19+0)/100)*(1-CHOOSE(ArtifactsInput!$N$40+1,5,6,7,8,9,10)/100)^(ArtifactsInput!$M$40-ArtifactsInput!$M$40)))/100)))*(1+(Inputs!$B$24+((C1645=TRUE)*(F1645-Calc!F26))+B1655)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1642=TRUE)*(F1642-Calc!F23))+((C1646=TRUE)*(F1646-Calc!F27))+(((IF(AND(ArtifactsInput!$M$42,((Inputs!$B$9+((C1638=TRUE)*(F1638-Calc!F19))+B1649+(ArtifactsInput!$M$24-ArtifactsInput!$M$24)*CHOOSE(ArtifactsInput!$N$24+1,10,12,14,16,18,20)+IF(ArtifactsInput!$M$10,CHOOSE(ArtifactsInput!$N$10+1,15,18,21,24,27,30)*(IF(Inputs!$B$38="pvp",MIN(15,15)/15,IF(AND(Inputs!$B$38&lt;&gt;"pvp",Inputs!$B$43&gt;0),MIN(15,Inputs!$B$43)/(Inputs!$B$43),0))),0)))&gt;=100),MIN(100,((Inputs!$B$9+((C1638=TRUE)*(F1638-Calc!F19))+B1649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1638=TRUE)*(F1638-Calc!F19))+B1649+(ArtifactsInput!$M$24-ArtifactsInput!$M$24)*CHOOSE(ArtifactsInput!$N$24+1,10,12,14,16,18,20)+IF(ArtifactsInput!$M$10,CHOOSE(ArtifactsInput!$N$10+1,15,18,21,24,27,30)*(IF(Inputs!$B$38="pvp",MIN(15,15)/15,IF(AND(Inputs!$B$38&lt;&gt;"pvp",Inputs!$B$43&gt;0),MIN(15,Inputs!$B$43)/(Inputs!$B$43),0))),0)))&gt;=100),CHOOSE(ArtifactsInput!$N$42+1,40,48,56,64,72,80),0))))/100)*((1+(((C1636=TRUE)*F1636)+((C1643=TRUE)*(F1643-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1627)</f>
        <v/>
      </c>
      <c r="L1627">
        <f>K1627*(MIN(Inputs!$B$22+((C1641=TRUE)*(F1641-Calc!F22)),(Inputs!$B$23+0+(IF(ArtifactsInput!$M$15,CHOOSE(ArtifactsInput!$N$15+1,25,30,35,40,45,50)/100*(Inputs!$B$11-Inputs!$B$11),0))))/100+(Inputs!$B$23+0+(IF(ArtifactsInput!$M$15,CHOOSE(ArtifactsInput!$N$15+1,25,30,35,40,45,50)/100*(Inputs!$B$11-Inputs!$B$11),0)))/100)/2</f>
        <v/>
      </c>
      <c r="M1627">
        <f>L1627*(1+(Inputs!$B$10+((C1644=TRUE)*(F1644-Calc!F25))+B1654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7">
        <f>L1627*(1-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1627*(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7">
        <f>(1-Summary!$B$11)*T1627+Summary!$B$11*V1627</f>
        <v/>
      </c>
      <c r="P1627">
        <f>IF(B1659=0,0,O1627/B1659)</f>
        <v/>
      </c>
      <c r="Q1627">
        <f>IFERROR(1/(IF(Inputs!$B$38="pvp",15,MAX(0.1,Skills!D8-IF(Skills!E8=TRUE,Inputs!$B$32,0)))*(1-IF(AND(ArtifactsInput!$M$27,Inputs!$B$4="Chapter Hunt"),CHOOSE(ArtifactsInput!$N$27+1,20,24,28,32,36,40),0)/100)),0)</f>
        <v/>
      </c>
      <c r="R1627">
        <f>IF(AND(Inputs!$B$38&lt;&gt;"pvp",Inputs!$B$43&gt;0),IF(MAX(0,Inputs!$B$43-B1656)&lt;=0,0,(INT(MAX(0,Inputs!$B$43-B1656)/(IF(Inputs!$B$38="pvp",15,MAX(0.1,Skills!D8-IF(Skills!E8=TRUE,Inputs!$B$32,0)))*(1-IF(AND(ArtifactsInput!$M$27,Inputs!$B$4="Chapter Hunt"),CHOOSE(ArtifactsInput!$N$27+1,20,24,28,32,36,40),0)/100)))+1)),0)</f>
        <v/>
      </c>
      <c r="S1627">
        <f>IFERROR(O1627/N1627,0)</f>
        <v/>
      </c>
      <c r="T1627">
        <f>IF(C1627,(H1627*N1627*IF(AND(Inputs!$B$38&lt;&gt;"pvp",Inputs!$B$43&gt;0),((Skills!G8*((R1627-1)*IF(Skills!H8&gt;0,Skills!I8/Skills!H8,1)+IF(Skills!H8&gt;0,MIN(Skills!I8,MAX(0,MAX(0,Inputs!$B$43-B1656)-((R1627-1)*(IF(Inputs!$B$38="pvp",15,MAX(0.1,Skills!D8-IF(Skills!E8=TRUE,Inputs!$B$32,0)))*(1-IF(AND(ArtifactsInput!$M$27,Inputs!$B$4="Chapter Hunt"),CHOOSE(ArtifactsInput!$N$27+1,20,24,28,32,36,40),0)/100)))))/Skills!H8,1)))/Inputs!$B$43),G1627*Q1627)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1627*(1-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1627*(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1627*(1-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1627*(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7">
        <f>IF(C1627,(H1627*N1627*IF(AND(Inputs!$B$38&lt;&gt;"pvp",Inputs!$B$43&gt;0),((Skills!G8*((R1627-1)*IF(Skills!H8&gt;0,Skills!I8/Skills!H8,1)+IF(Skills!H8&gt;0,MIN(Skills!I8,MAX(0,MAX(0,Inputs!$B$43-B1656)-((R1627-1)*(IF(Inputs!$B$38="pvp",15,MAX(0.1,Skills!D8-IF(Skills!E8=TRUE,Inputs!$B$32,0)))*(1-IF(AND(ArtifactsInput!$M$27,Inputs!$B$4="Chapter Hunt"),CHOOSE(ArtifactsInput!$N$27+1,20,24,28,32,36,40),0)/100)))))/Skills!H8,1)))/Inputs!$B$43),G1627*Q1627))*IF(Inputs!$B$38="pvp",1,(1+(Inputs!$B$21+Skills!Q8+(IF(ArtifactsInput!$M$33,CHOOSE(ArtifactsInput!$N$33+1,30,36,42,48,54,60)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8">
      <c r="A1628">
        <f>Skills!A9</f>
        <v/>
      </c>
      <c r="B1628">
        <f>Skills!B9</f>
        <v/>
      </c>
      <c r="C1628">
        <f>Inputs!$B$3&gt;=103</f>
        <v/>
      </c>
      <c r="D1628">
        <f>IF(Skills!C9=1,60+Inputs!$B$25+Inputs!$B$29,IF(Skills!C9=2,90+Inputs!$B$26+Inputs!$B$29,IF(Skills!C9=3,120+Inputs!$B$27+Inputs!$B$29,MAX(0,(Inputs!$B$3-100)*3)+Inputs!$B$28+Inputs!$B$29)))</f>
        <v/>
      </c>
      <c r="E1628">
        <f>INDEX(FactorTable!$B$2:$Y$301, MATCH(ROUND(MIN(300,MAX(1,D1628)),0), FactorTable!$A$2:$A$301,0), Skills!M9+1)</f>
        <v/>
      </c>
      <c r="F1628">
        <f>IF(Skills!N9=TRUE,(Skills!L9/10)*(E1628/1000),Skills!L9/10)+Skills!O9</f>
        <v/>
      </c>
      <c r="G1628">
        <f>Skills!G9*IF(Skills!H9&gt;0,Skills!I9/Skills!H9,1)</f>
        <v/>
      </c>
      <c r="H1628">
        <f>1-(1-Skills!J9/100)^Skills!K9</f>
        <v/>
      </c>
      <c r="I1628" t="inlineStr">
        <is>
          <t>1</t>
        </is>
      </c>
      <c r="J1628">
        <f>((Inputs!$B$6*(1+Inputs!$B$7/100))+(((Inputs!$B$12*(1+Inputs!$B$13/100))-(Inputs!$B$12*(1+Inputs!$B$13/100)))+0.25*(Inputs!$B$14-Inputs!$B$14))*(1+Inputs!$B$7/100))*(F1628/100)</f>
        <v/>
      </c>
      <c r="K1628">
        <f>J1628*(1+((Inputs!$B$12*(1+Inputs!$B$13/100))*0.01+Inputs!$B$14*0.0025)/100)*(1+Inputs!$B$15/100)*(1+Inputs!$B$16/100)*(5000/(6000+Inputs!$B$42*(1-(100*(1-(1-(Inputs!$B$19+0)/100)*(1-CHOOSE(ArtifactsInput!$N$40+1,5,6,7,8,9,10)/100)^(ArtifactsInput!$M$40-ArtifactsInput!$M$40)))/100)))*(1+(Inputs!$B$24+((C1645=TRUE)*(F1645-Calc!F26))+B1655)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1642=TRUE)*(F1642-Calc!F23))+((C1646=TRUE)*(F1646-Calc!F27))+(((IF(AND(ArtifactsInput!$M$42,((Inputs!$B$9+((C1638=TRUE)*(F1638-Calc!F19))+B1649+(ArtifactsInput!$M$24-ArtifactsInput!$M$24)*CHOOSE(ArtifactsInput!$N$24+1,10,12,14,16,18,20)+IF(ArtifactsInput!$M$10,CHOOSE(ArtifactsInput!$N$10+1,15,18,21,24,27,30)*(IF(Inputs!$B$38="pvp",MIN(15,15)/15,IF(AND(Inputs!$B$38&lt;&gt;"pvp",Inputs!$B$43&gt;0),MIN(15,Inputs!$B$43)/(Inputs!$B$43),0))),0)))&gt;=100),MIN(100,((Inputs!$B$9+((C1638=TRUE)*(F1638-Calc!F19))+B1649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1638=TRUE)*(F1638-Calc!F19))+B1649+(ArtifactsInput!$M$24-ArtifactsInput!$M$24)*CHOOSE(ArtifactsInput!$N$24+1,10,12,14,16,18,20)+IF(ArtifactsInput!$M$10,CHOOSE(ArtifactsInput!$N$10+1,15,18,21,24,27,30)*(IF(Inputs!$B$38="pvp",MIN(15,15)/15,IF(AND(Inputs!$B$38&lt;&gt;"pvp",Inputs!$B$43&gt;0),MIN(15,Inputs!$B$43)/(Inputs!$B$43),0))),0)))&gt;=100),CHOOSE(ArtifactsInput!$N$42+1,40,48,56,64,72,80),0))))/100)*((1+(((C1636=TRUE)*F1636)+((C1643=TRUE)*(F1643-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1628)</f>
        <v/>
      </c>
      <c r="L1628">
        <f>K1628*(MIN(Inputs!$B$22+((C1641=TRUE)*(F1641-Calc!F22)),(Inputs!$B$23+0+(IF(ArtifactsInput!$M$15,CHOOSE(ArtifactsInput!$N$15+1,25,30,35,40,45,50)/100*(Inputs!$B$11-Inputs!$B$11),0))))/100+(Inputs!$B$23+0+(IF(ArtifactsInput!$M$15,CHOOSE(ArtifactsInput!$N$15+1,25,30,35,40,45,50)/100*(Inputs!$B$11-Inputs!$B$11),0)))/100)/2</f>
        <v/>
      </c>
      <c r="M1628">
        <f>L1628*(1+(Inputs!$B$10+((C1644=TRUE)*(F1644-Calc!F25))+B1654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8">
        <f>L1628*(1-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1628*(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8">
        <f>(1-Summary!$B$11)*T1628+Summary!$B$11*V1628</f>
        <v/>
      </c>
      <c r="P1628">
        <f>IF(B1659=0,0,O1628/B1659)</f>
        <v/>
      </c>
      <c r="Q1628">
        <f>IFERROR(1/(IF(Inputs!$B$38="pvp",15,MAX(0.1,Skills!D9-IF(Skills!E9=TRUE,Inputs!$B$32,0)))*(1-IF(AND(ArtifactsInput!$M$27,Inputs!$B$4="Chapter Hunt"),CHOOSE(ArtifactsInput!$N$27+1,20,24,28,32,36,40),0)/100)),0)</f>
        <v/>
      </c>
      <c r="R1628">
        <f>IF(AND(Inputs!$B$38&lt;&gt;"pvp",Inputs!$B$43&gt;0),IF(MAX(0,Inputs!$B$43-B1656)&lt;=0,0,(INT(MAX(0,Inputs!$B$43-B1656)/(IF(Inputs!$B$38="pvp",15,MAX(0.1,Skills!D9-IF(Skills!E9=TRUE,Inputs!$B$32,0)))*(1-IF(AND(ArtifactsInput!$M$27,Inputs!$B$4="Chapter Hunt"),CHOOSE(ArtifactsInput!$N$27+1,20,24,28,32,36,40),0)/100)))+1)),0)</f>
        <v/>
      </c>
      <c r="S1628">
        <f>IFERROR(O1628/N1628,0)</f>
        <v/>
      </c>
      <c r="T1628">
        <f>IF(C1628,(H1628*N1628*IF(AND(Inputs!$B$38&lt;&gt;"pvp",Inputs!$B$43&gt;0),((Skills!G9*((R1628-1)*IF(Skills!H9&gt;0,Skills!I9/Skills!H9,1)+IF(Skills!H9&gt;0,MIN(Skills!I9,MAX(0,MAX(0,Inputs!$B$43-B1656)-((R1628-1)*(IF(Inputs!$B$38="pvp",15,MAX(0.1,Skills!D9-IF(Skills!E9=TRUE,Inputs!$B$32,0)))*(1-IF(AND(ArtifactsInput!$M$27,Inputs!$B$4="Chapter Hunt"),CHOOSE(ArtifactsInput!$N$27+1,20,24,28,32,36,40),0)/100)))))/Skills!H9,1)))/Inputs!$B$43),G1628*Q1628)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1628*(1-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1628*(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1628*(1-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1628*(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8">
        <f>IF(C1628,(H1628*N1628*IF(AND(Inputs!$B$38&lt;&gt;"pvp",Inputs!$B$43&gt;0),((Skills!G9*((R1628-1)*IF(Skills!H9&gt;0,Skills!I9/Skills!H9,1)+IF(Skills!H9&gt;0,MIN(Skills!I9,MAX(0,MAX(0,Inputs!$B$43-B1656)-((R1628-1)*(IF(Inputs!$B$38="pvp",15,MAX(0.1,Skills!D9-IF(Skills!E9=TRUE,Inputs!$B$32,0)))*(1-IF(AND(ArtifactsInput!$M$27,Inputs!$B$4="Chapter Hunt"),CHOOSE(ArtifactsInput!$N$27+1,20,24,28,32,36,40),0)/100)))))/Skills!H9,1)))/Inputs!$B$43),G1628*Q1628))*IF(Inputs!$B$38="pvp",1,(1+(Inputs!$B$21+Skills!Q9+(IF(ArtifactsInput!$M$33,CHOOSE(ArtifactsInput!$N$33+1,30,36,42,48,54,60)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9">
      <c r="A1629">
        <f>Skills!A10</f>
        <v/>
      </c>
      <c r="B1629">
        <f>Skills!B10</f>
        <v/>
      </c>
      <c r="C1629">
        <f>Inputs!$B$3&gt;=113</f>
        <v/>
      </c>
      <c r="D1629">
        <f>IF(Skills!C10=1,60+Inputs!$B$25+Inputs!$B$29,IF(Skills!C10=2,90+Inputs!$B$26+Inputs!$B$29,IF(Skills!C10=3,120+Inputs!$B$27+Inputs!$B$29,MAX(0,(Inputs!$B$3-100)*3)+Inputs!$B$28+Inputs!$B$29)))</f>
        <v/>
      </c>
      <c r="E1629">
        <f>INDEX(FactorTable!$B$2:$Y$301, MATCH(ROUND(MIN(300,MAX(1,D1629)),0), FactorTable!$A$2:$A$301,0), Skills!M10+1)</f>
        <v/>
      </c>
      <c r="F1629">
        <f>IF(Skills!N10=TRUE,(Skills!L10/10)*(E1629/1000),Skills!L10/10)+Skills!O10</f>
        <v/>
      </c>
      <c r="G1629">
        <f>Skills!G10*IF(Skills!H10&gt;0,Skills!I10/Skills!H10,1)</f>
        <v/>
      </c>
      <c r="H1629">
        <f>1-(1-Skills!J10/100)^Skills!K10</f>
        <v/>
      </c>
      <c r="I1629" t="inlineStr">
        <is>
          <t>1</t>
        </is>
      </c>
      <c r="J1629">
        <f>((Inputs!$B$6*(1+Inputs!$B$7/100))+(((Inputs!$B$12*(1+Inputs!$B$13/100))-(Inputs!$B$12*(1+Inputs!$B$13/100)))+0.25*(Inputs!$B$14-Inputs!$B$14))*(1+Inputs!$B$7/100))*(F1629/100)</f>
        <v/>
      </c>
      <c r="K1629">
        <f>J1629*(1+((Inputs!$B$12*(1+Inputs!$B$13/100))*0.01+Inputs!$B$14*0.0025)/100)*(1+Inputs!$B$15/100)*(1+Inputs!$B$16/100)*(5000/(6000+Inputs!$B$42*(1-(100*(1-(1-(Inputs!$B$19+0)/100)*(1-CHOOSE(ArtifactsInput!$N$40+1,5,6,7,8,9,10)/100)^(ArtifactsInput!$M$40-ArtifactsInput!$M$40)))/100)))*(1+(Inputs!$B$24+((C1645=TRUE)*(F1645-Calc!F26))+B1655)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1642=TRUE)*(F1642-Calc!F23))+((C1646=TRUE)*(F1646-Calc!F27))+(((IF(AND(ArtifactsInput!$M$42,((Inputs!$B$9+((C1638=TRUE)*(F1638-Calc!F19))+B1649+(ArtifactsInput!$M$24-ArtifactsInput!$M$24)*CHOOSE(ArtifactsInput!$N$24+1,10,12,14,16,18,20)+IF(ArtifactsInput!$M$10,CHOOSE(ArtifactsInput!$N$10+1,15,18,21,24,27,30)*(IF(Inputs!$B$38="pvp",MIN(15,15)/15,IF(AND(Inputs!$B$38&lt;&gt;"pvp",Inputs!$B$43&gt;0),MIN(15,Inputs!$B$43)/(Inputs!$B$43),0))),0)))&gt;=100),MIN(100,((Inputs!$B$9+((C1638=TRUE)*(F1638-Calc!F19))+B1649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1638=TRUE)*(F1638-Calc!F19))+B1649+(ArtifactsInput!$M$24-ArtifactsInput!$M$24)*CHOOSE(ArtifactsInput!$N$24+1,10,12,14,16,18,20)+IF(ArtifactsInput!$M$10,CHOOSE(ArtifactsInput!$N$10+1,15,18,21,24,27,30)*(IF(Inputs!$B$38="pvp",MIN(15,15)/15,IF(AND(Inputs!$B$38&lt;&gt;"pvp",Inputs!$B$43&gt;0),MIN(15,Inputs!$B$43)/(Inputs!$B$43),0))),0)))&gt;=100),CHOOSE(ArtifactsInput!$N$42+1,40,48,56,64,72,80),0))))/100)*((1+(((C1636=TRUE)*F1636)+((C1643=TRUE)*(F1643-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1629)</f>
        <v/>
      </c>
      <c r="L1629">
        <f>K1629*(MIN(Inputs!$B$22+((C1641=TRUE)*(F1641-Calc!F22)),(Inputs!$B$23+0+(IF(ArtifactsInput!$M$15,CHOOSE(ArtifactsInput!$N$15+1,25,30,35,40,45,50)/100*(Inputs!$B$11-Inputs!$B$11),0))))/100+(Inputs!$B$23+0+(IF(ArtifactsInput!$M$15,CHOOSE(ArtifactsInput!$N$15+1,25,30,35,40,45,50)/100*(Inputs!$B$11-Inputs!$B$11),0)))/100)/2</f>
        <v/>
      </c>
      <c r="M1629">
        <f>L1629*(1+(Inputs!$B$10+((C1644=TRUE)*(F1644-Calc!F25))+B1654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9">
        <f>L1629*(1-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1629*(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9">
        <f>(1-Summary!$B$11)*T1629+Summary!$B$11*V1629</f>
        <v/>
      </c>
      <c r="P1629">
        <f>IF(B1659=0,0,O1629/B1659)</f>
        <v/>
      </c>
      <c r="Q1629">
        <f>IFERROR(1/(IF(Inputs!$B$38="pvp",15,MAX(0.1,Skills!D10-IF(Skills!E10=TRUE,Inputs!$B$32,0)))*(1-IF(AND(ArtifactsInput!$M$27,Inputs!$B$4="Chapter Hunt"),CHOOSE(ArtifactsInput!$N$27+1,20,24,28,32,36,40),0)/100)),0)</f>
        <v/>
      </c>
      <c r="R1629">
        <f>IF(AND(Inputs!$B$38&lt;&gt;"pvp",Inputs!$B$43&gt;0),IF(MAX(0,Inputs!$B$43-B1656)&lt;=0,0,(INT(MAX(0,Inputs!$B$43-B1656)/(IF(Inputs!$B$38="pvp",15,MAX(0.1,Skills!D10-IF(Skills!E10=TRUE,Inputs!$B$32,0)))*(1-IF(AND(ArtifactsInput!$M$27,Inputs!$B$4="Chapter Hunt"),CHOOSE(ArtifactsInput!$N$27+1,20,24,28,32,36,40),0)/100)))+1)),0)</f>
        <v/>
      </c>
      <c r="S1629">
        <f>IFERROR(O1629/N1629,0)</f>
        <v/>
      </c>
      <c r="T1629">
        <f>IF(C1629,(H1629*N1629*IF(AND(Inputs!$B$38&lt;&gt;"pvp",Inputs!$B$43&gt;0),((Skills!G10*((R1629-1)*IF(Skills!H10&gt;0,Skills!I10/Skills!H10,1)+IF(Skills!H10&gt;0,MIN(Skills!I10,MAX(0,MAX(0,Inputs!$B$43-B1656)-((R1629-1)*(IF(Inputs!$B$38="pvp",15,MAX(0.1,Skills!D10-IF(Skills!E10=TRUE,Inputs!$B$32,0)))*(1-IF(AND(ArtifactsInput!$M$27,Inputs!$B$4="Chapter Hunt"),CHOOSE(ArtifactsInput!$N$27+1,20,24,28,32,36,40),0)/100)))))/Skills!H10,1)))/Inputs!$B$43),G1629*Q1629)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1629*(1-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1629*(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1629*(1-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1629*(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9">
        <f>IF(C1629,(H1629*N1629*IF(AND(Inputs!$B$38&lt;&gt;"pvp",Inputs!$B$43&gt;0),((Skills!G10*((R1629-1)*IF(Skills!H10&gt;0,Skills!I10/Skills!H10,1)+IF(Skills!H10&gt;0,MIN(Skills!I10,MAX(0,MAX(0,Inputs!$B$43-B1656)-((R1629-1)*(IF(Inputs!$B$38="pvp",15,MAX(0.1,Skills!D10-IF(Skills!E10=TRUE,Inputs!$B$32,0)))*(1-IF(AND(ArtifactsInput!$M$27,Inputs!$B$4="Chapter Hunt"),CHOOSE(ArtifactsInput!$N$27+1,20,24,28,32,36,40),0)/100)))))/Skills!H10,1)))/Inputs!$B$43),G1629*Q1629))*IF(Inputs!$B$38="pvp",1,(1+(Inputs!$B$21+Skills!Q10+(IF(ArtifactsInput!$M$33,CHOOSE(ArtifactsInput!$N$33+1,30,36,42,48,54,60)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0">
      <c r="A1630">
        <f>Skills!A11</f>
        <v/>
      </c>
      <c r="B1630">
        <f>Skills!B11</f>
        <v/>
      </c>
      <c r="C1630">
        <f>Inputs!$B$3&gt;=107</f>
        <v/>
      </c>
      <c r="D1630">
        <f>IF(Skills!C11=1,60+Inputs!$B$25+Inputs!$B$29,IF(Skills!C11=2,90+Inputs!$B$26+Inputs!$B$29,IF(Skills!C11=3,120+Inputs!$B$27+Inputs!$B$29,MAX(0,(Inputs!$B$3-100)*3)+Inputs!$B$28+Inputs!$B$29)))</f>
        <v/>
      </c>
      <c r="E1630">
        <f>INDEX(FactorTable!$B$2:$Y$301, MATCH(ROUND(MIN(300,MAX(1,D1630)),0), FactorTable!$A$2:$A$301,0), Skills!M11+1)</f>
        <v/>
      </c>
      <c r="F1630">
        <f>IF(Skills!N11=TRUE,(Skills!L11/10)*(E1630/1000),Skills!L11/10)+Skills!O11</f>
        <v/>
      </c>
      <c r="G1630">
        <f>Skills!G11*IF(Skills!H11&gt;0,Skills!I11/Skills!H11,1)</f>
        <v/>
      </c>
      <c r="H1630">
        <f>1-(1-Skills!J11/100)^Skills!K11</f>
        <v/>
      </c>
      <c r="I1630" t="inlineStr">
        <is>
          <t>1</t>
        </is>
      </c>
      <c r="J1630">
        <f>((Inputs!$B$6*(1+Inputs!$B$7/100))+(((Inputs!$B$12*(1+Inputs!$B$13/100))-(Inputs!$B$12*(1+Inputs!$B$13/100)))+0.25*(Inputs!$B$14-Inputs!$B$14))*(1+Inputs!$B$7/100))*(F1630/100)</f>
        <v/>
      </c>
      <c r="K1630">
        <f>J1630*(1+((Inputs!$B$12*(1+Inputs!$B$13/100))*0.01+Inputs!$B$14*0.0025)/100)*(1+Inputs!$B$15/100)*(1+Inputs!$B$16/100)*(5000/(6000+Inputs!$B$42*(1-(100*(1-(1-(Inputs!$B$19+0)/100)*(1-CHOOSE(ArtifactsInput!$N$40+1,5,6,7,8,9,10)/100)^(ArtifactsInput!$M$40-ArtifactsInput!$M$40)))/100)))*(1+(Inputs!$B$24+((C1645=TRUE)*(F1645-Calc!F26))+B1655)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1642=TRUE)*(F1642-Calc!F23))+((C1646=TRUE)*(F1646-Calc!F27))+(((IF(AND(ArtifactsInput!$M$42,((Inputs!$B$9+((C1638=TRUE)*(F1638-Calc!F19))+B1649+(ArtifactsInput!$M$24-ArtifactsInput!$M$24)*CHOOSE(ArtifactsInput!$N$24+1,10,12,14,16,18,20)+IF(ArtifactsInput!$M$10,CHOOSE(ArtifactsInput!$N$10+1,15,18,21,24,27,30)*(IF(Inputs!$B$38="pvp",MIN(15,15)/15,IF(AND(Inputs!$B$38&lt;&gt;"pvp",Inputs!$B$43&gt;0),MIN(15,Inputs!$B$43)/(Inputs!$B$43),0))),0)))&gt;=100),MIN(100,((Inputs!$B$9+((C1638=TRUE)*(F1638-Calc!F19))+B1649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1638=TRUE)*(F1638-Calc!F19))+B1649+(ArtifactsInput!$M$24-ArtifactsInput!$M$24)*CHOOSE(ArtifactsInput!$N$24+1,10,12,14,16,18,20)+IF(ArtifactsInput!$M$10,CHOOSE(ArtifactsInput!$N$10+1,15,18,21,24,27,30)*(IF(Inputs!$B$38="pvp",MIN(15,15)/15,IF(AND(Inputs!$B$38&lt;&gt;"pvp",Inputs!$B$43&gt;0),MIN(15,Inputs!$B$43)/(Inputs!$B$43),0))),0)))&gt;=100),CHOOSE(ArtifactsInput!$N$42+1,40,48,56,64,72,80),0))))/100)*((1+(((C1636=TRUE)*F1636)+((C1643=TRUE)*(F1643-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1630)</f>
        <v/>
      </c>
      <c r="L1630">
        <f>K1630*(MIN(Inputs!$B$22+((C1641=TRUE)*(F1641-Calc!F22)),(Inputs!$B$23+0+(IF(ArtifactsInput!$M$15,CHOOSE(ArtifactsInput!$N$15+1,25,30,35,40,45,50)/100*(Inputs!$B$11-Inputs!$B$11),0))))/100+(Inputs!$B$23+0+(IF(ArtifactsInput!$M$15,CHOOSE(ArtifactsInput!$N$15+1,25,30,35,40,45,50)/100*(Inputs!$B$11-Inputs!$B$11),0)))/100)/2</f>
        <v/>
      </c>
      <c r="M1630">
        <f>L1630*(1+(Inputs!$B$10+((C1644=TRUE)*(F1644-Calc!F25))+B1654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0">
        <f>L1630*(1-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1630*(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0">
        <f>(1-Summary!$B$11)*T1630+Summary!$B$11*V1630</f>
        <v/>
      </c>
      <c r="P1630">
        <f>IF(B1659=0,0,O1630/B1659)</f>
        <v/>
      </c>
      <c r="Q1630">
        <f>IFERROR(1/(IF(Inputs!$B$38="pvp",15,MAX(0.1,Skills!D11-IF(Skills!E11=TRUE,Inputs!$B$32,0)))*(1-IF(AND(ArtifactsInput!$M$27,Inputs!$B$4="Chapter Hunt"),CHOOSE(ArtifactsInput!$N$27+1,20,24,28,32,36,40),0)/100)),0)</f>
        <v/>
      </c>
      <c r="R1630">
        <f>IF(AND(Inputs!$B$38&lt;&gt;"pvp",Inputs!$B$43&gt;0),IF(MAX(0,Inputs!$B$43-B1656)&lt;=0,0,(INT(MAX(0,Inputs!$B$43-B1656)/(IF(Inputs!$B$38="pvp",15,MAX(0.1,Skills!D11-IF(Skills!E11=TRUE,Inputs!$B$32,0)))*(1-IF(AND(ArtifactsInput!$M$27,Inputs!$B$4="Chapter Hunt"),CHOOSE(ArtifactsInput!$N$27+1,20,24,28,32,36,40),0)/100)))+1)),0)</f>
        <v/>
      </c>
      <c r="S1630">
        <f>IFERROR(O1630/N1630,0)</f>
        <v/>
      </c>
      <c r="T1630">
        <f>IF(C1630,(H1630*N1630*IF(AND(Inputs!$B$38&lt;&gt;"pvp",Inputs!$B$43&gt;0),((Skills!G11*((R1630-1)*IF(Skills!H11&gt;0,Skills!I11/Skills!H11,1)+IF(Skills!H11&gt;0,MIN(Skills!I11,MAX(0,MAX(0,Inputs!$B$43-B1656)-((R1630-1)*(IF(Inputs!$B$38="pvp",15,MAX(0.1,Skills!D11-IF(Skills!E11=TRUE,Inputs!$B$32,0)))*(1-IF(AND(ArtifactsInput!$M$27,Inputs!$B$4="Chapter Hunt"),CHOOSE(ArtifactsInput!$N$27+1,20,24,28,32,36,40),0)/100)))))/Skills!H11,1)))/Inputs!$B$43),G1630*Q1630)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1630*(1-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1630*(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1630*(1-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1630*(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0">
        <f>IF(C1630,(H1630*N1630*IF(AND(Inputs!$B$38&lt;&gt;"pvp",Inputs!$B$43&gt;0),((Skills!G11*((R1630-1)*IF(Skills!H11&gt;0,Skills!I11/Skills!H11,1)+IF(Skills!H11&gt;0,MIN(Skills!I11,MAX(0,MAX(0,Inputs!$B$43-B1656)-((R1630-1)*(IF(Inputs!$B$38="pvp",15,MAX(0.1,Skills!D11-IF(Skills!E11=TRUE,Inputs!$B$32,0)))*(1-IF(AND(ArtifactsInput!$M$27,Inputs!$B$4="Chapter Hunt"),CHOOSE(ArtifactsInput!$N$27+1,20,24,28,32,36,40),0)/100)))))/Skills!H11,1)))/Inputs!$B$43),G1630*Q1630))*IF(Inputs!$B$38="pvp",1,(1+(Inputs!$B$21+Skills!Q11+(IF(ArtifactsInput!$M$33,CHOOSE(ArtifactsInput!$N$33+1,30,36,42,48,54,60)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1">
      <c r="A1631">
        <f>Skills!A12</f>
        <v/>
      </c>
      <c r="B1631">
        <f>Skills!B12</f>
        <v/>
      </c>
      <c r="C1631">
        <f>Inputs!$B$3&gt;=110</f>
        <v/>
      </c>
      <c r="D1631">
        <f>IF(Skills!C12=1,60+Inputs!$B$25+Inputs!$B$29,IF(Skills!C12=2,90+Inputs!$B$26+Inputs!$B$29,IF(Skills!C12=3,120+Inputs!$B$27+Inputs!$B$29,MAX(0,(Inputs!$B$3-100)*3)+Inputs!$B$28+Inputs!$B$29)))</f>
        <v/>
      </c>
      <c r="E1631">
        <f>INDEX(FactorTable!$B$2:$Y$301, MATCH(ROUND(MIN(300,MAX(1,D1631)),0), FactorTable!$A$2:$A$301,0), Skills!M12+1)</f>
        <v/>
      </c>
      <c r="F1631">
        <f>IF(Skills!N12=TRUE,(Skills!L12/10)*(E1631/1000),Skills!L12/10)+Skills!O12</f>
        <v/>
      </c>
      <c r="G1631">
        <f>Skills!G12*IF(Skills!H12&gt;0,Skills!I12/Skills!H12,1)</f>
        <v/>
      </c>
      <c r="H1631">
        <f>1-(1-Skills!J12/100)^Skills!K12</f>
        <v/>
      </c>
      <c r="I1631" t="inlineStr">
        <is>
          <t>1</t>
        </is>
      </c>
      <c r="J1631">
        <f>((Inputs!$B$6*(1+Inputs!$B$7/100))+(((Inputs!$B$12*(1+Inputs!$B$13/100))-(Inputs!$B$12*(1+Inputs!$B$13/100)))+0.25*(Inputs!$B$14-Inputs!$B$14))*(1+Inputs!$B$7/100))*(F1631/100)</f>
        <v/>
      </c>
      <c r="K1631">
        <f>J1631*(1+((Inputs!$B$12*(1+Inputs!$B$13/100))*0.01+Inputs!$B$14*0.0025)/100)*(1+Inputs!$B$15/100)*(1+Inputs!$B$16/100)*(5000/(6000+Inputs!$B$42*(1-(100*(1-(1-(Inputs!$B$19+0)/100)*(1-CHOOSE(ArtifactsInput!$N$40+1,5,6,7,8,9,10)/100)^(ArtifactsInput!$M$40-ArtifactsInput!$M$40)))/100)))*(1+(Inputs!$B$24+((C1645=TRUE)*(F1645-Calc!F26))+B1655)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1642=TRUE)*(F1642-Calc!F23))+((C1646=TRUE)*(F1646-Calc!F27))+(((IF(AND(ArtifactsInput!$M$42,((Inputs!$B$9+((C1638=TRUE)*(F1638-Calc!F19))+B1649+(ArtifactsInput!$M$24-ArtifactsInput!$M$24)*CHOOSE(ArtifactsInput!$N$24+1,10,12,14,16,18,20)+IF(ArtifactsInput!$M$10,CHOOSE(ArtifactsInput!$N$10+1,15,18,21,24,27,30)*(IF(Inputs!$B$38="pvp",MIN(15,15)/15,IF(AND(Inputs!$B$38&lt;&gt;"pvp",Inputs!$B$43&gt;0),MIN(15,Inputs!$B$43)/(Inputs!$B$43),0))),0)))&gt;=100),MIN(100,((Inputs!$B$9+((C1638=TRUE)*(F1638-Calc!F19))+B1649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1638=TRUE)*(F1638-Calc!F19))+B1649+(ArtifactsInput!$M$24-ArtifactsInput!$M$24)*CHOOSE(ArtifactsInput!$N$24+1,10,12,14,16,18,20)+IF(ArtifactsInput!$M$10,CHOOSE(ArtifactsInput!$N$10+1,15,18,21,24,27,30)*(IF(Inputs!$B$38="pvp",MIN(15,15)/15,IF(AND(Inputs!$B$38&lt;&gt;"pvp",Inputs!$B$43&gt;0),MIN(15,Inputs!$B$43)/(Inputs!$B$43),0))),0)))&gt;=100),CHOOSE(ArtifactsInput!$N$42+1,40,48,56,64,72,80),0))))/100)*((1+(((C1636=TRUE)*F1636)+((C1643=TRUE)*(F1643-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1631)</f>
        <v/>
      </c>
      <c r="L1631">
        <f>K1631*(MIN(Inputs!$B$22+((C1641=TRUE)*(F1641-Calc!F22)),(Inputs!$B$23+0+(IF(ArtifactsInput!$M$15,CHOOSE(ArtifactsInput!$N$15+1,25,30,35,40,45,50)/100*(Inputs!$B$11-Inputs!$B$11),0))))/100+(Inputs!$B$23+0+(IF(ArtifactsInput!$M$15,CHOOSE(ArtifactsInput!$N$15+1,25,30,35,40,45,50)/100*(Inputs!$B$11-Inputs!$B$11),0)))/100)/2</f>
        <v/>
      </c>
      <c r="M1631">
        <f>L1631*(1+(Inputs!$B$10+((C1644=TRUE)*(F1644-Calc!F25))+B1654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1">
        <f>L1631*(1-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1">
        <f>(1-Summary!$B$11)*T1631+Summary!$B$11*V1631</f>
        <v/>
      </c>
      <c r="P1631">
        <f>IF(B1659=0,0,O1631/B1659)</f>
        <v/>
      </c>
      <c r="Q1631">
        <f>IFERROR(1/(IF(Inputs!$B$38="pvp",15,MAX(0.1,Skills!D12-IF(Skills!E12=TRUE,Inputs!$B$32,0)))*(1-IF(AND(ArtifactsInput!$M$27,Inputs!$B$4="Chapter Hunt"),CHOOSE(ArtifactsInput!$N$27+1,20,24,28,32,36,40),0)/100)),0)</f>
        <v/>
      </c>
      <c r="R1631">
        <f>IF(AND(Inputs!$B$38&lt;&gt;"pvp",Inputs!$B$43&gt;0),IF(MAX(0,Inputs!$B$43-B1656)&lt;=0,0,(INT(MAX(0,Inputs!$B$43-B1656)/(IF(Inputs!$B$38="pvp",15,MAX(0.1,Skills!D12-IF(Skills!E12=TRUE,Inputs!$B$32,0)))*(1-IF(AND(ArtifactsInput!$M$27,Inputs!$B$4="Chapter Hunt"),CHOOSE(ArtifactsInput!$N$27+1,20,24,28,32,36,40),0)/100)))+1)),0)</f>
        <v/>
      </c>
      <c r="S1631">
        <f>IFERROR(O1631/N1631,0)</f>
        <v/>
      </c>
      <c r="T1631">
        <f>IF(C1631,(H1631*N1631*IF(AND(Inputs!$B$38&lt;&gt;"pvp",Inputs!$B$43&gt;0),((Skills!G12*((R1631-1)*IF(Skills!H12&gt;0,Skills!I12/Skills!H12,1)+IF(Skills!H12&gt;0,MIN(Skills!I12,MAX(0,MAX(0,Inputs!$B$43-B1656)-((R1631-1)*(IF(Inputs!$B$38="pvp",15,MAX(0.1,Skills!D12-IF(Skills!E12=TRUE,Inputs!$B$32,0)))*(1-IF(AND(ArtifactsInput!$M$27,Inputs!$B$4="Chapter Hunt"),CHOOSE(ArtifactsInput!$N$27+1,20,24,28,32,36,40),0)/100)))))/Skills!H12,1)))/Inputs!$B$43),G1631*Q1631)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1631*(1-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1">
        <f>IF(C1631,(H1631*N1631*IF(AND(Inputs!$B$38&lt;&gt;"pvp",Inputs!$B$43&gt;0),((Skills!G12*((R1631-1)*IF(Skills!H12&gt;0,Skills!I12/Skills!H12,1)+IF(Skills!H12&gt;0,MIN(Skills!I12,MAX(0,MAX(0,Inputs!$B$43-B1656)-((R1631-1)*(IF(Inputs!$B$38="pvp",15,MAX(0.1,Skills!D12-IF(Skills!E12=TRUE,Inputs!$B$32,0)))*(1-IF(AND(ArtifactsInput!$M$27,Inputs!$B$4="Chapter Hunt"),CHOOSE(ArtifactsInput!$N$27+1,20,24,28,32,36,40),0)/100)))))/Skills!H12,1)))/Inputs!$B$43),G1631*Q1631))*IF(Inputs!$B$38="pvp",1,(1+(Inputs!$B$21+Skills!Q12+(IF(ArtifactsInput!$M$33,CHOOSE(ArtifactsInput!$N$33+1,30,36,42,48,54,60)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2">
      <c r="A1632">
        <f>Skills!A13</f>
        <v/>
      </c>
      <c r="B1632">
        <f>Skills!B13</f>
        <v/>
      </c>
      <c r="C1632">
        <f>Inputs!$B$3&gt;=110</f>
        <v/>
      </c>
      <c r="D1632">
        <f>IF(Skills!C13=1,60+Inputs!$B$25+Inputs!$B$29,IF(Skills!C13=2,90+Inputs!$B$26+Inputs!$B$29,IF(Skills!C13=3,120+Inputs!$B$27+Inputs!$B$29,MAX(0,(Inputs!$B$3-100)*3)+Inputs!$B$28+Inputs!$B$29)))</f>
        <v/>
      </c>
      <c r="E1632">
        <f>INDEX(FactorTable!$B$2:$Y$301, MATCH(ROUND(MIN(300,MAX(1,D1632)),0), FactorTable!$A$2:$A$301,0), Skills!M13+1)</f>
        <v/>
      </c>
      <c r="F1632">
        <f>IF(Skills!N13=TRUE,(Skills!L13/10)*(E1632/1000),Skills!L13/10)+Skills!O13</f>
        <v/>
      </c>
      <c r="G1632">
        <f>Skills!G13*IF(Skills!H13&gt;0,Skills!I13/Skills!H13,1)</f>
        <v/>
      </c>
      <c r="H1632">
        <f>1-(1-Skills!J13/100)^Skills!K13</f>
        <v/>
      </c>
      <c r="I1632" t="inlineStr">
        <is>
          <t>1</t>
        </is>
      </c>
      <c r="J1632">
        <f>((Inputs!$B$6*(1+Inputs!$B$7/100))+(((Inputs!$B$12*(1+Inputs!$B$13/100))-(Inputs!$B$12*(1+Inputs!$B$13/100)))+0.25*(Inputs!$B$14-Inputs!$B$14))*(1+Inputs!$B$7/100))*(F1632/100)</f>
        <v/>
      </c>
      <c r="K1632">
        <f>J1632*(1+((Inputs!$B$12*(1+Inputs!$B$13/100))*0.01+Inputs!$B$14*0.0025)/100)*(1+Inputs!$B$15/100)*(1+Inputs!$B$16/100)*(5000/(6000+Inputs!$B$42*(1-(100*(1-(1-(Inputs!$B$19+0)/100)*(1-CHOOSE(ArtifactsInput!$N$40+1,5,6,7,8,9,10)/100)^(ArtifactsInput!$M$40-ArtifactsInput!$M$40)))/100)))*(1+(Inputs!$B$24+((C1645=TRUE)*(F1645-Calc!F26))+B1655)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1642=TRUE)*(F1642-Calc!F23))+((C1646=TRUE)*(F1646-Calc!F27))+(((IF(AND(ArtifactsInput!$M$42,((Inputs!$B$9+((C1638=TRUE)*(F1638-Calc!F19))+B1649+(ArtifactsInput!$M$24-ArtifactsInput!$M$24)*CHOOSE(ArtifactsInput!$N$24+1,10,12,14,16,18,20)+IF(ArtifactsInput!$M$10,CHOOSE(ArtifactsInput!$N$10+1,15,18,21,24,27,30)*(IF(Inputs!$B$38="pvp",MIN(15,15)/15,IF(AND(Inputs!$B$38&lt;&gt;"pvp",Inputs!$B$43&gt;0),MIN(15,Inputs!$B$43)/(Inputs!$B$43),0))),0)))&gt;=100),MIN(100,((Inputs!$B$9+((C1638=TRUE)*(F1638-Calc!F19))+B1649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1638=TRUE)*(F1638-Calc!F19))+B1649+(ArtifactsInput!$M$24-ArtifactsInput!$M$24)*CHOOSE(ArtifactsInput!$N$24+1,10,12,14,16,18,20)+IF(ArtifactsInput!$M$10,CHOOSE(ArtifactsInput!$N$10+1,15,18,21,24,27,30)*(IF(Inputs!$B$38="pvp",MIN(15,15)/15,IF(AND(Inputs!$B$38&lt;&gt;"pvp",Inputs!$B$43&gt;0),MIN(15,Inputs!$B$43)/(Inputs!$B$43),0))),0)))&gt;=100),CHOOSE(ArtifactsInput!$N$42+1,40,48,56,64,72,80),0))))/100)*((1+(((C1636=TRUE)*F1636)+((C1643=TRUE)*(F1643-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1632)</f>
        <v/>
      </c>
      <c r="L1632">
        <f>K1632*(MIN(Inputs!$B$22+((C1641=TRUE)*(F1641-Calc!F22)),(Inputs!$B$23+0+(IF(ArtifactsInput!$M$15,CHOOSE(ArtifactsInput!$N$15+1,25,30,35,40,45,50)/100*(Inputs!$B$11-Inputs!$B$11),0))))/100+(Inputs!$B$23+0+(IF(ArtifactsInput!$M$15,CHOOSE(ArtifactsInput!$N$15+1,25,30,35,40,45,50)/100*(Inputs!$B$11-Inputs!$B$11),0)))/100)/2</f>
        <v/>
      </c>
      <c r="M1632">
        <f>L1632*(1+(Inputs!$B$10+((C1644=TRUE)*(F1644-Calc!F25))+B1654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2">
        <f>L1632*(1-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1632*(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2">
        <f>(1-Summary!$B$11)*T1632+Summary!$B$11*V1632</f>
        <v/>
      </c>
      <c r="P1632">
        <f>IF(B1659=0,0,O1632/B1659)</f>
        <v/>
      </c>
      <c r="Q1632">
        <f>IFERROR(1/(IF(Inputs!$B$38="pvp",15,MAX(0.1,Skills!D13-IF(Skills!E13=TRUE,Inputs!$B$32,0)))*(1-IF(AND(ArtifactsInput!$M$27,Inputs!$B$4="Chapter Hunt"),CHOOSE(ArtifactsInput!$N$27+1,20,24,28,32,36,40),0)/100)),0)</f>
        <v/>
      </c>
      <c r="R1632">
        <f>IF(AND(Inputs!$B$38&lt;&gt;"pvp",Inputs!$B$43&gt;0),IF(MAX(0,Inputs!$B$43-B1656)&lt;=0,0,(INT(MAX(0,Inputs!$B$43-B1656)/(IF(Inputs!$B$38="pvp",15,MAX(0.1,Skills!D13-IF(Skills!E13=TRUE,Inputs!$B$32,0)))*(1-IF(AND(ArtifactsInput!$M$27,Inputs!$B$4="Chapter Hunt"),CHOOSE(ArtifactsInput!$N$27+1,20,24,28,32,36,40),0)/100)))+1)),0)</f>
        <v/>
      </c>
      <c r="S1632">
        <f>IFERROR(O1632/N1632,0)</f>
        <v/>
      </c>
      <c r="T1632">
        <f>IF(C1632,(H1632*N1632*IF(AND(Inputs!$B$38&lt;&gt;"pvp",Inputs!$B$43&gt;0),((Skills!G13*((R1632-1)*IF(Skills!H13&gt;0,Skills!I13/Skills!H13,1)+IF(Skills!H13&gt;0,MIN(Skills!I13,MAX(0,MAX(0,Inputs!$B$43-B1656)-((R1632-1)*(IF(Inputs!$B$38="pvp",15,MAX(0.1,Skills!D13-IF(Skills!E13=TRUE,Inputs!$B$32,0)))*(1-IF(AND(ArtifactsInput!$M$27,Inputs!$B$4="Chapter Hunt"),CHOOSE(ArtifactsInput!$N$27+1,20,24,28,32,36,40),0)/100)))))/Skills!H13,1)))/Inputs!$B$43),G1632*Q1632)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1632*(1-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1632*(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1632*(1-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1632*(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2">
        <f>IF(C1632,(H1632*N1632*IF(AND(Inputs!$B$38&lt;&gt;"pvp",Inputs!$B$43&gt;0),((Skills!G13*((R1632-1)*IF(Skills!H13&gt;0,Skills!I13/Skills!H13,1)+IF(Skills!H13&gt;0,MIN(Skills!I13,MAX(0,MAX(0,Inputs!$B$43-B1656)-((R1632-1)*(IF(Inputs!$B$38="pvp",15,MAX(0.1,Skills!D13-IF(Skills!E13=TRUE,Inputs!$B$32,0)))*(1-IF(AND(ArtifactsInput!$M$27,Inputs!$B$4="Chapter Hunt"),CHOOSE(ArtifactsInput!$N$27+1,20,24,28,32,36,40),0)/100)))))/Skills!H13,1)))/Inputs!$B$43),G1632*Q1632))*IF(Inputs!$B$38="pvp",1,(1+(Inputs!$B$21+Skills!Q13+(IF(ArtifactsInput!$M$33,CHOOSE(ArtifactsInput!$N$33+1,30,36,42,48,54,60)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3">
      <c r="A1633">
        <f>Skills!A14</f>
        <v/>
      </c>
      <c r="B1633">
        <f>Skills!B14</f>
        <v/>
      </c>
      <c r="C1633">
        <f>Inputs!$B$3&gt;=125</f>
        <v/>
      </c>
      <c r="D1633">
        <f>IF(Skills!C14=1,60+Inputs!$B$25+Inputs!$B$29,IF(Skills!C14=2,90+Inputs!$B$26+Inputs!$B$29,IF(Skills!C14=3,120+Inputs!$B$27+Inputs!$B$29,MAX(0,(Inputs!$B$3-100)*3)+Inputs!$B$28+Inputs!$B$29)))</f>
        <v/>
      </c>
      <c r="E1633">
        <f>INDEX(FactorTable!$B$2:$Y$301, MATCH(ROUND(MIN(300,MAX(1,D1633)),0), FactorTable!$A$2:$A$301,0), Skills!M14+1)</f>
        <v/>
      </c>
      <c r="F1633">
        <f>IF(Skills!N14=TRUE,(Skills!L14/10)*(E1633/1000),Skills!L14/10)+Skills!O14</f>
        <v/>
      </c>
      <c r="G1633">
        <f>Skills!G14*IF(Skills!H14&gt;0,Skills!I14/Skills!H14,1)</f>
        <v/>
      </c>
      <c r="H1633">
        <f>1-(1-Skills!J14/100)^Skills!K14</f>
        <v/>
      </c>
      <c r="I1633" t="inlineStr">
        <is>
          <t>1</t>
        </is>
      </c>
      <c r="J1633">
        <f>((Inputs!$B$6*(1+Inputs!$B$7/100))+(((Inputs!$B$12*(1+Inputs!$B$13/100))-(Inputs!$B$12*(1+Inputs!$B$13/100)))+0.25*(Inputs!$B$14-Inputs!$B$14))*(1+Inputs!$B$7/100))*(F1633/100)</f>
        <v/>
      </c>
      <c r="K1633">
        <f>J1633*(1+((Inputs!$B$12*(1+Inputs!$B$13/100))*0.01+Inputs!$B$14*0.0025)/100)*(1+Inputs!$B$15/100)*(1+Inputs!$B$16/100)*(5000/(6000+Inputs!$B$42*(1-(100*(1-(1-(Inputs!$B$19+0)/100)*(1-CHOOSE(ArtifactsInput!$N$40+1,5,6,7,8,9,10)/100)^(ArtifactsInput!$M$40-ArtifactsInput!$M$40)))/100)))*(1+(Inputs!$B$24+((C1645=TRUE)*(F1645-Calc!F26))+B1655)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1642=TRUE)*(F1642-Calc!F23))+((C1646=TRUE)*(F1646-Calc!F27))+(((IF(AND(ArtifactsInput!$M$42,((Inputs!$B$9+((C1638=TRUE)*(F1638-Calc!F19))+B1649+(ArtifactsInput!$M$24-ArtifactsInput!$M$24)*CHOOSE(ArtifactsInput!$N$24+1,10,12,14,16,18,20)+IF(ArtifactsInput!$M$10,CHOOSE(ArtifactsInput!$N$10+1,15,18,21,24,27,30)*(IF(Inputs!$B$38="pvp",MIN(15,15)/15,IF(AND(Inputs!$B$38&lt;&gt;"pvp",Inputs!$B$43&gt;0),MIN(15,Inputs!$B$43)/(Inputs!$B$43),0))),0)))&gt;=100),MIN(100,((Inputs!$B$9+((C1638=TRUE)*(F1638-Calc!F19))+B1649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1638=TRUE)*(F1638-Calc!F19))+B1649+(ArtifactsInput!$M$24-ArtifactsInput!$M$24)*CHOOSE(ArtifactsInput!$N$24+1,10,12,14,16,18,20)+IF(ArtifactsInput!$M$10,CHOOSE(ArtifactsInput!$N$10+1,15,18,21,24,27,30)*(IF(Inputs!$B$38="pvp",MIN(15,15)/15,IF(AND(Inputs!$B$38&lt;&gt;"pvp",Inputs!$B$43&gt;0),MIN(15,Inputs!$B$43)/(Inputs!$B$43),0))),0)))&gt;=100),CHOOSE(ArtifactsInput!$N$42+1,40,48,56,64,72,80),0))))/100)*((1+(((C1636=TRUE)*F1636)+((C1643=TRUE)*(F1643-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1633)</f>
        <v/>
      </c>
      <c r="L1633">
        <f>K1633*(MIN(Inputs!$B$22+((C1641=TRUE)*(F1641-Calc!F22)),(Inputs!$B$23+0+(IF(ArtifactsInput!$M$15,CHOOSE(ArtifactsInput!$N$15+1,25,30,35,40,45,50)/100*(Inputs!$B$11-Inputs!$B$11),0))))/100+(Inputs!$B$23+0+(IF(ArtifactsInput!$M$15,CHOOSE(ArtifactsInput!$N$15+1,25,30,35,40,45,50)/100*(Inputs!$B$11-Inputs!$B$11),0)))/100)/2</f>
        <v/>
      </c>
      <c r="M1633">
        <f>L1633*(1+(Inputs!$B$10+((C1644=TRUE)*(F1644-Calc!F25))+B1654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3">
        <f>L1633*(1-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1633*(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3">
        <f>(1-Summary!$B$11)*T1633+Summary!$B$11*V1633</f>
        <v/>
      </c>
      <c r="P1633">
        <f>IF(B1659=0,0,O1633/B1659)</f>
        <v/>
      </c>
      <c r="Q1633" t="n">
        <v>0</v>
      </c>
      <c r="R1633" t="n">
        <v>0</v>
      </c>
      <c r="S1633">
        <f>IFERROR(O1633/N1633,0)</f>
        <v/>
      </c>
      <c r="T1633">
        <f>IF(C1633,(H1633*N1633*(B1653+IF(AND(Inputs!$B$38&lt;&gt;"pvp",Inputs!$B$43&gt;0),((Skills!G8*((R1627-1)*IF(Skills!H8&gt;0,Skills!I8/Skills!H8,1)+IF(Skills!H8&gt;0,MIN(Skills!I8,MAX(0,MAX(0,Inputs!$B$43-B1656)-((R1627-1)*(IF(Inputs!$B$38="pvp",15,MAX(0.1,Skills!D8-IF(Skills!E8=TRUE,Inputs!$B$32,0)))*(1-IF(AND(ArtifactsInput!$M$27,Inputs!$B$4="Chapter Hunt"),CHOOSE(ArtifactsInput!$N$27+1,20,24,28,32,36,40),0)/100)))))/Skills!H8,1)))/Inputs!$B$43),G1627*Q1627)+IF(AND(Inputs!$B$38&lt;&gt;"pvp",Inputs!$B$43&gt;0),((Skills!G11*((R1630-1)*IF(Skills!H11&gt;0,Skills!I11/Skills!H11,1)+IF(Skills!H11&gt;0,MIN(Skills!I11,MAX(0,MAX(0,Inputs!$B$43-B1656)-((R1630-1)*(IF(Inputs!$B$38="pvp",15,MAX(0.1,Skills!D11-IF(Skills!E11=TRUE,Inputs!$B$32,0)))*(1-IF(AND(ArtifactsInput!$M$27,Inputs!$B$4="Chapter Hunt"),CHOOSE(ArtifactsInput!$N$27+1,20,24,28,32,36,40),0)/100)))))/Skills!H11,1)))/Inputs!$B$43),G1630*Q1630)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1633*(1-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1633*(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1633*(1-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1633*(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3">
        <f>IF(C1633,(H1633*N1633*(B1653+IF(AND(Inputs!$B$38&lt;&gt;"pvp",Inputs!$B$43&gt;0),((Skills!G8*((R1627-1)*IF(Skills!H8&gt;0,Skills!I8/Skills!H8,1)+IF(Skills!H8&gt;0,MIN(Skills!I8,MAX(0,MAX(0,Inputs!$B$43-B1656)-((R1627-1)*(IF(Inputs!$B$38="pvp",15,MAX(0.1,Skills!D8-IF(Skills!E8=TRUE,Inputs!$B$32,0)))*(1-IF(AND(ArtifactsInput!$M$27,Inputs!$B$4="Chapter Hunt"),CHOOSE(ArtifactsInput!$N$27+1,20,24,28,32,36,40),0)/100)))))/Skills!H8,1)))/Inputs!$B$43),G1627*Q1627)+IF(AND(Inputs!$B$38&lt;&gt;"pvp",Inputs!$B$43&gt;0),((Skills!G11*((R1630-1)*IF(Skills!H11&gt;0,Skills!I11/Skills!H11,1)+IF(Skills!H11&gt;0,MIN(Skills!I11,MAX(0,MAX(0,Inputs!$B$43-B1656)-((R1630-1)*(IF(Inputs!$B$38="pvp",15,MAX(0.1,Skills!D11-IF(Skills!E11=TRUE,Inputs!$B$32,0)))*(1-IF(AND(ArtifactsInput!$M$27,Inputs!$B$4="Chapter Hunt"),CHOOSE(ArtifactsInput!$N$27+1,20,24,28,32,36,40),0)/100)))))/Skills!H11,1)))/Inputs!$B$43),G1630*Q1630)))*IF(Inputs!$B$38="pvp",1,(1+(Inputs!$B$21+Skills!Q14+(IF(ArtifactsInput!$M$33,CHOOSE(ArtifactsInput!$N$33+1,30,36,42,48,54,60)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4">
      <c r="A1634">
        <f>Skills!A15</f>
        <v/>
      </c>
      <c r="B1634">
        <f>Skills!B15</f>
        <v/>
      </c>
      <c r="C1634">
        <f>Inputs!$B$3&gt;=100</f>
        <v/>
      </c>
      <c r="D1634">
        <f>IF(Skills!C15=1,60+Inputs!$B$25+Inputs!$B$29,IF(Skills!C15=2,90+Inputs!$B$26+Inputs!$B$29,IF(Skills!C15=3,120+Inputs!$B$27+Inputs!$B$29,MAX(0,(Inputs!$B$3-100)*3)+Inputs!$B$28+Inputs!$B$29)))</f>
        <v/>
      </c>
      <c r="E1634">
        <f>INDEX(FactorTable!$B$2:$Y$301, MATCH(ROUND(MIN(300,MAX(1,D1634)),0), FactorTable!$A$2:$A$301,0), Skills!M15+1)</f>
        <v/>
      </c>
      <c r="F1634">
        <f>IF(Skills!N15=TRUE,(Skills!L15/10)*(E1634/1000),Skills!L15/10)+Skills!O15</f>
        <v/>
      </c>
      <c r="G1634" t="inlineStr"/>
      <c r="H1634" t="inlineStr"/>
      <c r="I1634" t="inlineStr">
        <is>
          <t>1</t>
        </is>
      </c>
      <c r="J1634" t="inlineStr"/>
      <c r="K1634" t="inlineStr"/>
      <c r="L1634" t="inlineStr"/>
      <c r="M1634" t="inlineStr"/>
      <c r="N1634" t="inlineStr"/>
      <c r="O1634" t="inlineStr"/>
      <c r="P1634" t="inlineStr"/>
      <c r="Q1634" t="inlineStr"/>
      <c r="R1634" t="inlineStr"/>
      <c r="S1634" t="inlineStr"/>
    </row>
    <row r="1635">
      <c r="A1635">
        <f>Skills!A16</f>
        <v/>
      </c>
      <c r="B1635">
        <f>Skills!B16</f>
        <v/>
      </c>
      <c r="C1635">
        <f>Inputs!$B$3&gt;=120</f>
        <v/>
      </c>
      <c r="D1635">
        <f>IF(Skills!C16=1,60+Inputs!$B$25+Inputs!$B$29,IF(Skills!C16=2,90+Inputs!$B$26+Inputs!$B$29,IF(Skills!C16=3,120+Inputs!$B$27+Inputs!$B$29,MAX(0,(Inputs!$B$3-100)*3)+Inputs!$B$28+Inputs!$B$29)))</f>
        <v/>
      </c>
      <c r="E1635">
        <f>INDEX(FactorTable!$B$2:$Y$301, MATCH(ROUND(MIN(300,MAX(1,D1635)),0), FactorTable!$A$2:$A$301,0), Skills!M16+1)</f>
        <v/>
      </c>
      <c r="F1635">
        <f>IF(Skills!N16=TRUE,(Skills!L16/10)*(E1635/1000),Skills!L16/10)+Skills!O16</f>
        <v/>
      </c>
      <c r="G1635" t="inlineStr"/>
      <c r="H1635" t="inlineStr"/>
      <c r="I1635" t="inlineStr">
        <is>
          <t>1</t>
        </is>
      </c>
      <c r="J1635" t="inlineStr"/>
      <c r="K1635" t="inlineStr"/>
      <c r="L1635" t="inlineStr"/>
      <c r="M1635" t="inlineStr"/>
      <c r="N1635" t="inlineStr"/>
      <c r="O1635" t="inlineStr"/>
      <c r="P1635" t="inlineStr"/>
      <c r="Q1635" t="inlineStr"/>
      <c r="R1635" t="inlineStr"/>
      <c r="S1635" t="inlineStr"/>
    </row>
    <row r="1636">
      <c r="A1636">
        <f>Skills!A17</f>
        <v/>
      </c>
      <c r="B1636">
        <f>Skills!B17</f>
        <v/>
      </c>
      <c r="C1636">
        <f>Inputs!$B$3&gt;=66</f>
        <v/>
      </c>
      <c r="D1636">
        <f>IF(Skills!C17=1,60+Inputs!$B$25+Inputs!$B$29,IF(Skills!C17=2,90+Inputs!$B$26+Inputs!$B$29,IF(Skills!C17=3,120+Inputs!$B$27+Inputs!$B$29,MAX(0,(Inputs!$B$3-100)*3)+Inputs!$B$28+Inputs!$B$29)))</f>
        <v/>
      </c>
      <c r="E1636">
        <f>INDEX(FactorTable!$B$2:$Y$301, MATCH(ROUND(MIN(300,MAX(1,D1636)),0), FactorTable!$A$2:$A$301,0), Skills!M17+1)</f>
        <v/>
      </c>
      <c r="F1636">
        <f>IF(Skills!N17=TRUE,(Skills!L17/10)*(E1636/1000),Skills!L17/10)+Skills!O17</f>
        <v/>
      </c>
      <c r="G1636">
        <f>Skills!G17*IF(Skills!H17&gt;0,Skills!I17/Skills!H17,1)</f>
        <v/>
      </c>
      <c r="H1636">
        <f>1-(1-Skills!J17/100)^Skills!K17</f>
        <v/>
      </c>
      <c r="I1636" t="inlineStr">
        <is>
          <t>1</t>
        </is>
      </c>
      <c r="J1636" t="inlineStr"/>
      <c r="K1636" t="inlineStr"/>
      <c r="L1636" t="inlineStr"/>
      <c r="M1636" t="inlineStr"/>
      <c r="N1636" t="inlineStr"/>
      <c r="O1636">
        <f>(1-Summary!$B$11)*T1636+Summary!$B$11*V1636</f>
        <v/>
      </c>
      <c r="P1636">
        <f>IF(B1659=0,0,O1636/B1659)</f>
        <v/>
      </c>
      <c r="Q1636" t="n">
        <v>0</v>
      </c>
      <c r="R1636" t="n">
        <v>0</v>
      </c>
      <c r="S1636">
        <f>IFERROR(O1636/N1636,0)</f>
        <v/>
      </c>
      <c r="T1636" t="n">
        <v>0</v>
      </c>
      <c r="V1636" t="n">
        <v>0</v>
      </c>
    </row>
    <row r="1637">
      <c r="A1637">
        <f>Skills!A18</f>
        <v/>
      </c>
      <c r="B1637">
        <f>Skills!B18</f>
        <v/>
      </c>
      <c r="C1637">
        <f>Inputs!$B$3&gt;=115</f>
        <v/>
      </c>
      <c r="D1637">
        <f>IF(Skills!C18=1,60+Inputs!$B$25+Inputs!$B$29,IF(Skills!C18=2,90+Inputs!$B$26+Inputs!$B$29,IF(Skills!C18=3,120+Inputs!$B$27+Inputs!$B$29,MAX(0,(Inputs!$B$3-100)*3)+Inputs!$B$28+Inputs!$B$29)))</f>
        <v/>
      </c>
      <c r="E1637">
        <f>INDEX(FactorTable!$B$2:$Y$301, MATCH(ROUND(MIN(300,MAX(1,D1637)),0), FactorTable!$A$2:$A$301,0), Skills!M18+1)</f>
        <v/>
      </c>
      <c r="F1637">
        <f>IF(Skills!N18=TRUE,(Skills!L18/10)*(E1637/1000),Skills!L18/10)+Skills!O18</f>
        <v/>
      </c>
      <c r="G1637">
        <f>Skills!G18*IF(Skills!H18&gt;0,Skills!I18/Skills!H18,1)</f>
        <v/>
      </c>
      <c r="H1637">
        <f>1-(1-Skills!J18/100)^Skills!K18</f>
        <v/>
      </c>
      <c r="I1637" t="inlineStr">
        <is>
          <t>1</t>
        </is>
      </c>
      <c r="J1637" t="inlineStr"/>
      <c r="K1637" t="inlineStr"/>
      <c r="L1637" t="inlineStr"/>
      <c r="M1637" t="inlineStr"/>
      <c r="N1637" t="inlineStr"/>
      <c r="O1637">
        <f>(1-Summary!$B$11)*T1637+Summary!$B$11*V1637</f>
        <v/>
      </c>
      <c r="P1637">
        <f>IF(B1659=0,0,O1637/B1659)</f>
        <v/>
      </c>
      <c r="Q1637" t="n">
        <v>0</v>
      </c>
      <c r="R1637" t="n">
        <v>0</v>
      </c>
      <c r="S1637">
        <f>IFERROR(O1637/N1637,0)</f>
        <v/>
      </c>
      <c r="T1637" t="n">
        <v>0</v>
      </c>
      <c r="V1637" t="n">
        <v>0</v>
      </c>
    </row>
    <row r="1638">
      <c r="A1638">
        <f>Skills!A19</f>
        <v/>
      </c>
      <c r="B1638">
        <f>Skills!B19</f>
        <v/>
      </c>
      <c r="C1638">
        <f>Inputs!$B$3&gt;=15</f>
        <v/>
      </c>
      <c r="D1638">
        <f>IF(Skills!C19=1,60+Inputs!$B$25+Inputs!$B$29,IF(Skills!C19=2,90+Inputs!$B$26+Inputs!$B$29,IF(Skills!C19=3,120+Inputs!$B$27+Inputs!$B$29,MAX(0,(Inputs!$B$3-100)*3)+Inputs!$B$28+Inputs!$B$29)))</f>
        <v/>
      </c>
      <c r="E1638">
        <f>INDEX(FactorTable!$B$2:$Y$301, MATCH(ROUND(MIN(300,MAX(1,D1638)),0), FactorTable!$A$2:$A$301,0), Skills!M19+1)</f>
        <v/>
      </c>
      <c r="F1638">
        <f>IF(Skills!N19=TRUE,(Skills!L19/10)*(E1638/1000),Skills!L19/10)+Skills!O19</f>
        <v/>
      </c>
      <c r="G1638">
        <f>Skills!G19*IF(Skills!H19&gt;0,Skills!I19/Skills!H19,1)</f>
        <v/>
      </c>
      <c r="H1638">
        <f>1-(1-Skills!J19/100)^Skills!K19</f>
        <v/>
      </c>
      <c r="I1638" t="inlineStr">
        <is>
          <t>1</t>
        </is>
      </c>
      <c r="J1638" t="inlineStr"/>
      <c r="K1638" t="inlineStr"/>
      <c r="L1638" t="inlineStr"/>
      <c r="M1638" t="inlineStr"/>
      <c r="N1638" t="inlineStr"/>
      <c r="O1638">
        <f>(1-Summary!$B$11)*T1638+Summary!$B$11*V1638</f>
        <v/>
      </c>
      <c r="P1638">
        <f>IF(B1659=0,0,O1638/B1659)</f>
        <v/>
      </c>
      <c r="Q1638" t="n">
        <v>0</v>
      </c>
      <c r="R1638" t="n">
        <v>0</v>
      </c>
      <c r="S1638">
        <f>IFERROR(O1638/N1638,0)</f>
        <v/>
      </c>
      <c r="T1638" t="n">
        <v>0</v>
      </c>
      <c r="V1638" t="n">
        <v>0</v>
      </c>
    </row>
    <row r="1639">
      <c r="A1639">
        <f>Skills!A20</f>
        <v/>
      </c>
      <c r="B1639">
        <f>Skills!B20</f>
        <v/>
      </c>
      <c r="C1639">
        <f>Inputs!$B$3&gt;=10</f>
        <v/>
      </c>
      <c r="D1639">
        <f>IF(Skills!C20=1,60+Inputs!$B$25+Inputs!$B$29,IF(Skills!C20=2,90+Inputs!$B$26+Inputs!$B$29,IF(Skills!C20=3,120+Inputs!$B$27+Inputs!$B$29,MAX(0,(Inputs!$B$3-100)*3)+Inputs!$B$28+Inputs!$B$29)))</f>
        <v/>
      </c>
      <c r="E1639">
        <f>INDEX(FactorTable!$B$2:$Y$301, MATCH(ROUND(MIN(300,MAX(1,D1639)),0), FactorTable!$A$2:$A$301,0), Skills!M20+1)</f>
        <v/>
      </c>
      <c r="F1639">
        <f>IF(Skills!N20=TRUE,(Skills!L20/10)*(E1639/1000),Skills!L20/10)+Skills!O20</f>
        <v/>
      </c>
      <c r="G1639">
        <f>Skills!G20*IF(Skills!H20&gt;0,Skills!I20/Skills!H20,1)</f>
        <v/>
      </c>
      <c r="H1639">
        <f>1-(1-Skills!J20/100)^Skills!K20</f>
        <v/>
      </c>
      <c r="I1639" t="inlineStr">
        <is>
          <t>1</t>
        </is>
      </c>
      <c r="J1639" t="inlineStr"/>
      <c r="K1639" t="inlineStr"/>
      <c r="L1639" t="inlineStr"/>
      <c r="M1639" t="inlineStr"/>
      <c r="N1639" t="inlineStr"/>
      <c r="O1639">
        <f>(1-Summary!$B$11)*T1639+Summary!$B$11*V1639</f>
        <v/>
      </c>
      <c r="P1639">
        <f>IF(B1659=0,0,O1639/B1659)</f>
        <v/>
      </c>
      <c r="Q1639" t="n">
        <v>0</v>
      </c>
      <c r="R1639" t="n">
        <v>0</v>
      </c>
      <c r="S1639">
        <f>IFERROR(O1639/N1639,0)</f>
        <v/>
      </c>
      <c r="T1639" t="n">
        <v>0</v>
      </c>
      <c r="V1639" t="n">
        <v>0</v>
      </c>
    </row>
    <row r="1640">
      <c r="A1640">
        <f>Skills!A21</f>
        <v/>
      </c>
      <c r="B1640">
        <f>Skills!B21</f>
        <v/>
      </c>
      <c r="C1640">
        <f>Inputs!$B$3&gt;=33</f>
        <v/>
      </c>
      <c r="D1640">
        <f>IF(Skills!C21=1,60+Inputs!$B$25+Inputs!$B$29,IF(Skills!C21=2,90+Inputs!$B$26+Inputs!$B$29,IF(Skills!C21=3,120+Inputs!$B$27+Inputs!$B$29,MAX(0,(Inputs!$B$3-100)*3)+Inputs!$B$28+Inputs!$B$29)))</f>
        <v/>
      </c>
      <c r="E1640">
        <f>INDEX(FactorTable!$B$2:$Y$301, MATCH(ROUND(MIN(300,MAX(1,D1640)),0), FactorTable!$A$2:$A$301,0), Skills!M21+1)</f>
        <v/>
      </c>
      <c r="F1640">
        <f>IF(Skills!N21=TRUE,(Skills!L21/10)*(E1640/1000),Skills!L21/10)+Skills!O21</f>
        <v/>
      </c>
      <c r="G1640">
        <f>Skills!G21*IF(Skills!H21&gt;0,Skills!I21/Skills!H21,1)</f>
        <v/>
      </c>
      <c r="H1640">
        <f>1-(1-Skills!J21/100)^Skills!K21</f>
        <v/>
      </c>
      <c r="I1640" t="inlineStr">
        <is>
          <t>1</t>
        </is>
      </c>
      <c r="J1640" t="inlineStr"/>
      <c r="K1640" t="inlineStr"/>
      <c r="L1640" t="inlineStr"/>
      <c r="M1640" t="inlineStr"/>
      <c r="N1640" t="inlineStr"/>
      <c r="O1640">
        <f>(1-Summary!$B$11)*T1640+Summary!$B$11*V1640</f>
        <v/>
      </c>
      <c r="P1640">
        <f>IF(B1659=0,0,O1640/B1659)</f>
        <v/>
      </c>
      <c r="Q1640" t="n">
        <v>0</v>
      </c>
      <c r="R1640" t="n">
        <v>0</v>
      </c>
      <c r="S1640">
        <f>IFERROR(O1640/N1640,0)</f>
        <v/>
      </c>
      <c r="T1640" t="n">
        <v>0</v>
      </c>
      <c r="V1640" t="n">
        <v>0</v>
      </c>
    </row>
    <row r="1641">
      <c r="A1641">
        <f>Skills!A22</f>
        <v/>
      </c>
      <c r="B1641">
        <f>Skills!B22</f>
        <v/>
      </c>
      <c r="C1641">
        <f>Inputs!$B$3&gt;=43</f>
        <v/>
      </c>
      <c r="D1641">
        <f>IF(Skills!C22=1,60+Inputs!$B$25+Inputs!$B$29,IF(Skills!C22=2,90+Inputs!$B$26+Inputs!$B$29,IF(Skills!C22=3,120+Inputs!$B$27+Inputs!$B$29,MAX(0,(Inputs!$B$3-100)*3)+Inputs!$B$28+Inputs!$B$29)))</f>
        <v/>
      </c>
      <c r="E1641">
        <f>INDEX(FactorTable!$B$2:$Y$301, MATCH(ROUND(MIN(300,MAX(1,D1641)),0), FactorTable!$A$2:$A$301,0), Skills!M22+1)</f>
        <v/>
      </c>
      <c r="F1641">
        <f>IF(Skills!N22=TRUE,(Skills!L22/10)*(E1641/1000),Skills!L22/10)+Skills!O22</f>
        <v/>
      </c>
      <c r="G1641">
        <f>Skills!G22*IF(Skills!H22&gt;0,Skills!I22/Skills!H22,1)</f>
        <v/>
      </c>
      <c r="H1641">
        <f>1-(1-Skills!J22/100)^Skills!K22</f>
        <v/>
      </c>
      <c r="I1641" t="inlineStr">
        <is>
          <t>1</t>
        </is>
      </c>
      <c r="J1641" t="inlineStr"/>
      <c r="K1641" t="inlineStr"/>
      <c r="L1641" t="inlineStr"/>
      <c r="M1641" t="inlineStr"/>
      <c r="N1641" t="inlineStr"/>
      <c r="O1641">
        <f>(1-Summary!$B$11)*T1641+Summary!$B$11*V1641</f>
        <v/>
      </c>
      <c r="P1641">
        <f>IF(B1659=0,0,O1641/B1659)</f>
        <v/>
      </c>
      <c r="Q1641" t="n">
        <v>0</v>
      </c>
      <c r="R1641" t="n">
        <v>0</v>
      </c>
      <c r="S1641">
        <f>IFERROR(O1641/N1641,0)</f>
        <v/>
      </c>
      <c r="T1641" t="n">
        <v>0</v>
      </c>
      <c r="V1641" t="n">
        <v>0</v>
      </c>
    </row>
    <row r="1642">
      <c r="A1642">
        <f>Skills!A23</f>
        <v/>
      </c>
      <c r="B1642">
        <f>Skills!B23</f>
        <v/>
      </c>
      <c r="C1642">
        <f>Inputs!$B$3&gt;=38</f>
        <v/>
      </c>
      <c r="D1642">
        <f>IF(Skills!C23=1,60+Inputs!$B$25+Inputs!$B$29,IF(Skills!C23=2,90+Inputs!$B$26+Inputs!$B$29,IF(Skills!C23=3,120+Inputs!$B$27+Inputs!$B$29,MAX(0,(Inputs!$B$3-100)*3)+Inputs!$B$28+Inputs!$B$29)))</f>
        <v/>
      </c>
      <c r="E1642">
        <f>INDEX(FactorTable!$B$2:$Y$301, MATCH(ROUND(MIN(300,MAX(1,D1642)),0), FactorTable!$A$2:$A$301,0), Skills!M23+1)</f>
        <v/>
      </c>
      <c r="F1642">
        <f>IF(Skills!N23=TRUE,(Skills!L23/10)*(E1642/1000),Skills!L23/10)+Skills!O23</f>
        <v/>
      </c>
      <c r="G1642">
        <f>Skills!G23*IF(Skills!H23&gt;0,Skills!I23/Skills!H23,1)</f>
        <v/>
      </c>
      <c r="H1642">
        <f>1-(1-Skills!J23/100)^Skills!K23</f>
        <v/>
      </c>
      <c r="I1642" t="inlineStr">
        <is>
          <t>1</t>
        </is>
      </c>
      <c r="J1642" t="inlineStr"/>
      <c r="K1642" t="inlineStr"/>
      <c r="L1642" t="inlineStr"/>
      <c r="M1642" t="inlineStr"/>
      <c r="N1642" t="inlineStr"/>
      <c r="O1642">
        <f>(1-Summary!$B$11)*T1642+Summary!$B$11*V1642</f>
        <v/>
      </c>
      <c r="P1642">
        <f>IF(B1659=0,0,O1642/B1659)</f>
        <v/>
      </c>
      <c r="Q1642" t="n">
        <v>0</v>
      </c>
      <c r="R1642" t="n">
        <v>0</v>
      </c>
      <c r="S1642">
        <f>IFERROR(O1642/N1642,0)</f>
        <v/>
      </c>
      <c r="T1642" t="n">
        <v>0</v>
      </c>
      <c r="V1642" t="n">
        <v>0</v>
      </c>
    </row>
    <row r="1643">
      <c r="A1643">
        <f>Skills!A24</f>
        <v/>
      </c>
      <c r="B1643">
        <f>Skills!B24</f>
        <v/>
      </c>
      <c r="C1643">
        <f>Inputs!$B$3&gt;=40</f>
        <v/>
      </c>
      <c r="D1643">
        <f>IF(Skills!C24=1,60+Inputs!$B$25+Inputs!$B$29,IF(Skills!C24=2,90+Inputs!$B$26+Inputs!$B$29,IF(Skills!C24=3,120+Inputs!$B$27+Inputs!$B$29,MAX(0,(Inputs!$B$3-100)*3)+Inputs!$B$28+Inputs!$B$29)))</f>
        <v/>
      </c>
      <c r="E1643">
        <f>INDEX(FactorTable!$B$2:$Y$301, MATCH(ROUND(MIN(300,MAX(1,D1643)),0), FactorTable!$A$2:$A$301,0), Skills!M24+1)</f>
        <v/>
      </c>
      <c r="F1643">
        <f>IF(Skills!N24=TRUE,(Skills!L24/10)*(E1643/1000),Skills!L24/10)+Skills!O24</f>
        <v/>
      </c>
      <c r="G1643">
        <f>Skills!G24*IF(Skills!H24&gt;0,Skills!I24/Skills!H24,1)</f>
        <v/>
      </c>
      <c r="H1643">
        <f>1-(1-Skills!J24/100)^Skills!K24</f>
        <v/>
      </c>
      <c r="I1643" t="inlineStr">
        <is>
          <t>1</t>
        </is>
      </c>
      <c r="J1643" t="inlineStr"/>
      <c r="K1643" t="inlineStr"/>
      <c r="L1643" t="inlineStr"/>
      <c r="M1643" t="inlineStr"/>
      <c r="N1643" t="inlineStr"/>
      <c r="O1643">
        <f>(1-Summary!$B$11)*T1643+Summary!$B$11*V1643</f>
        <v/>
      </c>
      <c r="P1643">
        <f>IF(B1659=0,0,O1643/B1659)</f>
        <v/>
      </c>
      <c r="Q1643" t="n">
        <v>0</v>
      </c>
      <c r="R1643" t="n">
        <v>0</v>
      </c>
      <c r="S1643">
        <f>IFERROR(O1643/N1643,0)</f>
        <v/>
      </c>
      <c r="T1643" t="n">
        <v>0</v>
      </c>
      <c r="V1643" t="n">
        <v>0</v>
      </c>
    </row>
    <row r="1644">
      <c r="A1644">
        <f>Skills!A25</f>
        <v/>
      </c>
      <c r="B1644">
        <f>Skills!B25</f>
        <v/>
      </c>
      <c r="C1644">
        <f>Inputs!$B$3&gt;=72</f>
        <v/>
      </c>
      <c r="D1644">
        <f>IF(Skills!C25=1,60+Inputs!$B$25+Inputs!$B$29,IF(Skills!C25=2,90+Inputs!$B$26+Inputs!$B$29,IF(Skills!C25=3,120+Inputs!$B$27+Inputs!$B$29,MAX(0,(Inputs!$B$3-100)*3)+Inputs!$B$28+Inputs!$B$29)))</f>
        <v/>
      </c>
      <c r="E1644">
        <f>INDEX(FactorTable!$B$2:$Y$301, MATCH(ROUND(MIN(300,MAX(1,D1644)),0), FactorTable!$A$2:$A$301,0), Skills!M25+1)</f>
        <v/>
      </c>
      <c r="F1644">
        <f>IF(Skills!N25=TRUE,(Skills!L25/10)*(E1644/1000),Skills!L25/10)+Skills!O25</f>
        <v/>
      </c>
      <c r="G1644">
        <f>Skills!G25*IF(Skills!H25&gt;0,Skills!I25/Skills!H25,1)</f>
        <v/>
      </c>
      <c r="H1644">
        <f>1-(1-Skills!J25/100)^Skills!K25</f>
        <v/>
      </c>
      <c r="I1644" t="inlineStr">
        <is>
          <t>1</t>
        </is>
      </c>
      <c r="J1644" t="inlineStr"/>
      <c r="K1644" t="inlineStr"/>
      <c r="L1644" t="inlineStr"/>
      <c r="M1644" t="inlineStr"/>
      <c r="N1644" t="inlineStr"/>
      <c r="O1644">
        <f>(1-Summary!$B$11)*T1644+Summary!$B$11*V1644</f>
        <v/>
      </c>
      <c r="P1644">
        <f>IF(B1659=0,0,O1644/B1659)</f>
        <v/>
      </c>
      <c r="Q1644" t="n">
        <v>0</v>
      </c>
      <c r="R1644" t="n">
        <v>0</v>
      </c>
      <c r="S1644">
        <f>IFERROR(O1644/N1644,0)</f>
        <v/>
      </c>
      <c r="T1644" t="n">
        <v>0</v>
      </c>
      <c r="V1644" t="n">
        <v>0</v>
      </c>
    </row>
    <row r="1645">
      <c r="A1645">
        <f>Skills!A26</f>
        <v/>
      </c>
      <c r="B1645">
        <f>Skills!B26</f>
        <v/>
      </c>
      <c r="C1645">
        <f>Inputs!$B$3&gt;=75</f>
        <v/>
      </c>
      <c r="D1645">
        <f>IF(Skills!C26=1,60+Inputs!$B$25+Inputs!$B$29,IF(Skills!C26=2,90+Inputs!$B$26+Inputs!$B$29,IF(Skills!C26=3,120+Inputs!$B$27+Inputs!$B$29,MAX(0,(Inputs!$B$3-100)*3)+Inputs!$B$28+Inputs!$B$29)))</f>
        <v/>
      </c>
      <c r="E1645">
        <f>INDEX(FactorTable!$B$2:$Y$301, MATCH(ROUND(MIN(300,MAX(1,D1645)),0), FactorTable!$A$2:$A$301,0), Skills!M26+1)</f>
        <v/>
      </c>
      <c r="F1645">
        <f>IF(Skills!N26=TRUE,(Skills!L26/10)*(E1645/1000),Skills!L26/10)+Skills!O26</f>
        <v/>
      </c>
      <c r="G1645">
        <f>Skills!G26*IF(Skills!H26&gt;0,Skills!I26/Skills!H26,1)</f>
        <v/>
      </c>
      <c r="H1645">
        <f>1-(1-Skills!J26/100)^Skills!K26</f>
        <v/>
      </c>
      <c r="I1645" t="inlineStr">
        <is>
          <t>1</t>
        </is>
      </c>
      <c r="J1645" t="inlineStr"/>
      <c r="K1645" t="inlineStr"/>
      <c r="L1645" t="inlineStr"/>
      <c r="M1645" t="inlineStr"/>
      <c r="N1645" t="inlineStr"/>
      <c r="O1645">
        <f>(1-Summary!$B$11)*T1645+Summary!$B$11*V1645</f>
        <v/>
      </c>
      <c r="P1645">
        <f>IF(B1659=0,0,O1645/B1659)</f>
        <v/>
      </c>
      <c r="Q1645" t="n">
        <v>0</v>
      </c>
      <c r="R1645" t="n">
        <v>0</v>
      </c>
      <c r="S1645">
        <f>IFERROR(O1645/N1645,0)</f>
        <v/>
      </c>
      <c r="T1645" t="n">
        <v>0</v>
      </c>
      <c r="V1645" t="n">
        <v>0</v>
      </c>
    </row>
    <row r="1646">
      <c r="A1646">
        <f>Skills!A27</f>
        <v/>
      </c>
      <c r="B1646">
        <f>Skills!B27</f>
        <v/>
      </c>
      <c r="C1646">
        <f>Inputs!$B$3&gt;=117</f>
        <v/>
      </c>
      <c r="D1646">
        <f>IF(Skills!C27=1,60+Inputs!$B$25+Inputs!$B$29,IF(Skills!C27=2,90+Inputs!$B$26+Inputs!$B$29,IF(Skills!C27=3,120+Inputs!$B$27+Inputs!$B$29,MAX(0,(Inputs!$B$3-100)*3)+Inputs!$B$28+Inputs!$B$29)))</f>
        <v/>
      </c>
      <c r="E1646">
        <f>INDEX(FactorTable!$B$2:$Y$301, MATCH(ROUND(MIN(300,MAX(1,D1646)),0), FactorTable!$A$2:$A$301,0), Skills!M27+1)</f>
        <v/>
      </c>
      <c r="F1646">
        <f>IF(Skills!N27=TRUE,(Skills!L27/10)*(E1646/1000),Skills!L27/10)+Skills!O27</f>
        <v/>
      </c>
      <c r="G1646">
        <f>Skills!G27*IF(Skills!H27&gt;0,Skills!I27/Skills!H27,1)</f>
        <v/>
      </c>
      <c r="H1646">
        <f>1-(1-Skills!J27/100)^Skills!K27</f>
        <v/>
      </c>
      <c r="I1646" t="inlineStr">
        <is>
          <t>1</t>
        </is>
      </c>
      <c r="J1646" t="inlineStr"/>
      <c r="K1646" t="inlineStr"/>
      <c r="L1646" t="inlineStr"/>
      <c r="M1646" t="inlineStr"/>
      <c r="N1646" t="inlineStr"/>
      <c r="O1646">
        <f>(1-Summary!$B$11)*T1646+Summary!$B$11*V1646</f>
        <v/>
      </c>
      <c r="P1646">
        <f>IF(B1659=0,0,O1646/B1659)</f>
        <v/>
      </c>
      <c r="Q1646" t="n">
        <v>0</v>
      </c>
      <c r="R1646" t="n">
        <v>0</v>
      </c>
      <c r="S1646">
        <f>IFERROR(O1646/N1646,0)</f>
        <v/>
      </c>
      <c r="T1646" t="n">
        <v>0</v>
      </c>
      <c r="V1646" t="n">
        <v>0</v>
      </c>
    </row>
    <row r="1648">
      <c r="A1648" t="inlineStr">
        <is>
          <t>Attack% Bucket Multiplier</t>
        </is>
      </c>
      <c r="B1648">
        <f>(1+(((C1636=TRUE)*F1636)+((C1643=TRUE)*(F1643-Calc!F24))+(IF(ArtifactsInput!$M$21,CHOOSE(ArtifactsInput!$N$21+1,25,30,35,40,45,50)*(IF(OR(Inputs!$B$4="Chapter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49">
      <c r="A1649" t="inlineStr">
        <is>
          <t>Global Crit Rate Bonus %</t>
        </is>
      </c>
      <c r="B1649" t="n">
        <v>0</v>
      </c>
    </row>
    <row r="1650">
      <c r="A1650" t="inlineStr">
        <is>
          <t>Attack Speed Buff Bonus % (unused)</t>
        </is>
      </c>
      <c r="B1650" t="n">
        <v>0</v>
      </c>
    </row>
    <row r="1651">
      <c r="A1651" t="inlineStr">
        <is>
          <t>Actions Per Second</t>
        </is>
      </c>
      <c r="B1651">
        <f>1+MIN(150,150*(1-(1-(Inputs!$B$11+((C1639=TRUE)*(F1639-Calc!F20))+((C1640=TRUE)*(F1640-Calc!F21)))/150)*(1-B1650/150)))/100</f>
        <v/>
      </c>
    </row>
    <row r="1652">
      <c r="A1652" t="inlineStr">
        <is>
          <t>Skill + Buff Cast Rate</t>
        </is>
      </c>
      <c r="B1652">
        <f>IF(AND(Inputs!$B$38&lt;&gt;"pvp",Inputs!$B$43&gt;0),SUMPRODUCT((Skills!E2:E27=TRUE)*(C1621:C1646=TRUE)*R1621:R1646*Skills!F2:F27)/Inputs!$B$43,SUMPRODUCT((Skills!E2:E27=TRUE)*(C1621:C1646=TRUE)*Q1621:Q1646*Skills!F2:F27))</f>
        <v/>
      </c>
    </row>
    <row r="1653">
      <c r="A1653" t="inlineStr">
        <is>
          <t>Eight-Legs Easton Casts Per Second</t>
        </is>
      </c>
      <c r="B1653">
        <f>MAX(0,B1651-B1652)</f>
        <v/>
      </c>
    </row>
    <row r="1654">
      <c r="A1654" t="inlineStr">
        <is>
          <t>Global Critical Damage Bonus % (unused)</t>
        </is>
      </c>
      <c r="B1654" t="n">
        <v>0</v>
      </c>
    </row>
    <row r="1655">
      <c r="A1655" t="inlineStr">
        <is>
          <t>Global Final Damage Bonus % (Jolly Roger only)</t>
        </is>
      </c>
      <c r="B1655">
        <f>((C1637=TRUE)*F1637)</f>
        <v/>
      </c>
    </row>
    <row r="1656">
      <c r="A1656" t="inlineStr">
        <is>
          <t>Buff-Casting Startup Delay (s, fixed-duration only)</t>
        </is>
      </c>
      <c r="B1656">
        <f>IF(AND(Inputs!$B$38&lt;&gt;"pvp",Inputs!$B$43&gt;0),SUMPRODUCT((Skills!T2:T27&gt;0)*(Skills!E2:E27=TRUE)*(C1621:C1646=TRUE))/B1651,0)</f>
        <v/>
      </c>
    </row>
    <row r="1657">
      <c r="A1657" t="inlineStr">
        <is>
          <t>Boss-Only Total DPS (this block's swept value)</t>
        </is>
      </c>
      <c r="B1657">
        <f>SUM(T1621:T1646)</f>
        <v/>
      </c>
    </row>
    <row r="1658">
      <c r="A1658" t="inlineStr">
        <is>
          <t>Normal-Only Total DPS (this block's swept value)</t>
        </is>
      </c>
      <c r="B1658">
        <f>SUM(V1621:V1646)</f>
        <v/>
      </c>
    </row>
    <row r="1659">
      <c r="A1659" s="6" t="inlineStr">
        <is>
          <t>TOTAL DPS</t>
        </is>
      </c>
      <c r="B1659" s="6">
        <f>SUM(O1621:O1646)</f>
        <v/>
      </c>
    </row>
    <row r="1662">
      <c r="A1662" s="6" t="inlineStr">
        <is>
          <t>Stat: Horntail's Scale (Equip)</t>
        </is>
      </c>
    </row>
    <row r="1663">
      <c r="A1663" s="5" t="inlineStr">
        <is>
          <t>Key</t>
        </is>
      </c>
      <c r="B1663" s="5" t="inlineStr">
        <is>
          <t>Name</t>
        </is>
      </c>
      <c r="C1663" s="5" t="inlineStr">
        <is>
          <t>Unlocked</t>
        </is>
      </c>
      <c r="D1663" s="5" t="inlineStr">
        <is>
          <t>InputLevel</t>
        </is>
      </c>
      <c r="E1663" s="5" t="inlineStr">
        <is>
          <t>Factor</t>
        </is>
      </c>
      <c r="F1663" s="5" t="inlineStr">
        <is>
          <t>CoefficientPercent</t>
        </is>
      </c>
      <c r="G1663" s="5" t="inlineStr">
        <is>
          <t>EffectiveHits</t>
        </is>
      </c>
      <c r="H1663" s="5" t="inlineStr">
        <is>
          <t>ProcProbability</t>
        </is>
      </c>
      <c r="I1663" s="5" t="inlineStr">
        <is>
          <t>MapleHeroMultiplier</t>
        </is>
      </c>
      <c r="J1663" s="5" t="inlineStr">
        <is>
          <t>BaseDamage</t>
        </is>
      </c>
      <c r="K1663" s="5" t="inlineStr">
        <is>
          <t>BaseHitDamage</t>
        </is>
      </c>
      <c r="L1663" s="5" t="inlineStr">
        <is>
          <t>NonCritAvg</t>
        </is>
      </c>
      <c r="M1663" s="5" t="inlineStr">
        <is>
          <t>CritAvg</t>
        </is>
      </c>
      <c r="N1663" s="5" t="inlineStr">
        <is>
          <t>ExpectedDamage(perHit)</t>
        </is>
      </c>
      <c r="O1663" s="5" t="inlineStr">
        <is>
          <t>DPS</t>
        </is>
      </c>
      <c r="P1663" s="5" t="inlineStr">
        <is>
          <t>% of Total</t>
        </is>
      </c>
      <c r="Q1663" s="5" t="inlineStr">
        <is>
          <t>InvCooldown</t>
        </is>
      </c>
      <c r="R1663" s="5" t="inlineStr">
        <is>
          <t>CastsInFight</t>
        </is>
      </c>
      <c r="S1663" s="5" t="inlineStr">
        <is>
          <t>HitRate(perSec)</t>
        </is>
      </c>
      <c r="U1663" t="inlineStr">
        <is>
          <t>helpers</t>
        </is>
      </c>
    </row>
    <row r="1664">
      <c r="A1664">
        <f>Skills!A2</f>
        <v/>
      </c>
      <c r="B1664">
        <f>Skills!B2</f>
        <v/>
      </c>
      <c r="C1664">
        <f>Inputs!$B$3&gt;=100</f>
        <v/>
      </c>
      <c r="D1664" t="inlineStr"/>
      <c r="E1664" t="inlineStr"/>
      <c r="F1664">
        <f>U1666+Skills!O2</f>
        <v/>
      </c>
      <c r="G1664">
        <f>Skills!G2*IF(Skills!H2&gt;0,Skills!I2/Skills!H2,1)</f>
        <v/>
      </c>
      <c r="H1664">
        <f>1-(1-Skills!J2/100)^Skills!K2</f>
        <v/>
      </c>
      <c r="I1664" t="inlineStr">
        <is>
          <t>1</t>
        </is>
      </c>
      <c r="J1664">
        <f>((Inputs!$B$6*(1+Inputs!$B$7/100))+(((Inputs!$B$12*(1+Inputs!$B$13/100))-(Inputs!$B$12*(1+Inputs!$B$13/100)))+0.25*(Inputs!$B$14-Inputs!$B$14))*(1+Inputs!$B$7/100))*(F1664/100)</f>
        <v/>
      </c>
      <c r="K1664">
        <f>J1664*(1+((Inputs!$B$12*(1+Inputs!$B$13/100))*0.01+Inputs!$B$14*0.0025)/100)*(1+Inputs!$B$15/100)*(1+Inputs!$B$16/100)*(5000/(6000+Inputs!$B$42*(1-(100*(1-(1-(Inputs!$B$19+0)/100)*(1-CHOOSE(ArtifactsInput!$N$40+1,5,6,7,8,9,10)/100)^(ArtifactsInput!$M$40-ArtifactsInput!$M$40)))/100)))*(1+(Inputs!$B$24+((C1688=TRUE)*(F1688-Calc!F26))+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1685=TRUE)*(F1685-Calc!F23))+((C1689=TRUE)*(F1689-Calc!F27))+(((IF(AND(ArtifactsInput!$M$42,((Inputs!$B$9+((C1681=TRUE)*(F1681-Calc!F19))+B1692+(ArtifactsInput!$M$24-ArtifactsInput!$M$24)*CHOOSE(ArtifactsInput!$N$24+1,10,12,14,16,18,20)+IF(ArtifactsInput!$M$10,CHOOSE(ArtifactsInput!$N$10+1,15,18,21,24,27,30)*(IF(Inputs!$B$38="pvp",MIN(15,15)/15,IF(AND(Inputs!$B$38&lt;&gt;"pvp",Inputs!$B$43&gt;0),MIN(15,Inputs!$B$43)/(Inputs!$B$43),0))),0)))&gt;=100),MIN(100,((Inputs!$B$9+((C1681=TRUE)*(F1681-Calc!F19))+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1681=TRUE)*(F1681-Calc!F19))+B1692+(ArtifactsInput!$M$24-ArtifactsInput!$M$24)*CHOOSE(ArtifactsInput!$N$24+1,10,12,14,16,18,20)+IF(ArtifactsInput!$M$10,CHOOSE(ArtifactsInput!$N$10+1,15,18,21,24,27,30)*(IF(Inputs!$B$38="pvp",MIN(15,15)/15,IF(AND(Inputs!$B$38&lt;&gt;"pvp",Inputs!$B$43&gt;0),MIN(15,Inputs!$B$43)/(Inputs!$B$43),0))),0)))&gt;=100),CHOOSE(ArtifactsInput!$N$42+1,40,48,56,64,72,80),0))))/100)*((1+(((C1679=TRUE)*F1679)+((C1686=TRUE)*(F1686-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1664)</f>
        <v/>
      </c>
      <c r="L1664">
        <f>K1664*(MIN(Inputs!$B$22+((C1684=TRUE)*(F1684-Calc!F22)),(Inputs!$B$23+0+(IF(ArtifactsInput!$M$15,CHOOSE(ArtifactsInput!$N$15+1,25,30,35,40,45,50)/100*(Inputs!$B$11-Inputs!$B$11),0))))/100+(Inputs!$B$23+0+(IF(ArtifactsInput!$M$15,CHOOSE(ArtifactsInput!$N$15+1,25,30,35,40,45,50)/100*(Inputs!$B$11-Inputs!$B$11),0)))/100)/2</f>
        <v/>
      </c>
      <c r="M1664">
        <f>L1664*(1+(Inputs!$B$10+((C1687=TRUE)*(F1687-Calc!F25))+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4">
        <f>L1664*(1-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1664*(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4">
        <f>(1-Summary!$B$11)*T1664+Summary!$B$11*V1664</f>
        <v/>
      </c>
      <c r="P1664">
        <f>IF(B1702=0,0,O1664/B1702)</f>
        <v/>
      </c>
      <c r="Q1664" t="n">
        <v>0</v>
      </c>
      <c r="R1664" t="n">
        <v>0</v>
      </c>
      <c r="S1664">
        <f>IFERROR(O1664/N1664,0)</f>
        <v/>
      </c>
      <c r="T1664">
        <f>IF(C1664,(Skills!G2*N1664*B1696)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1664*(1-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1664*(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1664*(1-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1664*(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4">
        <f>MAX(0,(Inputs!$B$3-100)*3)+Inputs!$B$28+Inputs!$B$29</f>
        <v/>
      </c>
      <c r="V1664">
        <f>IF(C1664,(Skills!G2*N1664*B1696)*IF(Inputs!$B$38="pvp",1,(1+(Inputs!$B$21+Skills!Q2+(IF(ArtifactsInput!$M$33,CHOOSE(ArtifactsInput!$N$33+1,30,36,42,48,54,60),0))+(IF(AND(ArtifactsInput!$M$35,Inputs!$B$4&lt;&gt;"Chapter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5">
      <c r="A1665">
        <f>Skills!A3</f>
        <v/>
      </c>
      <c r="B1665">
        <f>Skills!B3</f>
        <v/>
      </c>
      <c r="C1665">
        <f>Inputs!$B$3&gt;=35</f>
        <v/>
      </c>
      <c r="D1665">
        <f>IF(Skills!C3=1,60+Inputs!$B$25+Inputs!$B$29,IF(Skills!C3=2,90+Inputs!$B$26+Inputs!$B$29,IF(Skills!C3=3,120+Inputs!$B$27+Inputs!$B$29,MAX(0,(Inputs!$B$3-100)*3)+Inputs!$B$28+Inputs!$B$29)))</f>
        <v/>
      </c>
      <c r="E1665">
        <f>INDEX(FactorTable!$B$2:$Y$301, MATCH(ROUND(MIN(300,MAX(1,D1665)),0), FactorTable!$A$2:$A$301,0), Skills!M3+1)</f>
        <v/>
      </c>
      <c r="F1665">
        <f>IF(Skills!N3=TRUE,(Skills!L3/10)*(E1665/1000),Skills!L3/10)+Skills!O3</f>
        <v/>
      </c>
      <c r="G1665">
        <f>Skills!G3*IF(Skills!H3&gt;0,Skills!I3/Skills!H3,1)</f>
        <v/>
      </c>
      <c r="H1665">
        <f>1-(1-Skills!J3/100)^Skills!K3</f>
        <v/>
      </c>
      <c r="I1665" t="inlineStr">
        <is>
          <t>1</t>
        </is>
      </c>
      <c r="J1665">
        <f>((Inputs!$B$6*(1+Inputs!$B$7/100))+(((Inputs!$B$12*(1+Inputs!$B$13/100))-(Inputs!$B$12*(1+Inputs!$B$13/100)))+0.25*(Inputs!$B$14-Inputs!$B$14))*(1+Inputs!$B$7/100))*(F1665/100)</f>
        <v/>
      </c>
      <c r="K1665">
        <f>J1665*(1+((Inputs!$B$12*(1+Inputs!$B$13/100))*0.01+Inputs!$B$14*0.0025)/100)*(1+Inputs!$B$15/100)*(1+Inputs!$B$16/100)*(5000/(6000+Inputs!$B$42*(1-(100*(1-(1-(Inputs!$B$19+0)/100)*(1-CHOOSE(ArtifactsInput!$N$40+1,5,6,7,8,9,10)/100)^(ArtifactsInput!$M$40-ArtifactsInput!$M$40)))/100)))*(1+(Inputs!$B$24+((C1688=TRUE)*(F1688-Calc!F26))+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1677=TRUE,F1677,0)/100)*(1+(IF(Skills!A3="EIGHT_LEGS_EASTON",Inputs!$B$17+((C1685=TRUE)*(F1685-Calc!F23))+((C1689=TRUE)*(F1689-Calc!F27))+(((IF(AND(ArtifactsInput!$M$42,((Inputs!$B$9+((C1681=TRUE)*(F1681-Calc!F19))+B1692+(ArtifactsInput!$M$24-ArtifactsInput!$M$24)*CHOOSE(ArtifactsInput!$N$24+1,10,12,14,16,18,20)+IF(ArtifactsInput!$M$10,CHOOSE(ArtifactsInput!$N$10+1,15,18,21,24,27,30)*(IF(Inputs!$B$38="pvp",MIN(15,15)/15,IF(AND(Inputs!$B$38&lt;&gt;"pvp",Inputs!$B$43&gt;0),MIN(15,Inputs!$B$43)/(Inputs!$B$43),0))),0)))&gt;=100),MIN(100,((Inputs!$B$9+((C1681=TRUE)*(F1681-Calc!F19))+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1681=TRUE)*(F1681-Calc!F19))+B1692+(ArtifactsInput!$M$24-ArtifactsInput!$M$24)*CHOOSE(ArtifactsInput!$N$24+1,10,12,14,16,18,20)+IF(ArtifactsInput!$M$10,CHOOSE(ArtifactsInput!$N$10+1,15,18,21,24,27,30)*(IF(Inputs!$B$38="pvp",MIN(15,15)/15,IF(AND(Inputs!$B$38&lt;&gt;"pvp",Inputs!$B$43&gt;0),MIN(15,Inputs!$B$43)/(Inputs!$B$43),0))),0)))&gt;=100),CHOOSE(ArtifactsInput!$N$42+1,40,48,56,64,72,80),0))))/100)*((1+(((C1679=TRUE)*F1679)+((C1686=TRUE)*(F1686-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1665)</f>
        <v/>
      </c>
      <c r="L1665">
        <f>K1665*(MIN(Inputs!$B$22+((C1684=TRUE)*(F1684-Calc!F22)),(Inputs!$B$23+0+(IF(ArtifactsInput!$M$15,CHOOSE(ArtifactsInput!$N$15+1,25,30,35,40,45,50)/100*(Inputs!$B$11-Inputs!$B$11),0))))/100+(Inputs!$B$23+0+(IF(ArtifactsInput!$M$15,CHOOSE(ArtifactsInput!$N$15+1,25,30,35,40,45,50)/100*(Inputs!$B$11-Inputs!$B$11),0)))/100)/2</f>
        <v/>
      </c>
      <c r="M1665">
        <f>L1665*(1+(Inputs!$B$10+((C1687=TRUE)*(F1687-Calc!F25))+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5">
        <f>L1665*(1-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1665*(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5">
        <f>(1-Summary!$B$11)*T1665+Summary!$B$11*V1665</f>
        <v/>
      </c>
      <c r="P1665">
        <f>IF(B1702=0,0,O1665/B1702)</f>
        <v/>
      </c>
      <c r="Q1665">
        <f>IFERROR(1/(IF(Inputs!$B$38="pvp",15,MAX(0.1,Skills!D3-IF(Skills!E3=TRUE,Inputs!$B$32,0)))*(1-IF(AND(ArtifactsInput!$M$27,Inputs!$B$4="Chapter Hunt"),CHOOSE(ArtifactsInput!$N$27+1,20,24,28,32,36,40),0)/100)),0)</f>
        <v/>
      </c>
      <c r="R1665">
        <f>IF(AND(Inputs!$B$38&lt;&gt;"pvp",Inputs!$B$43&gt;0),IF(MAX(0,Inputs!$B$43-B1699)&lt;=0,0,(INT(MAX(0,Inputs!$B$43-B1699)/(IF(Inputs!$B$38="pvp",15,MAX(0.1,Skills!D3-IF(Skills!E3=TRUE,Inputs!$B$32,0)))*(1-IF(AND(ArtifactsInput!$M$27,Inputs!$B$4="Chapter Hunt"),CHOOSE(ArtifactsInput!$N$27+1,20,24,28,32,36,40),0)/100)))+1)),0)</f>
        <v/>
      </c>
      <c r="S1665">
        <f>IFERROR(O1665/N1665,0)</f>
        <v/>
      </c>
      <c r="T1665">
        <f>IF(C1665,(H1665*N1665*IF(AND(Inputs!$B$38&lt;&gt;"pvp",Inputs!$B$43&gt;0),((Skills!G3*((R1665-1)*IF(Skills!H3&gt;0,Skills!I3/Skills!H3,1)+IF(Skills!H3&gt;0,MIN(Skills!I3,MAX(0,MAX(0,Inputs!$B$43-B1699)-((R1665-1)*(IF(Inputs!$B$38="pvp",15,MAX(0.1,Skills!D3-IF(Skills!E3=TRUE,Inputs!$B$32,0)))*(1-IF(AND(ArtifactsInput!$M$27,Inputs!$B$4="Chapter Hunt"),CHOOSE(ArtifactsInput!$N$27+1,20,24,28,32,36,40),0)/100)))))/Skills!H3,1)))/Inputs!$B$43),G1665*Q1665)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1665*(1-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1665*(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1665*(1-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1665*(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5">
        <f>INDEX(FactorTable!$B$2:$Y$301, MATCH(ROUND(MIN(300,MAX(1,U1664)),0), FactorTable!$A$2:$A$301,0), 22)</f>
        <v/>
      </c>
      <c r="V1665">
        <f>IF(C1665,(H1665*N1665*IF(AND(Inputs!$B$38&lt;&gt;"pvp",Inputs!$B$43&gt;0),((Skills!G3*((R1665-1)*IF(Skills!H3&gt;0,Skills!I3/Skills!H3,1)+IF(Skills!H3&gt;0,MIN(Skills!I3,MAX(0,MAX(0,Inputs!$B$43-B1699)-((R1665-1)*(IF(Inputs!$B$38="pvp",15,MAX(0.1,Skills!D3-IF(Skills!E3=TRUE,Inputs!$B$32,0)))*(1-IF(AND(ArtifactsInput!$M$27,Inputs!$B$4="Chapter Hunt"),CHOOSE(ArtifactsInput!$N$27+1,20,24,28,32,36,40),0)/100)))))/Skills!H3,1)))/Inputs!$B$43),G1665*Q1665))*IF(Inputs!$B$38="pvp",1,(1+(Inputs!$B$21+Skills!Q3+(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6">
      <c r="A1666">
        <f>Skills!A4</f>
        <v/>
      </c>
      <c r="B1666">
        <f>Skills!B4</f>
        <v/>
      </c>
      <c r="C1666">
        <f>Inputs!$B$3&gt;=40</f>
        <v/>
      </c>
      <c r="D1666">
        <f>IF(Skills!C4=1,60+Inputs!$B$25+Inputs!$B$29,IF(Skills!C4=2,90+Inputs!$B$26+Inputs!$B$29,IF(Skills!C4=3,120+Inputs!$B$27+Inputs!$B$29,MAX(0,(Inputs!$B$3-100)*3)+Inputs!$B$28+Inputs!$B$29)))</f>
        <v/>
      </c>
      <c r="E1666">
        <f>INDEX(FactorTable!$B$2:$Y$301, MATCH(ROUND(MIN(300,MAX(1,D1666)),0), FactorTable!$A$2:$A$301,0), Skills!M4+1)</f>
        <v/>
      </c>
      <c r="F1666">
        <f>IF(Skills!N4=TRUE,(Skills!L4/10)*(E1666/1000),Skills!L4/10)+Skills!O4</f>
        <v/>
      </c>
      <c r="G1666">
        <f>Skills!G4*IF(Skills!H4&gt;0,Skills!I4/Skills!H4,1)</f>
        <v/>
      </c>
      <c r="H1666">
        <f>1-(1-Skills!J4/100)^Skills!K4</f>
        <v/>
      </c>
      <c r="I1666" t="inlineStr">
        <is>
          <t>1</t>
        </is>
      </c>
      <c r="J1666">
        <f>((Inputs!$B$6*(1+Inputs!$B$7/100))+(((Inputs!$B$12*(1+Inputs!$B$13/100))-(Inputs!$B$12*(1+Inputs!$B$13/100)))+0.25*(Inputs!$B$14-Inputs!$B$14))*(1+Inputs!$B$7/100))*(F1666/100)</f>
        <v/>
      </c>
      <c r="K1666">
        <f>J1666*(1+((Inputs!$B$12*(1+Inputs!$B$13/100))*0.01+Inputs!$B$14*0.0025)/100)*(1+Inputs!$B$15/100)*(1+Inputs!$B$16/100)*(5000/(6000+Inputs!$B$42*(1-(100*(1-(1-(Inputs!$B$19+0)/100)*(1-CHOOSE(ArtifactsInput!$N$40+1,5,6,7,8,9,10)/100)^(ArtifactsInput!$M$40-ArtifactsInput!$M$40)))/100)))*(1+(Inputs!$B$24+((C1688=TRUE)*(F1688-Calc!F26))+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1678=TRUE,F1678,0)/100)*(1+(IF(Skills!A4="EIGHT_LEGS_EASTON",Inputs!$B$17+((C1685=TRUE)*(F1685-Calc!F23))+((C1689=TRUE)*(F1689-Calc!F27))+(((IF(AND(ArtifactsInput!$M$42,((Inputs!$B$9+((C1681=TRUE)*(F1681-Calc!F19))+B1692+(ArtifactsInput!$M$24-ArtifactsInput!$M$24)*CHOOSE(ArtifactsInput!$N$24+1,10,12,14,16,18,20)+IF(ArtifactsInput!$M$10,CHOOSE(ArtifactsInput!$N$10+1,15,18,21,24,27,30)*(IF(Inputs!$B$38="pvp",MIN(15,15)/15,IF(AND(Inputs!$B$38&lt;&gt;"pvp",Inputs!$B$43&gt;0),MIN(15,Inputs!$B$43)/(Inputs!$B$43),0))),0)))&gt;=100),MIN(100,((Inputs!$B$9+((C1681=TRUE)*(F1681-Calc!F19))+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1681=TRUE)*(F1681-Calc!F19))+B1692+(ArtifactsInput!$M$24-ArtifactsInput!$M$24)*CHOOSE(ArtifactsInput!$N$24+1,10,12,14,16,18,20)+IF(ArtifactsInput!$M$10,CHOOSE(ArtifactsInput!$N$10+1,15,18,21,24,27,30)*(IF(Inputs!$B$38="pvp",MIN(15,15)/15,IF(AND(Inputs!$B$38&lt;&gt;"pvp",Inputs!$B$43&gt;0),MIN(15,Inputs!$B$43)/(Inputs!$B$43),0))),0)))&gt;=100),CHOOSE(ArtifactsInput!$N$42+1,40,48,56,64,72,80),0))))/100)*((1+(((C1679=TRUE)*F1679)+((C1686=TRUE)*(F1686-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1666)</f>
        <v/>
      </c>
      <c r="L1666">
        <f>K1666*(MIN(Inputs!$B$22+((C1684=TRUE)*(F1684-Calc!F22)),(Inputs!$B$23+0+(IF(ArtifactsInput!$M$15,CHOOSE(ArtifactsInput!$N$15+1,25,30,35,40,45,50)/100*(Inputs!$B$11-Inputs!$B$11),0))))/100+(Inputs!$B$23+0+(IF(ArtifactsInput!$M$15,CHOOSE(ArtifactsInput!$N$15+1,25,30,35,40,45,50)/100*(Inputs!$B$11-Inputs!$B$11),0)))/100)/2</f>
        <v/>
      </c>
      <c r="M1666">
        <f>L1666*(1+(Inputs!$B$10+((C1687=TRUE)*(F1687-Calc!F25))+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6">
        <f>L1666*(1-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1666*(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6">
        <f>(1-Summary!$B$11)*T1666+Summary!$B$11*V1666</f>
        <v/>
      </c>
      <c r="P1666">
        <f>IF(B1702=0,0,O1666/B1702)</f>
        <v/>
      </c>
      <c r="Q1666">
        <f>IFERROR(1/(IF(Inputs!$B$38="pvp",15,MAX(0.1,Skills!D4-IF(Skills!E4=TRUE,Inputs!$B$32,0)))*(1-IF(AND(ArtifactsInput!$M$27,Inputs!$B$4="Chapter Hunt"),CHOOSE(ArtifactsInput!$N$27+1,20,24,28,32,36,40),0)/100)),0)</f>
        <v/>
      </c>
      <c r="R1666">
        <f>IF(AND(Inputs!$B$38&lt;&gt;"pvp",Inputs!$B$43&gt;0),IF(MAX(0,Inputs!$B$43-B1699)&lt;=0,0,(INT(MAX(0,Inputs!$B$43-B1699)/(IF(Inputs!$B$38="pvp",15,MAX(0.1,Skills!D4-IF(Skills!E4=TRUE,Inputs!$B$32,0)))*(1-IF(AND(ArtifactsInput!$M$27,Inputs!$B$4="Chapter Hunt"),CHOOSE(ArtifactsInput!$N$27+1,20,24,28,32,36,40),0)/100)))+1)),0)</f>
        <v/>
      </c>
      <c r="S1666">
        <f>IFERROR(O1666/N1666,0)</f>
        <v/>
      </c>
      <c r="T1666">
        <f>IF(C1666,(H1666*N1666*IF(AND(Inputs!$B$38&lt;&gt;"pvp",Inputs!$B$43&gt;0),((Skills!G4*((R1666-1)*IF(Skills!H4&gt;0,Skills!I4/Skills!H4,1)+IF(Skills!H4&gt;0,MIN(Skills!I4,MAX(0,MAX(0,Inputs!$B$43-B1699)-((R1666-1)*(IF(Inputs!$B$38="pvp",15,MAX(0.1,Skills!D4-IF(Skills!E4=TRUE,Inputs!$B$32,0)))*(1-IF(AND(ArtifactsInput!$M$27,Inputs!$B$4="Chapter Hunt"),CHOOSE(ArtifactsInput!$N$27+1,20,24,28,32,36,40),0)/100)))))/Skills!H4,1)))/Inputs!$B$43),G1666*Q1666)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1666*(1-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1666*(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1666*(1-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1666*(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6">
        <f>290*U1665/1000</f>
        <v/>
      </c>
      <c r="V1666">
        <f>IF(C1666,(H1666*N1666*IF(AND(Inputs!$B$38&lt;&gt;"pvp",Inputs!$B$43&gt;0),((Skills!G4*((R1666-1)*IF(Skills!H4&gt;0,Skills!I4/Skills!H4,1)+IF(Skills!H4&gt;0,MIN(Skills!I4,MAX(0,MAX(0,Inputs!$B$43-B1699)-((R1666-1)*(IF(Inputs!$B$38="pvp",15,MAX(0.1,Skills!D4-IF(Skills!E4=TRUE,Inputs!$B$32,0)))*(1-IF(AND(ArtifactsInput!$M$27,Inputs!$B$4="Chapter Hunt"),CHOOSE(ArtifactsInput!$N$27+1,20,24,28,32,36,40),0)/100)))))/Skills!H4,1)))/Inputs!$B$43),G1666*Q1666))*IF(Inputs!$B$38="pvp",1,(1+(Inputs!$B$21+Skills!Q4+(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7">
      <c r="A1667">
        <f>Skills!A5</f>
        <v/>
      </c>
      <c r="B1667">
        <f>Skills!B5</f>
        <v/>
      </c>
      <c r="C1667">
        <f>Inputs!$B$3&gt;=45</f>
        <v/>
      </c>
      <c r="D1667">
        <f>IF(Skills!C5=1,60+Inputs!$B$25+Inputs!$B$29,IF(Skills!C5=2,90+Inputs!$B$26+Inputs!$B$29,IF(Skills!C5=3,120+Inputs!$B$27+Inputs!$B$29,MAX(0,(Inputs!$B$3-100)*3)+Inputs!$B$28+Inputs!$B$29)))</f>
        <v/>
      </c>
      <c r="E1667">
        <f>INDEX(FactorTable!$B$2:$Y$301, MATCH(ROUND(MIN(300,MAX(1,D1667)),0), FactorTable!$A$2:$A$301,0), Skills!M5+1)</f>
        <v/>
      </c>
      <c r="F1667">
        <f>IF(Skills!N5=TRUE,(Skills!L5/10)*(E1667/1000),Skills!L5/10)+Skills!O5</f>
        <v/>
      </c>
      <c r="G1667">
        <f>Skills!G5*IF(Skills!H5&gt;0,Skills!I5/Skills!H5,1)</f>
        <v/>
      </c>
      <c r="H1667">
        <f>1-(1-Skills!J5/100)^Skills!K5</f>
        <v/>
      </c>
      <c r="I1667" t="inlineStr">
        <is>
          <t>1</t>
        </is>
      </c>
      <c r="J1667">
        <f>((Inputs!$B$6*(1+Inputs!$B$7/100))+(((Inputs!$B$12*(1+Inputs!$B$13/100))-(Inputs!$B$12*(1+Inputs!$B$13/100)))+0.25*(Inputs!$B$14-Inputs!$B$14))*(1+Inputs!$B$7/100))*(F1667/100)</f>
        <v/>
      </c>
      <c r="K1667">
        <f>J1667*(1+((Inputs!$B$12*(1+Inputs!$B$13/100))*0.01+Inputs!$B$14*0.0025)/100)*(1+Inputs!$B$15/100)*(1+Inputs!$B$16/100)*(5000/(6000+Inputs!$B$42*(1-(100*(1-(1-(Inputs!$B$19+0)/100)*(1-CHOOSE(ArtifactsInput!$N$40+1,5,6,7,8,9,10)/100)^(ArtifactsInput!$M$40-ArtifactsInput!$M$40)))/100)))*(1+(Inputs!$B$24+((C1688=TRUE)*(F1688-Calc!F26))+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1678=TRUE,F1678,0)/100)*(1+(IF(Skills!A5="EIGHT_LEGS_EASTON",Inputs!$B$17+((C1685=TRUE)*(F1685-Calc!F23))+((C1689=TRUE)*(F1689-Calc!F27))+(((IF(AND(ArtifactsInput!$M$42,((Inputs!$B$9+((C1681=TRUE)*(F1681-Calc!F19))+B1692+(ArtifactsInput!$M$24-ArtifactsInput!$M$24)*CHOOSE(ArtifactsInput!$N$24+1,10,12,14,16,18,20)+IF(ArtifactsInput!$M$10,CHOOSE(ArtifactsInput!$N$10+1,15,18,21,24,27,30)*(IF(Inputs!$B$38="pvp",MIN(15,15)/15,IF(AND(Inputs!$B$38&lt;&gt;"pvp",Inputs!$B$43&gt;0),MIN(15,Inputs!$B$43)/(Inputs!$B$43),0))),0)))&gt;=100),MIN(100,((Inputs!$B$9+((C1681=TRUE)*(F1681-Calc!F19))+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1681=TRUE)*(F1681-Calc!F19))+B1692+(ArtifactsInput!$M$24-ArtifactsInput!$M$24)*CHOOSE(ArtifactsInput!$N$24+1,10,12,14,16,18,20)+IF(ArtifactsInput!$M$10,CHOOSE(ArtifactsInput!$N$10+1,15,18,21,24,27,30)*(IF(Inputs!$B$38="pvp",MIN(15,15)/15,IF(AND(Inputs!$B$38&lt;&gt;"pvp",Inputs!$B$43&gt;0),MIN(15,Inputs!$B$43)/(Inputs!$B$43),0))),0)))&gt;=100),CHOOSE(ArtifactsInput!$N$42+1,40,48,56,64,72,80),0))))/100)*((1+(((C1679=TRUE)*F1679)+((C1686=TRUE)*(F1686-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1667)</f>
        <v/>
      </c>
      <c r="L1667">
        <f>K1667*(MIN(Inputs!$B$22+((C1684=TRUE)*(F1684-Calc!F22)),(Inputs!$B$23+0+(IF(ArtifactsInput!$M$15,CHOOSE(ArtifactsInput!$N$15+1,25,30,35,40,45,50)/100*(Inputs!$B$11-Inputs!$B$11),0))))/100+(Inputs!$B$23+0+(IF(ArtifactsInput!$M$15,CHOOSE(ArtifactsInput!$N$15+1,25,30,35,40,45,50)/100*(Inputs!$B$11-Inputs!$B$11),0)))/100)/2</f>
        <v/>
      </c>
      <c r="M1667">
        <f>L1667*(1+(Inputs!$B$10+((C1687=TRUE)*(F1687-Calc!F25))+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7">
        <f>L1667*(1-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1667*(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7">
        <f>(1-Summary!$B$11)*T1667+Summary!$B$11*V1667</f>
        <v/>
      </c>
      <c r="P1667">
        <f>IF(B1702=0,0,O1667/B1702)</f>
        <v/>
      </c>
      <c r="Q1667">
        <f>IFERROR(1/(IF(Inputs!$B$38="pvp",15,MAX(0.1,Skills!D5-IF(Skills!E5=TRUE,Inputs!$B$32,0)))*(1-IF(AND(ArtifactsInput!$M$27,Inputs!$B$4="Chapter Hunt"),CHOOSE(ArtifactsInput!$N$27+1,20,24,28,32,36,40),0)/100)),0)</f>
        <v/>
      </c>
      <c r="R1667">
        <f>IF(AND(Inputs!$B$38&lt;&gt;"pvp",Inputs!$B$43&gt;0),IF(MAX(0,Inputs!$B$43-B1699)&lt;=0,0,(INT(MAX(0,Inputs!$B$43-B1699)/(IF(Inputs!$B$38="pvp",15,MAX(0.1,Skills!D5-IF(Skills!E5=TRUE,Inputs!$B$32,0)))*(1-IF(AND(ArtifactsInput!$M$27,Inputs!$B$4="Chapter Hunt"),CHOOSE(ArtifactsInput!$N$27+1,20,24,28,32,36,40),0)/100)))+1)),0)</f>
        <v/>
      </c>
      <c r="S1667">
        <f>IFERROR(O1667/N1667,0)</f>
        <v/>
      </c>
      <c r="T1667">
        <f>IF(C1667,(H1667*N1667*IF(AND(Inputs!$B$38&lt;&gt;"pvp",Inputs!$B$43&gt;0),((Skills!G5*((R1667-1)*IF(Skills!H5&gt;0,Skills!I5/Skills!H5,1)+IF(Skills!H5&gt;0,MIN(Skills!I5,MAX(0,MAX(0,Inputs!$B$43-B1699)-((R1667-1)*(IF(Inputs!$B$38="pvp",15,MAX(0.1,Skills!D5-IF(Skills!E5=TRUE,Inputs!$B$32,0)))*(1-IF(AND(ArtifactsInput!$M$27,Inputs!$B$4="Chapter Hunt"),CHOOSE(ArtifactsInput!$N$27+1,20,24,28,32,36,40),0)/100)))))/Skills!H5,1)))/Inputs!$B$43),G1667*Q1667)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1667*(1-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1667*(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1667*(1-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1667*(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7">
        <f>IF(C1667,(H1667*N1667*IF(AND(Inputs!$B$38&lt;&gt;"pvp",Inputs!$B$43&gt;0),((Skills!G5*((R1667-1)*IF(Skills!H5&gt;0,Skills!I5/Skills!H5,1)+IF(Skills!H5&gt;0,MIN(Skills!I5,MAX(0,MAX(0,Inputs!$B$43-B1699)-((R1667-1)*(IF(Inputs!$B$38="pvp",15,MAX(0.1,Skills!D5-IF(Skills!E5=TRUE,Inputs!$B$32,0)))*(1-IF(AND(ArtifactsInput!$M$27,Inputs!$B$4="Chapter Hunt"),CHOOSE(ArtifactsInput!$N$27+1,20,24,28,32,36,40),0)/100)))))/Skills!H5,1)))/Inputs!$B$43),G1667*Q1667))*IF(Inputs!$B$38="pvp",1,(1+(Inputs!$B$21+Skills!Q5+(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8">
      <c r="A1668">
        <f>Skills!A6</f>
        <v/>
      </c>
      <c r="B1668">
        <f>Skills!B6</f>
        <v/>
      </c>
      <c r="C1668">
        <f>Inputs!$B$3&gt;=63</f>
        <v/>
      </c>
      <c r="D1668">
        <f>IF(Skills!C6=1,60+Inputs!$B$25+Inputs!$B$29,IF(Skills!C6=2,90+Inputs!$B$26+Inputs!$B$29,IF(Skills!C6=3,120+Inputs!$B$27+Inputs!$B$29,MAX(0,(Inputs!$B$3-100)*3)+Inputs!$B$28+Inputs!$B$29)))</f>
        <v/>
      </c>
      <c r="E1668">
        <f>INDEX(FactorTable!$B$2:$Y$301, MATCH(ROUND(MIN(300,MAX(1,D1668)),0), FactorTable!$A$2:$A$301,0), Skills!M6+1)</f>
        <v/>
      </c>
      <c r="F1668">
        <f>IF(Skills!N6=TRUE,(Skills!L6/10)*(E1668/1000),Skills!L6/10)+Skills!O6</f>
        <v/>
      </c>
      <c r="G1668">
        <f>Skills!G6*IF(Skills!H6&gt;0,Skills!I6/Skills!H6,1)</f>
        <v/>
      </c>
      <c r="H1668">
        <f>1-(1-Skills!J6/100)^Skills!K6</f>
        <v/>
      </c>
      <c r="I1668" t="inlineStr">
        <is>
          <t>1</t>
        </is>
      </c>
      <c r="J1668">
        <f>((Inputs!$B$6*(1+Inputs!$B$7/100))+(((Inputs!$B$12*(1+Inputs!$B$13/100))-(Inputs!$B$12*(1+Inputs!$B$13/100)))+0.25*(Inputs!$B$14-Inputs!$B$14))*(1+Inputs!$B$7/100))*(F1668/100)</f>
        <v/>
      </c>
      <c r="K1668">
        <f>J1668*(1+((Inputs!$B$12*(1+Inputs!$B$13/100))*0.01+Inputs!$B$14*0.0025)/100)*(1+Inputs!$B$15/100)*(1+Inputs!$B$16/100)*(5000/(6000+Inputs!$B$42*(1-(100*(1-(1-(Inputs!$B$19+0)/100)*(1-CHOOSE(ArtifactsInput!$N$40+1,5,6,7,8,9,10)/100)^(ArtifactsInput!$M$40-ArtifactsInput!$M$40)))/100)))*(1+(Inputs!$B$24+((C1688=TRUE)*(F1688-Calc!F26))+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1677=TRUE,F1677,0)/100)*(1+(IF(Skills!A6="EIGHT_LEGS_EASTON",Inputs!$B$17+((C1685=TRUE)*(F1685-Calc!F23))+((C1689=TRUE)*(F1689-Calc!F27))+(((IF(AND(ArtifactsInput!$M$42,((Inputs!$B$9+((C1681=TRUE)*(F1681-Calc!F19))+B1692+(ArtifactsInput!$M$24-ArtifactsInput!$M$24)*CHOOSE(ArtifactsInput!$N$24+1,10,12,14,16,18,20)+IF(ArtifactsInput!$M$10,CHOOSE(ArtifactsInput!$N$10+1,15,18,21,24,27,30)*(IF(Inputs!$B$38="pvp",MIN(15,15)/15,IF(AND(Inputs!$B$38&lt;&gt;"pvp",Inputs!$B$43&gt;0),MIN(15,Inputs!$B$43)/(Inputs!$B$43),0))),0)))&gt;=100),MIN(100,((Inputs!$B$9+((C1681=TRUE)*(F1681-Calc!F19))+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1681=TRUE)*(F1681-Calc!F19))+B1692+(ArtifactsInput!$M$24-ArtifactsInput!$M$24)*CHOOSE(ArtifactsInput!$N$24+1,10,12,14,16,18,20)+IF(ArtifactsInput!$M$10,CHOOSE(ArtifactsInput!$N$10+1,15,18,21,24,27,30)*(IF(Inputs!$B$38="pvp",MIN(15,15)/15,IF(AND(Inputs!$B$38&lt;&gt;"pvp",Inputs!$B$43&gt;0),MIN(15,Inputs!$B$43)/(Inputs!$B$43),0))),0)))&gt;=100),CHOOSE(ArtifactsInput!$N$42+1,40,48,56,64,72,80),0))))/100)*((1+(((C1679=TRUE)*F1679)+((C1686=TRUE)*(F1686-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1668)</f>
        <v/>
      </c>
      <c r="L1668">
        <f>K1668*(MIN(Inputs!$B$22+((C1684=TRUE)*(F1684-Calc!F22)),(Inputs!$B$23+0+(IF(ArtifactsInput!$M$15,CHOOSE(ArtifactsInput!$N$15+1,25,30,35,40,45,50)/100*(Inputs!$B$11-Inputs!$B$11),0))))/100+(Inputs!$B$23+0+(IF(ArtifactsInput!$M$15,CHOOSE(ArtifactsInput!$N$15+1,25,30,35,40,45,50)/100*(Inputs!$B$11-Inputs!$B$11),0)))/100)/2</f>
        <v/>
      </c>
      <c r="M1668">
        <f>L1668*(1+(Inputs!$B$10+((C1687=TRUE)*(F1687-Calc!F25))+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8">
        <f>L1668*(1-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1668*(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8">
        <f>(1-Summary!$B$11)*T1668+Summary!$B$11*V1668</f>
        <v/>
      </c>
      <c r="P1668">
        <f>IF(B1702=0,0,O1668/B1702)</f>
        <v/>
      </c>
      <c r="Q1668">
        <f>IFERROR(1/(IF(Inputs!$B$38="pvp",15,MAX(0.1,Skills!D6-IF(Skills!E6=TRUE,Inputs!$B$32,0)))*(1-IF(AND(ArtifactsInput!$M$27,Inputs!$B$4="Chapter Hunt"),CHOOSE(ArtifactsInput!$N$27+1,20,24,28,32,36,40),0)/100)),0)</f>
        <v/>
      </c>
      <c r="R1668">
        <f>IF(AND(Inputs!$B$38&lt;&gt;"pvp",Inputs!$B$43&gt;0),IF(MAX(0,Inputs!$B$43-B1699)&lt;=0,0,(INT(MAX(0,Inputs!$B$43-B1699)/(IF(Inputs!$B$38="pvp",15,MAX(0.1,Skills!D6-IF(Skills!E6=TRUE,Inputs!$B$32,0)))*(1-IF(AND(ArtifactsInput!$M$27,Inputs!$B$4="Chapter Hunt"),CHOOSE(ArtifactsInput!$N$27+1,20,24,28,32,36,40),0)/100)))+1)),0)</f>
        <v/>
      </c>
      <c r="S1668">
        <f>IFERROR(O1668/N1668,0)</f>
        <v/>
      </c>
      <c r="T1668">
        <f>IF(C1668,(H1668*N1668*IF(AND(Inputs!$B$38&lt;&gt;"pvp",Inputs!$B$43&gt;0),((Skills!G6*((R1668-1)*IF(Skills!H6&gt;0,Skills!I6/Skills!H6,1)+IF(Skills!H6&gt;0,MIN(Skills!I6,MAX(0,MAX(0,Inputs!$B$43-B1699)-((R1668-1)*(IF(Inputs!$B$38="pvp",15,MAX(0.1,Skills!D6-IF(Skills!E6=TRUE,Inputs!$B$32,0)))*(1-IF(AND(ArtifactsInput!$M$27,Inputs!$B$4="Chapter Hunt"),CHOOSE(ArtifactsInput!$N$27+1,20,24,28,32,36,40),0)/100)))))/Skills!H6,1)))/Inputs!$B$43),G1668*Q1668)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1668*(1-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1668*(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1668*(1-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1668*(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8">
        <f>IF(C1668,(H1668*N1668*IF(AND(Inputs!$B$38&lt;&gt;"pvp",Inputs!$B$43&gt;0),((Skills!G6*((R1668-1)*IF(Skills!H6&gt;0,Skills!I6/Skills!H6,1)+IF(Skills!H6&gt;0,MIN(Skills!I6,MAX(0,MAX(0,Inputs!$B$43-B1699)-((R1668-1)*(IF(Inputs!$B$38="pvp",15,MAX(0.1,Skills!D6-IF(Skills!E6=TRUE,Inputs!$B$32,0)))*(1-IF(AND(ArtifactsInput!$M$27,Inputs!$B$4="Chapter Hunt"),CHOOSE(ArtifactsInput!$N$27+1,20,24,28,32,36,40),0)/100)))))/Skills!H6,1)))/Inputs!$B$43),G1668*Q1668))*IF(Inputs!$B$38="pvp",1,(1+(Inputs!$B$21+Skills!Q6+(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9">
      <c r="A1669">
        <f>Skills!A7</f>
        <v/>
      </c>
      <c r="B1669">
        <f>Skills!B7</f>
        <v/>
      </c>
      <c r="C1669">
        <f>Inputs!$B$3&gt;=66</f>
        <v/>
      </c>
      <c r="D1669">
        <f>IF(Skills!C7=1,60+Inputs!$B$25+Inputs!$B$29,IF(Skills!C7=2,90+Inputs!$B$26+Inputs!$B$29,IF(Skills!C7=3,120+Inputs!$B$27+Inputs!$B$29,MAX(0,(Inputs!$B$3-100)*3)+Inputs!$B$28+Inputs!$B$29)))</f>
        <v/>
      </c>
      <c r="E1669">
        <f>INDEX(FactorTable!$B$2:$Y$301, MATCH(ROUND(MIN(300,MAX(1,D1669)),0), FactorTable!$A$2:$A$301,0), Skills!M7+1)</f>
        <v/>
      </c>
      <c r="F1669">
        <f>IF(Skills!N7=TRUE,(Skills!L7/10)*(E1669/1000),Skills!L7/10)+Skills!O7</f>
        <v/>
      </c>
      <c r="G1669">
        <f>Skills!G7*IF(Skills!H7&gt;0,Skills!I7/Skills!H7,1)</f>
        <v/>
      </c>
      <c r="H1669">
        <f>1-(1-Skills!J7/100)^Skills!K7</f>
        <v/>
      </c>
      <c r="I1669" t="inlineStr">
        <is>
          <t>1</t>
        </is>
      </c>
      <c r="J1669">
        <f>((Inputs!$B$6*(1+Inputs!$B$7/100))+(((Inputs!$B$12*(1+Inputs!$B$13/100))-(Inputs!$B$12*(1+Inputs!$B$13/100)))+0.25*(Inputs!$B$14-Inputs!$B$14))*(1+Inputs!$B$7/100))*(F1669/100)</f>
        <v/>
      </c>
      <c r="K1669">
        <f>J1669*(1+((Inputs!$B$12*(1+Inputs!$B$13/100))*0.01+Inputs!$B$14*0.0025)/100)*(1+Inputs!$B$15/100)*(1+Inputs!$B$16/100)*(5000/(6000+Inputs!$B$42*(1-(100*(1-(1-(Inputs!$B$19+0)/100)*(1-CHOOSE(ArtifactsInput!$N$40+1,5,6,7,8,9,10)/100)^(ArtifactsInput!$M$40-ArtifactsInput!$M$40)))/100)))*(1+(Inputs!$B$24+((C1688=TRUE)*(F1688-Calc!F26))+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1677=TRUE,F1677,0)/100)*(1+(IF(Skills!A7="EIGHT_LEGS_EASTON",Inputs!$B$17+((C1685=TRUE)*(F1685-Calc!F23))+((C1689=TRUE)*(F1689-Calc!F27))+(((IF(AND(ArtifactsInput!$M$42,((Inputs!$B$9+((C1681=TRUE)*(F1681-Calc!F19))+B1692+(ArtifactsInput!$M$24-ArtifactsInput!$M$24)*CHOOSE(ArtifactsInput!$N$24+1,10,12,14,16,18,20)+IF(ArtifactsInput!$M$10,CHOOSE(ArtifactsInput!$N$10+1,15,18,21,24,27,30)*(IF(Inputs!$B$38="pvp",MIN(15,15)/15,IF(AND(Inputs!$B$38&lt;&gt;"pvp",Inputs!$B$43&gt;0),MIN(15,Inputs!$B$43)/(Inputs!$B$43),0))),0)))&gt;=100),MIN(100,((Inputs!$B$9+((C1681=TRUE)*(F1681-Calc!F19))+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1681=TRUE)*(F1681-Calc!F19))+B1692+(ArtifactsInput!$M$24-ArtifactsInput!$M$24)*CHOOSE(ArtifactsInput!$N$24+1,10,12,14,16,18,20)+IF(ArtifactsInput!$M$10,CHOOSE(ArtifactsInput!$N$10+1,15,18,21,24,27,30)*(IF(Inputs!$B$38="pvp",MIN(15,15)/15,IF(AND(Inputs!$B$38&lt;&gt;"pvp",Inputs!$B$43&gt;0),MIN(15,Inputs!$B$43)/(Inputs!$B$43),0))),0)))&gt;=100),CHOOSE(ArtifactsInput!$N$42+1,40,48,56,64,72,80),0))))/100)*((1+(((C1679=TRUE)*F1679)+((C1686=TRUE)*(F1686-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1669)</f>
        <v/>
      </c>
      <c r="L1669">
        <f>K1669*(MIN(Inputs!$B$22+((C1684=TRUE)*(F1684-Calc!F22)),(Inputs!$B$23+0+(IF(ArtifactsInput!$M$15,CHOOSE(ArtifactsInput!$N$15+1,25,30,35,40,45,50)/100*(Inputs!$B$11-Inputs!$B$11),0))))/100+(Inputs!$B$23+0+(IF(ArtifactsInput!$M$15,CHOOSE(ArtifactsInput!$N$15+1,25,30,35,40,45,50)/100*(Inputs!$B$11-Inputs!$B$11),0)))/100)/2</f>
        <v/>
      </c>
      <c r="M1669">
        <f>L1669*(1+(Inputs!$B$10+((C1687=TRUE)*(F1687-Calc!F25))+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9">
        <f>L1669*(1-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1669*(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9">
        <f>(1-Summary!$B$11)*T1669+Summary!$B$11*V1669</f>
        <v/>
      </c>
      <c r="P1669">
        <f>IF(B1702=0,0,O1669/B1702)</f>
        <v/>
      </c>
      <c r="Q1669">
        <f>IFERROR(1/(IF(Inputs!$B$38="pvp",15,MAX(0.1,Skills!D7-IF(Skills!E7=TRUE,Inputs!$B$32,0)))*(1-IF(AND(ArtifactsInput!$M$27,Inputs!$B$4="Chapter Hunt"),CHOOSE(ArtifactsInput!$N$27+1,20,24,28,32,36,40),0)/100)),0)</f>
        <v/>
      </c>
      <c r="R1669">
        <f>IF(AND(Inputs!$B$38&lt;&gt;"pvp",Inputs!$B$43&gt;0),IF(MAX(0,Inputs!$B$43-B1699)&lt;=0,0,(INT(MAX(0,Inputs!$B$43-B1699)/(IF(Inputs!$B$38="pvp",15,MAX(0.1,Skills!D7-IF(Skills!E7=TRUE,Inputs!$B$32,0)))*(1-IF(AND(ArtifactsInput!$M$27,Inputs!$B$4="Chapter Hunt"),CHOOSE(ArtifactsInput!$N$27+1,20,24,28,32,36,40),0)/100)))+1)),0)</f>
        <v/>
      </c>
      <c r="S1669">
        <f>IFERROR(O1669/N1669,0)</f>
        <v/>
      </c>
      <c r="T1669">
        <f>IF(C1669,(H1669*N1669*IF(AND(Inputs!$B$38&lt;&gt;"pvp",Inputs!$B$43&gt;0),((Skills!G7*((R1669-1)*IF(Skills!H7&gt;0,Skills!I7/Skills!H7,1)+IF(Skills!H7&gt;0,MIN(Skills!I7,MAX(0,MAX(0,Inputs!$B$43-B1699)-((R1669-1)*(IF(Inputs!$B$38="pvp",15,MAX(0.1,Skills!D7-IF(Skills!E7=TRUE,Inputs!$B$32,0)))*(1-IF(AND(ArtifactsInput!$M$27,Inputs!$B$4="Chapter Hunt"),CHOOSE(ArtifactsInput!$N$27+1,20,24,28,32,36,40),0)/100)))))/Skills!H7,1)))/Inputs!$B$43),G1669*Q1669)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1669*(1-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1669*(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1669*(1-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1669*(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9">
        <f>IF(C1669,(H1669*N1669*IF(AND(Inputs!$B$38&lt;&gt;"pvp",Inputs!$B$43&gt;0),((Skills!G7*((R1669-1)*IF(Skills!H7&gt;0,Skills!I7/Skills!H7,1)+IF(Skills!H7&gt;0,MIN(Skills!I7,MAX(0,MAX(0,Inputs!$B$43-B1699)-((R1669-1)*(IF(Inputs!$B$38="pvp",15,MAX(0.1,Skills!D7-IF(Skills!E7=TRUE,Inputs!$B$32,0)))*(1-IF(AND(ArtifactsInput!$M$27,Inputs!$B$4="Chapter Hunt"),CHOOSE(ArtifactsInput!$N$27+1,20,24,28,32,36,40),0)/100)))))/Skills!H7,1)))/Inputs!$B$43),G1669*Q1669))*IF(Inputs!$B$38="pvp",1,(1+(Inputs!$B$21+Skills!Q7+(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0">
      <c r="A1670">
        <f>Skills!A8</f>
        <v/>
      </c>
      <c r="B1670">
        <f>Skills!B8</f>
        <v/>
      </c>
      <c r="C1670">
        <f>Inputs!$B$3&gt;=100</f>
        <v/>
      </c>
      <c r="D1670">
        <f>IF(Skills!C8=1,60+Inputs!$B$25+Inputs!$B$29,IF(Skills!C8=2,90+Inputs!$B$26+Inputs!$B$29,IF(Skills!C8=3,120+Inputs!$B$27+Inputs!$B$29,MAX(0,(Inputs!$B$3-100)*3)+Inputs!$B$28+Inputs!$B$29)))</f>
        <v/>
      </c>
      <c r="E1670">
        <f>INDEX(FactorTable!$B$2:$Y$301, MATCH(ROUND(MIN(300,MAX(1,D1670)),0), FactorTable!$A$2:$A$301,0), Skills!M8+1)</f>
        <v/>
      </c>
      <c r="F1670">
        <f>IF(Skills!N8=TRUE,(Skills!L8/10)*(E1670/1000),Skills!L8/10)+Skills!O8</f>
        <v/>
      </c>
      <c r="G1670">
        <f>Skills!G8*IF(Skills!H8&gt;0,Skills!I8/Skills!H8,1)</f>
        <v/>
      </c>
      <c r="H1670">
        <f>1-(1-Skills!J8/100)^Skills!K8</f>
        <v/>
      </c>
      <c r="I1670" t="inlineStr">
        <is>
          <t>1</t>
        </is>
      </c>
      <c r="J1670">
        <f>((Inputs!$B$6*(1+Inputs!$B$7/100))+(((Inputs!$B$12*(1+Inputs!$B$13/100))-(Inputs!$B$12*(1+Inputs!$B$13/100)))+0.25*(Inputs!$B$14-Inputs!$B$14))*(1+Inputs!$B$7/100))*(F1670/100)</f>
        <v/>
      </c>
      <c r="K1670">
        <f>J1670*(1+((Inputs!$B$12*(1+Inputs!$B$13/100))*0.01+Inputs!$B$14*0.0025)/100)*(1+Inputs!$B$15/100)*(1+Inputs!$B$16/100)*(5000/(6000+Inputs!$B$42*(1-(100*(1-(1-(Inputs!$B$19+0)/100)*(1-CHOOSE(ArtifactsInput!$N$40+1,5,6,7,8,9,10)/100)^(ArtifactsInput!$M$40-ArtifactsInput!$M$40)))/100)))*(1+(Inputs!$B$24+((C1688=TRUE)*(F1688-Calc!F26))+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1685=TRUE)*(F1685-Calc!F23))+((C1689=TRUE)*(F1689-Calc!F27))+(((IF(AND(ArtifactsInput!$M$42,((Inputs!$B$9+((C1681=TRUE)*(F1681-Calc!F19))+B1692+(ArtifactsInput!$M$24-ArtifactsInput!$M$24)*CHOOSE(ArtifactsInput!$N$24+1,10,12,14,16,18,20)+IF(ArtifactsInput!$M$10,CHOOSE(ArtifactsInput!$N$10+1,15,18,21,24,27,30)*(IF(Inputs!$B$38="pvp",MIN(15,15)/15,IF(AND(Inputs!$B$38&lt;&gt;"pvp",Inputs!$B$43&gt;0),MIN(15,Inputs!$B$43)/(Inputs!$B$43),0))),0)))&gt;=100),MIN(100,((Inputs!$B$9+((C1681=TRUE)*(F1681-Calc!F19))+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1681=TRUE)*(F1681-Calc!F19))+B1692+(ArtifactsInput!$M$24-ArtifactsInput!$M$24)*CHOOSE(ArtifactsInput!$N$24+1,10,12,14,16,18,20)+IF(ArtifactsInput!$M$10,CHOOSE(ArtifactsInput!$N$10+1,15,18,21,24,27,30)*(IF(Inputs!$B$38="pvp",MIN(15,15)/15,IF(AND(Inputs!$B$38&lt;&gt;"pvp",Inputs!$B$43&gt;0),MIN(15,Inputs!$B$43)/(Inputs!$B$43),0))),0)))&gt;=100),CHOOSE(ArtifactsInput!$N$42+1,40,48,56,64,72,80),0))))/100)*((1+(((C1679=TRUE)*F1679)+((C1686=TRUE)*(F1686-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1670)</f>
        <v/>
      </c>
      <c r="L1670">
        <f>K1670*(MIN(Inputs!$B$22+((C1684=TRUE)*(F1684-Calc!F22)),(Inputs!$B$23+0+(IF(ArtifactsInput!$M$15,CHOOSE(ArtifactsInput!$N$15+1,25,30,35,40,45,50)/100*(Inputs!$B$11-Inputs!$B$11),0))))/100+(Inputs!$B$23+0+(IF(ArtifactsInput!$M$15,CHOOSE(ArtifactsInput!$N$15+1,25,30,35,40,45,50)/100*(Inputs!$B$11-Inputs!$B$11),0)))/100)/2</f>
        <v/>
      </c>
      <c r="M1670">
        <f>L1670*(1+(Inputs!$B$10+((C1687=TRUE)*(F1687-Calc!F25))+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0">
        <f>L1670*(1-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1670*(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0">
        <f>(1-Summary!$B$11)*T1670+Summary!$B$11*V1670</f>
        <v/>
      </c>
      <c r="P1670">
        <f>IF(B1702=0,0,O1670/B1702)</f>
        <v/>
      </c>
      <c r="Q1670">
        <f>IFERROR(1/(IF(Inputs!$B$38="pvp",15,MAX(0.1,Skills!D8-IF(Skills!E8=TRUE,Inputs!$B$32,0)))*(1-IF(AND(ArtifactsInput!$M$27,Inputs!$B$4="Chapter Hunt"),CHOOSE(ArtifactsInput!$N$27+1,20,24,28,32,36,40),0)/100)),0)</f>
        <v/>
      </c>
      <c r="R1670">
        <f>IF(AND(Inputs!$B$38&lt;&gt;"pvp",Inputs!$B$43&gt;0),IF(MAX(0,Inputs!$B$43-B1699)&lt;=0,0,(INT(MAX(0,Inputs!$B$43-B1699)/(IF(Inputs!$B$38="pvp",15,MAX(0.1,Skills!D8-IF(Skills!E8=TRUE,Inputs!$B$32,0)))*(1-IF(AND(ArtifactsInput!$M$27,Inputs!$B$4="Chapter Hunt"),CHOOSE(ArtifactsInput!$N$27+1,20,24,28,32,36,40),0)/100)))+1)),0)</f>
        <v/>
      </c>
      <c r="S1670">
        <f>IFERROR(O1670/N1670,0)</f>
        <v/>
      </c>
      <c r="T1670">
        <f>IF(C1670,(H1670*N1670*IF(AND(Inputs!$B$38&lt;&gt;"pvp",Inputs!$B$43&gt;0),((Skills!G8*((R1670-1)*IF(Skills!H8&gt;0,Skills!I8/Skills!H8,1)+IF(Skills!H8&gt;0,MIN(Skills!I8,MAX(0,MAX(0,Inputs!$B$43-B1699)-((R1670-1)*(IF(Inputs!$B$38="pvp",15,MAX(0.1,Skills!D8-IF(Skills!E8=TRUE,Inputs!$B$32,0)))*(1-IF(AND(ArtifactsInput!$M$27,Inputs!$B$4="Chapter Hunt"),CHOOSE(ArtifactsInput!$N$27+1,20,24,28,32,36,40),0)/100)))))/Skills!H8,1)))/Inputs!$B$43),G1670*Q1670)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1670*(1-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1670*(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1670*(1-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1670*(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0">
        <f>IF(C1670,(H1670*N1670*IF(AND(Inputs!$B$38&lt;&gt;"pvp",Inputs!$B$43&gt;0),((Skills!G8*((R1670-1)*IF(Skills!H8&gt;0,Skills!I8/Skills!H8,1)+IF(Skills!H8&gt;0,MIN(Skills!I8,MAX(0,MAX(0,Inputs!$B$43-B1699)-((R1670-1)*(IF(Inputs!$B$38="pvp",15,MAX(0.1,Skills!D8-IF(Skills!E8=TRUE,Inputs!$B$32,0)))*(1-IF(AND(ArtifactsInput!$M$27,Inputs!$B$4="Chapter Hunt"),CHOOSE(ArtifactsInput!$N$27+1,20,24,28,32,36,40),0)/100)))))/Skills!H8,1)))/Inputs!$B$43),G1670*Q1670))*IF(Inputs!$B$38="pvp",1,(1+(Inputs!$B$21+Skills!Q8+(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1">
      <c r="A1671">
        <f>Skills!A9</f>
        <v/>
      </c>
      <c r="B1671">
        <f>Skills!B9</f>
        <v/>
      </c>
      <c r="C1671">
        <f>Inputs!$B$3&gt;=103</f>
        <v/>
      </c>
      <c r="D1671">
        <f>IF(Skills!C9=1,60+Inputs!$B$25+Inputs!$B$29,IF(Skills!C9=2,90+Inputs!$B$26+Inputs!$B$29,IF(Skills!C9=3,120+Inputs!$B$27+Inputs!$B$29,MAX(0,(Inputs!$B$3-100)*3)+Inputs!$B$28+Inputs!$B$29)))</f>
        <v/>
      </c>
      <c r="E1671">
        <f>INDEX(FactorTable!$B$2:$Y$301, MATCH(ROUND(MIN(300,MAX(1,D1671)),0), FactorTable!$A$2:$A$301,0), Skills!M9+1)</f>
        <v/>
      </c>
      <c r="F1671">
        <f>IF(Skills!N9=TRUE,(Skills!L9/10)*(E1671/1000),Skills!L9/10)+Skills!O9</f>
        <v/>
      </c>
      <c r="G1671">
        <f>Skills!G9*IF(Skills!H9&gt;0,Skills!I9/Skills!H9,1)</f>
        <v/>
      </c>
      <c r="H1671">
        <f>1-(1-Skills!J9/100)^Skills!K9</f>
        <v/>
      </c>
      <c r="I1671" t="inlineStr">
        <is>
          <t>1</t>
        </is>
      </c>
      <c r="J1671">
        <f>((Inputs!$B$6*(1+Inputs!$B$7/100))+(((Inputs!$B$12*(1+Inputs!$B$13/100))-(Inputs!$B$12*(1+Inputs!$B$13/100)))+0.25*(Inputs!$B$14-Inputs!$B$14))*(1+Inputs!$B$7/100))*(F1671/100)</f>
        <v/>
      </c>
      <c r="K1671">
        <f>J1671*(1+((Inputs!$B$12*(1+Inputs!$B$13/100))*0.01+Inputs!$B$14*0.0025)/100)*(1+Inputs!$B$15/100)*(1+Inputs!$B$16/100)*(5000/(6000+Inputs!$B$42*(1-(100*(1-(1-(Inputs!$B$19+0)/100)*(1-CHOOSE(ArtifactsInput!$N$40+1,5,6,7,8,9,10)/100)^(ArtifactsInput!$M$40-ArtifactsInput!$M$40)))/100)))*(1+(Inputs!$B$24+((C1688=TRUE)*(F1688-Calc!F26))+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1685=TRUE)*(F1685-Calc!F23))+((C1689=TRUE)*(F1689-Calc!F27))+(((IF(AND(ArtifactsInput!$M$42,((Inputs!$B$9+((C1681=TRUE)*(F1681-Calc!F19))+B1692+(ArtifactsInput!$M$24-ArtifactsInput!$M$24)*CHOOSE(ArtifactsInput!$N$24+1,10,12,14,16,18,20)+IF(ArtifactsInput!$M$10,CHOOSE(ArtifactsInput!$N$10+1,15,18,21,24,27,30)*(IF(Inputs!$B$38="pvp",MIN(15,15)/15,IF(AND(Inputs!$B$38&lt;&gt;"pvp",Inputs!$B$43&gt;0),MIN(15,Inputs!$B$43)/(Inputs!$B$43),0))),0)))&gt;=100),MIN(100,((Inputs!$B$9+((C1681=TRUE)*(F1681-Calc!F19))+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1681=TRUE)*(F1681-Calc!F19))+B1692+(ArtifactsInput!$M$24-ArtifactsInput!$M$24)*CHOOSE(ArtifactsInput!$N$24+1,10,12,14,16,18,20)+IF(ArtifactsInput!$M$10,CHOOSE(ArtifactsInput!$N$10+1,15,18,21,24,27,30)*(IF(Inputs!$B$38="pvp",MIN(15,15)/15,IF(AND(Inputs!$B$38&lt;&gt;"pvp",Inputs!$B$43&gt;0),MIN(15,Inputs!$B$43)/(Inputs!$B$43),0))),0)))&gt;=100),CHOOSE(ArtifactsInput!$N$42+1,40,48,56,64,72,80),0))))/100)*((1+(((C1679=TRUE)*F1679)+((C1686=TRUE)*(F1686-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1671)</f>
        <v/>
      </c>
      <c r="L1671">
        <f>K1671*(MIN(Inputs!$B$22+((C1684=TRUE)*(F1684-Calc!F22)),(Inputs!$B$23+0+(IF(ArtifactsInput!$M$15,CHOOSE(ArtifactsInput!$N$15+1,25,30,35,40,45,50)/100*(Inputs!$B$11-Inputs!$B$11),0))))/100+(Inputs!$B$23+0+(IF(ArtifactsInput!$M$15,CHOOSE(ArtifactsInput!$N$15+1,25,30,35,40,45,50)/100*(Inputs!$B$11-Inputs!$B$11),0)))/100)/2</f>
        <v/>
      </c>
      <c r="M1671">
        <f>L1671*(1+(Inputs!$B$10+((C1687=TRUE)*(F1687-Calc!F25))+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1">
        <f>L1671*(1-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1671*(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1">
        <f>(1-Summary!$B$11)*T1671+Summary!$B$11*V1671</f>
        <v/>
      </c>
      <c r="P1671">
        <f>IF(B1702=0,0,O1671/B1702)</f>
        <v/>
      </c>
      <c r="Q1671">
        <f>IFERROR(1/(IF(Inputs!$B$38="pvp",15,MAX(0.1,Skills!D9-IF(Skills!E9=TRUE,Inputs!$B$32,0)))*(1-IF(AND(ArtifactsInput!$M$27,Inputs!$B$4="Chapter Hunt"),CHOOSE(ArtifactsInput!$N$27+1,20,24,28,32,36,40),0)/100)),0)</f>
        <v/>
      </c>
      <c r="R1671">
        <f>IF(AND(Inputs!$B$38&lt;&gt;"pvp",Inputs!$B$43&gt;0),IF(MAX(0,Inputs!$B$43-B1699)&lt;=0,0,(INT(MAX(0,Inputs!$B$43-B1699)/(IF(Inputs!$B$38="pvp",15,MAX(0.1,Skills!D9-IF(Skills!E9=TRUE,Inputs!$B$32,0)))*(1-IF(AND(ArtifactsInput!$M$27,Inputs!$B$4="Chapter Hunt"),CHOOSE(ArtifactsInput!$N$27+1,20,24,28,32,36,40),0)/100)))+1)),0)</f>
        <v/>
      </c>
      <c r="S1671">
        <f>IFERROR(O1671/N1671,0)</f>
        <v/>
      </c>
      <c r="T1671">
        <f>IF(C1671,(H1671*N1671*IF(AND(Inputs!$B$38&lt;&gt;"pvp",Inputs!$B$43&gt;0),((Skills!G9*((R1671-1)*IF(Skills!H9&gt;0,Skills!I9/Skills!H9,1)+IF(Skills!H9&gt;0,MIN(Skills!I9,MAX(0,MAX(0,Inputs!$B$43-B1699)-((R1671-1)*(IF(Inputs!$B$38="pvp",15,MAX(0.1,Skills!D9-IF(Skills!E9=TRUE,Inputs!$B$32,0)))*(1-IF(AND(ArtifactsInput!$M$27,Inputs!$B$4="Chapter Hunt"),CHOOSE(ArtifactsInput!$N$27+1,20,24,28,32,36,40),0)/100)))))/Skills!H9,1)))/Inputs!$B$43),G1671*Q1671)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1671*(1-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1">
        <f>IF(C1671,(H1671*N1671*IF(AND(Inputs!$B$38&lt;&gt;"pvp",Inputs!$B$43&gt;0),((Skills!G9*((R1671-1)*IF(Skills!H9&gt;0,Skills!I9/Skills!H9,1)+IF(Skills!H9&gt;0,MIN(Skills!I9,MAX(0,MAX(0,Inputs!$B$43-B1699)-((R1671-1)*(IF(Inputs!$B$38="pvp",15,MAX(0.1,Skills!D9-IF(Skills!E9=TRUE,Inputs!$B$32,0)))*(1-IF(AND(ArtifactsInput!$M$27,Inputs!$B$4="Chapter Hunt"),CHOOSE(ArtifactsInput!$N$27+1,20,24,28,32,36,40),0)/100)))))/Skills!H9,1)))/Inputs!$B$43),G1671*Q1671))*IF(Inputs!$B$38="pvp",1,(1+(Inputs!$B$21+Skills!Q9+(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2">
      <c r="A1672">
        <f>Skills!A10</f>
        <v/>
      </c>
      <c r="B1672">
        <f>Skills!B10</f>
        <v/>
      </c>
      <c r="C1672">
        <f>Inputs!$B$3&gt;=113</f>
        <v/>
      </c>
      <c r="D1672">
        <f>IF(Skills!C10=1,60+Inputs!$B$25+Inputs!$B$29,IF(Skills!C10=2,90+Inputs!$B$26+Inputs!$B$29,IF(Skills!C10=3,120+Inputs!$B$27+Inputs!$B$29,MAX(0,(Inputs!$B$3-100)*3)+Inputs!$B$28+Inputs!$B$29)))</f>
        <v/>
      </c>
      <c r="E1672">
        <f>INDEX(FactorTable!$B$2:$Y$301, MATCH(ROUND(MIN(300,MAX(1,D1672)),0), FactorTable!$A$2:$A$301,0), Skills!M10+1)</f>
        <v/>
      </c>
      <c r="F1672">
        <f>IF(Skills!N10=TRUE,(Skills!L10/10)*(E1672/1000),Skills!L10/10)+Skills!O10</f>
        <v/>
      </c>
      <c r="G1672">
        <f>Skills!G10*IF(Skills!H10&gt;0,Skills!I10/Skills!H10,1)</f>
        <v/>
      </c>
      <c r="H1672">
        <f>1-(1-Skills!J10/100)^Skills!K10</f>
        <v/>
      </c>
      <c r="I1672" t="inlineStr">
        <is>
          <t>1</t>
        </is>
      </c>
      <c r="J1672">
        <f>((Inputs!$B$6*(1+Inputs!$B$7/100))+(((Inputs!$B$12*(1+Inputs!$B$13/100))-(Inputs!$B$12*(1+Inputs!$B$13/100)))+0.25*(Inputs!$B$14-Inputs!$B$14))*(1+Inputs!$B$7/100))*(F1672/100)</f>
        <v/>
      </c>
      <c r="K1672">
        <f>J1672*(1+((Inputs!$B$12*(1+Inputs!$B$13/100))*0.01+Inputs!$B$14*0.0025)/100)*(1+Inputs!$B$15/100)*(1+Inputs!$B$16/100)*(5000/(6000+Inputs!$B$42*(1-(100*(1-(1-(Inputs!$B$19+0)/100)*(1-CHOOSE(ArtifactsInput!$N$40+1,5,6,7,8,9,10)/100)^(ArtifactsInput!$M$40-ArtifactsInput!$M$40)))/100)))*(1+(Inputs!$B$24+((C1688=TRUE)*(F1688-Calc!F26))+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1685=TRUE)*(F1685-Calc!F23))+((C1689=TRUE)*(F1689-Calc!F27))+(((IF(AND(ArtifactsInput!$M$42,((Inputs!$B$9+((C1681=TRUE)*(F1681-Calc!F19))+B1692+(ArtifactsInput!$M$24-ArtifactsInput!$M$24)*CHOOSE(ArtifactsInput!$N$24+1,10,12,14,16,18,20)+IF(ArtifactsInput!$M$10,CHOOSE(ArtifactsInput!$N$10+1,15,18,21,24,27,30)*(IF(Inputs!$B$38="pvp",MIN(15,15)/15,IF(AND(Inputs!$B$38&lt;&gt;"pvp",Inputs!$B$43&gt;0),MIN(15,Inputs!$B$43)/(Inputs!$B$43),0))),0)))&gt;=100),MIN(100,((Inputs!$B$9+((C1681=TRUE)*(F1681-Calc!F19))+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1681=TRUE)*(F1681-Calc!F19))+B1692+(ArtifactsInput!$M$24-ArtifactsInput!$M$24)*CHOOSE(ArtifactsInput!$N$24+1,10,12,14,16,18,20)+IF(ArtifactsInput!$M$10,CHOOSE(ArtifactsInput!$N$10+1,15,18,21,24,27,30)*(IF(Inputs!$B$38="pvp",MIN(15,15)/15,IF(AND(Inputs!$B$38&lt;&gt;"pvp",Inputs!$B$43&gt;0),MIN(15,Inputs!$B$43)/(Inputs!$B$43),0))),0)))&gt;=100),CHOOSE(ArtifactsInput!$N$42+1,40,48,56,64,72,80),0))))/100)*((1+(((C1679=TRUE)*F1679)+((C1686=TRUE)*(F1686-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1672)</f>
        <v/>
      </c>
      <c r="L1672">
        <f>K1672*(MIN(Inputs!$B$22+((C1684=TRUE)*(F1684-Calc!F22)),(Inputs!$B$23+0+(IF(ArtifactsInput!$M$15,CHOOSE(ArtifactsInput!$N$15+1,25,30,35,40,45,50)/100*(Inputs!$B$11-Inputs!$B$11),0))))/100+(Inputs!$B$23+0+(IF(ArtifactsInput!$M$15,CHOOSE(ArtifactsInput!$N$15+1,25,30,35,40,45,50)/100*(Inputs!$B$11-Inputs!$B$11),0)))/100)/2</f>
        <v/>
      </c>
      <c r="M1672">
        <f>L1672*(1+(Inputs!$B$10+((C1687=TRUE)*(F1687-Calc!F25))+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2">
        <f>L1672*(1-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1672*(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2">
        <f>(1-Summary!$B$11)*T1672+Summary!$B$11*V1672</f>
        <v/>
      </c>
      <c r="P1672">
        <f>IF(B1702=0,0,O1672/B1702)</f>
        <v/>
      </c>
      <c r="Q1672">
        <f>IFERROR(1/(IF(Inputs!$B$38="pvp",15,MAX(0.1,Skills!D10-IF(Skills!E10=TRUE,Inputs!$B$32,0)))*(1-IF(AND(ArtifactsInput!$M$27,Inputs!$B$4="Chapter Hunt"),CHOOSE(ArtifactsInput!$N$27+1,20,24,28,32,36,40),0)/100)),0)</f>
        <v/>
      </c>
      <c r="R1672">
        <f>IF(AND(Inputs!$B$38&lt;&gt;"pvp",Inputs!$B$43&gt;0),IF(MAX(0,Inputs!$B$43-B1699)&lt;=0,0,(INT(MAX(0,Inputs!$B$43-B1699)/(IF(Inputs!$B$38="pvp",15,MAX(0.1,Skills!D10-IF(Skills!E10=TRUE,Inputs!$B$32,0)))*(1-IF(AND(ArtifactsInput!$M$27,Inputs!$B$4="Chapter Hunt"),CHOOSE(ArtifactsInput!$N$27+1,20,24,28,32,36,40),0)/100)))+1)),0)</f>
        <v/>
      </c>
      <c r="S1672">
        <f>IFERROR(O1672/N1672,0)</f>
        <v/>
      </c>
      <c r="T1672">
        <f>IF(C1672,(H1672*N1672*IF(AND(Inputs!$B$38&lt;&gt;"pvp",Inputs!$B$43&gt;0),((Skills!G10*((R1672-1)*IF(Skills!H10&gt;0,Skills!I10/Skills!H10,1)+IF(Skills!H10&gt;0,MIN(Skills!I10,MAX(0,MAX(0,Inputs!$B$43-B1699)-((R1672-1)*(IF(Inputs!$B$38="pvp",15,MAX(0.1,Skills!D10-IF(Skills!E10=TRUE,Inputs!$B$32,0)))*(1-IF(AND(ArtifactsInput!$M$27,Inputs!$B$4="Chapter Hunt"),CHOOSE(ArtifactsInput!$N$27+1,20,24,28,32,36,40),0)/100)))))/Skills!H10,1)))/Inputs!$B$43),G1672*Q1672)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1672*(1-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1672*(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1672*(1-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1672*(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2">
        <f>IF(C1672,(H1672*N1672*IF(AND(Inputs!$B$38&lt;&gt;"pvp",Inputs!$B$43&gt;0),((Skills!G10*((R1672-1)*IF(Skills!H10&gt;0,Skills!I10/Skills!H10,1)+IF(Skills!H10&gt;0,MIN(Skills!I10,MAX(0,MAX(0,Inputs!$B$43-B1699)-((R1672-1)*(IF(Inputs!$B$38="pvp",15,MAX(0.1,Skills!D10-IF(Skills!E10=TRUE,Inputs!$B$32,0)))*(1-IF(AND(ArtifactsInput!$M$27,Inputs!$B$4="Chapter Hunt"),CHOOSE(ArtifactsInput!$N$27+1,20,24,28,32,36,40),0)/100)))))/Skills!H10,1)))/Inputs!$B$43),G1672*Q1672))*IF(Inputs!$B$38="pvp",1,(1+(Inputs!$B$21+Skills!Q10+(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3">
      <c r="A1673">
        <f>Skills!A11</f>
        <v/>
      </c>
      <c r="B1673">
        <f>Skills!B11</f>
        <v/>
      </c>
      <c r="C1673">
        <f>Inputs!$B$3&gt;=107</f>
        <v/>
      </c>
      <c r="D1673">
        <f>IF(Skills!C11=1,60+Inputs!$B$25+Inputs!$B$29,IF(Skills!C11=2,90+Inputs!$B$26+Inputs!$B$29,IF(Skills!C11=3,120+Inputs!$B$27+Inputs!$B$29,MAX(0,(Inputs!$B$3-100)*3)+Inputs!$B$28+Inputs!$B$29)))</f>
        <v/>
      </c>
      <c r="E1673">
        <f>INDEX(FactorTable!$B$2:$Y$301, MATCH(ROUND(MIN(300,MAX(1,D1673)),0), FactorTable!$A$2:$A$301,0), Skills!M11+1)</f>
        <v/>
      </c>
      <c r="F1673">
        <f>IF(Skills!N11=TRUE,(Skills!L11/10)*(E1673/1000),Skills!L11/10)+Skills!O11</f>
        <v/>
      </c>
      <c r="G1673">
        <f>Skills!G11*IF(Skills!H11&gt;0,Skills!I11/Skills!H11,1)</f>
        <v/>
      </c>
      <c r="H1673">
        <f>1-(1-Skills!J11/100)^Skills!K11</f>
        <v/>
      </c>
      <c r="I1673" t="inlineStr">
        <is>
          <t>1</t>
        </is>
      </c>
      <c r="J1673">
        <f>((Inputs!$B$6*(1+Inputs!$B$7/100))+(((Inputs!$B$12*(1+Inputs!$B$13/100))-(Inputs!$B$12*(1+Inputs!$B$13/100)))+0.25*(Inputs!$B$14-Inputs!$B$14))*(1+Inputs!$B$7/100))*(F1673/100)</f>
        <v/>
      </c>
      <c r="K1673">
        <f>J1673*(1+((Inputs!$B$12*(1+Inputs!$B$13/100))*0.01+Inputs!$B$14*0.0025)/100)*(1+Inputs!$B$15/100)*(1+Inputs!$B$16/100)*(5000/(6000+Inputs!$B$42*(1-(100*(1-(1-(Inputs!$B$19+0)/100)*(1-CHOOSE(ArtifactsInput!$N$40+1,5,6,7,8,9,10)/100)^(ArtifactsInput!$M$40-ArtifactsInput!$M$40)))/100)))*(1+(Inputs!$B$24+((C1688=TRUE)*(F1688-Calc!F26))+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1685=TRUE)*(F1685-Calc!F23))+((C1689=TRUE)*(F1689-Calc!F27))+(((IF(AND(ArtifactsInput!$M$42,((Inputs!$B$9+((C1681=TRUE)*(F1681-Calc!F19))+B1692+(ArtifactsInput!$M$24-ArtifactsInput!$M$24)*CHOOSE(ArtifactsInput!$N$24+1,10,12,14,16,18,20)+IF(ArtifactsInput!$M$10,CHOOSE(ArtifactsInput!$N$10+1,15,18,21,24,27,30)*(IF(Inputs!$B$38="pvp",MIN(15,15)/15,IF(AND(Inputs!$B$38&lt;&gt;"pvp",Inputs!$B$43&gt;0),MIN(15,Inputs!$B$43)/(Inputs!$B$43),0))),0)))&gt;=100),MIN(100,((Inputs!$B$9+((C1681=TRUE)*(F1681-Calc!F19))+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1681=TRUE)*(F1681-Calc!F19))+B1692+(ArtifactsInput!$M$24-ArtifactsInput!$M$24)*CHOOSE(ArtifactsInput!$N$24+1,10,12,14,16,18,20)+IF(ArtifactsInput!$M$10,CHOOSE(ArtifactsInput!$N$10+1,15,18,21,24,27,30)*(IF(Inputs!$B$38="pvp",MIN(15,15)/15,IF(AND(Inputs!$B$38&lt;&gt;"pvp",Inputs!$B$43&gt;0),MIN(15,Inputs!$B$43)/(Inputs!$B$43),0))),0)))&gt;=100),CHOOSE(ArtifactsInput!$N$42+1,40,48,56,64,72,80),0))))/100)*((1+(((C1679=TRUE)*F1679)+((C1686=TRUE)*(F1686-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1673)</f>
        <v/>
      </c>
      <c r="L1673">
        <f>K1673*(MIN(Inputs!$B$22+((C1684=TRUE)*(F1684-Calc!F22)),(Inputs!$B$23+0+(IF(ArtifactsInput!$M$15,CHOOSE(ArtifactsInput!$N$15+1,25,30,35,40,45,50)/100*(Inputs!$B$11-Inputs!$B$11),0))))/100+(Inputs!$B$23+0+(IF(ArtifactsInput!$M$15,CHOOSE(ArtifactsInput!$N$15+1,25,30,35,40,45,50)/100*(Inputs!$B$11-Inputs!$B$11),0)))/100)/2</f>
        <v/>
      </c>
      <c r="M1673">
        <f>L1673*(1+(Inputs!$B$10+((C1687=TRUE)*(F1687-Calc!F25))+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3">
        <f>L1673*(1-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1673*(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3">
        <f>(1-Summary!$B$11)*T1673+Summary!$B$11*V1673</f>
        <v/>
      </c>
      <c r="P1673">
        <f>IF(B1702=0,0,O1673/B1702)</f>
        <v/>
      </c>
      <c r="Q1673">
        <f>IFERROR(1/(IF(Inputs!$B$38="pvp",15,MAX(0.1,Skills!D11-IF(Skills!E11=TRUE,Inputs!$B$32,0)))*(1-IF(AND(ArtifactsInput!$M$27,Inputs!$B$4="Chapter Hunt"),CHOOSE(ArtifactsInput!$N$27+1,20,24,28,32,36,40),0)/100)),0)</f>
        <v/>
      </c>
      <c r="R1673">
        <f>IF(AND(Inputs!$B$38&lt;&gt;"pvp",Inputs!$B$43&gt;0),IF(MAX(0,Inputs!$B$43-B1699)&lt;=0,0,(INT(MAX(0,Inputs!$B$43-B1699)/(IF(Inputs!$B$38="pvp",15,MAX(0.1,Skills!D11-IF(Skills!E11=TRUE,Inputs!$B$32,0)))*(1-IF(AND(ArtifactsInput!$M$27,Inputs!$B$4="Chapter Hunt"),CHOOSE(ArtifactsInput!$N$27+1,20,24,28,32,36,40),0)/100)))+1)),0)</f>
        <v/>
      </c>
      <c r="S1673">
        <f>IFERROR(O1673/N1673,0)</f>
        <v/>
      </c>
      <c r="T1673">
        <f>IF(C1673,(H1673*N1673*IF(AND(Inputs!$B$38&lt;&gt;"pvp",Inputs!$B$43&gt;0),((Skills!G11*((R1673-1)*IF(Skills!H11&gt;0,Skills!I11/Skills!H11,1)+IF(Skills!H11&gt;0,MIN(Skills!I11,MAX(0,MAX(0,Inputs!$B$43-B1699)-((R1673-1)*(IF(Inputs!$B$38="pvp",15,MAX(0.1,Skills!D11-IF(Skills!E11=TRUE,Inputs!$B$32,0)))*(1-IF(AND(ArtifactsInput!$M$27,Inputs!$B$4="Chapter Hunt"),CHOOSE(ArtifactsInput!$N$27+1,20,24,28,32,36,40),0)/100)))))/Skills!H11,1)))/Inputs!$B$43),G1673*Q1673)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1673*(1-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1673*(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1673*(1-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1673*(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3">
        <f>IF(C1673,(H1673*N1673*IF(AND(Inputs!$B$38&lt;&gt;"pvp",Inputs!$B$43&gt;0),((Skills!G11*((R1673-1)*IF(Skills!H11&gt;0,Skills!I11/Skills!H11,1)+IF(Skills!H11&gt;0,MIN(Skills!I11,MAX(0,MAX(0,Inputs!$B$43-B1699)-((R1673-1)*(IF(Inputs!$B$38="pvp",15,MAX(0.1,Skills!D11-IF(Skills!E11=TRUE,Inputs!$B$32,0)))*(1-IF(AND(ArtifactsInput!$M$27,Inputs!$B$4="Chapter Hunt"),CHOOSE(ArtifactsInput!$N$27+1,20,24,28,32,36,40),0)/100)))))/Skills!H11,1)))/Inputs!$B$43),G1673*Q1673))*IF(Inputs!$B$38="pvp",1,(1+(Inputs!$B$21+Skills!Q11+(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4">
      <c r="A1674">
        <f>Skills!A12</f>
        <v/>
      </c>
      <c r="B1674">
        <f>Skills!B12</f>
        <v/>
      </c>
      <c r="C1674">
        <f>Inputs!$B$3&gt;=110</f>
        <v/>
      </c>
      <c r="D1674">
        <f>IF(Skills!C12=1,60+Inputs!$B$25+Inputs!$B$29,IF(Skills!C12=2,90+Inputs!$B$26+Inputs!$B$29,IF(Skills!C12=3,120+Inputs!$B$27+Inputs!$B$29,MAX(0,(Inputs!$B$3-100)*3)+Inputs!$B$28+Inputs!$B$29)))</f>
        <v/>
      </c>
      <c r="E1674">
        <f>INDEX(FactorTable!$B$2:$Y$301, MATCH(ROUND(MIN(300,MAX(1,D1674)),0), FactorTable!$A$2:$A$301,0), Skills!M12+1)</f>
        <v/>
      </c>
      <c r="F1674">
        <f>IF(Skills!N12=TRUE,(Skills!L12/10)*(E1674/1000),Skills!L12/10)+Skills!O12</f>
        <v/>
      </c>
      <c r="G1674">
        <f>Skills!G12*IF(Skills!H12&gt;0,Skills!I12/Skills!H12,1)</f>
        <v/>
      </c>
      <c r="H1674">
        <f>1-(1-Skills!J12/100)^Skills!K12</f>
        <v/>
      </c>
      <c r="I1674" t="inlineStr">
        <is>
          <t>1</t>
        </is>
      </c>
      <c r="J1674">
        <f>((Inputs!$B$6*(1+Inputs!$B$7/100))+(((Inputs!$B$12*(1+Inputs!$B$13/100))-(Inputs!$B$12*(1+Inputs!$B$13/100)))+0.25*(Inputs!$B$14-Inputs!$B$14))*(1+Inputs!$B$7/100))*(F1674/100)</f>
        <v/>
      </c>
      <c r="K1674">
        <f>J1674*(1+((Inputs!$B$12*(1+Inputs!$B$13/100))*0.01+Inputs!$B$14*0.0025)/100)*(1+Inputs!$B$15/100)*(1+Inputs!$B$16/100)*(5000/(6000+Inputs!$B$42*(1-(100*(1-(1-(Inputs!$B$19+0)/100)*(1-CHOOSE(ArtifactsInput!$N$40+1,5,6,7,8,9,10)/100)^(ArtifactsInput!$M$40-ArtifactsInput!$M$40)))/100)))*(1+(Inputs!$B$24+((C1688=TRUE)*(F1688-Calc!F26))+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1685=TRUE)*(F1685-Calc!F23))+((C1689=TRUE)*(F1689-Calc!F27))+(((IF(AND(ArtifactsInput!$M$42,((Inputs!$B$9+((C1681=TRUE)*(F1681-Calc!F19))+B1692+(ArtifactsInput!$M$24-ArtifactsInput!$M$24)*CHOOSE(ArtifactsInput!$N$24+1,10,12,14,16,18,20)+IF(ArtifactsInput!$M$10,CHOOSE(ArtifactsInput!$N$10+1,15,18,21,24,27,30)*(IF(Inputs!$B$38="pvp",MIN(15,15)/15,IF(AND(Inputs!$B$38&lt;&gt;"pvp",Inputs!$B$43&gt;0),MIN(15,Inputs!$B$43)/(Inputs!$B$43),0))),0)))&gt;=100),MIN(100,((Inputs!$B$9+((C1681=TRUE)*(F1681-Calc!F19))+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1681=TRUE)*(F1681-Calc!F19))+B1692+(ArtifactsInput!$M$24-ArtifactsInput!$M$24)*CHOOSE(ArtifactsInput!$N$24+1,10,12,14,16,18,20)+IF(ArtifactsInput!$M$10,CHOOSE(ArtifactsInput!$N$10+1,15,18,21,24,27,30)*(IF(Inputs!$B$38="pvp",MIN(15,15)/15,IF(AND(Inputs!$B$38&lt;&gt;"pvp",Inputs!$B$43&gt;0),MIN(15,Inputs!$B$43)/(Inputs!$B$43),0))),0)))&gt;=100),CHOOSE(ArtifactsInput!$N$42+1,40,48,56,64,72,80),0))))/100)*((1+(((C1679=TRUE)*F1679)+((C1686=TRUE)*(F1686-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1674)</f>
        <v/>
      </c>
      <c r="L1674">
        <f>K1674*(MIN(Inputs!$B$22+((C1684=TRUE)*(F1684-Calc!F22)),(Inputs!$B$23+0+(IF(ArtifactsInput!$M$15,CHOOSE(ArtifactsInput!$N$15+1,25,30,35,40,45,50)/100*(Inputs!$B$11-Inputs!$B$11),0))))/100+(Inputs!$B$23+0+(IF(ArtifactsInput!$M$15,CHOOSE(ArtifactsInput!$N$15+1,25,30,35,40,45,50)/100*(Inputs!$B$11-Inputs!$B$11),0)))/100)/2</f>
        <v/>
      </c>
      <c r="M1674">
        <f>L1674*(1+(Inputs!$B$10+((C1687=TRUE)*(F1687-Calc!F25))+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4">
        <f>L1674*(1-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1674*(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4">
        <f>(1-Summary!$B$11)*T1674+Summary!$B$11*V1674</f>
        <v/>
      </c>
      <c r="P1674">
        <f>IF(B1702=0,0,O1674/B1702)</f>
        <v/>
      </c>
      <c r="Q1674">
        <f>IFERROR(1/(IF(Inputs!$B$38="pvp",15,MAX(0.1,Skills!D12-IF(Skills!E12=TRUE,Inputs!$B$32,0)))*(1-IF(AND(ArtifactsInput!$M$27,Inputs!$B$4="Chapter Hunt"),CHOOSE(ArtifactsInput!$N$27+1,20,24,28,32,36,40),0)/100)),0)</f>
        <v/>
      </c>
      <c r="R1674">
        <f>IF(AND(Inputs!$B$38&lt;&gt;"pvp",Inputs!$B$43&gt;0),IF(MAX(0,Inputs!$B$43-B1699)&lt;=0,0,(INT(MAX(0,Inputs!$B$43-B1699)/(IF(Inputs!$B$38="pvp",15,MAX(0.1,Skills!D12-IF(Skills!E12=TRUE,Inputs!$B$32,0)))*(1-IF(AND(ArtifactsInput!$M$27,Inputs!$B$4="Chapter Hunt"),CHOOSE(ArtifactsInput!$N$27+1,20,24,28,32,36,40),0)/100)))+1)),0)</f>
        <v/>
      </c>
      <c r="S1674">
        <f>IFERROR(O1674/N1674,0)</f>
        <v/>
      </c>
      <c r="T1674">
        <f>IF(C1674,(H1674*N1674*IF(AND(Inputs!$B$38&lt;&gt;"pvp",Inputs!$B$43&gt;0),((Skills!G12*((R1674-1)*IF(Skills!H12&gt;0,Skills!I12/Skills!H12,1)+IF(Skills!H12&gt;0,MIN(Skills!I12,MAX(0,MAX(0,Inputs!$B$43-B1699)-((R1674-1)*(IF(Inputs!$B$38="pvp",15,MAX(0.1,Skills!D12-IF(Skills!E12=TRUE,Inputs!$B$32,0)))*(1-IF(AND(ArtifactsInput!$M$27,Inputs!$B$4="Chapter Hunt"),CHOOSE(ArtifactsInput!$N$27+1,20,24,28,32,36,40),0)/100)))))/Skills!H12,1)))/Inputs!$B$43),G1674*Q1674)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1674*(1-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1674*(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1674*(1-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1674*(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4">
        <f>IF(C1674,(H1674*N1674*IF(AND(Inputs!$B$38&lt;&gt;"pvp",Inputs!$B$43&gt;0),((Skills!G12*((R1674-1)*IF(Skills!H12&gt;0,Skills!I12/Skills!H12,1)+IF(Skills!H12&gt;0,MIN(Skills!I12,MAX(0,MAX(0,Inputs!$B$43-B1699)-((R1674-1)*(IF(Inputs!$B$38="pvp",15,MAX(0.1,Skills!D12-IF(Skills!E12=TRUE,Inputs!$B$32,0)))*(1-IF(AND(ArtifactsInput!$M$27,Inputs!$B$4="Chapter Hunt"),CHOOSE(ArtifactsInput!$N$27+1,20,24,28,32,36,40),0)/100)))))/Skills!H12,1)))/Inputs!$B$43),G1674*Q1674))*IF(Inputs!$B$38="pvp",1,(1+(Inputs!$B$21+Skills!Q12+(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5">
      <c r="A1675">
        <f>Skills!A13</f>
        <v/>
      </c>
      <c r="B1675">
        <f>Skills!B13</f>
        <v/>
      </c>
      <c r="C1675">
        <f>Inputs!$B$3&gt;=110</f>
        <v/>
      </c>
      <c r="D1675">
        <f>IF(Skills!C13=1,60+Inputs!$B$25+Inputs!$B$29,IF(Skills!C13=2,90+Inputs!$B$26+Inputs!$B$29,IF(Skills!C13=3,120+Inputs!$B$27+Inputs!$B$29,MAX(0,(Inputs!$B$3-100)*3)+Inputs!$B$28+Inputs!$B$29)))</f>
        <v/>
      </c>
      <c r="E1675">
        <f>INDEX(FactorTable!$B$2:$Y$301, MATCH(ROUND(MIN(300,MAX(1,D1675)),0), FactorTable!$A$2:$A$301,0), Skills!M13+1)</f>
        <v/>
      </c>
      <c r="F1675">
        <f>IF(Skills!N13=TRUE,(Skills!L13/10)*(E1675/1000),Skills!L13/10)+Skills!O13</f>
        <v/>
      </c>
      <c r="G1675">
        <f>Skills!G13*IF(Skills!H13&gt;0,Skills!I13/Skills!H13,1)</f>
        <v/>
      </c>
      <c r="H1675">
        <f>1-(1-Skills!J13/100)^Skills!K13</f>
        <v/>
      </c>
      <c r="I1675" t="inlineStr">
        <is>
          <t>1</t>
        </is>
      </c>
      <c r="J1675">
        <f>((Inputs!$B$6*(1+Inputs!$B$7/100))+(((Inputs!$B$12*(1+Inputs!$B$13/100))-(Inputs!$B$12*(1+Inputs!$B$13/100)))+0.25*(Inputs!$B$14-Inputs!$B$14))*(1+Inputs!$B$7/100))*(F1675/100)</f>
        <v/>
      </c>
      <c r="K1675">
        <f>J1675*(1+((Inputs!$B$12*(1+Inputs!$B$13/100))*0.01+Inputs!$B$14*0.0025)/100)*(1+Inputs!$B$15/100)*(1+Inputs!$B$16/100)*(5000/(6000+Inputs!$B$42*(1-(100*(1-(1-(Inputs!$B$19+0)/100)*(1-CHOOSE(ArtifactsInput!$N$40+1,5,6,7,8,9,10)/100)^(ArtifactsInput!$M$40-ArtifactsInput!$M$40)))/100)))*(1+(Inputs!$B$24+((C1688=TRUE)*(F1688-Calc!F26))+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1685=TRUE)*(F1685-Calc!F23))+((C1689=TRUE)*(F1689-Calc!F27))+(((IF(AND(ArtifactsInput!$M$42,((Inputs!$B$9+((C1681=TRUE)*(F1681-Calc!F19))+B1692+(ArtifactsInput!$M$24-ArtifactsInput!$M$24)*CHOOSE(ArtifactsInput!$N$24+1,10,12,14,16,18,20)+IF(ArtifactsInput!$M$10,CHOOSE(ArtifactsInput!$N$10+1,15,18,21,24,27,30)*(IF(Inputs!$B$38="pvp",MIN(15,15)/15,IF(AND(Inputs!$B$38&lt;&gt;"pvp",Inputs!$B$43&gt;0),MIN(15,Inputs!$B$43)/(Inputs!$B$43),0))),0)))&gt;=100),MIN(100,((Inputs!$B$9+((C1681=TRUE)*(F1681-Calc!F19))+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1681=TRUE)*(F1681-Calc!F19))+B1692+(ArtifactsInput!$M$24-ArtifactsInput!$M$24)*CHOOSE(ArtifactsInput!$N$24+1,10,12,14,16,18,20)+IF(ArtifactsInput!$M$10,CHOOSE(ArtifactsInput!$N$10+1,15,18,21,24,27,30)*(IF(Inputs!$B$38="pvp",MIN(15,15)/15,IF(AND(Inputs!$B$38&lt;&gt;"pvp",Inputs!$B$43&gt;0),MIN(15,Inputs!$B$43)/(Inputs!$B$43),0))),0)))&gt;=100),CHOOSE(ArtifactsInput!$N$42+1,40,48,56,64,72,80),0))))/100)*((1+(((C1679=TRUE)*F1679)+((C1686=TRUE)*(F1686-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1675)</f>
        <v/>
      </c>
      <c r="L1675">
        <f>K1675*(MIN(Inputs!$B$22+((C1684=TRUE)*(F1684-Calc!F22)),(Inputs!$B$23+0+(IF(ArtifactsInput!$M$15,CHOOSE(ArtifactsInput!$N$15+1,25,30,35,40,45,50)/100*(Inputs!$B$11-Inputs!$B$11),0))))/100+(Inputs!$B$23+0+(IF(ArtifactsInput!$M$15,CHOOSE(ArtifactsInput!$N$15+1,25,30,35,40,45,50)/100*(Inputs!$B$11-Inputs!$B$11),0)))/100)/2</f>
        <v/>
      </c>
      <c r="M1675">
        <f>L1675*(1+(Inputs!$B$10+((C1687=TRUE)*(F1687-Calc!F25))+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5">
        <f>L1675*(1-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1675*(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5">
        <f>(1-Summary!$B$11)*T1675+Summary!$B$11*V1675</f>
        <v/>
      </c>
      <c r="P1675">
        <f>IF(B1702=0,0,O1675/B1702)</f>
        <v/>
      </c>
      <c r="Q1675">
        <f>IFERROR(1/(IF(Inputs!$B$38="pvp",15,MAX(0.1,Skills!D13-IF(Skills!E13=TRUE,Inputs!$B$32,0)))*(1-IF(AND(ArtifactsInput!$M$27,Inputs!$B$4="Chapter Hunt"),CHOOSE(ArtifactsInput!$N$27+1,20,24,28,32,36,40),0)/100)),0)</f>
        <v/>
      </c>
      <c r="R1675">
        <f>IF(AND(Inputs!$B$38&lt;&gt;"pvp",Inputs!$B$43&gt;0),IF(MAX(0,Inputs!$B$43-B1699)&lt;=0,0,(INT(MAX(0,Inputs!$B$43-B1699)/(IF(Inputs!$B$38="pvp",15,MAX(0.1,Skills!D13-IF(Skills!E13=TRUE,Inputs!$B$32,0)))*(1-IF(AND(ArtifactsInput!$M$27,Inputs!$B$4="Chapter Hunt"),CHOOSE(ArtifactsInput!$N$27+1,20,24,28,32,36,40),0)/100)))+1)),0)</f>
        <v/>
      </c>
      <c r="S1675">
        <f>IFERROR(O1675/N1675,0)</f>
        <v/>
      </c>
      <c r="T1675">
        <f>IF(C1675,(H1675*N1675*IF(AND(Inputs!$B$38&lt;&gt;"pvp",Inputs!$B$43&gt;0),((Skills!G13*((R1675-1)*IF(Skills!H13&gt;0,Skills!I13/Skills!H13,1)+IF(Skills!H13&gt;0,MIN(Skills!I13,MAX(0,MAX(0,Inputs!$B$43-B1699)-((R1675-1)*(IF(Inputs!$B$38="pvp",15,MAX(0.1,Skills!D13-IF(Skills!E13=TRUE,Inputs!$B$32,0)))*(1-IF(AND(ArtifactsInput!$M$27,Inputs!$B$4="Chapter Hunt"),CHOOSE(ArtifactsInput!$N$27+1,20,24,28,32,36,40),0)/100)))))/Skills!H13,1)))/Inputs!$B$43),G1675*Q1675))*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1675*(1-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1675*(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1675*(1-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1675*(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5">
        <f>IF(C1675,(H1675*N1675*IF(AND(Inputs!$B$38&lt;&gt;"pvp",Inputs!$B$43&gt;0),((Skills!G13*((R1675-1)*IF(Skills!H13&gt;0,Skills!I13/Skills!H13,1)+IF(Skills!H13&gt;0,MIN(Skills!I13,MAX(0,MAX(0,Inputs!$B$43-B1699)-((R1675-1)*(IF(Inputs!$B$38="pvp",15,MAX(0.1,Skills!D13-IF(Skills!E13=TRUE,Inputs!$B$32,0)))*(1-IF(AND(ArtifactsInput!$M$27,Inputs!$B$4="Chapter Hunt"),CHOOSE(ArtifactsInput!$N$27+1,20,24,28,32,36,40),0)/100)))))/Skills!H13,1)))/Inputs!$B$43),G1675*Q1675))*IF(Inputs!$B$38="pvp",1,(1+(Inputs!$B$21+Skills!Q13+(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6">
      <c r="A1676">
        <f>Skills!A14</f>
        <v/>
      </c>
      <c r="B1676">
        <f>Skills!B14</f>
        <v/>
      </c>
      <c r="C1676">
        <f>Inputs!$B$3&gt;=125</f>
        <v/>
      </c>
      <c r="D1676">
        <f>IF(Skills!C14=1,60+Inputs!$B$25+Inputs!$B$29,IF(Skills!C14=2,90+Inputs!$B$26+Inputs!$B$29,IF(Skills!C14=3,120+Inputs!$B$27+Inputs!$B$29,MAX(0,(Inputs!$B$3-100)*3)+Inputs!$B$28+Inputs!$B$29)))</f>
        <v/>
      </c>
      <c r="E1676">
        <f>INDEX(FactorTable!$B$2:$Y$301, MATCH(ROUND(MIN(300,MAX(1,D1676)),0), FactorTable!$A$2:$A$301,0), Skills!M14+1)</f>
        <v/>
      </c>
      <c r="F1676">
        <f>IF(Skills!N14=TRUE,(Skills!L14/10)*(E1676/1000),Skills!L14/10)+Skills!O14</f>
        <v/>
      </c>
      <c r="G1676">
        <f>Skills!G14*IF(Skills!H14&gt;0,Skills!I14/Skills!H14,1)</f>
        <v/>
      </c>
      <c r="H1676">
        <f>1-(1-Skills!J14/100)^Skills!K14</f>
        <v/>
      </c>
      <c r="I1676" t="inlineStr">
        <is>
          <t>1</t>
        </is>
      </c>
      <c r="J1676">
        <f>((Inputs!$B$6*(1+Inputs!$B$7/100))+(((Inputs!$B$12*(1+Inputs!$B$13/100))-(Inputs!$B$12*(1+Inputs!$B$13/100)))+0.25*(Inputs!$B$14-Inputs!$B$14))*(1+Inputs!$B$7/100))*(F1676/100)</f>
        <v/>
      </c>
      <c r="K1676">
        <f>J1676*(1+((Inputs!$B$12*(1+Inputs!$B$13/100))*0.01+Inputs!$B$14*0.0025)/100)*(1+Inputs!$B$15/100)*(1+Inputs!$B$16/100)*(5000/(6000+Inputs!$B$42*(1-(100*(1-(1-(Inputs!$B$19+0)/100)*(1-CHOOSE(ArtifactsInput!$N$40+1,5,6,7,8,9,10)/100)^(ArtifactsInput!$M$40-ArtifactsInput!$M$40)))/100)))*(1+(Inputs!$B$24+((C1688=TRUE)*(F1688-Calc!F26))+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1685=TRUE)*(F1685-Calc!F23))+((C1689=TRUE)*(F1689-Calc!F27))+(((IF(AND(ArtifactsInput!$M$42,((Inputs!$B$9+((C1681=TRUE)*(F1681-Calc!F19))+B1692+(ArtifactsInput!$M$24-ArtifactsInput!$M$24)*CHOOSE(ArtifactsInput!$N$24+1,10,12,14,16,18,20)+IF(ArtifactsInput!$M$10,CHOOSE(ArtifactsInput!$N$10+1,15,18,21,24,27,30)*(IF(Inputs!$B$38="pvp",MIN(15,15)/15,IF(AND(Inputs!$B$38&lt;&gt;"pvp",Inputs!$B$43&gt;0),MIN(15,Inputs!$B$43)/(Inputs!$B$43),0))),0)))&gt;=100),MIN(100,((Inputs!$B$9+((C1681=TRUE)*(F1681-Calc!F19))+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1681=TRUE)*(F1681-Calc!F19))+B1692+(ArtifactsInput!$M$24-ArtifactsInput!$M$24)*CHOOSE(ArtifactsInput!$N$24+1,10,12,14,16,18,20)+IF(ArtifactsInput!$M$10,CHOOSE(ArtifactsInput!$N$10+1,15,18,21,24,27,30)*(IF(Inputs!$B$38="pvp",MIN(15,15)/15,IF(AND(Inputs!$B$38&lt;&gt;"pvp",Inputs!$B$43&gt;0),MIN(15,Inputs!$B$43)/(Inputs!$B$43),0))),0)))&gt;=100),CHOOSE(ArtifactsInput!$N$42+1,40,48,56,64,72,80),0))))/100)*((1+(((C1679=TRUE)*F1679)+((C1686=TRUE)*(F1686-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1676)</f>
        <v/>
      </c>
      <c r="L1676">
        <f>K1676*(MIN(Inputs!$B$22+((C1684=TRUE)*(F1684-Calc!F22)),(Inputs!$B$23+0+(IF(ArtifactsInput!$M$15,CHOOSE(ArtifactsInput!$N$15+1,25,30,35,40,45,50)/100*(Inputs!$B$11-Inputs!$B$11),0))))/100+(Inputs!$B$23+0+(IF(ArtifactsInput!$M$15,CHOOSE(ArtifactsInput!$N$15+1,25,30,35,40,45,50)/100*(Inputs!$B$11-Inputs!$B$11),0)))/100)/2</f>
        <v/>
      </c>
      <c r="M1676">
        <f>L1676*(1+(Inputs!$B$10+((C1687=TRUE)*(F1687-Calc!F25))+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6">
        <f>L1676*(1-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1676*(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6">
        <f>(1-Summary!$B$11)*T1676+Summary!$B$11*V1676</f>
        <v/>
      </c>
      <c r="P1676">
        <f>IF(B1702=0,0,O1676/B1702)</f>
        <v/>
      </c>
      <c r="Q1676" t="n">
        <v>0</v>
      </c>
      <c r="R1676" t="n">
        <v>0</v>
      </c>
      <c r="S1676">
        <f>IFERROR(O1676/N1676,0)</f>
        <v/>
      </c>
      <c r="T1676">
        <f>IF(C1676,(H1676*N1676*(B1696+IF(AND(Inputs!$B$38&lt;&gt;"pvp",Inputs!$B$43&gt;0),((Skills!G8*((R1670-1)*IF(Skills!H8&gt;0,Skills!I8/Skills!H8,1)+IF(Skills!H8&gt;0,MIN(Skills!I8,MAX(0,MAX(0,Inputs!$B$43-B1699)-((R1670-1)*(IF(Inputs!$B$38="pvp",15,MAX(0.1,Skills!D8-IF(Skills!E8=TRUE,Inputs!$B$32,0)))*(1-IF(AND(ArtifactsInput!$M$27,Inputs!$B$4="Chapter Hunt"),CHOOSE(ArtifactsInput!$N$27+1,20,24,28,32,36,40),0)/100)))))/Skills!H8,1)))/Inputs!$B$43),G1670*Q1670)+IF(AND(Inputs!$B$38&lt;&gt;"pvp",Inputs!$B$43&gt;0),((Skills!G11*((R1673-1)*IF(Skills!H11&gt;0,Skills!I11/Skills!H11,1)+IF(Skills!H11&gt;0,MIN(Skills!I11,MAX(0,MAX(0,Inputs!$B$43-B1699)-((R1673-1)*(IF(Inputs!$B$38="pvp",15,MAX(0.1,Skills!D11-IF(Skills!E11=TRUE,Inputs!$B$32,0)))*(1-IF(AND(ArtifactsInput!$M$27,Inputs!$B$4="Chapter Hunt"),CHOOSE(ArtifactsInput!$N$27+1,20,24,28,32,36,40),0)/100)))))/Skills!H11,1)))/Inputs!$B$43),G1673*Q1673)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1676*(1-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1676*(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1676*(1-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1676*(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6">
        <f>IF(C1676,(H1676*N1676*(B1696+IF(AND(Inputs!$B$38&lt;&gt;"pvp",Inputs!$B$43&gt;0),((Skills!G8*((R1670-1)*IF(Skills!H8&gt;0,Skills!I8/Skills!H8,1)+IF(Skills!H8&gt;0,MIN(Skills!I8,MAX(0,MAX(0,Inputs!$B$43-B1699)-((R1670-1)*(IF(Inputs!$B$38="pvp",15,MAX(0.1,Skills!D8-IF(Skills!E8=TRUE,Inputs!$B$32,0)))*(1-IF(AND(ArtifactsInput!$M$27,Inputs!$B$4="Chapter Hunt"),CHOOSE(ArtifactsInput!$N$27+1,20,24,28,32,36,40),0)/100)))))/Skills!H8,1)))/Inputs!$B$43),G1670*Q1670)+IF(AND(Inputs!$B$38&lt;&gt;"pvp",Inputs!$B$43&gt;0),((Skills!G11*((R1673-1)*IF(Skills!H11&gt;0,Skills!I11/Skills!H11,1)+IF(Skills!H11&gt;0,MIN(Skills!I11,MAX(0,MAX(0,Inputs!$B$43-B1699)-((R1673-1)*(IF(Inputs!$B$38="pvp",15,MAX(0.1,Skills!D11-IF(Skills!E11=TRUE,Inputs!$B$32,0)))*(1-IF(AND(ArtifactsInput!$M$27,Inputs!$B$4="Chapter Hunt"),CHOOSE(ArtifactsInput!$N$27+1,20,24,28,32,36,40),0)/100)))))/Skills!H11,1)))/Inputs!$B$43),G1673*Q1673)))*IF(Inputs!$B$38="pvp",1,(1+(Inputs!$B$21+Skills!Q14+(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7">
      <c r="A1677">
        <f>Skills!A15</f>
        <v/>
      </c>
      <c r="B1677">
        <f>Skills!B15</f>
        <v/>
      </c>
      <c r="C1677">
        <f>Inputs!$B$3&gt;=100</f>
        <v/>
      </c>
      <c r="D1677">
        <f>IF(Skills!C15=1,60+Inputs!$B$25+Inputs!$B$29,IF(Skills!C15=2,90+Inputs!$B$26+Inputs!$B$29,IF(Skills!C15=3,120+Inputs!$B$27+Inputs!$B$29,MAX(0,(Inputs!$B$3-100)*3)+Inputs!$B$28+Inputs!$B$29)))</f>
        <v/>
      </c>
      <c r="E1677">
        <f>INDEX(FactorTable!$B$2:$Y$301, MATCH(ROUND(MIN(300,MAX(1,D1677)),0), FactorTable!$A$2:$A$301,0), Skills!M15+1)</f>
        <v/>
      </c>
      <c r="F1677">
        <f>IF(Skills!N15=TRUE,(Skills!L15/10)*(E1677/1000),Skills!L15/10)+Skills!O15</f>
        <v/>
      </c>
      <c r="G1677" t="inlineStr"/>
      <c r="H1677" t="inlineStr"/>
      <c r="I1677" t="inlineStr">
        <is>
          <t>1</t>
        </is>
      </c>
      <c r="J1677" t="inlineStr"/>
      <c r="K1677" t="inlineStr"/>
      <c r="L1677" t="inlineStr"/>
      <c r="M1677" t="inlineStr"/>
      <c r="N1677" t="inlineStr"/>
      <c r="O1677" t="inlineStr"/>
      <c r="P1677" t="inlineStr"/>
      <c r="Q1677" t="inlineStr"/>
      <c r="R1677" t="inlineStr"/>
      <c r="S1677" t="inlineStr"/>
    </row>
    <row r="1678">
      <c r="A1678">
        <f>Skills!A16</f>
        <v/>
      </c>
      <c r="B1678">
        <f>Skills!B16</f>
        <v/>
      </c>
      <c r="C1678">
        <f>Inputs!$B$3&gt;=120</f>
        <v/>
      </c>
      <c r="D1678">
        <f>IF(Skills!C16=1,60+Inputs!$B$25+Inputs!$B$29,IF(Skills!C16=2,90+Inputs!$B$26+Inputs!$B$29,IF(Skills!C16=3,120+Inputs!$B$27+Inputs!$B$29,MAX(0,(Inputs!$B$3-100)*3)+Inputs!$B$28+Inputs!$B$29)))</f>
        <v/>
      </c>
      <c r="E1678">
        <f>INDEX(FactorTable!$B$2:$Y$301, MATCH(ROUND(MIN(300,MAX(1,D1678)),0), FactorTable!$A$2:$A$301,0), Skills!M16+1)</f>
        <v/>
      </c>
      <c r="F1678">
        <f>IF(Skills!N16=TRUE,(Skills!L16/10)*(E1678/1000),Skills!L16/10)+Skills!O16</f>
        <v/>
      </c>
      <c r="G1678" t="inlineStr"/>
      <c r="H1678" t="inlineStr"/>
      <c r="I1678" t="inlineStr">
        <is>
          <t>1</t>
        </is>
      </c>
      <c r="J1678" t="inlineStr"/>
      <c r="K1678" t="inlineStr"/>
      <c r="L1678" t="inlineStr"/>
      <c r="M1678" t="inlineStr"/>
      <c r="N1678" t="inlineStr"/>
      <c r="O1678" t="inlineStr"/>
      <c r="P1678" t="inlineStr"/>
      <c r="Q1678" t="inlineStr"/>
      <c r="R1678" t="inlineStr"/>
      <c r="S1678" t="inlineStr"/>
    </row>
    <row r="1679">
      <c r="A1679">
        <f>Skills!A17</f>
        <v/>
      </c>
      <c r="B1679">
        <f>Skills!B17</f>
        <v/>
      </c>
      <c r="C1679">
        <f>Inputs!$B$3&gt;=66</f>
        <v/>
      </c>
      <c r="D1679">
        <f>IF(Skills!C17=1,60+Inputs!$B$25+Inputs!$B$29,IF(Skills!C17=2,90+Inputs!$B$26+Inputs!$B$29,IF(Skills!C17=3,120+Inputs!$B$27+Inputs!$B$29,MAX(0,(Inputs!$B$3-100)*3)+Inputs!$B$28+Inputs!$B$29)))</f>
        <v/>
      </c>
      <c r="E1679">
        <f>INDEX(FactorTable!$B$2:$Y$301, MATCH(ROUND(MIN(300,MAX(1,D1679)),0), FactorTable!$A$2:$A$301,0), Skills!M17+1)</f>
        <v/>
      </c>
      <c r="F1679">
        <f>IF(Skills!N17=TRUE,(Skills!L17/10)*(E1679/1000),Skills!L17/10)+Skills!O17</f>
        <v/>
      </c>
      <c r="G1679">
        <f>Skills!G17*IF(Skills!H17&gt;0,Skills!I17/Skills!H17,1)</f>
        <v/>
      </c>
      <c r="H1679">
        <f>1-(1-Skills!J17/100)^Skills!K17</f>
        <v/>
      </c>
      <c r="I1679" t="inlineStr">
        <is>
          <t>1</t>
        </is>
      </c>
      <c r="J1679" t="inlineStr"/>
      <c r="K1679" t="inlineStr"/>
      <c r="L1679" t="inlineStr"/>
      <c r="M1679" t="inlineStr"/>
      <c r="N1679" t="inlineStr"/>
      <c r="O1679">
        <f>(1-Summary!$B$11)*T1679+Summary!$B$11*V1679</f>
        <v/>
      </c>
      <c r="P1679">
        <f>IF(B1702=0,0,O1679/B1702)</f>
        <v/>
      </c>
      <c r="Q1679" t="n">
        <v>0</v>
      </c>
      <c r="R1679" t="n">
        <v>0</v>
      </c>
      <c r="S1679">
        <f>IFERROR(O1679/N1679,0)</f>
        <v/>
      </c>
      <c r="T1679" t="n">
        <v>0</v>
      </c>
      <c r="V1679" t="n">
        <v>0</v>
      </c>
    </row>
    <row r="1680">
      <c r="A1680">
        <f>Skills!A18</f>
        <v/>
      </c>
      <c r="B1680">
        <f>Skills!B18</f>
        <v/>
      </c>
      <c r="C1680">
        <f>Inputs!$B$3&gt;=115</f>
        <v/>
      </c>
      <c r="D1680">
        <f>IF(Skills!C18=1,60+Inputs!$B$25+Inputs!$B$29,IF(Skills!C18=2,90+Inputs!$B$26+Inputs!$B$29,IF(Skills!C18=3,120+Inputs!$B$27+Inputs!$B$29,MAX(0,(Inputs!$B$3-100)*3)+Inputs!$B$28+Inputs!$B$29)))</f>
        <v/>
      </c>
      <c r="E1680">
        <f>INDEX(FactorTable!$B$2:$Y$301, MATCH(ROUND(MIN(300,MAX(1,D1680)),0), FactorTable!$A$2:$A$301,0), Skills!M18+1)</f>
        <v/>
      </c>
      <c r="F1680">
        <f>IF(Skills!N18=TRUE,(Skills!L18/10)*(E1680/1000),Skills!L18/10)+Skills!O18</f>
        <v/>
      </c>
      <c r="G1680">
        <f>Skills!G18*IF(Skills!H18&gt;0,Skills!I18/Skills!H18,1)</f>
        <v/>
      </c>
      <c r="H1680">
        <f>1-(1-Skills!J18/100)^Skills!K18</f>
        <v/>
      </c>
      <c r="I1680" t="inlineStr">
        <is>
          <t>1</t>
        </is>
      </c>
      <c r="J1680" t="inlineStr"/>
      <c r="K1680" t="inlineStr"/>
      <c r="L1680" t="inlineStr"/>
      <c r="M1680" t="inlineStr"/>
      <c r="N1680" t="inlineStr"/>
      <c r="O1680">
        <f>(1-Summary!$B$11)*T1680+Summary!$B$11*V1680</f>
        <v/>
      </c>
      <c r="P1680">
        <f>IF(B1702=0,0,O1680/B1702)</f>
        <v/>
      </c>
      <c r="Q1680" t="n">
        <v>0</v>
      </c>
      <c r="R1680" t="n">
        <v>0</v>
      </c>
      <c r="S1680">
        <f>IFERROR(O1680/N1680,0)</f>
        <v/>
      </c>
      <c r="T1680" t="n">
        <v>0</v>
      </c>
      <c r="V1680" t="n">
        <v>0</v>
      </c>
    </row>
    <row r="1681">
      <c r="A1681">
        <f>Skills!A19</f>
        <v/>
      </c>
      <c r="B1681">
        <f>Skills!B19</f>
        <v/>
      </c>
      <c r="C1681">
        <f>Inputs!$B$3&gt;=15</f>
        <v/>
      </c>
      <c r="D1681">
        <f>IF(Skills!C19=1,60+Inputs!$B$25+Inputs!$B$29,IF(Skills!C19=2,90+Inputs!$B$26+Inputs!$B$29,IF(Skills!C19=3,120+Inputs!$B$27+Inputs!$B$29,MAX(0,(Inputs!$B$3-100)*3)+Inputs!$B$28+Inputs!$B$29)))</f>
        <v/>
      </c>
      <c r="E1681">
        <f>INDEX(FactorTable!$B$2:$Y$301, MATCH(ROUND(MIN(300,MAX(1,D1681)),0), FactorTable!$A$2:$A$301,0), Skills!M19+1)</f>
        <v/>
      </c>
      <c r="F1681">
        <f>IF(Skills!N19=TRUE,(Skills!L19/10)*(E1681/1000),Skills!L19/10)+Skills!O19</f>
        <v/>
      </c>
      <c r="G1681">
        <f>Skills!G19*IF(Skills!H19&gt;0,Skills!I19/Skills!H19,1)</f>
        <v/>
      </c>
      <c r="H1681">
        <f>1-(1-Skills!J19/100)^Skills!K19</f>
        <v/>
      </c>
      <c r="I1681" t="inlineStr">
        <is>
          <t>1</t>
        </is>
      </c>
      <c r="J1681" t="inlineStr"/>
      <c r="K1681" t="inlineStr"/>
      <c r="L1681" t="inlineStr"/>
      <c r="M1681" t="inlineStr"/>
      <c r="N1681" t="inlineStr"/>
      <c r="O1681">
        <f>(1-Summary!$B$11)*T1681+Summary!$B$11*V1681</f>
        <v/>
      </c>
      <c r="P1681">
        <f>IF(B1702=0,0,O1681/B1702)</f>
        <v/>
      </c>
      <c r="Q1681" t="n">
        <v>0</v>
      </c>
      <c r="R1681" t="n">
        <v>0</v>
      </c>
      <c r="S1681">
        <f>IFERROR(O1681/N1681,0)</f>
        <v/>
      </c>
      <c r="T1681" t="n">
        <v>0</v>
      </c>
      <c r="V1681" t="n">
        <v>0</v>
      </c>
    </row>
    <row r="1682">
      <c r="A1682">
        <f>Skills!A20</f>
        <v/>
      </c>
      <c r="B1682">
        <f>Skills!B20</f>
        <v/>
      </c>
      <c r="C1682">
        <f>Inputs!$B$3&gt;=10</f>
        <v/>
      </c>
      <c r="D1682">
        <f>IF(Skills!C20=1,60+Inputs!$B$25+Inputs!$B$29,IF(Skills!C20=2,90+Inputs!$B$26+Inputs!$B$29,IF(Skills!C20=3,120+Inputs!$B$27+Inputs!$B$29,MAX(0,(Inputs!$B$3-100)*3)+Inputs!$B$28+Inputs!$B$29)))</f>
        <v/>
      </c>
      <c r="E1682">
        <f>INDEX(FactorTable!$B$2:$Y$301, MATCH(ROUND(MIN(300,MAX(1,D1682)),0), FactorTable!$A$2:$A$301,0), Skills!M20+1)</f>
        <v/>
      </c>
      <c r="F1682">
        <f>IF(Skills!N20=TRUE,(Skills!L20/10)*(E1682/1000),Skills!L20/10)+Skills!O20</f>
        <v/>
      </c>
      <c r="G1682">
        <f>Skills!G20*IF(Skills!H20&gt;0,Skills!I20/Skills!H20,1)</f>
        <v/>
      </c>
      <c r="H1682">
        <f>1-(1-Skills!J20/100)^Skills!K20</f>
        <v/>
      </c>
      <c r="I1682" t="inlineStr">
        <is>
          <t>1</t>
        </is>
      </c>
      <c r="J1682" t="inlineStr"/>
      <c r="K1682" t="inlineStr"/>
      <c r="L1682" t="inlineStr"/>
      <c r="M1682" t="inlineStr"/>
      <c r="N1682" t="inlineStr"/>
      <c r="O1682">
        <f>(1-Summary!$B$11)*T1682+Summary!$B$11*V1682</f>
        <v/>
      </c>
      <c r="P1682">
        <f>IF(B1702=0,0,O1682/B1702)</f>
        <v/>
      </c>
      <c r="Q1682" t="n">
        <v>0</v>
      </c>
      <c r="R1682" t="n">
        <v>0</v>
      </c>
      <c r="S1682">
        <f>IFERROR(O1682/N1682,0)</f>
        <v/>
      </c>
      <c r="T1682" t="n">
        <v>0</v>
      </c>
      <c r="V1682" t="n">
        <v>0</v>
      </c>
    </row>
    <row r="1683">
      <c r="A1683">
        <f>Skills!A21</f>
        <v/>
      </c>
      <c r="B1683">
        <f>Skills!B21</f>
        <v/>
      </c>
      <c r="C1683">
        <f>Inputs!$B$3&gt;=33</f>
        <v/>
      </c>
      <c r="D1683">
        <f>IF(Skills!C21=1,60+Inputs!$B$25+Inputs!$B$29,IF(Skills!C21=2,90+Inputs!$B$26+Inputs!$B$29,IF(Skills!C21=3,120+Inputs!$B$27+Inputs!$B$29,MAX(0,(Inputs!$B$3-100)*3)+Inputs!$B$28+Inputs!$B$29)))</f>
        <v/>
      </c>
      <c r="E1683">
        <f>INDEX(FactorTable!$B$2:$Y$301, MATCH(ROUND(MIN(300,MAX(1,D1683)),0), FactorTable!$A$2:$A$301,0), Skills!M21+1)</f>
        <v/>
      </c>
      <c r="F1683">
        <f>IF(Skills!N21=TRUE,(Skills!L21/10)*(E1683/1000),Skills!L21/10)+Skills!O21</f>
        <v/>
      </c>
      <c r="G1683">
        <f>Skills!G21*IF(Skills!H21&gt;0,Skills!I21/Skills!H21,1)</f>
        <v/>
      </c>
      <c r="H1683">
        <f>1-(1-Skills!J21/100)^Skills!K21</f>
        <v/>
      </c>
      <c r="I1683" t="inlineStr">
        <is>
          <t>1</t>
        </is>
      </c>
      <c r="J1683" t="inlineStr"/>
      <c r="K1683" t="inlineStr"/>
      <c r="L1683" t="inlineStr"/>
      <c r="M1683" t="inlineStr"/>
      <c r="N1683" t="inlineStr"/>
      <c r="O1683">
        <f>(1-Summary!$B$11)*T1683+Summary!$B$11*V1683</f>
        <v/>
      </c>
      <c r="P1683">
        <f>IF(B1702=0,0,O1683/B1702)</f>
        <v/>
      </c>
      <c r="Q1683" t="n">
        <v>0</v>
      </c>
      <c r="R1683" t="n">
        <v>0</v>
      </c>
      <c r="S1683">
        <f>IFERROR(O1683/N1683,0)</f>
        <v/>
      </c>
      <c r="T1683" t="n">
        <v>0</v>
      </c>
      <c r="V1683" t="n">
        <v>0</v>
      </c>
    </row>
    <row r="1684">
      <c r="A1684">
        <f>Skills!A22</f>
        <v/>
      </c>
      <c r="B1684">
        <f>Skills!B22</f>
        <v/>
      </c>
      <c r="C1684">
        <f>Inputs!$B$3&gt;=43</f>
        <v/>
      </c>
      <c r="D1684">
        <f>IF(Skills!C22=1,60+Inputs!$B$25+Inputs!$B$29,IF(Skills!C22=2,90+Inputs!$B$26+Inputs!$B$29,IF(Skills!C22=3,120+Inputs!$B$27+Inputs!$B$29,MAX(0,(Inputs!$B$3-100)*3)+Inputs!$B$28+Inputs!$B$29)))</f>
        <v/>
      </c>
      <c r="E1684">
        <f>INDEX(FactorTable!$B$2:$Y$301, MATCH(ROUND(MIN(300,MAX(1,D1684)),0), FactorTable!$A$2:$A$301,0), Skills!M22+1)</f>
        <v/>
      </c>
      <c r="F1684">
        <f>IF(Skills!N22=TRUE,(Skills!L22/10)*(E1684/1000),Skills!L22/10)+Skills!O22</f>
        <v/>
      </c>
      <c r="G1684">
        <f>Skills!G22*IF(Skills!H22&gt;0,Skills!I22/Skills!H22,1)</f>
        <v/>
      </c>
      <c r="H1684">
        <f>1-(1-Skills!J22/100)^Skills!K22</f>
        <v/>
      </c>
      <c r="I1684" t="inlineStr">
        <is>
          <t>1</t>
        </is>
      </c>
      <c r="J1684" t="inlineStr"/>
      <c r="K1684" t="inlineStr"/>
      <c r="L1684" t="inlineStr"/>
      <c r="M1684" t="inlineStr"/>
      <c r="N1684" t="inlineStr"/>
      <c r="O1684">
        <f>(1-Summary!$B$11)*T1684+Summary!$B$11*V1684</f>
        <v/>
      </c>
      <c r="P1684">
        <f>IF(B1702=0,0,O1684/B1702)</f>
        <v/>
      </c>
      <c r="Q1684" t="n">
        <v>0</v>
      </c>
      <c r="R1684" t="n">
        <v>0</v>
      </c>
      <c r="S1684">
        <f>IFERROR(O1684/N1684,0)</f>
        <v/>
      </c>
      <c r="T1684" t="n">
        <v>0</v>
      </c>
      <c r="V1684" t="n">
        <v>0</v>
      </c>
    </row>
    <row r="1685">
      <c r="A1685">
        <f>Skills!A23</f>
        <v/>
      </c>
      <c r="B1685">
        <f>Skills!B23</f>
        <v/>
      </c>
      <c r="C1685">
        <f>Inputs!$B$3&gt;=38</f>
        <v/>
      </c>
      <c r="D1685">
        <f>IF(Skills!C23=1,60+Inputs!$B$25+Inputs!$B$29,IF(Skills!C23=2,90+Inputs!$B$26+Inputs!$B$29,IF(Skills!C23=3,120+Inputs!$B$27+Inputs!$B$29,MAX(0,(Inputs!$B$3-100)*3)+Inputs!$B$28+Inputs!$B$29)))</f>
        <v/>
      </c>
      <c r="E1685">
        <f>INDEX(FactorTable!$B$2:$Y$301, MATCH(ROUND(MIN(300,MAX(1,D1685)),0), FactorTable!$A$2:$A$301,0), Skills!M23+1)</f>
        <v/>
      </c>
      <c r="F1685">
        <f>IF(Skills!N23=TRUE,(Skills!L23/10)*(E1685/1000),Skills!L23/10)+Skills!O23</f>
        <v/>
      </c>
      <c r="G1685">
        <f>Skills!G23*IF(Skills!H23&gt;0,Skills!I23/Skills!H23,1)</f>
        <v/>
      </c>
      <c r="H1685">
        <f>1-(1-Skills!J23/100)^Skills!K23</f>
        <v/>
      </c>
      <c r="I1685" t="inlineStr">
        <is>
          <t>1</t>
        </is>
      </c>
      <c r="J1685" t="inlineStr"/>
      <c r="K1685" t="inlineStr"/>
      <c r="L1685" t="inlineStr"/>
      <c r="M1685" t="inlineStr"/>
      <c r="N1685" t="inlineStr"/>
      <c r="O1685">
        <f>(1-Summary!$B$11)*T1685+Summary!$B$11*V1685</f>
        <v/>
      </c>
      <c r="P1685">
        <f>IF(B1702=0,0,O1685/B1702)</f>
        <v/>
      </c>
      <c r="Q1685" t="n">
        <v>0</v>
      </c>
      <c r="R1685" t="n">
        <v>0</v>
      </c>
      <c r="S1685">
        <f>IFERROR(O1685/N1685,0)</f>
        <v/>
      </c>
      <c r="T1685" t="n">
        <v>0</v>
      </c>
      <c r="V1685" t="n">
        <v>0</v>
      </c>
    </row>
    <row r="1686">
      <c r="A1686">
        <f>Skills!A24</f>
        <v/>
      </c>
      <c r="B1686">
        <f>Skills!B24</f>
        <v/>
      </c>
      <c r="C1686">
        <f>Inputs!$B$3&gt;=40</f>
        <v/>
      </c>
      <c r="D1686">
        <f>IF(Skills!C24=1,60+Inputs!$B$25+Inputs!$B$29,IF(Skills!C24=2,90+Inputs!$B$26+Inputs!$B$29,IF(Skills!C24=3,120+Inputs!$B$27+Inputs!$B$29,MAX(0,(Inputs!$B$3-100)*3)+Inputs!$B$28+Inputs!$B$29)))</f>
        <v/>
      </c>
      <c r="E1686">
        <f>INDEX(FactorTable!$B$2:$Y$301, MATCH(ROUND(MIN(300,MAX(1,D1686)),0), FactorTable!$A$2:$A$301,0), Skills!M24+1)</f>
        <v/>
      </c>
      <c r="F1686">
        <f>IF(Skills!N24=TRUE,(Skills!L24/10)*(E1686/1000),Skills!L24/10)+Skills!O24</f>
        <v/>
      </c>
      <c r="G1686">
        <f>Skills!G24*IF(Skills!H24&gt;0,Skills!I24/Skills!H24,1)</f>
        <v/>
      </c>
      <c r="H1686">
        <f>1-(1-Skills!J24/100)^Skills!K24</f>
        <v/>
      </c>
      <c r="I1686" t="inlineStr">
        <is>
          <t>1</t>
        </is>
      </c>
      <c r="J1686" t="inlineStr"/>
      <c r="K1686" t="inlineStr"/>
      <c r="L1686" t="inlineStr"/>
      <c r="M1686" t="inlineStr"/>
      <c r="N1686" t="inlineStr"/>
      <c r="O1686">
        <f>(1-Summary!$B$11)*T1686+Summary!$B$11*V1686</f>
        <v/>
      </c>
      <c r="P1686">
        <f>IF(B1702=0,0,O1686/B1702)</f>
        <v/>
      </c>
      <c r="Q1686" t="n">
        <v>0</v>
      </c>
      <c r="R1686" t="n">
        <v>0</v>
      </c>
      <c r="S1686">
        <f>IFERROR(O1686/N1686,0)</f>
        <v/>
      </c>
      <c r="T1686" t="n">
        <v>0</v>
      </c>
      <c r="V1686" t="n">
        <v>0</v>
      </c>
    </row>
    <row r="1687">
      <c r="A1687">
        <f>Skills!A25</f>
        <v/>
      </c>
      <c r="B1687">
        <f>Skills!B25</f>
        <v/>
      </c>
      <c r="C1687">
        <f>Inputs!$B$3&gt;=72</f>
        <v/>
      </c>
      <c r="D1687">
        <f>IF(Skills!C25=1,60+Inputs!$B$25+Inputs!$B$29,IF(Skills!C25=2,90+Inputs!$B$26+Inputs!$B$29,IF(Skills!C25=3,120+Inputs!$B$27+Inputs!$B$29,MAX(0,(Inputs!$B$3-100)*3)+Inputs!$B$28+Inputs!$B$29)))</f>
        <v/>
      </c>
      <c r="E1687">
        <f>INDEX(FactorTable!$B$2:$Y$301, MATCH(ROUND(MIN(300,MAX(1,D1687)),0), FactorTable!$A$2:$A$301,0), Skills!M25+1)</f>
        <v/>
      </c>
      <c r="F1687">
        <f>IF(Skills!N25=TRUE,(Skills!L25/10)*(E1687/1000),Skills!L25/10)+Skills!O25</f>
        <v/>
      </c>
      <c r="G1687">
        <f>Skills!G25*IF(Skills!H25&gt;0,Skills!I25/Skills!H25,1)</f>
        <v/>
      </c>
      <c r="H1687">
        <f>1-(1-Skills!J25/100)^Skills!K25</f>
        <v/>
      </c>
      <c r="I1687" t="inlineStr">
        <is>
          <t>1</t>
        </is>
      </c>
      <c r="J1687" t="inlineStr"/>
      <c r="K1687" t="inlineStr"/>
      <c r="L1687" t="inlineStr"/>
      <c r="M1687" t="inlineStr"/>
      <c r="N1687" t="inlineStr"/>
      <c r="O1687">
        <f>(1-Summary!$B$11)*T1687+Summary!$B$11*V1687</f>
        <v/>
      </c>
      <c r="P1687">
        <f>IF(B1702=0,0,O1687/B1702)</f>
        <v/>
      </c>
      <c r="Q1687" t="n">
        <v>0</v>
      </c>
      <c r="R1687" t="n">
        <v>0</v>
      </c>
      <c r="S1687">
        <f>IFERROR(O1687/N1687,0)</f>
        <v/>
      </c>
      <c r="T1687" t="n">
        <v>0</v>
      </c>
      <c r="V1687" t="n">
        <v>0</v>
      </c>
    </row>
    <row r="1688">
      <c r="A1688">
        <f>Skills!A26</f>
        <v/>
      </c>
      <c r="B1688">
        <f>Skills!B26</f>
        <v/>
      </c>
      <c r="C1688">
        <f>Inputs!$B$3&gt;=75</f>
        <v/>
      </c>
      <c r="D1688">
        <f>IF(Skills!C26=1,60+Inputs!$B$25+Inputs!$B$29,IF(Skills!C26=2,90+Inputs!$B$26+Inputs!$B$29,IF(Skills!C26=3,120+Inputs!$B$27+Inputs!$B$29,MAX(0,(Inputs!$B$3-100)*3)+Inputs!$B$28+Inputs!$B$29)))</f>
        <v/>
      </c>
      <c r="E1688">
        <f>INDEX(FactorTable!$B$2:$Y$301, MATCH(ROUND(MIN(300,MAX(1,D1688)),0), FactorTable!$A$2:$A$301,0), Skills!M26+1)</f>
        <v/>
      </c>
      <c r="F1688">
        <f>IF(Skills!N26=TRUE,(Skills!L26/10)*(E1688/1000),Skills!L26/10)+Skills!O26</f>
        <v/>
      </c>
      <c r="G1688">
        <f>Skills!G26*IF(Skills!H26&gt;0,Skills!I26/Skills!H26,1)</f>
        <v/>
      </c>
      <c r="H1688">
        <f>1-(1-Skills!J26/100)^Skills!K26</f>
        <v/>
      </c>
      <c r="I1688" t="inlineStr">
        <is>
          <t>1</t>
        </is>
      </c>
      <c r="J1688" t="inlineStr"/>
      <c r="K1688" t="inlineStr"/>
      <c r="L1688" t="inlineStr"/>
      <c r="M1688" t="inlineStr"/>
      <c r="N1688" t="inlineStr"/>
      <c r="O1688">
        <f>(1-Summary!$B$11)*T1688+Summary!$B$11*V1688</f>
        <v/>
      </c>
      <c r="P1688">
        <f>IF(B1702=0,0,O1688/B1702)</f>
        <v/>
      </c>
      <c r="Q1688" t="n">
        <v>0</v>
      </c>
      <c r="R1688" t="n">
        <v>0</v>
      </c>
      <c r="S1688">
        <f>IFERROR(O1688/N1688,0)</f>
        <v/>
      </c>
      <c r="T1688" t="n">
        <v>0</v>
      </c>
      <c r="V1688" t="n">
        <v>0</v>
      </c>
    </row>
    <row r="1689">
      <c r="A1689">
        <f>Skills!A27</f>
        <v/>
      </c>
      <c r="B1689">
        <f>Skills!B27</f>
        <v/>
      </c>
      <c r="C1689">
        <f>Inputs!$B$3&gt;=117</f>
        <v/>
      </c>
      <c r="D1689">
        <f>IF(Skills!C27=1,60+Inputs!$B$25+Inputs!$B$29,IF(Skills!C27=2,90+Inputs!$B$26+Inputs!$B$29,IF(Skills!C27=3,120+Inputs!$B$27+Inputs!$B$29,MAX(0,(Inputs!$B$3-100)*3)+Inputs!$B$28+Inputs!$B$29)))</f>
        <v/>
      </c>
      <c r="E1689">
        <f>INDEX(FactorTable!$B$2:$Y$301, MATCH(ROUND(MIN(300,MAX(1,D1689)),0), FactorTable!$A$2:$A$301,0), Skills!M27+1)</f>
        <v/>
      </c>
      <c r="F1689">
        <f>IF(Skills!N27=TRUE,(Skills!L27/10)*(E1689/1000),Skills!L27/10)+Skills!O27</f>
        <v/>
      </c>
      <c r="G1689">
        <f>Skills!G27*IF(Skills!H27&gt;0,Skills!I27/Skills!H27,1)</f>
        <v/>
      </c>
      <c r="H1689">
        <f>1-(1-Skills!J27/100)^Skills!K27</f>
        <v/>
      </c>
      <c r="I1689" t="inlineStr">
        <is>
          <t>1</t>
        </is>
      </c>
      <c r="J1689" t="inlineStr"/>
      <c r="K1689" t="inlineStr"/>
      <c r="L1689" t="inlineStr"/>
      <c r="M1689" t="inlineStr"/>
      <c r="N1689" t="inlineStr"/>
      <c r="O1689">
        <f>(1-Summary!$B$11)*T1689+Summary!$B$11*V1689</f>
        <v/>
      </c>
      <c r="P1689">
        <f>IF(B1702=0,0,O1689/B1702)</f>
        <v/>
      </c>
      <c r="Q1689" t="n">
        <v>0</v>
      </c>
      <c r="R1689" t="n">
        <v>0</v>
      </c>
      <c r="S1689">
        <f>IFERROR(O1689/N1689,0)</f>
        <v/>
      </c>
      <c r="T1689" t="n">
        <v>0</v>
      </c>
      <c r="V1689" t="n">
        <v>0</v>
      </c>
    </row>
    <row r="1691">
      <c r="A1691" t="inlineStr">
        <is>
          <t>Attack% Bucket Multiplier</t>
        </is>
      </c>
      <c r="B1691">
        <f>(1+(((C1679=TRUE)*F1679)+((C1686=TRUE)*(F1686-Calc!F24))+(IF(ArtifactsInput!$M$21,CHOOSE(ArtifactsInput!$N$21+1,25,30,35,40,45,50)*(IF(OR(Inputs!$B$4="Chapter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92">
      <c r="A1692" t="inlineStr">
        <is>
          <t>Global Crit Rate Bonus %</t>
        </is>
      </c>
      <c r="B1692" t="n">
        <v>0</v>
      </c>
    </row>
    <row r="1693">
      <c r="A1693" t="inlineStr">
        <is>
          <t>Attack Speed Buff Bonus % (unused)</t>
        </is>
      </c>
      <c r="B1693" t="n">
        <v>0</v>
      </c>
    </row>
    <row r="1694">
      <c r="A1694" t="inlineStr">
        <is>
          <t>Actions Per Second</t>
        </is>
      </c>
      <c r="B1694">
        <f>1+MIN(150,150*(1-(1-(Inputs!$B$11+((C1682=TRUE)*(F1682-Calc!F20))+((C1683=TRUE)*(F1683-Calc!F21)))/150)*(1-B1693/150)))/100</f>
        <v/>
      </c>
    </row>
    <row r="1695">
      <c r="A1695" t="inlineStr">
        <is>
          <t>Skill + Buff Cast Rate</t>
        </is>
      </c>
      <c r="B1695">
        <f>IF(AND(Inputs!$B$38&lt;&gt;"pvp",Inputs!$B$43&gt;0),SUMPRODUCT((Skills!E2:E27=TRUE)*(C1664:C1689=TRUE)*R1664:R1689*Skills!F2:F27)/Inputs!$B$43,SUMPRODUCT((Skills!E2:E27=TRUE)*(C1664:C1689=TRUE)*Q1664:Q1689*Skills!F2:F27))</f>
        <v/>
      </c>
    </row>
    <row r="1696">
      <c r="A1696" t="inlineStr">
        <is>
          <t>Eight-Legs Easton Casts Per Second</t>
        </is>
      </c>
      <c r="B1696">
        <f>MAX(0,B1694-B1695)</f>
        <v/>
      </c>
    </row>
    <row r="1697">
      <c r="A1697" t="inlineStr">
        <is>
          <t>Global Critical Damage Bonus % (unused)</t>
        </is>
      </c>
      <c r="B1697" t="n">
        <v>0</v>
      </c>
    </row>
    <row r="1698">
      <c r="A1698" t="inlineStr">
        <is>
          <t>Global Final Damage Bonus % (Jolly Roger only)</t>
        </is>
      </c>
      <c r="B1698">
        <f>((C1680=TRUE)*F1680)</f>
        <v/>
      </c>
    </row>
    <row r="1699">
      <c r="A1699" t="inlineStr">
        <is>
          <t>Buff-Casting Startup Delay (s, fixed-duration only)</t>
        </is>
      </c>
      <c r="B1699">
        <f>IF(AND(Inputs!$B$38&lt;&gt;"pvp",Inputs!$B$43&gt;0),SUMPRODUCT((Skills!T2:T27&gt;0)*(Skills!E2:E27=TRUE)*(C1664:C1689=TRUE))/B1694,0)</f>
        <v/>
      </c>
    </row>
    <row r="1700">
      <c r="A1700" t="inlineStr">
        <is>
          <t>Boss-Only Total DPS (this block's swept value)</t>
        </is>
      </c>
      <c r="B1700">
        <f>SUM(T1664:T1689)</f>
        <v/>
      </c>
    </row>
    <row r="1701">
      <c r="A1701" t="inlineStr">
        <is>
          <t>Normal-Only Total DPS (this block's swept value)</t>
        </is>
      </c>
      <c r="B1701">
        <f>SUM(V1664:V1689)</f>
        <v/>
      </c>
    </row>
    <row r="1702">
      <c r="A1702" s="6" t="inlineStr">
        <is>
          <t>TOTAL DPS</t>
        </is>
      </c>
      <c r="B1702" s="6">
        <f>SUM(O1664:O1689)</f>
        <v/>
      </c>
    </row>
    <row r="1705">
      <c r="A1705" s="6" t="inlineStr">
        <is>
          <t>Stat: Pink Bean's Giant Rib (Equip)</t>
        </is>
      </c>
    </row>
    <row r="1706">
      <c r="A1706" s="5" t="inlineStr">
        <is>
          <t>Key</t>
        </is>
      </c>
      <c r="B1706" s="5" t="inlineStr">
        <is>
          <t>Name</t>
        </is>
      </c>
      <c r="C1706" s="5" t="inlineStr">
        <is>
          <t>Unlocked</t>
        </is>
      </c>
      <c r="D1706" s="5" t="inlineStr">
        <is>
          <t>InputLevel</t>
        </is>
      </c>
      <c r="E1706" s="5" t="inlineStr">
        <is>
          <t>Factor</t>
        </is>
      </c>
      <c r="F1706" s="5" t="inlineStr">
        <is>
          <t>CoefficientPercent</t>
        </is>
      </c>
      <c r="G1706" s="5" t="inlineStr">
        <is>
          <t>EffectiveHits</t>
        </is>
      </c>
      <c r="H1706" s="5" t="inlineStr">
        <is>
          <t>ProcProbability</t>
        </is>
      </c>
      <c r="I1706" s="5" t="inlineStr">
        <is>
          <t>MapleHeroMultiplier</t>
        </is>
      </c>
      <c r="J1706" s="5" t="inlineStr">
        <is>
          <t>BaseDamage</t>
        </is>
      </c>
      <c r="K1706" s="5" t="inlineStr">
        <is>
          <t>BaseHitDamage</t>
        </is>
      </c>
      <c r="L1706" s="5" t="inlineStr">
        <is>
          <t>NonCritAvg</t>
        </is>
      </c>
      <c r="M1706" s="5" t="inlineStr">
        <is>
          <t>CritAvg</t>
        </is>
      </c>
      <c r="N1706" s="5" t="inlineStr">
        <is>
          <t>ExpectedDamage(perHit)</t>
        </is>
      </c>
      <c r="O1706" s="5" t="inlineStr">
        <is>
          <t>DPS</t>
        </is>
      </c>
      <c r="P1706" s="5" t="inlineStr">
        <is>
          <t>% of Total</t>
        </is>
      </c>
      <c r="Q1706" s="5" t="inlineStr">
        <is>
          <t>InvCooldown</t>
        </is>
      </c>
      <c r="R1706" s="5" t="inlineStr">
        <is>
          <t>CastsInFight</t>
        </is>
      </c>
      <c r="S1706" s="5" t="inlineStr">
        <is>
          <t>HitRate(perSec)</t>
        </is>
      </c>
      <c r="U1706" t="inlineStr">
        <is>
          <t>helpers</t>
        </is>
      </c>
    </row>
    <row r="1707">
      <c r="A1707">
        <f>Skills!A2</f>
        <v/>
      </c>
      <c r="B1707">
        <f>Skills!B2</f>
        <v/>
      </c>
      <c r="C1707">
        <f>Inputs!$B$3&gt;=100</f>
        <v/>
      </c>
      <c r="D1707" t="inlineStr"/>
      <c r="E1707" t="inlineStr"/>
      <c r="F1707">
        <f>U1709+Skills!O2</f>
        <v/>
      </c>
      <c r="G1707">
        <f>Skills!G2*IF(Skills!H2&gt;0,Skills!I2/Skills!H2,1)</f>
        <v/>
      </c>
      <c r="H1707">
        <f>1-(1-Skills!J2/100)^Skills!K2</f>
        <v/>
      </c>
      <c r="I1707" t="inlineStr">
        <is>
          <t>1</t>
        </is>
      </c>
      <c r="J1707">
        <f>((Inputs!$B$6*(1+Inputs!$B$7/100))+(((Inputs!$B$12*(1+Inputs!$B$13/100))-(Inputs!$B$12*(1+Inputs!$B$13/100)))+0.25*(Inputs!$B$14-Inputs!$B$14))*(1+Inputs!$B$7/100))*(F1707/100)</f>
        <v/>
      </c>
      <c r="K1707">
        <f>J1707*(1+((Inputs!$B$12*(1+Inputs!$B$13/100))*0.01+Inputs!$B$14*0.0025)/100)*(1+Inputs!$B$15/100)*(1+Inputs!$B$16/100)*(5000/(6000+Inputs!$B$42*(1-(100*(1-(1-(Inputs!$B$19+0)/100)*(1-CHOOSE(ArtifactsInput!$N$40+1,5,6,7,8,9,10)/100)^(ArtifactsInput!$M$40-ArtifactsInput!$M$40)))/100)))*(1+(Inputs!$B$24+((C1731=TRUE)*(F1731-Calc!F26))+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1728=TRUE)*(F1728-Calc!F23))+((C1732=TRUE)*(F1732-Calc!F27))+(((IF(AND(ArtifactsInput!$M$42,((Inputs!$B$9+((C1724=TRUE)*(F1724-Calc!F19))+B1735+(ArtifactsInput!$M$24-ArtifactsInput!$M$24)*CHOOSE(ArtifactsInput!$N$24+1,10,12,14,16,18,20)+IF(ArtifactsInput!$M$10,CHOOSE(ArtifactsInput!$N$10+1,15,18,21,24,27,30)*(IF(Inputs!$B$38="pvp",MIN(15,15)/15,IF(AND(Inputs!$B$38&lt;&gt;"pvp",Inputs!$B$43&gt;0),MIN(15,Inputs!$B$43)/(Inputs!$B$43),0))),0)))&gt;=100),MIN(100,((Inputs!$B$9+((C1724=TRUE)*(F1724-Calc!F19))+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1724=TRUE)*(F1724-Calc!F19))+B1735+(ArtifactsInput!$M$24-ArtifactsInput!$M$24)*CHOOSE(ArtifactsInput!$N$24+1,10,12,14,16,18,20)+IF(ArtifactsInput!$M$10,CHOOSE(ArtifactsInput!$N$10+1,15,18,21,24,27,30)*(IF(Inputs!$B$38="pvp",MIN(15,15)/15,IF(AND(Inputs!$B$38&lt;&gt;"pvp",Inputs!$B$43&gt;0),MIN(15,Inputs!$B$43)/(Inputs!$B$43),0))),0)))&gt;=100),CHOOSE(ArtifactsInput!$N$42+1,40,48,56,64,72,80),0))))/100)*((1+(((C1722=TRUE)*F1722)+((C1729=TRUE)*(F1729-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1707)</f>
        <v/>
      </c>
      <c r="L1707">
        <f>K1707*(MIN(Inputs!$B$22+((C1727=TRUE)*(F1727-Calc!F22)),(Inputs!$B$23+0+(IF(ArtifactsInput!$M$15,CHOOSE(ArtifactsInput!$N$15+1,25,30,35,40,45,50)/100*(Inputs!$B$11-Inputs!$B$11),0))))/100+(Inputs!$B$23+0+(IF(ArtifactsInput!$M$15,CHOOSE(ArtifactsInput!$N$15+1,25,30,35,40,45,50)/100*(Inputs!$B$11-Inputs!$B$11),0)))/100)/2</f>
        <v/>
      </c>
      <c r="M1707">
        <f>L1707*(1+(Inputs!$B$10+((C1730=TRUE)*(F1730-Calc!F25))+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7">
        <f>L1707*(1-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1707*(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7">
        <f>(1-Summary!$B$11)*T1707+Summary!$B$11*V1707</f>
        <v/>
      </c>
      <c r="P1707">
        <f>IF(B1745=0,0,O1707/B1745)</f>
        <v/>
      </c>
      <c r="Q1707" t="n">
        <v>0</v>
      </c>
      <c r="R1707" t="n">
        <v>0</v>
      </c>
      <c r="S1707">
        <f>IFERROR(O1707/N1707,0)</f>
        <v/>
      </c>
      <c r="T1707">
        <f>IF(C1707,(Skills!G2*N1707*B1739)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1707*(1-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1707*(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1707*(1-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1707*(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7">
        <f>MAX(0,(Inputs!$B$3-100)*3)+Inputs!$B$28+Inputs!$B$29</f>
        <v/>
      </c>
      <c r="V1707">
        <f>IF(C1707,(Skills!G2*N1707*B1739)*IF(Inputs!$B$38="pvp",1,(1+(Inputs!$B$21+Skills!Q2+(IF(ArtifactsInput!$M$33,CHOOSE(ArtifactsInput!$N$33+1,30,36,42,48,54,60),0))+(IF(AND(ArtifactsInput!$M$35,Inputs!$B$4&lt;&gt;"Chapter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8">
      <c r="A1708">
        <f>Skills!A3</f>
        <v/>
      </c>
      <c r="B1708">
        <f>Skills!B3</f>
        <v/>
      </c>
      <c r="C1708">
        <f>Inputs!$B$3&gt;=35</f>
        <v/>
      </c>
      <c r="D1708">
        <f>IF(Skills!C3=1,60+Inputs!$B$25+Inputs!$B$29,IF(Skills!C3=2,90+Inputs!$B$26+Inputs!$B$29,IF(Skills!C3=3,120+Inputs!$B$27+Inputs!$B$29,MAX(0,(Inputs!$B$3-100)*3)+Inputs!$B$28+Inputs!$B$29)))</f>
        <v/>
      </c>
      <c r="E1708">
        <f>INDEX(FactorTable!$B$2:$Y$301, MATCH(ROUND(MIN(300,MAX(1,D1708)),0), FactorTable!$A$2:$A$301,0), Skills!M3+1)</f>
        <v/>
      </c>
      <c r="F1708">
        <f>IF(Skills!N3=TRUE,(Skills!L3/10)*(E1708/1000),Skills!L3/10)+Skills!O3</f>
        <v/>
      </c>
      <c r="G1708">
        <f>Skills!G3*IF(Skills!H3&gt;0,Skills!I3/Skills!H3,1)</f>
        <v/>
      </c>
      <c r="H1708">
        <f>1-(1-Skills!J3/100)^Skills!K3</f>
        <v/>
      </c>
      <c r="I1708" t="inlineStr">
        <is>
          <t>1</t>
        </is>
      </c>
      <c r="J1708">
        <f>((Inputs!$B$6*(1+Inputs!$B$7/100))+(((Inputs!$B$12*(1+Inputs!$B$13/100))-(Inputs!$B$12*(1+Inputs!$B$13/100)))+0.25*(Inputs!$B$14-Inputs!$B$14))*(1+Inputs!$B$7/100))*(F1708/100)</f>
        <v/>
      </c>
      <c r="K1708">
        <f>J1708*(1+((Inputs!$B$12*(1+Inputs!$B$13/100))*0.01+Inputs!$B$14*0.0025)/100)*(1+Inputs!$B$15/100)*(1+Inputs!$B$16/100)*(5000/(6000+Inputs!$B$42*(1-(100*(1-(1-(Inputs!$B$19+0)/100)*(1-CHOOSE(ArtifactsInput!$N$40+1,5,6,7,8,9,10)/100)^(ArtifactsInput!$M$40-ArtifactsInput!$M$40)))/100)))*(1+(Inputs!$B$24+((C1731=TRUE)*(F1731-Calc!F26))+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1720=TRUE,F1720,0)/100)*(1+(IF(Skills!A3="EIGHT_LEGS_EASTON",Inputs!$B$17+((C1728=TRUE)*(F1728-Calc!F23))+((C1732=TRUE)*(F1732-Calc!F27))+(((IF(AND(ArtifactsInput!$M$42,((Inputs!$B$9+((C1724=TRUE)*(F1724-Calc!F19))+B1735+(ArtifactsInput!$M$24-ArtifactsInput!$M$24)*CHOOSE(ArtifactsInput!$N$24+1,10,12,14,16,18,20)+IF(ArtifactsInput!$M$10,CHOOSE(ArtifactsInput!$N$10+1,15,18,21,24,27,30)*(IF(Inputs!$B$38="pvp",MIN(15,15)/15,IF(AND(Inputs!$B$38&lt;&gt;"pvp",Inputs!$B$43&gt;0),MIN(15,Inputs!$B$43)/(Inputs!$B$43),0))),0)))&gt;=100),MIN(100,((Inputs!$B$9+((C1724=TRUE)*(F1724-Calc!F19))+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1724=TRUE)*(F1724-Calc!F19))+B1735+(ArtifactsInput!$M$24-ArtifactsInput!$M$24)*CHOOSE(ArtifactsInput!$N$24+1,10,12,14,16,18,20)+IF(ArtifactsInput!$M$10,CHOOSE(ArtifactsInput!$N$10+1,15,18,21,24,27,30)*(IF(Inputs!$B$38="pvp",MIN(15,15)/15,IF(AND(Inputs!$B$38&lt;&gt;"pvp",Inputs!$B$43&gt;0),MIN(15,Inputs!$B$43)/(Inputs!$B$43),0))),0)))&gt;=100),CHOOSE(ArtifactsInput!$N$42+1,40,48,56,64,72,80),0))))/100)*((1+(((C1722=TRUE)*F1722)+((C1729=TRUE)*(F1729-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1708)</f>
        <v/>
      </c>
      <c r="L1708">
        <f>K1708*(MIN(Inputs!$B$22+((C1727=TRUE)*(F1727-Calc!F22)),(Inputs!$B$23+0+(IF(ArtifactsInput!$M$15,CHOOSE(ArtifactsInput!$N$15+1,25,30,35,40,45,50)/100*(Inputs!$B$11-Inputs!$B$11),0))))/100+(Inputs!$B$23+0+(IF(ArtifactsInput!$M$15,CHOOSE(ArtifactsInput!$N$15+1,25,30,35,40,45,50)/100*(Inputs!$B$11-Inputs!$B$11),0)))/100)/2</f>
        <v/>
      </c>
      <c r="M1708">
        <f>L1708*(1+(Inputs!$B$10+((C1730=TRUE)*(F1730-Calc!F25))+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8">
        <f>L1708*(1-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1708*(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8">
        <f>(1-Summary!$B$11)*T1708+Summary!$B$11*V1708</f>
        <v/>
      </c>
      <c r="P1708">
        <f>IF(B1745=0,0,O1708/B1745)</f>
        <v/>
      </c>
      <c r="Q1708">
        <f>IFERROR(1/(IF(Inputs!$B$38="pvp",15,MAX(0.1,Skills!D3-IF(Skills!E3=TRUE,Inputs!$B$32,0)))*(1-IF(AND(ArtifactsInput!$M$27,Inputs!$B$4="Chapter Hunt"),CHOOSE(ArtifactsInput!$N$27+1,20,24,28,32,36,40),0)/100)),0)</f>
        <v/>
      </c>
      <c r="R1708">
        <f>IF(AND(Inputs!$B$38&lt;&gt;"pvp",Inputs!$B$43&gt;0),IF(MAX(0,Inputs!$B$43-B1742)&lt;=0,0,(INT(MAX(0,Inputs!$B$43-B1742)/(IF(Inputs!$B$38="pvp",15,MAX(0.1,Skills!D3-IF(Skills!E3=TRUE,Inputs!$B$32,0)))*(1-IF(AND(ArtifactsInput!$M$27,Inputs!$B$4="Chapter Hunt"),CHOOSE(ArtifactsInput!$N$27+1,20,24,28,32,36,40),0)/100)))+1)),0)</f>
        <v/>
      </c>
      <c r="S1708">
        <f>IFERROR(O1708/N1708,0)</f>
        <v/>
      </c>
      <c r="T1708">
        <f>IF(C1708,(H1708*N1708*IF(AND(Inputs!$B$38&lt;&gt;"pvp",Inputs!$B$43&gt;0),((Skills!G3*((R1708-1)*IF(Skills!H3&gt;0,Skills!I3/Skills!H3,1)+IF(Skills!H3&gt;0,MIN(Skills!I3,MAX(0,MAX(0,Inputs!$B$43-B1742)-((R1708-1)*(IF(Inputs!$B$38="pvp",15,MAX(0.1,Skills!D3-IF(Skills!E3=TRUE,Inputs!$B$32,0)))*(1-IF(AND(ArtifactsInput!$M$27,Inputs!$B$4="Chapter Hunt"),CHOOSE(ArtifactsInput!$N$27+1,20,24,28,32,36,40),0)/100)))))/Skills!H3,1)))/Inputs!$B$43),G1708*Q1708)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1708*(1-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1708*(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1708*(1-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1708*(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8">
        <f>INDEX(FactorTable!$B$2:$Y$301, MATCH(ROUND(MIN(300,MAX(1,U1707)),0), FactorTable!$A$2:$A$301,0), 22)</f>
        <v/>
      </c>
      <c r="V1708">
        <f>IF(C1708,(H1708*N1708*IF(AND(Inputs!$B$38&lt;&gt;"pvp",Inputs!$B$43&gt;0),((Skills!G3*((R1708-1)*IF(Skills!H3&gt;0,Skills!I3/Skills!H3,1)+IF(Skills!H3&gt;0,MIN(Skills!I3,MAX(0,MAX(0,Inputs!$B$43-B1742)-((R1708-1)*(IF(Inputs!$B$38="pvp",15,MAX(0.1,Skills!D3-IF(Skills!E3=TRUE,Inputs!$B$32,0)))*(1-IF(AND(ArtifactsInput!$M$27,Inputs!$B$4="Chapter Hunt"),CHOOSE(ArtifactsInput!$N$27+1,20,24,28,32,36,40),0)/100)))))/Skills!H3,1)))/Inputs!$B$43),G1708*Q1708))*IF(Inputs!$B$38="pvp",1,(1+(Inputs!$B$21+Skills!Q3+(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9">
      <c r="A1709">
        <f>Skills!A4</f>
        <v/>
      </c>
      <c r="B1709">
        <f>Skills!B4</f>
        <v/>
      </c>
      <c r="C1709">
        <f>Inputs!$B$3&gt;=40</f>
        <v/>
      </c>
      <c r="D1709">
        <f>IF(Skills!C4=1,60+Inputs!$B$25+Inputs!$B$29,IF(Skills!C4=2,90+Inputs!$B$26+Inputs!$B$29,IF(Skills!C4=3,120+Inputs!$B$27+Inputs!$B$29,MAX(0,(Inputs!$B$3-100)*3)+Inputs!$B$28+Inputs!$B$29)))</f>
        <v/>
      </c>
      <c r="E1709">
        <f>INDEX(FactorTable!$B$2:$Y$301, MATCH(ROUND(MIN(300,MAX(1,D1709)),0), FactorTable!$A$2:$A$301,0), Skills!M4+1)</f>
        <v/>
      </c>
      <c r="F1709">
        <f>IF(Skills!N4=TRUE,(Skills!L4/10)*(E1709/1000),Skills!L4/10)+Skills!O4</f>
        <v/>
      </c>
      <c r="G1709">
        <f>Skills!G4*IF(Skills!H4&gt;0,Skills!I4/Skills!H4,1)</f>
        <v/>
      </c>
      <c r="H1709">
        <f>1-(1-Skills!J4/100)^Skills!K4</f>
        <v/>
      </c>
      <c r="I1709" t="inlineStr">
        <is>
          <t>1</t>
        </is>
      </c>
      <c r="J1709">
        <f>((Inputs!$B$6*(1+Inputs!$B$7/100))+(((Inputs!$B$12*(1+Inputs!$B$13/100))-(Inputs!$B$12*(1+Inputs!$B$13/100)))+0.25*(Inputs!$B$14-Inputs!$B$14))*(1+Inputs!$B$7/100))*(F1709/100)</f>
        <v/>
      </c>
      <c r="K1709">
        <f>J1709*(1+((Inputs!$B$12*(1+Inputs!$B$13/100))*0.01+Inputs!$B$14*0.0025)/100)*(1+Inputs!$B$15/100)*(1+Inputs!$B$16/100)*(5000/(6000+Inputs!$B$42*(1-(100*(1-(1-(Inputs!$B$19+0)/100)*(1-CHOOSE(ArtifactsInput!$N$40+1,5,6,7,8,9,10)/100)^(ArtifactsInput!$M$40-ArtifactsInput!$M$40)))/100)))*(1+(Inputs!$B$24+((C1731=TRUE)*(F1731-Calc!F26))+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1721=TRUE,F1721,0)/100)*(1+(IF(Skills!A4="EIGHT_LEGS_EASTON",Inputs!$B$17+((C1728=TRUE)*(F1728-Calc!F23))+((C1732=TRUE)*(F1732-Calc!F27))+(((IF(AND(ArtifactsInput!$M$42,((Inputs!$B$9+((C1724=TRUE)*(F1724-Calc!F19))+B1735+(ArtifactsInput!$M$24-ArtifactsInput!$M$24)*CHOOSE(ArtifactsInput!$N$24+1,10,12,14,16,18,20)+IF(ArtifactsInput!$M$10,CHOOSE(ArtifactsInput!$N$10+1,15,18,21,24,27,30)*(IF(Inputs!$B$38="pvp",MIN(15,15)/15,IF(AND(Inputs!$B$38&lt;&gt;"pvp",Inputs!$B$43&gt;0),MIN(15,Inputs!$B$43)/(Inputs!$B$43),0))),0)))&gt;=100),MIN(100,((Inputs!$B$9+((C1724=TRUE)*(F1724-Calc!F19))+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1724=TRUE)*(F1724-Calc!F19))+B1735+(ArtifactsInput!$M$24-ArtifactsInput!$M$24)*CHOOSE(ArtifactsInput!$N$24+1,10,12,14,16,18,20)+IF(ArtifactsInput!$M$10,CHOOSE(ArtifactsInput!$N$10+1,15,18,21,24,27,30)*(IF(Inputs!$B$38="pvp",MIN(15,15)/15,IF(AND(Inputs!$B$38&lt;&gt;"pvp",Inputs!$B$43&gt;0),MIN(15,Inputs!$B$43)/(Inputs!$B$43),0))),0)))&gt;=100),CHOOSE(ArtifactsInput!$N$42+1,40,48,56,64,72,80),0))))/100)*((1+(((C1722=TRUE)*F1722)+((C1729=TRUE)*(F1729-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1709)</f>
        <v/>
      </c>
      <c r="L1709">
        <f>K1709*(MIN(Inputs!$B$22+((C1727=TRUE)*(F1727-Calc!F22)),(Inputs!$B$23+0+(IF(ArtifactsInput!$M$15,CHOOSE(ArtifactsInput!$N$15+1,25,30,35,40,45,50)/100*(Inputs!$B$11-Inputs!$B$11),0))))/100+(Inputs!$B$23+0+(IF(ArtifactsInput!$M$15,CHOOSE(ArtifactsInput!$N$15+1,25,30,35,40,45,50)/100*(Inputs!$B$11-Inputs!$B$11),0)))/100)/2</f>
        <v/>
      </c>
      <c r="M1709">
        <f>L1709*(1+(Inputs!$B$10+((C1730=TRUE)*(F1730-Calc!F25))+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9">
        <f>L1709*(1-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1709*(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9">
        <f>(1-Summary!$B$11)*T1709+Summary!$B$11*V1709</f>
        <v/>
      </c>
      <c r="P1709">
        <f>IF(B1745=0,0,O1709/B1745)</f>
        <v/>
      </c>
      <c r="Q1709">
        <f>IFERROR(1/(IF(Inputs!$B$38="pvp",15,MAX(0.1,Skills!D4-IF(Skills!E4=TRUE,Inputs!$B$32,0)))*(1-IF(AND(ArtifactsInput!$M$27,Inputs!$B$4="Chapter Hunt"),CHOOSE(ArtifactsInput!$N$27+1,20,24,28,32,36,40),0)/100)),0)</f>
        <v/>
      </c>
      <c r="R1709">
        <f>IF(AND(Inputs!$B$38&lt;&gt;"pvp",Inputs!$B$43&gt;0),IF(MAX(0,Inputs!$B$43-B1742)&lt;=0,0,(INT(MAX(0,Inputs!$B$43-B1742)/(IF(Inputs!$B$38="pvp",15,MAX(0.1,Skills!D4-IF(Skills!E4=TRUE,Inputs!$B$32,0)))*(1-IF(AND(ArtifactsInput!$M$27,Inputs!$B$4="Chapter Hunt"),CHOOSE(ArtifactsInput!$N$27+1,20,24,28,32,36,40),0)/100)))+1)),0)</f>
        <v/>
      </c>
      <c r="S1709">
        <f>IFERROR(O1709/N1709,0)</f>
        <v/>
      </c>
      <c r="T1709">
        <f>IF(C1709,(H1709*N1709*IF(AND(Inputs!$B$38&lt;&gt;"pvp",Inputs!$B$43&gt;0),((Skills!G4*((R1709-1)*IF(Skills!H4&gt;0,Skills!I4/Skills!H4,1)+IF(Skills!H4&gt;0,MIN(Skills!I4,MAX(0,MAX(0,Inputs!$B$43-B1742)-((R1709-1)*(IF(Inputs!$B$38="pvp",15,MAX(0.1,Skills!D4-IF(Skills!E4=TRUE,Inputs!$B$32,0)))*(1-IF(AND(ArtifactsInput!$M$27,Inputs!$B$4="Chapter Hunt"),CHOOSE(ArtifactsInput!$N$27+1,20,24,28,32,36,40),0)/100)))))/Skills!H4,1)))/Inputs!$B$43),G1709*Q1709)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1709*(1-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1709*(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1709*(1-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1709*(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9">
        <f>290*U1708/1000</f>
        <v/>
      </c>
      <c r="V1709">
        <f>IF(C1709,(H1709*N1709*IF(AND(Inputs!$B$38&lt;&gt;"pvp",Inputs!$B$43&gt;0),((Skills!G4*((R1709-1)*IF(Skills!H4&gt;0,Skills!I4/Skills!H4,1)+IF(Skills!H4&gt;0,MIN(Skills!I4,MAX(0,MAX(0,Inputs!$B$43-B1742)-((R1709-1)*(IF(Inputs!$B$38="pvp",15,MAX(0.1,Skills!D4-IF(Skills!E4=TRUE,Inputs!$B$32,0)))*(1-IF(AND(ArtifactsInput!$M$27,Inputs!$B$4="Chapter Hunt"),CHOOSE(ArtifactsInput!$N$27+1,20,24,28,32,36,40),0)/100)))))/Skills!H4,1)))/Inputs!$B$43),G1709*Q1709))*IF(Inputs!$B$38="pvp",1,(1+(Inputs!$B$21+Skills!Q4+(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0">
      <c r="A1710">
        <f>Skills!A5</f>
        <v/>
      </c>
      <c r="B1710">
        <f>Skills!B5</f>
        <v/>
      </c>
      <c r="C1710">
        <f>Inputs!$B$3&gt;=45</f>
        <v/>
      </c>
      <c r="D1710">
        <f>IF(Skills!C5=1,60+Inputs!$B$25+Inputs!$B$29,IF(Skills!C5=2,90+Inputs!$B$26+Inputs!$B$29,IF(Skills!C5=3,120+Inputs!$B$27+Inputs!$B$29,MAX(0,(Inputs!$B$3-100)*3)+Inputs!$B$28+Inputs!$B$29)))</f>
        <v/>
      </c>
      <c r="E1710">
        <f>INDEX(FactorTable!$B$2:$Y$301, MATCH(ROUND(MIN(300,MAX(1,D1710)),0), FactorTable!$A$2:$A$301,0), Skills!M5+1)</f>
        <v/>
      </c>
      <c r="F1710">
        <f>IF(Skills!N5=TRUE,(Skills!L5/10)*(E1710/1000),Skills!L5/10)+Skills!O5</f>
        <v/>
      </c>
      <c r="G1710">
        <f>Skills!G5*IF(Skills!H5&gt;0,Skills!I5/Skills!H5,1)</f>
        <v/>
      </c>
      <c r="H1710">
        <f>1-(1-Skills!J5/100)^Skills!K5</f>
        <v/>
      </c>
      <c r="I1710" t="inlineStr">
        <is>
          <t>1</t>
        </is>
      </c>
      <c r="J1710">
        <f>((Inputs!$B$6*(1+Inputs!$B$7/100))+(((Inputs!$B$12*(1+Inputs!$B$13/100))-(Inputs!$B$12*(1+Inputs!$B$13/100)))+0.25*(Inputs!$B$14-Inputs!$B$14))*(1+Inputs!$B$7/100))*(F1710/100)</f>
        <v/>
      </c>
      <c r="K1710">
        <f>J1710*(1+((Inputs!$B$12*(1+Inputs!$B$13/100))*0.01+Inputs!$B$14*0.0025)/100)*(1+Inputs!$B$15/100)*(1+Inputs!$B$16/100)*(5000/(6000+Inputs!$B$42*(1-(100*(1-(1-(Inputs!$B$19+0)/100)*(1-CHOOSE(ArtifactsInput!$N$40+1,5,6,7,8,9,10)/100)^(ArtifactsInput!$M$40-ArtifactsInput!$M$40)))/100)))*(1+(Inputs!$B$24+((C1731=TRUE)*(F1731-Calc!F26))+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1721=TRUE,F1721,0)/100)*(1+(IF(Skills!A5="EIGHT_LEGS_EASTON",Inputs!$B$17+((C1728=TRUE)*(F1728-Calc!F23))+((C1732=TRUE)*(F1732-Calc!F27))+(((IF(AND(ArtifactsInput!$M$42,((Inputs!$B$9+((C1724=TRUE)*(F1724-Calc!F19))+B1735+(ArtifactsInput!$M$24-ArtifactsInput!$M$24)*CHOOSE(ArtifactsInput!$N$24+1,10,12,14,16,18,20)+IF(ArtifactsInput!$M$10,CHOOSE(ArtifactsInput!$N$10+1,15,18,21,24,27,30)*(IF(Inputs!$B$38="pvp",MIN(15,15)/15,IF(AND(Inputs!$B$38&lt;&gt;"pvp",Inputs!$B$43&gt;0),MIN(15,Inputs!$B$43)/(Inputs!$B$43),0))),0)))&gt;=100),MIN(100,((Inputs!$B$9+((C1724=TRUE)*(F1724-Calc!F19))+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1724=TRUE)*(F1724-Calc!F19))+B1735+(ArtifactsInput!$M$24-ArtifactsInput!$M$24)*CHOOSE(ArtifactsInput!$N$24+1,10,12,14,16,18,20)+IF(ArtifactsInput!$M$10,CHOOSE(ArtifactsInput!$N$10+1,15,18,21,24,27,30)*(IF(Inputs!$B$38="pvp",MIN(15,15)/15,IF(AND(Inputs!$B$38&lt;&gt;"pvp",Inputs!$B$43&gt;0),MIN(15,Inputs!$B$43)/(Inputs!$B$43),0))),0)))&gt;=100),CHOOSE(ArtifactsInput!$N$42+1,40,48,56,64,72,80),0))))/100)*((1+(((C1722=TRUE)*F1722)+((C1729=TRUE)*(F1729-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1710)</f>
        <v/>
      </c>
      <c r="L1710">
        <f>K1710*(MIN(Inputs!$B$22+((C1727=TRUE)*(F1727-Calc!F22)),(Inputs!$B$23+0+(IF(ArtifactsInput!$M$15,CHOOSE(ArtifactsInput!$N$15+1,25,30,35,40,45,50)/100*(Inputs!$B$11-Inputs!$B$11),0))))/100+(Inputs!$B$23+0+(IF(ArtifactsInput!$M$15,CHOOSE(ArtifactsInput!$N$15+1,25,30,35,40,45,50)/100*(Inputs!$B$11-Inputs!$B$11),0)))/100)/2</f>
        <v/>
      </c>
      <c r="M1710">
        <f>L1710*(1+(Inputs!$B$10+((C1730=TRUE)*(F1730-Calc!F25))+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0">
        <f>L1710*(1-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1710*(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0">
        <f>(1-Summary!$B$11)*T1710+Summary!$B$11*V1710</f>
        <v/>
      </c>
      <c r="P1710">
        <f>IF(B1745=0,0,O1710/B1745)</f>
        <v/>
      </c>
      <c r="Q1710">
        <f>IFERROR(1/(IF(Inputs!$B$38="pvp",15,MAX(0.1,Skills!D5-IF(Skills!E5=TRUE,Inputs!$B$32,0)))*(1-IF(AND(ArtifactsInput!$M$27,Inputs!$B$4="Chapter Hunt"),CHOOSE(ArtifactsInput!$N$27+1,20,24,28,32,36,40),0)/100)),0)</f>
        <v/>
      </c>
      <c r="R1710">
        <f>IF(AND(Inputs!$B$38&lt;&gt;"pvp",Inputs!$B$43&gt;0),IF(MAX(0,Inputs!$B$43-B1742)&lt;=0,0,(INT(MAX(0,Inputs!$B$43-B1742)/(IF(Inputs!$B$38="pvp",15,MAX(0.1,Skills!D5-IF(Skills!E5=TRUE,Inputs!$B$32,0)))*(1-IF(AND(ArtifactsInput!$M$27,Inputs!$B$4="Chapter Hunt"),CHOOSE(ArtifactsInput!$N$27+1,20,24,28,32,36,40),0)/100)))+1)),0)</f>
        <v/>
      </c>
      <c r="S1710">
        <f>IFERROR(O1710/N1710,0)</f>
        <v/>
      </c>
      <c r="T1710">
        <f>IF(C1710,(H1710*N1710*IF(AND(Inputs!$B$38&lt;&gt;"pvp",Inputs!$B$43&gt;0),((Skills!G5*((R1710-1)*IF(Skills!H5&gt;0,Skills!I5/Skills!H5,1)+IF(Skills!H5&gt;0,MIN(Skills!I5,MAX(0,MAX(0,Inputs!$B$43-B1742)-((R1710-1)*(IF(Inputs!$B$38="pvp",15,MAX(0.1,Skills!D5-IF(Skills!E5=TRUE,Inputs!$B$32,0)))*(1-IF(AND(ArtifactsInput!$M$27,Inputs!$B$4="Chapter Hunt"),CHOOSE(ArtifactsInput!$N$27+1,20,24,28,32,36,40),0)/100)))))/Skills!H5,1)))/Inputs!$B$43),G1710*Q1710)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1710*(1-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1710*(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1710*(1-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1710*(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0">
        <f>IF(C1710,(H1710*N1710*IF(AND(Inputs!$B$38&lt;&gt;"pvp",Inputs!$B$43&gt;0),((Skills!G5*((R1710-1)*IF(Skills!H5&gt;0,Skills!I5/Skills!H5,1)+IF(Skills!H5&gt;0,MIN(Skills!I5,MAX(0,MAX(0,Inputs!$B$43-B1742)-((R1710-1)*(IF(Inputs!$B$38="pvp",15,MAX(0.1,Skills!D5-IF(Skills!E5=TRUE,Inputs!$B$32,0)))*(1-IF(AND(ArtifactsInput!$M$27,Inputs!$B$4="Chapter Hunt"),CHOOSE(ArtifactsInput!$N$27+1,20,24,28,32,36,40),0)/100)))))/Skills!H5,1)))/Inputs!$B$43),G1710*Q1710))*IF(Inputs!$B$38="pvp",1,(1+(Inputs!$B$21+Skills!Q5+(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1">
      <c r="A1711">
        <f>Skills!A6</f>
        <v/>
      </c>
      <c r="B1711">
        <f>Skills!B6</f>
        <v/>
      </c>
      <c r="C1711">
        <f>Inputs!$B$3&gt;=63</f>
        <v/>
      </c>
      <c r="D1711">
        <f>IF(Skills!C6=1,60+Inputs!$B$25+Inputs!$B$29,IF(Skills!C6=2,90+Inputs!$B$26+Inputs!$B$29,IF(Skills!C6=3,120+Inputs!$B$27+Inputs!$B$29,MAX(0,(Inputs!$B$3-100)*3)+Inputs!$B$28+Inputs!$B$29)))</f>
        <v/>
      </c>
      <c r="E1711">
        <f>INDEX(FactorTable!$B$2:$Y$301, MATCH(ROUND(MIN(300,MAX(1,D1711)),0), FactorTable!$A$2:$A$301,0), Skills!M6+1)</f>
        <v/>
      </c>
      <c r="F1711">
        <f>IF(Skills!N6=TRUE,(Skills!L6/10)*(E1711/1000),Skills!L6/10)+Skills!O6</f>
        <v/>
      </c>
      <c r="G1711">
        <f>Skills!G6*IF(Skills!H6&gt;0,Skills!I6/Skills!H6,1)</f>
        <v/>
      </c>
      <c r="H1711">
        <f>1-(1-Skills!J6/100)^Skills!K6</f>
        <v/>
      </c>
      <c r="I1711" t="inlineStr">
        <is>
          <t>1</t>
        </is>
      </c>
      <c r="J1711">
        <f>((Inputs!$B$6*(1+Inputs!$B$7/100))+(((Inputs!$B$12*(1+Inputs!$B$13/100))-(Inputs!$B$12*(1+Inputs!$B$13/100)))+0.25*(Inputs!$B$14-Inputs!$B$14))*(1+Inputs!$B$7/100))*(F1711/100)</f>
        <v/>
      </c>
      <c r="K1711">
        <f>J1711*(1+((Inputs!$B$12*(1+Inputs!$B$13/100))*0.01+Inputs!$B$14*0.0025)/100)*(1+Inputs!$B$15/100)*(1+Inputs!$B$16/100)*(5000/(6000+Inputs!$B$42*(1-(100*(1-(1-(Inputs!$B$19+0)/100)*(1-CHOOSE(ArtifactsInput!$N$40+1,5,6,7,8,9,10)/100)^(ArtifactsInput!$M$40-ArtifactsInput!$M$40)))/100)))*(1+(Inputs!$B$24+((C1731=TRUE)*(F1731-Calc!F26))+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1720=TRUE,F1720,0)/100)*(1+(IF(Skills!A6="EIGHT_LEGS_EASTON",Inputs!$B$17+((C1728=TRUE)*(F1728-Calc!F23))+((C1732=TRUE)*(F1732-Calc!F27))+(((IF(AND(ArtifactsInput!$M$42,((Inputs!$B$9+((C1724=TRUE)*(F1724-Calc!F19))+B1735+(ArtifactsInput!$M$24-ArtifactsInput!$M$24)*CHOOSE(ArtifactsInput!$N$24+1,10,12,14,16,18,20)+IF(ArtifactsInput!$M$10,CHOOSE(ArtifactsInput!$N$10+1,15,18,21,24,27,30)*(IF(Inputs!$B$38="pvp",MIN(15,15)/15,IF(AND(Inputs!$B$38&lt;&gt;"pvp",Inputs!$B$43&gt;0),MIN(15,Inputs!$B$43)/(Inputs!$B$43),0))),0)))&gt;=100),MIN(100,((Inputs!$B$9+((C1724=TRUE)*(F1724-Calc!F19))+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1724=TRUE)*(F1724-Calc!F19))+B1735+(ArtifactsInput!$M$24-ArtifactsInput!$M$24)*CHOOSE(ArtifactsInput!$N$24+1,10,12,14,16,18,20)+IF(ArtifactsInput!$M$10,CHOOSE(ArtifactsInput!$N$10+1,15,18,21,24,27,30)*(IF(Inputs!$B$38="pvp",MIN(15,15)/15,IF(AND(Inputs!$B$38&lt;&gt;"pvp",Inputs!$B$43&gt;0),MIN(15,Inputs!$B$43)/(Inputs!$B$43),0))),0)))&gt;=100),CHOOSE(ArtifactsInput!$N$42+1,40,48,56,64,72,80),0))))/100)*((1+(((C1722=TRUE)*F1722)+((C1729=TRUE)*(F1729-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1711)</f>
        <v/>
      </c>
      <c r="L1711">
        <f>K1711*(MIN(Inputs!$B$22+((C1727=TRUE)*(F1727-Calc!F22)),(Inputs!$B$23+0+(IF(ArtifactsInput!$M$15,CHOOSE(ArtifactsInput!$N$15+1,25,30,35,40,45,50)/100*(Inputs!$B$11-Inputs!$B$11),0))))/100+(Inputs!$B$23+0+(IF(ArtifactsInput!$M$15,CHOOSE(ArtifactsInput!$N$15+1,25,30,35,40,45,50)/100*(Inputs!$B$11-Inputs!$B$11),0)))/100)/2</f>
        <v/>
      </c>
      <c r="M1711">
        <f>L1711*(1+(Inputs!$B$10+((C1730=TRUE)*(F1730-Calc!F25))+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1">
        <f>L1711*(1-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1711*(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1">
        <f>(1-Summary!$B$11)*T1711+Summary!$B$11*V1711</f>
        <v/>
      </c>
      <c r="P1711">
        <f>IF(B1745=0,0,O1711/B1745)</f>
        <v/>
      </c>
      <c r="Q1711">
        <f>IFERROR(1/(IF(Inputs!$B$38="pvp",15,MAX(0.1,Skills!D6-IF(Skills!E6=TRUE,Inputs!$B$32,0)))*(1-IF(AND(ArtifactsInput!$M$27,Inputs!$B$4="Chapter Hunt"),CHOOSE(ArtifactsInput!$N$27+1,20,24,28,32,36,40),0)/100)),0)</f>
        <v/>
      </c>
      <c r="R1711">
        <f>IF(AND(Inputs!$B$38&lt;&gt;"pvp",Inputs!$B$43&gt;0),IF(MAX(0,Inputs!$B$43-B1742)&lt;=0,0,(INT(MAX(0,Inputs!$B$43-B1742)/(IF(Inputs!$B$38="pvp",15,MAX(0.1,Skills!D6-IF(Skills!E6=TRUE,Inputs!$B$32,0)))*(1-IF(AND(ArtifactsInput!$M$27,Inputs!$B$4="Chapter Hunt"),CHOOSE(ArtifactsInput!$N$27+1,20,24,28,32,36,40),0)/100)))+1)),0)</f>
        <v/>
      </c>
      <c r="S1711">
        <f>IFERROR(O1711/N1711,0)</f>
        <v/>
      </c>
      <c r="T1711">
        <f>IF(C1711,(H1711*N1711*IF(AND(Inputs!$B$38&lt;&gt;"pvp",Inputs!$B$43&gt;0),((Skills!G6*((R1711-1)*IF(Skills!H6&gt;0,Skills!I6/Skills!H6,1)+IF(Skills!H6&gt;0,MIN(Skills!I6,MAX(0,MAX(0,Inputs!$B$43-B1742)-((R1711-1)*(IF(Inputs!$B$38="pvp",15,MAX(0.1,Skills!D6-IF(Skills!E6=TRUE,Inputs!$B$32,0)))*(1-IF(AND(ArtifactsInput!$M$27,Inputs!$B$4="Chapter Hunt"),CHOOSE(ArtifactsInput!$N$27+1,20,24,28,32,36,40),0)/100)))))/Skills!H6,1)))/Inputs!$B$43),G1711*Q1711)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1">
        <f>IF(C1711,(H1711*N1711*IF(AND(Inputs!$B$38&lt;&gt;"pvp",Inputs!$B$43&gt;0),((Skills!G6*((R1711-1)*IF(Skills!H6&gt;0,Skills!I6/Skills!H6,1)+IF(Skills!H6&gt;0,MIN(Skills!I6,MAX(0,MAX(0,Inputs!$B$43-B1742)-((R1711-1)*(IF(Inputs!$B$38="pvp",15,MAX(0.1,Skills!D6-IF(Skills!E6=TRUE,Inputs!$B$32,0)))*(1-IF(AND(ArtifactsInput!$M$27,Inputs!$B$4="Chapter Hunt"),CHOOSE(ArtifactsInput!$N$27+1,20,24,28,32,36,40),0)/100)))))/Skills!H6,1)))/Inputs!$B$43),G1711*Q1711))*IF(Inputs!$B$38="pvp",1,(1+(Inputs!$B$21+Skills!Q6+(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2">
      <c r="A1712">
        <f>Skills!A7</f>
        <v/>
      </c>
      <c r="B1712">
        <f>Skills!B7</f>
        <v/>
      </c>
      <c r="C1712">
        <f>Inputs!$B$3&gt;=66</f>
        <v/>
      </c>
      <c r="D1712">
        <f>IF(Skills!C7=1,60+Inputs!$B$25+Inputs!$B$29,IF(Skills!C7=2,90+Inputs!$B$26+Inputs!$B$29,IF(Skills!C7=3,120+Inputs!$B$27+Inputs!$B$29,MAX(0,(Inputs!$B$3-100)*3)+Inputs!$B$28+Inputs!$B$29)))</f>
        <v/>
      </c>
      <c r="E1712">
        <f>INDEX(FactorTable!$B$2:$Y$301, MATCH(ROUND(MIN(300,MAX(1,D1712)),0), FactorTable!$A$2:$A$301,0), Skills!M7+1)</f>
        <v/>
      </c>
      <c r="F1712">
        <f>IF(Skills!N7=TRUE,(Skills!L7/10)*(E1712/1000),Skills!L7/10)+Skills!O7</f>
        <v/>
      </c>
      <c r="G1712">
        <f>Skills!G7*IF(Skills!H7&gt;0,Skills!I7/Skills!H7,1)</f>
        <v/>
      </c>
      <c r="H1712">
        <f>1-(1-Skills!J7/100)^Skills!K7</f>
        <v/>
      </c>
      <c r="I1712" t="inlineStr">
        <is>
          <t>1</t>
        </is>
      </c>
      <c r="J1712">
        <f>((Inputs!$B$6*(1+Inputs!$B$7/100))+(((Inputs!$B$12*(1+Inputs!$B$13/100))-(Inputs!$B$12*(1+Inputs!$B$13/100)))+0.25*(Inputs!$B$14-Inputs!$B$14))*(1+Inputs!$B$7/100))*(F1712/100)</f>
        <v/>
      </c>
      <c r="K1712">
        <f>J1712*(1+((Inputs!$B$12*(1+Inputs!$B$13/100))*0.01+Inputs!$B$14*0.0025)/100)*(1+Inputs!$B$15/100)*(1+Inputs!$B$16/100)*(5000/(6000+Inputs!$B$42*(1-(100*(1-(1-(Inputs!$B$19+0)/100)*(1-CHOOSE(ArtifactsInput!$N$40+1,5,6,7,8,9,10)/100)^(ArtifactsInput!$M$40-ArtifactsInput!$M$40)))/100)))*(1+(Inputs!$B$24+((C1731=TRUE)*(F1731-Calc!F26))+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1720=TRUE,F1720,0)/100)*(1+(IF(Skills!A7="EIGHT_LEGS_EASTON",Inputs!$B$17+((C1728=TRUE)*(F1728-Calc!F23))+((C1732=TRUE)*(F1732-Calc!F27))+(((IF(AND(ArtifactsInput!$M$42,((Inputs!$B$9+((C1724=TRUE)*(F1724-Calc!F19))+B1735+(ArtifactsInput!$M$24-ArtifactsInput!$M$24)*CHOOSE(ArtifactsInput!$N$24+1,10,12,14,16,18,20)+IF(ArtifactsInput!$M$10,CHOOSE(ArtifactsInput!$N$10+1,15,18,21,24,27,30)*(IF(Inputs!$B$38="pvp",MIN(15,15)/15,IF(AND(Inputs!$B$38&lt;&gt;"pvp",Inputs!$B$43&gt;0),MIN(15,Inputs!$B$43)/(Inputs!$B$43),0))),0)))&gt;=100),MIN(100,((Inputs!$B$9+((C1724=TRUE)*(F1724-Calc!F19))+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1724=TRUE)*(F1724-Calc!F19))+B1735+(ArtifactsInput!$M$24-ArtifactsInput!$M$24)*CHOOSE(ArtifactsInput!$N$24+1,10,12,14,16,18,20)+IF(ArtifactsInput!$M$10,CHOOSE(ArtifactsInput!$N$10+1,15,18,21,24,27,30)*(IF(Inputs!$B$38="pvp",MIN(15,15)/15,IF(AND(Inputs!$B$38&lt;&gt;"pvp",Inputs!$B$43&gt;0),MIN(15,Inputs!$B$43)/(Inputs!$B$43),0))),0)))&gt;=100),CHOOSE(ArtifactsInput!$N$42+1,40,48,56,64,72,80),0))))/100)*((1+(((C1722=TRUE)*F1722)+((C1729=TRUE)*(F1729-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1712)</f>
        <v/>
      </c>
      <c r="L1712">
        <f>K1712*(MIN(Inputs!$B$22+((C1727=TRUE)*(F1727-Calc!F22)),(Inputs!$B$23+0+(IF(ArtifactsInput!$M$15,CHOOSE(ArtifactsInput!$N$15+1,25,30,35,40,45,50)/100*(Inputs!$B$11-Inputs!$B$11),0))))/100+(Inputs!$B$23+0+(IF(ArtifactsInput!$M$15,CHOOSE(ArtifactsInput!$N$15+1,25,30,35,40,45,50)/100*(Inputs!$B$11-Inputs!$B$11),0)))/100)/2</f>
        <v/>
      </c>
      <c r="M1712">
        <f>L1712*(1+(Inputs!$B$10+((C1730=TRUE)*(F1730-Calc!F25))+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2">
        <f>L1712*(1-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1712*(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2">
        <f>(1-Summary!$B$11)*T1712+Summary!$B$11*V1712</f>
        <v/>
      </c>
      <c r="P1712">
        <f>IF(B1745=0,0,O1712/B1745)</f>
        <v/>
      </c>
      <c r="Q1712">
        <f>IFERROR(1/(IF(Inputs!$B$38="pvp",15,MAX(0.1,Skills!D7-IF(Skills!E7=TRUE,Inputs!$B$32,0)))*(1-IF(AND(ArtifactsInput!$M$27,Inputs!$B$4="Chapter Hunt"),CHOOSE(ArtifactsInput!$N$27+1,20,24,28,32,36,40),0)/100)),0)</f>
        <v/>
      </c>
      <c r="R1712">
        <f>IF(AND(Inputs!$B$38&lt;&gt;"pvp",Inputs!$B$43&gt;0),IF(MAX(0,Inputs!$B$43-B1742)&lt;=0,0,(INT(MAX(0,Inputs!$B$43-B1742)/(IF(Inputs!$B$38="pvp",15,MAX(0.1,Skills!D7-IF(Skills!E7=TRUE,Inputs!$B$32,0)))*(1-IF(AND(ArtifactsInput!$M$27,Inputs!$B$4="Chapter Hunt"),CHOOSE(ArtifactsInput!$N$27+1,20,24,28,32,36,40),0)/100)))+1)),0)</f>
        <v/>
      </c>
      <c r="S1712">
        <f>IFERROR(O1712/N1712,0)</f>
        <v/>
      </c>
      <c r="T1712">
        <f>IF(C1712,(H1712*N1712*IF(AND(Inputs!$B$38&lt;&gt;"pvp",Inputs!$B$43&gt;0),((Skills!G7*((R1712-1)*IF(Skills!H7&gt;0,Skills!I7/Skills!H7,1)+IF(Skills!H7&gt;0,MIN(Skills!I7,MAX(0,MAX(0,Inputs!$B$43-B1742)-((R1712-1)*(IF(Inputs!$B$38="pvp",15,MAX(0.1,Skills!D7-IF(Skills!E7=TRUE,Inputs!$B$32,0)))*(1-IF(AND(ArtifactsInput!$M$27,Inputs!$B$4="Chapter Hunt"),CHOOSE(ArtifactsInput!$N$27+1,20,24,28,32,36,40),0)/100)))))/Skills!H7,1)))/Inputs!$B$43),G1712*Q1712)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1712*(1-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1712*(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1712*(1-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1712*(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2">
        <f>IF(C1712,(H1712*N1712*IF(AND(Inputs!$B$38&lt;&gt;"pvp",Inputs!$B$43&gt;0),((Skills!G7*((R1712-1)*IF(Skills!H7&gt;0,Skills!I7/Skills!H7,1)+IF(Skills!H7&gt;0,MIN(Skills!I7,MAX(0,MAX(0,Inputs!$B$43-B1742)-((R1712-1)*(IF(Inputs!$B$38="pvp",15,MAX(0.1,Skills!D7-IF(Skills!E7=TRUE,Inputs!$B$32,0)))*(1-IF(AND(ArtifactsInput!$M$27,Inputs!$B$4="Chapter Hunt"),CHOOSE(ArtifactsInput!$N$27+1,20,24,28,32,36,40),0)/100)))))/Skills!H7,1)))/Inputs!$B$43),G1712*Q1712))*IF(Inputs!$B$38="pvp",1,(1+(Inputs!$B$21+Skills!Q7+(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3">
      <c r="A1713">
        <f>Skills!A8</f>
        <v/>
      </c>
      <c r="B1713">
        <f>Skills!B8</f>
        <v/>
      </c>
      <c r="C1713">
        <f>Inputs!$B$3&gt;=100</f>
        <v/>
      </c>
      <c r="D1713">
        <f>IF(Skills!C8=1,60+Inputs!$B$25+Inputs!$B$29,IF(Skills!C8=2,90+Inputs!$B$26+Inputs!$B$29,IF(Skills!C8=3,120+Inputs!$B$27+Inputs!$B$29,MAX(0,(Inputs!$B$3-100)*3)+Inputs!$B$28+Inputs!$B$29)))</f>
        <v/>
      </c>
      <c r="E1713">
        <f>INDEX(FactorTable!$B$2:$Y$301, MATCH(ROUND(MIN(300,MAX(1,D1713)),0), FactorTable!$A$2:$A$301,0), Skills!M8+1)</f>
        <v/>
      </c>
      <c r="F1713">
        <f>IF(Skills!N8=TRUE,(Skills!L8/10)*(E1713/1000),Skills!L8/10)+Skills!O8</f>
        <v/>
      </c>
      <c r="G1713">
        <f>Skills!G8*IF(Skills!H8&gt;0,Skills!I8/Skills!H8,1)</f>
        <v/>
      </c>
      <c r="H1713">
        <f>1-(1-Skills!J8/100)^Skills!K8</f>
        <v/>
      </c>
      <c r="I1713" t="inlineStr">
        <is>
          <t>1</t>
        </is>
      </c>
      <c r="J1713">
        <f>((Inputs!$B$6*(1+Inputs!$B$7/100))+(((Inputs!$B$12*(1+Inputs!$B$13/100))-(Inputs!$B$12*(1+Inputs!$B$13/100)))+0.25*(Inputs!$B$14-Inputs!$B$14))*(1+Inputs!$B$7/100))*(F1713/100)</f>
        <v/>
      </c>
      <c r="K1713">
        <f>J1713*(1+((Inputs!$B$12*(1+Inputs!$B$13/100))*0.01+Inputs!$B$14*0.0025)/100)*(1+Inputs!$B$15/100)*(1+Inputs!$B$16/100)*(5000/(6000+Inputs!$B$42*(1-(100*(1-(1-(Inputs!$B$19+0)/100)*(1-CHOOSE(ArtifactsInput!$N$40+1,5,6,7,8,9,10)/100)^(ArtifactsInput!$M$40-ArtifactsInput!$M$40)))/100)))*(1+(Inputs!$B$24+((C1731=TRUE)*(F1731-Calc!F26))+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1728=TRUE)*(F1728-Calc!F23))+((C1732=TRUE)*(F1732-Calc!F27))+(((IF(AND(ArtifactsInput!$M$42,((Inputs!$B$9+((C1724=TRUE)*(F1724-Calc!F19))+B1735+(ArtifactsInput!$M$24-ArtifactsInput!$M$24)*CHOOSE(ArtifactsInput!$N$24+1,10,12,14,16,18,20)+IF(ArtifactsInput!$M$10,CHOOSE(ArtifactsInput!$N$10+1,15,18,21,24,27,30)*(IF(Inputs!$B$38="pvp",MIN(15,15)/15,IF(AND(Inputs!$B$38&lt;&gt;"pvp",Inputs!$B$43&gt;0),MIN(15,Inputs!$B$43)/(Inputs!$B$43),0))),0)))&gt;=100),MIN(100,((Inputs!$B$9+((C1724=TRUE)*(F1724-Calc!F19))+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1724=TRUE)*(F1724-Calc!F19))+B1735+(ArtifactsInput!$M$24-ArtifactsInput!$M$24)*CHOOSE(ArtifactsInput!$N$24+1,10,12,14,16,18,20)+IF(ArtifactsInput!$M$10,CHOOSE(ArtifactsInput!$N$10+1,15,18,21,24,27,30)*(IF(Inputs!$B$38="pvp",MIN(15,15)/15,IF(AND(Inputs!$B$38&lt;&gt;"pvp",Inputs!$B$43&gt;0),MIN(15,Inputs!$B$43)/(Inputs!$B$43),0))),0)))&gt;=100),CHOOSE(ArtifactsInput!$N$42+1,40,48,56,64,72,80),0))))/100)*((1+(((C1722=TRUE)*F1722)+((C1729=TRUE)*(F1729-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1713)</f>
        <v/>
      </c>
      <c r="L1713">
        <f>K1713*(MIN(Inputs!$B$22+((C1727=TRUE)*(F1727-Calc!F22)),(Inputs!$B$23+0+(IF(ArtifactsInput!$M$15,CHOOSE(ArtifactsInput!$N$15+1,25,30,35,40,45,50)/100*(Inputs!$B$11-Inputs!$B$11),0))))/100+(Inputs!$B$23+0+(IF(ArtifactsInput!$M$15,CHOOSE(ArtifactsInput!$N$15+1,25,30,35,40,45,50)/100*(Inputs!$B$11-Inputs!$B$11),0)))/100)/2</f>
        <v/>
      </c>
      <c r="M1713">
        <f>L1713*(1+(Inputs!$B$10+((C1730=TRUE)*(F1730-Calc!F25))+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3">
        <f>L1713*(1-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1713*(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3">
        <f>(1-Summary!$B$11)*T1713+Summary!$B$11*V1713</f>
        <v/>
      </c>
      <c r="P1713">
        <f>IF(B1745=0,0,O1713/B1745)</f>
        <v/>
      </c>
      <c r="Q1713">
        <f>IFERROR(1/(IF(Inputs!$B$38="pvp",15,MAX(0.1,Skills!D8-IF(Skills!E8=TRUE,Inputs!$B$32,0)))*(1-IF(AND(ArtifactsInput!$M$27,Inputs!$B$4="Chapter Hunt"),CHOOSE(ArtifactsInput!$N$27+1,20,24,28,32,36,40),0)/100)),0)</f>
        <v/>
      </c>
      <c r="R1713">
        <f>IF(AND(Inputs!$B$38&lt;&gt;"pvp",Inputs!$B$43&gt;0),IF(MAX(0,Inputs!$B$43-B1742)&lt;=0,0,(INT(MAX(0,Inputs!$B$43-B1742)/(IF(Inputs!$B$38="pvp",15,MAX(0.1,Skills!D8-IF(Skills!E8=TRUE,Inputs!$B$32,0)))*(1-IF(AND(ArtifactsInput!$M$27,Inputs!$B$4="Chapter Hunt"),CHOOSE(ArtifactsInput!$N$27+1,20,24,28,32,36,40),0)/100)))+1)),0)</f>
        <v/>
      </c>
      <c r="S1713">
        <f>IFERROR(O1713/N1713,0)</f>
        <v/>
      </c>
      <c r="T1713">
        <f>IF(C1713,(H1713*N1713*IF(AND(Inputs!$B$38&lt;&gt;"pvp",Inputs!$B$43&gt;0),((Skills!G8*((R1713-1)*IF(Skills!H8&gt;0,Skills!I8/Skills!H8,1)+IF(Skills!H8&gt;0,MIN(Skills!I8,MAX(0,MAX(0,Inputs!$B$43-B1742)-((R1713-1)*(IF(Inputs!$B$38="pvp",15,MAX(0.1,Skills!D8-IF(Skills!E8=TRUE,Inputs!$B$32,0)))*(1-IF(AND(ArtifactsInput!$M$27,Inputs!$B$4="Chapter Hunt"),CHOOSE(ArtifactsInput!$N$27+1,20,24,28,32,36,40),0)/100)))))/Skills!H8,1)))/Inputs!$B$43),G1713*Q1713)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1713*(1-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1713*(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1713*(1-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1713*(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3">
        <f>IF(C1713,(H1713*N1713*IF(AND(Inputs!$B$38&lt;&gt;"pvp",Inputs!$B$43&gt;0),((Skills!G8*((R1713-1)*IF(Skills!H8&gt;0,Skills!I8/Skills!H8,1)+IF(Skills!H8&gt;0,MIN(Skills!I8,MAX(0,MAX(0,Inputs!$B$43-B1742)-((R1713-1)*(IF(Inputs!$B$38="pvp",15,MAX(0.1,Skills!D8-IF(Skills!E8=TRUE,Inputs!$B$32,0)))*(1-IF(AND(ArtifactsInput!$M$27,Inputs!$B$4="Chapter Hunt"),CHOOSE(ArtifactsInput!$N$27+1,20,24,28,32,36,40),0)/100)))))/Skills!H8,1)))/Inputs!$B$43),G1713*Q1713))*IF(Inputs!$B$38="pvp",1,(1+(Inputs!$B$21+Skills!Q8+(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4">
      <c r="A1714">
        <f>Skills!A9</f>
        <v/>
      </c>
      <c r="B1714">
        <f>Skills!B9</f>
        <v/>
      </c>
      <c r="C1714">
        <f>Inputs!$B$3&gt;=103</f>
        <v/>
      </c>
      <c r="D1714">
        <f>IF(Skills!C9=1,60+Inputs!$B$25+Inputs!$B$29,IF(Skills!C9=2,90+Inputs!$B$26+Inputs!$B$29,IF(Skills!C9=3,120+Inputs!$B$27+Inputs!$B$29,MAX(0,(Inputs!$B$3-100)*3)+Inputs!$B$28+Inputs!$B$29)))</f>
        <v/>
      </c>
      <c r="E1714">
        <f>INDEX(FactorTable!$B$2:$Y$301, MATCH(ROUND(MIN(300,MAX(1,D1714)),0), FactorTable!$A$2:$A$301,0), Skills!M9+1)</f>
        <v/>
      </c>
      <c r="F1714">
        <f>IF(Skills!N9=TRUE,(Skills!L9/10)*(E1714/1000),Skills!L9/10)+Skills!O9</f>
        <v/>
      </c>
      <c r="G1714">
        <f>Skills!G9*IF(Skills!H9&gt;0,Skills!I9/Skills!H9,1)</f>
        <v/>
      </c>
      <c r="H1714">
        <f>1-(1-Skills!J9/100)^Skills!K9</f>
        <v/>
      </c>
      <c r="I1714" t="inlineStr">
        <is>
          <t>1</t>
        </is>
      </c>
      <c r="J1714">
        <f>((Inputs!$B$6*(1+Inputs!$B$7/100))+(((Inputs!$B$12*(1+Inputs!$B$13/100))-(Inputs!$B$12*(1+Inputs!$B$13/100)))+0.25*(Inputs!$B$14-Inputs!$B$14))*(1+Inputs!$B$7/100))*(F1714/100)</f>
        <v/>
      </c>
      <c r="K1714">
        <f>J1714*(1+((Inputs!$B$12*(1+Inputs!$B$13/100))*0.01+Inputs!$B$14*0.0025)/100)*(1+Inputs!$B$15/100)*(1+Inputs!$B$16/100)*(5000/(6000+Inputs!$B$42*(1-(100*(1-(1-(Inputs!$B$19+0)/100)*(1-CHOOSE(ArtifactsInput!$N$40+1,5,6,7,8,9,10)/100)^(ArtifactsInput!$M$40-ArtifactsInput!$M$40)))/100)))*(1+(Inputs!$B$24+((C1731=TRUE)*(F1731-Calc!F26))+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1728=TRUE)*(F1728-Calc!F23))+((C1732=TRUE)*(F1732-Calc!F27))+(((IF(AND(ArtifactsInput!$M$42,((Inputs!$B$9+((C1724=TRUE)*(F1724-Calc!F19))+B1735+(ArtifactsInput!$M$24-ArtifactsInput!$M$24)*CHOOSE(ArtifactsInput!$N$24+1,10,12,14,16,18,20)+IF(ArtifactsInput!$M$10,CHOOSE(ArtifactsInput!$N$10+1,15,18,21,24,27,30)*(IF(Inputs!$B$38="pvp",MIN(15,15)/15,IF(AND(Inputs!$B$38&lt;&gt;"pvp",Inputs!$B$43&gt;0),MIN(15,Inputs!$B$43)/(Inputs!$B$43),0))),0)))&gt;=100),MIN(100,((Inputs!$B$9+((C1724=TRUE)*(F1724-Calc!F19))+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1724=TRUE)*(F1724-Calc!F19))+B1735+(ArtifactsInput!$M$24-ArtifactsInput!$M$24)*CHOOSE(ArtifactsInput!$N$24+1,10,12,14,16,18,20)+IF(ArtifactsInput!$M$10,CHOOSE(ArtifactsInput!$N$10+1,15,18,21,24,27,30)*(IF(Inputs!$B$38="pvp",MIN(15,15)/15,IF(AND(Inputs!$B$38&lt;&gt;"pvp",Inputs!$B$43&gt;0),MIN(15,Inputs!$B$43)/(Inputs!$B$43),0))),0)))&gt;=100),CHOOSE(ArtifactsInput!$N$42+1,40,48,56,64,72,80),0))))/100)*((1+(((C1722=TRUE)*F1722)+((C1729=TRUE)*(F1729-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1714)</f>
        <v/>
      </c>
      <c r="L1714">
        <f>K1714*(MIN(Inputs!$B$22+((C1727=TRUE)*(F1727-Calc!F22)),(Inputs!$B$23+0+(IF(ArtifactsInput!$M$15,CHOOSE(ArtifactsInput!$N$15+1,25,30,35,40,45,50)/100*(Inputs!$B$11-Inputs!$B$11),0))))/100+(Inputs!$B$23+0+(IF(ArtifactsInput!$M$15,CHOOSE(ArtifactsInput!$N$15+1,25,30,35,40,45,50)/100*(Inputs!$B$11-Inputs!$B$11),0)))/100)/2</f>
        <v/>
      </c>
      <c r="M1714">
        <f>L1714*(1+(Inputs!$B$10+((C1730=TRUE)*(F1730-Calc!F25))+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4">
        <f>L1714*(1-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1714*(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4">
        <f>(1-Summary!$B$11)*T1714+Summary!$B$11*V1714</f>
        <v/>
      </c>
      <c r="P1714">
        <f>IF(B1745=0,0,O1714/B1745)</f>
        <v/>
      </c>
      <c r="Q1714">
        <f>IFERROR(1/(IF(Inputs!$B$38="pvp",15,MAX(0.1,Skills!D9-IF(Skills!E9=TRUE,Inputs!$B$32,0)))*(1-IF(AND(ArtifactsInput!$M$27,Inputs!$B$4="Chapter Hunt"),CHOOSE(ArtifactsInput!$N$27+1,20,24,28,32,36,40),0)/100)),0)</f>
        <v/>
      </c>
      <c r="R1714">
        <f>IF(AND(Inputs!$B$38&lt;&gt;"pvp",Inputs!$B$43&gt;0),IF(MAX(0,Inputs!$B$43-B1742)&lt;=0,0,(INT(MAX(0,Inputs!$B$43-B1742)/(IF(Inputs!$B$38="pvp",15,MAX(0.1,Skills!D9-IF(Skills!E9=TRUE,Inputs!$B$32,0)))*(1-IF(AND(ArtifactsInput!$M$27,Inputs!$B$4="Chapter Hunt"),CHOOSE(ArtifactsInput!$N$27+1,20,24,28,32,36,40),0)/100)))+1)),0)</f>
        <v/>
      </c>
      <c r="S1714">
        <f>IFERROR(O1714/N1714,0)</f>
        <v/>
      </c>
      <c r="T1714">
        <f>IF(C1714,(H1714*N1714*IF(AND(Inputs!$B$38&lt;&gt;"pvp",Inputs!$B$43&gt;0),((Skills!G9*((R1714-1)*IF(Skills!H9&gt;0,Skills!I9/Skills!H9,1)+IF(Skills!H9&gt;0,MIN(Skills!I9,MAX(0,MAX(0,Inputs!$B$43-B1742)-((R1714-1)*(IF(Inputs!$B$38="pvp",15,MAX(0.1,Skills!D9-IF(Skills!E9=TRUE,Inputs!$B$32,0)))*(1-IF(AND(ArtifactsInput!$M$27,Inputs!$B$4="Chapter Hunt"),CHOOSE(ArtifactsInput!$N$27+1,20,24,28,32,36,40),0)/100)))))/Skills!H9,1)))/Inputs!$B$43),G1714*Q1714)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1714*(1-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1714*(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1714*(1-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1714*(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4">
        <f>IF(C1714,(H1714*N1714*IF(AND(Inputs!$B$38&lt;&gt;"pvp",Inputs!$B$43&gt;0),((Skills!G9*((R1714-1)*IF(Skills!H9&gt;0,Skills!I9/Skills!H9,1)+IF(Skills!H9&gt;0,MIN(Skills!I9,MAX(0,MAX(0,Inputs!$B$43-B1742)-((R1714-1)*(IF(Inputs!$B$38="pvp",15,MAX(0.1,Skills!D9-IF(Skills!E9=TRUE,Inputs!$B$32,0)))*(1-IF(AND(ArtifactsInput!$M$27,Inputs!$B$4="Chapter Hunt"),CHOOSE(ArtifactsInput!$N$27+1,20,24,28,32,36,40),0)/100)))))/Skills!H9,1)))/Inputs!$B$43),G1714*Q1714))*IF(Inputs!$B$38="pvp",1,(1+(Inputs!$B$21+Skills!Q9+(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5">
      <c r="A1715">
        <f>Skills!A10</f>
        <v/>
      </c>
      <c r="B1715">
        <f>Skills!B10</f>
        <v/>
      </c>
      <c r="C1715">
        <f>Inputs!$B$3&gt;=113</f>
        <v/>
      </c>
      <c r="D1715">
        <f>IF(Skills!C10=1,60+Inputs!$B$25+Inputs!$B$29,IF(Skills!C10=2,90+Inputs!$B$26+Inputs!$B$29,IF(Skills!C10=3,120+Inputs!$B$27+Inputs!$B$29,MAX(0,(Inputs!$B$3-100)*3)+Inputs!$B$28+Inputs!$B$29)))</f>
        <v/>
      </c>
      <c r="E1715">
        <f>INDEX(FactorTable!$B$2:$Y$301, MATCH(ROUND(MIN(300,MAX(1,D1715)),0), FactorTable!$A$2:$A$301,0), Skills!M10+1)</f>
        <v/>
      </c>
      <c r="F1715">
        <f>IF(Skills!N10=TRUE,(Skills!L10/10)*(E1715/1000),Skills!L10/10)+Skills!O10</f>
        <v/>
      </c>
      <c r="G1715">
        <f>Skills!G10*IF(Skills!H10&gt;0,Skills!I10/Skills!H10,1)</f>
        <v/>
      </c>
      <c r="H1715">
        <f>1-(1-Skills!J10/100)^Skills!K10</f>
        <v/>
      </c>
      <c r="I1715" t="inlineStr">
        <is>
          <t>1</t>
        </is>
      </c>
      <c r="J1715">
        <f>((Inputs!$B$6*(1+Inputs!$B$7/100))+(((Inputs!$B$12*(1+Inputs!$B$13/100))-(Inputs!$B$12*(1+Inputs!$B$13/100)))+0.25*(Inputs!$B$14-Inputs!$B$14))*(1+Inputs!$B$7/100))*(F1715/100)</f>
        <v/>
      </c>
      <c r="K1715">
        <f>J1715*(1+((Inputs!$B$12*(1+Inputs!$B$13/100))*0.01+Inputs!$B$14*0.0025)/100)*(1+Inputs!$B$15/100)*(1+Inputs!$B$16/100)*(5000/(6000+Inputs!$B$42*(1-(100*(1-(1-(Inputs!$B$19+0)/100)*(1-CHOOSE(ArtifactsInput!$N$40+1,5,6,7,8,9,10)/100)^(ArtifactsInput!$M$40-ArtifactsInput!$M$40)))/100)))*(1+(Inputs!$B$24+((C1731=TRUE)*(F1731-Calc!F26))+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1728=TRUE)*(F1728-Calc!F23))+((C1732=TRUE)*(F1732-Calc!F27))+(((IF(AND(ArtifactsInput!$M$42,((Inputs!$B$9+((C1724=TRUE)*(F1724-Calc!F19))+B1735+(ArtifactsInput!$M$24-ArtifactsInput!$M$24)*CHOOSE(ArtifactsInput!$N$24+1,10,12,14,16,18,20)+IF(ArtifactsInput!$M$10,CHOOSE(ArtifactsInput!$N$10+1,15,18,21,24,27,30)*(IF(Inputs!$B$38="pvp",MIN(15,15)/15,IF(AND(Inputs!$B$38&lt;&gt;"pvp",Inputs!$B$43&gt;0),MIN(15,Inputs!$B$43)/(Inputs!$B$43),0))),0)))&gt;=100),MIN(100,((Inputs!$B$9+((C1724=TRUE)*(F1724-Calc!F19))+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1724=TRUE)*(F1724-Calc!F19))+B1735+(ArtifactsInput!$M$24-ArtifactsInput!$M$24)*CHOOSE(ArtifactsInput!$N$24+1,10,12,14,16,18,20)+IF(ArtifactsInput!$M$10,CHOOSE(ArtifactsInput!$N$10+1,15,18,21,24,27,30)*(IF(Inputs!$B$38="pvp",MIN(15,15)/15,IF(AND(Inputs!$B$38&lt;&gt;"pvp",Inputs!$B$43&gt;0),MIN(15,Inputs!$B$43)/(Inputs!$B$43),0))),0)))&gt;=100),CHOOSE(ArtifactsInput!$N$42+1,40,48,56,64,72,80),0))))/100)*((1+(((C1722=TRUE)*F1722)+((C1729=TRUE)*(F1729-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1715)</f>
        <v/>
      </c>
      <c r="L1715">
        <f>K1715*(MIN(Inputs!$B$22+((C1727=TRUE)*(F1727-Calc!F22)),(Inputs!$B$23+0+(IF(ArtifactsInput!$M$15,CHOOSE(ArtifactsInput!$N$15+1,25,30,35,40,45,50)/100*(Inputs!$B$11-Inputs!$B$11),0))))/100+(Inputs!$B$23+0+(IF(ArtifactsInput!$M$15,CHOOSE(ArtifactsInput!$N$15+1,25,30,35,40,45,50)/100*(Inputs!$B$11-Inputs!$B$11),0)))/100)/2</f>
        <v/>
      </c>
      <c r="M1715">
        <f>L1715*(1+(Inputs!$B$10+((C1730=TRUE)*(F1730-Calc!F25))+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5">
        <f>L1715*(1-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1715*(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5">
        <f>(1-Summary!$B$11)*T1715+Summary!$B$11*V1715</f>
        <v/>
      </c>
      <c r="P1715">
        <f>IF(B1745=0,0,O1715/B1745)</f>
        <v/>
      </c>
      <c r="Q1715">
        <f>IFERROR(1/(IF(Inputs!$B$38="pvp",15,MAX(0.1,Skills!D10-IF(Skills!E10=TRUE,Inputs!$B$32,0)))*(1-IF(AND(ArtifactsInput!$M$27,Inputs!$B$4="Chapter Hunt"),CHOOSE(ArtifactsInput!$N$27+1,20,24,28,32,36,40),0)/100)),0)</f>
        <v/>
      </c>
      <c r="R1715">
        <f>IF(AND(Inputs!$B$38&lt;&gt;"pvp",Inputs!$B$43&gt;0),IF(MAX(0,Inputs!$B$43-B1742)&lt;=0,0,(INT(MAX(0,Inputs!$B$43-B1742)/(IF(Inputs!$B$38="pvp",15,MAX(0.1,Skills!D10-IF(Skills!E10=TRUE,Inputs!$B$32,0)))*(1-IF(AND(ArtifactsInput!$M$27,Inputs!$B$4="Chapter Hunt"),CHOOSE(ArtifactsInput!$N$27+1,20,24,28,32,36,40),0)/100)))+1)),0)</f>
        <v/>
      </c>
      <c r="S1715">
        <f>IFERROR(O1715/N1715,0)</f>
        <v/>
      </c>
      <c r="T1715">
        <f>IF(C1715,(H1715*N1715*IF(AND(Inputs!$B$38&lt;&gt;"pvp",Inputs!$B$43&gt;0),((Skills!G10*((R1715-1)*IF(Skills!H10&gt;0,Skills!I10/Skills!H10,1)+IF(Skills!H10&gt;0,MIN(Skills!I10,MAX(0,MAX(0,Inputs!$B$43-B1742)-((R1715-1)*(IF(Inputs!$B$38="pvp",15,MAX(0.1,Skills!D10-IF(Skills!E10=TRUE,Inputs!$B$32,0)))*(1-IF(AND(ArtifactsInput!$M$27,Inputs!$B$4="Chapter Hunt"),CHOOSE(ArtifactsInput!$N$27+1,20,24,28,32,36,40),0)/100)))))/Skills!H10,1)))/Inputs!$B$43),G1715*Q1715)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1715*(1-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1715*(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1715*(1-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1715*(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5">
        <f>IF(C1715,(H1715*N1715*IF(AND(Inputs!$B$38&lt;&gt;"pvp",Inputs!$B$43&gt;0),((Skills!G10*((R1715-1)*IF(Skills!H10&gt;0,Skills!I10/Skills!H10,1)+IF(Skills!H10&gt;0,MIN(Skills!I10,MAX(0,MAX(0,Inputs!$B$43-B1742)-((R1715-1)*(IF(Inputs!$B$38="pvp",15,MAX(0.1,Skills!D10-IF(Skills!E10=TRUE,Inputs!$B$32,0)))*(1-IF(AND(ArtifactsInput!$M$27,Inputs!$B$4="Chapter Hunt"),CHOOSE(ArtifactsInput!$N$27+1,20,24,28,32,36,40),0)/100)))))/Skills!H10,1)))/Inputs!$B$43),G1715*Q1715))*IF(Inputs!$B$38="pvp",1,(1+(Inputs!$B$21+Skills!Q10+(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6">
      <c r="A1716">
        <f>Skills!A11</f>
        <v/>
      </c>
      <c r="B1716">
        <f>Skills!B11</f>
        <v/>
      </c>
      <c r="C1716">
        <f>Inputs!$B$3&gt;=107</f>
        <v/>
      </c>
      <c r="D1716">
        <f>IF(Skills!C11=1,60+Inputs!$B$25+Inputs!$B$29,IF(Skills!C11=2,90+Inputs!$B$26+Inputs!$B$29,IF(Skills!C11=3,120+Inputs!$B$27+Inputs!$B$29,MAX(0,(Inputs!$B$3-100)*3)+Inputs!$B$28+Inputs!$B$29)))</f>
        <v/>
      </c>
      <c r="E1716">
        <f>INDEX(FactorTable!$B$2:$Y$301, MATCH(ROUND(MIN(300,MAX(1,D1716)),0), FactorTable!$A$2:$A$301,0), Skills!M11+1)</f>
        <v/>
      </c>
      <c r="F1716">
        <f>IF(Skills!N11=TRUE,(Skills!L11/10)*(E1716/1000),Skills!L11/10)+Skills!O11</f>
        <v/>
      </c>
      <c r="G1716">
        <f>Skills!G11*IF(Skills!H11&gt;0,Skills!I11/Skills!H11,1)</f>
        <v/>
      </c>
      <c r="H1716">
        <f>1-(1-Skills!J11/100)^Skills!K11</f>
        <v/>
      </c>
      <c r="I1716" t="inlineStr">
        <is>
          <t>1</t>
        </is>
      </c>
      <c r="J1716">
        <f>((Inputs!$B$6*(1+Inputs!$B$7/100))+(((Inputs!$B$12*(1+Inputs!$B$13/100))-(Inputs!$B$12*(1+Inputs!$B$13/100)))+0.25*(Inputs!$B$14-Inputs!$B$14))*(1+Inputs!$B$7/100))*(F1716/100)</f>
        <v/>
      </c>
      <c r="K1716">
        <f>J1716*(1+((Inputs!$B$12*(1+Inputs!$B$13/100))*0.01+Inputs!$B$14*0.0025)/100)*(1+Inputs!$B$15/100)*(1+Inputs!$B$16/100)*(5000/(6000+Inputs!$B$42*(1-(100*(1-(1-(Inputs!$B$19+0)/100)*(1-CHOOSE(ArtifactsInput!$N$40+1,5,6,7,8,9,10)/100)^(ArtifactsInput!$M$40-ArtifactsInput!$M$40)))/100)))*(1+(Inputs!$B$24+((C1731=TRUE)*(F1731-Calc!F26))+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1728=TRUE)*(F1728-Calc!F23))+((C1732=TRUE)*(F1732-Calc!F27))+(((IF(AND(ArtifactsInput!$M$42,((Inputs!$B$9+((C1724=TRUE)*(F1724-Calc!F19))+B1735+(ArtifactsInput!$M$24-ArtifactsInput!$M$24)*CHOOSE(ArtifactsInput!$N$24+1,10,12,14,16,18,20)+IF(ArtifactsInput!$M$10,CHOOSE(ArtifactsInput!$N$10+1,15,18,21,24,27,30)*(IF(Inputs!$B$38="pvp",MIN(15,15)/15,IF(AND(Inputs!$B$38&lt;&gt;"pvp",Inputs!$B$43&gt;0),MIN(15,Inputs!$B$43)/(Inputs!$B$43),0))),0)))&gt;=100),MIN(100,((Inputs!$B$9+((C1724=TRUE)*(F1724-Calc!F19))+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1724=TRUE)*(F1724-Calc!F19))+B1735+(ArtifactsInput!$M$24-ArtifactsInput!$M$24)*CHOOSE(ArtifactsInput!$N$24+1,10,12,14,16,18,20)+IF(ArtifactsInput!$M$10,CHOOSE(ArtifactsInput!$N$10+1,15,18,21,24,27,30)*(IF(Inputs!$B$38="pvp",MIN(15,15)/15,IF(AND(Inputs!$B$38&lt;&gt;"pvp",Inputs!$B$43&gt;0),MIN(15,Inputs!$B$43)/(Inputs!$B$43),0))),0)))&gt;=100),CHOOSE(ArtifactsInput!$N$42+1,40,48,56,64,72,80),0))))/100)*((1+(((C1722=TRUE)*F1722)+((C1729=TRUE)*(F1729-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1716)</f>
        <v/>
      </c>
      <c r="L1716">
        <f>K1716*(MIN(Inputs!$B$22+((C1727=TRUE)*(F1727-Calc!F22)),(Inputs!$B$23+0+(IF(ArtifactsInput!$M$15,CHOOSE(ArtifactsInput!$N$15+1,25,30,35,40,45,50)/100*(Inputs!$B$11-Inputs!$B$11),0))))/100+(Inputs!$B$23+0+(IF(ArtifactsInput!$M$15,CHOOSE(ArtifactsInput!$N$15+1,25,30,35,40,45,50)/100*(Inputs!$B$11-Inputs!$B$11),0)))/100)/2</f>
        <v/>
      </c>
      <c r="M1716">
        <f>L1716*(1+(Inputs!$B$10+((C1730=TRUE)*(F1730-Calc!F25))+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6">
        <f>L1716*(1-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1716*(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6">
        <f>(1-Summary!$B$11)*T1716+Summary!$B$11*V1716</f>
        <v/>
      </c>
      <c r="P1716">
        <f>IF(B1745=0,0,O1716/B1745)</f>
        <v/>
      </c>
      <c r="Q1716">
        <f>IFERROR(1/(IF(Inputs!$B$38="pvp",15,MAX(0.1,Skills!D11-IF(Skills!E11=TRUE,Inputs!$B$32,0)))*(1-IF(AND(ArtifactsInput!$M$27,Inputs!$B$4="Chapter Hunt"),CHOOSE(ArtifactsInput!$N$27+1,20,24,28,32,36,40),0)/100)),0)</f>
        <v/>
      </c>
      <c r="R1716">
        <f>IF(AND(Inputs!$B$38&lt;&gt;"pvp",Inputs!$B$43&gt;0),IF(MAX(0,Inputs!$B$43-B1742)&lt;=0,0,(INT(MAX(0,Inputs!$B$43-B1742)/(IF(Inputs!$B$38="pvp",15,MAX(0.1,Skills!D11-IF(Skills!E11=TRUE,Inputs!$B$32,0)))*(1-IF(AND(ArtifactsInput!$M$27,Inputs!$B$4="Chapter Hunt"),CHOOSE(ArtifactsInput!$N$27+1,20,24,28,32,36,40),0)/100)))+1)),0)</f>
        <v/>
      </c>
      <c r="S1716">
        <f>IFERROR(O1716/N1716,0)</f>
        <v/>
      </c>
      <c r="T1716">
        <f>IF(C1716,(H1716*N1716*IF(AND(Inputs!$B$38&lt;&gt;"pvp",Inputs!$B$43&gt;0),((Skills!G11*((R1716-1)*IF(Skills!H11&gt;0,Skills!I11/Skills!H11,1)+IF(Skills!H11&gt;0,MIN(Skills!I11,MAX(0,MAX(0,Inputs!$B$43-B1742)-((R1716-1)*(IF(Inputs!$B$38="pvp",15,MAX(0.1,Skills!D11-IF(Skills!E11=TRUE,Inputs!$B$32,0)))*(1-IF(AND(ArtifactsInput!$M$27,Inputs!$B$4="Chapter Hunt"),CHOOSE(ArtifactsInput!$N$27+1,20,24,28,32,36,40),0)/100)))))/Skills!H11,1)))/Inputs!$B$43),G1716*Q1716)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1716*(1-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1716*(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1716*(1-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1716*(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6">
        <f>IF(C1716,(H1716*N1716*IF(AND(Inputs!$B$38&lt;&gt;"pvp",Inputs!$B$43&gt;0),((Skills!G11*((R1716-1)*IF(Skills!H11&gt;0,Skills!I11/Skills!H11,1)+IF(Skills!H11&gt;0,MIN(Skills!I11,MAX(0,MAX(0,Inputs!$B$43-B1742)-((R1716-1)*(IF(Inputs!$B$38="pvp",15,MAX(0.1,Skills!D11-IF(Skills!E11=TRUE,Inputs!$B$32,0)))*(1-IF(AND(ArtifactsInput!$M$27,Inputs!$B$4="Chapter Hunt"),CHOOSE(ArtifactsInput!$N$27+1,20,24,28,32,36,40),0)/100)))))/Skills!H11,1)))/Inputs!$B$43),G1716*Q1716))*IF(Inputs!$B$38="pvp",1,(1+(Inputs!$B$21+Skills!Q11+(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7">
      <c r="A1717">
        <f>Skills!A12</f>
        <v/>
      </c>
      <c r="B1717">
        <f>Skills!B12</f>
        <v/>
      </c>
      <c r="C1717">
        <f>Inputs!$B$3&gt;=110</f>
        <v/>
      </c>
      <c r="D1717">
        <f>IF(Skills!C12=1,60+Inputs!$B$25+Inputs!$B$29,IF(Skills!C12=2,90+Inputs!$B$26+Inputs!$B$29,IF(Skills!C12=3,120+Inputs!$B$27+Inputs!$B$29,MAX(0,(Inputs!$B$3-100)*3)+Inputs!$B$28+Inputs!$B$29)))</f>
        <v/>
      </c>
      <c r="E1717">
        <f>INDEX(FactorTable!$B$2:$Y$301, MATCH(ROUND(MIN(300,MAX(1,D1717)),0), FactorTable!$A$2:$A$301,0), Skills!M12+1)</f>
        <v/>
      </c>
      <c r="F1717">
        <f>IF(Skills!N12=TRUE,(Skills!L12/10)*(E1717/1000),Skills!L12/10)+Skills!O12</f>
        <v/>
      </c>
      <c r="G1717">
        <f>Skills!G12*IF(Skills!H12&gt;0,Skills!I12/Skills!H12,1)</f>
        <v/>
      </c>
      <c r="H1717">
        <f>1-(1-Skills!J12/100)^Skills!K12</f>
        <v/>
      </c>
      <c r="I1717" t="inlineStr">
        <is>
          <t>1</t>
        </is>
      </c>
      <c r="J1717">
        <f>((Inputs!$B$6*(1+Inputs!$B$7/100))+(((Inputs!$B$12*(1+Inputs!$B$13/100))-(Inputs!$B$12*(1+Inputs!$B$13/100)))+0.25*(Inputs!$B$14-Inputs!$B$14))*(1+Inputs!$B$7/100))*(F1717/100)</f>
        <v/>
      </c>
      <c r="K1717">
        <f>J1717*(1+((Inputs!$B$12*(1+Inputs!$B$13/100))*0.01+Inputs!$B$14*0.0025)/100)*(1+Inputs!$B$15/100)*(1+Inputs!$B$16/100)*(5000/(6000+Inputs!$B$42*(1-(100*(1-(1-(Inputs!$B$19+0)/100)*(1-CHOOSE(ArtifactsInput!$N$40+1,5,6,7,8,9,10)/100)^(ArtifactsInput!$M$40-ArtifactsInput!$M$40)))/100)))*(1+(Inputs!$B$24+((C1731=TRUE)*(F1731-Calc!F26))+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1728=TRUE)*(F1728-Calc!F23))+((C1732=TRUE)*(F1732-Calc!F27))+(((IF(AND(ArtifactsInput!$M$42,((Inputs!$B$9+((C1724=TRUE)*(F1724-Calc!F19))+B1735+(ArtifactsInput!$M$24-ArtifactsInput!$M$24)*CHOOSE(ArtifactsInput!$N$24+1,10,12,14,16,18,20)+IF(ArtifactsInput!$M$10,CHOOSE(ArtifactsInput!$N$10+1,15,18,21,24,27,30)*(IF(Inputs!$B$38="pvp",MIN(15,15)/15,IF(AND(Inputs!$B$38&lt;&gt;"pvp",Inputs!$B$43&gt;0),MIN(15,Inputs!$B$43)/(Inputs!$B$43),0))),0)))&gt;=100),MIN(100,((Inputs!$B$9+((C1724=TRUE)*(F1724-Calc!F19))+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1724=TRUE)*(F1724-Calc!F19))+B1735+(ArtifactsInput!$M$24-ArtifactsInput!$M$24)*CHOOSE(ArtifactsInput!$N$24+1,10,12,14,16,18,20)+IF(ArtifactsInput!$M$10,CHOOSE(ArtifactsInput!$N$10+1,15,18,21,24,27,30)*(IF(Inputs!$B$38="pvp",MIN(15,15)/15,IF(AND(Inputs!$B$38&lt;&gt;"pvp",Inputs!$B$43&gt;0),MIN(15,Inputs!$B$43)/(Inputs!$B$43),0))),0)))&gt;=100),CHOOSE(ArtifactsInput!$N$42+1,40,48,56,64,72,80),0))))/100)*((1+(((C1722=TRUE)*F1722)+((C1729=TRUE)*(F1729-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1717)</f>
        <v/>
      </c>
      <c r="L1717">
        <f>K1717*(MIN(Inputs!$B$22+((C1727=TRUE)*(F1727-Calc!F22)),(Inputs!$B$23+0+(IF(ArtifactsInput!$M$15,CHOOSE(ArtifactsInput!$N$15+1,25,30,35,40,45,50)/100*(Inputs!$B$11-Inputs!$B$11),0))))/100+(Inputs!$B$23+0+(IF(ArtifactsInput!$M$15,CHOOSE(ArtifactsInput!$N$15+1,25,30,35,40,45,50)/100*(Inputs!$B$11-Inputs!$B$11),0)))/100)/2</f>
        <v/>
      </c>
      <c r="M1717">
        <f>L1717*(1+(Inputs!$B$10+((C1730=TRUE)*(F1730-Calc!F25))+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7">
        <f>L1717*(1-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1717*(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7">
        <f>(1-Summary!$B$11)*T1717+Summary!$B$11*V1717</f>
        <v/>
      </c>
      <c r="P1717">
        <f>IF(B1745=0,0,O1717/B1745)</f>
        <v/>
      </c>
      <c r="Q1717">
        <f>IFERROR(1/(IF(Inputs!$B$38="pvp",15,MAX(0.1,Skills!D12-IF(Skills!E12=TRUE,Inputs!$B$32,0)))*(1-IF(AND(ArtifactsInput!$M$27,Inputs!$B$4="Chapter Hunt"),CHOOSE(ArtifactsInput!$N$27+1,20,24,28,32,36,40),0)/100)),0)</f>
        <v/>
      </c>
      <c r="R1717">
        <f>IF(AND(Inputs!$B$38&lt;&gt;"pvp",Inputs!$B$43&gt;0),IF(MAX(0,Inputs!$B$43-B1742)&lt;=0,0,(INT(MAX(0,Inputs!$B$43-B1742)/(IF(Inputs!$B$38="pvp",15,MAX(0.1,Skills!D12-IF(Skills!E12=TRUE,Inputs!$B$32,0)))*(1-IF(AND(ArtifactsInput!$M$27,Inputs!$B$4="Chapter Hunt"),CHOOSE(ArtifactsInput!$N$27+1,20,24,28,32,36,40),0)/100)))+1)),0)</f>
        <v/>
      </c>
      <c r="S1717">
        <f>IFERROR(O1717/N1717,0)</f>
        <v/>
      </c>
      <c r="T1717">
        <f>IF(C1717,(H1717*N1717*IF(AND(Inputs!$B$38&lt;&gt;"pvp",Inputs!$B$43&gt;0),((Skills!G12*((R1717-1)*IF(Skills!H12&gt;0,Skills!I12/Skills!H12,1)+IF(Skills!H12&gt;0,MIN(Skills!I12,MAX(0,MAX(0,Inputs!$B$43-B1742)-((R1717-1)*(IF(Inputs!$B$38="pvp",15,MAX(0.1,Skills!D12-IF(Skills!E12=TRUE,Inputs!$B$32,0)))*(1-IF(AND(ArtifactsInput!$M$27,Inputs!$B$4="Chapter Hunt"),CHOOSE(ArtifactsInput!$N$27+1,20,24,28,32,36,40),0)/100)))))/Skills!H12,1)))/Inputs!$B$43),G1717*Q1717)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1717*(1-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1717*(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1717*(1-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1717*(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7">
        <f>IF(C1717,(H1717*N1717*IF(AND(Inputs!$B$38&lt;&gt;"pvp",Inputs!$B$43&gt;0),((Skills!G12*((R1717-1)*IF(Skills!H12&gt;0,Skills!I12/Skills!H12,1)+IF(Skills!H12&gt;0,MIN(Skills!I12,MAX(0,MAX(0,Inputs!$B$43-B1742)-((R1717-1)*(IF(Inputs!$B$38="pvp",15,MAX(0.1,Skills!D12-IF(Skills!E12=TRUE,Inputs!$B$32,0)))*(1-IF(AND(ArtifactsInput!$M$27,Inputs!$B$4="Chapter Hunt"),CHOOSE(ArtifactsInput!$N$27+1,20,24,28,32,36,40),0)/100)))))/Skills!H12,1)))/Inputs!$B$43),G1717*Q1717))*IF(Inputs!$B$38="pvp",1,(1+(Inputs!$B$21+Skills!Q12+(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8">
      <c r="A1718">
        <f>Skills!A13</f>
        <v/>
      </c>
      <c r="B1718">
        <f>Skills!B13</f>
        <v/>
      </c>
      <c r="C1718">
        <f>Inputs!$B$3&gt;=110</f>
        <v/>
      </c>
      <c r="D1718">
        <f>IF(Skills!C13=1,60+Inputs!$B$25+Inputs!$B$29,IF(Skills!C13=2,90+Inputs!$B$26+Inputs!$B$29,IF(Skills!C13=3,120+Inputs!$B$27+Inputs!$B$29,MAX(0,(Inputs!$B$3-100)*3)+Inputs!$B$28+Inputs!$B$29)))</f>
        <v/>
      </c>
      <c r="E1718">
        <f>INDEX(FactorTable!$B$2:$Y$301, MATCH(ROUND(MIN(300,MAX(1,D1718)),0), FactorTable!$A$2:$A$301,0), Skills!M13+1)</f>
        <v/>
      </c>
      <c r="F1718">
        <f>IF(Skills!N13=TRUE,(Skills!L13/10)*(E1718/1000),Skills!L13/10)+Skills!O13</f>
        <v/>
      </c>
      <c r="G1718">
        <f>Skills!G13*IF(Skills!H13&gt;0,Skills!I13/Skills!H13,1)</f>
        <v/>
      </c>
      <c r="H1718">
        <f>1-(1-Skills!J13/100)^Skills!K13</f>
        <v/>
      </c>
      <c r="I1718" t="inlineStr">
        <is>
          <t>1</t>
        </is>
      </c>
      <c r="J1718">
        <f>((Inputs!$B$6*(1+Inputs!$B$7/100))+(((Inputs!$B$12*(1+Inputs!$B$13/100))-(Inputs!$B$12*(1+Inputs!$B$13/100)))+0.25*(Inputs!$B$14-Inputs!$B$14))*(1+Inputs!$B$7/100))*(F1718/100)</f>
        <v/>
      </c>
      <c r="K1718">
        <f>J1718*(1+((Inputs!$B$12*(1+Inputs!$B$13/100))*0.01+Inputs!$B$14*0.0025)/100)*(1+Inputs!$B$15/100)*(1+Inputs!$B$16/100)*(5000/(6000+Inputs!$B$42*(1-(100*(1-(1-(Inputs!$B$19+0)/100)*(1-CHOOSE(ArtifactsInput!$N$40+1,5,6,7,8,9,10)/100)^(ArtifactsInput!$M$40-ArtifactsInput!$M$40)))/100)))*(1+(Inputs!$B$24+((C1731=TRUE)*(F1731-Calc!F26))+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1728=TRUE)*(F1728-Calc!F23))+((C1732=TRUE)*(F1732-Calc!F27))+(((IF(AND(ArtifactsInput!$M$42,((Inputs!$B$9+((C1724=TRUE)*(F1724-Calc!F19))+B1735+(ArtifactsInput!$M$24-ArtifactsInput!$M$24)*CHOOSE(ArtifactsInput!$N$24+1,10,12,14,16,18,20)+IF(ArtifactsInput!$M$10,CHOOSE(ArtifactsInput!$N$10+1,15,18,21,24,27,30)*(IF(Inputs!$B$38="pvp",MIN(15,15)/15,IF(AND(Inputs!$B$38&lt;&gt;"pvp",Inputs!$B$43&gt;0),MIN(15,Inputs!$B$43)/(Inputs!$B$43),0))),0)))&gt;=100),MIN(100,((Inputs!$B$9+((C1724=TRUE)*(F1724-Calc!F19))+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1724=TRUE)*(F1724-Calc!F19))+B1735+(ArtifactsInput!$M$24-ArtifactsInput!$M$24)*CHOOSE(ArtifactsInput!$N$24+1,10,12,14,16,18,20)+IF(ArtifactsInput!$M$10,CHOOSE(ArtifactsInput!$N$10+1,15,18,21,24,27,30)*(IF(Inputs!$B$38="pvp",MIN(15,15)/15,IF(AND(Inputs!$B$38&lt;&gt;"pvp",Inputs!$B$43&gt;0),MIN(15,Inputs!$B$43)/(Inputs!$B$43),0))),0)))&gt;=100),CHOOSE(ArtifactsInput!$N$42+1,40,48,56,64,72,80),0))))/100)*((1+(((C1722=TRUE)*F1722)+((C1729=TRUE)*(F1729-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1718)</f>
        <v/>
      </c>
      <c r="L1718">
        <f>K1718*(MIN(Inputs!$B$22+((C1727=TRUE)*(F1727-Calc!F22)),(Inputs!$B$23+0+(IF(ArtifactsInput!$M$15,CHOOSE(ArtifactsInput!$N$15+1,25,30,35,40,45,50)/100*(Inputs!$B$11-Inputs!$B$11),0))))/100+(Inputs!$B$23+0+(IF(ArtifactsInput!$M$15,CHOOSE(ArtifactsInput!$N$15+1,25,30,35,40,45,50)/100*(Inputs!$B$11-Inputs!$B$11),0)))/100)/2</f>
        <v/>
      </c>
      <c r="M1718">
        <f>L1718*(1+(Inputs!$B$10+((C1730=TRUE)*(F1730-Calc!F25))+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8">
        <f>L1718*(1-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1718*(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8">
        <f>(1-Summary!$B$11)*T1718+Summary!$B$11*V1718</f>
        <v/>
      </c>
      <c r="P1718">
        <f>IF(B1745=0,0,O1718/B1745)</f>
        <v/>
      </c>
      <c r="Q1718">
        <f>IFERROR(1/(IF(Inputs!$B$38="pvp",15,MAX(0.1,Skills!D13-IF(Skills!E13=TRUE,Inputs!$B$32,0)))*(1-IF(AND(ArtifactsInput!$M$27,Inputs!$B$4="Chapter Hunt"),CHOOSE(ArtifactsInput!$N$27+1,20,24,28,32,36,40),0)/100)),0)</f>
        <v/>
      </c>
      <c r="R1718">
        <f>IF(AND(Inputs!$B$38&lt;&gt;"pvp",Inputs!$B$43&gt;0),IF(MAX(0,Inputs!$B$43-B1742)&lt;=0,0,(INT(MAX(0,Inputs!$B$43-B1742)/(IF(Inputs!$B$38="pvp",15,MAX(0.1,Skills!D13-IF(Skills!E13=TRUE,Inputs!$B$32,0)))*(1-IF(AND(ArtifactsInput!$M$27,Inputs!$B$4="Chapter Hunt"),CHOOSE(ArtifactsInput!$N$27+1,20,24,28,32,36,40),0)/100)))+1)),0)</f>
        <v/>
      </c>
      <c r="S1718">
        <f>IFERROR(O1718/N1718,0)</f>
        <v/>
      </c>
      <c r="T1718">
        <f>IF(C1718,(H1718*N1718*IF(AND(Inputs!$B$38&lt;&gt;"pvp",Inputs!$B$43&gt;0),((Skills!G13*((R1718-1)*IF(Skills!H13&gt;0,Skills!I13/Skills!H13,1)+IF(Skills!H13&gt;0,MIN(Skills!I13,MAX(0,MAX(0,Inputs!$B$43-B1742)-((R1718-1)*(IF(Inputs!$B$38="pvp",15,MAX(0.1,Skills!D13-IF(Skills!E13=TRUE,Inputs!$B$32,0)))*(1-IF(AND(ArtifactsInput!$M$27,Inputs!$B$4="Chapter Hunt"),CHOOSE(ArtifactsInput!$N$27+1,20,24,28,32,36,40),0)/100)))))/Skills!H13,1)))/Inputs!$B$43),G1718*Q1718)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1718*(1-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1718*(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1718*(1-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1718*(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8">
        <f>IF(C1718,(H1718*N1718*IF(AND(Inputs!$B$38&lt;&gt;"pvp",Inputs!$B$43&gt;0),((Skills!G13*((R1718-1)*IF(Skills!H13&gt;0,Skills!I13/Skills!H13,1)+IF(Skills!H13&gt;0,MIN(Skills!I13,MAX(0,MAX(0,Inputs!$B$43-B1742)-((R1718-1)*(IF(Inputs!$B$38="pvp",15,MAX(0.1,Skills!D13-IF(Skills!E13=TRUE,Inputs!$B$32,0)))*(1-IF(AND(ArtifactsInput!$M$27,Inputs!$B$4="Chapter Hunt"),CHOOSE(ArtifactsInput!$N$27+1,20,24,28,32,36,40),0)/100)))))/Skills!H13,1)))/Inputs!$B$43),G1718*Q1718))*IF(Inputs!$B$38="pvp",1,(1+(Inputs!$B$21+Skills!Q13+(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9">
      <c r="A1719">
        <f>Skills!A14</f>
        <v/>
      </c>
      <c r="B1719">
        <f>Skills!B14</f>
        <v/>
      </c>
      <c r="C1719">
        <f>Inputs!$B$3&gt;=125</f>
        <v/>
      </c>
      <c r="D1719">
        <f>IF(Skills!C14=1,60+Inputs!$B$25+Inputs!$B$29,IF(Skills!C14=2,90+Inputs!$B$26+Inputs!$B$29,IF(Skills!C14=3,120+Inputs!$B$27+Inputs!$B$29,MAX(0,(Inputs!$B$3-100)*3)+Inputs!$B$28+Inputs!$B$29)))</f>
        <v/>
      </c>
      <c r="E1719">
        <f>INDEX(FactorTable!$B$2:$Y$301, MATCH(ROUND(MIN(300,MAX(1,D1719)),0), FactorTable!$A$2:$A$301,0), Skills!M14+1)</f>
        <v/>
      </c>
      <c r="F1719">
        <f>IF(Skills!N14=TRUE,(Skills!L14/10)*(E1719/1000),Skills!L14/10)+Skills!O14</f>
        <v/>
      </c>
      <c r="G1719">
        <f>Skills!G14*IF(Skills!H14&gt;0,Skills!I14/Skills!H14,1)</f>
        <v/>
      </c>
      <c r="H1719">
        <f>1-(1-Skills!J14/100)^Skills!K14</f>
        <v/>
      </c>
      <c r="I1719" t="inlineStr">
        <is>
          <t>1</t>
        </is>
      </c>
      <c r="J1719">
        <f>((Inputs!$B$6*(1+Inputs!$B$7/100))+(((Inputs!$B$12*(1+Inputs!$B$13/100))-(Inputs!$B$12*(1+Inputs!$B$13/100)))+0.25*(Inputs!$B$14-Inputs!$B$14))*(1+Inputs!$B$7/100))*(F1719/100)</f>
        <v/>
      </c>
      <c r="K1719">
        <f>J1719*(1+((Inputs!$B$12*(1+Inputs!$B$13/100))*0.01+Inputs!$B$14*0.0025)/100)*(1+Inputs!$B$15/100)*(1+Inputs!$B$16/100)*(5000/(6000+Inputs!$B$42*(1-(100*(1-(1-(Inputs!$B$19+0)/100)*(1-CHOOSE(ArtifactsInput!$N$40+1,5,6,7,8,9,10)/100)^(ArtifactsInput!$M$40-ArtifactsInput!$M$40)))/100)))*(1+(Inputs!$B$24+((C1731=TRUE)*(F1731-Calc!F26))+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1728=TRUE)*(F1728-Calc!F23))+((C1732=TRUE)*(F1732-Calc!F27))+(((IF(AND(ArtifactsInput!$M$42,((Inputs!$B$9+((C1724=TRUE)*(F1724-Calc!F19))+B1735+(ArtifactsInput!$M$24-ArtifactsInput!$M$24)*CHOOSE(ArtifactsInput!$N$24+1,10,12,14,16,18,20)+IF(ArtifactsInput!$M$10,CHOOSE(ArtifactsInput!$N$10+1,15,18,21,24,27,30)*(IF(Inputs!$B$38="pvp",MIN(15,15)/15,IF(AND(Inputs!$B$38&lt;&gt;"pvp",Inputs!$B$43&gt;0),MIN(15,Inputs!$B$43)/(Inputs!$B$43),0))),0)))&gt;=100),MIN(100,((Inputs!$B$9+((C1724=TRUE)*(F1724-Calc!F19))+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1724=TRUE)*(F1724-Calc!F19))+B1735+(ArtifactsInput!$M$24-ArtifactsInput!$M$24)*CHOOSE(ArtifactsInput!$N$24+1,10,12,14,16,18,20)+IF(ArtifactsInput!$M$10,CHOOSE(ArtifactsInput!$N$10+1,15,18,21,24,27,30)*(IF(Inputs!$B$38="pvp",MIN(15,15)/15,IF(AND(Inputs!$B$38&lt;&gt;"pvp",Inputs!$B$43&gt;0),MIN(15,Inputs!$B$43)/(Inputs!$B$43),0))),0)))&gt;=100),CHOOSE(ArtifactsInput!$N$42+1,40,48,56,64,72,80),0))))/100)*((1+(((C1722=TRUE)*F1722)+((C1729=TRUE)*(F1729-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1719)</f>
        <v/>
      </c>
      <c r="L1719">
        <f>K1719*(MIN(Inputs!$B$22+((C1727=TRUE)*(F1727-Calc!F22)),(Inputs!$B$23+0+(IF(ArtifactsInput!$M$15,CHOOSE(ArtifactsInput!$N$15+1,25,30,35,40,45,50)/100*(Inputs!$B$11-Inputs!$B$11),0))))/100+(Inputs!$B$23+0+(IF(ArtifactsInput!$M$15,CHOOSE(ArtifactsInput!$N$15+1,25,30,35,40,45,50)/100*(Inputs!$B$11-Inputs!$B$11),0)))/100)/2</f>
        <v/>
      </c>
      <c r="M1719">
        <f>L1719*(1+(Inputs!$B$10+((C1730=TRUE)*(F1730-Calc!F25))+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9">
        <f>L1719*(1-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1719*(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9">
        <f>(1-Summary!$B$11)*T1719+Summary!$B$11*V1719</f>
        <v/>
      </c>
      <c r="P1719">
        <f>IF(B1745=0,0,O1719/B1745)</f>
        <v/>
      </c>
      <c r="Q1719" t="n">
        <v>0</v>
      </c>
      <c r="R1719" t="n">
        <v>0</v>
      </c>
      <c r="S1719">
        <f>IFERROR(O1719/N1719,0)</f>
        <v/>
      </c>
      <c r="T1719">
        <f>IF(C1719,(H1719*N1719*(B1739+IF(AND(Inputs!$B$38&lt;&gt;"pvp",Inputs!$B$43&gt;0),((Skills!G8*((R1713-1)*IF(Skills!H8&gt;0,Skills!I8/Skills!H8,1)+IF(Skills!H8&gt;0,MIN(Skills!I8,MAX(0,MAX(0,Inputs!$B$43-B1742)-((R1713-1)*(IF(Inputs!$B$38="pvp",15,MAX(0.1,Skills!D8-IF(Skills!E8=TRUE,Inputs!$B$32,0)))*(1-IF(AND(ArtifactsInput!$M$27,Inputs!$B$4="Chapter Hunt"),CHOOSE(ArtifactsInput!$N$27+1,20,24,28,32,36,40),0)/100)))))/Skills!H8,1)))/Inputs!$B$43),G1713*Q1713)+IF(AND(Inputs!$B$38&lt;&gt;"pvp",Inputs!$B$43&gt;0),((Skills!G11*((R1716-1)*IF(Skills!H11&gt;0,Skills!I11/Skills!H11,1)+IF(Skills!H11&gt;0,MIN(Skills!I11,MAX(0,MAX(0,Inputs!$B$43-B1742)-((R1716-1)*(IF(Inputs!$B$38="pvp",15,MAX(0.1,Skills!D11-IF(Skills!E11=TRUE,Inputs!$B$32,0)))*(1-IF(AND(ArtifactsInput!$M$27,Inputs!$B$4="Chapter Hunt"),CHOOSE(ArtifactsInput!$N$27+1,20,24,28,32,36,40),0)/100)))))/Skills!H11,1)))/Inputs!$B$43),G1716*Q1716)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1719*(1-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1719*(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1719*(1-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1719*(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9">
        <f>IF(C1719,(H1719*N1719*(B1739+IF(AND(Inputs!$B$38&lt;&gt;"pvp",Inputs!$B$43&gt;0),((Skills!G8*((R1713-1)*IF(Skills!H8&gt;0,Skills!I8/Skills!H8,1)+IF(Skills!H8&gt;0,MIN(Skills!I8,MAX(0,MAX(0,Inputs!$B$43-B1742)-((R1713-1)*(IF(Inputs!$B$38="pvp",15,MAX(0.1,Skills!D8-IF(Skills!E8=TRUE,Inputs!$B$32,0)))*(1-IF(AND(ArtifactsInput!$M$27,Inputs!$B$4="Chapter Hunt"),CHOOSE(ArtifactsInput!$N$27+1,20,24,28,32,36,40),0)/100)))))/Skills!H8,1)))/Inputs!$B$43),G1713*Q1713)+IF(AND(Inputs!$B$38&lt;&gt;"pvp",Inputs!$B$43&gt;0),((Skills!G11*((R1716-1)*IF(Skills!H11&gt;0,Skills!I11/Skills!H11,1)+IF(Skills!H11&gt;0,MIN(Skills!I11,MAX(0,MAX(0,Inputs!$B$43-B1742)-((R1716-1)*(IF(Inputs!$B$38="pvp",15,MAX(0.1,Skills!D11-IF(Skills!E11=TRUE,Inputs!$B$32,0)))*(1-IF(AND(ArtifactsInput!$M$27,Inputs!$B$4="Chapter Hunt"),CHOOSE(ArtifactsInput!$N$27+1,20,24,28,32,36,40),0)/100)))))/Skills!H11,1)))/Inputs!$B$43),G1716*Q1716)))*IF(Inputs!$B$38="pvp",1,(1+(Inputs!$B$21+Skills!Q14+(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0">
      <c r="A1720">
        <f>Skills!A15</f>
        <v/>
      </c>
      <c r="B1720">
        <f>Skills!B15</f>
        <v/>
      </c>
      <c r="C1720">
        <f>Inputs!$B$3&gt;=100</f>
        <v/>
      </c>
      <c r="D1720">
        <f>IF(Skills!C15=1,60+Inputs!$B$25+Inputs!$B$29,IF(Skills!C15=2,90+Inputs!$B$26+Inputs!$B$29,IF(Skills!C15=3,120+Inputs!$B$27+Inputs!$B$29,MAX(0,(Inputs!$B$3-100)*3)+Inputs!$B$28+Inputs!$B$29)))</f>
        <v/>
      </c>
      <c r="E1720">
        <f>INDEX(FactorTable!$B$2:$Y$301, MATCH(ROUND(MIN(300,MAX(1,D1720)),0), FactorTable!$A$2:$A$301,0), Skills!M15+1)</f>
        <v/>
      </c>
      <c r="F1720">
        <f>IF(Skills!N15=TRUE,(Skills!L15/10)*(E1720/1000),Skills!L15/10)+Skills!O15</f>
        <v/>
      </c>
      <c r="G1720" t="inlineStr"/>
      <c r="H1720" t="inlineStr"/>
      <c r="I1720" t="inlineStr">
        <is>
          <t>1</t>
        </is>
      </c>
      <c r="J1720" t="inlineStr"/>
      <c r="K1720" t="inlineStr"/>
      <c r="L1720" t="inlineStr"/>
      <c r="M1720" t="inlineStr"/>
      <c r="N1720" t="inlineStr"/>
      <c r="O1720" t="inlineStr"/>
      <c r="P1720" t="inlineStr"/>
      <c r="Q1720" t="inlineStr"/>
      <c r="R1720" t="inlineStr"/>
      <c r="S1720" t="inlineStr"/>
    </row>
    <row r="1721">
      <c r="A1721">
        <f>Skills!A16</f>
        <v/>
      </c>
      <c r="B1721">
        <f>Skills!B16</f>
        <v/>
      </c>
      <c r="C1721">
        <f>Inputs!$B$3&gt;=120</f>
        <v/>
      </c>
      <c r="D1721">
        <f>IF(Skills!C16=1,60+Inputs!$B$25+Inputs!$B$29,IF(Skills!C16=2,90+Inputs!$B$26+Inputs!$B$29,IF(Skills!C16=3,120+Inputs!$B$27+Inputs!$B$29,MAX(0,(Inputs!$B$3-100)*3)+Inputs!$B$28+Inputs!$B$29)))</f>
        <v/>
      </c>
      <c r="E1721">
        <f>INDEX(FactorTable!$B$2:$Y$301, MATCH(ROUND(MIN(300,MAX(1,D1721)),0), FactorTable!$A$2:$A$301,0), Skills!M16+1)</f>
        <v/>
      </c>
      <c r="F1721">
        <f>IF(Skills!N16=TRUE,(Skills!L16/10)*(E1721/1000),Skills!L16/10)+Skills!O16</f>
        <v/>
      </c>
      <c r="G1721" t="inlineStr"/>
      <c r="H1721" t="inlineStr"/>
      <c r="I1721" t="inlineStr">
        <is>
          <t>1</t>
        </is>
      </c>
      <c r="J1721" t="inlineStr"/>
      <c r="K1721" t="inlineStr"/>
      <c r="L1721" t="inlineStr"/>
      <c r="M1721" t="inlineStr"/>
      <c r="N1721" t="inlineStr"/>
      <c r="O1721" t="inlineStr"/>
      <c r="P1721" t="inlineStr"/>
      <c r="Q1721" t="inlineStr"/>
      <c r="R1721" t="inlineStr"/>
      <c r="S1721" t="inlineStr"/>
    </row>
    <row r="1722">
      <c r="A1722">
        <f>Skills!A17</f>
        <v/>
      </c>
      <c r="B1722">
        <f>Skills!B17</f>
        <v/>
      </c>
      <c r="C1722">
        <f>Inputs!$B$3&gt;=66</f>
        <v/>
      </c>
      <c r="D1722">
        <f>IF(Skills!C17=1,60+Inputs!$B$25+Inputs!$B$29,IF(Skills!C17=2,90+Inputs!$B$26+Inputs!$B$29,IF(Skills!C17=3,120+Inputs!$B$27+Inputs!$B$29,MAX(0,(Inputs!$B$3-100)*3)+Inputs!$B$28+Inputs!$B$29)))</f>
        <v/>
      </c>
      <c r="E1722">
        <f>INDEX(FactorTable!$B$2:$Y$301, MATCH(ROUND(MIN(300,MAX(1,D1722)),0), FactorTable!$A$2:$A$301,0), Skills!M17+1)</f>
        <v/>
      </c>
      <c r="F1722">
        <f>IF(Skills!N17=TRUE,(Skills!L17/10)*(E1722/1000),Skills!L17/10)+Skills!O17</f>
        <v/>
      </c>
      <c r="G1722">
        <f>Skills!G17*IF(Skills!H17&gt;0,Skills!I17/Skills!H17,1)</f>
        <v/>
      </c>
      <c r="H1722">
        <f>1-(1-Skills!J17/100)^Skills!K17</f>
        <v/>
      </c>
      <c r="I1722" t="inlineStr">
        <is>
          <t>1</t>
        </is>
      </c>
      <c r="J1722" t="inlineStr"/>
      <c r="K1722" t="inlineStr"/>
      <c r="L1722" t="inlineStr"/>
      <c r="M1722" t="inlineStr"/>
      <c r="N1722" t="inlineStr"/>
      <c r="O1722">
        <f>(1-Summary!$B$11)*T1722+Summary!$B$11*V1722</f>
        <v/>
      </c>
      <c r="P1722">
        <f>IF(B1745=0,0,O1722/B1745)</f>
        <v/>
      </c>
      <c r="Q1722" t="n">
        <v>0</v>
      </c>
      <c r="R1722" t="n">
        <v>0</v>
      </c>
      <c r="S1722">
        <f>IFERROR(O1722/N1722,0)</f>
        <v/>
      </c>
      <c r="T1722" t="n">
        <v>0</v>
      </c>
      <c r="V1722" t="n">
        <v>0</v>
      </c>
    </row>
    <row r="1723">
      <c r="A1723">
        <f>Skills!A18</f>
        <v/>
      </c>
      <c r="B1723">
        <f>Skills!B18</f>
        <v/>
      </c>
      <c r="C1723">
        <f>Inputs!$B$3&gt;=115</f>
        <v/>
      </c>
      <c r="D1723">
        <f>IF(Skills!C18=1,60+Inputs!$B$25+Inputs!$B$29,IF(Skills!C18=2,90+Inputs!$B$26+Inputs!$B$29,IF(Skills!C18=3,120+Inputs!$B$27+Inputs!$B$29,MAX(0,(Inputs!$B$3-100)*3)+Inputs!$B$28+Inputs!$B$29)))</f>
        <v/>
      </c>
      <c r="E1723">
        <f>INDEX(FactorTable!$B$2:$Y$301, MATCH(ROUND(MIN(300,MAX(1,D1723)),0), FactorTable!$A$2:$A$301,0), Skills!M18+1)</f>
        <v/>
      </c>
      <c r="F1723">
        <f>IF(Skills!N18=TRUE,(Skills!L18/10)*(E1723/1000),Skills!L18/10)+Skills!O18</f>
        <v/>
      </c>
      <c r="G1723">
        <f>Skills!G18*IF(Skills!H18&gt;0,Skills!I18/Skills!H18,1)</f>
        <v/>
      </c>
      <c r="H1723">
        <f>1-(1-Skills!J18/100)^Skills!K18</f>
        <v/>
      </c>
      <c r="I1723" t="inlineStr">
        <is>
          <t>1</t>
        </is>
      </c>
      <c r="J1723" t="inlineStr"/>
      <c r="K1723" t="inlineStr"/>
      <c r="L1723" t="inlineStr"/>
      <c r="M1723" t="inlineStr"/>
      <c r="N1723" t="inlineStr"/>
      <c r="O1723">
        <f>(1-Summary!$B$11)*T1723+Summary!$B$11*V1723</f>
        <v/>
      </c>
      <c r="P1723">
        <f>IF(B1745=0,0,O1723/B1745)</f>
        <v/>
      </c>
      <c r="Q1723" t="n">
        <v>0</v>
      </c>
      <c r="R1723" t="n">
        <v>0</v>
      </c>
      <c r="S1723">
        <f>IFERROR(O1723/N1723,0)</f>
        <v/>
      </c>
      <c r="T1723" t="n">
        <v>0</v>
      </c>
      <c r="V1723" t="n">
        <v>0</v>
      </c>
    </row>
    <row r="1724">
      <c r="A1724">
        <f>Skills!A19</f>
        <v/>
      </c>
      <c r="B1724">
        <f>Skills!B19</f>
        <v/>
      </c>
      <c r="C1724">
        <f>Inputs!$B$3&gt;=15</f>
        <v/>
      </c>
      <c r="D1724">
        <f>IF(Skills!C19=1,60+Inputs!$B$25+Inputs!$B$29,IF(Skills!C19=2,90+Inputs!$B$26+Inputs!$B$29,IF(Skills!C19=3,120+Inputs!$B$27+Inputs!$B$29,MAX(0,(Inputs!$B$3-100)*3)+Inputs!$B$28+Inputs!$B$29)))</f>
        <v/>
      </c>
      <c r="E1724">
        <f>INDEX(FactorTable!$B$2:$Y$301, MATCH(ROUND(MIN(300,MAX(1,D1724)),0), FactorTable!$A$2:$A$301,0), Skills!M19+1)</f>
        <v/>
      </c>
      <c r="F1724">
        <f>IF(Skills!N19=TRUE,(Skills!L19/10)*(E1724/1000),Skills!L19/10)+Skills!O19</f>
        <v/>
      </c>
      <c r="G1724">
        <f>Skills!G19*IF(Skills!H19&gt;0,Skills!I19/Skills!H19,1)</f>
        <v/>
      </c>
      <c r="H1724">
        <f>1-(1-Skills!J19/100)^Skills!K19</f>
        <v/>
      </c>
      <c r="I1724" t="inlineStr">
        <is>
          <t>1</t>
        </is>
      </c>
      <c r="J1724" t="inlineStr"/>
      <c r="K1724" t="inlineStr"/>
      <c r="L1724" t="inlineStr"/>
      <c r="M1724" t="inlineStr"/>
      <c r="N1724" t="inlineStr"/>
      <c r="O1724">
        <f>(1-Summary!$B$11)*T1724+Summary!$B$11*V1724</f>
        <v/>
      </c>
      <c r="P1724">
        <f>IF(B1745=0,0,O1724/B1745)</f>
        <v/>
      </c>
      <c r="Q1724" t="n">
        <v>0</v>
      </c>
      <c r="R1724" t="n">
        <v>0</v>
      </c>
      <c r="S1724">
        <f>IFERROR(O1724/N1724,0)</f>
        <v/>
      </c>
      <c r="T1724" t="n">
        <v>0</v>
      </c>
      <c r="V1724" t="n">
        <v>0</v>
      </c>
    </row>
    <row r="1725">
      <c r="A1725">
        <f>Skills!A20</f>
        <v/>
      </c>
      <c r="B1725">
        <f>Skills!B20</f>
        <v/>
      </c>
      <c r="C1725">
        <f>Inputs!$B$3&gt;=10</f>
        <v/>
      </c>
      <c r="D1725">
        <f>IF(Skills!C20=1,60+Inputs!$B$25+Inputs!$B$29,IF(Skills!C20=2,90+Inputs!$B$26+Inputs!$B$29,IF(Skills!C20=3,120+Inputs!$B$27+Inputs!$B$29,MAX(0,(Inputs!$B$3-100)*3)+Inputs!$B$28+Inputs!$B$29)))</f>
        <v/>
      </c>
      <c r="E1725">
        <f>INDEX(FactorTable!$B$2:$Y$301, MATCH(ROUND(MIN(300,MAX(1,D1725)),0), FactorTable!$A$2:$A$301,0), Skills!M20+1)</f>
        <v/>
      </c>
      <c r="F1725">
        <f>IF(Skills!N20=TRUE,(Skills!L20/10)*(E1725/1000),Skills!L20/10)+Skills!O20</f>
        <v/>
      </c>
      <c r="G1725">
        <f>Skills!G20*IF(Skills!H20&gt;0,Skills!I20/Skills!H20,1)</f>
        <v/>
      </c>
      <c r="H1725">
        <f>1-(1-Skills!J20/100)^Skills!K20</f>
        <v/>
      </c>
      <c r="I1725" t="inlineStr">
        <is>
          <t>1</t>
        </is>
      </c>
      <c r="J1725" t="inlineStr"/>
      <c r="K1725" t="inlineStr"/>
      <c r="L1725" t="inlineStr"/>
      <c r="M1725" t="inlineStr"/>
      <c r="N1725" t="inlineStr"/>
      <c r="O1725">
        <f>(1-Summary!$B$11)*T1725+Summary!$B$11*V1725</f>
        <v/>
      </c>
      <c r="P1725">
        <f>IF(B1745=0,0,O1725/B1745)</f>
        <v/>
      </c>
      <c r="Q1725" t="n">
        <v>0</v>
      </c>
      <c r="R1725" t="n">
        <v>0</v>
      </c>
      <c r="S1725">
        <f>IFERROR(O1725/N1725,0)</f>
        <v/>
      </c>
      <c r="T1725" t="n">
        <v>0</v>
      </c>
      <c r="V1725" t="n">
        <v>0</v>
      </c>
    </row>
    <row r="1726">
      <c r="A1726">
        <f>Skills!A21</f>
        <v/>
      </c>
      <c r="B1726">
        <f>Skills!B21</f>
        <v/>
      </c>
      <c r="C1726">
        <f>Inputs!$B$3&gt;=33</f>
        <v/>
      </c>
      <c r="D1726">
        <f>IF(Skills!C21=1,60+Inputs!$B$25+Inputs!$B$29,IF(Skills!C21=2,90+Inputs!$B$26+Inputs!$B$29,IF(Skills!C21=3,120+Inputs!$B$27+Inputs!$B$29,MAX(0,(Inputs!$B$3-100)*3)+Inputs!$B$28+Inputs!$B$29)))</f>
        <v/>
      </c>
      <c r="E1726">
        <f>INDEX(FactorTable!$B$2:$Y$301, MATCH(ROUND(MIN(300,MAX(1,D1726)),0), FactorTable!$A$2:$A$301,0), Skills!M21+1)</f>
        <v/>
      </c>
      <c r="F1726">
        <f>IF(Skills!N21=TRUE,(Skills!L21/10)*(E1726/1000),Skills!L21/10)+Skills!O21</f>
        <v/>
      </c>
      <c r="G1726">
        <f>Skills!G21*IF(Skills!H21&gt;0,Skills!I21/Skills!H21,1)</f>
        <v/>
      </c>
      <c r="H1726">
        <f>1-(1-Skills!J21/100)^Skills!K21</f>
        <v/>
      </c>
      <c r="I1726" t="inlineStr">
        <is>
          <t>1</t>
        </is>
      </c>
      <c r="J1726" t="inlineStr"/>
      <c r="K1726" t="inlineStr"/>
      <c r="L1726" t="inlineStr"/>
      <c r="M1726" t="inlineStr"/>
      <c r="N1726" t="inlineStr"/>
      <c r="O1726">
        <f>(1-Summary!$B$11)*T1726+Summary!$B$11*V1726</f>
        <v/>
      </c>
      <c r="P1726">
        <f>IF(B1745=0,0,O1726/B1745)</f>
        <v/>
      </c>
      <c r="Q1726" t="n">
        <v>0</v>
      </c>
      <c r="R1726" t="n">
        <v>0</v>
      </c>
      <c r="S1726">
        <f>IFERROR(O1726/N1726,0)</f>
        <v/>
      </c>
      <c r="T1726" t="n">
        <v>0</v>
      </c>
      <c r="V1726" t="n">
        <v>0</v>
      </c>
    </row>
    <row r="1727">
      <c r="A1727">
        <f>Skills!A22</f>
        <v/>
      </c>
      <c r="B1727">
        <f>Skills!B22</f>
        <v/>
      </c>
      <c r="C1727">
        <f>Inputs!$B$3&gt;=43</f>
        <v/>
      </c>
      <c r="D1727">
        <f>IF(Skills!C22=1,60+Inputs!$B$25+Inputs!$B$29,IF(Skills!C22=2,90+Inputs!$B$26+Inputs!$B$29,IF(Skills!C22=3,120+Inputs!$B$27+Inputs!$B$29,MAX(0,(Inputs!$B$3-100)*3)+Inputs!$B$28+Inputs!$B$29)))</f>
        <v/>
      </c>
      <c r="E1727">
        <f>INDEX(FactorTable!$B$2:$Y$301, MATCH(ROUND(MIN(300,MAX(1,D1727)),0), FactorTable!$A$2:$A$301,0), Skills!M22+1)</f>
        <v/>
      </c>
      <c r="F1727">
        <f>IF(Skills!N22=TRUE,(Skills!L22/10)*(E1727/1000),Skills!L22/10)+Skills!O22</f>
        <v/>
      </c>
      <c r="G1727">
        <f>Skills!G22*IF(Skills!H22&gt;0,Skills!I22/Skills!H22,1)</f>
        <v/>
      </c>
      <c r="H1727">
        <f>1-(1-Skills!J22/100)^Skills!K22</f>
        <v/>
      </c>
      <c r="I1727" t="inlineStr">
        <is>
          <t>1</t>
        </is>
      </c>
      <c r="J1727" t="inlineStr"/>
      <c r="K1727" t="inlineStr"/>
      <c r="L1727" t="inlineStr"/>
      <c r="M1727" t="inlineStr"/>
      <c r="N1727" t="inlineStr"/>
      <c r="O1727">
        <f>(1-Summary!$B$11)*T1727+Summary!$B$11*V1727</f>
        <v/>
      </c>
      <c r="P1727">
        <f>IF(B1745=0,0,O1727/B1745)</f>
        <v/>
      </c>
      <c r="Q1727" t="n">
        <v>0</v>
      </c>
      <c r="R1727" t="n">
        <v>0</v>
      </c>
      <c r="S1727">
        <f>IFERROR(O1727/N1727,0)</f>
        <v/>
      </c>
      <c r="T1727" t="n">
        <v>0</v>
      </c>
      <c r="V1727" t="n">
        <v>0</v>
      </c>
    </row>
    <row r="1728">
      <c r="A1728">
        <f>Skills!A23</f>
        <v/>
      </c>
      <c r="B1728">
        <f>Skills!B23</f>
        <v/>
      </c>
      <c r="C1728">
        <f>Inputs!$B$3&gt;=38</f>
        <v/>
      </c>
      <c r="D1728">
        <f>IF(Skills!C23=1,60+Inputs!$B$25+Inputs!$B$29,IF(Skills!C23=2,90+Inputs!$B$26+Inputs!$B$29,IF(Skills!C23=3,120+Inputs!$B$27+Inputs!$B$29,MAX(0,(Inputs!$B$3-100)*3)+Inputs!$B$28+Inputs!$B$29)))</f>
        <v/>
      </c>
      <c r="E1728">
        <f>INDEX(FactorTable!$B$2:$Y$301, MATCH(ROUND(MIN(300,MAX(1,D1728)),0), FactorTable!$A$2:$A$301,0), Skills!M23+1)</f>
        <v/>
      </c>
      <c r="F1728">
        <f>IF(Skills!N23=TRUE,(Skills!L23/10)*(E1728/1000),Skills!L23/10)+Skills!O23</f>
        <v/>
      </c>
      <c r="G1728">
        <f>Skills!G23*IF(Skills!H23&gt;0,Skills!I23/Skills!H23,1)</f>
        <v/>
      </c>
      <c r="H1728">
        <f>1-(1-Skills!J23/100)^Skills!K23</f>
        <v/>
      </c>
      <c r="I1728" t="inlineStr">
        <is>
          <t>1</t>
        </is>
      </c>
      <c r="J1728" t="inlineStr"/>
      <c r="K1728" t="inlineStr"/>
      <c r="L1728" t="inlineStr"/>
      <c r="M1728" t="inlineStr"/>
      <c r="N1728" t="inlineStr"/>
      <c r="O1728">
        <f>(1-Summary!$B$11)*T1728+Summary!$B$11*V1728</f>
        <v/>
      </c>
      <c r="P1728">
        <f>IF(B1745=0,0,O1728/B1745)</f>
        <v/>
      </c>
      <c r="Q1728" t="n">
        <v>0</v>
      </c>
      <c r="R1728" t="n">
        <v>0</v>
      </c>
      <c r="S1728">
        <f>IFERROR(O1728/N1728,0)</f>
        <v/>
      </c>
      <c r="T1728" t="n">
        <v>0</v>
      </c>
      <c r="V1728" t="n">
        <v>0</v>
      </c>
    </row>
    <row r="1729">
      <c r="A1729">
        <f>Skills!A24</f>
        <v/>
      </c>
      <c r="B1729">
        <f>Skills!B24</f>
        <v/>
      </c>
      <c r="C1729">
        <f>Inputs!$B$3&gt;=40</f>
        <v/>
      </c>
      <c r="D1729">
        <f>IF(Skills!C24=1,60+Inputs!$B$25+Inputs!$B$29,IF(Skills!C24=2,90+Inputs!$B$26+Inputs!$B$29,IF(Skills!C24=3,120+Inputs!$B$27+Inputs!$B$29,MAX(0,(Inputs!$B$3-100)*3)+Inputs!$B$28+Inputs!$B$29)))</f>
        <v/>
      </c>
      <c r="E1729">
        <f>INDEX(FactorTable!$B$2:$Y$301, MATCH(ROUND(MIN(300,MAX(1,D1729)),0), FactorTable!$A$2:$A$301,0), Skills!M24+1)</f>
        <v/>
      </c>
      <c r="F1729">
        <f>IF(Skills!N24=TRUE,(Skills!L24/10)*(E1729/1000),Skills!L24/10)+Skills!O24</f>
        <v/>
      </c>
      <c r="G1729">
        <f>Skills!G24*IF(Skills!H24&gt;0,Skills!I24/Skills!H24,1)</f>
        <v/>
      </c>
      <c r="H1729">
        <f>1-(1-Skills!J24/100)^Skills!K24</f>
        <v/>
      </c>
      <c r="I1729" t="inlineStr">
        <is>
          <t>1</t>
        </is>
      </c>
      <c r="J1729" t="inlineStr"/>
      <c r="K1729" t="inlineStr"/>
      <c r="L1729" t="inlineStr"/>
      <c r="M1729" t="inlineStr"/>
      <c r="N1729" t="inlineStr"/>
      <c r="O1729">
        <f>(1-Summary!$B$11)*T1729+Summary!$B$11*V1729</f>
        <v/>
      </c>
      <c r="P1729">
        <f>IF(B1745=0,0,O1729/B1745)</f>
        <v/>
      </c>
      <c r="Q1729" t="n">
        <v>0</v>
      </c>
      <c r="R1729" t="n">
        <v>0</v>
      </c>
      <c r="S1729">
        <f>IFERROR(O1729/N1729,0)</f>
        <v/>
      </c>
      <c r="T1729" t="n">
        <v>0</v>
      </c>
      <c r="V1729" t="n">
        <v>0</v>
      </c>
    </row>
    <row r="1730">
      <c r="A1730">
        <f>Skills!A25</f>
        <v/>
      </c>
      <c r="B1730">
        <f>Skills!B25</f>
        <v/>
      </c>
      <c r="C1730">
        <f>Inputs!$B$3&gt;=72</f>
        <v/>
      </c>
      <c r="D1730">
        <f>IF(Skills!C25=1,60+Inputs!$B$25+Inputs!$B$29,IF(Skills!C25=2,90+Inputs!$B$26+Inputs!$B$29,IF(Skills!C25=3,120+Inputs!$B$27+Inputs!$B$29,MAX(0,(Inputs!$B$3-100)*3)+Inputs!$B$28+Inputs!$B$29)))</f>
        <v/>
      </c>
      <c r="E1730">
        <f>INDEX(FactorTable!$B$2:$Y$301, MATCH(ROUND(MIN(300,MAX(1,D1730)),0), FactorTable!$A$2:$A$301,0), Skills!M25+1)</f>
        <v/>
      </c>
      <c r="F1730">
        <f>IF(Skills!N25=TRUE,(Skills!L25/10)*(E1730/1000),Skills!L25/10)+Skills!O25</f>
        <v/>
      </c>
      <c r="G1730">
        <f>Skills!G25*IF(Skills!H25&gt;0,Skills!I25/Skills!H25,1)</f>
        <v/>
      </c>
      <c r="H1730">
        <f>1-(1-Skills!J25/100)^Skills!K25</f>
        <v/>
      </c>
      <c r="I1730" t="inlineStr">
        <is>
          <t>1</t>
        </is>
      </c>
      <c r="J1730" t="inlineStr"/>
      <c r="K1730" t="inlineStr"/>
      <c r="L1730" t="inlineStr"/>
      <c r="M1730" t="inlineStr"/>
      <c r="N1730" t="inlineStr"/>
      <c r="O1730">
        <f>(1-Summary!$B$11)*T1730+Summary!$B$11*V1730</f>
        <v/>
      </c>
      <c r="P1730">
        <f>IF(B1745=0,0,O1730/B1745)</f>
        <v/>
      </c>
      <c r="Q1730" t="n">
        <v>0</v>
      </c>
      <c r="R1730" t="n">
        <v>0</v>
      </c>
      <c r="S1730">
        <f>IFERROR(O1730/N1730,0)</f>
        <v/>
      </c>
      <c r="T1730" t="n">
        <v>0</v>
      </c>
      <c r="V1730" t="n">
        <v>0</v>
      </c>
    </row>
    <row r="1731">
      <c r="A1731">
        <f>Skills!A26</f>
        <v/>
      </c>
      <c r="B1731">
        <f>Skills!B26</f>
        <v/>
      </c>
      <c r="C1731">
        <f>Inputs!$B$3&gt;=75</f>
        <v/>
      </c>
      <c r="D1731">
        <f>IF(Skills!C26=1,60+Inputs!$B$25+Inputs!$B$29,IF(Skills!C26=2,90+Inputs!$B$26+Inputs!$B$29,IF(Skills!C26=3,120+Inputs!$B$27+Inputs!$B$29,MAX(0,(Inputs!$B$3-100)*3)+Inputs!$B$28+Inputs!$B$29)))</f>
        <v/>
      </c>
      <c r="E1731">
        <f>INDEX(FactorTable!$B$2:$Y$301, MATCH(ROUND(MIN(300,MAX(1,D1731)),0), FactorTable!$A$2:$A$301,0), Skills!M26+1)</f>
        <v/>
      </c>
      <c r="F1731">
        <f>IF(Skills!N26=TRUE,(Skills!L26/10)*(E1731/1000),Skills!L26/10)+Skills!O26</f>
        <v/>
      </c>
      <c r="G1731">
        <f>Skills!G26*IF(Skills!H26&gt;0,Skills!I26/Skills!H26,1)</f>
        <v/>
      </c>
      <c r="H1731">
        <f>1-(1-Skills!J26/100)^Skills!K26</f>
        <v/>
      </c>
      <c r="I1731" t="inlineStr">
        <is>
          <t>1</t>
        </is>
      </c>
      <c r="J1731" t="inlineStr"/>
      <c r="K1731" t="inlineStr"/>
      <c r="L1731" t="inlineStr"/>
      <c r="M1731" t="inlineStr"/>
      <c r="N1731" t="inlineStr"/>
      <c r="O1731">
        <f>(1-Summary!$B$11)*T1731+Summary!$B$11*V1731</f>
        <v/>
      </c>
      <c r="P1731">
        <f>IF(B1745=0,0,O1731/B1745)</f>
        <v/>
      </c>
      <c r="Q1731" t="n">
        <v>0</v>
      </c>
      <c r="R1731" t="n">
        <v>0</v>
      </c>
      <c r="S1731">
        <f>IFERROR(O1731/N1731,0)</f>
        <v/>
      </c>
      <c r="T1731" t="n">
        <v>0</v>
      </c>
      <c r="V1731" t="n">
        <v>0</v>
      </c>
    </row>
    <row r="1732">
      <c r="A1732">
        <f>Skills!A27</f>
        <v/>
      </c>
      <c r="B1732">
        <f>Skills!B27</f>
        <v/>
      </c>
      <c r="C1732">
        <f>Inputs!$B$3&gt;=117</f>
        <v/>
      </c>
      <c r="D1732">
        <f>IF(Skills!C27=1,60+Inputs!$B$25+Inputs!$B$29,IF(Skills!C27=2,90+Inputs!$B$26+Inputs!$B$29,IF(Skills!C27=3,120+Inputs!$B$27+Inputs!$B$29,MAX(0,(Inputs!$B$3-100)*3)+Inputs!$B$28+Inputs!$B$29)))</f>
        <v/>
      </c>
      <c r="E1732">
        <f>INDEX(FactorTable!$B$2:$Y$301, MATCH(ROUND(MIN(300,MAX(1,D1732)),0), FactorTable!$A$2:$A$301,0), Skills!M27+1)</f>
        <v/>
      </c>
      <c r="F1732">
        <f>IF(Skills!N27=TRUE,(Skills!L27/10)*(E1732/1000),Skills!L27/10)+Skills!O27</f>
        <v/>
      </c>
      <c r="G1732">
        <f>Skills!G27*IF(Skills!H27&gt;0,Skills!I27/Skills!H27,1)</f>
        <v/>
      </c>
      <c r="H1732">
        <f>1-(1-Skills!J27/100)^Skills!K27</f>
        <v/>
      </c>
      <c r="I1732" t="inlineStr">
        <is>
          <t>1</t>
        </is>
      </c>
      <c r="J1732" t="inlineStr"/>
      <c r="K1732" t="inlineStr"/>
      <c r="L1732" t="inlineStr"/>
      <c r="M1732" t="inlineStr"/>
      <c r="N1732" t="inlineStr"/>
      <c r="O1732">
        <f>(1-Summary!$B$11)*T1732+Summary!$B$11*V1732</f>
        <v/>
      </c>
      <c r="P1732">
        <f>IF(B1745=0,0,O1732/B1745)</f>
        <v/>
      </c>
      <c r="Q1732" t="n">
        <v>0</v>
      </c>
      <c r="R1732" t="n">
        <v>0</v>
      </c>
      <c r="S1732">
        <f>IFERROR(O1732/N1732,0)</f>
        <v/>
      </c>
      <c r="T1732" t="n">
        <v>0</v>
      </c>
      <c r="V1732" t="n">
        <v>0</v>
      </c>
    </row>
    <row r="1734">
      <c r="A1734" t="inlineStr">
        <is>
          <t>Attack% Bucket Multiplier</t>
        </is>
      </c>
      <c r="B1734">
        <f>(1+(((C1722=TRUE)*F1722)+((C1729=TRUE)*(F1729-Calc!F24))+(IF(ArtifactsInput!$M$21,CHOOSE(ArtifactsInput!$N$21+1,25,30,35,40,45,50)*(IF(OR(Inputs!$B$4="Chapter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35">
      <c r="A1735" t="inlineStr">
        <is>
          <t>Global Crit Rate Bonus %</t>
        </is>
      </c>
      <c r="B1735" t="n">
        <v>0</v>
      </c>
    </row>
    <row r="1736">
      <c r="A1736" t="inlineStr">
        <is>
          <t>Attack Speed Buff Bonus % (unused)</t>
        </is>
      </c>
      <c r="B1736" t="n">
        <v>0</v>
      </c>
    </row>
    <row r="1737">
      <c r="A1737" t="inlineStr">
        <is>
          <t>Actions Per Second</t>
        </is>
      </c>
      <c r="B1737">
        <f>1+MIN(150,150*(1-(1-(Inputs!$B$11+((C1725=TRUE)*(F1725-Calc!F20))+((C1726=TRUE)*(F1726-Calc!F21)))/150)*(1-B1736/150)))/100</f>
        <v/>
      </c>
    </row>
    <row r="1738">
      <c r="A1738" t="inlineStr">
        <is>
          <t>Skill + Buff Cast Rate</t>
        </is>
      </c>
      <c r="B1738">
        <f>IF(AND(Inputs!$B$38&lt;&gt;"pvp",Inputs!$B$43&gt;0),SUMPRODUCT((Skills!E2:E27=TRUE)*(C1707:C1732=TRUE)*R1707:R1732*Skills!F2:F27)/Inputs!$B$43,SUMPRODUCT((Skills!E2:E27=TRUE)*(C1707:C1732=TRUE)*Q1707:Q1732*Skills!F2:F27))</f>
        <v/>
      </c>
    </row>
    <row r="1739">
      <c r="A1739" t="inlineStr">
        <is>
          <t>Eight-Legs Easton Casts Per Second</t>
        </is>
      </c>
      <c r="B1739">
        <f>MAX(0,B1737-B1738)</f>
        <v/>
      </c>
    </row>
    <row r="1740">
      <c r="A1740" t="inlineStr">
        <is>
          <t>Global Critical Damage Bonus % (unused)</t>
        </is>
      </c>
      <c r="B1740" t="n">
        <v>0</v>
      </c>
    </row>
    <row r="1741">
      <c r="A1741" t="inlineStr">
        <is>
          <t>Global Final Damage Bonus % (Jolly Roger only)</t>
        </is>
      </c>
      <c r="B1741">
        <f>((C1723=TRUE)*F1723)</f>
        <v/>
      </c>
    </row>
    <row r="1742">
      <c r="A1742" t="inlineStr">
        <is>
          <t>Buff-Casting Startup Delay (s, fixed-duration only)</t>
        </is>
      </c>
      <c r="B1742">
        <f>IF(AND(Inputs!$B$38&lt;&gt;"pvp",Inputs!$B$43&gt;0),SUMPRODUCT((Skills!T2:T27&gt;0)*(Skills!E2:E27=TRUE)*(C1707:C1732=TRUE))/B1737,0)</f>
        <v/>
      </c>
    </row>
    <row r="1743">
      <c r="A1743" t="inlineStr">
        <is>
          <t>Boss-Only Total DPS (this block's swept value)</t>
        </is>
      </c>
      <c r="B1743">
        <f>SUM(T1707:T1732)</f>
        <v/>
      </c>
    </row>
    <row r="1744">
      <c r="A1744" t="inlineStr">
        <is>
          <t>Normal-Only Total DPS (this block's swept value)</t>
        </is>
      </c>
      <c r="B1744">
        <f>SUM(V1707:V1732)</f>
        <v/>
      </c>
    </row>
    <row r="1745">
      <c r="A1745" s="6" t="inlineStr">
        <is>
          <t>TOTAL DPS</t>
        </is>
      </c>
      <c r="B1745" s="6">
        <f>SUM(O1707:O1732)</f>
        <v/>
      </c>
    </row>
    <row r="1748">
      <c r="A1748" s="6" t="inlineStr">
        <is>
          <t>Stat: Chalice (Equip)</t>
        </is>
      </c>
    </row>
    <row r="1749">
      <c r="A1749" s="5" t="inlineStr">
        <is>
          <t>Key</t>
        </is>
      </c>
      <c r="B1749" s="5" t="inlineStr">
        <is>
          <t>Name</t>
        </is>
      </c>
      <c r="C1749" s="5" t="inlineStr">
        <is>
          <t>Unlocked</t>
        </is>
      </c>
      <c r="D1749" s="5" t="inlineStr">
        <is>
          <t>InputLevel</t>
        </is>
      </c>
      <c r="E1749" s="5" t="inlineStr">
        <is>
          <t>Factor</t>
        </is>
      </c>
      <c r="F1749" s="5" t="inlineStr">
        <is>
          <t>CoefficientPercent</t>
        </is>
      </c>
      <c r="G1749" s="5" t="inlineStr">
        <is>
          <t>EffectiveHits</t>
        </is>
      </c>
      <c r="H1749" s="5" t="inlineStr">
        <is>
          <t>ProcProbability</t>
        </is>
      </c>
      <c r="I1749" s="5" t="inlineStr">
        <is>
          <t>MapleHeroMultiplier</t>
        </is>
      </c>
      <c r="J1749" s="5" t="inlineStr">
        <is>
          <t>BaseDamage</t>
        </is>
      </c>
      <c r="K1749" s="5" t="inlineStr">
        <is>
          <t>BaseHitDamage</t>
        </is>
      </c>
      <c r="L1749" s="5" t="inlineStr">
        <is>
          <t>NonCritAvg</t>
        </is>
      </c>
      <c r="M1749" s="5" t="inlineStr">
        <is>
          <t>CritAvg</t>
        </is>
      </c>
      <c r="N1749" s="5" t="inlineStr">
        <is>
          <t>ExpectedDamage(perHit)</t>
        </is>
      </c>
      <c r="O1749" s="5" t="inlineStr">
        <is>
          <t>DPS</t>
        </is>
      </c>
      <c r="P1749" s="5" t="inlineStr">
        <is>
          <t>% of Total</t>
        </is>
      </c>
      <c r="Q1749" s="5" t="inlineStr">
        <is>
          <t>InvCooldown</t>
        </is>
      </c>
      <c r="R1749" s="5" t="inlineStr">
        <is>
          <t>CastsInFight</t>
        </is>
      </c>
      <c r="S1749" s="5" t="inlineStr">
        <is>
          <t>HitRate(perSec)</t>
        </is>
      </c>
      <c r="U1749" t="inlineStr">
        <is>
          <t>helpers</t>
        </is>
      </c>
    </row>
    <row r="1750">
      <c r="A1750">
        <f>Skills!A2</f>
        <v/>
      </c>
      <c r="B1750">
        <f>Skills!B2</f>
        <v/>
      </c>
      <c r="C1750">
        <f>Inputs!$B$3&gt;=100</f>
        <v/>
      </c>
      <c r="D1750" t="inlineStr"/>
      <c r="E1750" t="inlineStr"/>
      <c r="F1750">
        <f>U1752+Skills!O2</f>
        <v/>
      </c>
      <c r="G1750">
        <f>Skills!G2*IF(Skills!H2&gt;0,Skills!I2/Skills!H2,1)</f>
        <v/>
      </c>
      <c r="H1750">
        <f>1-(1-Skills!J2/100)^Skills!K2</f>
        <v/>
      </c>
      <c r="I1750" t="inlineStr">
        <is>
          <t>1</t>
        </is>
      </c>
      <c r="J1750">
        <f>((Inputs!$B$6*(1+Inputs!$B$7/100))+(((Inputs!$B$12*(1+Inputs!$B$13/100))-(Inputs!$B$12*(1+Inputs!$B$13/100)))+0.25*(Inputs!$B$14-Inputs!$B$14))*(1+Inputs!$B$7/100))*(F1750/100)</f>
        <v/>
      </c>
      <c r="K1750">
        <f>J1750*(1+((Inputs!$B$12*(1+Inputs!$B$13/100))*0.01+Inputs!$B$14*0.0025)/100)*(1+Inputs!$B$15/100)*(1+Inputs!$B$16/100)*(5000/(6000+Inputs!$B$42*(1-(100*(1-(1-(Inputs!$B$19+0)/100)*(1-CHOOSE(ArtifactsInput!$N$40+1,5,6,7,8,9,10)/100)^(ArtifactsInput!$M$40-ArtifactsInput!$M$40)))/100)))*(1+(Inputs!$B$24+((C1774=TRUE)*(F1774-Calc!F26))+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1771=TRUE)*(F1771-Calc!F23))+((C1775=TRUE)*(F1775-Calc!F27))+(((IF(AND(ArtifactsInput!$M$42,((Inputs!$B$9+((C1767=TRUE)*(F1767-Calc!F19))+B1778+(ArtifactsInput!$M$24-ArtifactsInput!$M$24)*CHOOSE(ArtifactsInput!$N$24+1,10,12,14,16,18,20)+IF(ArtifactsInput!$M$10,CHOOSE(ArtifactsInput!$N$10+1,15,18,21,24,27,30)*(IF(Inputs!$B$38="pvp",MIN(15,15)/15,IF(AND(Inputs!$B$38&lt;&gt;"pvp",Inputs!$B$43&gt;0),MIN(15,Inputs!$B$43)/(Inputs!$B$43),0))),0)))&gt;=100),MIN(100,((Inputs!$B$9+((C1767=TRUE)*(F1767-Calc!F19))+B1778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1767=TRUE)*(F1767-Calc!F19))+B1778+(ArtifactsInput!$M$24-ArtifactsInput!$M$24)*CHOOSE(ArtifactsInput!$N$24+1,10,12,14,16,18,20)+IF(ArtifactsInput!$M$10,CHOOSE(ArtifactsInput!$N$10+1,15,18,21,24,27,30)*(IF(Inputs!$B$38="pvp",MIN(15,15)/15,IF(AND(Inputs!$B$38&lt;&gt;"pvp",Inputs!$B$43&gt;0),MIN(15,Inputs!$B$43)/(Inputs!$B$43),0))),0)))&gt;=100),CHOOSE(ArtifactsInput!$N$42+1,40,48,56,64,72,80),0))))/100)*((1+(((C1765=TRUE)*F1765)+((C1772=TRUE)*(F1772-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1750)</f>
        <v/>
      </c>
      <c r="L1750">
        <f>K1750*(MIN(Inputs!$B$22+((C1770=TRUE)*(F1770-Calc!F22)),(Inputs!$B$23+0+(IF(ArtifactsInput!$M$15,CHOOSE(ArtifactsInput!$N$15+1,25,30,35,40,45,50)/100*(Inputs!$B$11-Inputs!$B$11),0))))/100+(Inputs!$B$23+0+(IF(ArtifactsInput!$M$15,CHOOSE(ArtifactsInput!$N$15+1,25,30,35,40,45,50)/100*(Inputs!$B$11-Inputs!$B$11),0)))/100)/2</f>
        <v/>
      </c>
      <c r="M1750">
        <f>L1750*(1+(Inputs!$B$10+((C1773=TRUE)*(F1773-Calc!F25))+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0">
        <f>L1750*(1-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1750*(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0">
        <f>(1-Summary!$B$11)*T1750+Summary!$B$11*V1750</f>
        <v/>
      </c>
      <c r="P1750">
        <f>IF(B1788=0,0,O1750/B1788)</f>
        <v/>
      </c>
      <c r="Q1750" t="n">
        <v>0</v>
      </c>
      <c r="R1750" t="n">
        <v>0</v>
      </c>
      <c r="S1750">
        <f>IFERROR(O1750/N1750,0)</f>
        <v/>
      </c>
      <c r="T1750">
        <f>IF(C1750,(Skills!G2*N1750*B1782)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1750*(1-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1750*(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1750*(1-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1750*(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0">
        <f>MAX(0,(Inputs!$B$3-100)*3)+Inputs!$B$28+Inputs!$B$29</f>
        <v/>
      </c>
      <c r="V1750">
        <f>IF(C1750,(Skills!G2*N1750*B1782)*IF(Inputs!$B$38="pvp",1,(1+(Inputs!$B$21+Skills!Q2+(IF(ArtifactsInput!$M$33,CHOOSE(ArtifactsInput!$N$33+1,30,36,42,48,54,60),0))+(IF(AND(ArtifactsInput!$M$35,Inputs!$B$4&lt;&gt;"Chapter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1">
      <c r="A1751">
        <f>Skills!A3</f>
        <v/>
      </c>
      <c r="B1751">
        <f>Skills!B3</f>
        <v/>
      </c>
      <c r="C1751">
        <f>Inputs!$B$3&gt;=35</f>
        <v/>
      </c>
      <c r="D1751">
        <f>IF(Skills!C3=1,60+Inputs!$B$25+Inputs!$B$29,IF(Skills!C3=2,90+Inputs!$B$26+Inputs!$B$29,IF(Skills!C3=3,120+Inputs!$B$27+Inputs!$B$29,MAX(0,(Inputs!$B$3-100)*3)+Inputs!$B$28+Inputs!$B$29)))</f>
        <v/>
      </c>
      <c r="E1751">
        <f>INDEX(FactorTable!$B$2:$Y$301, MATCH(ROUND(MIN(300,MAX(1,D1751)),0), FactorTable!$A$2:$A$301,0), Skills!M3+1)</f>
        <v/>
      </c>
      <c r="F1751">
        <f>IF(Skills!N3=TRUE,(Skills!L3/10)*(E1751/1000),Skills!L3/10)+Skills!O3</f>
        <v/>
      </c>
      <c r="G1751">
        <f>Skills!G3*IF(Skills!H3&gt;0,Skills!I3/Skills!H3,1)</f>
        <v/>
      </c>
      <c r="H1751">
        <f>1-(1-Skills!J3/100)^Skills!K3</f>
        <v/>
      </c>
      <c r="I1751" t="inlineStr">
        <is>
          <t>1</t>
        </is>
      </c>
      <c r="J1751">
        <f>((Inputs!$B$6*(1+Inputs!$B$7/100))+(((Inputs!$B$12*(1+Inputs!$B$13/100))-(Inputs!$B$12*(1+Inputs!$B$13/100)))+0.25*(Inputs!$B$14-Inputs!$B$14))*(1+Inputs!$B$7/100))*(F1751/100)</f>
        <v/>
      </c>
      <c r="K1751">
        <f>J1751*(1+((Inputs!$B$12*(1+Inputs!$B$13/100))*0.01+Inputs!$B$14*0.0025)/100)*(1+Inputs!$B$15/100)*(1+Inputs!$B$16/100)*(5000/(6000+Inputs!$B$42*(1-(100*(1-(1-(Inputs!$B$19+0)/100)*(1-CHOOSE(ArtifactsInput!$N$40+1,5,6,7,8,9,10)/100)^(ArtifactsInput!$M$40-ArtifactsInput!$M$40)))/100)))*(1+(Inputs!$B$24+((C1774=TRUE)*(F1774-Calc!F26))+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1763=TRUE,F1763,0)/100)*(1+(IF(Skills!A3="EIGHT_LEGS_EASTON",Inputs!$B$17+((C1771=TRUE)*(F1771-Calc!F23))+((C1775=TRUE)*(F1775-Calc!F27))+(((IF(AND(ArtifactsInput!$M$42,((Inputs!$B$9+((C1767=TRUE)*(F1767-Calc!F19))+B1778+(ArtifactsInput!$M$24-ArtifactsInput!$M$24)*CHOOSE(ArtifactsInput!$N$24+1,10,12,14,16,18,20)+IF(ArtifactsInput!$M$10,CHOOSE(ArtifactsInput!$N$10+1,15,18,21,24,27,30)*(IF(Inputs!$B$38="pvp",MIN(15,15)/15,IF(AND(Inputs!$B$38&lt;&gt;"pvp",Inputs!$B$43&gt;0),MIN(15,Inputs!$B$43)/(Inputs!$B$43),0))),0)))&gt;=100),MIN(100,((Inputs!$B$9+((C1767=TRUE)*(F1767-Calc!F19))+B1778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1767=TRUE)*(F1767-Calc!F19))+B1778+(ArtifactsInput!$M$24-ArtifactsInput!$M$24)*CHOOSE(ArtifactsInput!$N$24+1,10,12,14,16,18,20)+IF(ArtifactsInput!$M$10,CHOOSE(ArtifactsInput!$N$10+1,15,18,21,24,27,30)*(IF(Inputs!$B$38="pvp",MIN(15,15)/15,IF(AND(Inputs!$B$38&lt;&gt;"pvp",Inputs!$B$43&gt;0),MIN(15,Inputs!$B$43)/(Inputs!$B$43),0))),0)))&gt;=100),CHOOSE(ArtifactsInput!$N$42+1,40,48,56,64,72,80),0))))/100)*((1+(((C1765=TRUE)*F1765)+((C1772=TRUE)*(F1772-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1751)</f>
        <v/>
      </c>
      <c r="L1751">
        <f>K1751*(MIN(Inputs!$B$22+((C1770=TRUE)*(F1770-Calc!F22)),(Inputs!$B$23+0+(IF(ArtifactsInput!$M$15,CHOOSE(ArtifactsInput!$N$15+1,25,30,35,40,45,50)/100*(Inputs!$B$11-Inputs!$B$11),0))))/100+(Inputs!$B$23+0+(IF(ArtifactsInput!$M$15,CHOOSE(ArtifactsInput!$N$15+1,25,30,35,40,45,50)/100*(Inputs!$B$11-Inputs!$B$11),0)))/100)/2</f>
        <v/>
      </c>
      <c r="M1751">
        <f>L1751*(1+(Inputs!$B$10+((C1773=TRUE)*(F1773-Calc!F25))+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1">
        <f>L1751*(1-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1">
        <f>(1-Summary!$B$11)*T1751+Summary!$B$11*V1751</f>
        <v/>
      </c>
      <c r="P1751">
        <f>IF(B1788=0,0,O1751/B1788)</f>
        <v/>
      </c>
      <c r="Q1751">
        <f>IFERROR(1/(IF(Inputs!$B$38="pvp",15,MAX(0.1,Skills!D3-IF(Skills!E3=TRUE,Inputs!$B$32,0)))*(1-IF(AND(ArtifactsInput!$M$27,Inputs!$B$4="Chapter Hunt"),CHOOSE(ArtifactsInput!$N$27+1,20,24,28,32,36,40),0)/100)),0)</f>
        <v/>
      </c>
      <c r="R1751">
        <f>IF(AND(Inputs!$B$38&lt;&gt;"pvp",Inputs!$B$43&gt;0),IF(MAX(0,Inputs!$B$43-B1785)&lt;=0,0,(INT(MAX(0,Inputs!$B$43-B1785)/(IF(Inputs!$B$38="pvp",15,MAX(0.1,Skills!D3-IF(Skills!E3=TRUE,Inputs!$B$32,0)))*(1-IF(AND(ArtifactsInput!$M$27,Inputs!$B$4="Chapter Hunt"),CHOOSE(ArtifactsInput!$N$27+1,20,24,28,32,36,40),0)/100)))+1)),0)</f>
        <v/>
      </c>
      <c r="S1751">
        <f>IFERROR(O1751/N1751,0)</f>
        <v/>
      </c>
      <c r="T1751">
        <f>IF(C1751,(H1751*N1751*IF(AND(Inputs!$B$38&lt;&gt;"pvp",Inputs!$B$43&gt;0),((Skills!G3*((R1751-1)*IF(Skills!H3&gt;0,Skills!I3/Skills!H3,1)+IF(Skills!H3&gt;0,MIN(Skills!I3,MAX(0,MAX(0,Inputs!$B$43-B1785)-((R1751-1)*(IF(Inputs!$B$38="pvp",15,MAX(0.1,Skills!D3-IF(Skills!E3=TRUE,Inputs!$B$32,0)))*(1-IF(AND(ArtifactsInput!$M$27,Inputs!$B$4="Chapter Hunt"),CHOOSE(ArtifactsInput!$N$27+1,20,24,28,32,36,40),0)/100)))))/Skills!H3,1)))/Inputs!$B$43),G1751*Q1751)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1751*(1-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1751*(1-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1">
        <f>INDEX(FactorTable!$B$2:$Y$301, MATCH(ROUND(MIN(300,MAX(1,U1750)),0), FactorTable!$A$2:$A$301,0), 22)</f>
        <v/>
      </c>
      <c r="V1751">
        <f>IF(C1751,(H1751*N1751*IF(AND(Inputs!$B$38&lt;&gt;"pvp",Inputs!$B$43&gt;0),((Skills!G3*((R1751-1)*IF(Skills!H3&gt;0,Skills!I3/Skills!H3,1)+IF(Skills!H3&gt;0,MIN(Skills!I3,MAX(0,MAX(0,Inputs!$B$43-B1785)-((R1751-1)*(IF(Inputs!$B$38="pvp",15,MAX(0.1,Skills!D3-IF(Skills!E3=TRUE,Inputs!$B$32,0)))*(1-IF(AND(ArtifactsInput!$M$27,Inputs!$B$4="Chapter Hunt"),CHOOSE(ArtifactsInput!$N$27+1,20,24,28,32,36,40),0)/100)))))/Skills!H3,1)))/Inputs!$B$43),G1751*Q1751))*IF(Inputs!$B$38="pvp",1,(1+(Inputs!$B$21+Skills!Q3+(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2">
      <c r="A1752">
        <f>Skills!A4</f>
        <v/>
      </c>
      <c r="B1752">
        <f>Skills!B4</f>
        <v/>
      </c>
      <c r="C1752">
        <f>Inputs!$B$3&gt;=40</f>
        <v/>
      </c>
      <c r="D1752">
        <f>IF(Skills!C4=1,60+Inputs!$B$25+Inputs!$B$29,IF(Skills!C4=2,90+Inputs!$B$26+Inputs!$B$29,IF(Skills!C4=3,120+Inputs!$B$27+Inputs!$B$29,MAX(0,(Inputs!$B$3-100)*3)+Inputs!$B$28+Inputs!$B$29)))</f>
        <v/>
      </c>
      <c r="E1752">
        <f>INDEX(FactorTable!$B$2:$Y$301, MATCH(ROUND(MIN(300,MAX(1,D1752)),0), FactorTable!$A$2:$A$301,0), Skills!M4+1)</f>
        <v/>
      </c>
      <c r="F1752">
        <f>IF(Skills!N4=TRUE,(Skills!L4/10)*(E1752/1000),Skills!L4/10)+Skills!O4</f>
        <v/>
      </c>
      <c r="G1752">
        <f>Skills!G4*IF(Skills!H4&gt;0,Skills!I4/Skills!H4,1)</f>
        <v/>
      </c>
      <c r="H1752">
        <f>1-(1-Skills!J4/100)^Skills!K4</f>
        <v/>
      </c>
      <c r="I1752" t="inlineStr">
        <is>
          <t>1</t>
        </is>
      </c>
      <c r="J1752">
        <f>((Inputs!$B$6*(1+Inputs!$B$7/100))+(((Inputs!$B$12*(1+Inputs!$B$13/100))-(Inputs!$B$12*(1+Inputs!$B$13/100)))+0.25*(Inputs!$B$14-Inputs!$B$14))*(1+Inputs!$B$7/100))*(F1752/100)</f>
        <v/>
      </c>
      <c r="K1752">
        <f>J1752*(1+((Inputs!$B$12*(1+Inputs!$B$13/100))*0.01+Inputs!$B$14*0.0025)/100)*(1+Inputs!$B$15/100)*(1+Inputs!$B$16/100)*(5000/(6000+Inputs!$B$42*(1-(100*(1-(1-(Inputs!$B$19+0)/100)*(1-CHOOSE(ArtifactsInput!$N$40+1,5,6,7,8,9,10)/100)^(ArtifactsInput!$M$40-ArtifactsInput!$M$40)))/100)))*(1+(Inputs!$B$24+((C1774=TRUE)*(F1774-Calc!F26))+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1764=TRUE,F1764,0)/100)*(1+(IF(Skills!A4="EIGHT_LEGS_EASTON",Inputs!$B$17+((C1771=TRUE)*(F1771-Calc!F23))+((C1775=TRUE)*(F1775-Calc!F27))+(((IF(AND(ArtifactsInput!$M$42,((Inputs!$B$9+((C1767=TRUE)*(F1767-Calc!F19))+B1778+(ArtifactsInput!$M$24-ArtifactsInput!$M$24)*CHOOSE(ArtifactsInput!$N$24+1,10,12,14,16,18,20)+IF(ArtifactsInput!$M$10,CHOOSE(ArtifactsInput!$N$10+1,15,18,21,24,27,30)*(IF(Inputs!$B$38="pvp",MIN(15,15)/15,IF(AND(Inputs!$B$38&lt;&gt;"pvp",Inputs!$B$43&gt;0),MIN(15,Inputs!$B$43)/(Inputs!$B$43),0))),0)))&gt;=100),MIN(100,((Inputs!$B$9+((C1767=TRUE)*(F1767-Calc!F19))+B1778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1767=TRUE)*(F1767-Calc!F19))+B1778+(ArtifactsInput!$M$24-ArtifactsInput!$M$24)*CHOOSE(ArtifactsInput!$N$24+1,10,12,14,16,18,20)+IF(ArtifactsInput!$M$10,CHOOSE(ArtifactsInput!$N$10+1,15,18,21,24,27,30)*(IF(Inputs!$B$38="pvp",MIN(15,15)/15,IF(AND(Inputs!$B$38&lt;&gt;"pvp",Inputs!$B$43&gt;0),MIN(15,Inputs!$B$43)/(Inputs!$B$43),0))),0)))&gt;=100),CHOOSE(ArtifactsInput!$N$42+1,40,48,56,64,72,80),0))))/100)*((1+(((C1765=TRUE)*F1765)+((C1772=TRUE)*(F1772-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1752)</f>
        <v/>
      </c>
      <c r="L1752">
        <f>K1752*(MIN(Inputs!$B$22+((C1770=TRUE)*(F1770-Calc!F22)),(Inputs!$B$23+0+(IF(ArtifactsInput!$M$15,CHOOSE(ArtifactsInput!$N$15+1,25,30,35,40,45,50)/100*(Inputs!$B$11-Inputs!$B$11),0))))/100+(Inputs!$B$23+0+(IF(ArtifactsInput!$M$15,CHOOSE(ArtifactsInput!$N$15+1,25,30,35,40,45,50)/100*(Inputs!$B$11-Inputs!$B$11),0)))/100)/2</f>
        <v/>
      </c>
      <c r="M1752">
        <f>L1752*(1+(Inputs!$B$10+((C1773=TRUE)*(F1773-Calc!F25))+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2">
        <f>L1752*(1-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1752*(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2">
        <f>(1-Summary!$B$11)*T1752+Summary!$B$11*V1752</f>
        <v/>
      </c>
      <c r="P1752">
        <f>IF(B1788=0,0,O1752/B1788)</f>
        <v/>
      </c>
      <c r="Q1752">
        <f>IFERROR(1/(IF(Inputs!$B$38="pvp",15,MAX(0.1,Skills!D4-IF(Skills!E4=TRUE,Inputs!$B$32,0)))*(1-IF(AND(ArtifactsInput!$M$27,Inputs!$B$4="Chapter Hunt"),CHOOSE(ArtifactsInput!$N$27+1,20,24,28,32,36,40),0)/100)),0)</f>
        <v/>
      </c>
      <c r="R1752">
        <f>IF(AND(Inputs!$B$38&lt;&gt;"pvp",Inputs!$B$43&gt;0),IF(MAX(0,Inputs!$B$43-B1785)&lt;=0,0,(INT(MAX(0,Inputs!$B$43-B1785)/(IF(Inputs!$B$38="pvp",15,MAX(0.1,Skills!D4-IF(Skills!E4=TRUE,Inputs!$B$32,0)))*(1-IF(AND(ArtifactsInput!$M$27,Inputs!$B$4="Chapter Hunt"),CHOOSE(ArtifactsInput!$N$27+1,20,24,28,32,36,40),0)/100)))+1)),0)</f>
        <v/>
      </c>
      <c r="S1752">
        <f>IFERROR(O1752/N1752,0)</f>
        <v/>
      </c>
      <c r="T1752">
        <f>IF(C1752,(H1752*N1752*IF(AND(Inputs!$B$38&lt;&gt;"pvp",Inputs!$B$43&gt;0),((Skills!G4*((R1752-1)*IF(Skills!H4&gt;0,Skills!I4/Skills!H4,1)+IF(Skills!H4&gt;0,MIN(Skills!I4,MAX(0,MAX(0,Inputs!$B$43-B1785)-((R1752-1)*(IF(Inputs!$B$38="pvp",15,MAX(0.1,Skills!D4-IF(Skills!E4=TRUE,Inputs!$B$32,0)))*(1-IF(AND(ArtifactsInput!$M$27,Inputs!$B$4="Chapter Hunt"),CHOOSE(ArtifactsInput!$N$27+1,20,24,28,32,36,40),0)/100)))))/Skills!H4,1)))/Inputs!$B$43),G1752*Q1752)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1752*(1-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1752*(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1752*(1-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1752*(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2">
        <f>290*U1751/1000</f>
        <v/>
      </c>
      <c r="V1752">
        <f>IF(C1752,(H1752*N1752*IF(AND(Inputs!$B$38&lt;&gt;"pvp",Inputs!$B$43&gt;0),((Skills!G4*((R1752-1)*IF(Skills!H4&gt;0,Skills!I4/Skills!H4,1)+IF(Skills!H4&gt;0,MIN(Skills!I4,MAX(0,MAX(0,Inputs!$B$43-B1785)-((R1752-1)*(IF(Inputs!$B$38="pvp",15,MAX(0.1,Skills!D4-IF(Skills!E4=TRUE,Inputs!$B$32,0)))*(1-IF(AND(ArtifactsInput!$M$27,Inputs!$B$4="Chapter Hunt"),CHOOSE(ArtifactsInput!$N$27+1,20,24,28,32,36,40),0)/100)))))/Skills!H4,1)))/Inputs!$B$43),G1752*Q1752))*IF(Inputs!$B$38="pvp",1,(1+(Inputs!$B$21+Skills!Q4+(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3">
      <c r="A1753">
        <f>Skills!A5</f>
        <v/>
      </c>
      <c r="B1753">
        <f>Skills!B5</f>
        <v/>
      </c>
      <c r="C1753">
        <f>Inputs!$B$3&gt;=45</f>
        <v/>
      </c>
      <c r="D1753">
        <f>IF(Skills!C5=1,60+Inputs!$B$25+Inputs!$B$29,IF(Skills!C5=2,90+Inputs!$B$26+Inputs!$B$29,IF(Skills!C5=3,120+Inputs!$B$27+Inputs!$B$29,MAX(0,(Inputs!$B$3-100)*3)+Inputs!$B$28+Inputs!$B$29)))</f>
        <v/>
      </c>
      <c r="E1753">
        <f>INDEX(FactorTable!$B$2:$Y$301, MATCH(ROUND(MIN(300,MAX(1,D1753)),0), FactorTable!$A$2:$A$301,0), Skills!M5+1)</f>
        <v/>
      </c>
      <c r="F1753">
        <f>IF(Skills!N5=TRUE,(Skills!L5/10)*(E1753/1000),Skills!L5/10)+Skills!O5</f>
        <v/>
      </c>
      <c r="G1753">
        <f>Skills!G5*IF(Skills!H5&gt;0,Skills!I5/Skills!H5,1)</f>
        <v/>
      </c>
      <c r="H1753">
        <f>1-(1-Skills!J5/100)^Skills!K5</f>
        <v/>
      </c>
      <c r="I1753" t="inlineStr">
        <is>
          <t>1</t>
        </is>
      </c>
      <c r="J1753">
        <f>((Inputs!$B$6*(1+Inputs!$B$7/100))+(((Inputs!$B$12*(1+Inputs!$B$13/100))-(Inputs!$B$12*(1+Inputs!$B$13/100)))+0.25*(Inputs!$B$14-Inputs!$B$14))*(1+Inputs!$B$7/100))*(F1753/100)</f>
        <v/>
      </c>
      <c r="K1753">
        <f>J1753*(1+((Inputs!$B$12*(1+Inputs!$B$13/100))*0.01+Inputs!$B$14*0.0025)/100)*(1+Inputs!$B$15/100)*(1+Inputs!$B$16/100)*(5000/(6000+Inputs!$B$42*(1-(100*(1-(1-(Inputs!$B$19+0)/100)*(1-CHOOSE(ArtifactsInput!$N$40+1,5,6,7,8,9,10)/100)^(ArtifactsInput!$M$40-ArtifactsInput!$M$40)))/100)))*(1+(Inputs!$B$24+((C1774=TRUE)*(F1774-Calc!F26))+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1764=TRUE,F1764,0)/100)*(1+(IF(Skills!A5="EIGHT_LEGS_EASTON",Inputs!$B$17+((C1771=TRUE)*(F1771-Calc!F23))+((C1775=TRUE)*(F1775-Calc!F27))+(((IF(AND(ArtifactsInput!$M$42,((Inputs!$B$9+((C1767=TRUE)*(F1767-Calc!F19))+B1778+(ArtifactsInput!$M$24-ArtifactsInput!$M$24)*CHOOSE(ArtifactsInput!$N$24+1,10,12,14,16,18,20)+IF(ArtifactsInput!$M$10,CHOOSE(ArtifactsInput!$N$10+1,15,18,21,24,27,30)*(IF(Inputs!$B$38="pvp",MIN(15,15)/15,IF(AND(Inputs!$B$38&lt;&gt;"pvp",Inputs!$B$43&gt;0),MIN(15,Inputs!$B$43)/(Inputs!$B$43),0))),0)))&gt;=100),MIN(100,((Inputs!$B$9+((C1767=TRUE)*(F1767-Calc!F19))+B1778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1767=TRUE)*(F1767-Calc!F19))+B1778+(ArtifactsInput!$M$24-ArtifactsInput!$M$24)*CHOOSE(ArtifactsInput!$N$24+1,10,12,14,16,18,20)+IF(ArtifactsInput!$M$10,CHOOSE(ArtifactsInput!$N$10+1,15,18,21,24,27,30)*(IF(Inputs!$B$38="pvp",MIN(15,15)/15,IF(AND(Inputs!$B$38&lt;&gt;"pvp",Inputs!$B$43&gt;0),MIN(15,Inputs!$B$43)/(Inputs!$B$43),0))),0)))&gt;=100),CHOOSE(ArtifactsInput!$N$42+1,40,48,56,64,72,80),0))))/100)*((1+(((C1765=TRUE)*F1765)+((C1772=TRUE)*(F1772-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1753)</f>
        <v/>
      </c>
      <c r="L1753">
        <f>K1753*(MIN(Inputs!$B$22+((C1770=TRUE)*(F1770-Calc!F22)),(Inputs!$B$23+0+(IF(ArtifactsInput!$M$15,CHOOSE(ArtifactsInput!$N$15+1,25,30,35,40,45,50)/100*(Inputs!$B$11-Inputs!$B$11),0))))/100+(Inputs!$B$23+0+(IF(ArtifactsInput!$M$15,CHOOSE(ArtifactsInput!$N$15+1,25,30,35,40,45,50)/100*(Inputs!$B$11-Inputs!$B$11),0)))/100)/2</f>
        <v/>
      </c>
      <c r="M1753">
        <f>L1753*(1+(Inputs!$B$10+((C1773=TRUE)*(F1773-Calc!F25))+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3">
        <f>L1753*(1-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1753*(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3">
        <f>(1-Summary!$B$11)*T1753+Summary!$B$11*V1753</f>
        <v/>
      </c>
      <c r="P1753">
        <f>IF(B1788=0,0,O1753/B1788)</f>
        <v/>
      </c>
      <c r="Q1753">
        <f>IFERROR(1/(IF(Inputs!$B$38="pvp",15,MAX(0.1,Skills!D5-IF(Skills!E5=TRUE,Inputs!$B$32,0)))*(1-IF(AND(ArtifactsInput!$M$27,Inputs!$B$4="Chapter Hunt"),CHOOSE(ArtifactsInput!$N$27+1,20,24,28,32,36,40),0)/100)),0)</f>
        <v/>
      </c>
      <c r="R1753">
        <f>IF(AND(Inputs!$B$38&lt;&gt;"pvp",Inputs!$B$43&gt;0),IF(MAX(0,Inputs!$B$43-B1785)&lt;=0,0,(INT(MAX(0,Inputs!$B$43-B1785)/(IF(Inputs!$B$38="pvp",15,MAX(0.1,Skills!D5-IF(Skills!E5=TRUE,Inputs!$B$32,0)))*(1-IF(AND(ArtifactsInput!$M$27,Inputs!$B$4="Chapter Hunt"),CHOOSE(ArtifactsInput!$N$27+1,20,24,28,32,36,40),0)/100)))+1)),0)</f>
        <v/>
      </c>
      <c r="S1753">
        <f>IFERROR(O1753/N1753,0)</f>
        <v/>
      </c>
      <c r="T1753">
        <f>IF(C1753,(H1753*N1753*IF(AND(Inputs!$B$38&lt;&gt;"pvp",Inputs!$B$43&gt;0),((Skills!G5*((R1753-1)*IF(Skills!H5&gt;0,Skills!I5/Skills!H5,1)+IF(Skills!H5&gt;0,MIN(Skills!I5,MAX(0,MAX(0,Inputs!$B$43-B1785)-((R1753-1)*(IF(Inputs!$B$38="pvp",15,MAX(0.1,Skills!D5-IF(Skills!E5=TRUE,Inputs!$B$32,0)))*(1-IF(AND(ArtifactsInput!$M$27,Inputs!$B$4="Chapter Hunt"),CHOOSE(ArtifactsInput!$N$27+1,20,24,28,32,36,40),0)/100)))))/Skills!H5,1)))/Inputs!$B$43),G1753*Q1753)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1753*(1-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1753*(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1753*(1-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1753*(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3">
        <f>IF(C1753,(H1753*N1753*IF(AND(Inputs!$B$38&lt;&gt;"pvp",Inputs!$B$43&gt;0),((Skills!G5*((R1753-1)*IF(Skills!H5&gt;0,Skills!I5/Skills!H5,1)+IF(Skills!H5&gt;0,MIN(Skills!I5,MAX(0,MAX(0,Inputs!$B$43-B1785)-((R1753-1)*(IF(Inputs!$B$38="pvp",15,MAX(0.1,Skills!D5-IF(Skills!E5=TRUE,Inputs!$B$32,0)))*(1-IF(AND(ArtifactsInput!$M$27,Inputs!$B$4="Chapter Hunt"),CHOOSE(ArtifactsInput!$N$27+1,20,24,28,32,36,40),0)/100)))))/Skills!H5,1)))/Inputs!$B$43),G1753*Q1753))*IF(Inputs!$B$38="pvp",1,(1+(Inputs!$B$21+Skills!Q5+(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4">
      <c r="A1754">
        <f>Skills!A6</f>
        <v/>
      </c>
      <c r="B1754">
        <f>Skills!B6</f>
        <v/>
      </c>
      <c r="C1754">
        <f>Inputs!$B$3&gt;=63</f>
        <v/>
      </c>
      <c r="D1754">
        <f>IF(Skills!C6=1,60+Inputs!$B$25+Inputs!$B$29,IF(Skills!C6=2,90+Inputs!$B$26+Inputs!$B$29,IF(Skills!C6=3,120+Inputs!$B$27+Inputs!$B$29,MAX(0,(Inputs!$B$3-100)*3)+Inputs!$B$28+Inputs!$B$29)))</f>
        <v/>
      </c>
      <c r="E1754">
        <f>INDEX(FactorTable!$B$2:$Y$301, MATCH(ROUND(MIN(300,MAX(1,D1754)),0), FactorTable!$A$2:$A$301,0), Skills!M6+1)</f>
        <v/>
      </c>
      <c r="F1754">
        <f>IF(Skills!N6=TRUE,(Skills!L6/10)*(E1754/1000),Skills!L6/10)+Skills!O6</f>
        <v/>
      </c>
      <c r="G1754">
        <f>Skills!G6*IF(Skills!H6&gt;0,Skills!I6/Skills!H6,1)</f>
        <v/>
      </c>
      <c r="H1754">
        <f>1-(1-Skills!J6/100)^Skills!K6</f>
        <v/>
      </c>
      <c r="I1754" t="inlineStr">
        <is>
          <t>1</t>
        </is>
      </c>
      <c r="J1754">
        <f>((Inputs!$B$6*(1+Inputs!$B$7/100))+(((Inputs!$B$12*(1+Inputs!$B$13/100))-(Inputs!$B$12*(1+Inputs!$B$13/100)))+0.25*(Inputs!$B$14-Inputs!$B$14))*(1+Inputs!$B$7/100))*(F1754/100)</f>
        <v/>
      </c>
      <c r="K1754">
        <f>J1754*(1+((Inputs!$B$12*(1+Inputs!$B$13/100))*0.01+Inputs!$B$14*0.0025)/100)*(1+Inputs!$B$15/100)*(1+Inputs!$B$16/100)*(5000/(6000+Inputs!$B$42*(1-(100*(1-(1-(Inputs!$B$19+0)/100)*(1-CHOOSE(ArtifactsInput!$N$40+1,5,6,7,8,9,10)/100)^(ArtifactsInput!$M$40-ArtifactsInput!$M$40)))/100)))*(1+(Inputs!$B$24+((C1774=TRUE)*(F1774-Calc!F26))+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1763=TRUE,F1763,0)/100)*(1+(IF(Skills!A6="EIGHT_LEGS_EASTON",Inputs!$B$17+((C1771=TRUE)*(F1771-Calc!F23))+((C1775=TRUE)*(F1775-Calc!F27))+(((IF(AND(ArtifactsInput!$M$42,((Inputs!$B$9+((C1767=TRUE)*(F1767-Calc!F19))+B1778+(ArtifactsInput!$M$24-ArtifactsInput!$M$24)*CHOOSE(ArtifactsInput!$N$24+1,10,12,14,16,18,20)+IF(ArtifactsInput!$M$10,CHOOSE(ArtifactsInput!$N$10+1,15,18,21,24,27,30)*(IF(Inputs!$B$38="pvp",MIN(15,15)/15,IF(AND(Inputs!$B$38&lt;&gt;"pvp",Inputs!$B$43&gt;0),MIN(15,Inputs!$B$43)/(Inputs!$B$43),0))),0)))&gt;=100),MIN(100,((Inputs!$B$9+((C1767=TRUE)*(F1767-Calc!F19))+B1778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1767=TRUE)*(F1767-Calc!F19))+B1778+(ArtifactsInput!$M$24-ArtifactsInput!$M$24)*CHOOSE(ArtifactsInput!$N$24+1,10,12,14,16,18,20)+IF(ArtifactsInput!$M$10,CHOOSE(ArtifactsInput!$N$10+1,15,18,21,24,27,30)*(IF(Inputs!$B$38="pvp",MIN(15,15)/15,IF(AND(Inputs!$B$38&lt;&gt;"pvp",Inputs!$B$43&gt;0),MIN(15,Inputs!$B$43)/(Inputs!$B$43),0))),0)))&gt;=100),CHOOSE(ArtifactsInput!$N$42+1,40,48,56,64,72,80),0))))/100)*((1+(((C1765=TRUE)*F1765)+((C1772=TRUE)*(F1772-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1754)</f>
        <v/>
      </c>
      <c r="L1754">
        <f>K1754*(MIN(Inputs!$B$22+((C1770=TRUE)*(F1770-Calc!F22)),(Inputs!$B$23+0+(IF(ArtifactsInput!$M$15,CHOOSE(ArtifactsInput!$N$15+1,25,30,35,40,45,50)/100*(Inputs!$B$11-Inputs!$B$11),0))))/100+(Inputs!$B$23+0+(IF(ArtifactsInput!$M$15,CHOOSE(ArtifactsInput!$N$15+1,25,30,35,40,45,50)/100*(Inputs!$B$11-Inputs!$B$11),0)))/100)/2</f>
        <v/>
      </c>
      <c r="M1754">
        <f>L1754*(1+(Inputs!$B$10+((C1773=TRUE)*(F1773-Calc!F25))+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4">
        <f>L1754*(1-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1754*(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4">
        <f>(1-Summary!$B$11)*T1754+Summary!$B$11*V1754</f>
        <v/>
      </c>
      <c r="P1754">
        <f>IF(B1788=0,0,O1754/B1788)</f>
        <v/>
      </c>
      <c r="Q1754">
        <f>IFERROR(1/(IF(Inputs!$B$38="pvp",15,MAX(0.1,Skills!D6-IF(Skills!E6=TRUE,Inputs!$B$32,0)))*(1-IF(AND(ArtifactsInput!$M$27,Inputs!$B$4="Chapter Hunt"),CHOOSE(ArtifactsInput!$N$27+1,20,24,28,32,36,40),0)/100)),0)</f>
        <v/>
      </c>
      <c r="R1754">
        <f>IF(AND(Inputs!$B$38&lt;&gt;"pvp",Inputs!$B$43&gt;0),IF(MAX(0,Inputs!$B$43-B1785)&lt;=0,0,(INT(MAX(0,Inputs!$B$43-B1785)/(IF(Inputs!$B$38="pvp",15,MAX(0.1,Skills!D6-IF(Skills!E6=TRUE,Inputs!$B$32,0)))*(1-IF(AND(ArtifactsInput!$M$27,Inputs!$B$4="Chapter Hunt"),CHOOSE(ArtifactsInput!$N$27+1,20,24,28,32,36,40),0)/100)))+1)),0)</f>
        <v/>
      </c>
      <c r="S1754">
        <f>IFERROR(O1754/N1754,0)</f>
        <v/>
      </c>
      <c r="T1754">
        <f>IF(C1754,(H1754*N1754*IF(AND(Inputs!$B$38&lt;&gt;"pvp",Inputs!$B$43&gt;0),((Skills!G6*((R1754-1)*IF(Skills!H6&gt;0,Skills!I6/Skills!H6,1)+IF(Skills!H6&gt;0,MIN(Skills!I6,MAX(0,MAX(0,Inputs!$B$43-B1785)-((R1754-1)*(IF(Inputs!$B$38="pvp",15,MAX(0.1,Skills!D6-IF(Skills!E6=TRUE,Inputs!$B$32,0)))*(1-IF(AND(ArtifactsInput!$M$27,Inputs!$B$4="Chapter Hunt"),CHOOSE(ArtifactsInput!$N$27+1,20,24,28,32,36,40),0)/100)))))/Skills!H6,1)))/Inputs!$B$43),G1754*Q1754)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1754*(1-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1754*(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1754*(1-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1754*(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4">
        <f>IF(C1754,(H1754*N1754*IF(AND(Inputs!$B$38&lt;&gt;"pvp",Inputs!$B$43&gt;0),((Skills!G6*((R1754-1)*IF(Skills!H6&gt;0,Skills!I6/Skills!H6,1)+IF(Skills!H6&gt;0,MIN(Skills!I6,MAX(0,MAX(0,Inputs!$B$43-B1785)-((R1754-1)*(IF(Inputs!$B$38="pvp",15,MAX(0.1,Skills!D6-IF(Skills!E6=TRUE,Inputs!$B$32,0)))*(1-IF(AND(ArtifactsInput!$M$27,Inputs!$B$4="Chapter Hunt"),CHOOSE(ArtifactsInput!$N$27+1,20,24,28,32,36,40),0)/100)))))/Skills!H6,1)))/Inputs!$B$43),G1754*Q1754))*IF(Inputs!$B$38="pvp",1,(1+(Inputs!$B$21+Skills!Q6+(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5">
      <c r="A1755">
        <f>Skills!A7</f>
        <v/>
      </c>
      <c r="B1755">
        <f>Skills!B7</f>
        <v/>
      </c>
      <c r="C1755">
        <f>Inputs!$B$3&gt;=66</f>
        <v/>
      </c>
      <c r="D1755">
        <f>IF(Skills!C7=1,60+Inputs!$B$25+Inputs!$B$29,IF(Skills!C7=2,90+Inputs!$B$26+Inputs!$B$29,IF(Skills!C7=3,120+Inputs!$B$27+Inputs!$B$29,MAX(0,(Inputs!$B$3-100)*3)+Inputs!$B$28+Inputs!$B$29)))</f>
        <v/>
      </c>
      <c r="E1755">
        <f>INDEX(FactorTable!$B$2:$Y$301, MATCH(ROUND(MIN(300,MAX(1,D1755)),0), FactorTable!$A$2:$A$301,0), Skills!M7+1)</f>
        <v/>
      </c>
      <c r="F1755">
        <f>IF(Skills!N7=TRUE,(Skills!L7/10)*(E1755/1000),Skills!L7/10)+Skills!O7</f>
        <v/>
      </c>
      <c r="G1755">
        <f>Skills!G7*IF(Skills!H7&gt;0,Skills!I7/Skills!H7,1)</f>
        <v/>
      </c>
      <c r="H1755">
        <f>1-(1-Skills!J7/100)^Skills!K7</f>
        <v/>
      </c>
      <c r="I1755" t="inlineStr">
        <is>
          <t>1</t>
        </is>
      </c>
      <c r="J1755">
        <f>((Inputs!$B$6*(1+Inputs!$B$7/100))+(((Inputs!$B$12*(1+Inputs!$B$13/100))-(Inputs!$B$12*(1+Inputs!$B$13/100)))+0.25*(Inputs!$B$14-Inputs!$B$14))*(1+Inputs!$B$7/100))*(F1755/100)</f>
        <v/>
      </c>
      <c r="K1755">
        <f>J1755*(1+((Inputs!$B$12*(1+Inputs!$B$13/100))*0.01+Inputs!$B$14*0.0025)/100)*(1+Inputs!$B$15/100)*(1+Inputs!$B$16/100)*(5000/(6000+Inputs!$B$42*(1-(100*(1-(1-(Inputs!$B$19+0)/100)*(1-CHOOSE(ArtifactsInput!$N$40+1,5,6,7,8,9,10)/100)^(ArtifactsInput!$M$40-ArtifactsInput!$M$40)))/100)))*(1+(Inputs!$B$24+((C1774=TRUE)*(F1774-Calc!F26))+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1763=TRUE,F1763,0)/100)*(1+(IF(Skills!A7="EIGHT_LEGS_EASTON",Inputs!$B$17+((C1771=TRUE)*(F1771-Calc!F23))+((C1775=TRUE)*(F1775-Calc!F27))+(((IF(AND(ArtifactsInput!$M$42,((Inputs!$B$9+((C1767=TRUE)*(F1767-Calc!F19))+B1778+(ArtifactsInput!$M$24-ArtifactsInput!$M$24)*CHOOSE(ArtifactsInput!$N$24+1,10,12,14,16,18,20)+IF(ArtifactsInput!$M$10,CHOOSE(ArtifactsInput!$N$10+1,15,18,21,24,27,30)*(IF(Inputs!$B$38="pvp",MIN(15,15)/15,IF(AND(Inputs!$B$38&lt;&gt;"pvp",Inputs!$B$43&gt;0),MIN(15,Inputs!$B$43)/(Inputs!$B$43),0))),0)))&gt;=100),MIN(100,((Inputs!$B$9+((C1767=TRUE)*(F1767-Calc!F19))+B1778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1767=TRUE)*(F1767-Calc!F19))+B1778+(ArtifactsInput!$M$24-ArtifactsInput!$M$24)*CHOOSE(ArtifactsInput!$N$24+1,10,12,14,16,18,20)+IF(ArtifactsInput!$M$10,CHOOSE(ArtifactsInput!$N$10+1,15,18,21,24,27,30)*(IF(Inputs!$B$38="pvp",MIN(15,15)/15,IF(AND(Inputs!$B$38&lt;&gt;"pvp",Inputs!$B$43&gt;0),MIN(15,Inputs!$B$43)/(Inputs!$B$43),0))),0)))&gt;=100),CHOOSE(ArtifactsInput!$N$42+1,40,48,56,64,72,80),0))))/100)*((1+(((C1765=TRUE)*F1765)+((C1772=TRUE)*(F1772-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1755)</f>
        <v/>
      </c>
      <c r="L1755">
        <f>K1755*(MIN(Inputs!$B$22+((C1770=TRUE)*(F1770-Calc!F22)),(Inputs!$B$23+0+(IF(ArtifactsInput!$M$15,CHOOSE(ArtifactsInput!$N$15+1,25,30,35,40,45,50)/100*(Inputs!$B$11-Inputs!$B$11),0))))/100+(Inputs!$B$23+0+(IF(ArtifactsInput!$M$15,CHOOSE(ArtifactsInput!$N$15+1,25,30,35,40,45,50)/100*(Inputs!$B$11-Inputs!$B$11),0)))/100)/2</f>
        <v/>
      </c>
      <c r="M1755">
        <f>L1755*(1+(Inputs!$B$10+((C1773=TRUE)*(F1773-Calc!F25))+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5">
        <f>L1755*(1-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1755*(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5">
        <f>(1-Summary!$B$11)*T1755+Summary!$B$11*V1755</f>
        <v/>
      </c>
      <c r="P1755">
        <f>IF(B1788=0,0,O1755/B1788)</f>
        <v/>
      </c>
      <c r="Q1755">
        <f>IFERROR(1/(IF(Inputs!$B$38="pvp",15,MAX(0.1,Skills!D7-IF(Skills!E7=TRUE,Inputs!$B$32,0)))*(1-IF(AND(ArtifactsInput!$M$27,Inputs!$B$4="Chapter Hunt"),CHOOSE(ArtifactsInput!$N$27+1,20,24,28,32,36,40),0)/100)),0)</f>
        <v/>
      </c>
      <c r="R1755">
        <f>IF(AND(Inputs!$B$38&lt;&gt;"pvp",Inputs!$B$43&gt;0),IF(MAX(0,Inputs!$B$43-B1785)&lt;=0,0,(INT(MAX(0,Inputs!$B$43-B1785)/(IF(Inputs!$B$38="pvp",15,MAX(0.1,Skills!D7-IF(Skills!E7=TRUE,Inputs!$B$32,0)))*(1-IF(AND(ArtifactsInput!$M$27,Inputs!$B$4="Chapter Hunt"),CHOOSE(ArtifactsInput!$N$27+1,20,24,28,32,36,40),0)/100)))+1)),0)</f>
        <v/>
      </c>
      <c r="S1755">
        <f>IFERROR(O1755/N1755,0)</f>
        <v/>
      </c>
      <c r="T1755">
        <f>IF(C1755,(H1755*N1755*IF(AND(Inputs!$B$38&lt;&gt;"pvp",Inputs!$B$43&gt;0),((Skills!G7*((R1755-1)*IF(Skills!H7&gt;0,Skills!I7/Skills!H7,1)+IF(Skills!H7&gt;0,MIN(Skills!I7,MAX(0,MAX(0,Inputs!$B$43-B1785)-((R1755-1)*(IF(Inputs!$B$38="pvp",15,MAX(0.1,Skills!D7-IF(Skills!E7=TRUE,Inputs!$B$32,0)))*(1-IF(AND(ArtifactsInput!$M$27,Inputs!$B$4="Chapter Hunt"),CHOOSE(ArtifactsInput!$N$27+1,20,24,28,32,36,40),0)/100)))))/Skills!H7,1)))/Inputs!$B$43),G1755*Q1755)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1755*(1-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1755*(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1755*(1-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1755*(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5">
        <f>IF(C1755,(H1755*N1755*IF(AND(Inputs!$B$38&lt;&gt;"pvp",Inputs!$B$43&gt;0),((Skills!G7*((R1755-1)*IF(Skills!H7&gt;0,Skills!I7/Skills!H7,1)+IF(Skills!H7&gt;0,MIN(Skills!I7,MAX(0,MAX(0,Inputs!$B$43-B1785)-((R1755-1)*(IF(Inputs!$B$38="pvp",15,MAX(0.1,Skills!D7-IF(Skills!E7=TRUE,Inputs!$B$32,0)))*(1-IF(AND(ArtifactsInput!$M$27,Inputs!$B$4="Chapter Hunt"),CHOOSE(ArtifactsInput!$N$27+1,20,24,28,32,36,40),0)/100)))))/Skills!H7,1)))/Inputs!$B$43),G1755*Q1755))*IF(Inputs!$B$38="pvp",1,(1+(Inputs!$B$21+Skills!Q7+(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6">
      <c r="A1756">
        <f>Skills!A8</f>
        <v/>
      </c>
      <c r="B1756">
        <f>Skills!B8</f>
        <v/>
      </c>
      <c r="C1756">
        <f>Inputs!$B$3&gt;=100</f>
        <v/>
      </c>
      <c r="D1756">
        <f>IF(Skills!C8=1,60+Inputs!$B$25+Inputs!$B$29,IF(Skills!C8=2,90+Inputs!$B$26+Inputs!$B$29,IF(Skills!C8=3,120+Inputs!$B$27+Inputs!$B$29,MAX(0,(Inputs!$B$3-100)*3)+Inputs!$B$28+Inputs!$B$29)))</f>
        <v/>
      </c>
      <c r="E1756">
        <f>INDEX(FactorTable!$B$2:$Y$301, MATCH(ROUND(MIN(300,MAX(1,D1756)),0), FactorTable!$A$2:$A$301,0), Skills!M8+1)</f>
        <v/>
      </c>
      <c r="F1756">
        <f>IF(Skills!N8=TRUE,(Skills!L8/10)*(E1756/1000),Skills!L8/10)+Skills!O8</f>
        <v/>
      </c>
      <c r="G1756">
        <f>Skills!G8*IF(Skills!H8&gt;0,Skills!I8/Skills!H8,1)</f>
        <v/>
      </c>
      <c r="H1756">
        <f>1-(1-Skills!J8/100)^Skills!K8</f>
        <v/>
      </c>
      <c r="I1756" t="inlineStr">
        <is>
          <t>1</t>
        </is>
      </c>
      <c r="J1756">
        <f>((Inputs!$B$6*(1+Inputs!$B$7/100))+(((Inputs!$B$12*(1+Inputs!$B$13/100))-(Inputs!$B$12*(1+Inputs!$B$13/100)))+0.25*(Inputs!$B$14-Inputs!$B$14))*(1+Inputs!$B$7/100))*(F1756/100)</f>
        <v/>
      </c>
      <c r="K1756">
        <f>J1756*(1+((Inputs!$B$12*(1+Inputs!$B$13/100))*0.01+Inputs!$B$14*0.0025)/100)*(1+Inputs!$B$15/100)*(1+Inputs!$B$16/100)*(5000/(6000+Inputs!$B$42*(1-(100*(1-(1-(Inputs!$B$19+0)/100)*(1-CHOOSE(ArtifactsInput!$N$40+1,5,6,7,8,9,10)/100)^(ArtifactsInput!$M$40-ArtifactsInput!$M$40)))/100)))*(1+(Inputs!$B$24+((C1774=TRUE)*(F1774-Calc!F26))+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1771=TRUE)*(F1771-Calc!F23))+((C1775=TRUE)*(F1775-Calc!F27))+(((IF(AND(ArtifactsInput!$M$42,((Inputs!$B$9+((C1767=TRUE)*(F1767-Calc!F19))+B1778+(ArtifactsInput!$M$24-ArtifactsInput!$M$24)*CHOOSE(ArtifactsInput!$N$24+1,10,12,14,16,18,20)+IF(ArtifactsInput!$M$10,CHOOSE(ArtifactsInput!$N$10+1,15,18,21,24,27,30)*(IF(Inputs!$B$38="pvp",MIN(15,15)/15,IF(AND(Inputs!$B$38&lt;&gt;"pvp",Inputs!$B$43&gt;0),MIN(15,Inputs!$B$43)/(Inputs!$B$43),0))),0)))&gt;=100),MIN(100,((Inputs!$B$9+((C1767=TRUE)*(F1767-Calc!F19))+B1778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1767=TRUE)*(F1767-Calc!F19))+B1778+(ArtifactsInput!$M$24-ArtifactsInput!$M$24)*CHOOSE(ArtifactsInput!$N$24+1,10,12,14,16,18,20)+IF(ArtifactsInput!$M$10,CHOOSE(ArtifactsInput!$N$10+1,15,18,21,24,27,30)*(IF(Inputs!$B$38="pvp",MIN(15,15)/15,IF(AND(Inputs!$B$38&lt;&gt;"pvp",Inputs!$B$43&gt;0),MIN(15,Inputs!$B$43)/(Inputs!$B$43),0))),0)))&gt;=100),CHOOSE(ArtifactsInput!$N$42+1,40,48,56,64,72,80),0))))/100)*((1+(((C1765=TRUE)*F1765)+((C1772=TRUE)*(F1772-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1756)</f>
        <v/>
      </c>
      <c r="L1756">
        <f>K1756*(MIN(Inputs!$B$22+((C1770=TRUE)*(F1770-Calc!F22)),(Inputs!$B$23+0+(IF(ArtifactsInput!$M$15,CHOOSE(ArtifactsInput!$N$15+1,25,30,35,40,45,50)/100*(Inputs!$B$11-Inputs!$B$11),0))))/100+(Inputs!$B$23+0+(IF(ArtifactsInput!$M$15,CHOOSE(ArtifactsInput!$N$15+1,25,30,35,40,45,50)/100*(Inputs!$B$11-Inputs!$B$11),0)))/100)/2</f>
        <v/>
      </c>
      <c r="M1756">
        <f>L1756*(1+(Inputs!$B$10+((C1773=TRUE)*(F1773-Calc!F25))+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6">
        <f>L1756*(1-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(1-Summary!$B$11)*T1756+Summary!$B$11*V1756</f>
        <v/>
      </c>
      <c r="P1756">
        <f>IF(B1788=0,0,O1756/B1788)</f>
        <v/>
      </c>
      <c r="Q1756">
        <f>IFERROR(1/(IF(Inputs!$B$38="pvp",15,MAX(0.1,Skills!D8-IF(Skills!E8=TRUE,Inputs!$B$32,0)))*(1-IF(AND(ArtifactsInput!$M$27,Inputs!$B$4="Chapter Hunt"),CHOOSE(ArtifactsInput!$N$27+1,20,24,28,32,36,40),0)/100)),0)</f>
        <v/>
      </c>
      <c r="R1756">
        <f>IF(AND(Inputs!$B$38&lt;&gt;"pvp",Inputs!$B$43&gt;0),IF(MAX(0,Inputs!$B$43-B1785)&lt;=0,0,(INT(MAX(0,Inputs!$B$43-B1785)/(IF(Inputs!$B$38="pvp",15,MAX(0.1,Skills!D8-IF(Skills!E8=TRUE,Inputs!$B$32,0)))*(1-IF(AND(ArtifactsInput!$M$27,Inputs!$B$4="Chapter Hunt"),CHOOSE(ArtifactsInput!$N$27+1,20,24,28,32,36,40),0)/100)))+1)),0)</f>
        <v/>
      </c>
      <c r="S1756">
        <f>IFERROR(O1756/N1756,0)</f>
        <v/>
      </c>
      <c r="T1756">
        <f>IF(C1756,(H1756*N1756*IF(AND(Inputs!$B$38&lt;&gt;"pvp",Inputs!$B$43&gt;0),((Skills!G8*((R1756-1)*IF(Skills!H8&gt;0,Skills!I8/Skills!H8,1)+IF(Skills!H8&gt;0,MIN(Skills!I8,MAX(0,MAX(0,Inputs!$B$43-B1785)-((R1756-1)*(IF(Inputs!$B$38="pvp",15,MAX(0.1,Skills!D8-IF(Skills!E8=TRUE,Inputs!$B$32,0)))*(1-IF(AND(ArtifactsInput!$M$27,Inputs!$B$4="Chapter Hunt"),CHOOSE(ArtifactsInput!$N$27+1,20,24,28,32,36,40),0)/100)))))/Skills!H8,1)))/Inputs!$B$43),G1756*Q1756)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1756*(1-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6">
        <f>IF(C1756,(H1756*N1756*IF(AND(Inputs!$B$38&lt;&gt;"pvp",Inputs!$B$43&gt;0),((Skills!G8*((R1756-1)*IF(Skills!H8&gt;0,Skills!I8/Skills!H8,1)+IF(Skills!H8&gt;0,MIN(Skills!I8,MAX(0,MAX(0,Inputs!$B$43-B1785)-((R1756-1)*(IF(Inputs!$B$38="pvp",15,MAX(0.1,Skills!D8-IF(Skills!E8=TRUE,Inputs!$B$32,0)))*(1-IF(AND(ArtifactsInput!$M$27,Inputs!$B$4="Chapter Hunt"),CHOOSE(ArtifactsInput!$N$27+1,20,24,28,32,36,40),0)/100)))))/Skills!H8,1)))/Inputs!$B$43),G1756*Q1756))*IF(Inputs!$B$38="pvp",1,(1+(Inputs!$B$21+Skills!Q8+(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Skills!A9</f>
        <v/>
      </c>
      <c r="B1757">
        <f>Skills!B9</f>
        <v/>
      </c>
      <c r="C1757">
        <f>Inputs!$B$3&gt;=103</f>
        <v/>
      </c>
      <c r="D1757">
        <f>IF(Skills!C9=1,60+Inputs!$B$25+Inputs!$B$29,IF(Skills!C9=2,90+Inputs!$B$26+Inputs!$B$29,IF(Skills!C9=3,120+Inputs!$B$27+Inputs!$B$29,MAX(0,(Inputs!$B$3-100)*3)+Inputs!$B$28+Inputs!$B$29)))</f>
        <v/>
      </c>
      <c r="E1757">
        <f>INDEX(FactorTable!$B$2:$Y$301, MATCH(ROUND(MIN(300,MAX(1,D1757)),0), FactorTable!$A$2:$A$301,0), Skills!M9+1)</f>
        <v/>
      </c>
      <c r="F1757">
        <f>IF(Skills!N9=TRUE,(Skills!L9/10)*(E1757/1000),Skills!L9/10)+Skills!O9</f>
        <v/>
      </c>
      <c r="G1757">
        <f>Skills!G9*IF(Skills!H9&gt;0,Skills!I9/Skills!H9,1)</f>
        <v/>
      </c>
      <c r="H1757">
        <f>1-(1-Skills!J9/100)^Skills!K9</f>
        <v/>
      </c>
      <c r="I1757" t="inlineStr">
        <is>
          <t>1</t>
        </is>
      </c>
      <c r="J1757">
        <f>((Inputs!$B$6*(1+Inputs!$B$7/100))+(((Inputs!$B$12*(1+Inputs!$B$13/100))-(Inputs!$B$12*(1+Inputs!$B$13/100)))+0.25*(Inputs!$B$14-Inputs!$B$14))*(1+Inputs!$B$7/100))*(F1757/100)</f>
        <v/>
      </c>
      <c r="K1757">
        <f>J1757*(1+((Inputs!$B$12*(1+Inputs!$B$13/100))*0.01+Inputs!$B$14*0.0025)/100)*(1+Inputs!$B$15/100)*(1+Inputs!$B$16/100)*(5000/(6000+Inputs!$B$42*(1-(100*(1-(1-(Inputs!$B$19+0)/100)*(1-CHOOSE(ArtifactsInput!$N$40+1,5,6,7,8,9,10)/100)^(ArtifactsInput!$M$40-ArtifactsInput!$M$40)))/100)))*(1+(Inputs!$B$24+((C1774=TRUE)*(F1774-Calc!F26))+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1771=TRUE)*(F1771-Calc!F23))+((C1775=TRUE)*(F1775-Calc!F27))+(((IF(AND(ArtifactsInput!$M$42,((Inputs!$B$9+((C1767=TRUE)*(F1767-Calc!F19))+B1778+(ArtifactsInput!$M$24-ArtifactsInput!$M$24)*CHOOSE(ArtifactsInput!$N$24+1,10,12,14,16,18,20)+IF(ArtifactsInput!$M$10,CHOOSE(ArtifactsInput!$N$10+1,15,18,21,24,27,30)*(IF(Inputs!$B$38="pvp",MIN(15,15)/15,IF(AND(Inputs!$B$38&lt;&gt;"pvp",Inputs!$B$43&gt;0),MIN(15,Inputs!$B$43)/(Inputs!$B$43),0))),0)))&gt;=100),MIN(100,((Inputs!$B$9+((C1767=TRUE)*(F1767-Calc!F19))+B1778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1767=TRUE)*(F1767-Calc!F19))+B1778+(ArtifactsInput!$M$24-ArtifactsInput!$M$24)*CHOOSE(ArtifactsInput!$N$24+1,10,12,14,16,18,20)+IF(ArtifactsInput!$M$10,CHOOSE(ArtifactsInput!$N$10+1,15,18,21,24,27,30)*(IF(Inputs!$B$38="pvp",MIN(15,15)/15,IF(AND(Inputs!$B$38&lt;&gt;"pvp",Inputs!$B$43&gt;0),MIN(15,Inputs!$B$43)/(Inputs!$B$43),0))),0)))&gt;=100),CHOOSE(ArtifactsInput!$N$42+1,40,48,56,64,72,80),0))))/100)*((1+(((C1765=TRUE)*F1765)+((C1772=TRUE)*(F1772-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1757)</f>
        <v/>
      </c>
      <c r="L1757">
        <f>K1757*(MIN(Inputs!$B$22+((C1770=TRUE)*(F1770-Calc!F22)),(Inputs!$B$23+0+(IF(ArtifactsInput!$M$15,CHOOSE(ArtifactsInput!$N$15+1,25,30,35,40,45,50)/100*(Inputs!$B$11-Inputs!$B$11),0))))/100+(Inputs!$B$23+0+(IF(ArtifactsInput!$M$15,CHOOSE(ArtifactsInput!$N$15+1,25,30,35,40,45,50)/100*(Inputs!$B$11-Inputs!$B$11),0)))/100)/2</f>
        <v/>
      </c>
      <c r="M1757">
        <f>L1757*(1+(Inputs!$B$10+((C1773=TRUE)*(F1773-Calc!F25))+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7">
        <f>L1757*(1-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(1-Summary!$B$11)*T1757+Summary!$B$11*V1757</f>
        <v/>
      </c>
      <c r="P1757">
        <f>IF(B1788=0,0,O1757/B1788)</f>
        <v/>
      </c>
      <c r="Q1757">
        <f>IFERROR(1/(IF(Inputs!$B$38="pvp",15,MAX(0.1,Skills!D9-IF(Skills!E9=TRUE,Inputs!$B$32,0)))*(1-IF(AND(ArtifactsInput!$M$27,Inputs!$B$4="Chapter Hunt"),CHOOSE(ArtifactsInput!$N$27+1,20,24,28,32,36,40),0)/100)),0)</f>
        <v/>
      </c>
      <c r="R1757">
        <f>IF(AND(Inputs!$B$38&lt;&gt;"pvp",Inputs!$B$43&gt;0),IF(MAX(0,Inputs!$B$43-B1785)&lt;=0,0,(INT(MAX(0,Inputs!$B$43-B1785)/(IF(Inputs!$B$38="pvp",15,MAX(0.1,Skills!D9-IF(Skills!E9=TRUE,Inputs!$B$32,0)))*(1-IF(AND(ArtifactsInput!$M$27,Inputs!$B$4="Chapter Hunt"),CHOOSE(ArtifactsInput!$N$27+1,20,24,28,32,36,40),0)/100)))+1)),0)</f>
        <v/>
      </c>
      <c r="S1757">
        <f>IFERROR(O1757/N1757,0)</f>
        <v/>
      </c>
      <c r="T1757">
        <f>IF(C1757,(H1757*N1757*IF(AND(Inputs!$B$38&lt;&gt;"pvp",Inputs!$B$43&gt;0),((Skills!G9*((R1757-1)*IF(Skills!H9&gt;0,Skills!I9/Skills!H9,1)+IF(Skills!H9&gt;0,MIN(Skills!I9,MAX(0,MAX(0,Inputs!$B$43-B1785)-((R1757-1)*(IF(Inputs!$B$38="pvp",15,MAX(0.1,Skills!D9-IF(Skills!E9=TRUE,Inputs!$B$32,0)))*(1-IF(AND(ArtifactsInput!$M$27,Inputs!$B$4="Chapter Hunt"),CHOOSE(ArtifactsInput!$N$27+1,20,24,28,32,36,40),0)/100)))))/Skills!H9,1)))/Inputs!$B$43),G1757*Q1757)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1757*(1-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7">
        <f>IF(C1757,(H1757*N1757*IF(AND(Inputs!$B$38&lt;&gt;"pvp",Inputs!$B$43&gt;0),((Skills!G9*((R1757-1)*IF(Skills!H9&gt;0,Skills!I9/Skills!H9,1)+IF(Skills!H9&gt;0,MIN(Skills!I9,MAX(0,MAX(0,Inputs!$B$43-B1785)-((R1757-1)*(IF(Inputs!$B$38="pvp",15,MAX(0.1,Skills!D9-IF(Skills!E9=TRUE,Inputs!$B$32,0)))*(1-IF(AND(ArtifactsInput!$M$27,Inputs!$B$4="Chapter Hunt"),CHOOSE(ArtifactsInput!$N$27+1,20,24,28,32,36,40),0)/100)))))/Skills!H9,1)))/Inputs!$B$43),G1757*Q1757))*IF(Inputs!$B$38="pvp",1,(1+(Inputs!$B$21+Skills!Q9+(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Skills!A10</f>
        <v/>
      </c>
      <c r="B1758">
        <f>Skills!B10</f>
        <v/>
      </c>
      <c r="C1758">
        <f>Inputs!$B$3&gt;=113</f>
        <v/>
      </c>
      <c r="D1758">
        <f>IF(Skills!C10=1,60+Inputs!$B$25+Inputs!$B$29,IF(Skills!C10=2,90+Inputs!$B$26+Inputs!$B$29,IF(Skills!C10=3,120+Inputs!$B$27+Inputs!$B$29,MAX(0,(Inputs!$B$3-100)*3)+Inputs!$B$28+Inputs!$B$29)))</f>
        <v/>
      </c>
      <c r="E1758">
        <f>INDEX(FactorTable!$B$2:$Y$301, MATCH(ROUND(MIN(300,MAX(1,D1758)),0), FactorTable!$A$2:$A$301,0), Skills!M10+1)</f>
        <v/>
      </c>
      <c r="F1758">
        <f>IF(Skills!N10=TRUE,(Skills!L10/10)*(E1758/1000),Skills!L10/10)+Skills!O10</f>
        <v/>
      </c>
      <c r="G1758">
        <f>Skills!G10*IF(Skills!H10&gt;0,Skills!I10/Skills!H10,1)</f>
        <v/>
      </c>
      <c r="H1758">
        <f>1-(1-Skills!J10/100)^Skills!K10</f>
        <v/>
      </c>
      <c r="I1758" t="inlineStr">
        <is>
          <t>1</t>
        </is>
      </c>
      <c r="J1758">
        <f>((Inputs!$B$6*(1+Inputs!$B$7/100))+(((Inputs!$B$12*(1+Inputs!$B$13/100))-(Inputs!$B$12*(1+Inputs!$B$13/100)))+0.25*(Inputs!$B$14-Inputs!$B$14))*(1+Inputs!$B$7/100))*(F1758/100)</f>
        <v/>
      </c>
      <c r="K1758">
        <f>J1758*(1+((Inputs!$B$12*(1+Inputs!$B$13/100))*0.01+Inputs!$B$14*0.0025)/100)*(1+Inputs!$B$15/100)*(1+Inputs!$B$16/100)*(5000/(6000+Inputs!$B$42*(1-(100*(1-(1-(Inputs!$B$19+0)/100)*(1-CHOOSE(ArtifactsInput!$N$40+1,5,6,7,8,9,10)/100)^(ArtifactsInput!$M$40-ArtifactsInput!$M$40)))/100)))*(1+(Inputs!$B$24+((C1774=TRUE)*(F1774-Calc!F26))+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1771=TRUE)*(F1771-Calc!F23))+((C1775=TRUE)*(F1775-Calc!F27))+(((IF(AND(ArtifactsInput!$M$42,((Inputs!$B$9+((C1767=TRUE)*(F1767-Calc!F19))+B1778+(ArtifactsInput!$M$24-ArtifactsInput!$M$24)*CHOOSE(ArtifactsInput!$N$24+1,10,12,14,16,18,20)+IF(ArtifactsInput!$M$10,CHOOSE(ArtifactsInput!$N$10+1,15,18,21,24,27,30)*(IF(Inputs!$B$38="pvp",MIN(15,15)/15,IF(AND(Inputs!$B$38&lt;&gt;"pvp",Inputs!$B$43&gt;0),MIN(15,Inputs!$B$43)/(Inputs!$B$43),0))),0)))&gt;=100),MIN(100,((Inputs!$B$9+((C1767=TRUE)*(F1767-Calc!F19))+B1778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1767=TRUE)*(F1767-Calc!F19))+B1778+(ArtifactsInput!$M$24-ArtifactsInput!$M$24)*CHOOSE(ArtifactsInput!$N$24+1,10,12,14,16,18,20)+IF(ArtifactsInput!$M$10,CHOOSE(ArtifactsInput!$N$10+1,15,18,21,24,27,30)*(IF(Inputs!$B$38="pvp",MIN(15,15)/15,IF(AND(Inputs!$B$38&lt;&gt;"pvp",Inputs!$B$43&gt;0),MIN(15,Inputs!$B$43)/(Inputs!$B$43),0))),0)))&gt;=100),CHOOSE(ArtifactsInput!$N$42+1,40,48,56,64,72,80),0))))/100)*((1+(((C1765=TRUE)*F1765)+((C1772=TRUE)*(F1772-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1758)</f>
        <v/>
      </c>
      <c r="L1758">
        <f>K1758*(MIN(Inputs!$B$22+((C1770=TRUE)*(F1770-Calc!F22)),(Inputs!$B$23+0+(IF(ArtifactsInput!$M$15,CHOOSE(ArtifactsInput!$N$15+1,25,30,35,40,45,50)/100*(Inputs!$B$11-Inputs!$B$11),0))))/100+(Inputs!$B$23+0+(IF(ArtifactsInput!$M$15,CHOOSE(ArtifactsInput!$N$15+1,25,30,35,40,45,50)/100*(Inputs!$B$11-Inputs!$B$11),0)))/100)/2</f>
        <v/>
      </c>
      <c r="M1758">
        <f>L1758*(1+(Inputs!$B$10+((C1773=TRUE)*(F1773-Calc!F25))+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8">
        <f>L1758*(1-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1758*(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8">
        <f>(1-Summary!$B$11)*T1758+Summary!$B$11*V1758</f>
        <v/>
      </c>
      <c r="P1758">
        <f>IF(B1788=0,0,O1758/B1788)</f>
        <v/>
      </c>
      <c r="Q1758">
        <f>IFERROR(1/(IF(Inputs!$B$38="pvp",15,MAX(0.1,Skills!D10-IF(Skills!E10=TRUE,Inputs!$B$32,0)))*(1-IF(AND(ArtifactsInput!$M$27,Inputs!$B$4="Chapter Hunt"),CHOOSE(ArtifactsInput!$N$27+1,20,24,28,32,36,40),0)/100)),0)</f>
        <v/>
      </c>
      <c r="R1758">
        <f>IF(AND(Inputs!$B$38&lt;&gt;"pvp",Inputs!$B$43&gt;0),IF(MAX(0,Inputs!$B$43-B1785)&lt;=0,0,(INT(MAX(0,Inputs!$B$43-B1785)/(IF(Inputs!$B$38="pvp",15,MAX(0.1,Skills!D10-IF(Skills!E10=TRUE,Inputs!$B$32,0)))*(1-IF(AND(ArtifactsInput!$M$27,Inputs!$B$4="Chapter Hunt"),CHOOSE(ArtifactsInput!$N$27+1,20,24,28,32,36,40),0)/100)))+1)),0)</f>
        <v/>
      </c>
      <c r="S1758">
        <f>IFERROR(O1758/N1758,0)</f>
        <v/>
      </c>
      <c r="T1758">
        <f>IF(C1758,(H1758*N1758*IF(AND(Inputs!$B$38&lt;&gt;"pvp",Inputs!$B$43&gt;0),((Skills!G10*((R1758-1)*IF(Skills!H10&gt;0,Skills!I10/Skills!H10,1)+IF(Skills!H10&gt;0,MIN(Skills!I10,MAX(0,MAX(0,Inputs!$B$43-B1785)-((R1758-1)*(IF(Inputs!$B$38="pvp",15,MAX(0.1,Skills!D10-IF(Skills!E10=TRUE,Inputs!$B$32,0)))*(1-IF(AND(ArtifactsInput!$M$27,Inputs!$B$4="Chapter Hunt"),CHOOSE(ArtifactsInput!$N$27+1,20,24,28,32,36,40),0)/100)))))/Skills!H10,1)))/Inputs!$B$43),G1758*Q1758)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1758*(1-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1758*(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1758*(1-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1758*(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8">
        <f>IF(C1758,(H1758*N1758*IF(AND(Inputs!$B$38&lt;&gt;"pvp",Inputs!$B$43&gt;0),((Skills!G10*((R1758-1)*IF(Skills!H10&gt;0,Skills!I10/Skills!H10,1)+IF(Skills!H10&gt;0,MIN(Skills!I10,MAX(0,MAX(0,Inputs!$B$43-B1785)-((R1758-1)*(IF(Inputs!$B$38="pvp",15,MAX(0.1,Skills!D10-IF(Skills!E10=TRUE,Inputs!$B$32,0)))*(1-IF(AND(ArtifactsInput!$M$27,Inputs!$B$4="Chapter Hunt"),CHOOSE(ArtifactsInput!$N$27+1,20,24,28,32,36,40),0)/100)))))/Skills!H10,1)))/Inputs!$B$43),G1758*Q1758))*IF(Inputs!$B$38="pvp",1,(1+(Inputs!$B$21+Skills!Q10+(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9">
      <c r="A1759">
        <f>Skills!A11</f>
        <v/>
      </c>
      <c r="B1759">
        <f>Skills!B11</f>
        <v/>
      </c>
      <c r="C1759">
        <f>Inputs!$B$3&gt;=107</f>
        <v/>
      </c>
      <c r="D1759">
        <f>IF(Skills!C11=1,60+Inputs!$B$25+Inputs!$B$29,IF(Skills!C11=2,90+Inputs!$B$26+Inputs!$B$29,IF(Skills!C11=3,120+Inputs!$B$27+Inputs!$B$29,MAX(0,(Inputs!$B$3-100)*3)+Inputs!$B$28+Inputs!$B$29)))</f>
        <v/>
      </c>
      <c r="E1759">
        <f>INDEX(FactorTable!$B$2:$Y$301, MATCH(ROUND(MIN(300,MAX(1,D1759)),0), FactorTable!$A$2:$A$301,0), Skills!M11+1)</f>
        <v/>
      </c>
      <c r="F1759">
        <f>IF(Skills!N11=TRUE,(Skills!L11/10)*(E1759/1000),Skills!L11/10)+Skills!O11</f>
        <v/>
      </c>
      <c r="G1759">
        <f>Skills!G11*IF(Skills!H11&gt;0,Skills!I11/Skills!H11,1)</f>
        <v/>
      </c>
      <c r="H1759">
        <f>1-(1-Skills!J11/100)^Skills!K11</f>
        <v/>
      </c>
      <c r="I1759" t="inlineStr">
        <is>
          <t>1</t>
        </is>
      </c>
      <c r="J1759">
        <f>((Inputs!$B$6*(1+Inputs!$B$7/100))+(((Inputs!$B$12*(1+Inputs!$B$13/100))-(Inputs!$B$12*(1+Inputs!$B$13/100)))+0.25*(Inputs!$B$14-Inputs!$B$14))*(1+Inputs!$B$7/100))*(F1759/100)</f>
        <v/>
      </c>
      <c r="K1759">
        <f>J1759*(1+((Inputs!$B$12*(1+Inputs!$B$13/100))*0.01+Inputs!$B$14*0.0025)/100)*(1+Inputs!$B$15/100)*(1+Inputs!$B$16/100)*(5000/(6000+Inputs!$B$42*(1-(100*(1-(1-(Inputs!$B$19+0)/100)*(1-CHOOSE(ArtifactsInput!$N$40+1,5,6,7,8,9,10)/100)^(ArtifactsInput!$M$40-ArtifactsInput!$M$40)))/100)))*(1+(Inputs!$B$24+((C1774=TRUE)*(F1774-Calc!F26))+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1771=TRUE)*(F1771-Calc!F23))+((C1775=TRUE)*(F1775-Calc!F27))+(((IF(AND(ArtifactsInput!$M$42,((Inputs!$B$9+((C1767=TRUE)*(F1767-Calc!F19))+B1778+(ArtifactsInput!$M$24-ArtifactsInput!$M$24)*CHOOSE(ArtifactsInput!$N$24+1,10,12,14,16,18,20)+IF(ArtifactsInput!$M$10,CHOOSE(ArtifactsInput!$N$10+1,15,18,21,24,27,30)*(IF(Inputs!$B$38="pvp",MIN(15,15)/15,IF(AND(Inputs!$B$38&lt;&gt;"pvp",Inputs!$B$43&gt;0),MIN(15,Inputs!$B$43)/(Inputs!$B$43),0))),0)))&gt;=100),MIN(100,((Inputs!$B$9+((C1767=TRUE)*(F1767-Calc!F19))+B1778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1767=TRUE)*(F1767-Calc!F19))+B1778+(ArtifactsInput!$M$24-ArtifactsInput!$M$24)*CHOOSE(ArtifactsInput!$N$24+1,10,12,14,16,18,20)+IF(ArtifactsInput!$M$10,CHOOSE(ArtifactsInput!$N$10+1,15,18,21,24,27,30)*(IF(Inputs!$B$38="pvp",MIN(15,15)/15,IF(AND(Inputs!$B$38&lt;&gt;"pvp",Inputs!$B$43&gt;0),MIN(15,Inputs!$B$43)/(Inputs!$B$43),0))),0)))&gt;=100),CHOOSE(ArtifactsInput!$N$42+1,40,48,56,64,72,80),0))))/100)*((1+(((C1765=TRUE)*F1765)+((C1772=TRUE)*(F1772-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1759)</f>
        <v/>
      </c>
      <c r="L1759">
        <f>K1759*(MIN(Inputs!$B$22+((C1770=TRUE)*(F1770-Calc!F22)),(Inputs!$B$23+0+(IF(ArtifactsInput!$M$15,CHOOSE(ArtifactsInput!$N$15+1,25,30,35,40,45,50)/100*(Inputs!$B$11-Inputs!$B$11),0))))/100+(Inputs!$B$23+0+(IF(ArtifactsInput!$M$15,CHOOSE(ArtifactsInput!$N$15+1,25,30,35,40,45,50)/100*(Inputs!$B$11-Inputs!$B$11),0)))/100)/2</f>
        <v/>
      </c>
      <c r="M1759">
        <f>L1759*(1+(Inputs!$B$10+((C1773=TRUE)*(F1773-Calc!F25))+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9">
        <f>L1759*(1-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1759*(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9">
        <f>(1-Summary!$B$11)*T1759+Summary!$B$11*V1759</f>
        <v/>
      </c>
      <c r="P1759">
        <f>IF(B1788=0,0,O1759/B1788)</f>
        <v/>
      </c>
      <c r="Q1759">
        <f>IFERROR(1/(IF(Inputs!$B$38="pvp",15,MAX(0.1,Skills!D11-IF(Skills!E11=TRUE,Inputs!$B$32,0)))*(1-IF(AND(ArtifactsInput!$M$27,Inputs!$B$4="Chapter Hunt"),CHOOSE(ArtifactsInput!$N$27+1,20,24,28,32,36,40),0)/100)),0)</f>
        <v/>
      </c>
      <c r="R1759">
        <f>IF(AND(Inputs!$B$38&lt;&gt;"pvp",Inputs!$B$43&gt;0),IF(MAX(0,Inputs!$B$43-B1785)&lt;=0,0,(INT(MAX(0,Inputs!$B$43-B1785)/(IF(Inputs!$B$38="pvp",15,MAX(0.1,Skills!D11-IF(Skills!E11=TRUE,Inputs!$B$32,0)))*(1-IF(AND(ArtifactsInput!$M$27,Inputs!$B$4="Chapter Hunt"),CHOOSE(ArtifactsInput!$N$27+1,20,24,28,32,36,40),0)/100)))+1)),0)</f>
        <v/>
      </c>
      <c r="S1759">
        <f>IFERROR(O1759/N1759,0)</f>
        <v/>
      </c>
      <c r="T1759">
        <f>IF(C1759,(H1759*N1759*IF(AND(Inputs!$B$38&lt;&gt;"pvp",Inputs!$B$43&gt;0),((Skills!G11*((R1759-1)*IF(Skills!H11&gt;0,Skills!I11/Skills!H11,1)+IF(Skills!H11&gt;0,MIN(Skills!I11,MAX(0,MAX(0,Inputs!$B$43-B1785)-((R1759-1)*(IF(Inputs!$B$38="pvp",15,MAX(0.1,Skills!D11-IF(Skills!E11=TRUE,Inputs!$B$32,0)))*(1-IF(AND(ArtifactsInput!$M$27,Inputs!$B$4="Chapter Hunt"),CHOOSE(ArtifactsInput!$N$27+1,20,24,28,32,36,40),0)/100)))))/Skills!H11,1)))/Inputs!$B$43),G1759*Q1759)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1759*(1-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1759*(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1759*(1-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1759*(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9">
        <f>IF(C1759,(H1759*N1759*IF(AND(Inputs!$B$38&lt;&gt;"pvp",Inputs!$B$43&gt;0),((Skills!G11*((R1759-1)*IF(Skills!H11&gt;0,Skills!I11/Skills!H11,1)+IF(Skills!H11&gt;0,MIN(Skills!I11,MAX(0,MAX(0,Inputs!$B$43-B1785)-((R1759-1)*(IF(Inputs!$B$38="pvp",15,MAX(0.1,Skills!D11-IF(Skills!E11=TRUE,Inputs!$B$32,0)))*(1-IF(AND(ArtifactsInput!$M$27,Inputs!$B$4="Chapter Hunt"),CHOOSE(ArtifactsInput!$N$27+1,20,24,28,32,36,40),0)/100)))))/Skills!H11,1)))/Inputs!$B$43),G1759*Q1759))*IF(Inputs!$B$38="pvp",1,(1+(Inputs!$B$21+Skills!Q11+(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0">
      <c r="A1760">
        <f>Skills!A12</f>
        <v/>
      </c>
      <c r="B1760">
        <f>Skills!B12</f>
        <v/>
      </c>
      <c r="C1760">
        <f>Inputs!$B$3&gt;=110</f>
        <v/>
      </c>
      <c r="D1760">
        <f>IF(Skills!C12=1,60+Inputs!$B$25+Inputs!$B$29,IF(Skills!C12=2,90+Inputs!$B$26+Inputs!$B$29,IF(Skills!C12=3,120+Inputs!$B$27+Inputs!$B$29,MAX(0,(Inputs!$B$3-100)*3)+Inputs!$B$28+Inputs!$B$29)))</f>
        <v/>
      </c>
      <c r="E1760">
        <f>INDEX(FactorTable!$B$2:$Y$301, MATCH(ROUND(MIN(300,MAX(1,D1760)),0), FactorTable!$A$2:$A$301,0), Skills!M12+1)</f>
        <v/>
      </c>
      <c r="F1760">
        <f>IF(Skills!N12=TRUE,(Skills!L12/10)*(E1760/1000),Skills!L12/10)+Skills!O12</f>
        <v/>
      </c>
      <c r="G1760">
        <f>Skills!G12*IF(Skills!H12&gt;0,Skills!I12/Skills!H12,1)</f>
        <v/>
      </c>
      <c r="H1760">
        <f>1-(1-Skills!J12/100)^Skills!K12</f>
        <v/>
      </c>
      <c r="I1760" t="inlineStr">
        <is>
          <t>1</t>
        </is>
      </c>
      <c r="J1760">
        <f>((Inputs!$B$6*(1+Inputs!$B$7/100))+(((Inputs!$B$12*(1+Inputs!$B$13/100))-(Inputs!$B$12*(1+Inputs!$B$13/100)))+0.25*(Inputs!$B$14-Inputs!$B$14))*(1+Inputs!$B$7/100))*(F1760/100)</f>
        <v/>
      </c>
      <c r="K1760">
        <f>J1760*(1+((Inputs!$B$12*(1+Inputs!$B$13/100))*0.01+Inputs!$B$14*0.0025)/100)*(1+Inputs!$B$15/100)*(1+Inputs!$B$16/100)*(5000/(6000+Inputs!$B$42*(1-(100*(1-(1-(Inputs!$B$19+0)/100)*(1-CHOOSE(ArtifactsInput!$N$40+1,5,6,7,8,9,10)/100)^(ArtifactsInput!$M$40-ArtifactsInput!$M$40)))/100)))*(1+(Inputs!$B$24+((C1774=TRUE)*(F1774-Calc!F26))+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1771=TRUE)*(F1771-Calc!F23))+((C1775=TRUE)*(F1775-Calc!F27))+(((IF(AND(ArtifactsInput!$M$42,((Inputs!$B$9+((C1767=TRUE)*(F1767-Calc!F19))+B1778+(ArtifactsInput!$M$24-ArtifactsInput!$M$24)*CHOOSE(ArtifactsInput!$N$24+1,10,12,14,16,18,20)+IF(ArtifactsInput!$M$10,CHOOSE(ArtifactsInput!$N$10+1,15,18,21,24,27,30)*(IF(Inputs!$B$38="pvp",MIN(15,15)/15,IF(AND(Inputs!$B$38&lt;&gt;"pvp",Inputs!$B$43&gt;0),MIN(15,Inputs!$B$43)/(Inputs!$B$43),0))),0)))&gt;=100),MIN(100,((Inputs!$B$9+((C1767=TRUE)*(F1767-Calc!F19))+B1778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1767=TRUE)*(F1767-Calc!F19))+B1778+(ArtifactsInput!$M$24-ArtifactsInput!$M$24)*CHOOSE(ArtifactsInput!$N$24+1,10,12,14,16,18,20)+IF(ArtifactsInput!$M$10,CHOOSE(ArtifactsInput!$N$10+1,15,18,21,24,27,30)*(IF(Inputs!$B$38="pvp",MIN(15,15)/15,IF(AND(Inputs!$B$38&lt;&gt;"pvp",Inputs!$B$43&gt;0),MIN(15,Inputs!$B$43)/(Inputs!$B$43),0))),0)))&gt;=100),CHOOSE(ArtifactsInput!$N$42+1,40,48,56,64,72,80),0))))/100)*((1+(((C1765=TRUE)*F1765)+((C1772=TRUE)*(F1772-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1760)</f>
        <v/>
      </c>
      <c r="L1760">
        <f>K1760*(MIN(Inputs!$B$22+((C1770=TRUE)*(F1770-Calc!F22)),(Inputs!$B$23+0+(IF(ArtifactsInput!$M$15,CHOOSE(ArtifactsInput!$N$15+1,25,30,35,40,45,50)/100*(Inputs!$B$11-Inputs!$B$11),0))))/100+(Inputs!$B$23+0+(IF(ArtifactsInput!$M$15,CHOOSE(ArtifactsInput!$N$15+1,25,30,35,40,45,50)/100*(Inputs!$B$11-Inputs!$B$11),0)))/100)/2</f>
        <v/>
      </c>
      <c r="M1760">
        <f>L1760*(1+(Inputs!$B$10+((C1773=TRUE)*(F1773-Calc!F25))+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0">
        <f>L1760*(1-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1760*(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0">
        <f>(1-Summary!$B$11)*T1760+Summary!$B$11*V1760</f>
        <v/>
      </c>
      <c r="P1760">
        <f>IF(B1788=0,0,O1760/B1788)</f>
        <v/>
      </c>
      <c r="Q1760">
        <f>IFERROR(1/(IF(Inputs!$B$38="pvp",15,MAX(0.1,Skills!D12-IF(Skills!E12=TRUE,Inputs!$B$32,0)))*(1-IF(AND(ArtifactsInput!$M$27,Inputs!$B$4="Chapter Hunt"),CHOOSE(ArtifactsInput!$N$27+1,20,24,28,32,36,40),0)/100)),0)</f>
        <v/>
      </c>
      <c r="R1760">
        <f>IF(AND(Inputs!$B$38&lt;&gt;"pvp",Inputs!$B$43&gt;0),IF(MAX(0,Inputs!$B$43-B1785)&lt;=0,0,(INT(MAX(0,Inputs!$B$43-B1785)/(IF(Inputs!$B$38="pvp",15,MAX(0.1,Skills!D12-IF(Skills!E12=TRUE,Inputs!$B$32,0)))*(1-IF(AND(ArtifactsInput!$M$27,Inputs!$B$4="Chapter Hunt"),CHOOSE(ArtifactsInput!$N$27+1,20,24,28,32,36,40),0)/100)))+1)),0)</f>
        <v/>
      </c>
      <c r="S1760">
        <f>IFERROR(O1760/N1760,0)</f>
        <v/>
      </c>
      <c r="T1760">
        <f>IF(C1760,(H1760*N1760*IF(AND(Inputs!$B$38&lt;&gt;"pvp",Inputs!$B$43&gt;0),((Skills!G12*((R1760-1)*IF(Skills!H12&gt;0,Skills!I12/Skills!H12,1)+IF(Skills!H12&gt;0,MIN(Skills!I12,MAX(0,MAX(0,Inputs!$B$43-B1785)-((R1760-1)*(IF(Inputs!$B$38="pvp",15,MAX(0.1,Skills!D12-IF(Skills!E12=TRUE,Inputs!$B$32,0)))*(1-IF(AND(ArtifactsInput!$M$27,Inputs!$B$4="Chapter Hunt"),CHOOSE(ArtifactsInput!$N$27+1,20,24,28,32,36,40),0)/100)))))/Skills!H12,1)))/Inputs!$B$43),G1760*Q1760)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1760*(1-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1760*(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1760*(1-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1760*(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0">
        <f>IF(C1760,(H1760*N1760*IF(AND(Inputs!$B$38&lt;&gt;"pvp",Inputs!$B$43&gt;0),((Skills!G12*((R1760-1)*IF(Skills!H12&gt;0,Skills!I12/Skills!H12,1)+IF(Skills!H12&gt;0,MIN(Skills!I12,MAX(0,MAX(0,Inputs!$B$43-B1785)-((R1760-1)*(IF(Inputs!$B$38="pvp",15,MAX(0.1,Skills!D12-IF(Skills!E12=TRUE,Inputs!$B$32,0)))*(1-IF(AND(ArtifactsInput!$M$27,Inputs!$B$4="Chapter Hunt"),CHOOSE(ArtifactsInput!$N$27+1,20,24,28,32,36,40),0)/100)))))/Skills!H12,1)))/Inputs!$B$43),G1760*Q1760))*IF(Inputs!$B$38="pvp",1,(1+(Inputs!$B$21+Skills!Q12+(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1">
      <c r="A1761">
        <f>Skills!A13</f>
        <v/>
      </c>
      <c r="B1761">
        <f>Skills!B13</f>
        <v/>
      </c>
      <c r="C1761">
        <f>Inputs!$B$3&gt;=110</f>
        <v/>
      </c>
      <c r="D1761">
        <f>IF(Skills!C13=1,60+Inputs!$B$25+Inputs!$B$29,IF(Skills!C13=2,90+Inputs!$B$26+Inputs!$B$29,IF(Skills!C13=3,120+Inputs!$B$27+Inputs!$B$29,MAX(0,(Inputs!$B$3-100)*3)+Inputs!$B$28+Inputs!$B$29)))</f>
        <v/>
      </c>
      <c r="E1761">
        <f>INDEX(FactorTable!$B$2:$Y$301, MATCH(ROUND(MIN(300,MAX(1,D1761)),0), FactorTable!$A$2:$A$301,0), Skills!M13+1)</f>
        <v/>
      </c>
      <c r="F1761">
        <f>IF(Skills!N13=TRUE,(Skills!L13/10)*(E1761/1000),Skills!L13/10)+Skills!O13</f>
        <v/>
      </c>
      <c r="G1761">
        <f>Skills!G13*IF(Skills!H13&gt;0,Skills!I13/Skills!H13,1)</f>
        <v/>
      </c>
      <c r="H1761">
        <f>1-(1-Skills!J13/100)^Skills!K13</f>
        <v/>
      </c>
      <c r="I1761" t="inlineStr">
        <is>
          <t>1</t>
        </is>
      </c>
      <c r="J1761">
        <f>((Inputs!$B$6*(1+Inputs!$B$7/100))+(((Inputs!$B$12*(1+Inputs!$B$13/100))-(Inputs!$B$12*(1+Inputs!$B$13/100)))+0.25*(Inputs!$B$14-Inputs!$B$14))*(1+Inputs!$B$7/100))*(F1761/100)</f>
        <v/>
      </c>
      <c r="K1761">
        <f>J1761*(1+((Inputs!$B$12*(1+Inputs!$B$13/100))*0.01+Inputs!$B$14*0.0025)/100)*(1+Inputs!$B$15/100)*(1+Inputs!$B$16/100)*(5000/(6000+Inputs!$B$42*(1-(100*(1-(1-(Inputs!$B$19+0)/100)*(1-CHOOSE(ArtifactsInput!$N$40+1,5,6,7,8,9,10)/100)^(ArtifactsInput!$M$40-ArtifactsInput!$M$40)))/100)))*(1+(Inputs!$B$24+((C1774=TRUE)*(F1774-Calc!F26))+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1771=TRUE)*(F1771-Calc!F23))+((C1775=TRUE)*(F1775-Calc!F27))+(((IF(AND(ArtifactsInput!$M$42,((Inputs!$B$9+((C1767=TRUE)*(F1767-Calc!F19))+B1778+(ArtifactsInput!$M$24-ArtifactsInput!$M$24)*CHOOSE(ArtifactsInput!$N$24+1,10,12,14,16,18,20)+IF(ArtifactsInput!$M$10,CHOOSE(ArtifactsInput!$N$10+1,15,18,21,24,27,30)*(IF(Inputs!$B$38="pvp",MIN(15,15)/15,IF(AND(Inputs!$B$38&lt;&gt;"pvp",Inputs!$B$43&gt;0),MIN(15,Inputs!$B$43)/(Inputs!$B$43),0))),0)))&gt;=100),MIN(100,((Inputs!$B$9+((C1767=TRUE)*(F1767-Calc!F19))+B1778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1767=TRUE)*(F1767-Calc!F19))+B1778+(ArtifactsInput!$M$24-ArtifactsInput!$M$24)*CHOOSE(ArtifactsInput!$N$24+1,10,12,14,16,18,20)+IF(ArtifactsInput!$M$10,CHOOSE(ArtifactsInput!$N$10+1,15,18,21,24,27,30)*(IF(Inputs!$B$38="pvp",MIN(15,15)/15,IF(AND(Inputs!$B$38&lt;&gt;"pvp",Inputs!$B$43&gt;0),MIN(15,Inputs!$B$43)/(Inputs!$B$43),0))),0)))&gt;=100),CHOOSE(ArtifactsInput!$N$42+1,40,48,56,64,72,80),0))))/100)*((1+(((C1765=TRUE)*F1765)+((C1772=TRUE)*(F1772-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1761)</f>
        <v/>
      </c>
      <c r="L1761">
        <f>K1761*(MIN(Inputs!$B$22+((C1770=TRUE)*(F1770-Calc!F22)),(Inputs!$B$23+0+(IF(ArtifactsInput!$M$15,CHOOSE(ArtifactsInput!$N$15+1,25,30,35,40,45,50)/100*(Inputs!$B$11-Inputs!$B$11),0))))/100+(Inputs!$B$23+0+(IF(ArtifactsInput!$M$15,CHOOSE(ArtifactsInput!$N$15+1,25,30,35,40,45,50)/100*(Inputs!$B$11-Inputs!$B$11),0)))/100)/2</f>
        <v/>
      </c>
      <c r="M1761">
        <f>L1761*(1+(Inputs!$B$10+((C1773=TRUE)*(F1773-Calc!F25))+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1">
        <f>L1761*(1-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1">
        <f>(1-Summary!$B$11)*T1761+Summary!$B$11*V1761</f>
        <v/>
      </c>
      <c r="P1761">
        <f>IF(B1788=0,0,O1761/B1788)</f>
        <v/>
      </c>
      <c r="Q1761">
        <f>IFERROR(1/(IF(Inputs!$B$38="pvp",15,MAX(0.1,Skills!D13-IF(Skills!E13=TRUE,Inputs!$B$32,0)))*(1-IF(AND(ArtifactsInput!$M$27,Inputs!$B$4="Chapter Hunt"),CHOOSE(ArtifactsInput!$N$27+1,20,24,28,32,36,40),0)/100)),0)</f>
        <v/>
      </c>
      <c r="R1761">
        <f>IF(AND(Inputs!$B$38&lt;&gt;"pvp",Inputs!$B$43&gt;0),IF(MAX(0,Inputs!$B$43-B1785)&lt;=0,0,(INT(MAX(0,Inputs!$B$43-B1785)/(IF(Inputs!$B$38="pvp",15,MAX(0.1,Skills!D13-IF(Skills!E13=TRUE,Inputs!$B$32,0)))*(1-IF(AND(ArtifactsInput!$M$27,Inputs!$B$4="Chapter Hunt"),CHOOSE(ArtifactsInput!$N$27+1,20,24,28,32,36,40),0)/100)))+1)),0)</f>
        <v/>
      </c>
      <c r="S1761">
        <f>IFERROR(O1761/N1761,0)</f>
        <v/>
      </c>
      <c r="T1761">
        <f>IF(C1761,(H1761*N1761*IF(AND(Inputs!$B$38&lt;&gt;"pvp",Inputs!$B$43&gt;0),((Skills!G13*((R1761-1)*IF(Skills!H13&gt;0,Skills!I13/Skills!H13,1)+IF(Skills!H13&gt;0,MIN(Skills!I13,MAX(0,MAX(0,Inputs!$B$43-B1785)-((R1761-1)*(IF(Inputs!$B$38="pvp",15,MAX(0.1,Skills!D13-IF(Skills!E13=TRUE,Inputs!$B$32,0)))*(1-IF(AND(ArtifactsInput!$M$27,Inputs!$B$4="Chapter Hunt"),CHOOSE(ArtifactsInput!$N$27+1,20,24,28,32,36,40),0)/100)))))/Skills!H13,1)))/Inputs!$B$43),G1761*Q1761))*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1761*(1-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1761*(1-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1">
        <f>IF(C1761,(H1761*N1761*IF(AND(Inputs!$B$38&lt;&gt;"pvp",Inputs!$B$43&gt;0),((Skills!G13*((R1761-1)*IF(Skills!H13&gt;0,Skills!I13/Skills!H13,1)+IF(Skills!H13&gt;0,MIN(Skills!I13,MAX(0,MAX(0,Inputs!$B$43-B1785)-((R1761-1)*(IF(Inputs!$B$38="pvp",15,MAX(0.1,Skills!D13-IF(Skills!E13=TRUE,Inputs!$B$32,0)))*(1-IF(AND(ArtifactsInput!$M$27,Inputs!$B$4="Chapter Hunt"),CHOOSE(ArtifactsInput!$N$27+1,20,24,28,32,36,40),0)/100)))))/Skills!H13,1)))/Inputs!$B$43),G1761*Q1761))*IF(Inputs!$B$38="pvp",1,(1+(Inputs!$B$21+Skills!Q13+(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2">
      <c r="A1762">
        <f>Skills!A14</f>
        <v/>
      </c>
      <c r="B1762">
        <f>Skills!B14</f>
        <v/>
      </c>
      <c r="C1762">
        <f>Inputs!$B$3&gt;=125</f>
        <v/>
      </c>
      <c r="D1762">
        <f>IF(Skills!C14=1,60+Inputs!$B$25+Inputs!$B$29,IF(Skills!C14=2,90+Inputs!$B$26+Inputs!$B$29,IF(Skills!C14=3,120+Inputs!$B$27+Inputs!$B$29,MAX(0,(Inputs!$B$3-100)*3)+Inputs!$B$28+Inputs!$B$29)))</f>
        <v/>
      </c>
      <c r="E1762">
        <f>INDEX(FactorTable!$B$2:$Y$301, MATCH(ROUND(MIN(300,MAX(1,D1762)),0), FactorTable!$A$2:$A$301,0), Skills!M14+1)</f>
        <v/>
      </c>
      <c r="F1762">
        <f>IF(Skills!N14=TRUE,(Skills!L14/10)*(E1762/1000),Skills!L14/10)+Skills!O14</f>
        <v/>
      </c>
      <c r="G1762">
        <f>Skills!G14*IF(Skills!H14&gt;0,Skills!I14/Skills!H14,1)</f>
        <v/>
      </c>
      <c r="H1762">
        <f>1-(1-Skills!J14/100)^Skills!K14</f>
        <v/>
      </c>
      <c r="I1762" t="inlineStr">
        <is>
          <t>1</t>
        </is>
      </c>
      <c r="J1762">
        <f>((Inputs!$B$6*(1+Inputs!$B$7/100))+(((Inputs!$B$12*(1+Inputs!$B$13/100))-(Inputs!$B$12*(1+Inputs!$B$13/100)))+0.25*(Inputs!$B$14-Inputs!$B$14))*(1+Inputs!$B$7/100))*(F1762/100)</f>
        <v/>
      </c>
      <c r="K1762">
        <f>J1762*(1+((Inputs!$B$12*(1+Inputs!$B$13/100))*0.01+Inputs!$B$14*0.0025)/100)*(1+Inputs!$B$15/100)*(1+Inputs!$B$16/100)*(5000/(6000+Inputs!$B$42*(1-(100*(1-(1-(Inputs!$B$19+0)/100)*(1-CHOOSE(ArtifactsInput!$N$40+1,5,6,7,8,9,10)/100)^(ArtifactsInput!$M$40-ArtifactsInput!$M$40)))/100)))*(1+(Inputs!$B$24+((C1774=TRUE)*(F1774-Calc!F26))+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1771=TRUE)*(F1771-Calc!F23))+((C1775=TRUE)*(F1775-Calc!F27))+(((IF(AND(ArtifactsInput!$M$42,((Inputs!$B$9+((C1767=TRUE)*(F1767-Calc!F19))+B1778+(ArtifactsInput!$M$24-ArtifactsInput!$M$24)*CHOOSE(ArtifactsInput!$N$24+1,10,12,14,16,18,20)+IF(ArtifactsInput!$M$10,CHOOSE(ArtifactsInput!$N$10+1,15,18,21,24,27,30)*(IF(Inputs!$B$38="pvp",MIN(15,15)/15,IF(AND(Inputs!$B$38&lt;&gt;"pvp",Inputs!$B$43&gt;0),MIN(15,Inputs!$B$43)/(Inputs!$B$43),0))),0)))&gt;=100),MIN(100,((Inputs!$B$9+((C1767=TRUE)*(F1767-Calc!F19))+B1778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1767=TRUE)*(F1767-Calc!F19))+B1778+(ArtifactsInput!$M$24-ArtifactsInput!$M$24)*CHOOSE(ArtifactsInput!$N$24+1,10,12,14,16,18,20)+IF(ArtifactsInput!$M$10,CHOOSE(ArtifactsInput!$N$10+1,15,18,21,24,27,30)*(IF(Inputs!$B$38="pvp",MIN(15,15)/15,IF(AND(Inputs!$B$38&lt;&gt;"pvp",Inputs!$B$43&gt;0),MIN(15,Inputs!$B$43)/(Inputs!$B$43),0))),0)))&gt;=100),CHOOSE(ArtifactsInput!$N$42+1,40,48,56,64,72,80),0))))/100)*((1+(((C1765=TRUE)*F1765)+((C1772=TRUE)*(F1772-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1762)</f>
        <v/>
      </c>
      <c r="L1762">
        <f>K1762*(MIN(Inputs!$B$22+((C1770=TRUE)*(F1770-Calc!F22)),(Inputs!$B$23+0+(IF(ArtifactsInput!$M$15,CHOOSE(ArtifactsInput!$N$15+1,25,30,35,40,45,50)/100*(Inputs!$B$11-Inputs!$B$11),0))))/100+(Inputs!$B$23+0+(IF(ArtifactsInput!$M$15,CHOOSE(ArtifactsInput!$N$15+1,25,30,35,40,45,50)/100*(Inputs!$B$11-Inputs!$B$11),0)))/100)/2</f>
        <v/>
      </c>
      <c r="M1762">
        <f>L1762*(1+(Inputs!$B$10+((C1773=TRUE)*(F1773-Calc!F25))+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2">
        <f>L1762*(1-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1762*(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2">
        <f>(1-Summary!$B$11)*T1762+Summary!$B$11*V1762</f>
        <v/>
      </c>
      <c r="P1762">
        <f>IF(B1788=0,0,O1762/B1788)</f>
        <v/>
      </c>
      <c r="Q1762" t="n">
        <v>0</v>
      </c>
      <c r="R1762" t="n">
        <v>0</v>
      </c>
      <c r="S1762">
        <f>IFERROR(O1762/N1762,0)</f>
        <v/>
      </c>
      <c r="T1762">
        <f>IF(C1762,(H1762*N1762*(B1782+IF(AND(Inputs!$B$38&lt;&gt;"pvp",Inputs!$B$43&gt;0),((Skills!G8*((R1756-1)*IF(Skills!H8&gt;0,Skills!I8/Skills!H8,1)+IF(Skills!H8&gt;0,MIN(Skills!I8,MAX(0,MAX(0,Inputs!$B$43-B1785)-((R1756-1)*(IF(Inputs!$B$38="pvp",15,MAX(0.1,Skills!D8-IF(Skills!E8=TRUE,Inputs!$B$32,0)))*(1-IF(AND(ArtifactsInput!$M$27,Inputs!$B$4="Chapter Hunt"),CHOOSE(ArtifactsInput!$N$27+1,20,24,28,32,36,40),0)/100)))))/Skills!H8,1)))/Inputs!$B$43),G1756*Q1756)+IF(AND(Inputs!$B$38&lt;&gt;"pvp",Inputs!$B$43&gt;0),((Skills!G11*((R1759-1)*IF(Skills!H11&gt;0,Skills!I11/Skills!H11,1)+IF(Skills!H11&gt;0,MIN(Skills!I11,MAX(0,MAX(0,Inputs!$B$43-B1785)-((R1759-1)*(IF(Inputs!$B$38="pvp",15,MAX(0.1,Skills!D11-IF(Skills!E11=TRUE,Inputs!$B$32,0)))*(1-IF(AND(ArtifactsInput!$M$27,Inputs!$B$4="Chapter Hunt"),CHOOSE(ArtifactsInput!$N$27+1,20,24,28,32,36,40),0)/100)))))/Skills!H11,1)))/Inputs!$B$43),G1759*Q1759)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1762*(1-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1762*(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1762*(1-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1762*(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2">
        <f>IF(C1762,(H1762*N1762*(B1782+IF(AND(Inputs!$B$38&lt;&gt;"pvp",Inputs!$B$43&gt;0),((Skills!G8*((R1756-1)*IF(Skills!H8&gt;0,Skills!I8/Skills!H8,1)+IF(Skills!H8&gt;0,MIN(Skills!I8,MAX(0,MAX(0,Inputs!$B$43-B1785)-((R1756-1)*(IF(Inputs!$B$38="pvp",15,MAX(0.1,Skills!D8-IF(Skills!E8=TRUE,Inputs!$B$32,0)))*(1-IF(AND(ArtifactsInput!$M$27,Inputs!$B$4="Chapter Hunt"),CHOOSE(ArtifactsInput!$N$27+1,20,24,28,32,36,40),0)/100)))))/Skills!H8,1)))/Inputs!$B$43),G1756*Q1756)+IF(AND(Inputs!$B$38&lt;&gt;"pvp",Inputs!$B$43&gt;0),((Skills!G11*((R1759-1)*IF(Skills!H11&gt;0,Skills!I11/Skills!H11,1)+IF(Skills!H11&gt;0,MIN(Skills!I11,MAX(0,MAX(0,Inputs!$B$43-B1785)-((R1759-1)*(IF(Inputs!$B$38="pvp",15,MAX(0.1,Skills!D11-IF(Skills!E11=TRUE,Inputs!$B$32,0)))*(1-IF(AND(ArtifactsInput!$M$27,Inputs!$B$4="Chapter Hunt"),CHOOSE(ArtifactsInput!$N$27+1,20,24,28,32,36,40),0)/100)))))/Skills!H11,1)))/Inputs!$B$43),G1759*Q1759)))*IF(Inputs!$B$38="pvp",1,(1+(Inputs!$B$21+Skills!Q14+(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3">
      <c r="A1763">
        <f>Skills!A15</f>
        <v/>
      </c>
      <c r="B1763">
        <f>Skills!B15</f>
        <v/>
      </c>
      <c r="C1763">
        <f>Inputs!$B$3&gt;=100</f>
        <v/>
      </c>
      <c r="D1763">
        <f>IF(Skills!C15=1,60+Inputs!$B$25+Inputs!$B$29,IF(Skills!C15=2,90+Inputs!$B$26+Inputs!$B$29,IF(Skills!C15=3,120+Inputs!$B$27+Inputs!$B$29,MAX(0,(Inputs!$B$3-100)*3)+Inputs!$B$28+Inputs!$B$29)))</f>
        <v/>
      </c>
      <c r="E1763">
        <f>INDEX(FactorTable!$B$2:$Y$301, MATCH(ROUND(MIN(300,MAX(1,D1763)),0), FactorTable!$A$2:$A$301,0), Skills!M15+1)</f>
        <v/>
      </c>
      <c r="F1763">
        <f>IF(Skills!N15=TRUE,(Skills!L15/10)*(E1763/1000),Skills!L15/10)+Skills!O15</f>
        <v/>
      </c>
      <c r="G1763" t="inlineStr"/>
      <c r="H1763" t="inlineStr"/>
      <c r="I1763" t="inlineStr">
        <is>
          <t>1</t>
        </is>
      </c>
      <c r="J1763" t="inlineStr"/>
      <c r="K1763" t="inlineStr"/>
      <c r="L1763" t="inlineStr"/>
      <c r="M1763" t="inlineStr"/>
      <c r="N1763" t="inlineStr"/>
      <c r="O1763" t="inlineStr"/>
      <c r="P1763" t="inlineStr"/>
      <c r="Q1763" t="inlineStr"/>
      <c r="R1763" t="inlineStr"/>
      <c r="S1763" t="inlineStr"/>
    </row>
    <row r="1764">
      <c r="A1764">
        <f>Skills!A16</f>
        <v/>
      </c>
      <c r="B1764">
        <f>Skills!B16</f>
        <v/>
      </c>
      <c r="C1764">
        <f>Inputs!$B$3&gt;=120</f>
        <v/>
      </c>
      <c r="D1764">
        <f>IF(Skills!C16=1,60+Inputs!$B$25+Inputs!$B$29,IF(Skills!C16=2,90+Inputs!$B$26+Inputs!$B$29,IF(Skills!C16=3,120+Inputs!$B$27+Inputs!$B$29,MAX(0,(Inputs!$B$3-100)*3)+Inputs!$B$28+Inputs!$B$29)))</f>
        <v/>
      </c>
      <c r="E1764">
        <f>INDEX(FactorTable!$B$2:$Y$301, MATCH(ROUND(MIN(300,MAX(1,D1764)),0), FactorTable!$A$2:$A$301,0), Skills!M16+1)</f>
        <v/>
      </c>
      <c r="F1764">
        <f>IF(Skills!N16=TRUE,(Skills!L16/10)*(E1764/1000),Skills!L16/10)+Skills!O16</f>
        <v/>
      </c>
      <c r="G1764" t="inlineStr"/>
      <c r="H1764" t="inlineStr"/>
      <c r="I1764" t="inlineStr">
        <is>
          <t>1</t>
        </is>
      </c>
      <c r="J1764" t="inlineStr"/>
      <c r="K1764" t="inlineStr"/>
      <c r="L1764" t="inlineStr"/>
      <c r="M1764" t="inlineStr"/>
      <c r="N1764" t="inlineStr"/>
      <c r="O1764" t="inlineStr"/>
      <c r="P1764" t="inlineStr"/>
      <c r="Q1764" t="inlineStr"/>
      <c r="R1764" t="inlineStr"/>
      <c r="S1764" t="inlineStr"/>
    </row>
    <row r="1765">
      <c r="A1765">
        <f>Skills!A17</f>
        <v/>
      </c>
      <c r="B1765">
        <f>Skills!B17</f>
        <v/>
      </c>
      <c r="C1765">
        <f>Inputs!$B$3&gt;=66</f>
        <v/>
      </c>
      <c r="D1765">
        <f>IF(Skills!C17=1,60+Inputs!$B$25+Inputs!$B$29,IF(Skills!C17=2,90+Inputs!$B$26+Inputs!$B$29,IF(Skills!C17=3,120+Inputs!$B$27+Inputs!$B$29,MAX(0,(Inputs!$B$3-100)*3)+Inputs!$B$28+Inputs!$B$29)))</f>
        <v/>
      </c>
      <c r="E1765">
        <f>INDEX(FactorTable!$B$2:$Y$301, MATCH(ROUND(MIN(300,MAX(1,D1765)),0), FactorTable!$A$2:$A$301,0), Skills!M17+1)</f>
        <v/>
      </c>
      <c r="F1765">
        <f>IF(Skills!N17=TRUE,(Skills!L17/10)*(E1765/1000),Skills!L17/10)+Skills!O17</f>
        <v/>
      </c>
      <c r="G1765">
        <f>Skills!G17*IF(Skills!H17&gt;0,Skills!I17/Skills!H17,1)</f>
        <v/>
      </c>
      <c r="H1765">
        <f>1-(1-Skills!J17/100)^Skills!K17</f>
        <v/>
      </c>
      <c r="I1765" t="inlineStr">
        <is>
          <t>1</t>
        </is>
      </c>
      <c r="J1765" t="inlineStr"/>
      <c r="K1765" t="inlineStr"/>
      <c r="L1765" t="inlineStr"/>
      <c r="M1765" t="inlineStr"/>
      <c r="N1765" t="inlineStr"/>
      <c r="O1765">
        <f>(1-Summary!$B$11)*T1765+Summary!$B$11*V1765</f>
        <v/>
      </c>
      <c r="P1765">
        <f>IF(B1788=0,0,O1765/B1788)</f>
        <v/>
      </c>
      <c r="Q1765" t="n">
        <v>0</v>
      </c>
      <c r="R1765" t="n">
        <v>0</v>
      </c>
      <c r="S1765">
        <f>IFERROR(O1765/N1765,0)</f>
        <v/>
      </c>
      <c r="T1765" t="n">
        <v>0</v>
      </c>
      <c r="V1765" t="n">
        <v>0</v>
      </c>
    </row>
    <row r="1766">
      <c r="A1766">
        <f>Skills!A18</f>
        <v/>
      </c>
      <c r="B1766">
        <f>Skills!B18</f>
        <v/>
      </c>
      <c r="C1766">
        <f>Inputs!$B$3&gt;=115</f>
        <v/>
      </c>
      <c r="D1766">
        <f>IF(Skills!C18=1,60+Inputs!$B$25+Inputs!$B$29,IF(Skills!C18=2,90+Inputs!$B$26+Inputs!$B$29,IF(Skills!C18=3,120+Inputs!$B$27+Inputs!$B$29,MAX(0,(Inputs!$B$3-100)*3)+Inputs!$B$28+Inputs!$B$29)))</f>
        <v/>
      </c>
      <c r="E1766">
        <f>INDEX(FactorTable!$B$2:$Y$301, MATCH(ROUND(MIN(300,MAX(1,D1766)),0), FactorTable!$A$2:$A$301,0), Skills!M18+1)</f>
        <v/>
      </c>
      <c r="F1766">
        <f>IF(Skills!N18=TRUE,(Skills!L18/10)*(E1766/1000),Skills!L18/10)+Skills!O18</f>
        <v/>
      </c>
      <c r="G1766">
        <f>Skills!G18*IF(Skills!H18&gt;0,Skills!I18/Skills!H18,1)</f>
        <v/>
      </c>
      <c r="H1766">
        <f>1-(1-Skills!J18/100)^Skills!K18</f>
        <v/>
      </c>
      <c r="I1766" t="inlineStr">
        <is>
          <t>1</t>
        </is>
      </c>
      <c r="J1766" t="inlineStr"/>
      <c r="K1766" t="inlineStr"/>
      <c r="L1766" t="inlineStr"/>
      <c r="M1766" t="inlineStr"/>
      <c r="N1766" t="inlineStr"/>
      <c r="O1766">
        <f>(1-Summary!$B$11)*T1766+Summary!$B$11*V1766</f>
        <v/>
      </c>
      <c r="P1766">
        <f>IF(B1788=0,0,O1766/B1788)</f>
        <v/>
      </c>
      <c r="Q1766" t="n">
        <v>0</v>
      </c>
      <c r="R1766" t="n">
        <v>0</v>
      </c>
      <c r="S1766">
        <f>IFERROR(O1766/N1766,0)</f>
        <v/>
      </c>
      <c r="T1766" t="n">
        <v>0</v>
      </c>
      <c r="V1766" t="n">
        <v>0</v>
      </c>
    </row>
    <row r="1767">
      <c r="A1767">
        <f>Skills!A19</f>
        <v/>
      </c>
      <c r="B1767">
        <f>Skills!B19</f>
        <v/>
      </c>
      <c r="C1767">
        <f>Inputs!$B$3&gt;=15</f>
        <v/>
      </c>
      <c r="D1767">
        <f>IF(Skills!C19=1,60+Inputs!$B$25+Inputs!$B$29,IF(Skills!C19=2,90+Inputs!$B$26+Inputs!$B$29,IF(Skills!C19=3,120+Inputs!$B$27+Inputs!$B$29,MAX(0,(Inputs!$B$3-100)*3)+Inputs!$B$28+Inputs!$B$29)))</f>
        <v/>
      </c>
      <c r="E1767">
        <f>INDEX(FactorTable!$B$2:$Y$301, MATCH(ROUND(MIN(300,MAX(1,D1767)),0), FactorTable!$A$2:$A$301,0), Skills!M19+1)</f>
        <v/>
      </c>
      <c r="F1767">
        <f>IF(Skills!N19=TRUE,(Skills!L19/10)*(E1767/1000),Skills!L19/10)+Skills!O19</f>
        <v/>
      </c>
      <c r="G1767">
        <f>Skills!G19*IF(Skills!H19&gt;0,Skills!I19/Skills!H19,1)</f>
        <v/>
      </c>
      <c r="H1767">
        <f>1-(1-Skills!J19/100)^Skills!K19</f>
        <v/>
      </c>
      <c r="I1767" t="inlineStr">
        <is>
          <t>1</t>
        </is>
      </c>
      <c r="J1767" t="inlineStr"/>
      <c r="K1767" t="inlineStr"/>
      <c r="L1767" t="inlineStr"/>
      <c r="M1767" t="inlineStr"/>
      <c r="N1767" t="inlineStr"/>
      <c r="O1767">
        <f>(1-Summary!$B$11)*T1767+Summary!$B$11*V1767</f>
        <v/>
      </c>
      <c r="P1767">
        <f>IF(B1788=0,0,O1767/B1788)</f>
        <v/>
      </c>
      <c r="Q1767" t="n">
        <v>0</v>
      </c>
      <c r="R1767" t="n">
        <v>0</v>
      </c>
      <c r="S1767">
        <f>IFERROR(O1767/N1767,0)</f>
        <v/>
      </c>
      <c r="T1767" t="n">
        <v>0</v>
      </c>
      <c r="V1767" t="n">
        <v>0</v>
      </c>
    </row>
    <row r="1768">
      <c r="A1768">
        <f>Skills!A20</f>
        <v/>
      </c>
      <c r="B1768">
        <f>Skills!B20</f>
        <v/>
      </c>
      <c r="C1768">
        <f>Inputs!$B$3&gt;=10</f>
        <v/>
      </c>
      <c r="D1768">
        <f>IF(Skills!C20=1,60+Inputs!$B$25+Inputs!$B$29,IF(Skills!C20=2,90+Inputs!$B$26+Inputs!$B$29,IF(Skills!C20=3,120+Inputs!$B$27+Inputs!$B$29,MAX(0,(Inputs!$B$3-100)*3)+Inputs!$B$28+Inputs!$B$29)))</f>
        <v/>
      </c>
      <c r="E1768">
        <f>INDEX(FactorTable!$B$2:$Y$301, MATCH(ROUND(MIN(300,MAX(1,D1768)),0), FactorTable!$A$2:$A$301,0), Skills!M20+1)</f>
        <v/>
      </c>
      <c r="F1768">
        <f>IF(Skills!N20=TRUE,(Skills!L20/10)*(E1768/1000),Skills!L20/10)+Skills!O20</f>
        <v/>
      </c>
      <c r="G1768">
        <f>Skills!G20*IF(Skills!H20&gt;0,Skills!I20/Skills!H20,1)</f>
        <v/>
      </c>
      <c r="H1768">
        <f>1-(1-Skills!J20/100)^Skills!K20</f>
        <v/>
      </c>
      <c r="I1768" t="inlineStr">
        <is>
          <t>1</t>
        </is>
      </c>
      <c r="J1768" t="inlineStr"/>
      <c r="K1768" t="inlineStr"/>
      <c r="L1768" t="inlineStr"/>
      <c r="M1768" t="inlineStr"/>
      <c r="N1768" t="inlineStr"/>
      <c r="O1768">
        <f>(1-Summary!$B$11)*T1768+Summary!$B$11*V1768</f>
        <v/>
      </c>
      <c r="P1768">
        <f>IF(B1788=0,0,O1768/B1788)</f>
        <v/>
      </c>
      <c r="Q1768" t="n">
        <v>0</v>
      </c>
      <c r="R1768" t="n">
        <v>0</v>
      </c>
      <c r="S1768">
        <f>IFERROR(O1768/N1768,0)</f>
        <v/>
      </c>
      <c r="T1768" t="n">
        <v>0</v>
      </c>
      <c r="V1768" t="n">
        <v>0</v>
      </c>
    </row>
    <row r="1769">
      <c r="A1769">
        <f>Skills!A21</f>
        <v/>
      </c>
      <c r="B1769">
        <f>Skills!B21</f>
        <v/>
      </c>
      <c r="C1769">
        <f>Inputs!$B$3&gt;=33</f>
        <v/>
      </c>
      <c r="D1769">
        <f>IF(Skills!C21=1,60+Inputs!$B$25+Inputs!$B$29,IF(Skills!C21=2,90+Inputs!$B$26+Inputs!$B$29,IF(Skills!C21=3,120+Inputs!$B$27+Inputs!$B$29,MAX(0,(Inputs!$B$3-100)*3)+Inputs!$B$28+Inputs!$B$29)))</f>
        <v/>
      </c>
      <c r="E1769">
        <f>INDEX(FactorTable!$B$2:$Y$301, MATCH(ROUND(MIN(300,MAX(1,D1769)),0), FactorTable!$A$2:$A$301,0), Skills!M21+1)</f>
        <v/>
      </c>
      <c r="F1769">
        <f>IF(Skills!N21=TRUE,(Skills!L21/10)*(E1769/1000),Skills!L21/10)+Skills!O21</f>
        <v/>
      </c>
      <c r="G1769">
        <f>Skills!G21*IF(Skills!H21&gt;0,Skills!I21/Skills!H21,1)</f>
        <v/>
      </c>
      <c r="H1769">
        <f>1-(1-Skills!J21/100)^Skills!K21</f>
        <v/>
      </c>
      <c r="I1769" t="inlineStr">
        <is>
          <t>1</t>
        </is>
      </c>
      <c r="J1769" t="inlineStr"/>
      <c r="K1769" t="inlineStr"/>
      <c r="L1769" t="inlineStr"/>
      <c r="M1769" t="inlineStr"/>
      <c r="N1769" t="inlineStr"/>
      <c r="O1769">
        <f>(1-Summary!$B$11)*T1769+Summary!$B$11*V1769</f>
        <v/>
      </c>
      <c r="P1769">
        <f>IF(B1788=0,0,O1769/B1788)</f>
        <v/>
      </c>
      <c r="Q1769" t="n">
        <v>0</v>
      </c>
      <c r="R1769" t="n">
        <v>0</v>
      </c>
      <c r="S1769">
        <f>IFERROR(O1769/N1769,0)</f>
        <v/>
      </c>
      <c r="T1769" t="n">
        <v>0</v>
      </c>
      <c r="V1769" t="n">
        <v>0</v>
      </c>
    </row>
    <row r="1770">
      <c r="A1770">
        <f>Skills!A22</f>
        <v/>
      </c>
      <c r="B1770">
        <f>Skills!B22</f>
        <v/>
      </c>
      <c r="C1770">
        <f>Inputs!$B$3&gt;=43</f>
        <v/>
      </c>
      <c r="D1770">
        <f>IF(Skills!C22=1,60+Inputs!$B$25+Inputs!$B$29,IF(Skills!C22=2,90+Inputs!$B$26+Inputs!$B$29,IF(Skills!C22=3,120+Inputs!$B$27+Inputs!$B$29,MAX(0,(Inputs!$B$3-100)*3)+Inputs!$B$28+Inputs!$B$29)))</f>
        <v/>
      </c>
      <c r="E1770">
        <f>INDEX(FactorTable!$B$2:$Y$301, MATCH(ROUND(MIN(300,MAX(1,D1770)),0), FactorTable!$A$2:$A$301,0), Skills!M22+1)</f>
        <v/>
      </c>
      <c r="F1770">
        <f>IF(Skills!N22=TRUE,(Skills!L22/10)*(E1770/1000),Skills!L22/10)+Skills!O22</f>
        <v/>
      </c>
      <c r="G1770">
        <f>Skills!G22*IF(Skills!H22&gt;0,Skills!I22/Skills!H22,1)</f>
        <v/>
      </c>
      <c r="H1770">
        <f>1-(1-Skills!J22/100)^Skills!K22</f>
        <v/>
      </c>
      <c r="I1770" t="inlineStr">
        <is>
          <t>1</t>
        </is>
      </c>
      <c r="J1770" t="inlineStr"/>
      <c r="K1770" t="inlineStr"/>
      <c r="L1770" t="inlineStr"/>
      <c r="M1770" t="inlineStr"/>
      <c r="N1770" t="inlineStr"/>
      <c r="O1770">
        <f>(1-Summary!$B$11)*T1770+Summary!$B$11*V1770</f>
        <v/>
      </c>
      <c r="P1770">
        <f>IF(B1788=0,0,O1770/B1788)</f>
        <v/>
      </c>
      <c r="Q1770" t="n">
        <v>0</v>
      </c>
      <c r="R1770" t="n">
        <v>0</v>
      </c>
      <c r="S1770">
        <f>IFERROR(O1770/N1770,0)</f>
        <v/>
      </c>
      <c r="T1770" t="n">
        <v>0</v>
      </c>
      <c r="V1770" t="n">
        <v>0</v>
      </c>
    </row>
    <row r="1771">
      <c r="A1771">
        <f>Skills!A23</f>
        <v/>
      </c>
      <c r="B1771">
        <f>Skills!B23</f>
        <v/>
      </c>
      <c r="C1771">
        <f>Inputs!$B$3&gt;=38</f>
        <v/>
      </c>
      <c r="D1771">
        <f>IF(Skills!C23=1,60+Inputs!$B$25+Inputs!$B$29,IF(Skills!C23=2,90+Inputs!$B$26+Inputs!$B$29,IF(Skills!C23=3,120+Inputs!$B$27+Inputs!$B$29,MAX(0,(Inputs!$B$3-100)*3)+Inputs!$B$28+Inputs!$B$29)))</f>
        <v/>
      </c>
      <c r="E1771">
        <f>INDEX(FactorTable!$B$2:$Y$301, MATCH(ROUND(MIN(300,MAX(1,D1771)),0), FactorTable!$A$2:$A$301,0), Skills!M23+1)</f>
        <v/>
      </c>
      <c r="F1771">
        <f>IF(Skills!N23=TRUE,(Skills!L23/10)*(E1771/1000),Skills!L23/10)+Skills!O23</f>
        <v/>
      </c>
      <c r="G1771">
        <f>Skills!G23*IF(Skills!H23&gt;0,Skills!I23/Skills!H23,1)</f>
        <v/>
      </c>
      <c r="H1771">
        <f>1-(1-Skills!J23/100)^Skills!K23</f>
        <v/>
      </c>
      <c r="I1771" t="inlineStr">
        <is>
          <t>1</t>
        </is>
      </c>
      <c r="J1771" t="inlineStr"/>
      <c r="K1771" t="inlineStr"/>
      <c r="L1771" t="inlineStr"/>
      <c r="M1771" t="inlineStr"/>
      <c r="N1771" t="inlineStr"/>
      <c r="O1771">
        <f>(1-Summary!$B$11)*T1771+Summary!$B$11*V1771</f>
        <v/>
      </c>
      <c r="P1771">
        <f>IF(B1788=0,0,O1771/B1788)</f>
        <v/>
      </c>
      <c r="Q1771" t="n">
        <v>0</v>
      </c>
      <c r="R1771" t="n">
        <v>0</v>
      </c>
      <c r="S1771">
        <f>IFERROR(O1771/N1771,0)</f>
        <v/>
      </c>
      <c r="T1771" t="n">
        <v>0</v>
      </c>
      <c r="V1771" t="n">
        <v>0</v>
      </c>
    </row>
    <row r="1772">
      <c r="A1772">
        <f>Skills!A24</f>
        <v/>
      </c>
      <c r="B1772">
        <f>Skills!B24</f>
        <v/>
      </c>
      <c r="C1772">
        <f>Inputs!$B$3&gt;=40</f>
        <v/>
      </c>
      <c r="D1772">
        <f>IF(Skills!C24=1,60+Inputs!$B$25+Inputs!$B$29,IF(Skills!C24=2,90+Inputs!$B$26+Inputs!$B$29,IF(Skills!C24=3,120+Inputs!$B$27+Inputs!$B$29,MAX(0,(Inputs!$B$3-100)*3)+Inputs!$B$28+Inputs!$B$29)))</f>
        <v/>
      </c>
      <c r="E1772">
        <f>INDEX(FactorTable!$B$2:$Y$301, MATCH(ROUND(MIN(300,MAX(1,D1772)),0), FactorTable!$A$2:$A$301,0), Skills!M24+1)</f>
        <v/>
      </c>
      <c r="F1772">
        <f>IF(Skills!N24=TRUE,(Skills!L24/10)*(E1772/1000),Skills!L24/10)+Skills!O24</f>
        <v/>
      </c>
      <c r="G1772">
        <f>Skills!G24*IF(Skills!H24&gt;0,Skills!I24/Skills!H24,1)</f>
        <v/>
      </c>
      <c r="H1772">
        <f>1-(1-Skills!J24/100)^Skills!K24</f>
        <v/>
      </c>
      <c r="I1772" t="inlineStr">
        <is>
          <t>1</t>
        </is>
      </c>
      <c r="J1772" t="inlineStr"/>
      <c r="K1772" t="inlineStr"/>
      <c r="L1772" t="inlineStr"/>
      <c r="M1772" t="inlineStr"/>
      <c r="N1772" t="inlineStr"/>
      <c r="O1772">
        <f>(1-Summary!$B$11)*T1772+Summary!$B$11*V1772</f>
        <v/>
      </c>
      <c r="P1772">
        <f>IF(B1788=0,0,O1772/B1788)</f>
        <v/>
      </c>
      <c r="Q1772" t="n">
        <v>0</v>
      </c>
      <c r="R1772" t="n">
        <v>0</v>
      </c>
      <c r="S1772">
        <f>IFERROR(O1772/N1772,0)</f>
        <v/>
      </c>
      <c r="T1772" t="n">
        <v>0</v>
      </c>
      <c r="V1772" t="n">
        <v>0</v>
      </c>
    </row>
    <row r="1773">
      <c r="A1773">
        <f>Skills!A25</f>
        <v/>
      </c>
      <c r="B1773">
        <f>Skills!B25</f>
        <v/>
      </c>
      <c r="C1773">
        <f>Inputs!$B$3&gt;=72</f>
        <v/>
      </c>
      <c r="D1773">
        <f>IF(Skills!C25=1,60+Inputs!$B$25+Inputs!$B$29,IF(Skills!C25=2,90+Inputs!$B$26+Inputs!$B$29,IF(Skills!C25=3,120+Inputs!$B$27+Inputs!$B$29,MAX(0,(Inputs!$B$3-100)*3)+Inputs!$B$28+Inputs!$B$29)))</f>
        <v/>
      </c>
      <c r="E1773">
        <f>INDEX(FactorTable!$B$2:$Y$301, MATCH(ROUND(MIN(300,MAX(1,D1773)),0), FactorTable!$A$2:$A$301,0), Skills!M25+1)</f>
        <v/>
      </c>
      <c r="F1773">
        <f>IF(Skills!N25=TRUE,(Skills!L25/10)*(E1773/1000),Skills!L25/10)+Skills!O25</f>
        <v/>
      </c>
      <c r="G1773">
        <f>Skills!G25*IF(Skills!H25&gt;0,Skills!I25/Skills!H25,1)</f>
        <v/>
      </c>
      <c r="H1773">
        <f>1-(1-Skills!J25/100)^Skills!K25</f>
        <v/>
      </c>
      <c r="I1773" t="inlineStr">
        <is>
          <t>1</t>
        </is>
      </c>
      <c r="J1773" t="inlineStr"/>
      <c r="K1773" t="inlineStr"/>
      <c r="L1773" t="inlineStr"/>
      <c r="M1773" t="inlineStr"/>
      <c r="N1773" t="inlineStr"/>
      <c r="O1773">
        <f>(1-Summary!$B$11)*T1773+Summary!$B$11*V1773</f>
        <v/>
      </c>
      <c r="P1773">
        <f>IF(B1788=0,0,O1773/B1788)</f>
        <v/>
      </c>
      <c r="Q1773" t="n">
        <v>0</v>
      </c>
      <c r="R1773" t="n">
        <v>0</v>
      </c>
      <c r="S1773">
        <f>IFERROR(O1773/N1773,0)</f>
        <v/>
      </c>
      <c r="T1773" t="n">
        <v>0</v>
      </c>
      <c r="V1773" t="n">
        <v>0</v>
      </c>
    </row>
    <row r="1774">
      <c r="A1774">
        <f>Skills!A26</f>
        <v/>
      </c>
      <c r="B1774">
        <f>Skills!B26</f>
        <v/>
      </c>
      <c r="C1774">
        <f>Inputs!$B$3&gt;=75</f>
        <v/>
      </c>
      <c r="D1774">
        <f>IF(Skills!C26=1,60+Inputs!$B$25+Inputs!$B$29,IF(Skills!C26=2,90+Inputs!$B$26+Inputs!$B$29,IF(Skills!C26=3,120+Inputs!$B$27+Inputs!$B$29,MAX(0,(Inputs!$B$3-100)*3)+Inputs!$B$28+Inputs!$B$29)))</f>
        <v/>
      </c>
      <c r="E1774">
        <f>INDEX(FactorTable!$B$2:$Y$301, MATCH(ROUND(MIN(300,MAX(1,D1774)),0), FactorTable!$A$2:$A$301,0), Skills!M26+1)</f>
        <v/>
      </c>
      <c r="F1774">
        <f>IF(Skills!N26=TRUE,(Skills!L26/10)*(E1774/1000),Skills!L26/10)+Skills!O26</f>
        <v/>
      </c>
      <c r="G1774">
        <f>Skills!G26*IF(Skills!H26&gt;0,Skills!I26/Skills!H26,1)</f>
        <v/>
      </c>
      <c r="H1774">
        <f>1-(1-Skills!J26/100)^Skills!K26</f>
        <v/>
      </c>
      <c r="I1774" t="inlineStr">
        <is>
          <t>1</t>
        </is>
      </c>
      <c r="J1774" t="inlineStr"/>
      <c r="K1774" t="inlineStr"/>
      <c r="L1774" t="inlineStr"/>
      <c r="M1774" t="inlineStr"/>
      <c r="N1774" t="inlineStr"/>
      <c r="O1774">
        <f>(1-Summary!$B$11)*T1774+Summary!$B$11*V1774</f>
        <v/>
      </c>
      <c r="P1774">
        <f>IF(B1788=0,0,O1774/B1788)</f>
        <v/>
      </c>
      <c r="Q1774" t="n">
        <v>0</v>
      </c>
      <c r="R1774" t="n">
        <v>0</v>
      </c>
      <c r="S1774">
        <f>IFERROR(O1774/N1774,0)</f>
        <v/>
      </c>
      <c r="T1774" t="n">
        <v>0</v>
      </c>
      <c r="V1774" t="n">
        <v>0</v>
      </c>
    </row>
    <row r="1775">
      <c r="A1775">
        <f>Skills!A27</f>
        <v/>
      </c>
      <c r="B1775">
        <f>Skills!B27</f>
        <v/>
      </c>
      <c r="C1775">
        <f>Inputs!$B$3&gt;=117</f>
        <v/>
      </c>
      <c r="D1775">
        <f>IF(Skills!C27=1,60+Inputs!$B$25+Inputs!$B$29,IF(Skills!C27=2,90+Inputs!$B$26+Inputs!$B$29,IF(Skills!C27=3,120+Inputs!$B$27+Inputs!$B$29,MAX(0,(Inputs!$B$3-100)*3)+Inputs!$B$28+Inputs!$B$29)))</f>
        <v/>
      </c>
      <c r="E1775">
        <f>INDEX(FactorTable!$B$2:$Y$301, MATCH(ROUND(MIN(300,MAX(1,D1775)),0), FactorTable!$A$2:$A$301,0), Skills!M27+1)</f>
        <v/>
      </c>
      <c r="F1775">
        <f>IF(Skills!N27=TRUE,(Skills!L27/10)*(E1775/1000),Skills!L27/10)+Skills!O27</f>
        <v/>
      </c>
      <c r="G1775">
        <f>Skills!G27*IF(Skills!H27&gt;0,Skills!I27/Skills!H27,1)</f>
        <v/>
      </c>
      <c r="H1775">
        <f>1-(1-Skills!J27/100)^Skills!K27</f>
        <v/>
      </c>
      <c r="I1775" t="inlineStr">
        <is>
          <t>1</t>
        </is>
      </c>
      <c r="J1775" t="inlineStr"/>
      <c r="K1775" t="inlineStr"/>
      <c r="L1775" t="inlineStr"/>
      <c r="M1775" t="inlineStr"/>
      <c r="N1775" t="inlineStr"/>
      <c r="O1775">
        <f>(1-Summary!$B$11)*T1775+Summary!$B$11*V1775</f>
        <v/>
      </c>
      <c r="P1775">
        <f>IF(B1788=0,0,O1775/B1788)</f>
        <v/>
      </c>
      <c r="Q1775" t="n">
        <v>0</v>
      </c>
      <c r="R1775" t="n">
        <v>0</v>
      </c>
      <c r="S1775">
        <f>IFERROR(O1775/N1775,0)</f>
        <v/>
      </c>
      <c r="T1775" t="n">
        <v>0</v>
      </c>
      <c r="V1775" t="n">
        <v>0</v>
      </c>
    </row>
    <row r="1777">
      <c r="A1777" t="inlineStr">
        <is>
          <t>Attack% Bucket Multiplier</t>
        </is>
      </c>
      <c r="B1777">
        <f>(1+(((C1765=TRUE)*F1765)+((C1772=TRUE)*(F1772-Calc!F24))+(IF(ArtifactsInput!$M$21,CHOOSE(ArtifactsInput!$N$21+1,25,30,35,40,45,50)*(IF(OR(Inputs!$B$4="Chapter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78">
      <c r="A1778" t="inlineStr">
        <is>
          <t>Global Crit Rate Bonus %</t>
        </is>
      </c>
      <c r="B1778" t="n">
        <v>0</v>
      </c>
    </row>
    <row r="1779">
      <c r="A1779" t="inlineStr">
        <is>
          <t>Attack Speed Buff Bonus % (unused)</t>
        </is>
      </c>
      <c r="B1779" t="n">
        <v>0</v>
      </c>
    </row>
    <row r="1780">
      <c r="A1780" t="inlineStr">
        <is>
          <t>Actions Per Second</t>
        </is>
      </c>
      <c r="B1780">
        <f>1+MIN(150,150*(1-(1-(Inputs!$B$11+((C1768=TRUE)*(F1768-Calc!F20))+((C1769=TRUE)*(F1769-Calc!F21)))/150)*(1-B1779/150)))/100</f>
        <v/>
      </c>
    </row>
    <row r="1781">
      <c r="A1781" t="inlineStr">
        <is>
          <t>Skill + Buff Cast Rate</t>
        </is>
      </c>
      <c r="B1781">
        <f>IF(AND(Inputs!$B$38&lt;&gt;"pvp",Inputs!$B$43&gt;0),SUMPRODUCT((Skills!E2:E27=TRUE)*(C1750:C1775=TRUE)*R1750:R1775*Skills!F2:F27)/Inputs!$B$43,SUMPRODUCT((Skills!E2:E27=TRUE)*(C1750:C1775=TRUE)*Q1750:Q1775*Skills!F2:F27))</f>
        <v/>
      </c>
    </row>
    <row r="1782">
      <c r="A1782" t="inlineStr">
        <is>
          <t>Eight-Legs Easton Casts Per Second</t>
        </is>
      </c>
      <c r="B1782">
        <f>MAX(0,B1780-B1781)</f>
        <v/>
      </c>
    </row>
    <row r="1783">
      <c r="A1783" t="inlineStr">
        <is>
          <t>Global Critical Damage Bonus % (unused)</t>
        </is>
      </c>
      <c r="B1783" t="n">
        <v>0</v>
      </c>
    </row>
    <row r="1784">
      <c r="A1784" t="inlineStr">
        <is>
          <t>Global Final Damage Bonus % (Jolly Roger only)</t>
        </is>
      </c>
      <c r="B1784">
        <f>((C1766=TRUE)*F1766)</f>
        <v/>
      </c>
    </row>
    <row r="1785">
      <c r="A1785" t="inlineStr">
        <is>
          <t>Buff-Casting Startup Delay (s, fixed-duration only)</t>
        </is>
      </c>
      <c r="B1785">
        <f>IF(AND(Inputs!$B$38&lt;&gt;"pvp",Inputs!$B$43&gt;0),SUMPRODUCT((Skills!T2:T27&gt;0)*(Skills!E2:E27=TRUE)*(C1750:C1775=TRUE))/B1780,0)</f>
        <v/>
      </c>
    </row>
    <row r="1786">
      <c r="A1786" t="inlineStr">
        <is>
          <t>Boss-Only Total DPS (this block's swept value)</t>
        </is>
      </c>
      <c r="B1786">
        <f>SUM(T1750:T1775)</f>
        <v/>
      </c>
    </row>
    <row r="1787">
      <c r="A1787" t="inlineStr">
        <is>
          <t>Normal-Only Total DPS (this block's swept value)</t>
        </is>
      </c>
      <c r="B1787">
        <f>SUM(V1750:V1775)</f>
        <v/>
      </c>
    </row>
    <row r="1788">
      <c r="A1788" s="6" t="inlineStr">
        <is>
          <t>TOTAL DPS</t>
        </is>
      </c>
      <c r="B1788" s="6">
        <f>SUM(O1750:O1775)</f>
        <v/>
      </c>
    </row>
    <row r="1791">
      <c r="A1791" s="6" t="inlineStr">
        <is>
          <t>Stat: Old Music Box (Equip)</t>
        </is>
      </c>
    </row>
    <row r="1792">
      <c r="A1792" s="5" t="inlineStr">
        <is>
          <t>Key</t>
        </is>
      </c>
      <c r="B1792" s="5" t="inlineStr">
        <is>
          <t>Name</t>
        </is>
      </c>
      <c r="C1792" s="5" t="inlineStr">
        <is>
          <t>Unlocked</t>
        </is>
      </c>
      <c r="D1792" s="5" t="inlineStr">
        <is>
          <t>InputLevel</t>
        </is>
      </c>
      <c r="E1792" s="5" t="inlineStr">
        <is>
          <t>Factor</t>
        </is>
      </c>
      <c r="F1792" s="5" t="inlineStr">
        <is>
          <t>CoefficientPercent</t>
        </is>
      </c>
      <c r="G1792" s="5" t="inlineStr">
        <is>
          <t>EffectiveHits</t>
        </is>
      </c>
      <c r="H1792" s="5" t="inlineStr">
        <is>
          <t>ProcProbability</t>
        </is>
      </c>
      <c r="I1792" s="5" t="inlineStr">
        <is>
          <t>MapleHeroMultiplier</t>
        </is>
      </c>
      <c r="J1792" s="5" t="inlineStr">
        <is>
          <t>BaseDamage</t>
        </is>
      </c>
      <c r="K1792" s="5" t="inlineStr">
        <is>
          <t>BaseHitDamage</t>
        </is>
      </c>
      <c r="L1792" s="5" t="inlineStr">
        <is>
          <t>NonCritAvg</t>
        </is>
      </c>
      <c r="M1792" s="5" t="inlineStr">
        <is>
          <t>CritAvg</t>
        </is>
      </c>
      <c r="N1792" s="5" t="inlineStr">
        <is>
          <t>ExpectedDamage(perHit)</t>
        </is>
      </c>
      <c r="O1792" s="5" t="inlineStr">
        <is>
          <t>DPS</t>
        </is>
      </c>
      <c r="P1792" s="5" t="inlineStr">
        <is>
          <t>% of Total</t>
        </is>
      </c>
      <c r="Q1792" s="5" t="inlineStr">
        <is>
          <t>InvCooldown</t>
        </is>
      </c>
      <c r="R1792" s="5" t="inlineStr">
        <is>
          <t>CastsInFight</t>
        </is>
      </c>
      <c r="S1792" s="5" t="inlineStr">
        <is>
          <t>HitRate(perSec)</t>
        </is>
      </c>
      <c r="U1792" t="inlineStr">
        <is>
          <t>helpers</t>
        </is>
      </c>
    </row>
    <row r="1793">
      <c r="A1793">
        <f>Skills!A2</f>
        <v/>
      </c>
      <c r="B1793">
        <f>Skills!B2</f>
        <v/>
      </c>
      <c r="C1793">
        <f>Inputs!$B$3&gt;=100</f>
        <v/>
      </c>
      <c r="D1793" t="inlineStr"/>
      <c r="E1793" t="inlineStr"/>
      <c r="F1793">
        <f>U1795+Skills!O2</f>
        <v/>
      </c>
      <c r="G1793">
        <f>Skills!G2*IF(Skills!H2&gt;0,Skills!I2/Skills!H2,1)</f>
        <v/>
      </c>
      <c r="H1793">
        <f>1-(1-Skills!J2/100)^Skills!K2</f>
        <v/>
      </c>
      <c r="I1793" t="inlineStr">
        <is>
          <t>1</t>
        </is>
      </c>
      <c r="J1793">
        <f>((Inputs!$B$6*(1+Inputs!$B$7/100))+(((Inputs!$B$12*(1+Inputs!$B$13/100))-(Inputs!$B$12*(1+Inputs!$B$13/100)))+0.25*(Inputs!$B$14-Inputs!$B$14))*(1+Inputs!$B$7/100))*(F1793/100)</f>
        <v/>
      </c>
      <c r="K1793">
        <f>J1793*(1+((Inputs!$B$12*(1+Inputs!$B$13/100))*0.01+Inputs!$B$14*0.0025)/100)*(1+Inputs!$B$15/100)*(1+Inputs!$B$16/100)*(5000/(6000+Inputs!$B$42*(1-(100*(1-(1-(Inputs!$B$19+0)/100)*(1-CHOOSE(ArtifactsInput!$N$40+1,5,6,7,8,9,10)/100)^(ArtifactsInput!$M$40-ArtifactsInput!$M$40)))/100)))*(1+(Inputs!$B$24+((C1817=TRUE)*(F1817-Calc!F26))+B1827)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1814=TRUE)*(F1814-Calc!F23))+((C1818=TRUE)*(F1818-Calc!F27))+(((IF(AND(ArtifactsInput!$M$42,((Inputs!$B$9+((C1810=TRUE)*(F1810-Calc!F19))+B1821+(ArtifactsInput!$M$24-ArtifactsInput!$M$24)*CHOOSE(ArtifactsInput!$N$24+1,10,12,14,16,18,20)+IF(ArtifactsInput!$M$10,CHOOSE(ArtifactsInput!$N$10+1,15,18,21,24,27,30)*(IF(Inputs!$B$38="pvp",MIN(15,15)/15,IF(AND(Inputs!$B$38&lt;&gt;"pvp",Inputs!$B$43&gt;0),MIN(15,Inputs!$B$43)/(Inputs!$B$43),0))),0)))&gt;=100),MIN(100,((Inputs!$B$9+((C1810=TRUE)*(F1810-Calc!F19))+B1821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1810=TRUE)*(F1810-Calc!F19))+B1821+(ArtifactsInput!$M$24-ArtifactsInput!$M$24)*CHOOSE(ArtifactsInput!$N$24+1,10,12,14,16,18,20)+IF(ArtifactsInput!$M$10,CHOOSE(ArtifactsInput!$N$10+1,15,18,21,24,27,30)*(IF(Inputs!$B$38="pvp",MIN(15,15)/15,IF(AND(Inputs!$B$38&lt;&gt;"pvp",Inputs!$B$43&gt;0),MIN(15,Inputs!$B$43)/(Inputs!$B$43),0))),0)))&gt;=100),CHOOSE(ArtifactsInput!$N$42+1,40,48,56,64,72,80),0))))/100)*((1+(((C1808=TRUE)*F1808)+((C1815=TRUE)*(F1815-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1793)</f>
        <v/>
      </c>
      <c r="L1793">
        <f>K1793*(MIN(Inputs!$B$22+((C1813=TRUE)*(F1813-Calc!F22)),(Inputs!$B$23+0+(IF(ArtifactsInput!$M$15,CHOOSE(ArtifactsInput!$N$15+1,25,30,35,40,45,50)/100*(Inputs!$B$11-Inputs!$B$11),0))))/100+(Inputs!$B$23+0+(IF(ArtifactsInput!$M$15,CHOOSE(ArtifactsInput!$N$15+1,25,30,35,40,45,50)/100*(Inputs!$B$11-Inputs!$B$11),0)))/100)/2</f>
        <v/>
      </c>
      <c r="M1793">
        <f>L1793*(1+(Inputs!$B$10+((C1816=TRUE)*(F1816-Calc!F25))+B1826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3">
        <f>L1793*(1-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1793*(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3">
        <f>(1-Summary!$B$11)*T1793+Summary!$B$11*V1793</f>
        <v/>
      </c>
      <c r="P1793">
        <f>IF(B1831=0,0,O1793/B1831)</f>
        <v/>
      </c>
      <c r="Q1793" t="n">
        <v>0</v>
      </c>
      <c r="R1793" t="n">
        <v>0</v>
      </c>
      <c r="S1793">
        <f>IFERROR(O1793/N1793,0)</f>
        <v/>
      </c>
      <c r="T1793">
        <f>IF(C1793,(Skills!G2*N1793*B1825)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1793*(1-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1793*(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1793*(1-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1793*(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3">
        <f>MAX(0,(Inputs!$B$3-100)*3)+Inputs!$B$28+Inputs!$B$29</f>
        <v/>
      </c>
      <c r="V1793">
        <f>IF(C1793,(Skills!G2*N1793*B1825)*IF(Inputs!$B$38="pvp",1,(1+(Inputs!$B$21+Skills!Q2+(IF(ArtifactsInput!$M$33,CHOOSE(ArtifactsInput!$N$33+1,30,36,42,48,54,60),0))+(IF(AND(ArtifactsInput!$M$35,Inputs!$B$4&lt;&gt;"Chapter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4">
      <c r="A1794">
        <f>Skills!A3</f>
        <v/>
      </c>
      <c r="B1794">
        <f>Skills!B3</f>
        <v/>
      </c>
      <c r="C1794">
        <f>Inputs!$B$3&gt;=35</f>
        <v/>
      </c>
      <c r="D1794">
        <f>IF(Skills!C3=1,60+Inputs!$B$25+Inputs!$B$29,IF(Skills!C3=2,90+Inputs!$B$26+Inputs!$B$29,IF(Skills!C3=3,120+Inputs!$B$27+Inputs!$B$29,MAX(0,(Inputs!$B$3-100)*3)+Inputs!$B$28+Inputs!$B$29)))</f>
        <v/>
      </c>
      <c r="E1794">
        <f>INDEX(FactorTable!$B$2:$Y$301, MATCH(ROUND(MIN(300,MAX(1,D1794)),0), FactorTable!$A$2:$A$301,0), Skills!M3+1)</f>
        <v/>
      </c>
      <c r="F1794">
        <f>IF(Skills!N3=TRUE,(Skills!L3/10)*(E1794/1000),Skills!L3/10)+Skills!O3</f>
        <v/>
      </c>
      <c r="G1794">
        <f>Skills!G3*IF(Skills!H3&gt;0,Skills!I3/Skills!H3,1)</f>
        <v/>
      </c>
      <c r="H1794">
        <f>1-(1-Skills!J3/100)^Skills!K3</f>
        <v/>
      </c>
      <c r="I1794" t="inlineStr">
        <is>
          <t>1</t>
        </is>
      </c>
      <c r="J1794">
        <f>((Inputs!$B$6*(1+Inputs!$B$7/100))+(((Inputs!$B$12*(1+Inputs!$B$13/100))-(Inputs!$B$12*(1+Inputs!$B$13/100)))+0.25*(Inputs!$B$14-Inputs!$B$14))*(1+Inputs!$B$7/100))*(F1794/100)</f>
        <v/>
      </c>
      <c r="K1794">
        <f>J1794*(1+((Inputs!$B$12*(1+Inputs!$B$13/100))*0.01+Inputs!$B$14*0.0025)/100)*(1+Inputs!$B$15/100)*(1+Inputs!$B$16/100)*(5000/(6000+Inputs!$B$42*(1-(100*(1-(1-(Inputs!$B$19+0)/100)*(1-CHOOSE(ArtifactsInput!$N$40+1,5,6,7,8,9,10)/100)^(ArtifactsInput!$M$40-ArtifactsInput!$M$40)))/100)))*(1+(Inputs!$B$24+((C1817=TRUE)*(F1817-Calc!F26))+B1827)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1806=TRUE,F1806,0)/100)*(1+(IF(Skills!A3="EIGHT_LEGS_EASTON",Inputs!$B$17+((C1814=TRUE)*(F1814-Calc!F23))+((C1818=TRUE)*(F1818-Calc!F27))+(((IF(AND(ArtifactsInput!$M$42,((Inputs!$B$9+((C1810=TRUE)*(F1810-Calc!F19))+B1821+(ArtifactsInput!$M$24-ArtifactsInput!$M$24)*CHOOSE(ArtifactsInput!$N$24+1,10,12,14,16,18,20)+IF(ArtifactsInput!$M$10,CHOOSE(ArtifactsInput!$N$10+1,15,18,21,24,27,30)*(IF(Inputs!$B$38="pvp",MIN(15,15)/15,IF(AND(Inputs!$B$38&lt;&gt;"pvp",Inputs!$B$43&gt;0),MIN(15,Inputs!$B$43)/(Inputs!$B$43),0))),0)))&gt;=100),MIN(100,((Inputs!$B$9+((C1810=TRUE)*(F1810-Calc!F19))+B1821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1810=TRUE)*(F1810-Calc!F19))+B1821+(ArtifactsInput!$M$24-ArtifactsInput!$M$24)*CHOOSE(ArtifactsInput!$N$24+1,10,12,14,16,18,20)+IF(ArtifactsInput!$M$10,CHOOSE(ArtifactsInput!$N$10+1,15,18,21,24,27,30)*(IF(Inputs!$B$38="pvp",MIN(15,15)/15,IF(AND(Inputs!$B$38&lt;&gt;"pvp",Inputs!$B$43&gt;0),MIN(15,Inputs!$B$43)/(Inputs!$B$43),0))),0)))&gt;=100),CHOOSE(ArtifactsInput!$N$42+1,40,48,56,64,72,80),0))))/100)*((1+(((C1808=TRUE)*F1808)+((C1815=TRUE)*(F1815-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1794)</f>
        <v/>
      </c>
      <c r="L1794">
        <f>K1794*(MIN(Inputs!$B$22+((C1813=TRUE)*(F1813-Calc!F22)),(Inputs!$B$23+0+(IF(ArtifactsInput!$M$15,CHOOSE(ArtifactsInput!$N$15+1,25,30,35,40,45,50)/100*(Inputs!$B$11-Inputs!$B$11),0))))/100+(Inputs!$B$23+0+(IF(ArtifactsInput!$M$15,CHOOSE(ArtifactsInput!$N$15+1,25,30,35,40,45,50)/100*(Inputs!$B$11-Inputs!$B$11),0)))/100)/2</f>
        <v/>
      </c>
      <c r="M1794">
        <f>L1794*(1+(Inputs!$B$10+((C1816=TRUE)*(F1816-Calc!F25))+B1826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4">
        <f>L1794*(1-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1794*(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4">
        <f>(1-Summary!$B$11)*T1794+Summary!$B$11*V1794</f>
        <v/>
      </c>
      <c r="P1794">
        <f>IF(B1831=0,0,O1794/B1831)</f>
        <v/>
      </c>
      <c r="Q1794">
        <f>IFERROR(1/(IF(Inputs!$B$38="pvp",15,MAX(0.1,Skills!D3-IF(Skills!E3=TRUE,Inputs!$B$32,0)))*(1-IF(AND(ArtifactsInput!$M$27,Inputs!$B$4="Chapter Hunt"),CHOOSE(ArtifactsInput!$N$27+1,20,24,28,32,36,40),0)/100)),0)</f>
        <v/>
      </c>
      <c r="R1794">
        <f>IF(AND(Inputs!$B$38&lt;&gt;"pvp",Inputs!$B$43&gt;0),IF(MAX(0,Inputs!$B$43-B1828)&lt;=0,0,(INT(MAX(0,Inputs!$B$43-B1828)/(IF(Inputs!$B$38="pvp",15,MAX(0.1,Skills!D3-IF(Skills!E3=TRUE,Inputs!$B$32,0)))*(1-IF(AND(ArtifactsInput!$M$27,Inputs!$B$4="Chapter Hunt"),CHOOSE(ArtifactsInput!$N$27+1,20,24,28,32,36,40),0)/100)))+1)),0)</f>
        <v/>
      </c>
      <c r="S1794">
        <f>IFERROR(O1794/N1794,0)</f>
        <v/>
      </c>
      <c r="T1794">
        <f>IF(C1794,(H1794*N1794*IF(AND(Inputs!$B$38&lt;&gt;"pvp",Inputs!$B$43&gt;0),((Skills!G3*((R1794-1)*IF(Skills!H3&gt;0,Skills!I3/Skills!H3,1)+IF(Skills!H3&gt;0,MIN(Skills!I3,MAX(0,MAX(0,Inputs!$B$43-B1828)-((R1794-1)*(IF(Inputs!$B$38="pvp",15,MAX(0.1,Skills!D3-IF(Skills!E3=TRUE,Inputs!$B$32,0)))*(1-IF(AND(ArtifactsInput!$M$27,Inputs!$B$4="Chapter Hunt"),CHOOSE(ArtifactsInput!$N$27+1,20,24,28,32,36,40),0)/100)))))/Skills!H3,1)))/Inputs!$B$43),G1794*Q1794)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1794*(1-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1794*(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1794*(1-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1794*(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4">
        <f>INDEX(FactorTable!$B$2:$Y$301, MATCH(ROUND(MIN(300,MAX(1,U1793)),0), FactorTable!$A$2:$A$301,0), 22)</f>
        <v/>
      </c>
      <c r="V1794">
        <f>IF(C1794,(H1794*N1794*IF(AND(Inputs!$B$38&lt;&gt;"pvp",Inputs!$B$43&gt;0),((Skills!G3*((R1794-1)*IF(Skills!H3&gt;0,Skills!I3/Skills!H3,1)+IF(Skills!H3&gt;0,MIN(Skills!I3,MAX(0,MAX(0,Inputs!$B$43-B1828)-((R1794-1)*(IF(Inputs!$B$38="pvp",15,MAX(0.1,Skills!D3-IF(Skills!E3=TRUE,Inputs!$B$32,0)))*(1-IF(AND(ArtifactsInput!$M$27,Inputs!$B$4="Chapter Hunt"),CHOOSE(ArtifactsInput!$N$27+1,20,24,28,32,36,40),0)/100)))))/Skills!H3,1)))/Inputs!$B$43),G1794*Q1794))*IF(Inputs!$B$38="pvp",1,(1+(Inputs!$B$21+Skills!Q3+(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5">
      <c r="A1795">
        <f>Skills!A4</f>
        <v/>
      </c>
      <c r="B1795">
        <f>Skills!B4</f>
        <v/>
      </c>
      <c r="C1795">
        <f>Inputs!$B$3&gt;=40</f>
        <v/>
      </c>
      <c r="D1795">
        <f>IF(Skills!C4=1,60+Inputs!$B$25+Inputs!$B$29,IF(Skills!C4=2,90+Inputs!$B$26+Inputs!$B$29,IF(Skills!C4=3,120+Inputs!$B$27+Inputs!$B$29,MAX(0,(Inputs!$B$3-100)*3)+Inputs!$B$28+Inputs!$B$29)))</f>
        <v/>
      </c>
      <c r="E1795">
        <f>INDEX(FactorTable!$B$2:$Y$301, MATCH(ROUND(MIN(300,MAX(1,D1795)),0), FactorTable!$A$2:$A$301,0), Skills!M4+1)</f>
        <v/>
      </c>
      <c r="F1795">
        <f>IF(Skills!N4=TRUE,(Skills!L4/10)*(E1795/1000),Skills!L4/10)+Skills!O4</f>
        <v/>
      </c>
      <c r="G1795">
        <f>Skills!G4*IF(Skills!H4&gt;0,Skills!I4/Skills!H4,1)</f>
        <v/>
      </c>
      <c r="H1795">
        <f>1-(1-Skills!J4/100)^Skills!K4</f>
        <v/>
      </c>
      <c r="I1795" t="inlineStr">
        <is>
          <t>1</t>
        </is>
      </c>
      <c r="J1795">
        <f>((Inputs!$B$6*(1+Inputs!$B$7/100))+(((Inputs!$B$12*(1+Inputs!$B$13/100))-(Inputs!$B$12*(1+Inputs!$B$13/100)))+0.25*(Inputs!$B$14-Inputs!$B$14))*(1+Inputs!$B$7/100))*(F1795/100)</f>
        <v/>
      </c>
      <c r="K1795">
        <f>J1795*(1+((Inputs!$B$12*(1+Inputs!$B$13/100))*0.01+Inputs!$B$14*0.0025)/100)*(1+Inputs!$B$15/100)*(1+Inputs!$B$16/100)*(5000/(6000+Inputs!$B$42*(1-(100*(1-(1-(Inputs!$B$19+0)/100)*(1-CHOOSE(ArtifactsInput!$N$40+1,5,6,7,8,9,10)/100)^(ArtifactsInput!$M$40-ArtifactsInput!$M$40)))/100)))*(1+(Inputs!$B$24+((C1817=TRUE)*(F1817-Calc!F26))+B1827)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1807=TRUE,F1807,0)/100)*(1+(IF(Skills!A4="EIGHT_LEGS_EASTON",Inputs!$B$17+((C1814=TRUE)*(F1814-Calc!F23))+((C1818=TRUE)*(F1818-Calc!F27))+(((IF(AND(ArtifactsInput!$M$42,((Inputs!$B$9+((C1810=TRUE)*(F1810-Calc!F19))+B1821+(ArtifactsInput!$M$24-ArtifactsInput!$M$24)*CHOOSE(ArtifactsInput!$N$24+1,10,12,14,16,18,20)+IF(ArtifactsInput!$M$10,CHOOSE(ArtifactsInput!$N$10+1,15,18,21,24,27,30)*(IF(Inputs!$B$38="pvp",MIN(15,15)/15,IF(AND(Inputs!$B$38&lt;&gt;"pvp",Inputs!$B$43&gt;0),MIN(15,Inputs!$B$43)/(Inputs!$B$43),0))),0)))&gt;=100),MIN(100,((Inputs!$B$9+((C1810=TRUE)*(F1810-Calc!F19))+B1821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1810=TRUE)*(F1810-Calc!F19))+B1821+(ArtifactsInput!$M$24-ArtifactsInput!$M$24)*CHOOSE(ArtifactsInput!$N$24+1,10,12,14,16,18,20)+IF(ArtifactsInput!$M$10,CHOOSE(ArtifactsInput!$N$10+1,15,18,21,24,27,30)*(IF(Inputs!$B$38="pvp",MIN(15,15)/15,IF(AND(Inputs!$B$38&lt;&gt;"pvp",Inputs!$B$43&gt;0),MIN(15,Inputs!$B$43)/(Inputs!$B$43),0))),0)))&gt;=100),CHOOSE(ArtifactsInput!$N$42+1,40,48,56,64,72,80),0))))/100)*((1+(((C1808=TRUE)*F1808)+((C1815=TRUE)*(F1815-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1795)</f>
        <v/>
      </c>
      <c r="L1795">
        <f>K1795*(MIN(Inputs!$B$22+((C1813=TRUE)*(F1813-Calc!F22)),(Inputs!$B$23+0+(IF(ArtifactsInput!$M$15,CHOOSE(ArtifactsInput!$N$15+1,25,30,35,40,45,50)/100*(Inputs!$B$11-Inputs!$B$11),0))))/100+(Inputs!$B$23+0+(IF(ArtifactsInput!$M$15,CHOOSE(ArtifactsInput!$N$15+1,25,30,35,40,45,50)/100*(Inputs!$B$11-Inputs!$B$11),0)))/100)/2</f>
        <v/>
      </c>
      <c r="M1795">
        <f>L1795*(1+(Inputs!$B$10+((C1816=TRUE)*(F1816-Calc!F25))+B1826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5">
        <f>L1795*(1-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5">
        <f>(1-Summary!$B$11)*T1795+Summary!$B$11*V1795</f>
        <v/>
      </c>
      <c r="P1795">
        <f>IF(B1831=0,0,O1795/B1831)</f>
        <v/>
      </c>
      <c r="Q1795">
        <f>IFERROR(1/(IF(Inputs!$B$38="pvp",15,MAX(0.1,Skills!D4-IF(Skills!E4=TRUE,Inputs!$B$32,0)))*(1-IF(AND(ArtifactsInput!$M$27,Inputs!$B$4="Chapter Hunt"),CHOOSE(ArtifactsInput!$N$27+1,20,24,28,32,36,40),0)/100)),0)</f>
        <v/>
      </c>
      <c r="R1795">
        <f>IF(AND(Inputs!$B$38&lt;&gt;"pvp",Inputs!$B$43&gt;0),IF(MAX(0,Inputs!$B$43-B1828)&lt;=0,0,(INT(MAX(0,Inputs!$B$43-B1828)/(IF(Inputs!$B$38="pvp",15,MAX(0.1,Skills!D4-IF(Skills!E4=TRUE,Inputs!$B$32,0)))*(1-IF(AND(ArtifactsInput!$M$27,Inputs!$B$4="Chapter Hunt"),CHOOSE(ArtifactsInput!$N$27+1,20,24,28,32,36,40),0)/100)))+1)),0)</f>
        <v/>
      </c>
      <c r="S1795">
        <f>IFERROR(O1795/N1795,0)</f>
        <v/>
      </c>
      <c r="T1795">
        <f>IF(C1795,(H1795*N1795*IF(AND(Inputs!$B$38&lt;&gt;"pvp",Inputs!$B$43&gt;0),((Skills!G4*((R1795-1)*IF(Skills!H4&gt;0,Skills!I4/Skills!H4,1)+IF(Skills!H4&gt;0,MIN(Skills!I4,MAX(0,MAX(0,Inputs!$B$43-B1828)-((R1795-1)*(IF(Inputs!$B$38="pvp",15,MAX(0.1,Skills!D4-IF(Skills!E4=TRUE,Inputs!$B$32,0)))*(1-IF(AND(ArtifactsInput!$M$27,Inputs!$B$4="Chapter Hunt"),CHOOSE(ArtifactsInput!$N$27+1,20,24,28,32,36,40),0)/100)))))/Skills!H4,1)))/Inputs!$B$43),G1795*Q1795)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1795*(1-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5">
        <f>290*U1794/1000</f>
        <v/>
      </c>
      <c r="V1795">
        <f>IF(C1795,(H1795*N1795*IF(AND(Inputs!$B$38&lt;&gt;"pvp",Inputs!$B$43&gt;0),((Skills!G4*((R1795-1)*IF(Skills!H4&gt;0,Skills!I4/Skills!H4,1)+IF(Skills!H4&gt;0,MIN(Skills!I4,MAX(0,MAX(0,Inputs!$B$43-B1828)-((R1795-1)*(IF(Inputs!$B$38="pvp",15,MAX(0.1,Skills!D4-IF(Skills!E4=TRUE,Inputs!$B$32,0)))*(1-IF(AND(ArtifactsInput!$M$27,Inputs!$B$4="Chapter Hunt"),CHOOSE(ArtifactsInput!$N$27+1,20,24,28,32,36,40),0)/100)))))/Skills!H4,1)))/Inputs!$B$43),G1795*Q1795))*IF(Inputs!$B$38="pvp",1,(1+(Inputs!$B$21+Skills!Q4+(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6">
      <c r="A1796">
        <f>Skills!A5</f>
        <v/>
      </c>
      <c r="B1796">
        <f>Skills!B5</f>
        <v/>
      </c>
      <c r="C1796">
        <f>Inputs!$B$3&gt;=45</f>
        <v/>
      </c>
      <c r="D1796">
        <f>IF(Skills!C5=1,60+Inputs!$B$25+Inputs!$B$29,IF(Skills!C5=2,90+Inputs!$B$26+Inputs!$B$29,IF(Skills!C5=3,120+Inputs!$B$27+Inputs!$B$29,MAX(0,(Inputs!$B$3-100)*3)+Inputs!$B$28+Inputs!$B$29)))</f>
        <v/>
      </c>
      <c r="E1796">
        <f>INDEX(FactorTable!$B$2:$Y$301, MATCH(ROUND(MIN(300,MAX(1,D1796)),0), FactorTable!$A$2:$A$301,0), Skills!M5+1)</f>
        <v/>
      </c>
      <c r="F1796">
        <f>IF(Skills!N5=TRUE,(Skills!L5/10)*(E1796/1000),Skills!L5/10)+Skills!O5</f>
        <v/>
      </c>
      <c r="G1796">
        <f>Skills!G5*IF(Skills!H5&gt;0,Skills!I5/Skills!H5,1)</f>
        <v/>
      </c>
      <c r="H1796">
        <f>1-(1-Skills!J5/100)^Skills!K5</f>
        <v/>
      </c>
      <c r="I1796" t="inlineStr">
        <is>
          <t>1</t>
        </is>
      </c>
      <c r="J1796">
        <f>((Inputs!$B$6*(1+Inputs!$B$7/100))+(((Inputs!$B$12*(1+Inputs!$B$13/100))-(Inputs!$B$12*(1+Inputs!$B$13/100)))+0.25*(Inputs!$B$14-Inputs!$B$14))*(1+Inputs!$B$7/100))*(F1796/100)</f>
        <v/>
      </c>
      <c r="K1796">
        <f>J1796*(1+((Inputs!$B$12*(1+Inputs!$B$13/100))*0.01+Inputs!$B$14*0.0025)/100)*(1+Inputs!$B$15/100)*(1+Inputs!$B$16/100)*(5000/(6000+Inputs!$B$42*(1-(100*(1-(1-(Inputs!$B$19+0)/100)*(1-CHOOSE(ArtifactsInput!$N$40+1,5,6,7,8,9,10)/100)^(ArtifactsInput!$M$40-ArtifactsInput!$M$40)))/100)))*(1+(Inputs!$B$24+((C1817=TRUE)*(F1817-Calc!F26))+B1827)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1807=TRUE,F1807,0)/100)*(1+(IF(Skills!A5="EIGHT_LEGS_EASTON",Inputs!$B$17+((C1814=TRUE)*(F1814-Calc!F23))+((C1818=TRUE)*(F1818-Calc!F27))+(((IF(AND(ArtifactsInput!$M$42,((Inputs!$B$9+((C1810=TRUE)*(F1810-Calc!F19))+B1821+(ArtifactsInput!$M$24-ArtifactsInput!$M$24)*CHOOSE(ArtifactsInput!$N$24+1,10,12,14,16,18,20)+IF(ArtifactsInput!$M$10,CHOOSE(ArtifactsInput!$N$10+1,15,18,21,24,27,30)*(IF(Inputs!$B$38="pvp",MIN(15,15)/15,IF(AND(Inputs!$B$38&lt;&gt;"pvp",Inputs!$B$43&gt;0),MIN(15,Inputs!$B$43)/(Inputs!$B$43),0))),0)))&gt;=100),MIN(100,((Inputs!$B$9+((C1810=TRUE)*(F1810-Calc!F19))+B1821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1810=TRUE)*(F1810-Calc!F19))+B1821+(ArtifactsInput!$M$24-ArtifactsInput!$M$24)*CHOOSE(ArtifactsInput!$N$24+1,10,12,14,16,18,20)+IF(ArtifactsInput!$M$10,CHOOSE(ArtifactsInput!$N$10+1,15,18,21,24,27,30)*(IF(Inputs!$B$38="pvp",MIN(15,15)/15,IF(AND(Inputs!$B$38&lt;&gt;"pvp",Inputs!$B$43&gt;0),MIN(15,Inputs!$B$43)/(Inputs!$B$43),0))),0)))&gt;=100),CHOOSE(ArtifactsInput!$N$42+1,40,48,56,64,72,80),0))))/100)*((1+(((C1808=TRUE)*F1808)+((C1815=TRUE)*(F1815-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1796)</f>
        <v/>
      </c>
      <c r="L1796">
        <f>K1796*(MIN(Inputs!$B$22+((C1813=TRUE)*(F1813-Calc!F22)),(Inputs!$B$23+0+(IF(ArtifactsInput!$M$15,CHOOSE(ArtifactsInput!$N$15+1,25,30,35,40,45,50)/100*(Inputs!$B$11-Inputs!$B$11),0))))/100+(Inputs!$B$23+0+(IF(ArtifactsInput!$M$15,CHOOSE(ArtifactsInput!$N$15+1,25,30,35,40,45,50)/100*(Inputs!$B$11-Inputs!$B$11),0)))/100)/2</f>
        <v/>
      </c>
      <c r="M1796">
        <f>L1796*(1+(Inputs!$B$10+((C1816=TRUE)*(F1816-Calc!F25))+B1826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6">
        <f>L1796*(1-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1796*(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6">
        <f>(1-Summary!$B$11)*T1796+Summary!$B$11*V1796</f>
        <v/>
      </c>
      <c r="P1796">
        <f>IF(B1831=0,0,O1796/B1831)</f>
        <v/>
      </c>
      <c r="Q1796">
        <f>IFERROR(1/(IF(Inputs!$B$38="pvp",15,MAX(0.1,Skills!D5-IF(Skills!E5=TRUE,Inputs!$B$32,0)))*(1-IF(AND(ArtifactsInput!$M$27,Inputs!$B$4="Chapter Hunt"),CHOOSE(ArtifactsInput!$N$27+1,20,24,28,32,36,40),0)/100)),0)</f>
        <v/>
      </c>
      <c r="R1796">
        <f>IF(AND(Inputs!$B$38&lt;&gt;"pvp",Inputs!$B$43&gt;0),IF(MAX(0,Inputs!$B$43-B1828)&lt;=0,0,(INT(MAX(0,Inputs!$B$43-B1828)/(IF(Inputs!$B$38="pvp",15,MAX(0.1,Skills!D5-IF(Skills!E5=TRUE,Inputs!$B$32,0)))*(1-IF(AND(ArtifactsInput!$M$27,Inputs!$B$4="Chapter Hunt"),CHOOSE(ArtifactsInput!$N$27+1,20,24,28,32,36,40),0)/100)))+1)),0)</f>
        <v/>
      </c>
      <c r="S1796">
        <f>IFERROR(O1796/N1796,0)</f>
        <v/>
      </c>
      <c r="T1796">
        <f>IF(C1796,(H1796*N1796*IF(AND(Inputs!$B$38&lt;&gt;"pvp",Inputs!$B$43&gt;0),((Skills!G5*((R1796-1)*IF(Skills!H5&gt;0,Skills!I5/Skills!H5,1)+IF(Skills!H5&gt;0,MIN(Skills!I5,MAX(0,MAX(0,Inputs!$B$43-B1828)-((R1796-1)*(IF(Inputs!$B$38="pvp",15,MAX(0.1,Skills!D5-IF(Skills!E5=TRUE,Inputs!$B$32,0)))*(1-IF(AND(ArtifactsInput!$M$27,Inputs!$B$4="Chapter Hunt"),CHOOSE(ArtifactsInput!$N$27+1,20,24,28,32,36,40),0)/100)))))/Skills!H5,1)))/Inputs!$B$43),G1796*Q1796)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1796*(1-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1796*(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1796*(1-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1796*(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6">
        <f>IF(C1796,(H1796*N1796*IF(AND(Inputs!$B$38&lt;&gt;"pvp",Inputs!$B$43&gt;0),((Skills!G5*((R1796-1)*IF(Skills!H5&gt;0,Skills!I5/Skills!H5,1)+IF(Skills!H5&gt;0,MIN(Skills!I5,MAX(0,MAX(0,Inputs!$B$43-B1828)-((R1796-1)*(IF(Inputs!$B$38="pvp",15,MAX(0.1,Skills!D5-IF(Skills!E5=TRUE,Inputs!$B$32,0)))*(1-IF(AND(ArtifactsInput!$M$27,Inputs!$B$4="Chapter Hunt"),CHOOSE(ArtifactsInput!$N$27+1,20,24,28,32,36,40),0)/100)))))/Skills!H5,1)))/Inputs!$B$43),G1796*Q1796))*IF(Inputs!$B$38="pvp",1,(1+(Inputs!$B$21+Skills!Q5+(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7">
      <c r="A1797">
        <f>Skills!A6</f>
        <v/>
      </c>
      <c r="B1797">
        <f>Skills!B6</f>
        <v/>
      </c>
      <c r="C1797">
        <f>Inputs!$B$3&gt;=63</f>
        <v/>
      </c>
      <c r="D1797">
        <f>IF(Skills!C6=1,60+Inputs!$B$25+Inputs!$B$29,IF(Skills!C6=2,90+Inputs!$B$26+Inputs!$B$29,IF(Skills!C6=3,120+Inputs!$B$27+Inputs!$B$29,MAX(0,(Inputs!$B$3-100)*3)+Inputs!$B$28+Inputs!$B$29)))</f>
        <v/>
      </c>
      <c r="E1797">
        <f>INDEX(FactorTable!$B$2:$Y$301, MATCH(ROUND(MIN(300,MAX(1,D1797)),0), FactorTable!$A$2:$A$301,0), Skills!M6+1)</f>
        <v/>
      </c>
      <c r="F1797">
        <f>IF(Skills!N6=TRUE,(Skills!L6/10)*(E1797/1000),Skills!L6/10)+Skills!O6</f>
        <v/>
      </c>
      <c r="G1797">
        <f>Skills!G6*IF(Skills!H6&gt;0,Skills!I6/Skills!H6,1)</f>
        <v/>
      </c>
      <c r="H1797">
        <f>1-(1-Skills!J6/100)^Skills!K6</f>
        <v/>
      </c>
      <c r="I1797" t="inlineStr">
        <is>
          <t>1</t>
        </is>
      </c>
      <c r="J1797">
        <f>((Inputs!$B$6*(1+Inputs!$B$7/100))+(((Inputs!$B$12*(1+Inputs!$B$13/100))-(Inputs!$B$12*(1+Inputs!$B$13/100)))+0.25*(Inputs!$B$14-Inputs!$B$14))*(1+Inputs!$B$7/100))*(F1797/100)</f>
        <v/>
      </c>
      <c r="K1797">
        <f>J1797*(1+((Inputs!$B$12*(1+Inputs!$B$13/100))*0.01+Inputs!$B$14*0.0025)/100)*(1+Inputs!$B$15/100)*(1+Inputs!$B$16/100)*(5000/(6000+Inputs!$B$42*(1-(100*(1-(1-(Inputs!$B$19+0)/100)*(1-CHOOSE(ArtifactsInput!$N$40+1,5,6,7,8,9,10)/100)^(ArtifactsInput!$M$40-ArtifactsInput!$M$40)))/100)))*(1+(Inputs!$B$24+((C1817=TRUE)*(F1817-Calc!F26))+B1827)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1806=TRUE,F1806,0)/100)*(1+(IF(Skills!A6="EIGHT_LEGS_EASTON",Inputs!$B$17+((C1814=TRUE)*(F1814-Calc!F23))+((C1818=TRUE)*(F1818-Calc!F27))+(((IF(AND(ArtifactsInput!$M$42,((Inputs!$B$9+((C1810=TRUE)*(F1810-Calc!F19))+B1821+(ArtifactsInput!$M$24-ArtifactsInput!$M$24)*CHOOSE(ArtifactsInput!$N$24+1,10,12,14,16,18,20)+IF(ArtifactsInput!$M$10,CHOOSE(ArtifactsInput!$N$10+1,15,18,21,24,27,30)*(IF(Inputs!$B$38="pvp",MIN(15,15)/15,IF(AND(Inputs!$B$38&lt;&gt;"pvp",Inputs!$B$43&gt;0),MIN(15,Inputs!$B$43)/(Inputs!$B$43),0))),0)))&gt;=100),MIN(100,((Inputs!$B$9+((C1810=TRUE)*(F1810-Calc!F19))+B1821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1810=TRUE)*(F1810-Calc!F19))+B1821+(ArtifactsInput!$M$24-ArtifactsInput!$M$24)*CHOOSE(ArtifactsInput!$N$24+1,10,12,14,16,18,20)+IF(ArtifactsInput!$M$10,CHOOSE(ArtifactsInput!$N$10+1,15,18,21,24,27,30)*(IF(Inputs!$B$38="pvp",MIN(15,15)/15,IF(AND(Inputs!$B$38&lt;&gt;"pvp",Inputs!$B$43&gt;0),MIN(15,Inputs!$B$43)/(Inputs!$B$43),0))),0)))&gt;=100),CHOOSE(ArtifactsInput!$N$42+1,40,48,56,64,72,80),0))))/100)*((1+(((C1808=TRUE)*F1808)+((C1815=TRUE)*(F1815-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1797)</f>
        <v/>
      </c>
      <c r="L1797">
        <f>K1797*(MIN(Inputs!$B$22+((C1813=TRUE)*(F1813-Calc!F22)),(Inputs!$B$23+0+(IF(ArtifactsInput!$M$15,CHOOSE(ArtifactsInput!$N$15+1,25,30,35,40,45,50)/100*(Inputs!$B$11-Inputs!$B$11),0))))/100+(Inputs!$B$23+0+(IF(ArtifactsInput!$M$15,CHOOSE(ArtifactsInput!$N$15+1,25,30,35,40,45,50)/100*(Inputs!$B$11-Inputs!$B$11),0)))/100)/2</f>
        <v/>
      </c>
      <c r="M1797">
        <f>L1797*(1+(Inputs!$B$10+((C1816=TRUE)*(F1816-Calc!F25))+B1826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7">
        <f>L1797*(1-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1797*(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7">
        <f>(1-Summary!$B$11)*T1797+Summary!$B$11*V1797</f>
        <v/>
      </c>
      <c r="P1797">
        <f>IF(B1831=0,0,O1797/B1831)</f>
        <v/>
      </c>
      <c r="Q1797">
        <f>IFERROR(1/(IF(Inputs!$B$38="pvp",15,MAX(0.1,Skills!D6-IF(Skills!E6=TRUE,Inputs!$B$32,0)))*(1-IF(AND(ArtifactsInput!$M$27,Inputs!$B$4="Chapter Hunt"),CHOOSE(ArtifactsInput!$N$27+1,20,24,28,32,36,40),0)/100)),0)</f>
        <v/>
      </c>
      <c r="R1797">
        <f>IF(AND(Inputs!$B$38&lt;&gt;"pvp",Inputs!$B$43&gt;0),IF(MAX(0,Inputs!$B$43-B1828)&lt;=0,0,(INT(MAX(0,Inputs!$B$43-B1828)/(IF(Inputs!$B$38="pvp",15,MAX(0.1,Skills!D6-IF(Skills!E6=TRUE,Inputs!$B$32,0)))*(1-IF(AND(ArtifactsInput!$M$27,Inputs!$B$4="Chapter Hunt"),CHOOSE(ArtifactsInput!$N$27+1,20,24,28,32,36,40),0)/100)))+1)),0)</f>
        <v/>
      </c>
      <c r="S1797">
        <f>IFERROR(O1797/N1797,0)</f>
        <v/>
      </c>
      <c r="T1797">
        <f>IF(C1797,(H1797*N1797*IF(AND(Inputs!$B$38&lt;&gt;"pvp",Inputs!$B$43&gt;0),((Skills!G6*((R1797-1)*IF(Skills!H6&gt;0,Skills!I6/Skills!H6,1)+IF(Skills!H6&gt;0,MIN(Skills!I6,MAX(0,MAX(0,Inputs!$B$43-B1828)-((R1797-1)*(IF(Inputs!$B$38="pvp",15,MAX(0.1,Skills!D6-IF(Skills!E6=TRUE,Inputs!$B$32,0)))*(1-IF(AND(ArtifactsInput!$M$27,Inputs!$B$4="Chapter Hunt"),CHOOSE(ArtifactsInput!$N$27+1,20,24,28,32,36,40),0)/100)))))/Skills!H6,1)))/Inputs!$B$43),G1797*Q1797)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1797*(1-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1797*(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1797*(1-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1797*(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7">
        <f>IF(C1797,(H1797*N1797*IF(AND(Inputs!$B$38&lt;&gt;"pvp",Inputs!$B$43&gt;0),((Skills!G6*((R1797-1)*IF(Skills!H6&gt;0,Skills!I6/Skills!H6,1)+IF(Skills!H6&gt;0,MIN(Skills!I6,MAX(0,MAX(0,Inputs!$B$43-B1828)-((R1797-1)*(IF(Inputs!$B$38="pvp",15,MAX(0.1,Skills!D6-IF(Skills!E6=TRUE,Inputs!$B$32,0)))*(1-IF(AND(ArtifactsInput!$M$27,Inputs!$B$4="Chapter Hunt"),CHOOSE(ArtifactsInput!$N$27+1,20,24,28,32,36,40),0)/100)))))/Skills!H6,1)))/Inputs!$B$43),G1797*Q1797))*IF(Inputs!$B$38="pvp",1,(1+(Inputs!$B$21+Skills!Q6+(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8">
      <c r="A1798">
        <f>Skills!A7</f>
        <v/>
      </c>
      <c r="B1798">
        <f>Skills!B7</f>
        <v/>
      </c>
      <c r="C1798">
        <f>Inputs!$B$3&gt;=66</f>
        <v/>
      </c>
      <c r="D1798">
        <f>IF(Skills!C7=1,60+Inputs!$B$25+Inputs!$B$29,IF(Skills!C7=2,90+Inputs!$B$26+Inputs!$B$29,IF(Skills!C7=3,120+Inputs!$B$27+Inputs!$B$29,MAX(0,(Inputs!$B$3-100)*3)+Inputs!$B$28+Inputs!$B$29)))</f>
        <v/>
      </c>
      <c r="E1798">
        <f>INDEX(FactorTable!$B$2:$Y$301, MATCH(ROUND(MIN(300,MAX(1,D1798)),0), FactorTable!$A$2:$A$301,0), Skills!M7+1)</f>
        <v/>
      </c>
      <c r="F1798">
        <f>IF(Skills!N7=TRUE,(Skills!L7/10)*(E1798/1000),Skills!L7/10)+Skills!O7</f>
        <v/>
      </c>
      <c r="G1798">
        <f>Skills!G7*IF(Skills!H7&gt;0,Skills!I7/Skills!H7,1)</f>
        <v/>
      </c>
      <c r="H1798">
        <f>1-(1-Skills!J7/100)^Skills!K7</f>
        <v/>
      </c>
      <c r="I1798" t="inlineStr">
        <is>
          <t>1</t>
        </is>
      </c>
      <c r="J1798">
        <f>((Inputs!$B$6*(1+Inputs!$B$7/100))+(((Inputs!$B$12*(1+Inputs!$B$13/100))-(Inputs!$B$12*(1+Inputs!$B$13/100)))+0.25*(Inputs!$B$14-Inputs!$B$14))*(1+Inputs!$B$7/100))*(F1798/100)</f>
        <v/>
      </c>
      <c r="K1798">
        <f>J1798*(1+((Inputs!$B$12*(1+Inputs!$B$13/100))*0.01+Inputs!$B$14*0.0025)/100)*(1+Inputs!$B$15/100)*(1+Inputs!$B$16/100)*(5000/(6000+Inputs!$B$42*(1-(100*(1-(1-(Inputs!$B$19+0)/100)*(1-CHOOSE(ArtifactsInput!$N$40+1,5,6,7,8,9,10)/100)^(ArtifactsInput!$M$40-ArtifactsInput!$M$40)))/100)))*(1+(Inputs!$B$24+((C1817=TRUE)*(F1817-Calc!F26))+B1827)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1806=TRUE,F1806,0)/100)*(1+(IF(Skills!A7="EIGHT_LEGS_EASTON",Inputs!$B$17+((C1814=TRUE)*(F1814-Calc!F23))+((C1818=TRUE)*(F1818-Calc!F27))+(((IF(AND(ArtifactsInput!$M$42,((Inputs!$B$9+((C1810=TRUE)*(F1810-Calc!F19))+B1821+(ArtifactsInput!$M$24-ArtifactsInput!$M$24)*CHOOSE(ArtifactsInput!$N$24+1,10,12,14,16,18,20)+IF(ArtifactsInput!$M$10,CHOOSE(ArtifactsInput!$N$10+1,15,18,21,24,27,30)*(IF(Inputs!$B$38="pvp",MIN(15,15)/15,IF(AND(Inputs!$B$38&lt;&gt;"pvp",Inputs!$B$43&gt;0),MIN(15,Inputs!$B$43)/(Inputs!$B$43),0))),0)))&gt;=100),MIN(100,((Inputs!$B$9+((C1810=TRUE)*(F1810-Calc!F19))+B1821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1810=TRUE)*(F1810-Calc!F19))+B1821+(ArtifactsInput!$M$24-ArtifactsInput!$M$24)*CHOOSE(ArtifactsInput!$N$24+1,10,12,14,16,18,20)+IF(ArtifactsInput!$M$10,CHOOSE(ArtifactsInput!$N$10+1,15,18,21,24,27,30)*(IF(Inputs!$B$38="pvp",MIN(15,15)/15,IF(AND(Inputs!$B$38&lt;&gt;"pvp",Inputs!$B$43&gt;0),MIN(15,Inputs!$B$43)/(Inputs!$B$43),0))),0)))&gt;=100),CHOOSE(ArtifactsInput!$N$42+1,40,48,56,64,72,80),0))))/100)*((1+(((C1808=TRUE)*F1808)+((C1815=TRUE)*(F1815-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1798)</f>
        <v/>
      </c>
      <c r="L1798">
        <f>K1798*(MIN(Inputs!$B$22+((C1813=TRUE)*(F1813-Calc!F22)),(Inputs!$B$23+0+(IF(ArtifactsInput!$M$15,CHOOSE(ArtifactsInput!$N$15+1,25,30,35,40,45,50)/100*(Inputs!$B$11-Inputs!$B$11),0))))/100+(Inputs!$B$23+0+(IF(ArtifactsInput!$M$15,CHOOSE(ArtifactsInput!$N$15+1,25,30,35,40,45,50)/100*(Inputs!$B$11-Inputs!$B$11),0)))/100)/2</f>
        <v/>
      </c>
      <c r="M1798">
        <f>L1798*(1+(Inputs!$B$10+((C1816=TRUE)*(F1816-Calc!F25))+B1826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8">
        <f>L1798*(1-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1798*(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8">
        <f>(1-Summary!$B$11)*T1798+Summary!$B$11*V1798</f>
        <v/>
      </c>
      <c r="P1798">
        <f>IF(B1831=0,0,O1798/B1831)</f>
        <v/>
      </c>
      <c r="Q1798">
        <f>IFERROR(1/(IF(Inputs!$B$38="pvp",15,MAX(0.1,Skills!D7-IF(Skills!E7=TRUE,Inputs!$B$32,0)))*(1-IF(AND(ArtifactsInput!$M$27,Inputs!$B$4="Chapter Hunt"),CHOOSE(ArtifactsInput!$N$27+1,20,24,28,32,36,40),0)/100)),0)</f>
        <v/>
      </c>
      <c r="R1798">
        <f>IF(AND(Inputs!$B$38&lt;&gt;"pvp",Inputs!$B$43&gt;0),IF(MAX(0,Inputs!$B$43-B1828)&lt;=0,0,(INT(MAX(0,Inputs!$B$43-B1828)/(IF(Inputs!$B$38="pvp",15,MAX(0.1,Skills!D7-IF(Skills!E7=TRUE,Inputs!$B$32,0)))*(1-IF(AND(ArtifactsInput!$M$27,Inputs!$B$4="Chapter Hunt"),CHOOSE(ArtifactsInput!$N$27+1,20,24,28,32,36,40),0)/100)))+1)),0)</f>
        <v/>
      </c>
      <c r="S1798">
        <f>IFERROR(O1798/N1798,0)</f>
        <v/>
      </c>
      <c r="T1798">
        <f>IF(C1798,(H1798*N1798*IF(AND(Inputs!$B$38&lt;&gt;"pvp",Inputs!$B$43&gt;0),((Skills!G7*((R1798-1)*IF(Skills!H7&gt;0,Skills!I7/Skills!H7,1)+IF(Skills!H7&gt;0,MIN(Skills!I7,MAX(0,MAX(0,Inputs!$B$43-B1828)-((R1798-1)*(IF(Inputs!$B$38="pvp",15,MAX(0.1,Skills!D7-IF(Skills!E7=TRUE,Inputs!$B$32,0)))*(1-IF(AND(ArtifactsInput!$M$27,Inputs!$B$4="Chapter Hunt"),CHOOSE(ArtifactsInput!$N$27+1,20,24,28,32,36,40),0)/100)))))/Skills!H7,1)))/Inputs!$B$43),G1798*Q1798)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1798*(1-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1798*(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1798*(1-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1798*(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8">
        <f>IF(C1798,(H1798*N1798*IF(AND(Inputs!$B$38&lt;&gt;"pvp",Inputs!$B$43&gt;0),((Skills!G7*((R1798-1)*IF(Skills!H7&gt;0,Skills!I7/Skills!H7,1)+IF(Skills!H7&gt;0,MIN(Skills!I7,MAX(0,MAX(0,Inputs!$B$43-B1828)-((R1798-1)*(IF(Inputs!$B$38="pvp",15,MAX(0.1,Skills!D7-IF(Skills!E7=TRUE,Inputs!$B$32,0)))*(1-IF(AND(ArtifactsInput!$M$27,Inputs!$B$4="Chapter Hunt"),CHOOSE(ArtifactsInput!$N$27+1,20,24,28,32,36,40),0)/100)))))/Skills!H7,1)))/Inputs!$B$43),G1798*Q1798))*IF(Inputs!$B$38="pvp",1,(1+(Inputs!$B$21+Skills!Q7+(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9">
      <c r="A1799">
        <f>Skills!A8</f>
        <v/>
      </c>
      <c r="B1799">
        <f>Skills!B8</f>
        <v/>
      </c>
      <c r="C1799">
        <f>Inputs!$B$3&gt;=100</f>
        <v/>
      </c>
      <c r="D1799">
        <f>IF(Skills!C8=1,60+Inputs!$B$25+Inputs!$B$29,IF(Skills!C8=2,90+Inputs!$B$26+Inputs!$B$29,IF(Skills!C8=3,120+Inputs!$B$27+Inputs!$B$29,MAX(0,(Inputs!$B$3-100)*3)+Inputs!$B$28+Inputs!$B$29)))</f>
        <v/>
      </c>
      <c r="E1799">
        <f>INDEX(FactorTable!$B$2:$Y$301, MATCH(ROUND(MIN(300,MAX(1,D1799)),0), FactorTable!$A$2:$A$301,0), Skills!M8+1)</f>
        <v/>
      </c>
      <c r="F1799">
        <f>IF(Skills!N8=TRUE,(Skills!L8/10)*(E1799/1000),Skills!L8/10)+Skills!O8</f>
        <v/>
      </c>
      <c r="G1799">
        <f>Skills!G8*IF(Skills!H8&gt;0,Skills!I8/Skills!H8,1)</f>
        <v/>
      </c>
      <c r="H1799">
        <f>1-(1-Skills!J8/100)^Skills!K8</f>
        <v/>
      </c>
      <c r="I1799" t="inlineStr">
        <is>
          <t>1</t>
        </is>
      </c>
      <c r="J1799">
        <f>((Inputs!$B$6*(1+Inputs!$B$7/100))+(((Inputs!$B$12*(1+Inputs!$B$13/100))-(Inputs!$B$12*(1+Inputs!$B$13/100)))+0.25*(Inputs!$B$14-Inputs!$B$14))*(1+Inputs!$B$7/100))*(F1799/100)</f>
        <v/>
      </c>
      <c r="K1799">
        <f>J1799*(1+((Inputs!$B$12*(1+Inputs!$B$13/100))*0.01+Inputs!$B$14*0.0025)/100)*(1+Inputs!$B$15/100)*(1+Inputs!$B$16/100)*(5000/(6000+Inputs!$B$42*(1-(100*(1-(1-(Inputs!$B$19+0)/100)*(1-CHOOSE(ArtifactsInput!$N$40+1,5,6,7,8,9,10)/100)^(ArtifactsInput!$M$40-ArtifactsInput!$M$40)))/100)))*(1+(Inputs!$B$24+((C1817=TRUE)*(F1817-Calc!F26))+B1827)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1814=TRUE)*(F1814-Calc!F23))+((C1818=TRUE)*(F1818-Calc!F27))+(((IF(AND(ArtifactsInput!$M$42,((Inputs!$B$9+((C1810=TRUE)*(F1810-Calc!F19))+B1821+(ArtifactsInput!$M$24-ArtifactsInput!$M$24)*CHOOSE(ArtifactsInput!$N$24+1,10,12,14,16,18,20)+IF(ArtifactsInput!$M$10,CHOOSE(ArtifactsInput!$N$10+1,15,18,21,24,27,30)*(IF(Inputs!$B$38="pvp",MIN(15,15)/15,IF(AND(Inputs!$B$38&lt;&gt;"pvp",Inputs!$B$43&gt;0),MIN(15,Inputs!$B$43)/(Inputs!$B$43),0))),0)))&gt;=100),MIN(100,((Inputs!$B$9+((C1810=TRUE)*(F1810-Calc!F19))+B1821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1810=TRUE)*(F1810-Calc!F19))+B1821+(ArtifactsInput!$M$24-ArtifactsInput!$M$24)*CHOOSE(ArtifactsInput!$N$24+1,10,12,14,16,18,20)+IF(ArtifactsInput!$M$10,CHOOSE(ArtifactsInput!$N$10+1,15,18,21,24,27,30)*(IF(Inputs!$B$38="pvp",MIN(15,15)/15,IF(AND(Inputs!$B$38&lt;&gt;"pvp",Inputs!$B$43&gt;0),MIN(15,Inputs!$B$43)/(Inputs!$B$43),0))),0)))&gt;=100),CHOOSE(ArtifactsInput!$N$42+1,40,48,56,64,72,80),0))))/100)*((1+(((C1808=TRUE)*F1808)+((C1815=TRUE)*(F1815-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1799)</f>
        <v/>
      </c>
      <c r="L1799">
        <f>K1799*(MIN(Inputs!$B$22+((C1813=TRUE)*(F1813-Calc!F22)),(Inputs!$B$23+0+(IF(ArtifactsInput!$M$15,CHOOSE(ArtifactsInput!$N$15+1,25,30,35,40,45,50)/100*(Inputs!$B$11-Inputs!$B$11),0))))/100+(Inputs!$B$23+0+(IF(ArtifactsInput!$M$15,CHOOSE(ArtifactsInput!$N$15+1,25,30,35,40,45,50)/100*(Inputs!$B$11-Inputs!$B$11),0)))/100)/2</f>
        <v/>
      </c>
      <c r="M1799">
        <f>L1799*(1+(Inputs!$B$10+((C1816=TRUE)*(F1816-Calc!F25))+B1826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9">
        <f>L1799*(1-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1799*(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9">
        <f>(1-Summary!$B$11)*T1799+Summary!$B$11*V1799</f>
        <v/>
      </c>
      <c r="P1799">
        <f>IF(B1831=0,0,O1799/B1831)</f>
        <v/>
      </c>
      <c r="Q1799">
        <f>IFERROR(1/(IF(Inputs!$B$38="pvp",15,MAX(0.1,Skills!D8-IF(Skills!E8=TRUE,Inputs!$B$32,0)))*(1-IF(AND(ArtifactsInput!$M$27,Inputs!$B$4="Chapter Hunt"),CHOOSE(ArtifactsInput!$N$27+1,20,24,28,32,36,40),0)/100)),0)</f>
        <v/>
      </c>
      <c r="R1799">
        <f>IF(AND(Inputs!$B$38&lt;&gt;"pvp",Inputs!$B$43&gt;0),IF(MAX(0,Inputs!$B$43-B1828)&lt;=0,0,(INT(MAX(0,Inputs!$B$43-B1828)/(IF(Inputs!$B$38="pvp",15,MAX(0.1,Skills!D8-IF(Skills!E8=TRUE,Inputs!$B$32,0)))*(1-IF(AND(ArtifactsInput!$M$27,Inputs!$B$4="Chapter Hunt"),CHOOSE(ArtifactsInput!$N$27+1,20,24,28,32,36,40),0)/100)))+1)),0)</f>
        <v/>
      </c>
      <c r="S1799">
        <f>IFERROR(O1799/N1799,0)</f>
        <v/>
      </c>
      <c r="T1799">
        <f>IF(C1799,(H1799*N1799*IF(AND(Inputs!$B$38&lt;&gt;"pvp",Inputs!$B$43&gt;0),((Skills!G8*((R1799-1)*IF(Skills!H8&gt;0,Skills!I8/Skills!H8,1)+IF(Skills!H8&gt;0,MIN(Skills!I8,MAX(0,MAX(0,Inputs!$B$43-B1828)-((R1799-1)*(IF(Inputs!$B$38="pvp",15,MAX(0.1,Skills!D8-IF(Skills!E8=TRUE,Inputs!$B$32,0)))*(1-IF(AND(ArtifactsInput!$M$27,Inputs!$B$4="Chapter Hunt"),CHOOSE(ArtifactsInput!$N$27+1,20,24,28,32,36,40),0)/100)))))/Skills!H8,1)))/Inputs!$B$43),G1799*Q1799)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1799*(1-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1799*(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1799*(1-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1799*(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9">
        <f>IF(C1799,(H1799*N1799*IF(AND(Inputs!$B$38&lt;&gt;"pvp",Inputs!$B$43&gt;0),((Skills!G8*((R1799-1)*IF(Skills!H8&gt;0,Skills!I8/Skills!H8,1)+IF(Skills!H8&gt;0,MIN(Skills!I8,MAX(0,MAX(0,Inputs!$B$43-B1828)-((R1799-1)*(IF(Inputs!$B$38="pvp",15,MAX(0.1,Skills!D8-IF(Skills!E8=TRUE,Inputs!$B$32,0)))*(1-IF(AND(ArtifactsInput!$M$27,Inputs!$B$4="Chapter Hunt"),CHOOSE(ArtifactsInput!$N$27+1,20,24,28,32,36,40),0)/100)))))/Skills!H8,1)))/Inputs!$B$43),G1799*Q1799))*IF(Inputs!$B$38="pvp",1,(1+(Inputs!$B$21+Skills!Q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0">
      <c r="A1800">
        <f>Skills!A9</f>
        <v/>
      </c>
      <c r="B1800">
        <f>Skills!B9</f>
        <v/>
      </c>
      <c r="C1800">
        <f>Inputs!$B$3&gt;=103</f>
        <v/>
      </c>
      <c r="D1800">
        <f>IF(Skills!C9=1,60+Inputs!$B$25+Inputs!$B$29,IF(Skills!C9=2,90+Inputs!$B$26+Inputs!$B$29,IF(Skills!C9=3,120+Inputs!$B$27+Inputs!$B$29,MAX(0,(Inputs!$B$3-100)*3)+Inputs!$B$28+Inputs!$B$29)))</f>
        <v/>
      </c>
      <c r="E1800">
        <f>INDEX(FactorTable!$B$2:$Y$301, MATCH(ROUND(MIN(300,MAX(1,D1800)),0), FactorTable!$A$2:$A$301,0), Skills!M9+1)</f>
        <v/>
      </c>
      <c r="F1800">
        <f>IF(Skills!N9=TRUE,(Skills!L9/10)*(E1800/1000),Skills!L9/10)+Skills!O9</f>
        <v/>
      </c>
      <c r="G1800">
        <f>Skills!G9*IF(Skills!H9&gt;0,Skills!I9/Skills!H9,1)</f>
        <v/>
      </c>
      <c r="H1800">
        <f>1-(1-Skills!J9/100)^Skills!K9</f>
        <v/>
      </c>
      <c r="I1800" t="inlineStr">
        <is>
          <t>1</t>
        </is>
      </c>
      <c r="J1800">
        <f>((Inputs!$B$6*(1+Inputs!$B$7/100))+(((Inputs!$B$12*(1+Inputs!$B$13/100))-(Inputs!$B$12*(1+Inputs!$B$13/100)))+0.25*(Inputs!$B$14-Inputs!$B$14))*(1+Inputs!$B$7/100))*(F1800/100)</f>
        <v/>
      </c>
      <c r="K1800">
        <f>J1800*(1+((Inputs!$B$12*(1+Inputs!$B$13/100))*0.01+Inputs!$B$14*0.0025)/100)*(1+Inputs!$B$15/100)*(1+Inputs!$B$16/100)*(5000/(6000+Inputs!$B$42*(1-(100*(1-(1-(Inputs!$B$19+0)/100)*(1-CHOOSE(ArtifactsInput!$N$40+1,5,6,7,8,9,10)/100)^(ArtifactsInput!$M$40-ArtifactsInput!$M$40)))/100)))*(1+(Inputs!$B$24+((C1817=TRUE)*(F1817-Calc!F26))+B1827)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1814=TRUE)*(F1814-Calc!F23))+((C1818=TRUE)*(F1818-Calc!F27))+(((IF(AND(ArtifactsInput!$M$42,((Inputs!$B$9+((C1810=TRUE)*(F1810-Calc!F19))+B1821+(ArtifactsInput!$M$24-ArtifactsInput!$M$24)*CHOOSE(ArtifactsInput!$N$24+1,10,12,14,16,18,20)+IF(ArtifactsInput!$M$10,CHOOSE(ArtifactsInput!$N$10+1,15,18,21,24,27,30)*(IF(Inputs!$B$38="pvp",MIN(15,15)/15,IF(AND(Inputs!$B$38&lt;&gt;"pvp",Inputs!$B$43&gt;0),MIN(15,Inputs!$B$43)/(Inputs!$B$43),0))),0)))&gt;=100),MIN(100,((Inputs!$B$9+((C1810=TRUE)*(F1810-Calc!F19))+B1821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1810=TRUE)*(F1810-Calc!F19))+B1821+(ArtifactsInput!$M$24-ArtifactsInput!$M$24)*CHOOSE(ArtifactsInput!$N$24+1,10,12,14,16,18,20)+IF(ArtifactsInput!$M$10,CHOOSE(ArtifactsInput!$N$10+1,15,18,21,24,27,30)*(IF(Inputs!$B$38="pvp",MIN(15,15)/15,IF(AND(Inputs!$B$38&lt;&gt;"pvp",Inputs!$B$43&gt;0),MIN(15,Inputs!$B$43)/(Inputs!$B$43),0))),0)))&gt;=100),CHOOSE(ArtifactsInput!$N$42+1,40,48,56,64,72,80),0))))/100)*((1+(((C1808=TRUE)*F1808)+((C1815=TRUE)*(F1815-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1800)</f>
        <v/>
      </c>
      <c r="L1800">
        <f>K1800*(MIN(Inputs!$B$22+((C1813=TRUE)*(F1813-Calc!F22)),(Inputs!$B$23+0+(IF(ArtifactsInput!$M$15,CHOOSE(ArtifactsInput!$N$15+1,25,30,35,40,45,50)/100*(Inputs!$B$11-Inputs!$B$11),0))))/100+(Inputs!$B$23+0+(IF(ArtifactsInput!$M$15,CHOOSE(ArtifactsInput!$N$15+1,25,30,35,40,45,50)/100*(Inputs!$B$11-Inputs!$B$11),0)))/100)/2</f>
        <v/>
      </c>
      <c r="M1800">
        <f>L1800*(1+(Inputs!$B$10+((C1816=TRUE)*(F1816-Calc!F25))+B1826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0">
        <f>L1800*(1-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1800*(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0">
        <f>(1-Summary!$B$11)*T1800+Summary!$B$11*V1800</f>
        <v/>
      </c>
      <c r="P1800">
        <f>IF(B1831=0,0,O1800/B1831)</f>
        <v/>
      </c>
      <c r="Q1800">
        <f>IFERROR(1/(IF(Inputs!$B$38="pvp",15,MAX(0.1,Skills!D9-IF(Skills!E9=TRUE,Inputs!$B$32,0)))*(1-IF(AND(ArtifactsInput!$M$27,Inputs!$B$4="Chapter Hunt"),CHOOSE(ArtifactsInput!$N$27+1,20,24,28,32,36,40),0)/100)),0)</f>
        <v/>
      </c>
      <c r="R1800">
        <f>IF(AND(Inputs!$B$38&lt;&gt;"pvp",Inputs!$B$43&gt;0),IF(MAX(0,Inputs!$B$43-B1828)&lt;=0,0,(INT(MAX(0,Inputs!$B$43-B1828)/(IF(Inputs!$B$38="pvp",15,MAX(0.1,Skills!D9-IF(Skills!E9=TRUE,Inputs!$B$32,0)))*(1-IF(AND(ArtifactsInput!$M$27,Inputs!$B$4="Chapter Hunt"),CHOOSE(ArtifactsInput!$N$27+1,20,24,28,32,36,40),0)/100)))+1)),0)</f>
        <v/>
      </c>
      <c r="S1800">
        <f>IFERROR(O1800/N1800,0)</f>
        <v/>
      </c>
      <c r="T1800">
        <f>IF(C1800,(H1800*N1800*IF(AND(Inputs!$B$38&lt;&gt;"pvp",Inputs!$B$43&gt;0),((Skills!G9*((R1800-1)*IF(Skills!H9&gt;0,Skills!I9/Skills!H9,1)+IF(Skills!H9&gt;0,MIN(Skills!I9,MAX(0,MAX(0,Inputs!$B$43-B1828)-((R1800-1)*(IF(Inputs!$B$38="pvp",15,MAX(0.1,Skills!D9-IF(Skills!E9=TRUE,Inputs!$B$32,0)))*(1-IF(AND(ArtifactsInput!$M$27,Inputs!$B$4="Chapter Hunt"),CHOOSE(ArtifactsInput!$N$27+1,20,24,28,32,36,40),0)/100)))))/Skills!H9,1)))/Inputs!$B$43),G1800*Q1800)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1800*(1-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1800*(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1800*(1-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1800*(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0">
        <f>IF(C1800,(H1800*N1800*IF(AND(Inputs!$B$38&lt;&gt;"pvp",Inputs!$B$43&gt;0),((Skills!G9*((R1800-1)*IF(Skills!H9&gt;0,Skills!I9/Skills!H9,1)+IF(Skills!H9&gt;0,MIN(Skills!I9,MAX(0,MAX(0,Inputs!$B$43-B1828)-((R1800-1)*(IF(Inputs!$B$38="pvp",15,MAX(0.1,Skills!D9-IF(Skills!E9=TRUE,Inputs!$B$32,0)))*(1-IF(AND(ArtifactsInput!$M$27,Inputs!$B$4="Chapter Hunt"),CHOOSE(ArtifactsInput!$N$27+1,20,24,28,32,36,40),0)/100)))))/Skills!H9,1)))/Inputs!$B$43),G1800*Q1800))*IF(Inputs!$B$38="pvp",1,(1+(Inputs!$B$21+Skills!Q9+(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1">
      <c r="A1801">
        <f>Skills!A10</f>
        <v/>
      </c>
      <c r="B1801">
        <f>Skills!B10</f>
        <v/>
      </c>
      <c r="C1801">
        <f>Inputs!$B$3&gt;=113</f>
        <v/>
      </c>
      <c r="D1801">
        <f>IF(Skills!C10=1,60+Inputs!$B$25+Inputs!$B$29,IF(Skills!C10=2,90+Inputs!$B$26+Inputs!$B$29,IF(Skills!C10=3,120+Inputs!$B$27+Inputs!$B$29,MAX(0,(Inputs!$B$3-100)*3)+Inputs!$B$28+Inputs!$B$29)))</f>
        <v/>
      </c>
      <c r="E1801">
        <f>INDEX(FactorTable!$B$2:$Y$301, MATCH(ROUND(MIN(300,MAX(1,D1801)),0), FactorTable!$A$2:$A$301,0), Skills!M10+1)</f>
        <v/>
      </c>
      <c r="F1801">
        <f>IF(Skills!N10=TRUE,(Skills!L10/10)*(E1801/1000),Skills!L10/10)+Skills!O10</f>
        <v/>
      </c>
      <c r="G1801">
        <f>Skills!G10*IF(Skills!H10&gt;0,Skills!I10/Skills!H10,1)</f>
        <v/>
      </c>
      <c r="H1801">
        <f>1-(1-Skills!J10/100)^Skills!K10</f>
        <v/>
      </c>
      <c r="I1801" t="inlineStr">
        <is>
          <t>1</t>
        </is>
      </c>
      <c r="J1801">
        <f>((Inputs!$B$6*(1+Inputs!$B$7/100))+(((Inputs!$B$12*(1+Inputs!$B$13/100))-(Inputs!$B$12*(1+Inputs!$B$13/100)))+0.25*(Inputs!$B$14-Inputs!$B$14))*(1+Inputs!$B$7/100))*(F1801/100)</f>
        <v/>
      </c>
      <c r="K1801">
        <f>J1801*(1+((Inputs!$B$12*(1+Inputs!$B$13/100))*0.01+Inputs!$B$14*0.0025)/100)*(1+Inputs!$B$15/100)*(1+Inputs!$B$16/100)*(5000/(6000+Inputs!$B$42*(1-(100*(1-(1-(Inputs!$B$19+0)/100)*(1-CHOOSE(ArtifactsInput!$N$40+1,5,6,7,8,9,10)/100)^(ArtifactsInput!$M$40-ArtifactsInput!$M$40)))/100)))*(1+(Inputs!$B$24+((C1817=TRUE)*(F1817-Calc!F26))+B1827)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1814=TRUE)*(F1814-Calc!F23))+((C1818=TRUE)*(F1818-Calc!F27))+(((IF(AND(ArtifactsInput!$M$42,((Inputs!$B$9+((C1810=TRUE)*(F1810-Calc!F19))+B1821+(ArtifactsInput!$M$24-ArtifactsInput!$M$24)*CHOOSE(ArtifactsInput!$N$24+1,10,12,14,16,18,20)+IF(ArtifactsInput!$M$10,CHOOSE(ArtifactsInput!$N$10+1,15,18,21,24,27,30)*(IF(Inputs!$B$38="pvp",MIN(15,15)/15,IF(AND(Inputs!$B$38&lt;&gt;"pvp",Inputs!$B$43&gt;0),MIN(15,Inputs!$B$43)/(Inputs!$B$43),0))),0)))&gt;=100),MIN(100,((Inputs!$B$9+((C1810=TRUE)*(F1810-Calc!F19))+B1821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1810=TRUE)*(F1810-Calc!F19))+B1821+(ArtifactsInput!$M$24-ArtifactsInput!$M$24)*CHOOSE(ArtifactsInput!$N$24+1,10,12,14,16,18,20)+IF(ArtifactsInput!$M$10,CHOOSE(ArtifactsInput!$N$10+1,15,18,21,24,27,30)*(IF(Inputs!$B$38="pvp",MIN(15,15)/15,IF(AND(Inputs!$B$38&lt;&gt;"pvp",Inputs!$B$43&gt;0),MIN(15,Inputs!$B$43)/(Inputs!$B$43),0))),0)))&gt;=100),CHOOSE(ArtifactsInput!$N$42+1,40,48,56,64,72,80),0))))/100)*((1+(((C1808=TRUE)*F1808)+((C1815=TRUE)*(F1815-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1801)</f>
        <v/>
      </c>
      <c r="L1801">
        <f>K1801*(MIN(Inputs!$B$22+((C1813=TRUE)*(F1813-Calc!F22)),(Inputs!$B$23+0+(IF(ArtifactsInput!$M$15,CHOOSE(ArtifactsInput!$N$15+1,25,30,35,40,45,50)/100*(Inputs!$B$11-Inputs!$B$11),0))))/100+(Inputs!$B$23+0+(IF(ArtifactsInput!$M$15,CHOOSE(ArtifactsInput!$N$15+1,25,30,35,40,45,50)/100*(Inputs!$B$11-Inputs!$B$11),0)))/100)/2</f>
        <v/>
      </c>
      <c r="M1801">
        <f>L1801*(1+(Inputs!$B$10+((C1816=TRUE)*(F1816-Calc!F25))+B1826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1">
        <f>L1801*(1-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1">
        <f>(1-Summary!$B$11)*T1801+Summary!$B$11*V1801</f>
        <v/>
      </c>
      <c r="P1801">
        <f>IF(B1831=0,0,O1801/B1831)</f>
        <v/>
      </c>
      <c r="Q1801">
        <f>IFERROR(1/(IF(Inputs!$B$38="pvp",15,MAX(0.1,Skills!D10-IF(Skills!E10=TRUE,Inputs!$B$32,0)))*(1-IF(AND(ArtifactsInput!$M$27,Inputs!$B$4="Chapter Hunt"),CHOOSE(ArtifactsInput!$N$27+1,20,24,28,32,36,40),0)/100)),0)</f>
        <v/>
      </c>
      <c r="R1801">
        <f>IF(AND(Inputs!$B$38&lt;&gt;"pvp",Inputs!$B$43&gt;0),IF(MAX(0,Inputs!$B$43-B1828)&lt;=0,0,(INT(MAX(0,Inputs!$B$43-B1828)/(IF(Inputs!$B$38="pvp",15,MAX(0.1,Skills!D10-IF(Skills!E10=TRUE,Inputs!$B$32,0)))*(1-IF(AND(ArtifactsInput!$M$27,Inputs!$B$4="Chapter Hunt"),CHOOSE(ArtifactsInput!$N$27+1,20,24,28,32,36,40),0)/100)))+1)),0)</f>
        <v/>
      </c>
      <c r="S1801">
        <f>IFERROR(O1801/N1801,0)</f>
        <v/>
      </c>
      <c r="T1801">
        <f>IF(C1801,(H1801*N1801*IF(AND(Inputs!$B$38&lt;&gt;"pvp",Inputs!$B$43&gt;0),((Skills!G10*((R1801-1)*IF(Skills!H10&gt;0,Skills!I10/Skills!H10,1)+IF(Skills!H10&gt;0,MIN(Skills!I10,MAX(0,MAX(0,Inputs!$B$43-B1828)-((R1801-1)*(IF(Inputs!$B$38="pvp",15,MAX(0.1,Skills!D10-IF(Skills!E10=TRUE,Inputs!$B$32,0)))*(1-IF(AND(ArtifactsInput!$M$27,Inputs!$B$4="Chapter Hunt"),CHOOSE(ArtifactsInput!$N$27+1,20,24,28,32,36,40),0)/100)))))/Skills!H10,1)))/Inputs!$B$43),G1801*Q1801)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1801*(1-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1">
        <f>IF(C1801,(H1801*N1801*IF(AND(Inputs!$B$38&lt;&gt;"pvp",Inputs!$B$43&gt;0),((Skills!G10*((R1801-1)*IF(Skills!H10&gt;0,Skills!I10/Skills!H10,1)+IF(Skills!H10&gt;0,MIN(Skills!I10,MAX(0,MAX(0,Inputs!$B$43-B1828)-((R1801-1)*(IF(Inputs!$B$38="pvp",15,MAX(0.1,Skills!D10-IF(Skills!E10=TRUE,Inputs!$B$32,0)))*(1-IF(AND(ArtifactsInput!$M$27,Inputs!$B$4="Chapter Hunt"),CHOOSE(ArtifactsInput!$N$27+1,20,24,28,32,36,40),0)/100)))))/Skills!H10,1)))/Inputs!$B$43),G1801*Q1801))*IF(Inputs!$B$38="pvp",1,(1+(Inputs!$B$21+Skills!Q10+(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2">
      <c r="A1802">
        <f>Skills!A11</f>
        <v/>
      </c>
      <c r="B1802">
        <f>Skills!B11</f>
        <v/>
      </c>
      <c r="C1802">
        <f>Inputs!$B$3&gt;=107</f>
        <v/>
      </c>
      <c r="D1802">
        <f>IF(Skills!C11=1,60+Inputs!$B$25+Inputs!$B$29,IF(Skills!C11=2,90+Inputs!$B$26+Inputs!$B$29,IF(Skills!C11=3,120+Inputs!$B$27+Inputs!$B$29,MAX(0,(Inputs!$B$3-100)*3)+Inputs!$B$28+Inputs!$B$29)))</f>
        <v/>
      </c>
      <c r="E1802">
        <f>INDEX(FactorTable!$B$2:$Y$301, MATCH(ROUND(MIN(300,MAX(1,D1802)),0), FactorTable!$A$2:$A$301,0), Skills!M11+1)</f>
        <v/>
      </c>
      <c r="F1802">
        <f>IF(Skills!N11=TRUE,(Skills!L11/10)*(E1802/1000),Skills!L11/10)+Skills!O11</f>
        <v/>
      </c>
      <c r="G1802">
        <f>Skills!G11*IF(Skills!H11&gt;0,Skills!I11/Skills!H11,1)</f>
        <v/>
      </c>
      <c r="H1802">
        <f>1-(1-Skills!J11/100)^Skills!K11</f>
        <v/>
      </c>
      <c r="I1802" t="inlineStr">
        <is>
          <t>1</t>
        </is>
      </c>
      <c r="J1802">
        <f>((Inputs!$B$6*(1+Inputs!$B$7/100))+(((Inputs!$B$12*(1+Inputs!$B$13/100))-(Inputs!$B$12*(1+Inputs!$B$13/100)))+0.25*(Inputs!$B$14-Inputs!$B$14))*(1+Inputs!$B$7/100))*(F1802/100)</f>
        <v/>
      </c>
      <c r="K1802">
        <f>J1802*(1+((Inputs!$B$12*(1+Inputs!$B$13/100))*0.01+Inputs!$B$14*0.0025)/100)*(1+Inputs!$B$15/100)*(1+Inputs!$B$16/100)*(5000/(6000+Inputs!$B$42*(1-(100*(1-(1-(Inputs!$B$19+0)/100)*(1-CHOOSE(ArtifactsInput!$N$40+1,5,6,7,8,9,10)/100)^(ArtifactsInput!$M$40-ArtifactsInput!$M$40)))/100)))*(1+(Inputs!$B$24+((C1817=TRUE)*(F1817-Calc!F26))+B1827)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1814=TRUE)*(F1814-Calc!F23))+((C1818=TRUE)*(F1818-Calc!F27))+(((IF(AND(ArtifactsInput!$M$42,((Inputs!$B$9+((C1810=TRUE)*(F1810-Calc!F19))+B1821+(ArtifactsInput!$M$24-ArtifactsInput!$M$24)*CHOOSE(ArtifactsInput!$N$24+1,10,12,14,16,18,20)+IF(ArtifactsInput!$M$10,CHOOSE(ArtifactsInput!$N$10+1,15,18,21,24,27,30)*(IF(Inputs!$B$38="pvp",MIN(15,15)/15,IF(AND(Inputs!$B$38&lt;&gt;"pvp",Inputs!$B$43&gt;0),MIN(15,Inputs!$B$43)/(Inputs!$B$43),0))),0)))&gt;=100),MIN(100,((Inputs!$B$9+((C1810=TRUE)*(F1810-Calc!F19))+B1821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1810=TRUE)*(F1810-Calc!F19))+B1821+(ArtifactsInput!$M$24-ArtifactsInput!$M$24)*CHOOSE(ArtifactsInput!$N$24+1,10,12,14,16,18,20)+IF(ArtifactsInput!$M$10,CHOOSE(ArtifactsInput!$N$10+1,15,18,21,24,27,30)*(IF(Inputs!$B$38="pvp",MIN(15,15)/15,IF(AND(Inputs!$B$38&lt;&gt;"pvp",Inputs!$B$43&gt;0),MIN(15,Inputs!$B$43)/(Inputs!$B$43),0))),0)))&gt;=100),CHOOSE(ArtifactsInput!$N$42+1,40,48,56,64,72,80),0))))/100)*((1+(((C1808=TRUE)*F1808)+((C1815=TRUE)*(F1815-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1802)</f>
        <v/>
      </c>
      <c r="L1802">
        <f>K1802*(MIN(Inputs!$B$22+((C1813=TRUE)*(F1813-Calc!F22)),(Inputs!$B$23+0+(IF(ArtifactsInput!$M$15,CHOOSE(ArtifactsInput!$N$15+1,25,30,35,40,45,50)/100*(Inputs!$B$11-Inputs!$B$11),0))))/100+(Inputs!$B$23+0+(IF(ArtifactsInput!$M$15,CHOOSE(ArtifactsInput!$N$15+1,25,30,35,40,45,50)/100*(Inputs!$B$11-Inputs!$B$11),0)))/100)/2</f>
        <v/>
      </c>
      <c r="M1802">
        <f>L1802*(1+(Inputs!$B$10+((C1816=TRUE)*(F1816-Calc!F25))+B1826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2">
        <f>L1802*(1-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1802*(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2">
        <f>(1-Summary!$B$11)*T1802+Summary!$B$11*V1802</f>
        <v/>
      </c>
      <c r="P1802">
        <f>IF(B1831=0,0,O1802/B1831)</f>
        <v/>
      </c>
      <c r="Q1802">
        <f>IFERROR(1/(IF(Inputs!$B$38="pvp",15,MAX(0.1,Skills!D11-IF(Skills!E11=TRUE,Inputs!$B$32,0)))*(1-IF(AND(ArtifactsInput!$M$27,Inputs!$B$4="Chapter Hunt"),CHOOSE(ArtifactsInput!$N$27+1,20,24,28,32,36,40),0)/100)),0)</f>
        <v/>
      </c>
      <c r="R1802">
        <f>IF(AND(Inputs!$B$38&lt;&gt;"pvp",Inputs!$B$43&gt;0),IF(MAX(0,Inputs!$B$43-B1828)&lt;=0,0,(INT(MAX(0,Inputs!$B$43-B1828)/(IF(Inputs!$B$38="pvp",15,MAX(0.1,Skills!D11-IF(Skills!E11=TRUE,Inputs!$B$32,0)))*(1-IF(AND(ArtifactsInput!$M$27,Inputs!$B$4="Chapter Hunt"),CHOOSE(ArtifactsInput!$N$27+1,20,24,28,32,36,40),0)/100)))+1)),0)</f>
        <v/>
      </c>
      <c r="S1802">
        <f>IFERROR(O1802/N1802,0)</f>
        <v/>
      </c>
      <c r="T1802">
        <f>IF(C1802,(H1802*N1802*IF(AND(Inputs!$B$38&lt;&gt;"pvp",Inputs!$B$43&gt;0),((Skills!G11*((R1802-1)*IF(Skills!H11&gt;0,Skills!I11/Skills!H11,1)+IF(Skills!H11&gt;0,MIN(Skills!I11,MAX(0,MAX(0,Inputs!$B$43-B1828)-((R1802-1)*(IF(Inputs!$B$38="pvp",15,MAX(0.1,Skills!D11-IF(Skills!E11=TRUE,Inputs!$B$32,0)))*(1-IF(AND(ArtifactsInput!$M$27,Inputs!$B$4="Chapter Hunt"),CHOOSE(ArtifactsInput!$N$27+1,20,24,28,32,36,40),0)/100)))))/Skills!H11,1)))/Inputs!$B$43),G1802*Q1802)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1802*(1-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1802*(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1802*(1-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1802*(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2">
        <f>IF(C1802,(H1802*N1802*IF(AND(Inputs!$B$38&lt;&gt;"pvp",Inputs!$B$43&gt;0),((Skills!G11*((R1802-1)*IF(Skills!H11&gt;0,Skills!I11/Skills!H11,1)+IF(Skills!H11&gt;0,MIN(Skills!I11,MAX(0,MAX(0,Inputs!$B$43-B1828)-((R1802-1)*(IF(Inputs!$B$38="pvp",15,MAX(0.1,Skills!D11-IF(Skills!E11=TRUE,Inputs!$B$32,0)))*(1-IF(AND(ArtifactsInput!$M$27,Inputs!$B$4="Chapter Hunt"),CHOOSE(ArtifactsInput!$N$27+1,20,24,28,32,36,40),0)/100)))))/Skills!H11,1)))/Inputs!$B$43),G1802*Q1802))*IF(Inputs!$B$38="pvp",1,(1+(Inputs!$B$21+Skills!Q11+(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3">
      <c r="A1803">
        <f>Skills!A12</f>
        <v/>
      </c>
      <c r="B1803">
        <f>Skills!B12</f>
        <v/>
      </c>
      <c r="C1803">
        <f>Inputs!$B$3&gt;=110</f>
        <v/>
      </c>
      <c r="D1803">
        <f>IF(Skills!C12=1,60+Inputs!$B$25+Inputs!$B$29,IF(Skills!C12=2,90+Inputs!$B$26+Inputs!$B$29,IF(Skills!C12=3,120+Inputs!$B$27+Inputs!$B$29,MAX(0,(Inputs!$B$3-100)*3)+Inputs!$B$28+Inputs!$B$29)))</f>
        <v/>
      </c>
      <c r="E1803">
        <f>INDEX(FactorTable!$B$2:$Y$301, MATCH(ROUND(MIN(300,MAX(1,D1803)),0), FactorTable!$A$2:$A$301,0), Skills!M12+1)</f>
        <v/>
      </c>
      <c r="F1803">
        <f>IF(Skills!N12=TRUE,(Skills!L12/10)*(E1803/1000),Skills!L12/10)+Skills!O12</f>
        <v/>
      </c>
      <c r="G1803">
        <f>Skills!G12*IF(Skills!H12&gt;0,Skills!I12/Skills!H12,1)</f>
        <v/>
      </c>
      <c r="H1803">
        <f>1-(1-Skills!J12/100)^Skills!K12</f>
        <v/>
      </c>
      <c r="I1803" t="inlineStr">
        <is>
          <t>1</t>
        </is>
      </c>
      <c r="J1803">
        <f>((Inputs!$B$6*(1+Inputs!$B$7/100))+(((Inputs!$B$12*(1+Inputs!$B$13/100))-(Inputs!$B$12*(1+Inputs!$B$13/100)))+0.25*(Inputs!$B$14-Inputs!$B$14))*(1+Inputs!$B$7/100))*(F1803/100)</f>
        <v/>
      </c>
      <c r="K1803">
        <f>J1803*(1+((Inputs!$B$12*(1+Inputs!$B$13/100))*0.01+Inputs!$B$14*0.0025)/100)*(1+Inputs!$B$15/100)*(1+Inputs!$B$16/100)*(5000/(6000+Inputs!$B$42*(1-(100*(1-(1-(Inputs!$B$19+0)/100)*(1-CHOOSE(ArtifactsInput!$N$40+1,5,6,7,8,9,10)/100)^(ArtifactsInput!$M$40-ArtifactsInput!$M$40)))/100)))*(1+(Inputs!$B$24+((C1817=TRUE)*(F1817-Calc!F26))+B1827)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1814=TRUE)*(F1814-Calc!F23))+((C1818=TRUE)*(F1818-Calc!F27))+(((IF(AND(ArtifactsInput!$M$42,((Inputs!$B$9+((C1810=TRUE)*(F1810-Calc!F19))+B1821+(ArtifactsInput!$M$24-ArtifactsInput!$M$24)*CHOOSE(ArtifactsInput!$N$24+1,10,12,14,16,18,20)+IF(ArtifactsInput!$M$10,CHOOSE(ArtifactsInput!$N$10+1,15,18,21,24,27,30)*(IF(Inputs!$B$38="pvp",MIN(15,15)/15,IF(AND(Inputs!$B$38&lt;&gt;"pvp",Inputs!$B$43&gt;0),MIN(15,Inputs!$B$43)/(Inputs!$B$43),0))),0)))&gt;=100),MIN(100,((Inputs!$B$9+((C1810=TRUE)*(F1810-Calc!F19))+B1821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1810=TRUE)*(F1810-Calc!F19))+B1821+(ArtifactsInput!$M$24-ArtifactsInput!$M$24)*CHOOSE(ArtifactsInput!$N$24+1,10,12,14,16,18,20)+IF(ArtifactsInput!$M$10,CHOOSE(ArtifactsInput!$N$10+1,15,18,21,24,27,30)*(IF(Inputs!$B$38="pvp",MIN(15,15)/15,IF(AND(Inputs!$B$38&lt;&gt;"pvp",Inputs!$B$43&gt;0),MIN(15,Inputs!$B$43)/(Inputs!$B$43),0))),0)))&gt;=100),CHOOSE(ArtifactsInput!$N$42+1,40,48,56,64,72,80),0))))/100)*((1+(((C1808=TRUE)*F1808)+((C1815=TRUE)*(F1815-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1803)</f>
        <v/>
      </c>
      <c r="L1803">
        <f>K1803*(MIN(Inputs!$B$22+((C1813=TRUE)*(F1813-Calc!F22)),(Inputs!$B$23+0+(IF(ArtifactsInput!$M$15,CHOOSE(ArtifactsInput!$N$15+1,25,30,35,40,45,50)/100*(Inputs!$B$11-Inputs!$B$11),0))))/100+(Inputs!$B$23+0+(IF(ArtifactsInput!$M$15,CHOOSE(ArtifactsInput!$N$15+1,25,30,35,40,45,50)/100*(Inputs!$B$11-Inputs!$B$11),0)))/100)/2</f>
        <v/>
      </c>
      <c r="M1803">
        <f>L1803*(1+(Inputs!$B$10+((C1816=TRUE)*(F1816-Calc!F25))+B1826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3">
        <f>L1803*(1-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1803*(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3">
        <f>(1-Summary!$B$11)*T1803+Summary!$B$11*V1803</f>
        <v/>
      </c>
      <c r="P1803">
        <f>IF(B1831=0,0,O1803/B1831)</f>
        <v/>
      </c>
      <c r="Q1803">
        <f>IFERROR(1/(IF(Inputs!$B$38="pvp",15,MAX(0.1,Skills!D12-IF(Skills!E12=TRUE,Inputs!$B$32,0)))*(1-IF(AND(ArtifactsInput!$M$27,Inputs!$B$4="Chapter Hunt"),CHOOSE(ArtifactsInput!$N$27+1,20,24,28,32,36,40),0)/100)),0)</f>
        <v/>
      </c>
      <c r="R1803">
        <f>IF(AND(Inputs!$B$38&lt;&gt;"pvp",Inputs!$B$43&gt;0),IF(MAX(0,Inputs!$B$43-B1828)&lt;=0,0,(INT(MAX(0,Inputs!$B$43-B1828)/(IF(Inputs!$B$38="pvp",15,MAX(0.1,Skills!D12-IF(Skills!E12=TRUE,Inputs!$B$32,0)))*(1-IF(AND(ArtifactsInput!$M$27,Inputs!$B$4="Chapter Hunt"),CHOOSE(ArtifactsInput!$N$27+1,20,24,28,32,36,40),0)/100)))+1)),0)</f>
        <v/>
      </c>
      <c r="S1803">
        <f>IFERROR(O1803/N1803,0)</f>
        <v/>
      </c>
      <c r="T1803">
        <f>IF(C1803,(H1803*N1803*IF(AND(Inputs!$B$38&lt;&gt;"pvp",Inputs!$B$43&gt;0),((Skills!G12*((R1803-1)*IF(Skills!H12&gt;0,Skills!I12/Skills!H12,1)+IF(Skills!H12&gt;0,MIN(Skills!I12,MAX(0,MAX(0,Inputs!$B$43-B1828)-((R1803-1)*(IF(Inputs!$B$38="pvp",15,MAX(0.1,Skills!D12-IF(Skills!E12=TRUE,Inputs!$B$32,0)))*(1-IF(AND(ArtifactsInput!$M$27,Inputs!$B$4="Chapter Hunt"),CHOOSE(ArtifactsInput!$N$27+1,20,24,28,32,36,40),0)/100)))))/Skills!H12,1)))/Inputs!$B$43),G1803*Q1803)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1803*(1-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1803*(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1803*(1-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1803*(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3">
        <f>IF(C1803,(H1803*N1803*IF(AND(Inputs!$B$38&lt;&gt;"pvp",Inputs!$B$43&gt;0),((Skills!G12*((R1803-1)*IF(Skills!H12&gt;0,Skills!I12/Skills!H12,1)+IF(Skills!H12&gt;0,MIN(Skills!I12,MAX(0,MAX(0,Inputs!$B$43-B1828)-((R1803-1)*(IF(Inputs!$B$38="pvp",15,MAX(0.1,Skills!D12-IF(Skills!E12=TRUE,Inputs!$B$32,0)))*(1-IF(AND(ArtifactsInput!$M$27,Inputs!$B$4="Chapter Hunt"),CHOOSE(ArtifactsInput!$N$27+1,20,24,28,32,36,40),0)/100)))))/Skills!H12,1)))/Inputs!$B$43),G1803*Q1803))*IF(Inputs!$B$38="pvp",1,(1+(Inputs!$B$21+Skills!Q12+(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4">
      <c r="A1804">
        <f>Skills!A13</f>
        <v/>
      </c>
      <c r="B1804">
        <f>Skills!B13</f>
        <v/>
      </c>
      <c r="C1804">
        <f>Inputs!$B$3&gt;=110</f>
        <v/>
      </c>
      <c r="D1804">
        <f>IF(Skills!C13=1,60+Inputs!$B$25+Inputs!$B$29,IF(Skills!C13=2,90+Inputs!$B$26+Inputs!$B$29,IF(Skills!C13=3,120+Inputs!$B$27+Inputs!$B$29,MAX(0,(Inputs!$B$3-100)*3)+Inputs!$B$28+Inputs!$B$29)))</f>
        <v/>
      </c>
      <c r="E1804">
        <f>INDEX(FactorTable!$B$2:$Y$301, MATCH(ROUND(MIN(300,MAX(1,D1804)),0), FactorTable!$A$2:$A$301,0), Skills!M13+1)</f>
        <v/>
      </c>
      <c r="F1804">
        <f>IF(Skills!N13=TRUE,(Skills!L13/10)*(E1804/1000),Skills!L13/10)+Skills!O13</f>
        <v/>
      </c>
      <c r="G1804">
        <f>Skills!G13*IF(Skills!H13&gt;0,Skills!I13/Skills!H13,1)</f>
        <v/>
      </c>
      <c r="H1804">
        <f>1-(1-Skills!J13/100)^Skills!K13</f>
        <v/>
      </c>
      <c r="I1804" t="inlineStr">
        <is>
          <t>1</t>
        </is>
      </c>
      <c r="J1804">
        <f>((Inputs!$B$6*(1+Inputs!$B$7/100))+(((Inputs!$B$12*(1+Inputs!$B$13/100))-(Inputs!$B$12*(1+Inputs!$B$13/100)))+0.25*(Inputs!$B$14-Inputs!$B$14))*(1+Inputs!$B$7/100))*(F1804/100)</f>
        <v/>
      </c>
      <c r="K1804">
        <f>J1804*(1+((Inputs!$B$12*(1+Inputs!$B$13/100))*0.01+Inputs!$B$14*0.0025)/100)*(1+Inputs!$B$15/100)*(1+Inputs!$B$16/100)*(5000/(6000+Inputs!$B$42*(1-(100*(1-(1-(Inputs!$B$19+0)/100)*(1-CHOOSE(ArtifactsInput!$N$40+1,5,6,7,8,9,10)/100)^(ArtifactsInput!$M$40-ArtifactsInput!$M$40)))/100)))*(1+(Inputs!$B$24+((C1817=TRUE)*(F1817-Calc!F26))+B1827)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1814=TRUE)*(F1814-Calc!F23))+((C1818=TRUE)*(F1818-Calc!F27))+(((IF(AND(ArtifactsInput!$M$42,((Inputs!$B$9+((C1810=TRUE)*(F1810-Calc!F19))+B1821+(ArtifactsInput!$M$24-ArtifactsInput!$M$24)*CHOOSE(ArtifactsInput!$N$24+1,10,12,14,16,18,20)+IF(ArtifactsInput!$M$10,CHOOSE(ArtifactsInput!$N$10+1,15,18,21,24,27,30)*(IF(Inputs!$B$38="pvp",MIN(15,15)/15,IF(AND(Inputs!$B$38&lt;&gt;"pvp",Inputs!$B$43&gt;0),MIN(15,Inputs!$B$43)/(Inputs!$B$43),0))),0)))&gt;=100),MIN(100,((Inputs!$B$9+((C1810=TRUE)*(F1810-Calc!F19))+B1821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1810=TRUE)*(F1810-Calc!F19))+B1821+(ArtifactsInput!$M$24-ArtifactsInput!$M$24)*CHOOSE(ArtifactsInput!$N$24+1,10,12,14,16,18,20)+IF(ArtifactsInput!$M$10,CHOOSE(ArtifactsInput!$N$10+1,15,18,21,24,27,30)*(IF(Inputs!$B$38="pvp",MIN(15,15)/15,IF(AND(Inputs!$B$38&lt;&gt;"pvp",Inputs!$B$43&gt;0),MIN(15,Inputs!$B$43)/(Inputs!$B$43),0))),0)))&gt;=100),CHOOSE(ArtifactsInput!$N$42+1,40,48,56,64,72,80),0))))/100)*((1+(((C1808=TRUE)*F1808)+((C1815=TRUE)*(F1815-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1804)</f>
        <v/>
      </c>
      <c r="L1804">
        <f>K1804*(MIN(Inputs!$B$22+((C1813=TRUE)*(F1813-Calc!F22)),(Inputs!$B$23+0+(IF(ArtifactsInput!$M$15,CHOOSE(ArtifactsInput!$N$15+1,25,30,35,40,45,50)/100*(Inputs!$B$11-Inputs!$B$11),0))))/100+(Inputs!$B$23+0+(IF(ArtifactsInput!$M$15,CHOOSE(ArtifactsInput!$N$15+1,25,30,35,40,45,50)/100*(Inputs!$B$11-Inputs!$B$11),0)))/100)/2</f>
        <v/>
      </c>
      <c r="M1804">
        <f>L1804*(1+(Inputs!$B$10+((C1816=TRUE)*(F1816-Calc!F25))+B1826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4">
        <f>L1804*(1-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1804*(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4">
        <f>(1-Summary!$B$11)*T1804+Summary!$B$11*V1804</f>
        <v/>
      </c>
      <c r="P1804">
        <f>IF(B1831=0,0,O1804/B1831)</f>
        <v/>
      </c>
      <c r="Q1804">
        <f>IFERROR(1/(IF(Inputs!$B$38="pvp",15,MAX(0.1,Skills!D13-IF(Skills!E13=TRUE,Inputs!$B$32,0)))*(1-IF(AND(ArtifactsInput!$M$27,Inputs!$B$4="Chapter Hunt"),CHOOSE(ArtifactsInput!$N$27+1,20,24,28,32,36,40),0)/100)),0)</f>
        <v/>
      </c>
      <c r="R1804">
        <f>IF(AND(Inputs!$B$38&lt;&gt;"pvp",Inputs!$B$43&gt;0),IF(MAX(0,Inputs!$B$43-B1828)&lt;=0,0,(INT(MAX(0,Inputs!$B$43-B1828)/(IF(Inputs!$B$38="pvp",15,MAX(0.1,Skills!D13-IF(Skills!E13=TRUE,Inputs!$B$32,0)))*(1-IF(AND(ArtifactsInput!$M$27,Inputs!$B$4="Chapter Hunt"),CHOOSE(ArtifactsInput!$N$27+1,20,24,28,32,36,40),0)/100)))+1)),0)</f>
        <v/>
      </c>
      <c r="S1804">
        <f>IFERROR(O1804/N1804,0)</f>
        <v/>
      </c>
      <c r="T1804">
        <f>IF(C1804,(H1804*N1804*IF(AND(Inputs!$B$38&lt;&gt;"pvp",Inputs!$B$43&gt;0),((Skills!G13*((R1804-1)*IF(Skills!H13&gt;0,Skills!I13/Skills!H13,1)+IF(Skills!H13&gt;0,MIN(Skills!I13,MAX(0,MAX(0,Inputs!$B$43-B1828)-((R1804-1)*(IF(Inputs!$B$38="pvp",15,MAX(0.1,Skills!D13-IF(Skills!E13=TRUE,Inputs!$B$32,0)))*(1-IF(AND(ArtifactsInput!$M$27,Inputs!$B$4="Chapter Hunt"),CHOOSE(ArtifactsInput!$N$27+1,20,24,28,32,36,40),0)/100)))))/Skills!H13,1)))/Inputs!$B$43),G1804*Q1804)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1804*(1-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1804*(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1804*(1-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1804*(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4">
        <f>IF(C1804,(H1804*N1804*IF(AND(Inputs!$B$38&lt;&gt;"pvp",Inputs!$B$43&gt;0),((Skills!G13*((R1804-1)*IF(Skills!H13&gt;0,Skills!I13/Skills!H13,1)+IF(Skills!H13&gt;0,MIN(Skills!I13,MAX(0,MAX(0,Inputs!$B$43-B1828)-((R1804-1)*(IF(Inputs!$B$38="pvp",15,MAX(0.1,Skills!D13-IF(Skills!E13=TRUE,Inputs!$B$32,0)))*(1-IF(AND(ArtifactsInput!$M$27,Inputs!$B$4="Chapter Hunt"),CHOOSE(ArtifactsInput!$N$27+1,20,24,28,32,36,40),0)/100)))))/Skills!H13,1)))/Inputs!$B$43),G1804*Q1804))*IF(Inputs!$B$38="pvp",1,(1+(Inputs!$B$21+Skills!Q13+(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5">
      <c r="A1805">
        <f>Skills!A14</f>
        <v/>
      </c>
      <c r="B1805">
        <f>Skills!B14</f>
        <v/>
      </c>
      <c r="C1805">
        <f>Inputs!$B$3&gt;=125</f>
        <v/>
      </c>
      <c r="D1805">
        <f>IF(Skills!C14=1,60+Inputs!$B$25+Inputs!$B$29,IF(Skills!C14=2,90+Inputs!$B$26+Inputs!$B$29,IF(Skills!C14=3,120+Inputs!$B$27+Inputs!$B$29,MAX(0,(Inputs!$B$3-100)*3)+Inputs!$B$28+Inputs!$B$29)))</f>
        <v/>
      </c>
      <c r="E1805">
        <f>INDEX(FactorTable!$B$2:$Y$301, MATCH(ROUND(MIN(300,MAX(1,D1805)),0), FactorTable!$A$2:$A$301,0), Skills!M14+1)</f>
        <v/>
      </c>
      <c r="F1805">
        <f>IF(Skills!N14=TRUE,(Skills!L14/10)*(E1805/1000),Skills!L14/10)+Skills!O14</f>
        <v/>
      </c>
      <c r="G1805">
        <f>Skills!G14*IF(Skills!H14&gt;0,Skills!I14/Skills!H14,1)</f>
        <v/>
      </c>
      <c r="H1805">
        <f>1-(1-Skills!J14/100)^Skills!K14</f>
        <v/>
      </c>
      <c r="I1805" t="inlineStr">
        <is>
          <t>1</t>
        </is>
      </c>
      <c r="J1805">
        <f>((Inputs!$B$6*(1+Inputs!$B$7/100))+(((Inputs!$B$12*(1+Inputs!$B$13/100))-(Inputs!$B$12*(1+Inputs!$B$13/100)))+0.25*(Inputs!$B$14-Inputs!$B$14))*(1+Inputs!$B$7/100))*(F1805/100)</f>
        <v/>
      </c>
      <c r="K1805">
        <f>J1805*(1+((Inputs!$B$12*(1+Inputs!$B$13/100))*0.01+Inputs!$B$14*0.0025)/100)*(1+Inputs!$B$15/100)*(1+Inputs!$B$16/100)*(5000/(6000+Inputs!$B$42*(1-(100*(1-(1-(Inputs!$B$19+0)/100)*(1-CHOOSE(ArtifactsInput!$N$40+1,5,6,7,8,9,10)/100)^(ArtifactsInput!$M$40-ArtifactsInput!$M$40)))/100)))*(1+(Inputs!$B$24+((C1817=TRUE)*(F1817-Calc!F26))+B1827)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1814=TRUE)*(F1814-Calc!F23))+((C1818=TRUE)*(F1818-Calc!F27))+(((IF(AND(ArtifactsInput!$M$42,((Inputs!$B$9+((C1810=TRUE)*(F1810-Calc!F19))+B1821+(ArtifactsInput!$M$24-ArtifactsInput!$M$24)*CHOOSE(ArtifactsInput!$N$24+1,10,12,14,16,18,20)+IF(ArtifactsInput!$M$10,CHOOSE(ArtifactsInput!$N$10+1,15,18,21,24,27,30)*(IF(Inputs!$B$38="pvp",MIN(15,15)/15,IF(AND(Inputs!$B$38&lt;&gt;"pvp",Inputs!$B$43&gt;0),MIN(15,Inputs!$B$43)/(Inputs!$B$43),0))),0)))&gt;=100),MIN(100,((Inputs!$B$9+((C1810=TRUE)*(F1810-Calc!F19))+B1821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1810=TRUE)*(F1810-Calc!F19))+B1821+(ArtifactsInput!$M$24-ArtifactsInput!$M$24)*CHOOSE(ArtifactsInput!$N$24+1,10,12,14,16,18,20)+IF(ArtifactsInput!$M$10,CHOOSE(ArtifactsInput!$N$10+1,15,18,21,24,27,30)*(IF(Inputs!$B$38="pvp",MIN(15,15)/15,IF(AND(Inputs!$B$38&lt;&gt;"pvp",Inputs!$B$43&gt;0),MIN(15,Inputs!$B$43)/(Inputs!$B$43),0))),0)))&gt;=100),CHOOSE(ArtifactsInput!$N$42+1,40,48,56,64,72,80),0))))/100)*((1+(((C1808=TRUE)*F1808)+((C1815=TRUE)*(F1815-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1805)</f>
        <v/>
      </c>
      <c r="L1805">
        <f>K1805*(MIN(Inputs!$B$22+((C1813=TRUE)*(F1813-Calc!F22)),(Inputs!$B$23+0+(IF(ArtifactsInput!$M$15,CHOOSE(ArtifactsInput!$N$15+1,25,30,35,40,45,50)/100*(Inputs!$B$11-Inputs!$B$11),0))))/100+(Inputs!$B$23+0+(IF(ArtifactsInput!$M$15,CHOOSE(ArtifactsInput!$N$15+1,25,30,35,40,45,50)/100*(Inputs!$B$11-Inputs!$B$11),0)))/100)/2</f>
        <v/>
      </c>
      <c r="M1805">
        <f>L1805*(1+(Inputs!$B$10+((C1816=TRUE)*(F1816-Calc!F25))+B1826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5">
        <f>L1805*(1-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1805*(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5">
        <f>(1-Summary!$B$11)*T1805+Summary!$B$11*V1805</f>
        <v/>
      </c>
      <c r="P1805">
        <f>IF(B1831=0,0,O1805/B1831)</f>
        <v/>
      </c>
      <c r="Q1805" t="n">
        <v>0</v>
      </c>
      <c r="R1805" t="n">
        <v>0</v>
      </c>
      <c r="S1805">
        <f>IFERROR(O1805/N1805,0)</f>
        <v/>
      </c>
      <c r="T1805">
        <f>IF(C1805,(H1805*N1805*(B1825+IF(AND(Inputs!$B$38&lt;&gt;"pvp",Inputs!$B$43&gt;0),((Skills!G8*((R1799-1)*IF(Skills!H8&gt;0,Skills!I8/Skills!H8,1)+IF(Skills!H8&gt;0,MIN(Skills!I8,MAX(0,MAX(0,Inputs!$B$43-B1828)-((R1799-1)*(IF(Inputs!$B$38="pvp",15,MAX(0.1,Skills!D8-IF(Skills!E8=TRUE,Inputs!$B$32,0)))*(1-IF(AND(ArtifactsInput!$M$27,Inputs!$B$4="Chapter Hunt"),CHOOSE(ArtifactsInput!$N$27+1,20,24,28,32,36,40),0)/100)))))/Skills!H8,1)))/Inputs!$B$43),G1799*Q1799)+IF(AND(Inputs!$B$38&lt;&gt;"pvp",Inputs!$B$43&gt;0),((Skills!G11*((R1802-1)*IF(Skills!H11&gt;0,Skills!I11/Skills!H11,1)+IF(Skills!H11&gt;0,MIN(Skills!I11,MAX(0,MAX(0,Inputs!$B$43-B1828)-((R1802-1)*(IF(Inputs!$B$38="pvp",15,MAX(0.1,Skills!D11-IF(Skills!E11=TRUE,Inputs!$B$32,0)))*(1-IF(AND(ArtifactsInput!$M$27,Inputs!$B$4="Chapter Hunt"),CHOOSE(ArtifactsInput!$N$27+1,20,24,28,32,36,40),0)/100)))))/Skills!H11,1)))/Inputs!$B$43),G1802*Q1802)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1805*(1-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1805*(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1805*(1-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1805*(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5">
        <f>IF(C1805,(H1805*N1805*(B1825+IF(AND(Inputs!$B$38&lt;&gt;"pvp",Inputs!$B$43&gt;0),((Skills!G8*((R1799-1)*IF(Skills!H8&gt;0,Skills!I8/Skills!H8,1)+IF(Skills!H8&gt;0,MIN(Skills!I8,MAX(0,MAX(0,Inputs!$B$43-B1828)-((R1799-1)*(IF(Inputs!$B$38="pvp",15,MAX(0.1,Skills!D8-IF(Skills!E8=TRUE,Inputs!$B$32,0)))*(1-IF(AND(ArtifactsInput!$M$27,Inputs!$B$4="Chapter Hunt"),CHOOSE(ArtifactsInput!$N$27+1,20,24,28,32,36,40),0)/100)))))/Skills!H8,1)))/Inputs!$B$43),G1799*Q1799)+IF(AND(Inputs!$B$38&lt;&gt;"pvp",Inputs!$B$43&gt;0),((Skills!G11*((R1802-1)*IF(Skills!H11&gt;0,Skills!I11/Skills!H11,1)+IF(Skills!H11&gt;0,MIN(Skills!I11,MAX(0,MAX(0,Inputs!$B$43-B1828)-((R1802-1)*(IF(Inputs!$B$38="pvp",15,MAX(0.1,Skills!D11-IF(Skills!E11=TRUE,Inputs!$B$32,0)))*(1-IF(AND(ArtifactsInput!$M$27,Inputs!$B$4="Chapter Hunt"),CHOOSE(ArtifactsInput!$N$27+1,20,24,28,32,36,40),0)/100)))))/Skills!H11,1)))/Inputs!$B$43),G1802*Q1802)))*IF(Inputs!$B$38="pvp",1,(1+(Inputs!$B$21+Skills!Q14+(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6">
      <c r="A1806">
        <f>Skills!A15</f>
        <v/>
      </c>
      <c r="B1806">
        <f>Skills!B15</f>
        <v/>
      </c>
      <c r="C1806">
        <f>Inputs!$B$3&gt;=100</f>
        <v/>
      </c>
      <c r="D1806">
        <f>IF(Skills!C15=1,60+Inputs!$B$25+Inputs!$B$29,IF(Skills!C15=2,90+Inputs!$B$26+Inputs!$B$29,IF(Skills!C15=3,120+Inputs!$B$27+Inputs!$B$29,MAX(0,(Inputs!$B$3-100)*3)+Inputs!$B$28+Inputs!$B$29)))</f>
        <v/>
      </c>
      <c r="E1806">
        <f>INDEX(FactorTable!$B$2:$Y$301, MATCH(ROUND(MIN(300,MAX(1,D1806)),0), FactorTable!$A$2:$A$301,0), Skills!M15+1)</f>
        <v/>
      </c>
      <c r="F1806">
        <f>IF(Skills!N15=TRUE,(Skills!L15/10)*(E1806/1000),Skills!L15/10)+Skills!O15</f>
        <v/>
      </c>
      <c r="G1806" t="inlineStr"/>
      <c r="H1806" t="inlineStr"/>
      <c r="I1806" t="inlineStr">
        <is>
          <t>1</t>
        </is>
      </c>
      <c r="J1806" t="inlineStr"/>
      <c r="K1806" t="inlineStr"/>
      <c r="L1806" t="inlineStr"/>
      <c r="M1806" t="inlineStr"/>
      <c r="N1806" t="inlineStr"/>
      <c r="O1806" t="inlineStr"/>
      <c r="P1806" t="inlineStr"/>
      <c r="Q1806" t="inlineStr"/>
      <c r="R1806" t="inlineStr"/>
      <c r="S1806" t="inlineStr"/>
    </row>
    <row r="1807">
      <c r="A1807">
        <f>Skills!A16</f>
        <v/>
      </c>
      <c r="B1807">
        <f>Skills!B16</f>
        <v/>
      </c>
      <c r="C1807">
        <f>Inputs!$B$3&gt;=120</f>
        <v/>
      </c>
      <c r="D1807">
        <f>IF(Skills!C16=1,60+Inputs!$B$25+Inputs!$B$29,IF(Skills!C16=2,90+Inputs!$B$26+Inputs!$B$29,IF(Skills!C16=3,120+Inputs!$B$27+Inputs!$B$29,MAX(0,(Inputs!$B$3-100)*3)+Inputs!$B$28+Inputs!$B$29)))</f>
        <v/>
      </c>
      <c r="E1807">
        <f>INDEX(FactorTable!$B$2:$Y$301, MATCH(ROUND(MIN(300,MAX(1,D1807)),0), FactorTable!$A$2:$A$301,0), Skills!M16+1)</f>
        <v/>
      </c>
      <c r="F1807">
        <f>IF(Skills!N16=TRUE,(Skills!L16/10)*(E1807/1000),Skills!L16/10)+Skills!O16</f>
        <v/>
      </c>
      <c r="G1807" t="inlineStr"/>
      <c r="H1807" t="inlineStr"/>
      <c r="I1807" t="inlineStr">
        <is>
          <t>1</t>
        </is>
      </c>
      <c r="J1807" t="inlineStr"/>
      <c r="K1807" t="inlineStr"/>
      <c r="L1807" t="inlineStr"/>
      <c r="M1807" t="inlineStr"/>
      <c r="N1807" t="inlineStr"/>
      <c r="O1807" t="inlineStr"/>
      <c r="P1807" t="inlineStr"/>
      <c r="Q1807" t="inlineStr"/>
      <c r="R1807" t="inlineStr"/>
      <c r="S1807" t="inlineStr"/>
    </row>
    <row r="1808">
      <c r="A1808">
        <f>Skills!A17</f>
        <v/>
      </c>
      <c r="B1808">
        <f>Skills!B17</f>
        <v/>
      </c>
      <c r="C1808">
        <f>Inputs!$B$3&gt;=66</f>
        <v/>
      </c>
      <c r="D1808">
        <f>IF(Skills!C17=1,60+Inputs!$B$25+Inputs!$B$29,IF(Skills!C17=2,90+Inputs!$B$26+Inputs!$B$29,IF(Skills!C17=3,120+Inputs!$B$27+Inputs!$B$29,MAX(0,(Inputs!$B$3-100)*3)+Inputs!$B$28+Inputs!$B$29)))</f>
        <v/>
      </c>
      <c r="E1808">
        <f>INDEX(FactorTable!$B$2:$Y$301, MATCH(ROUND(MIN(300,MAX(1,D1808)),0), FactorTable!$A$2:$A$301,0), Skills!M17+1)</f>
        <v/>
      </c>
      <c r="F1808">
        <f>IF(Skills!N17=TRUE,(Skills!L17/10)*(E1808/1000),Skills!L17/10)+Skills!O17</f>
        <v/>
      </c>
      <c r="G1808">
        <f>Skills!G17*IF(Skills!H17&gt;0,Skills!I17/Skills!H17,1)</f>
        <v/>
      </c>
      <c r="H1808">
        <f>1-(1-Skills!J17/100)^Skills!K17</f>
        <v/>
      </c>
      <c r="I1808" t="inlineStr">
        <is>
          <t>1</t>
        </is>
      </c>
      <c r="J1808" t="inlineStr"/>
      <c r="K1808" t="inlineStr"/>
      <c r="L1808" t="inlineStr"/>
      <c r="M1808" t="inlineStr"/>
      <c r="N1808" t="inlineStr"/>
      <c r="O1808">
        <f>(1-Summary!$B$11)*T1808+Summary!$B$11*V1808</f>
        <v/>
      </c>
      <c r="P1808">
        <f>IF(B1831=0,0,O1808/B1831)</f>
        <v/>
      </c>
      <c r="Q1808" t="n">
        <v>0</v>
      </c>
      <c r="R1808" t="n">
        <v>0</v>
      </c>
      <c r="S1808">
        <f>IFERROR(O1808/N1808,0)</f>
        <v/>
      </c>
      <c r="T1808" t="n">
        <v>0</v>
      </c>
      <c r="V1808" t="n">
        <v>0</v>
      </c>
    </row>
    <row r="1809">
      <c r="A1809">
        <f>Skills!A18</f>
        <v/>
      </c>
      <c r="B1809">
        <f>Skills!B18</f>
        <v/>
      </c>
      <c r="C1809">
        <f>Inputs!$B$3&gt;=115</f>
        <v/>
      </c>
      <c r="D1809">
        <f>IF(Skills!C18=1,60+Inputs!$B$25+Inputs!$B$29,IF(Skills!C18=2,90+Inputs!$B$26+Inputs!$B$29,IF(Skills!C18=3,120+Inputs!$B$27+Inputs!$B$29,MAX(0,(Inputs!$B$3-100)*3)+Inputs!$B$28+Inputs!$B$29)))</f>
        <v/>
      </c>
      <c r="E1809">
        <f>INDEX(FactorTable!$B$2:$Y$301, MATCH(ROUND(MIN(300,MAX(1,D1809)),0), FactorTable!$A$2:$A$301,0), Skills!M18+1)</f>
        <v/>
      </c>
      <c r="F1809">
        <f>IF(Skills!N18=TRUE,(Skills!L18/10)*(E1809/1000),Skills!L18/10)+Skills!O18</f>
        <v/>
      </c>
      <c r="G1809">
        <f>Skills!G18*IF(Skills!H18&gt;0,Skills!I18/Skills!H18,1)</f>
        <v/>
      </c>
      <c r="H1809">
        <f>1-(1-Skills!J18/100)^Skills!K18</f>
        <v/>
      </c>
      <c r="I1809" t="inlineStr">
        <is>
          <t>1</t>
        </is>
      </c>
      <c r="J1809" t="inlineStr"/>
      <c r="K1809" t="inlineStr"/>
      <c r="L1809" t="inlineStr"/>
      <c r="M1809" t="inlineStr"/>
      <c r="N1809" t="inlineStr"/>
      <c r="O1809">
        <f>(1-Summary!$B$11)*T1809+Summary!$B$11*V1809</f>
        <v/>
      </c>
      <c r="P1809">
        <f>IF(B1831=0,0,O1809/B1831)</f>
        <v/>
      </c>
      <c r="Q1809" t="n">
        <v>0</v>
      </c>
      <c r="R1809" t="n">
        <v>0</v>
      </c>
      <c r="S1809">
        <f>IFERROR(O1809/N1809,0)</f>
        <v/>
      </c>
      <c r="T1809" t="n">
        <v>0</v>
      </c>
      <c r="V1809" t="n">
        <v>0</v>
      </c>
    </row>
    <row r="1810">
      <c r="A1810">
        <f>Skills!A19</f>
        <v/>
      </c>
      <c r="B1810">
        <f>Skills!B19</f>
        <v/>
      </c>
      <c r="C1810">
        <f>Inputs!$B$3&gt;=15</f>
        <v/>
      </c>
      <c r="D1810">
        <f>IF(Skills!C19=1,60+Inputs!$B$25+Inputs!$B$29,IF(Skills!C19=2,90+Inputs!$B$26+Inputs!$B$29,IF(Skills!C19=3,120+Inputs!$B$27+Inputs!$B$29,MAX(0,(Inputs!$B$3-100)*3)+Inputs!$B$28+Inputs!$B$29)))</f>
        <v/>
      </c>
      <c r="E1810">
        <f>INDEX(FactorTable!$B$2:$Y$301, MATCH(ROUND(MIN(300,MAX(1,D1810)),0), FactorTable!$A$2:$A$301,0), Skills!M19+1)</f>
        <v/>
      </c>
      <c r="F1810">
        <f>IF(Skills!N19=TRUE,(Skills!L19/10)*(E1810/1000),Skills!L19/10)+Skills!O19</f>
        <v/>
      </c>
      <c r="G1810">
        <f>Skills!G19*IF(Skills!H19&gt;0,Skills!I19/Skills!H19,1)</f>
        <v/>
      </c>
      <c r="H1810">
        <f>1-(1-Skills!J19/100)^Skills!K19</f>
        <v/>
      </c>
      <c r="I1810" t="inlineStr">
        <is>
          <t>1</t>
        </is>
      </c>
      <c r="J1810" t="inlineStr"/>
      <c r="K1810" t="inlineStr"/>
      <c r="L1810" t="inlineStr"/>
      <c r="M1810" t="inlineStr"/>
      <c r="N1810" t="inlineStr"/>
      <c r="O1810">
        <f>(1-Summary!$B$11)*T1810+Summary!$B$11*V1810</f>
        <v/>
      </c>
      <c r="P1810">
        <f>IF(B1831=0,0,O1810/B1831)</f>
        <v/>
      </c>
      <c r="Q1810" t="n">
        <v>0</v>
      </c>
      <c r="R1810" t="n">
        <v>0</v>
      </c>
      <c r="S1810">
        <f>IFERROR(O1810/N1810,0)</f>
        <v/>
      </c>
      <c r="T1810" t="n">
        <v>0</v>
      </c>
      <c r="V1810" t="n">
        <v>0</v>
      </c>
    </row>
    <row r="1811">
      <c r="A1811">
        <f>Skills!A20</f>
        <v/>
      </c>
      <c r="B1811">
        <f>Skills!B20</f>
        <v/>
      </c>
      <c r="C1811">
        <f>Inputs!$B$3&gt;=10</f>
        <v/>
      </c>
      <c r="D1811">
        <f>IF(Skills!C20=1,60+Inputs!$B$25+Inputs!$B$29,IF(Skills!C20=2,90+Inputs!$B$26+Inputs!$B$29,IF(Skills!C20=3,120+Inputs!$B$27+Inputs!$B$29,MAX(0,(Inputs!$B$3-100)*3)+Inputs!$B$28+Inputs!$B$29)))</f>
        <v/>
      </c>
      <c r="E1811">
        <f>INDEX(FactorTable!$B$2:$Y$301, MATCH(ROUND(MIN(300,MAX(1,D1811)),0), FactorTable!$A$2:$A$301,0), Skills!M20+1)</f>
        <v/>
      </c>
      <c r="F1811">
        <f>IF(Skills!N20=TRUE,(Skills!L20/10)*(E1811/1000),Skills!L20/10)+Skills!O20</f>
        <v/>
      </c>
      <c r="G1811">
        <f>Skills!G20*IF(Skills!H20&gt;0,Skills!I20/Skills!H20,1)</f>
        <v/>
      </c>
      <c r="H1811">
        <f>1-(1-Skills!J20/100)^Skills!K20</f>
        <v/>
      </c>
      <c r="I1811" t="inlineStr">
        <is>
          <t>1</t>
        </is>
      </c>
      <c r="J1811" t="inlineStr"/>
      <c r="K1811" t="inlineStr"/>
      <c r="L1811" t="inlineStr"/>
      <c r="M1811" t="inlineStr"/>
      <c r="N1811" t="inlineStr"/>
      <c r="O1811">
        <f>(1-Summary!$B$11)*T1811+Summary!$B$11*V1811</f>
        <v/>
      </c>
      <c r="P1811">
        <f>IF(B1831=0,0,O1811/B1831)</f>
        <v/>
      </c>
      <c r="Q1811" t="n">
        <v>0</v>
      </c>
      <c r="R1811" t="n">
        <v>0</v>
      </c>
      <c r="S1811">
        <f>IFERROR(O1811/N1811,0)</f>
        <v/>
      </c>
      <c r="T1811" t="n">
        <v>0</v>
      </c>
      <c r="V1811" t="n">
        <v>0</v>
      </c>
    </row>
    <row r="1812">
      <c r="A1812">
        <f>Skills!A21</f>
        <v/>
      </c>
      <c r="B1812">
        <f>Skills!B21</f>
        <v/>
      </c>
      <c r="C1812">
        <f>Inputs!$B$3&gt;=33</f>
        <v/>
      </c>
      <c r="D1812">
        <f>IF(Skills!C21=1,60+Inputs!$B$25+Inputs!$B$29,IF(Skills!C21=2,90+Inputs!$B$26+Inputs!$B$29,IF(Skills!C21=3,120+Inputs!$B$27+Inputs!$B$29,MAX(0,(Inputs!$B$3-100)*3)+Inputs!$B$28+Inputs!$B$29)))</f>
        <v/>
      </c>
      <c r="E1812">
        <f>INDEX(FactorTable!$B$2:$Y$301, MATCH(ROUND(MIN(300,MAX(1,D1812)),0), FactorTable!$A$2:$A$301,0), Skills!M21+1)</f>
        <v/>
      </c>
      <c r="F1812">
        <f>IF(Skills!N21=TRUE,(Skills!L21/10)*(E1812/1000),Skills!L21/10)+Skills!O21</f>
        <v/>
      </c>
      <c r="G1812">
        <f>Skills!G21*IF(Skills!H21&gt;0,Skills!I21/Skills!H21,1)</f>
        <v/>
      </c>
      <c r="H1812">
        <f>1-(1-Skills!J21/100)^Skills!K21</f>
        <v/>
      </c>
      <c r="I1812" t="inlineStr">
        <is>
          <t>1</t>
        </is>
      </c>
      <c r="J1812" t="inlineStr"/>
      <c r="K1812" t="inlineStr"/>
      <c r="L1812" t="inlineStr"/>
      <c r="M1812" t="inlineStr"/>
      <c r="N1812" t="inlineStr"/>
      <c r="O1812">
        <f>(1-Summary!$B$11)*T1812+Summary!$B$11*V1812</f>
        <v/>
      </c>
      <c r="P1812">
        <f>IF(B1831=0,0,O1812/B1831)</f>
        <v/>
      </c>
      <c r="Q1812" t="n">
        <v>0</v>
      </c>
      <c r="R1812" t="n">
        <v>0</v>
      </c>
      <c r="S1812">
        <f>IFERROR(O1812/N1812,0)</f>
        <v/>
      </c>
      <c r="T1812" t="n">
        <v>0</v>
      </c>
      <c r="V1812" t="n">
        <v>0</v>
      </c>
    </row>
    <row r="1813">
      <c r="A1813">
        <f>Skills!A22</f>
        <v/>
      </c>
      <c r="B1813">
        <f>Skills!B22</f>
        <v/>
      </c>
      <c r="C1813">
        <f>Inputs!$B$3&gt;=43</f>
        <v/>
      </c>
      <c r="D1813">
        <f>IF(Skills!C22=1,60+Inputs!$B$25+Inputs!$B$29,IF(Skills!C22=2,90+Inputs!$B$26+Inputs!$B$29,IF(Skills!C22=3,120+Inputs!$B$27+Inputs!$B$29,MAX(0,(Inputs!$B$3-100)*3)+Inputs!$B$28+Inputs!$B$29)))</f>
        <v/>
      </c>
      <c r="E1813">
        <f>INDEX(FactorTable!$B$2:$Y$301, MATCH(ROUND(MIN(300,MAX(1,D1813)),0), FactorTable!$A$2:$A$301,0), Skills!M22+1)</f>
        <v/>
      </c>
      <c r="F1813">
        <f>IF(Skills!N22=TRUE,(Skills!L22/10)*(E1813/1000),Skills!L22/10)+Skills!O22</f>
        <v/>
      </c>
      <c r="G1813">
        <f>Skills!G22*IF(Skills!H22&gt;0,Skills!I22/Skills!H22,1)</f>
        <v/>
      </c>
      <c r="H1813">
        <f>1-(1-Skills!J22/100)^Skills!K22</f>
        <v/>
      </c>
      <c r="I1813" t="inlineStr">
        <is>
          <t>1</t>
        </is>
      </c>
      <c r="J1813" t="inlineStr"/>
      <c r="K1813" t="inlineStr"/>
      <c r="L1813" t="inlineStr"/>
      <c r="M1813" t="inlineStr"/>
      <c r="N1813" t="inlineStr"/>
      <c r="O1813">
        <f>(1-Summary!$B$11)*T1813+Summary!$B$11*V1813</f>
        <v/>
      </c>
      <c r="P1813">
        <f>IF(B1831=0,0,O1813/B1831)</f>
        <v/>
      </c>
      <c r="Q1813" t="n">
        <v>0</v>
      </c>
      <c r="R1813" t="n">
        <v>0</v>
      </c>
      <c r="S1813">
        <f>IFERROR(O1813/N1813,0)</f>
        <v/>
      </c>
      <c r="T1813" t="n">
        <v>0</v>
      </c>
      <c r="V1813" t="n">
        <v>0</v>
      </c>
    </row>
    <row r="1814">
      <c r="A1814">
        <f>Skills!A23</f>
        <v/>
      </c>
      <c r="B1814">
        <f>Skills!B23</f>
        <v/>
      </c>
      <c r="C1814">
        <f>Inputs!$B$3&gt;=38</f>
        <v/>
      </c>
      <c r="D1814">
        <f>IF(Skills!C23=1,60+Inputs!$B$25+Inputs!$B$29,IF(Skills!C23=2,90+Inputs!$B$26+Inputs!$B$29,IF(Skills!C23=3,120+Inputs!$B$27+Inputs!$B$29,MAX(0,(Inputs!$B$3-100)*3)+Inputs!$B$28+Inputs!$B$29)))</f>
        <v/>
      </c>
      <c r="E1814">
        <f>INDEX(FactorTable!$B$2:$Y$301, MATCH(ROUND(MIN(300,MAX(1,D1814)),0), FactorTable!$A$2:$A$301,0), Skills!M23+1)</f>
        <v/>
      </c>
      <c r="F1814">
        <f>IF(Skills!N23=TRUE,(Skills!L23/10)*(E1814/1000),Skills!L23/10)+Skills!O23</f>
        <v/>
      </c>
      <c r="G1814">
        <f>Skills!G23*IF(Skills!H23&gt;0,Skills!I23/Skills!H23,1)</f>
        <v/>
      </c>
      <c r="H1814">
        <f>1-(1-Skills!J23/100)^Skills!K23</f>
        <v/>
      </c>
      <c r="I1814" t="inlineStr">
        <is>
          <t>1</t>
        </is>
      </c>
      <c r="J1814" t="inlineStr"/>
      <c r="K1814" t="inlineStr"/>
      <c r="L1814" t="inlineStr"/>
      <c r="M1814" t="inlineStr"/>
      <c r="N1814" t="inlineStr"/>
      <c r="O1814">
        <f>(1-Summary!$B$11)*T1814+Summary!$B$11*V1814</f>
        <v/>
      </c>
      <c r="P1814">
        <f>IF(B1831=0,0,O1814/B1831)</f>
        <v/>
      </c>
      <c r="Q1814" t="n">
        <v>0</v>
      </c>
      <c r="R1814" t="n">
        <v>0</v>
      </c>
      <c r="S1814">
        <f>IFERROR(O1814/N1814,0)</f>
        <v/>
      </c>
      <c r="T1814" t="n">
        <v>0</v>
      </c>
      <c r="V1814" t="n">
        <v>0</v>
      </c>
    </row>
    <row r="1815">
      <c r="A1815">
        <f>Skills!A24</f>
        <v/>
      </c>
      <c r="B1815">
        <f>Skills!B24</f>
        <v/>
      </c>
      <c r="C1815">
        <f>Inputs!$B$3&gt;=40</f>
        <v/>
      </c>
      <c r="D1815">
        <f>IF(Skills!C24=1,60+Inputs!$B$25+Inputs!$B$29,IF(Skills!C24=2,90+Inputs!$B$26+Inputs!$B$29,IF(Skills!C24=3,120+Inputs!$B$27+Inputs!$B$29,MAX(0,(Inputs!$B$3-100)*3)+Inputs!$B$28+Inputs!$B$29)))</f>
        <v/>
      </c>
      <c r="E1815">
        <f>INDEX(FactorTable!$B$2:$Y$301, MATCH(ROUND(MIN(300,MAX(1,D1815)),0), FactorTable!$A$2:$A$301,0), Skills!M24+1)</f>
        <v/>
      </c>
      <c r="F1815">
        <f>IF(Skills!N24=TRUE,(Skills!L24/10)*(E1815/1000),Skills!L24/10)+Skills!O24</f>
        <v/>
      </c>
      <c r="G1815">
        <f>Skills!G24*IF(Skills!H24&gt;0,Skills!I24/Skills!H24,1)</f>
        <v/>
      </c>
      <c r="H1815">
        <f>1-(1-Skills!J24/100)^Skills!K24</f>
        <v/>
      </c>
      <c r="I1815" t="inlineStr">
        <is>
          <t>1</t>
        </is>
      </c>
      <c r="J1815" t="inlineStr"/>
      <c r="K1815" t="inlineStr"/>
      <c r="L1815" t="inlineStr"/>
      <c r="M1815" t="inlineStr"/>
      <c r="N1815" t="inlineStr"/>
      <c r="O1815">
        <f>(1-Summary!$B$11)*T1815+Summary!$B$11*V1815</f>
        <v/>
      </c>
      <c r="P1815">
        <f>IF(B1831=0,0,O1815/B1831)</f>
        <v/>
      </c>
      <c r="Q1815" t="n">
        <v>0</v>
      </c>
      <c r="R1815" t="n">
        <v>0</v>
      </c>
      <c r="S1815">
        <f>IFERROR(O1815/N1815,0)</f>
        <v/>
      </c>
      <c r="T1815" t="n">
        <v>0</v>
      </c>
      <c r="V1815" t="n">
        <v>0</v>
      </c>
    </row>
    <row r="1816">
      <c r="A1816">
        <f>Skills!A25</f>
        <v/>
      </c>
      <c r="B1816">
        <f>Skills!B25</f>
        <v/>
      </c>
      <c r="C1816">
        <f>Inputs!$B$3&gt;=72</f>
        <v/>
      </c>
      <c r="D1816">
        <f>IF(Skills!C25=1,60+Inputs!$B$25+Inputs!$B$29,IF(Skills!C25=2,90+Inputs!$B$26+Inputs!$B$29,IF(Skills!C25=3,120+Inputs!$B$27+Inputs!$B$29,MAX(0,(Inputs!$B$3-100)*3)+Inputs!$B$28+Inputs!$B$29)))</f>
        <v/>
      </c>
      <c r="E1816">
        <f>INDEX(FactorTable!$B$2:$Y$301, MATCH(ROUND(MIN(300,MAX(1,D1816)),0), FactorTable!$A$2:$A$301,0), Skills!M25+1)</f>
        <v/>
      </c>
      <c r="F1816">
        <f>IF(Skills!N25=TRUE,(Skills!L25/10)*(E1816/1000),Skills!L25/10)+Skills!O25</f>
        <v/>
      </c>
      <c r="G1816">
        <f>Skills!G25*IF(Skills!H25&gt;0,Skills!I25/Skills!H25,1)</f>
        <v/>
      </c>
      <c r="H1816">
        <f>1-(1-Skills!J25/100)^Skills!K25</f>
        <v/>
      </c>
      <c r="I1816" t="inlineStr">
        <is>
          <t>1</t>
        </is>
      </c>
      <c r="J1816" t="inlineStr"/>
      <c r="K1816" t="inlineStr"/>
      <c r="L1816" t="inlineStr"/>
      <c r="M1816" t="inlineStr"/>
      <c r="N1816" t="inlineStr"/>
      <c r="O1816">
        <f>(1-Summary!$B$11)*T1816+Summary!$B$11*V1816</f>
        <v/>
      </c>
      <c r="P1816">
        <f>IF(B1831=0,0,O1816/B1831)</f>
        <v/>
      </c>
      <c r="Q1816" t="n">
        <v>0</v>
      </c>
      <c r="R1816" t="n">
        <v>0</v>
      </c>
      <c r="S1816">
        <f>IFERROR(O1816/N1816,0)</f>
        <v/>
      </c>
      <c r="T1816" t="n">
        <v>0</v>
      </c>
      <c r="V1816" t="n">
        <v>0</v>
      </c>
    </row>
    <row r="1817">
      <c r="A1817">
        <f>Skills!A26</f>
        <v/>
      </c>
      <c r="B1817">
        <f>Skills!B26</f>
        <v/>
      </c>
      <c r="C1817">
        <f>Inputs!$B$3&gt;=75</f>
        <v/>
      </c>
      <c r="D1817">
        <f>IF(Skills!C26=1,60+Inputs!$B$25+Inputs!$B$29,IF(Skills!C26=2,90+Inputs!$B$26+Inputs!$B$29,IF(Skills!C26=3,120+Inputs!$B$27+Inputs!$B$29,MAX(0,(Inputs!$B$3-100)*3)+Inputs!$B$28+Inputs!$B$29)))</f>
        <v/>
      </c>
      <c r="E1817">
        <f>INDEX(FactorTable!$B$2:$Y$301, MATCH(ROUND(MIN(300,MAX(1,D1817)),0), FactorTable!$A$2:$A$301,0), Skills!M26+1)</f>
        <v/>
      </c>
      <c r="F1817">
        <f>IF(Skills!N26=TRUE,(Skills!L26/10)*(E1817/1000),Skills!L26/10)+Skills!O26</f>
        <v/>
      </c>
      <c r="G1817">
        <f>Skills!G26*IF(Skills!H26&gt;0,Skills!I26/Skills!H26,1)</f>
        <v/>
      </c>
      <c r="H1817">
        <f>1-(1-Skills!J26/100)^Skills!K26</f>
        <v/>
      </c>
      <c r="I1817" t="inlineStr">
        <is>
          <t>1</t>
        </is>
      </c>
      <c r="J1817" t="inlineStr"/>
      <c r="K1817" t="inlineStr"/>
      <c r="L1817" t="inlineStr"/>
      <c r="M1817" t="inlineStr"/>
      <c r="N1817" t="inlineStr"/>
      <c r="O1817">
        <f>(1-Summary!$B$11)*T1817+Summary!$B$11*V1817</f>
        <v/>
      </c>
      <c r="P1817">
        <f>IF(B1831=0,0,O1817/B1831)</f>
        <v/>
      </c>
      <c r="Q1817" t="n">
        <v>0</v>
      </c>
      <c r="R1817" t="n">
        <v>0</v>
      </c>
      <c r="S1817">
        <f>IFERROR(O1817/N1817,0)</f>
        <v/>
      </c>
      <c r="T1817" t="n">
        <v>0</v>
      </c>
      <c r="V1817" t="n">
        <v>0</v>
      </c>
    </row>
    <row r="1818">
      <c r="A1818">
        <f>Skills!A27</f>
        <v/>
      </c>
      <c r="B1818">
        <f>Skills!B27</f>
        <v/>
      </c>
      <c r="C1818">
        <f>Inputs!$B$3&gt;=117</f>
        <v/>
      </c>
      <c r="D1818">
        <f>IF(Skills!C27=1,60+Inputs!$B$25+Inputs!$B$29,IF(Skills!C27=2,90+Inputs!$B$26+Inputs!$B$29,IF(Skills!C27=3,120+Inputs!$B$27+Inputs!$B$29,MAX(0,(Inputs!$B$3-100)*3)+Inputs!$B$28+Inputs!$B$29)))</f>
        <v/>
      </c>
      <c r="E1818">
        <f>INDEX(FactorTable!$B$2:$Y$301, MATCH(ROUND(MIN(300,MAX(1,D1818)),0), FactorTable!$A$2:$A$301,0), Skills!M27+1)</f>
        <v/>
      </c>
      <c r="F1818">
        <f>IF(Skills!N27=TRUE,(Skills!L27/10)*(E1818/1000),Skills!L27/10)+Skills!O27</f>
        <v/>
      </c>
      <c r="G1818">
        <f>Skills!G27*IF(Skills!H27&gt;0,Skills!I27/Skills!H27,1)</f>
        <v/>
      </c>
      <c r="H1818">
        <f>1-(1-Skills!J27/100)^Skills!K27</f>
        <v/>
      </c>
      <c r="I1818" t="inlineStr">
        <is>
          <t>1</t>
        </is>
      </c>
      <c r="J1818" t="inlineStr"/>
      <c r="K1818" t="inlineStr"/>
      <c r="L1818" t="inlineStr"/>
      <c r="M1818" t="inlineStr"/>
      <c r="N1818" t="inlineStr"/>
      <c r="O1818">
        <f>(1-Summary!$B$11)*T1818+Summary!$B$11*V1818</f>
        <v/>
      </c>
      <c r="P1818">
        <f>IF(B1831=0,0,O1818/B1831)</f>
        <v/>
      </c>
      <c r="Q1818" t="n">
        <v>0</v>
      </c>
      <c r="R1818" t="n">
        <v>0</v>
      </c>
      <c r="S1818">
        <f>IFERROR(O1818/N1818,0)</f>
        <v/>
      </c>
      <c r="T1818" t="n">
        <v>0</v>
      </c>
      <c r="V1818" t="n">
        <v>0</v>
      </c>
    </row>
    <row r="1820">
      <c r="A1820" t="inlineStr">
        <is>
          <t>Attack% Bucket Multiplier</t>
        </is>
      </c>
      <c r="B1820">
        <f>(1+(((C1808=TRUE)*F1808)+((C1815=TRUE)*(F1815-Calc!F24))+(IF(IF(ArtifactsInput!$M$21,FALSE,TRUE),CHOOSE(ArtifactsInput!$N$21+1,25,30,35,40,45,50)*(IF(OR(Inputs!$B$4="Chapter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21">
      <c r="A1821" t="inlineStr">
        <is>
          <t>Global Crit Rate Bonus %</t>
        </is>
      </c>
      <c r="B1821" t="n">
        <v>0</v>
      </c>
    </row>
    <row r="1822">
      <c r="A1822" t="inlineStr">
        <is>
          <t>Attack Speed Buff Bonus % (unused)</t>
        </is>
      </c>
      <c r="B1822" t="n">
        <v>0</v>
      </c>
    </row>
    <row r="1823">
      <c r="A1823" t="inlineStr">
        <is>
          <t>Actions Per Second</t>
        </is>
      </c>
      <c r="B1823">
        <f>1+MIN(150,150*(1-(1-(Inputs!$B$11+((C1811=TRUE)*(F1811-Calc!F20))+((C1812=TRUE)*(F1812-Calc!F21)))/150)*(1-B1822/150)))/100</f>
        <v/>
      </c>
    </row>
    <row r="1824">
      <c r="A1824" t="inlineStr">
        <is>
          <t>Skill + Buff Cast Rate</t>
        </is>
      </c>
      <c r="B1824">
        <f>IF(AND(Inputs!$B$38&lt;&gt;"pvp",Inputs!$B$43&gt;0),SUMPRODUCT((Skills!E2:E27=TRUE)*(C1793:C1818=TRUE)*R1793:R1818*Skills!F2:F27)/Inputs!$B$43,SUMPRODUCT((Skills!E2:E27=TRUE)*(C1793:C1818=TRUE)*Q1793:Q1818*Skills!F2:F27))</f>
        <v/>
      </c>
    </row>
    <row r="1825">
      <c r="A1825" t="inlineStr">
        <is>
          <t>Eight-Legs Easton Casts Per Second</t>
        </is>
      </c>
      <c r="B1825">
        <f>MAX(0,B1823-B1824)</f>
        <v/>
      </c>
    </row>
    <row r="1826">
      <c r="A1826" t="inlineStr">
        <is>
          <t>Global Critical Damage Bonus % (unused)</t>
        </is>
      </c>
      <c r="B1826" t="n">
        <v>0</v>
      </c>
    </row>
    <row r="1827">
      <c r="A1827" t="inlineStr">
        <is>
          <t>Global Final Damage Bonus % (Jolly Roger only)</t>
        </is>
      </c>
      <c r="B1827">
        <f>((C1809=TRUE)*F1809)</f>
        <v/>
      </c>
    </row>
    <row r="1828">
      <c r="A1828" t="inlineStr">
        <is>
          <t>Buff-Casting Startup Delay (s, fixed-duration only)</t>
        </is>
      </c>
      <c r="B1828">
        <f>IF(AND(Inputs!$B$38&lt;&gt;"pvp",Inputs!$B$43&gt;0),SUMPRODUCT((Skills!T2:T27&gt;0)*(Skills!E2:E27=TRUE)*(C1793:C1818=TRUE))/B1823,0)</f>
        <v/>
      </c>
    </row>
    <row r="1829">
      <c r="A1829" t="inlineStr">
        <is>
          <t>Boss-Only Total DPS (this block's swept value)</t>
        </is>
      </c>
      <c r="B1829">
        <f>SUM(T1793:T1818)</f>
        <v/>
      </c>
    </row>
    <row r="1830">
      <c r="A1830" t="inlineStr">
        <is>
          <t>Normal-Only Total DPS (this block's swept value)</t>
        </is>
      </c>
      <c r="B1830">
        <f>SUM(V1793:V1818)</f>
        <v/>
      </c>
    </row>
    <row r="1831">
      <c r="A1831" s="6" t="inlineStr">
        <is>
          <t>TOTAL DPS</t>
        </is>
      </c>
      <c r="B1831" s="6">
        <f>SUM(O1793:O1818)</f>
        <v/>
      </c>
    </row>
    <row r="1834">
      <c r="A1834" s="6" t="inlineStr">
        <is>
          <t>Stat: Silver Pendant (Equip)</t>
        </is>
      </c>
    </row>
    <row r="1835">
      <c r="A1835" s="5" t="inlineStr">
        <is>
          <t>Key</t>
        </is>
      </c>
      <c r="B1835" s="5" t="inlineStr">
        <is>
          <t>Name</t>
        </is>
      </c>
      <c r="C1835" s="5" t="inlineStr">
        <is>
          <t>Unlocked</t>
        </is>
      </c>
      <c r="D1835" s="5" t="inlineStr">
        <is>
          <t>InputLevel</t>
        </is>
      </c>
      <c r="E1835" s="5" t="inlineStr">
        <is>
          <t>Factor</t>
        </is>
      </c>
      <c r="F1835" s="5" t="inlineStr">
        <is>
          <t>CoefficientPercent</t>
        </is>
      </c>
      <c r="G1835" s="5" t="inlineStr">
        <is>
          <t>EffectiveHits</t>
        </is>
      </c>
      <c r="H1835" s="5" t="inlineStr">
        <is>
          <t>ProcProbability</t>
        </is>
      </c>
      <c r="I1835" s="5" t="inlineStr">
        <is>
          <t>MapleHeroMultiplier</t>
        </is>
      </c>
      <c r="J1835" s="5" t="inlineStr">
        <is>
          <t>BaseDamage</t>
        </is>
      </c>
      <c r="K1835" s="5" t="inlineStr">
        <is>
          <t>BaseHitDamage</t>
        </is>
      </c>
      <c r="L1835" s="5" t="inlineStr">
        <is>
          <t>NonCritAvg</t>
        </is>
      </c>
      <c r="M1835" s="5" t="inlineStr">
        <is>
          <t>CritAvg</t>
        </is>
      </c>
      <c r="N1835" s="5" t="inlineStr">
        <is>
          <t>ExpectedDamage(perHit)</t>
        </is>
      </c>
      <c r="O1835" s="5" t="inlineStr">
        <is>
          <t>DPS</t>
        </is>
      </c>
      <c r="P1835" s="5" t="inlineStr">
        <is>
          <t>% of Total</t>
        </is>
      </c>
      <c r="Q1835" s="5" t="inlineStr">
        <is>
          <t>InvCooldown</t>
        </is>
      </c>
      <c r="R1835" s="5" t="inlineStr">
        <is>
          <t>CastsInFight</t>
        </is>
      </c>
      <c r="S1835" s="5" t="inlineStr">
        <is>
          <t>HitRate(perSec)</t>
        </is>
      </c>
      <c r="U1835" t="inlineStr">
        <is>
          <t>helpers</t>
        </is>
      </c>
    </row>
    <row r="1836">
      <c r="A1836">
        <f>Skills!A2</f>
        <v/>
      </c>
      <c r="B1836">
        <f>Skills!B2</f>
        <v/>
      </c>
      <c r="C1836">
        <f>Inputs!$B$3&gt;=100</f>
        <v/>
      </c>
      <c r="D1836" t="inlineStr"/>
      <c r="E1836" t="inlineStr"/>
      <c r="F1836">
        <f>U1838+Skills!O2</f>
        <v/>
      </c>
      <c r="G1836">
        <f>Skills!G2*IF(Skills!H2&gt;0,Skills!I2/Skills!H2,1)</f>
        <v/>
      </c>
      <c r="H1836">
        <f>1-(1-Skills!J2/100)^Skills!K2</f>
        <v/>
      </c>
      <c r="I1836" t="inlineStr">
        <is>
          <t>1</t>
        </is>
      </c>
      <c r="J1836">
        <f>((Inputs!$B$6*(1+Inputs!$B$7/100))+(((Inputs!$B$12*(1+Inputs!$B$13/100))-(Inputs!$B$12*(1+Inputs!$B$13/100)))+0.25*(Inputs!$B$14-Inputs!$B$14))*(1+Inputs!$B$7/100))*(F1836/100)</f>
        <v/>
      </c>
      <c r="K1836">
        <f>J1836*(1+((Inputs!$B$12*(1+Inputs!$B$13/100))*0.01+Inputs!$B$14*0.0025)/100)*(1+Inputs!$B$15/100)*(1+Inputs!$B$16/100)*(5000/(6000+Inputs!$B$42*(1-(100*(1-(1-(Inputs!$B$19+0)/100)*(1-CHOOSE(ArtifactsInput!$N$40+1,5,6,7,8,9,10)/100)^(ArtifactsInput!$M$40-ArtifactsInput!$M$40)))/100)))*(1+(Inputs!$B$24+((C1860=TRUE)*(F1860-Calc!F26))+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1857=TRUE)*(F1857-Calc!F23))+((C1861=TRUE)*(F1861-Calc!F27))+(((IF(AND(ArtifactsInput!$M$42,((Inputs!$B$9+((C1853=TRUE)*(F1853-Calc!F19))+B1864+(ArtifactsInput!$M$24-ArtifactsInput!$M$24)*CHOOSE(ArtifactsInput!$N$24+1,10,12,14,16,18,20)+IF(ArtifactsInput!$M$10,CHOOSE(ArtifactsInput!$N$10+1,15,18,21,24,27,30)*(IF(Inputs!$B$38="pvp",MIN(15,15)/15,IF(AND(Inputs!$B$38&lt;&gt;"pvp",Inputs!$B$43&gt;0),MIN(15,Inputs!$B$43)/(Inputs!$B$43),0))),0)))&gt;=100),MIN(100,((Inputs!$B$9+((C1853=TRUE)*(F1853-Calc!F19))+B1864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1853=TRUE)*(F1853-Calc!F19))+B1864+(ArtifactsInput!$M$24-ArtifactsInput!$M$24)*CHOOSE(ArtifactsInput!$N$24+1,10,12,14,16,18,20)+IF(ArtifactsInput!$M$10,CHOOSE(ArtifactsInput!$N$10+1,15,18,21,24,27,30)*(IF(Inputs!$B$38="pvp",MIN(15,15)/15,IF(AND(Inputs!$B$38&lt;&gt;"pvp",Inputs!$B$43&gt;0),MIN(15,Inputs!$B$43)/(Inputs!$B$43),0))),0)))&gt;=100),CHOOSE(ArtifactsInput!$N$42+1,40,48,56,64,72,80),0))))/100)*((1+(((C1851=TRUE)*F1851)+((C1858=TRUE)*(F1858-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1836)</f>
        <v/>
      </c>
      <c r="L1836">
        <f>K1836*(MIN(Inputs!$B$22+((C1856=TRUE)*(F1856-Calc!F22)),(Inputs!$B$23+0+(IF(ArtifactsInput!$M$15,CHOOSE(ArtifactsInput!$N$15+1,25,30,35,40,45,50)/100*(Inputs!$B$11-Inputs!$B$11),0))))/100+(Inputs!$B$23+0+(IF(ArtifactsInput!$M$15,CHOOSE(ArtifactsInput!$N$15+1,25,30,35,40,45,50)/100*(Inputs!$B$11-Inputs!$B$11),0)))/100)/2</f>
        <v/>
      </c>
      <c r="M1836">
        <f>L1836*(1+(Inputs!$B$10+((C1859=TRUE)*(F1859-Calc!F25))+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6">
        <f>L1836*(1-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1836*(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6">
        <f>(1-Summary!$B$11)*T1836+Summary!$B$11*V1836</f>
        <v/>
      </c>
      <c r="P1836">
        <f>IF(B1874=0,0,O1836/B1874)</f>
        <v/>
      </c>
      <c r="Q1836" t="n">
        <v>0</v>
      </c>
      <c r="R1836" t="n">
        <v>0</v>
      </c>
      <c r="S1836">
        <f>IFERROR(O1836/N1836,0)</f>
        <v/>
      </c>
      <c r="T1836">
        <f>IF(C1836,(Skills!G2*N1836*B1868)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1836*(1-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1836*(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1836*(1-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1836*(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6">
        <f>MAX(0,(Inputs!$B$3-100)*3)+Inputs!$B$28+Inputs!$B$29</f>
        <v/>
      </c>
      <c r="V1836">
        <f>IF(C1836,(Skills!G2*N1836*B1868)*IF(Inputs!$B$38="pvp",1,(1+(Inputs!$B$21+Skills!Q2+(IF(ArtifactsInput!$M$33,CHOOSE(ArtifactsInput!$N$33+1,30,36,42,48,54,60),0))+(IF(AND(ArtifactsInput!$M$35,Inputs!$B$4&lt;&gt;"Chapter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7">
      <c r="A1837">
        <f>Skills!A3</f>
        <v/>
      </c>
      <c r="B1837">
        <f>Skills!B3</f>
        <v/>
      </c>
      <c r="C1837">
        <f>Inputs!$B$3&gt;=35</f>
        <v/>
      </c>
      <c r="D1837">
        <f>IF(Skills!C3=1,60+Inputs!$B$25+Inputs!$B$29,IF(Skills!C3=2,90+Inputs!$B$26+Inputs!$B$29,IF(Skills!C3=3,120+Inputs!$B$27+Inputs!$B$29,MAX(0,(Inputs!$B$3-100)*3)+Inputs!$B$28+Inputs!$B$29)))</f>
        <v/>
      </c>
      <c r="E1837">
        <f>INDEX(FactorTable!$B$2:$Y$301, MATCH(ROUND(MIN(300,MAX(1,D1837)),0), FactorTable!$A$2:$A$301,0), Skills!M3+1)</f>
        <v/>
      </c>
      <c r="F1837">
        <f>IF(Skills!N3=TRUE,(Skills!L3/10)*(E1837/1000),Skills!L3/10)+Skills!O3</f>
        <v/>
      </c>
      <c r="G1837">
        <f>Skills!G3*IF(Skills!H3&gt;0,Skills!I3/Skills!H3,1)</f>
        <v/>
      </c>
      <c r="H1837">
        <f>1-(1-Skills!J3/100)^Skills!K3</f>
        <v/>
      </c>
      <c r="I1837" t="inlineStr">
        <is>
          <t>1</t>
        </is>
      </c>
      <c r="J1837">
        <f>((Inputs!$B$6*(1+Inputs!$B$7/100))+(((Inputs!$B$12*(1+Inputs!$B$13/100))-(Inputs!$B$12*(1+Inputs!$B$13/100)))+0.25*(Inputs!$B$14-Inputs!$B$14))*(1+Inputs!$B$7/100))*(F1837/100)</f>
        <v/>
      </c>
      <c r="K1837">
        <f>J1837*(1+((Inputs!$B$12*(1+Inputs!$B$13/100))*0.01+Inputs!$B$14*0.0025)/100)*(1+Inputs!$B$15/100)*(1+Inputs!$B$16/100)*(5000/(6000+Inputs!$B$42*(1-(100*(1-(1-(Inputs!$B$19+0)/100)*(1-CHOOSE(ArtifactsInput!$N$40+1,5,6,7,8,9,10)/100)^(ArtifactsInput!$M$40-ArtifactsInput!$M$40)))/100)))*(1+(Inputs!$B$24+((C1860=TRUE)*(F1860-Calc!F26))+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1849=TRUE,F1849,0)/100)*(1+(IF(Skills!A3="EIGHT_LEGS_EASTON",Inputs!$B$17+((C1857=TRUE)*(F1857-Calc!F23))+((C1861=TRUE)*(F1861-Calc!F27))+(((IF(AND(ArtifactsInput!$M$42,((Inputs!$B$9+((C1853=TRUE)*(F1853-Calc!F19))+B1864+(ArtifactsInput!$M$24-ArtifactsInput!$M$24)*CHOOSE(ArtifactsInput!$N$24+1,10,12,14,16,18,20)+IF(ArtifactsInput!$M$10,CHOOSE(ArtifactsInput!$N$10+1,15,18,21,24,27,30)*(IF(Inputs!$B$38="pvp",MIN(15,15)/15,IF(AND(Inputs!$B$38&lt;&gt;"pvp",Inputs!$B$43&gt;0),MIN(15,Inputs!$B$43)/(Inputs!$B$43),0))),0)))&gt;=100),MIN(100,((Inputs!$B$9+((C1853=TRUE)*(F1853-Calc!F19))+B1864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1853=TRUE)*(F1853-Calc!F19))+B1864+(ArtifactsInput!$M$24-ArtifactsInput!$M$24)*CHOOSE(ArtifactsInput!$N$24+1,10,12,14,16,18,20)+IF(ArtifactsInput!$M$10,CHOOSE(ArtifactsInput!$N$10+1,15,18,21,24,27,30)*(IF(Inputs!$B$38="pvp",MIN(15,15)/15,IF(AND(Inputs!$B$38&lt;&gt;"pvp",Inputs!$B$43&gt;0),MIN(15,Inputs!$B$43)/(Inputs!$B$43),0))),0)))&gt;=100),CHOOSE(ArtifactsInput!$N$42+1,40,48,56,64,72,80),0))))/100)*((1+(((C1851=TRUE)*F1851)+((C1858=TRUE)*(F1858-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C1856=TRUE)*(F1856-Calc!F22)),(Inputs!$B$23+0+(IF(ArtifactsInput!$M$15,CHOOSE(ArtifactsInput!$N$15+1,25,30,35,40,45,50)/100*(Inputs!$B$11-Inputs!$B$11),0))))/100+(Inputs!$B$23+0+(IF(ArtifactsInput!$M$15,CHOOSE(ArtifactsInput!$N$15+1,25,30,35,40,45,50)/100*(Inputs!$B$11-Inputs!$B$11),0)))/100)/2</f>
        <v/>
      </c>
      <c r="M1837">
        <f>L1837*(1+(Inputs!$B$10+((C1859=TRUE)*(F1859-Calc!F25))+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(1-Summary!$B$11)*T1837+Summary!$B$11*V1837</f>
        <v/>
      </c>
      <c r="P1837">
        <f>IF(B1874=0,0,O1837/B1874)</f>
        <v/>
      </c>
      <c r="Q1837">
        <f>IFERROR(1/(IF(Inputs!$B$38="pvp",15,MAX(0.1,Skills!D3-IF(Skills!E3=TRUE,Inputs!$B$32,0)))*(1-IF(AND(ArtifactsInput!$M$27,Inputs!$B$4="Chapter Hunt"),CHOOSE(ArtifactsInput!$N$27+1,20,24,28,32,36,40),0)/100)),0)</f>
        <v/>
      </c>
      <c r="R1837">
        <f>IF(AND(Inputs!$B$38&lt;&gt;"pvp",Inputs!$B$43&gt;0),IF(MAX(0,Inputs!$B$43-B1871)&lt;=0,0,(INT(MAX(0,Inputs!$B$43-B1871)/(IF(Inputs!$B$38="pvp",15,MAX(0.1,Skills!D3-IF(Skills!E3=TRUE,Inputs!$B$32,0)))*(1-IF(AND(ArtifactsInput!$M$27,Inputs!$B$4="Chapter Hunt"),CHOOSE(ArtifactsInput!$N$27+1,20,24,28,32,36,40),0)/100)))+1)),0)</f>
        <v/>
      </c>
      <c r="S1837">
        <f>IFERROR(O1837/N1837,0)</f>
        <v/>
      </c>
      <c r="T1837">
        <f>IF(C1837,(H1837*N1837*IF(AND(Inputs!$B$38&lt;&gt;"pvp",Inputs!$B$43&gt;0),((Skills!G3*((R1837-1)*IF(Skills!H3&gt;0,Skills!I3/Skills!H3,1)+IF(Skills!H3&gt;0,MIN(Skills!I3,MAX(0,MAX(0,Inputs!$B$43-B1871)-((R1837-1)*(IF(Inputs!$B$38="pvp",15,MAX(0.1,Skills!D3-IF(Skills!E3=TRUE,Inputs!$B$32,0)))*(1-IF(AND(ArtifactsInput!$M$27,Inputs!$B$4="Chapter Hunt"),CHOOSE(ArtifactsInput!$N$27+1,20,24,28,32,36,40),0)/100)))))/Skills!H3,1)))/Inputs!$B$43),G1837*Q1837)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1837*(1-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7">
        <f>INDEX(FactorTable!$B$2:$Y$301, MATCH(ROUND(MIN(300,MAX(1,U1836)),0), FactorTable!$A$2:$A$301,0), 22)</f>
        <v/>
      </c>
      <c r="V1837">
        <f>IF(C1837,(H1837*N1837*IF(AND(Inputs!$B$38&lt;&gt;"pvp",Inputs!$B$43&gt;0),((Skills!G3*((R1837-1)*IF(Skills!H3&gt;0,Skills!I3/Skills!H3,1)+IF(Skills!H3&gt;0,MIN(Skills!I3,MAX(0,MAX(0,Inputs!$B$43-B1871)-((R1837-1)*(IF(Inputs!$B$38="pvp",15,MAX(0.1,Skills!D3-IF(Skills!E3=TRUE,Inputs!$B$32,0)))*(1-IF(AND(ArtifactsInput!$M$27,Inputs!$B$4="Chapter Hunt"),CHOOSE(ArtifactsInput!$N$27+1,20,24,28,32,36,40),0)/100)))))/Skills!H3,1)))/Inputs!$B$43),G1837*Q1837))*IF(Inputs!$B$38="pvp",1,(1+(Inputs!$B$21+Skills!Q3+(IF(ArtifactsInput!$M$33,CHOOSE(ArtifactsInput!$N$33+1,30,36,42,48,54,60)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Skills!A4</f>
        <v/>
      </c>
      <c r="B1838">
        <f>Skills!B4</f>
        <v/>
      </c>
      <c r="C1838">
        <f>Inputs!$B$3&gt;=40</f>
        <v/>
      </c>
      <c r="D1838">
        <f>IF(Skills!C4=1,60+Inputs!$B$25+Inputs!$B$29,IF(Skills!C4=2,90+Inputs!$B$26+Inputs!$B$29,IF(Skills!C4=3,120+Inputs!$B$27+Inputs!$B$29,MAX(0,(Inputs!$B$3-100)*3)+Inputs!$B$28+Inputs!$B$29)))</f>
        <v/>
      </c>
      <c r="E1838">
        <f>INDEX(FactorTable!$B$2:$Y$301, MATCH(ROUND(MIN(300,MAX(1,D1838)),0), FactorTable!$A$2:$A$301,0), Skills!M4+1)</f>
        <v/>
      </c>
      <c r="F1838">
        <f>IF(Skills!N4=TRUE,(Skills!L4/10)*(E1838/1000),Skills!L4/10)+Skills!O4</f>
        <v/>
      </c>
      <c r="G1838">
        <f>Skills!G4*IF(Skills!H4&gt;0,Skills!I4/Skills!H4,1)</f>
        <v/>
      </c>
      <c r="H1838">
        <f>1-(1-Skills!J4/100)^Skills!K4</f>
        <v/>
      </c>
      <c r="I1838" t="inlineStr">
        <is>
          <t>1</t>
        </is>
      </c>
      <c r="J1838">
        <f>((Inputs!$B$6*(1+Inputs!$B$7/100))+(((Inputs!$B$12*(1+Inputs!$B$13/100))-(Inputs!$B$12*(1+Inputs!$B$13/100)))+0.25*(Inputs!$B$14-Inputs!$B$14))*(1+Inputs!$B$7/100))*(F1838/100)</f>
        <v/>
      </c>
      <c r="K1838">
        <f>J1838*(1+((Inputs!$B$12*(1+Inputs!$B$13/100))*0.01+Inputs!$B$14*0.0025)/100)*(1+Inputs!$B$15/100)*(1+Inputs!$B$16/100)*(5000/(6000+Inputs!$B$42*(1-(100*(1-(1-(Inputs!$B$19+0)/100)*(1-CHOOSE(ArtifactsInput!$N$40+1,5,6,7,8,9,10)/100)^(ArtifactsInput!$M$40-ArtifactsInput!$M$40)))/100)))*(1+(Inputs!$B$24+((C1860=TRUE)*(F1860-Calc!F26))+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1850=TRUE,F1850,0)/100)*(1+(IF(Skills!A4="EIGHT_LEGS_EASTON",Inputs!$B$17+((C1857=TRUE)*(F1857-Calc!F23))+((C1861=TRUE)*(F1861-Calc!F27))+(((IF(AND(ArtifactsInput!$M$42,((Inputs!$B$9+((C1853=TRUE)*(F1853-Calc!F19))+B1864+(ArtifactsInput!$M$24-ArtifactsInput!$M$24)*CHOOSE(ArtifactsInput!$N$24+1,10,12,14,16,18,20)+IF(ArtifactsInput!$M$10,CHOOSE(ArtifactsInput!$N$10+1,15,18,21,24,27,30)*(IF(Inputs!$B$38="pvp",MIN(15,15)/15,IF(AND(Inputs!$B$38&lt;&gt;"pvp",Inputs!$B$43&gt;0),MIN(15,Inputs!$B$43)/(Inputs!$B$43),0))),0)))&gt;=100),MIN(100,((Inputs!$B$9+((C1853=TRUE)*(F1853-Calc!F19))+B1864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1853=TRUE)*(F1853-Calc!F19))+B1864+(ArtifactsInput!$M$24-ArtifactsInput!$M$24)*CHOOSE(ArtifactsInput!$N$24+1,10,12,14,16,18,20)+IF(ArtifactsInput!$M$10,CHOOSE(ArtifactsInput!$N$10+1,15,18,21,24,27,30)*(IF(Inputs!$B$38="pvp",MIN(15,15)/15,IF(AND(Inputs!$B$38&lt;&gt;"pvp",Inputs!$B$43&gt;0),MIN(15,Inputs!$B$43)/(Inputs!$B$43),0))),0)))&gt;=100),CHOOSE(ArtifactsInput!$N$42+1,40,48,56,64,72,80),0))))/100)*((1+(((C1851=TRUE)*F1851)+((C1858=TRUE)*(F1858-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1838)</f>
        <v/>
      </c>
      <c r="L1838">
        <f>K1838*(MIN(Inputs!$B$22+((C1856=TRUE)*(F1856-Calc!F22)),(Inputs!$B$23+0+(IF(ArtifactsInput!$M$15,CHOOSE(ArtifactsInput!$N$15+1,25,30,35,40,45,50)/100*(Inputs!$B$11-Inputs!$B$11),0))))/100+(Inputs!$B$23+0+(IF(ArtifactsInput!$M$15,CHOOSE(ArtifactsInput!$N$15+1,25,30,35,40,45,50)/100*(Inputs!$B$11-Inputs!$B$11),0)))/100)/2</f>
        <v/>
      </c>
      <c r="M1838">
        <f>L1838*(1+(Inputs!$B$10+((C1859=TRUE)*(F1859-Calc!F25))+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8">
        <f>L1838*(1-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1838*(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8">
        <f>(1-Summary!$B$11)*T1838+Summary!$B$11*V1838</f>
        <v/>
      </c>
      <c r="P1838">
        <f>IF(B1874=0,0,O1838/B1874)</f>
        <v/>
      </c>
      <c r="Q1838">
        <f>IFERROR(1/(IF(Inputs!$B$38="pvp",15,MAX(0.1,Skills!D4-IF(Skills!E4=TRUE,Inputs!$B$32,0)))*(1-IF(AND(ArtifactsInput!$M$27,Inputs!$B$4="Chapter Hunt"),CHOOSE(ArtifactsInput!$N$27+1,20,24,28,32,36,40),0)/100)),0)</f>
        <v/>
      </c>
      <c r="R1838">
        <f>IF(AND(Inputs!$B$38&lt;&gt;"pvp",Inputs!$B$43&gt;0),IF(MAX(0,Inputs!$B$43-B1871)&lt;=0,0,(INT(MAX(0,Inputs!$B$43-B1871)/(IF(Inputs!$B$38="pvp",15,MAX(0.1,Skills!D4-IF(Skills!E4=TRUE,Inputs!$B$32,0)))*(1-IF(AND(ArtifactsInput!$M$27,Inputs!$B$4="Chapter Hunt"),CHOOSE(ArtifactsInput!$N$27+1,20,24,28,32,36,40),0)/100)))+1)),0)</f>
        <v/>
      </c>
      <c r="S1838">
        <f>IFERROR(O1838/N1838,0)</f>
        <v/>
      </c>
      <c r="T1838">
        <f>IF(C1838,(H1838*N1838*IF(AND(Inputs!$B$38&lt;&gt;"pvp",Inputs!$B$43&gt;0),((Skills!G4*((R1838-1)*IF(Skills!H4&gt;0,Skills!I4/Skills!H4,1)+IF(Skills!H4&gt;0,MIN(Skills!I4,MAX(0,MAX(0,Inputs!$B$43-B1871)-((R1838-1)*(IF(Inputs!$B$38="pvp",15,MAX(0.1,Skills!D4-IF(Skills!E4=TRUE,Inputs!$B$32,0)))*(1-IF(AND(ArtifactsInput!$M$27,Inputs!$B$4="Chapter Hunt"),CHOOSE(ArtifactsInput!$N$27+1,20,24,28,32,36,40),0)/100)))))/Skills!H4,1)))/Inputs!$B$43),G1838*Q1838)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1838*(1-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1838*(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1838*(1-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1838*(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8">
        <f>290*U1837/1000</f>
        <v/>
      </c>
      <c r="V1838">
        <f>IF(C1838,(H1838*N1838*IF(AND(Inputs!$B$38&lt;&gt;"pvp",Inputs!$B$43&gt;0),((Skills!G4*((R1838-1)*IF(Skills!H4&gt;0,Skills!I4/Skills!H4,1)+IF(Skills!H4&gt;0,MIN(Skills!I4,MAX(0,MAX(0,Inputs!$B$43-B1871)-((R1838-1)*(IF(Inputs!$B$38="pvp",15,MAX(0.1,Skills!D4-IF(Skills!E4=TRUE,Inputs!$B$32,0)))*(1-IF(AND(ArtifactsInput!$M$27,Inputs!$B$4="Chapter Hunt"),CHOOSE(ArtifactsInput!$N$27+1,20,24,28,32,36,40),0)/100)))))/Skills!H4,1)))/Inputs!$B$43),G1838*Q1838))*IF(Inputs!$B$38="pvp",1,(1+(Inputs!$B$21+Skills!Q4+(IF(ArtifactsInput!$M$33,CHOOSE(ArtifactsInput!$N$33+1,30,36,42,48,54,60)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9">
      <c r="A1839">
        <f>Skills!A5</f>
        <v/>
      </c>
      <c r="B1839">
        <f>Skills!B5</f>
        <v/>
      </c>
      <c r="C1839">
        <f>Inputs!$B$3&gt;=45</f>
        <v/>
      </c>
      <c r="D1839">
        <f>IF(Skills!C5=1,60+Inputs!$B$25+Inputs!$B$29,IF(Skills!C5=2,90+Inputs!$B$26+Inputs!$B$29,IF(Skills!C5=3,120+Inputs!$B$27+Inputs!$B$29,MAX(0,(Inputs!$B$3-100)*3)+Inputs!$B$28+Inputs!$B$29)))</f>
        <v/>
      </c>
      <c r="E1839">
        <f>INDEX(FactorTable!$B$2:$Y$301, MATCH(ROUND(MIN(300,MAX(1,D1839)),0), FactorTable!$A$2:$A$301,0), Skills!M5+1)</f>
        <v/>
      </c>
      <c r="F1839">
        <f>IF(Skills!N5=TRUE,(Skills!L5/10)*(E1839/1000),Skills!L5/10)+Skills!O5</f>
        <v/>
      </c>
      <c r="G1839">
        <f>Skills!G5*IF(Skills!H5&gt;0,Skills!I5/Skills!H5,1)</f>
        <v/>
      </c>
      <c r="H1839">
        <f>1-(1-Skills!J5/100)^Skills!K5</f>
        <v/>
      </c>
      <c r="I1839" t="inlineStr">
        <is>
          <t>1</t>
        </is>
      </c>
      <c r="J1839">
        <f>((Inputs!$B$6*(1+Inputs!$B$7/100))+(((Inputs!$B$12*(1+Inputs!$B$13/100))-(Inputs!$B$12*(1+Inputs!$B$13/100)))+0.25*(Inputs!$B$14-Inputs!$B$14))*(1+Inputs!$B$7/100))*(F1839/100)</f>
        <v/>
      </c>
      <c r="K1839">
        <f>J1839*(1+((Inputs!$B$12*(1+Inputs!$B$13/100))*0.01+Inputs!$B$14*0.0025)/100)*(1+Inputs!$B$15/100)*(1+Inputs!$B$16/100)*(5000/(6000+Inputs!$B$42*(1-(100*(1-(1-(Inputs!$B$19+0)/100)*(1-CHOOSE(ArtifactsInput!$N$40+1,5,6,7,8,9,10)/100)^(ArtifactsInput!$M$40-ArtifactsInput!$M$40)))/100)))*(1+(Inputs!$B$24+((C1860=TRUE)*(F1860-Calc!F26))+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1850=TRUE,F1850,0)/100)*(1+(IF(Skills!A5="EIGHT_LEGS_EASTON",Inputs!$B$17+((C1857=TRUE)*(F1857-Calc!F23))+((C1861=TRUE)*(F1861-Calc!F27))+(((IF(AND(ArtifactsInput!$M$42,((Inputs!$B$9+((C1853=TRUE)*(F1853-Calc!F19))+B1864+(ArtifactsInput!$M$24-ArtifactsInput!$M$24)*CHOOSE(ArtifactsInput!$N$24+1,10,12,14,16,18,20)+IF(ArtifactsInput!$M$10,CHOOSE(ArtifactsInput!$N$10+1,15,18,21,24,27,30)*(IF(Inputs!$B$38="pvp",MIN(15,15)/15,IF(AND(Inputs!$B$38&lt;&gt;"pvp",Inputs!$B$43&gt;0),MIN(15,Inputs!$B$43)/(Inputs!$B$43),0))),0)))&gt;=100),MIN(100,((Inputs!$B$9+((C1853=TRUE)*(F1853-Calc!F19))+B1864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1853=TRUE)*(F1853-Calc!F19))+B1864+(ArtifactsInput!$M$24-ArtifactsInput!$M$24)*CHOOSE(ArtifactsInput!$N$24+1,10,12,14,16,18,20)+IF(ArtifactsInput!$M$10,CHOOSE(ArtifactsInput!$N$10+1,15,18,21,24,27,30)*(IF(Inputs!$B$38="pvp",MIN(15,15)/15,IF(AND(Inputs!$B$38&lt;&gt;"pvp",Inputs!$B$43&gt;0),MIN(15,Inputs!$B$43)/(Inputs!$B$43),0))),0)))&gt;=100),CHOOSE(ArtifactsInput!$N$42+1,40,48,56,64,72,80),0))))/100)*((1+(((C1851=TRUE)*F1851)+((C1858=TRUE)*(F1858-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1839)</f>
        <v/>
      </c>
      <c r="L1839">
        <f>K1839*(MIN(Inputs!$B$22+((C1856=TRUE)*(F1856-Calc!F22)),(Inputs!$B$23+0+(IF(ArtifactsInput!$M$15,CHOOSE(ArtifactsInput!$N$15+1,25,30,35,40,45,50)/100*(Inputs!$B$11-Inputs!$B$11),0))))/100+(Inputs!$B$23+0+(IF(ArtifactsInput!$M$15,CHOOSE(ArtifactsInput!$N$15+1,25,30,35,40,45,50)/100*(Inputs!$B$11-Inputs!$B$11),0)))/100)/2</f>
        <v/>
      </c>
      <c r="M1839">
        <f>L1839*(1+(Inputs!$B$10+((C1859=TRUE)*(F1859-Calc!F25))+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9">
        <f>L1839*(1-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1839*(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9">
        <f>(1-Summary!$B$11)*T1839+Summary!$B$11*V1839</f>
        <v/>
      </c>
      <c r="P1839">
        <f>IF(B1874=0,0,O1839/B1874)</f>
        <v/>
      </c>
      <c r="Q1839">
        <f>IFERROR(1/(IF(Inputs!$B$38="pvp",15,MAX(0.1,Skills!D5-IF(Skills!E5=TRUE,Inputs!$B$32,0)))*(1-IF(AND(ArtifactsInput!$M$27,Inputs!$B$4="Chapter Hunt"),CHOOSE(ArtifactsInput!$N$27+1,20,24,28,32,36,40),0)/100)),0)</f>
        <v/>
      </c>
      <c r="R1839">
        <f>IF(AND(Inputs!$B$38&lt;&gt;"pvp",Inputs!$B$43&gt;0),IF(MAX(0,Inputs!$B$43-B1871)&lt;=0,0,(INT(MAX(0,Inputs!$B$43-B1871)/(IF(Inputs!$B$38="pvp",15,MAX(0.1,Skills!D5-IF(Skills!E5=TRUE,Inputs!$B$32,0)))*(1-IF(AND(ArtifactsInput!$M$27,Inputs!$B$4="Chapter Hunt"),CHOOSE(ArtifactsInput!$N$27+1,20,24,28,32,36,40),0)/100)))+1)),0)</f>
        <v/>
      </c>
      <c r="S1839">
        <f>IFERROR(O1839/N1839,0)</f>
        <v/>
      </c>
      <c r="T1839">
        <f>IF(C1839,(H1839*N1839*IF(AND(Inputs!$B$38&lt;&gt;"pvp",Inputs!$B$43&gt;0),((Skills!G5*((R1839-1)*IF(Skills!H5&gt;0,Skills!I5/Skills!H5,1)+IF(Skills!H5&gt;0,MIN(Skills!I5,MAX(0,MAX(0,Inputs!$B$43-B1871)-((R1839-1)*(IF(Inputs!$B$38="pvp",15,MAX(0.1,Skills!D5-IF(Skills!E5=TRUE,Inputs!$B$32,0)))*(1-IF(AND(ArtifactsInput!$M$27,Inputs!$B$4="Chapter Hunt"),CHOOSE(ArtifactsInput!$N$27+1,20,24,28,32,36,40),0)/100)))))/Skills!H5,1)))/Inputs!$B$43),G1839*Q1839)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1839*(1-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1839*(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1839*(1-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1839*(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9">
        <f>IF(C1839,(H1839*N1839*IF(AND(Inputs!$B$38&lt;&gt;"pvp",Inputs!$B$43&gt;0),((Skills!G5*((R1839-1)*IF(Skills!H5&gt;0,Skills!I5/Skills!H5,1)+IF(Skills!H5&gt;0,MIN(Skills!I5,MAX(0,MAX(0,Inputs!$B$43-B1871)-((R1839-1)*(IF(Inputs!$B$38="pvp",15,MAX(0.1,Skills!D5-IF(Skills!E5=TRUE,Inputs!$B$32,0)))*(1-IF(AND(ArtifactsInput!$M$27,Inputs!$B$4="Chapter Hunt"),CHOOSE(ArtifactsInput!$N$27+1,20,24,28,32,36,40),0)/100)))))/Skills!H5,1)))/Inputs!$B$43),G1839*Q1839))*IF(Inputs!$B$38="pvp",1,(1+(Inputs!$B$21+Skills!Q5+(IF(ArtifactsInput!$M$33,CHOOSE(ArtifactsInput!$N$33+1,30,36,42,48,54,60)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0">
      <c r="A1840">
        <f>Skills!A6</f>
        <v/>
      </c>
      <c r="B1840">
        <f>Skills!B6</f>
        <v/>
      </c>
      <c r="C1840">
        <f>Inputs!$B$3&gt;=63</f>
        <v/>
      </c>
      <c r="D1840">
        <f>IF(Skills!C6=1,60+Inputs!$B$25+Inputs!$B$29,IF(Skills!C6=2,90+Inputs!$B$26+Inputs!$B$29,IF(Skills!C6=3,120+Inputs!$B$27+Inputs!$B$29,MAX(0,(Inputs!$B$3-100)*3)+Inputs!$B$28+Inputs!$B$29)))</f>
        <v/>
      </c>
      <c r="E1840">
        <f>INDEX(FactorTable!$B$2:$Y$301, MATCH(ROUND(MIN(300,MAX(1,D1840)),0), FactorTable!$A$2:$A$301,0), Skills!M6+1)</f>
        <v/>
      </c>
      <c r="F1840">
        <f>IF(Skills!N6=TRUE,(Skills!L6/10)*(E1840/1000),Skills!L6/10)+Skills!O6</f>
        <v/>
      </c>
      <c r="G1840">
        <f>Skills!G6*IF(Skills!H6&gt;0,Skills!I6/Skills!H6,1)</f>
        <v/>
      </c>
      <c r="H1840">
        <f>1-(1-Skills!J6/100)^Skills!K6</f>
        <v/>
      </c>
      <c r="I1840" t="inlineStr">
        <is>
          <t>1</t>
        </is>
      </c>
      <c r="J1840">
        <f>((Inputs!$B$6*(1+Inputs!$B$7/100))+(((Inputs!$B$12*(1+Inputs!$B$13/100))-(Inputs!$B$12*(1+Inputs!$B$13/100)))+0.25*(Inputs!$B$14-Inputs!$B$14))*(1+Inputs!$B$7/100))*(F1840/100)</f>
        <v/>
      </c>
      <c r="K1840">
        <f>J1840*(1+((Inputs!$B$12*(1+Inputs!$B$13/100))*0.01+Inputs!$B$14*0.0025)/100)*(1+Inputs!$B$15/100)*(1+Inputs!$B$16/100)*(5000/(6000+Inputs!$B$42*(1-(100*(1-(1-(Inputs!$B$19+0)/100)*(1-CHOOSE(ArtifactsInput!$N$40+1,5,6,7,8,9,10)/100)^(ArtifactsInput!$M$40-ArtifactsInput!$M$40)))/100)))*(1+(Inputs!$B$24+((C1860=TRUE)*(F1860-Calc!F26))+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1849=TRUE,F1849,0)/100)*(1+(IF(Skills!A6="EIGHT_LEGS_EASTON",Inputs!$B$17+((C1857=TRUE)*(F1857-Calc!F23))+((C1861=TRUE)*(F1861-Calc!F27))+(((IF(AND(ArtifactsInput!$M$42,((Inputs!$B$9+((C1853=TRUE)*(F1853-Calc!F19))+B1864+(ArtifactsInput!$M$24-ArtifactsInput!$M$24)*CHOOSE(ArtifactsInput!$N$24+1,10,12,14,16,18,20)+IF(ArtifactsInput!$M$10,CHOOSE(ArtifactsInput!$N$10+1,15,18,21,24,27,30)*(IF(Inputs!$B$38="pvp",MIN(15,15)/15,IF(AND(Inputs!$B$38&lt;&gt;"pvp",Inputs!$B$43&gt;0),MIN(15,Inputs!$B$43)/(Inputs!$B$43),0))),0)))&gt;=100),MIN(100,((Inputs!$B$9+((C1853=TRUE)*(F1853-Calc!F19))+B1864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1853=TRUE)*(F1853-Calc!F19))+B1864+(ArtifactsInput!$M$24-ArtifactsInput!$M$24)*CHOOSE(ArtifactsInput!$N$24+1,10,12,14,16,18,20)+IF(ArtifactsInput!$M$10,CHOOSE(ArtifactsInput!$N$10+1,15,18,21,24,27,30)*(IF(Inputs!$B$38="pvp",MIN(15,15)/15,IF(AND(Inputs!$B$38&lt;&gt;"pvp",Inputs!$B$43&gt;0),MIN(15,Inputs!$B$43)/(Inputs!$B$43),0))),0)))&gt;=100),CHOOSE(ArtifactsInput!$N$42+1,40,48,56,64,72,80),0))))/100)*((1+(((C1851=TRUE)*F1851)+((C1858=TRUE)*(F1858-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1840)</f>
        <v/>
      </c>
      <c r="L1840">
        <f>K1840*(MIN(Inputs!$B$22+((C1856=TRUE)*(F1856-Calc!F22)),(Inputs!$B$23+0+(IF(ArtifactsInput!$M$15,CHOOSE(ArtifactsInput!$N$15+1,25,30,35,40,45,50)/100*(Inputs!$B$11-Inputs!$B$11),0))))/100+(Inputs!$B$23+0+(IF(ArtifactsInput!$M$15,CHOOSE(ArtifactsInput!$N$15+1,25,30,35,40,45,50)/100*(Inputs!$B$11-Inputs!$B$11),0)))/100)/2</f>
        <v/>
      </c>
      <c r="M1840">
        <f>L1840*(1+(Inputs!$B$10+((C1859=TRUE)*(F1859-Calc!F25))+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0">
        <f>L1840*(1-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1840*(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0">
        <f>(1-Summary!$B$11)*T1840+Summary!$B$11*V1840</f>
        <v/>
      </c>
      <c r="P1840">
        <f>IF(B1874=0,0,O1840/B1874)</f>
        <v/>
      </c>
      <c r="Q1840">
        <f>IFERROR(1/(IF(Inputs!$B$38="pvp",15,MAX(0.1,Skills!D6-IF(Skills!E6=TRUE,Inputs!$B$32,0)))*(1-IF(AND(ArtifactsInput!$M$27,Inputs!$B$4="Chapter Hunt"),CHOOSE(ArtifactsInput!$N$27+1,20,24,28,32,36,40),0)/100)),0)</f>
        <v/>
      </c>
      <c r="R1840">
        <f>IF(AND(Inputs!$B$38&lt;&gt;"pvp",Inputs!$B$43&gt;0),IF(MAX(0,Inputs!$B$43-B1871)&lt;=0,0,(INT(MAX(0,Inputs!$B$43-B1871)/(IF(Inputs!$B$38="pvp",15,MAX(0.1,Skills!D6-IF(Skills!E6=TRUE,Inputs!$B$32,0)))*(1-IF(AND(ArtifactsInput!$M$27,Inputs!$B$4="Chapter Hunt"),CHOOSE(ArtifactsInput!$N$27+1,20,24,28,32,36,40),0)/100)))+1)),0)</f>
        <v/>
      </c>
      <c r="S1840">
        <f>IFERROR(O1840/N1840,0)</f>
        <v/>
      </c>
      <c r="T1840">
        <f>IF(C1840,(H1840*N1840*IF(AND(Inputs!$B$38&lt;&gt;"pvp",Inputs!$B$43&gt;0),((Skills!G6*((R1840-1)*IF(Skills!H6&gt;0,Skills!I6/Skills!H6,1)+IF(Skills!H6&gt;0,MIN(Skills!I6,MAX(0,MAX(0,Inputs!$B$43-B1871)-((R1840-1)*(IF(Inputs!$B$38="pvp",15,MAX(0.1,Skills!D6-IF(Skills!E6=TRUE,Inputs!$B$32,0)))*(1-IF(AND(ArtifactsInput!$M$27,Inputs!$B$4="Chapter Hunt"),CHOOSE(ArtifactsInput!$N$27+1,20,24,28,32,36,40),0)/100)))))/Skills!H6,1)))/Inputs!$B$43),G1840*Q1840)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1840*(1-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1840*(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1840*(1-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1840*(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0">
        <f>IF(C1840,(H1840*N1840*IF(AND(Inputs!$B$38&lt;&gt;"pvp",Inputs!$B$43&gt;0),((Skills!G6*((R1840-1)*IF(Skills!H6&gt;0,Skills!I6/Skills!H6,1)+IF(Skills!H6&gt;0,MIN(Skills!I6,MAX(0,MAX(0,Inputs!$B$43-B1871)-((R1840-1)*(IF(Inputs!$B$38="pvp",15,MAX(0.1,Skills!D6-IF(Skills!E6=TRUE,Inputs!$B$32,0)))*(1-IF(AND(ArtifactsInput!$M$27,Inputs!$B$4="Chapter Hunt"),CHOOSE(ArtifactsInput!$N$27+1,20,24,28,32,36,40),0)/100)))))/Skills!H6,1)))/Inputs!$B$43),G1840*Q1840))*IF(Inputs!$B$38="pvp",1,(1+(Inputs!$B$21+Skills!Q6+(IF(ArtifactsInput!$M$33,CHOOSE(ArtifactsInput!$N$33+1,30,36,42,48,54,60)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1">
      <c r="A1841">
        <f>Skills!A7</f>
        <v/>
      </c>
      <c r="B1841">
        <f>Skills!B7</f>
        <v/>
      </c>
      <c r="C1841">
        <f>Inputs!$B$3&gt;=66</f>
        <v/>
      </c>
      <c r="D1841">
        <f>IF(Skills!C7=1,60+Inputs!$B$25+Inputs!$B$29,IF(Skills!C7=2,90+Inputs!$B$26+Inputs!$B$29,IF(Skills!C7=3,120+Inputs!$B$27+Inputs!$B$29,MAX(0,(Inputs!$B$3-100)*3)+Inputs!$B$28+Inputs!$B$29)))</f>
        <v/>
      </c>
      <c r="E1841">
        <f>INDEX(FactorTable!$B$2:$Y$301, MATCH(ROUND(MIN(300,MAX(1,D1841)),0), FactorTable!$A$2:$A$301,0), Skills!M7+1)</f>
        <v/>
      </c>
      <c r="F1841">
        <f>IF(Skills!N7=TRUE,(Skills!L7/10)*(E1841/1000),Skills!L7/10)+Skills!O7</f>
        <v/>
      </c>
      <c r="G1841">
        <f>Skills!G7*IF(Skills!H7&gt;0,Skills!I7/Skills!H7,1)</f>
        <v/>
      </c>
      <c r="H1841">
        <f>1-(1-Skills!J7/100)^Skills!K7</f>
        <v/>
      </c>
      <c r="I1841" t="inlineStr">
        <is>
          <t>1</t>
        </is>
      </c>
      <c r="J1841">
        <f>((Inputs!$B$6*(1+Inputs!$B$7/100))+(((Inputs!$B$12*(1+Inputs!$B$13/100))-(Inputs!$B$12*(1+Inputs!$B$13/100)))+0.25*(Inputs!$B$14-Inputs!$B$14))*(1+Inputs!$B$7/100))*(F1841/100)</f>
        <v/>
      </c>
      <c r="K1841">
        <f>J1841*(1+((Inputs!$B$12*(1+Inputs!$B$13/100))*0.01+Inputs!$B$14*0.0025)/100)*(1+Inputs!$B$15/100)*(1+Inputs!$B$16/100)*(5000/(6000+Inputs!$B$42*(1-(100*(1-(1-(Inputs!$B$19+0)/100)*(1-CHOOSE(ArtifactsInput!$N$40+1,5,6,7,8,9,10)/100)^(ArtifactsInput!$M$40-ArtifactsInput!$M$40)))/100)))*(1+(Inputs!$B$24+((C1860=TRUE)*(F1860-Calc!F26))+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1849=TRUE,F1849,0)/100)*(1+(IF(Skills!A7="EIGHT_LEGS_EASTON",Inputs!$B$17+((C1857=TRUE)*(F1857-Calc!F23))+((C1861=TRUE)*(F1861-Calc!F27))+(((IF(AND(ArtifactsInput!$M$42,((Inputs!$B$9+((C1853=TRUE)*(F1853-Calc!F19))+B1864+(ArtifactsInput!$M$24-ArtifactsInput!$M$24)*CHOOSE(ArtifactsInput!$N$24+1,10,12,14,16,18,20)+IF(ArtifactsInput!$M$10,CHOOSE(ArtifactsInput!$N$10+1,15,18,21,24,27,30)*(IF(Inputs!$B$38="pvp",MIN(15,15)/15,IF(AND(Inputs!$B$38&lt;&gt;"pvp",Inputs!$B$43&gt;0),MIN(15,Inputs!$B$43)/(Inputs!$B$43),0))),0)))&gt;=100),MIN(100,((Inputs!$B$9+((C1853=TRUE)*(F1853-Calc!F19))+B1864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1853=TRUE)*(F1853-Calc!F19))+B1864+(ArtifactsInput!$M$24-ArtifactsInput!$M$24)*CHOOSE(ArtifactsInput!$N$24+1,10,12,14,16,18,20)+IF(ArtifactsInput!$M$10,CHOOSE(ArtifactsInput!$N$10+1,15,18,21,24,27,30)*(IF(Inputs!$B$38="pvp",MIN(15,15)/15,IF(AND(Inputs!$B$38&lt;&gt;"pvp",Inputs!$B$43&gt;0),MIN(15,Inputs!$B$43)/(Inputs!$B$43),0))),0)))&gt;=100),CHOOSE(ArtifactsInput!$N$42+1,40,48,56,64,72,80),0))))/100)*((1+(((C1851=TRUE)*F1851)+((C1858=TRUE)*(F1858-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1841)</f>
        <v/>
      </c>
      <c r="L1841">
        <f>K1841*(MIN(Inputs!$B$22+((C1856=TRUE)*(F1856-Calc!F22)),(Inputs!$B$23+0+(IF(ArtifactsInput!$M$15,CHOOSE(ArtifactsInput!$N$15+1,25,30,35,40,45,50)/100*(Inputs!$B$11-Inputs!$B$11),0))))/100+(Inputs!$B$23+0+(IF(ArtifactsInput!$M$15,CHOOSE(ArtifactsInput!$N$15+1,25,30,35,40,45,50)/100*(Inputs!$B$11-Inputs!$B$11),0)))/100)/2</f>
        <v/>
      </c>
      <c r="M1841">
        <f>L1841*(1+(Inputs!$B$10+((C1859=TRUE)*(F1859-Calc!F25))+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1">
        <f>L1841*(1-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1841*(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1">
        <f>(1-Summary!$B$11)*T1841+Summary!$B$11*V1841</f>
        <v/>
      </c>
      <c r="P1841">
        <f>IF(B1874=0,0,O1841/B1874)</f>
        <v/>
      </c>
      <c r="Q1841">
        <f>IFERROR(1/(IF(Inputs!$B$38="pvp",15,MAX(0.1,Skills!D7-IF(Skills!E7=TRUE,Inputs!$B$32,0)))*(1-IF(AND(ArtifactsInput!$M$27,Inputs!$B$4="Chapter Hunt"),CHOOSE(ArtifactsInput!$N$27+1,20,24,28,32,36,40),0)/100)),0)</f>
        <v/>
      </c>
      <c r="R1841">
        <f>IF(AND(Inputs!$B$38&lt;&gt;"pvp",Inputs!$B$43&gt;0),IF(MAX(0,Inputs!$B$43-B1871)&lt;=0,0,(INT(MAX(0,Inputs!$B$43-B1871)/(IF(Inputs!$B$38="pvp",15,MAX(0.1,Skills!D7-IF(Skills!E7=TRUE,Inputs!$B$32,0)))*(1-IF(AND(ArtifactsInput!$M$27,Inputs!$B$4="Chapter Hunt"),CHOOSE(ArtifactsInput!$N$27+1,20,24,28,32,36,40),0)/100)))+1)),0)</f>
        <v/>
      </c>
      <c r="S1841">
        <f>IFERROR(O1841/N1841,0)</f>
        <v/>
      </c>
      <c r="T1841">
        <f>IF(C1841,(H1841*N1841*IF(AND(Inputs!$B$38&lt;&gt;"pvp",Inputs!$B$43&gt;0),((Skills!G7*((R1841-1)*IF(Skills!H7&gt;0,Skills!I7/Skills!H7,1)+IF(Skills!H7&gt;0,MIN(Skills!I7,MAX(0,MAX(0,Inputs!$B$43-B1871)-((R1841-1)*(IF(Inputs!$B$38="pvp",15,MAX(0.1,Skills!D7-IF(Skills!E7=TRUE,Inputs!$B$32,0)))*(1-IF(AND(ArtifactsInput!$M$27,Inputs!$B$4="Chapter Hunt"),CHOOSE(ArtifactsInput!$N$27+1,20,24,28,32,36,40),0)/100)))))/Skills!H7,1)))/Inputs!$B$43),G1841*Q1841)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1841*(1-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1841*(1-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1">
        <f>IF(C1841,(H1841*N1841*IF(AND(Inputs!$B$38&lt;&gt;"pvp",Inputs!$B$43&gt;0),((Skills!G7*((R1841-1)*IF(Skills!H7&gt;0,Skills!I7/Skills!H7,1)+IF(Skills!H7&gt;0,MIN(Skills!I7,MAX(0,MAX(0,Inputs!$B$43-B1871)-((R1841-1)*(IF(Inputs!$B$38="pvp",15,MAX(0.1,Skills!D7-IF(Skills!E7=TRUE,Inputs!$B$32,0)))*(1-IF(AND(ArtifactsInput!$M$27,Inputs!$B$4="Chapter Hunt"),CHOOSE(ArtifactsInput!$N$27+1,20,24,28,32,36,40),0)/100)))))/Skills!H7,1)))/Inputs!$B$43),G1841*Q1841))*IF(Inputs!$B$38="pvp",1,(1+(Inputs!$B$21+Skills!Q7+(IF(ArtifactsInput!$M$33,CHOOSE(ArtifactsInput!$N$33+1,30,36,42,48,54,60)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2">
      <c r="A1842">
        <f>Skills!A8</f>
        <v/>
      </c>
      <c r="B1842">
        <f>Skills!B8</f>
        <v/>
      </c>
      <c r="C1842">
        <f>Inputs!$B$3&gt;=100</f>
        <v/>
      </c>
      <c r="D1842">
        <f>IF(Skills!C8=1,60+Inputs!$B$25+Inputs!$B$29,IF(Skills!C8=2,90+Inputs!$B$26+Inputs!$B$29,IF(Skills!C8=3,120+Inputs!$B$27+Inputs!$B$29,MAX(0,(Inputs!$B$3-100)*3)+Inputs!$B$28+Inputs!$B$29)))</f>
        <v/>
      </c>
      <c r="E1842">
        <f>INDEX(FactorTable!$B$2:$Y$301, MATCH(ROUND(MIN(300,MAX(1,D1842)),0), FactorTable!$A$2:$A$301,0), Skills!M8+1)</f>
        <v/>
      </c>
      <c r="F1842">
        <f>IF(Skills!N8=TRUE,(Skills!L8/10)*(E1842/1000),Skills!L8/10)+Skills!O8</f>
        <v/>
      </c>
      <c r="G1842">
        <f>Skills!G8*IF(Skills!H8&gt;0,Skills!I8/Skills!H8,1)</f>
        <v/>
      </c>
      <c r="H1842">
        <f>1-(1-Skills!J8/100)^Skills!K8</f>
        <v/>
      </c>
      <c r="I1842" t="inlineStr">
        <is>
          <t>1</t>
        </is>
      </c>
      <c r="J1842">
        <f>((Inputs!$B$6*(1+Inputs!$B$7/100))+(((Inputs!$B$12*(1+Inputs!$B$13/100))-(Inputs!$B$12*(1+Inputs!$B$13/100)))+0.25*(Inputs!$B$14-Inputs!$B$14))*(1+Inputs!$B$7/100))*(F1842/100)</f>
        <v/>
      </c>
      <c r="K1842">
        <f>J1842*(1+((Inputs!$B$12*(1+Inputs!$B$13/100))*0.01+Inputs!$B$14*0.0025)/100)*(1+Inputs!$B$15/100)*(1+Inputs!$B$16/100)*(5000/(6000+Inputs!$B$42*(1-(100*(1-(1-(Inputs!$B$19+0)/100)*(1-CHOOSE(ArtifactsInput!$N$40+1,5,6,7,8,9,10)/100)^(ArtifactsInput!$M$40-ArtifactsInput!$M$40)))/100)))*(1+(Inputs!$B$24+((C1860=TRUE)*(F1860-Calc!F26))+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1857=TRUE)*(F1857-Calc!F23))+((C1861=TRUE)*(F1861-Calc!F27))+(((IF(AND(ArtifactsInput!$M$42,((Inputs!$B$9+((C1853=TRUE)*(F1853-Calc!F19))+B1864+(ArtifactsInput!$M$24-ArtifactsInput!$M$24)*CHOOSE(ArtifactsInput!$N$24+1,10,12,14,16,18,20)+IF(ArtifactsInput!$M$10,CHOOSE(ArtifactsInput!$N$10+1,15,18,21,24,27,30)*(IF(Inputs!$B$38="pvp",MIN(15,15)/15,IF(AND(Inputs!$B$38&lt;&gt;"pvp",Inputs!$B$43&gt;0),MIN(15,Inputs!$B$43)/(Inputs!$B$43),0))),0)))&gt;=100),MIN(100,((Inputs!$B$9+((C1853=TRUE)*(F1853-Calc!F19))+B1864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1853=TRUE)*(F1853-Calc!F19))+B1864+(ArtifactsInput!$M$24-ArtifactsInput!$M$24)*CHOOSE(ArtifactsInput!$N$24+1,10,12,14,16,18,20)+IF(ArtifactsInput!$M$10,CHOOSE(ArtifactsInput!$N$10+1,15,18,21,24,27,30)*(IF(Inputs!$B$38="pvp",MIN(15,15)/15,IF(AND(Inputs!$B$38&lt;&gt;"pvp",Inputs!$B$43&gt;0),MIN(15,Inputs!$B$43)/(Inputs!$B$43),0))),0)))&gt;=100),CHOOSE(ArtifactsInput!$N$42+1,40,48,56,64,72,80),0))))/100)*((1+(((C1851=TRUE)*F1851)+((C1858=TRUE)*(F1858-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1842)</f>
        <v/>
      </c>
      <c r="L1842">
        <f>K1842*(MIN(Inputs!$B$22+((C1856=TRUE)*(F1856-Calc!F22)),(Inputs!$B$23+0+(IF(ArtifactsInput!$M$15,CHOOSE(ArtifactsInput!$N$15+1,25,30,35,40,45,50)/100*(Inputs!$B$11-Inputs!$B$11),0))))/100+(Inputs!$B$23+0+(IF(ArtifactsInput!$M$15,CHOOSE(ArtifactsInput!$N$15+1,25,30,35,40,45,50)/100*(Inputs!$B$11-Inputs!$B$11),0)))/100)/2</f>
        <v/>
      </c>
      <c r="M1842">
        <f>L1842*(1+(Inputs!$B$10+((C1859=TRUE)*(F1859-Calc!F25))+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2">
        <f>L1842*(1-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1842*(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2">
        <f>(1-Summary!$B$11)*T1842+Summary!$B$11*V1842</f>
        <v/>
      </c>
      <c r="P1842">
        <f>IF(B1874=0,0,O1842/B1874)</f>
        <v/>
      </c>
      <c r="Q1842">
        <f>IFERROR(1/(IF(Inputs!$B$38="pvp",15,MAX(0.1,Skills!D8-IF(Skills!E8=TRUE,Inputs!$B$32,0)))*(1-IF(AND(ArtifactsInput!$M$27,Inputs!$B$4="Chapter Hunt"),CHOOSE(ArtifactsInput!$N$27+1,20,24,28,32,36,40),0)/100)),0)</f>
        <v/>
      </c>
      <c r="R1842">
        <f>IF(AND(Inputs!$B$38&lt;&gt;"pvp",Inputs!$B$43&gt;0),IF(MAX(0,Inputs!$B$43-B1871)&lt;=0,0,(INT(MAX(0,Inputs!$B$43-B1871)/(IF(Inputs!$B$38="pvp",15,MAX(0.1,Skills!D8-IF(Skills!E8=TRUE,Inputs!$B$32,0)))*(1-IF(AND(ArtifactsInput!$M$27,Inputs!$B$4="Chapter Hunt"),CHOOSE(ArtifactsInput!$N$27+1,20,24,28,32,36,40),0)/100)))+1)),0)</f>
        <v/>
      </c>
      <c r="S1842">
        <f>IFERROR(O1842/N1842,0)</f>
        <v/>
      </c>
      <c r="T1842">
        <f>IF(C1842,(H1842*N1842*IF(AND(Inputs!$B$38&lt;&gt;"pvp",Inputs!$B$43&gt;0),((Skills!G8*((R1842-1)*IF(Skills!H8&gt;0,Skills!I8/Skills!H8,1)+IF(Skills!H8&gt;0,MIN(Skills!I8,MAX(0,MAX(0,Inputs!$B$43-B1871)-((R1842-1)*(IF(Inputs!$B$38="pvp",15,MAX(0.1,Skills!D8-IF(Skills!E8=TRUE,Inputs!$B$32,0)))*(1-IF(AND(ArtifactsInput!$M$27,Inputs!$B$4="Chapter Hunt"),CHOOSE(ArtifactsInput!$N$27+1,20,24,28,32,36,40),0)/100)))))/Skills!H8,1)))/Inputs!$B$43),G1842*Q1842)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1842*(1-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1842*(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1842*(1-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1842*(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2">
        <f>IF(C1842,(H1842*N1842*IF(AND(Inputs!$B$38&lt;&gt;"pvp",Inputs!$B$43&gt;0),((Skills!G8*((R1842-1)*IF(Skills!H8&gt;0,Skills!I8/Skills!H8,1)+IF(Skills!H8&gt;0,MIN(Skills!I8,MAX(0,MAX(0,Inputs!$B$43-B1871)-((R1842-1)*(IF(Inputs!$B$38="pvp",15,MAX(0.1,Skills!D8-IF(Skills!E8=TRUE,Inputs!$B$32,0)))*(1-IF(AND(ArtifactsInput!$M$27,Inputs!$B$4="Chapter Hunt"),CHOOSE(ArtifactsInput!$N$27+1,20,24,28,32,36,40),0)/100)))))/Skills!H8,1)))/Inputs!$B$43),G1842*Q1842))*IF(Inputs!$B$38="pvp",1,(1+(Inputs!$B$21+Skills!Q8+(IF(ArtifactsInput!$M$33,CHOOSE(ArtifactsInput!$N$33+1,30,36,42,48,54,60)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3">
      <c r="A1843">
        <f>Skills!A9</f>
        <v/>
      </c>
      <c r="B1843">
        <f>Skills!B9</f>
        <v/>
      </c>
      <c r="C1843">
        <f>Inputs!$B$3&gt;=103</f>
        <v/>
      </c>
      <c r="D1843">
        <f>IF(Skills!C9=1,60+Inputs!$B$25+Inputs!$B$29,IF(Skills!C9=2,90+Inputs!$B$26+Inputs!$B$29,IF(Skills!C9=3,120+Inputs!$B$27+Inputs!$B$29,MAX(0,(Inputs!$B$3-100)*3)+Inputs!$B$28+Inputs!$B$29)))</f>
        <v/>
      </c>
      <c r="E1843">
        <f>INDEX(FactorTable!$B$2:$Y$301, MATCH(ROUND(MIN(300,MAX(1,D1843)),0), FactorTable!$A$2:$A$301,0), Skills!M9+1)</f>
        <v/>
      </c>
      <c r="F1843">
        <f>IF(Skills!N9=TRUE,(Skills!L9/10)*(E1843/1000),Skills!L9/10)+Skills!O9</f>
        <v/>
      </c>
      <c r="G1843">
        <f>Skills!G9*IF(Skills!H9&gt;0,Skills!I9/Skills!H9,1)</f>
        <v/>
      </c>
      <c r="H1843">
        <f>1-(1-Skills!J9/100)^Skills!K9</f>
        <v/>
      </c>
      <c r="I1843" t="inlineStr">
        <is>
          <t>1</t>
        </is>
      </c>
      <c r="J1843">
        <f>((Inputs!$B$6*(1+Inputs!$B$7/100))+(((Inputs!$B$12*(1+Inputs!$B$13/100))-(Inputs!$B$12*(1+Inputs!$B$13/100)))+0.25*(Inputs!$B$14-Inputs!$B$14))*(1+Inputs!$B$7/100))*(F1843/100)</f>
        <v/>
      </c>
      <c r="K1843">
        <f>J1843*(1+((Inputs!$B$12*(1+Inputs!$B$13/100))*0.01+Inputs!$B$14*0.0025)/100)*(1+Inputs!$B$15/100)*(1+Inputs!$B$16/100)*(5000/(6000+Inputs!$B$42*(1-(100*(1-(1-(Inputs!$B$19+0)/100)*(1-CHOOSE(ArtifactsInput!$N$40+1,5,6,7,8,9,10)/100)^(ArtifactsInput!$M$40-ArtifactsInput!$M$40)))/100)))*(1+(Inputs!$B$24+((C1860=TRUE)*(F1860-Calc!F26))+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1857=TRUE)*(F1857-Calc!F23))+((C1861=TRUE)*(F1861-Calc!F27))+(((IF(AND(ArtifactsInput!$M$42,((Inputs!$B$9+((C1853=TRUE)*(F1853-Calc!F19))+B1864+(ArtifactsInput!$M$24-ArtifactsInput!$M$24)*CHOOSE(ArtifactsInput!$N$24+1,10,12,14,16,18,20)+IF(ArtifactsInput!$M$10,CHOOSE(ArtifactsInput!$N$10+1,15,18,21,24,27,30)*(IF(Inputs!$B$38="pvp",MIN(15,15)/15,IF(AND(Inputs!$B$38&lt;&gt;"pvp",Inputs!$B$43&gt;0),MIN(15,Inputs!$B$43)/(Inputs!$B$43),0))),0)))&gt;=100),MIN(100,((Inputs!$B$9+((C1853=TRUE)*(F1853-Calc!F19))+B1864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1853=TRUE)*(F1853-Calc!F19))+B1864+(ArtifactsInput!$M$24-ArtifactsInput!$M$24)*CHOOSE(ArtifactsInput!$N$24+1,10,12,14,16,18,20)+IF(ArtifactsInput!$M$10,CHOOSE(ArtifactsInput!$N$10+1,15,18,21,24,27,30)*(IF(Inputs!$B$38="pvp",MIN(15,15)/15,IF(AND(Inputs!$B$38&lt;&gt;"pvp",Inputs!$B$43&gt;0),MIN(15,Inputs!$B$43)/(Inputs!$B$43),0))),0)))&gt;=100),CHOOSE(ArtifactsInput!$N$42+1,40,48,56,64,72,80),0))))/100)*((1+(((C1851=TRUE)*F1851)+((C1858=TRUE)*(F1858-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1843)</f>
        <v/>
      </c>
      <c r="L1843">
        <f>K1843*(MIN(Inputs!$B$22+((C1856=TRUE)*(F1856-Calc!F22)),(Inputs!$B$23+0+(IF(ArtifactsInput!$M$15,CHOOSE(ArtifactsInput!$N$15+1,25,30,35,40,45,50)/100*(Inputs!$B$11-Inputs!$B$11),0))))/100+(Inputs!$B$23+0+(IF(ArtifactsInput!$M$15,CHOOSE(ArtifactsInput!$N$15+1,25,30,35,40,45,50)/100*(Inputs!$B$11-Inputs!$B$11),0)))/100)/2</f>
        <v/>
      </c>
      <c r="M1843">
        <f>L1843*(1+(Inputs!$B$10+((C1859=TRUE)*(F1859-Calc!F25))+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3">
        <f>L1843*(1-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1843*(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3">
        <f>(1-Summary!$B$11)*T1843+Summary!$B$11*V1843</f>
        <v/>
      </c>
      <c r="P1843">
        <f>IF(B1874=0,0,O1843/B1874)</f>
        <v/>
      </c>
      <c r="Q1843">
        <f>IFERROR(1/(IF(Inputs!$B$38="pvp",15,MAX(0.1,Skills!D9-IF(Skills!E9=TRUE,Inputs!$B$32,0)))*(1-IF(AND(ArtifactsInput!$M$27,Inputs!$B$4="Chapter Hunt"),CHOOSE(ArtifactsInput!$N$27+1,20,24,28,32,36,40),0)/100)),0)</f>
        <v/>
      </c>
      <c r="R1843">
        <f>IF(AND(Inputs!$B$38&lt;&gt;"pvp",Inputs!$B$43&gt;0),IF(MAX(0,Inputs!$B$43-B1871)&lt;=0,0,(INT(MAX(0,Inputs!$B$43-B1871)/(IF(Inputs!$B$38="pvp",15,MAX(0.1,Skills!D9-IF(Skills!E9=TRUE,Inputs!$B$32,0)))*(1-IF(AND(ArtifactsInput!$M$27,Inputs!$B$4="Chapter Hunt"),CHOOSE(ArtifactsInput!$N$27+1,20,24,28,32,36,40),0)/100)))+1)),0)</f>
        <v/>
      </c>
      <c r="S1843">
        <f>IFERROR(O1843/N1843,0)</f>
        <v/>
      </c>
      <c r="T1843">
        <f>IF(C1843,(H1843*N1843*IF(AND(Inputs!$B$38&lt;&gt;"pvp",Inputs!$B$43&gt;0),((Skills!G9*((R1843-1)*IF(Skills!H9&gt;0,Skills!I9/Skills!H9,1)+IF(Skills!H9&gt;0,MIN(Skills!I9,MAX(0,MAX(0,Inputs!$B$43-B1871)-((R1843-1)*(IF(Inputs!$B$38="pvp",15,MAX(0.1,Skills!D9-IF(Skills!E9=TRUE,Inputs!$B$32,0)))*(1-IF(AND(ArtifactsInput!$M$27,Inputs!$B$4="Chapter Hunt"),CHOOSE(ArtifactsInput!$N$27+1,20,24,28,32,36,40),0)/100)))))/Skills!H9,1)))/Inputs!$B$43),G1843*Q1843)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1843*(1-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1843*(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1843*(1-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1843*(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3">
        <f>IF(C1843,(H1843*N1843*IF(AND(Inputs!$B$38&lt;&gt;"pvp",Inputs!$B$43&gt;0),((Skills!G9*((R1843-1)*IF(Skills!H9&gt;0,Skills!I9/Skills!H9,1)+IF(Skills!H9&gt;0,MIN(Skills!I9,MAX(0,MAX(0,Inputs!$B$43-B1871)-((R1843-1)*(IF(Inputs!$B$38="pvp",15,MAX(0.1,Skills!D9-IF(Skills!E9=TRUE,Inputs!$B$32,0)))*(1-IF(AND(ArtifactsInput!$M$27,Inputs!$B$4="Chapter Hunt"),CHOOSE(ArtifactsInput!$N$27+1,20,24,28,32,36,40),0)/100)))))/Skills!H9,1)))/Inputs!$B$43),G1843*Q1843))*IF(Inputs!$B$38="pvp",1,(1+(Inputs!$B$21+Skills!Q9+(IF(ArtifactsInput!$M$33,CHOOSE(ArtifactsInput!$N$33+1,30,36,42,48,54,60)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4">
      <c r="A1844">
        <f>Skills!A10</f>
        <v/>
      </c>
      <c r="B1844">
        <f>Skills!B10</f>
        <v/>
      </c>
      <c r="C1844">
        <f>Inputs!$B$3&gt;=113</f>
        <v/>
      </c>
      <c r="D1844">
        <f>IF(Skills!C10=1,60+Inputs!$B$25+Inputs!$B$29,IF(Skills!C10=2,90+Inputs!$B$26+Inputs!$B$29,IF(Skills!C10=3,120+Inputs!$B$27+Inputs!$B$29,MAX(0,(Inputs!$B$3-100)*3)+Inputs!$B$28+Inputs!$B$29)))</f>
        <v/>
      </c>
      <c r="E1844">
        <f>INDEX(FactorTable!$B$2:$Y$301, MATCH(ROUND(MIN(300,MAX(1,D1844)),0), FactorTable!$A$2:$A$301,0), Skills!M10+1)</f>
        <v/>
      </c>
      <c r="F1844">
        <f>IF(Skills!N10=TRUE,(Skills!L10/10)*(E1844/1000),Skills!L10/10)+Skills!O10</f>
        <v/>
      </c>
      <c r="G1844">
        <f>Skills!G10*IF(Skills!H10&gt;0,Skills!I10/Skills!H10,1)</f>
        <v/>
      </c>
      <c r="H1844">
        <f>1-(1-Skills!J10/100)^Skills!K10</f>
        <v/>
      </c>
      <c r="I1844" t="inlineStr">
        <is>
          <t>1</t>
        </is>
      </c>
      <c r="J1844">
        <f>((Inputs!$B$6*(1+Inputs!$B$7/100))+(((Inputs!$B$12*(1+Inputs!$B$13/100))-(Inputs!$B$12*(1+Inputs!$B$13/100)))+0.25*(Inputs!$B$14-Inputs!$B$14))*(1+Inputs!$B$7/100))*(F1844/100)</f>
        <v/>
      </c>
      <c r="K1844">
        <f>J1844*(1+((Inputs!$B$12*(1+Inputs!$B$13/100))*0.01+Inputs!$B$14*0.0025)/100)*(1+Inputs!$B$15/100)*(1+Inputs!$B$16/100)*(5000/(6000+Inputs!$B$42*(1-(100*(1-(1-(Inputs!$B$19+0)/100)*(1-CHOOSE(ArtifactsInput!$N$40+1,5,6,7,8,9,10)/100)^(ArtifactsInput!$M$40-ArtifactsInput!$M$40)))/100)))*(1+(Inputs!$B$24+((C1860=TRUE)*(F1860-Calc!F26))+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1857=TRUE)*(F1857-Calc!F23))+((C1861=TRUE)*(F1861-Calc!F27))+(((IF(AND(ArtifactsInput!$M$42,((Inputs!$B$9+((C1853=TRUE)*(F1853-Calc!F19))+B1864+(ArtifactsInput!$M$24-ArtifactsInput!$M$24)*CHOOSE(ArtifactsInput!$N$24+1,10,12,14,16,18,20)+IF(ArtifactsInput!$M$10,CHOOSE(ArtifactsInput!$N$10+1,15,18,21,24,27,30)*(IF(Inputs!$B$38="pvp",MIN(15,15)/15,IF(AND(Inputs!$B$38&lt;&gt;"pvp",Inputs!$B$43&gt;0),MIN(15,Inputs!$B$43)/(Inputs!$B$43),0))),0)))&gt;=100),MIN(100,((Inputs!$B$9+((C1853=TRUE)*(F1853-Calc!F19))+B1864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1853=TRUE)*(F1853-Calc!F19))+B1864+(ArtifactsInput!$M$24-ArtifactsInput!$M$24)*CHOOSE(ArtifactsInput!$N$24+1,10,12,14,16,18,20)+IF(ArtifactsInput!$M$10,CHOOSE(ArtifactsInput!$N$10+1,15,18,21,24,27,30)*(IF(Inputs!$B$38="pvp",MIN(15,15)/15,IF(AND(Inputs!$B$38&lt;&gt;"pvp",Inputs!$B$43&gt;0),MIN(15,Inputs!$B$43)/(Inputs!$B$43),0))),0)))&gt;=100),CHOOSE(ArtifactsInput!$N$42+1,40,48,56,64,72,80),0))))/100)*((1+(((C1851=TRUE)*F1851)+((C1858=TRUE)*(F1858-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1844)</f>
        <v/>
      </c>
      <c r="L1844">
        <f>K1844*(MIN(Inputs!$B$22+((C1856=TRUE)*(F1856-Calc!F22)),(Inputs!$B$23+0+(IF(ArtifactsInput!$M$15,CHOOSE(ArtifactsInput!$N$15+1,25,30,35,40,45,50)/100*(Inputs!$B$11-Inputs!$B$11),0))))/100+(Inputs!$B$23+0+(IF(ArtifactsInput!$M$15,CHOOSE(ArtifactsInput!$N$15+1,25,30,35,40,45,50)/100*(Inputs!$B$11-Inputs!$B$11),0)))/100)/2</f>
        <v/>
      </c>
      <c r="M1844">
        <f>L1844*(1+(Inputs!$B$10+((C1859=TRUE)*(F1859-Calc!F25))+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4">
        <f>L1844*(1-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1844*(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4">
        <f>(1-Summary!$B$11)*T1844+Summary!$B$11*V1844</f>
        <v/>
      </c>
      <c r="P1844">
        <f>IF(B1874=0,0,O1844/B1874)</f>
        <v/>
      </c>
      <c r="Q1844">
        <f>IFERROR(1/(IF(Inputs!$B$38="pvp",15,MAX(0.1,Skills!D10-IF(Skills!E10=TRUE,Inputs!$B$32,0)))*(1-IF(AND(ArtifactsInput!$M$27,Inputs!$B$4="Chapter Hunt"),CHOOSE(ArtifactsInput!$N$27+1,20,24,28,32,36,40),0)/100)),0)</f>
        <v/>
      </c>
      <c r="R1844">
        <f>IF(AND(Inputs!$B$38&lt;&gt;"pvp",Inputs!$B$43&gt;0),IF(MAX(0,Inputs!$B$43-B1871)&lt;=0,0,(INT(MAX(0,Inputs!$B$43-B1871)/(IF(Inputs!$B$38="pvp",15,MAX(0.1,Skills!D10-IF(Skills!E10=TRUE,Inputs!$B$32,0)))*(1-IF(AND(ArtifactsInput!$M$27,Inputs!$B$4="Chapter Hunt"),CHOOSE(ArtifactsInput!$N$27+1,20,24,28,32,36,40),0)/100)))+1)),0)</f>
        <v/>
      </c>
      <c r="S1844">
        <f>IFERROR(O1844/N1844,0)</f>
        <v/>
      </c>
      <c r="T1844">
        <f>IF(C1844,(H1844*N1844*IF(AND(Inputs!$B$38&lt;&gt;"pvp",Inputs!$B$43&gt;0),((Skills!G10*((R1844-1)*IF(Skills!H10&gt;0,Skills!I10/Skills!H10,1)+IF(Skills!H10&gt;0,MIN(Skills!I10,MAX(0,MAX(0,Inputs!$B$43-B1871)-((R1844-1)*(IF(Inputs!$B$38="pvp",15,MAX(0.1,Skills!D10-IF(Skills!E10=TRUE,Inputs!$B$32,0)))*(1-IF(AND(ArtifactsInput!$M$27,Inputs!$B$4="Chapter Hunt"),CHOOSE(ArtifactsInput!$N$27+1,20,24,28,32,36,40),0)/100)))))/Skills!H10,1)))/Inputs!$B$43),G1844*Q1844)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1844*(1-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1844*(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1844*(1-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1844*(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4">
        <f>IF(C1844,(H1844*N1844*IF(AND(Inputs!$B$38&lt;&gt;"pvp",Inputs!$B$43&gt;0),((Skills!G10*((R1844-1)*IF(Skills!H10&gt;0,Skills!I10/Skills!H10,1)+IF(Skills!H10&gt;0,MIN(Skills!I10,MAX(0,MAX(0,Inputs!$B$43-B1871)-((R1844-1)*(IF(Inputs!$B$38="pvp",15,MAX(0.1,Skills!D10-IF(Skills!E10=TRUE,Inputs!$B$32,0)))*(1-IF(AND(ArtifactsInput!$M$27,Inputs!$B$4="Chapter Hunt"),CHOOSE(ArtifactsInput!$N$27+1,20,24,28,32,36,40),0)/100)))))/Skills!H10,1)))/Inputs!$B$43),G1844*Q1844))*IF(Inputs!$B$38="pvp",1,(1+(Inputs!$B$21+Skills!Q10+(IF(ArtifactsInput!$M$33,CHOOSE(ArtifactsInput!$N$33+1,30,36,42,48,54,60)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5">
      <c r="A1845">
        <f>Skills!A11</f>
        <v/>
      </c>
      <c r="B1845">
        <f>Skills!B11</f>
        <v/>
      </c>
      <c r="C1845">
        <f>Inputs!$B$3&gt;=107</f>
        <v/>
      </c>
      <c r="D1845">
        <f>IF(Skills!C11=1,60+Inputs!$B$25+Inputs!$B$29,IF(Skills!C11=2,90+Inputs!$B$26+Inputs!$B$29,IF(Skills!C11=3,120+Inputs!$B$27+Inputs!$B$29,MAX(0,(Inputs!$B$3-100)*3)+Inputs!$B$28+Inputs!$B$29)))</f>
        <v/>
      </c>
      <c r="E1845">
        <f>INDEX(FactorTable!$B$2:$Y$301, MATCH(ROUND(MIN(300,MAX(1,D1845)),0), FactorTable!$A$2:$A$301,0), Skills!M11+1)</f>
        <v/>
      </c>
      <c r="F1845">
        <f>IF(Skills!N11=TRUE,(Skills!L11/10)*(E1845/1000),Skills!L11/10)+Skills!O11</f>
        <v/>
      </c>
      <c r="G1845">
        <f>Skills!G11*IF(Skills!H11&gt;0,Skills!I11/Skills!H11,1)</f>
        <v/>
      </c>
      <c r="H1845">
        <f>1-(1-Skills!J11/100)^Skills!K11</f>
        <v/>
      </c>
      <c r="I1845" t="inlineStr">
        <is>
          <t>1</t>
        </is>
      </c>
      <c r="J1845">
        <f>((Inputs!$B$6*(1+Inputs!$B$7/100))+(((Inputs!$B$12*(1+Inputs!$B$13/100))-(Inputs!$B$12*(1+Inputs!$B$13/100)))+0.25*(Inputs!$B$14-Inputs!$B$14))*(1+Inputs!$B$7/100))*(F1845/100)</f>
        <v/>
      </c>
      <c r="K1845">
        <f>J1845*(1+((Inputs!$B$12*(1+Inputs!$B$13/100))*0.01+Inputs!$B$14*0.0025)/100)*(1+Inputs!$B$15/100)*(1+Inputs!$B$16/100)*(5000/(6000+Inputs!$B$42*(1-(100*(1-(1-(Inputs!$B$19+0)/100)*(1-CHOOSE(ArtifactsInput!$N$40+1,5,6,7,8,9,10)/100)^(ArtifactsInput!$M$40-ArtifactsInput!$M$40)))/100)))*(1+(Inputs!$B$24+((C1860=TRUE)*(F1860-Calc!F26))+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1857=TRUE)*(F1857-Calc!F23))+((C1861=TRUE)*(F1861-Calc!F27))+(((IF(AND(ArtifactsInput!$M$42,((Inputs!$B$9+((C1853=TRUE)*(F1853-Calc!F19))+B1864+(ArtifactsInput!$M$24-ArtifactsInput!$M$24)*CHOOSE(ArtifactsInput!$N$24+1,10,12,14,16,18,20)+IF(ArtifactsInput!$M$10,CHOOSE(ArtifactsInput!$N$10+1,15,18,21,24,27,30)*(IF(Inputs!$B$38="pvp",MIN(15,15)/15,IF(AND(Inputs!$B$38&lt;&gt;"pvp",Inputs!$B$43&gt;0),MIN(15,Inputs!$B$43)/(Inputs!$B$43),0))),0)))&gt;=100),MIN(100,((Inputs!$B$9+((C1853=TRUE)*(F1853-Calc!F19))+B1864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1853=TRUE)*(F1853-Calc!F19))+B1864+(ArtifactsInput!$M$24-ArtifactsInput!$M$24)*CHOOSE(ArtifactsInput!$N$24+1,10,12,14,16,18,20)+IF(ArtifactsInput!$M$10,CHOOSE(ArtifactsInput!$N$10+1,15,18,21,24,27,30)*(IF(Inputs!$B$38="pvp",MIN(15,15)/15,IF(AND(Inputs!$B$38&lt;&gt;"pvp",Inputs!$B$43&gt;0),MIN(15,Inputs!$B$43)/(Inputs!$B$43),0))),0)))&gt;=100),CHOOSE(ArtifactsInput!$N$42+1,40,48,56,64,72,80),0))))/100)*((1+(((C1851=TRUE)*F1851)+((C1858=TRUE)*(F1858-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1845)</f>
        <v/>
      </c>
      <c r="L1845">
        <f>K1845*(MIN(Inputs!$B$22+((C1856=TRUE)*(F1856-Calc!F22)),(Inputs!$B$23+0+(IF(ArtifactsInput!$M$15,CHOOSE(ArtifactsInput!$N$15+1,25,30,35,40,45,50)/100*(Inputs!$B$11-Inputs!$B$11),0))))/100+(Inputs!$B$23+0+(IF(ArtifactsInput!$M$15,CHOOSE(ArtifactsInput!$N$15+1,25,30,35,40,45,50)/100*(Inputs!$B$11-Inputs!$B$11),0)))/100)/2</f>
        <v/>
      </c>
      <c r="M1845">
        <f>L1845*(1+(Inputs!$B$10+((C1859=TRUE)*(F1859-Calc!F25))+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5">
        <f>L1845*(1-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1845*(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5">
        <f>(1-Summary!$B$11)*T1845+Summary!$B$11*V1845</f>
        <v/>
      </c>
      <c r="P1845">
        <f>IF(B1874=0,0,O1845/B1874)</f>
        <v/>
      </c>
      <c r="Q1845">
        <f>IFERROR(1/(IF(Inputs!$B$38="pvp",15,MAX(0.1,Skills!D11-IF(Skills!E11=TRUE,Inputs!$B$32,0)))*(1-IF(AND(ArtifactsInput!$M$27,Inputs!$B$4="Chapter Hunt"),CHOOSE(ArtifactsInput!$N$27+1,20,24,28,32,36,40),0)/100)),0)</f>
        <v/>
      </c>
      <c r="R1845">
        <f>IF(AND(Inputs!$B$38&lt;&gt;"pvp",Inputs!$B$43&gt;0),IF(MAX(0,Inputs!$B$43-B1871)&lt;=0,0,(INT(MAX(0,Inputs!$B$43-B1871)/(IF(Inputs!$B$38="pvp",15,MAX(0.1,Skills!D11-IF(Skills!E11=TRUE,Inputs!$B$32,0)))*(1-IF(AND(ArtifactsInput!$M$27,Inputs!$B$4="Chapter Hunt"),CHOOSE(ArtifactsInput!$N$27+1,20,24,28,32,36,40),0)/100)))+1)),0)</f>
        <v/>
      </c>
      <c r="S1845">
        <f>IFERROR(O1845/N1845,0)</f>
        <v/>
      </c>
      <c r="T1845">
        <f>IF(C1845,(H1845*N1845*IF(AND(Inputs!$B$38&lt;&gt;"pvp",Inputs!$B$43&gt;0),((Skills!G11*((R1845-1)*IF(Skills!H11&gt;0,Skills!I11/Skills!H11,1)+IF(Skills!H11&gt;0,MIN(Skills!I11,MAX(0,MAX(0,Inputs!$B$43-B1871)-((R1845-1)*(IF(Inputs!$B$38="pvp",15,MAX(0.1,Skills!D11-IF(Skills!E11=TRUE,Inputs!$B$32,0)))*(1-IF(AND(ArtifactsInput!$M$27,Inputs!$B$4="Chapter Hunt"),CHOOSE(ArtifactsInput!$N$27+1,20,24,28,32,36,40),0)/100)))))/Skills!H11,1)))/Inputs!$B$43),G1845*Q1845)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1845*(1-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1845*(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1845*(1-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1845*(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5">
        <f>IF(C1845,(H1845*N1845*IF(AND(Inputs!$B$38&lt;&gt;"pvp",Inputs!$B$43&gt;0),((Skills!G11*((R1845-1)*IF(Skills!H11&gt;0,Skills!I11/Skills!H11,1)+IF(Skills!H11&gt;0,MIN(Skills!I11,MAX(0,MAX(0,Inputs!$B$43-B1871)-((R1845-1)*(IF(Inputs!$B$38="pvp",15,MAX(0.1,Skills!D11-IF(Skills!E11=TRUE,Inputs!$B$32,0)))*(1-IF(AND(ArtifactsInput!$M$27,Inputs!$B$4="Chapter Hunt"),CHOOSE(ArtifactsInput!$N$27+1,20,24,28,32,36,40),0)/100)))))/Skills!H11,1)))/Inputs!$B$43),G1845*Q1845))*IF(Inputs!$B$38="pvp",1,(1+(Inputs!$B$21+Skills!Q11+(IF(ArtifactsInput!$M$33,CHOOSE(ArtifactsInput!$N$33+1,30,36,42,48,54,60)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6">
      <c r="A1846">
        <f>Skills!A12</f>
        <v/>
      </c>
      <c r="B1846">
        <f>Skills!B12</f>
        <v/>
      </c>
      <c r="C1846">
        <f>Inputs!$B$3&gt;=110</f>
        <v/>
      </c>
      <c r="D1846">
        <f>IF(Skills!C12=1,60+Inputs!$B$25+Inputs!$B$29,IF(Skills!C12=2,90+Inputs!$B$26+Inputs!$B$29,IF(Skills!C12=3,120+Inputs!$B$27+Inputs!$B$29,MAX(0,(Inputs!$B$3-100)*3)+Inputs!$B$28+Inputs!$B$29)))</f>
        <v/>
      </c>
      <c r="E1846">
        <f>INDEX(FactorTable!$B$2:$Y$301, MATCH(ROUND(MIN(300,MAX(1,D1846)),0), FactorTable!$A$2:$A$301,0), Skills!M12+1)</f>
        <v/>
      </c>
      <c r="F1846">
        <f>IF(Skills!N12=TRUE,(Skills!L12/10)*(E1846/1000),Skills!L12/10)+Skills!O12</f>
        <v/>
      </c>
      <c r="G1846">
        <f>Skills!G12*IF(Skills!H12&gt;0,Skills!I12/Skills!H12,1)</f>
        <v/>
      </c>
      <c r="H1846">
        <f>1-(1-Skills!J12/100)^Skills!K12</f>
        <v/>
      </c>
      <c r="I1846" t="inlineStr">
        <is>
          <t>1</t>
        </is>
      </c>
      <c r="J1846">
        <f>((Inputs!$B$6*(1+Inputs!$B$7/100))+(((Inputs!$B$12*(1+Inputs!$B$13/100))-(Inputs!$B$12*(1+Inputs!$B$13/100)))+0.25*(Inputs!$B$14-Inputs!$B$14))*(1+Inputs!$B$7/100))*(F1846/100)</f>
        <v/>
      </c>
      <c r="K1846">
        <f>J1846*(1+((Inputs!$B$12*(1+Inputs!$B$13/100))*0.01+Inputs!$B$14*0.0025)/100)*(1+Inputs!$B$15/100)*(1+Inputs!$B$16/100)*(5000/(6000+Inputs!$B$42*(1-(100*(1-(1-(Inputs!$B$19+0)/100)*(1-CHOOSE(ArtifactsInput!$N$40+1,5,6,7,8,9,10)/100)^(ArtifactsInput!$M$40-ArtifactsInput!$M$40)))/100)))*(1+(Inputs!$B$24+((C1860=TRUE)*(F1860-Calc!F26))+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1857=TRUE)*(F1857-Calc!F23))+((C1861=TRUE)*(F1861-Calc!F27))+(((IF(AND(ArtifactsInput!$M$42,((Inputs!$B$9+((C1853=TRUE)*(F1853-Calc!F19))+B1864+(ArtifactsInput!$M$24-ArtifactsInput!$M$24)*CHOOSE(ArtifactsInput!$N$24+1,10,12,14,16,18,20)+IF(ArtifactsInput!$M$10,CHOOSE(ArtifactsInput!$N$10+1,15,18,21,24,27,30)*(IF(Inputs!$B$38="pvp",MIN(15,15)/15,IF(AND(Inputs!$B$38&lt;&gt;"pvp",Inputs!$B$43&gt;0),MIN(15,Inputs!$B$43)/(Inputs!$B$43),0))),0)))&gt;=100),MIN(100,((Inputs!$B$9+((C1853=TRUE)*(F1853-Calc!F19))+B1864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1853=TRUE)*(F1853-Calc!F19))+B1864+(ArtifactsInput!$M$24-ArtifactsInput!$M$24)*CHOOSE(ArtifactsInput!$N$24+1,10,12,14,16,18,20)+IF(ArtifactsInput!$M$10,CHOOSE(ArtifactsInput!$N$10+1,15,18,21,24,27,30)*(IF(Inputs!$B$38="pvp",MIN(15,15)/15,IF(AND(Inputs!$B$38&lt;&gt;"pvp",Inputs!$B$43&gt;0),MIN(15,Inputs!$B$43)/(Inputs!$B$43),0))),0)))&gt;=100),CHOOSE(ArtifactsInput!$N$42+1,40,48,56,64,72,80),0))))/100)*((1+(((C1851=TRUE)*F1851)+((C1858=TRUE)*(F1858-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1846)</f>
        <v/>
      </c>
      <c r="L1846">
        <f>K1846*(MIN(Inputs!$B$22+((C1856=TRUE)*(F1856-Calc!F22)),(Inputs!$B$23+0+(IF(ArtifactsInput!$M$15,CHOOSE(ArtifactsInput!$N$15+1,25,30,35,40,45,50)/100*(Inputs!$B$11-Inputs!$B$11),0))))/100+(Inputs!$B$23+0+(IF(ArtifactsInput!$M$15,CHOOSE(ArtifactsInput!$N$15+1,25,30,35,40,45,50)/100*(Inputs!$B$11-Inputs!$B$11),0)))/100)/2</f>
        <v/>
      </c>
      <c r="M1846">
        <f>L1846*(1+(Inputs!$B$10+((C1859=TRUE)*(F1859-Calc!F25))+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6">
        <f>L1846*(1-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1846*(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6">
        <f>(1-Summary!$B$11)*T1846+Summary!$B$11*V1846</f>
        <v/>
      </c>
      <c r="P1846">
        <f>IF(B1874=0,0,O1846/B1874)</f>
        <v/>
      </c>
      <c r="Q1846">
        <f>IFERROR(1/(IF(Inputs!$B$38="pvp",15,MAX(0.1,Skills!D12-IF(Skills!E12=TRUE,Inputs!$B$32,0)))*(1-IF(AND(ArtifactsInput!$M$27,Inputs!$B$4="Chapter Hunt"),CHOOSE(ArtifactsInput!$N$27+1,20,24,28,32,36,40),0)/100)),0)</f>
        <v/>
      </c>
      <c r="R1846">
        <f>IF(AND(Inputs!$B$38&lt;&gt;"pvp",Inputs!$B$43&gt;0),IF(MAX(0,Inputs!$B$43-B1871)&lt;=0,0,(INT(MAX(0,Inputs!$B$43-B1871)/(IF(Inputs!$B$38="pvp",15,MAX(0.1,Skills!D12-IF(Skills!E12=TRUE,Inputs!$B$32,0)))*(1-IF(AND(ArtifactsInput!$M$27,Inputs!$B$4="Chapter Hunt"),CHOOSE(ArtifactsInput!$N$27+1,20,24,28,32,36,40),0)/100)))+1)),0)</f>
        <v/>
      </c>
      <c r="S1846">
        <f>IFERROR(O1846/N1846,0)</f>
        <v/>
      </c>
      <c r="T1846">
        <f>IF(C1846,(H1846*N1846*IF(AND(Inputs!$B$38&lt;&gt;"pvp",Inputs!$B$43&gt;0),((Skills!G12*((R1846-1)*IF(Skills!H12&gt;0,Skills!I12/Skills!H12,1)+IF(Skills!H12&gt;0,MIN(Skills!I12,MAX(0,MAX(0,Inputs!$B$43-B1871)-((R1846-1)*(IF(Inputs!$B$38="pvp",15,MAX(0.1,Skills!D12-IF(Skills!E12=TRUE,Inputs!$B$32,0)))*(1-IF(AND(ArtifactsInput!$M$27,Inputs!$B$4="Chapter Hunt"),CHOOSE(ArtifactsInput!$N$27+1,20,24,28,32,36,40),0)/100)))))/Skills!H12,1)))/Inputs!$B$43),G1846*Q1846)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1846*(1-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1846*(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1846*(1-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1846*(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6">
        <f>IF(C1846,(H1846*N1846*IF(AND(Inputs!$B$38&lt;&gt;"pvp",Inputs!$B$43&gt;0),((Skills!G12*((R1846-1)*IF(Skills!H12&gt;0,Skills!I12/Skills!H12,1)+IF(Skills!H12&gt;0,MIN(Skills!I12,MAX(0,MAX(0,Inputs!$B$43-B1871)-((R1846-1)*(IF(Inputs!$B$38="pvp",15,MAX(0.1,Skills!D12-IF(Skills!E12=TRUE,Inputs!$B$32,0)))*(1-IF(AND(ArtifactsInput!$M$27,Inputs!$B$4="Chapter Hunt"),CHOOSE(ArtifactsInput!$N$27+1,20,24,28,32,36,40),0)/100)))))/Skills!H12,1)))/Inputs!$B$43),G1846*Q1846))*IF(Inputs!$B$38="pvp",1,(1+(Inputs!$B$21+Skills!Q12+(IF(ArtifactsInput!$M$33,CHOOSE(ArtifactsInput!$N$33+1,30,36,42,48,54,60)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7">
      <c r="A1847">
        <f>Skills!A13</f>
        <v/>
      </c>
      <c r="B1847">
        <f>Skills!B13</f>
        <v/>
      </c>
      <c r="C1847">
        <f>Inputs!$B$3&gt;=110</f>
        <v/>
      </c>
      <c r="D1847">
        <f>IF(Skills!C13=1,60+Inputs!$B$25+Inputs!$B$29,IF(Skills!C13=2,90+Inputs!$B$26+Inputs!$B$29,IF(Skills!C13=3,120+Inputs!$B$27+Inputs!$B$29,MAX(0,(Inputs!$B$3-100)*3)+Inputs!$B$28+Inputs!$B$29)))</f>
        <v/>
      </c>
      <c r="E1847">
        <f>INDEX(FactorTable!$B$2:$Y$301, MATCH(ROUND(MIN(300,MAX(1,D1847)),0), FactorTable!$A$2:$A$301,0), Skills!M13+1)</f>
        <v/>
      </c>
      <c r="F1847">
        <f>IF(Skills!N13=TRUE,(Skills!L13/10)*(E1847/1000),Skills!L13/10)+Skills!O13</f>
        <v/>
      </c>
      <c r="G1847">
        <f>Skills!G13*IF(Skills!H13&gt;0,Skills!I13/Skills!H13,1)</f>
        <v/>
      </c>
      <c r="H1847">
        <f>1-(1-Skills!J13/100)^Skills!K13</f>
        <v/>
      </c>
      <c r="I1847" t="inlineStr">
        <is>
          <t>1</t>
        </is>
      </c>
      <c r="J1847">
        <f>((Inputs!$B$6*(1+Inputs!$B$7/100))+(((Inputs!$B$12*(1+Inputs!$B$13/100))-(Inputs!$B$12*(1+Inputs!$B$13/100)))+0.25*(Inputs!$B$14-Inputs!$B$14))*(1+Inputs!$B$7/100))*(F1847/100)</f>
        <v/>
      </c>
      <c r="K1847">
        <f>J1847*(1+((Inputs!$B$12*(1+Inputs!$B$13/100))*0.01+Inputs!$B$14*0.0025)/100)*(1+Inputs!$B$15/100)*(1+Inputs!$B$16/100)*(5000/(6000+Inputs!$B$42*(1-(100*(1-(1-(Inputs!$B$19+0)/100)*(1-CHOOSE(ArtifactsInput!$N$40+1,5,6,7,8,9,10)/100)^(ArtifactsInput!$M$40-ArtifactsInput!$M$40)))/100)))*(1+(Inputs!$B$24+((C1860=TRUE)*(F1860-Calc!F26))+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1857=TRUE)*(F1857-Calc!F23))+((C1861=TRUE)*(F1861-Calc!F27))+(((IF(AND(ArtifactsInput!$M$42,((Inputs!$B$9+((C1853=TRUE)*(F1853-Calc!F19))+B1864+(ArtifactsInput!$M$24-ArtifactsInput!$M$24)*CHOOSE(ArtifactsInput!$N$24+1,10,12,14,16,18,20)+IF(ArtifactsInput!$M$10,CHOOSE(ArtifactsInput!$N$10+1,15,18,21,24,27,30)*(IF(Inputs!$B$38="pvp",MIN(15,15)/15,IF(AND(Inputs!$B$38&lt;&gt;"pvp",Inputs!$B$43&gt;0),MIN(15,Inputs!$B$43)/(Inputs!$B$43),0))),0)))&gt;=100),MIN(100,((Inputs!$B$9+((C1853=TRUE)*(F1853-Calc!F19))+B1864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1853=TRUE)*(F1853-Calc!F19))+B1864+(ArtifactsInput!$M$24-ArtifactsInput!$M$24)*CHOOSE(ArtifactsInput!$N$24+1,10,12,14,16,18,20)+IF(ArtifactsInput!$M$10,CHOOSE(ArtifactsInput!$N$10+1,15,18,21,24,27,30)*(IF(Inputs!$B$38="pvp",MIN(15,15)/15,IF(AND(Inputs!$B$38&lt;&gt;"pvp",Inputs!$B$43&gt;0),MIN(15,Inputs!$B$43)/(Inputs!$B$43),0))),0)))&gt;=100),CHOOSE(ArtifactsInput!$N$42+1,40,48,56,64,72,80),0))))/100)*((1+(((C1851=TRUE)*F1851)+((C1858=TRUE)*(F1858-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1847)</f>
        <v/>
      </c>
      <c r="L1847">
        <f>K1847*(MIN(Inputs!$B$22+((C1856=TRUE)*(F1856-Calc!F22)),(Inputs!$B$23+0+(IF(ArtifactsInput!$M$15,CHOOSE(ArtifactsInput!$N$15+1,25,30,35,40,45,50)/100*(Inputs!$B$11-Inputs!$B$11),0))))/100+(Inputs!$B$23+0+(IF(ArtifactsInput!$M$15,CHOOSE(ArtifactsInput!$N$15+1,25,30,35,40,45,50)/100*(Inputs!$B$11-Inputs!$B$11),0)))/100)/2</f>
        <v/>
      </c>
      <c r="M1847">
        <f>L1847*(1+(Inputs!$B$10+((C1859=TRUE)*(F1859-Calc!F25))+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7">
        <f>L1847*(1-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1847*(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7">
        <f>(1-Summary!$B$11)*T1847+Summary!$B$11*V1847</f>
        <v/>
      </c>
      <c r="P1847">
        <f>IF(B1874=0,0,O1847/B1874)</f>
        <v/>
      </c>
      <c r="Q1847">
        <f>IFERROR(1/(IF(Inputs!$B$38="pvp",15,MAX(0.1,Skills!D13-IF(Skills!E13=TRUE,Inputs!$B$32,0)))*(1-IF(AND(ArtifactsInput!$M$27,Inputs!$B$4="Chapter Hunt"),CHOOSE(ArtifactsInput!$N$27+1,20,24,28,32,36,40),0)/100)),0)</f>
        <v/>
      </c>
      <c r="R1847">
        <f>IF(AND(Inputs!$B$38&lt;&gt;"pvp",Inputs!$B$43&gt;0),IF(MAX(0,Inputs!$B$43-B1871)&lt;=0,0,(INT(MAX(0,Inputs!$B$43-B1871)/(IF(Inputs!$B$38="pvp",15,MAX(0.1,Skills!D13-IF(Skills!E13=TRUE,Inputs!$B$32,0)))*(1-IF(AND(ArtifactsInput!$M$27,Inputs!$B$4="Chapter Hunt"),CHOOSE(ArtifactsInput!$N$27+1,20,24,28,32,36,40),0)/100)))+1)),0)</f>
        <v/>
      </c>
      <c r="S1847">
        <f>IFERROR(O1847/N1847,0)</f>
        <v/>
      </c>
      <c r="T1847">
        <f>IF(C1847,(H1847*N1847*IF(AND(Inputs!$B$38&lt;&gt;"pvp",Inputs!$B$43&gt;0),((Skills!G13*((R1847-1)*IF(Skills!H13&gt;0,Skills!I13/Skills!H13,1)+IF(Skills!H13&gt;0,MIN(Skills!I13,MAX(0,MAX(0,Inputs!$B$43-B1871)-((R1847-1)*(IF(Inputs!$B$38="pvp",15,MAX(0.1,Skills!D13-IF(Skills!E13=TRUE,Inputs!$B$32,0)))*(1-IF(AND(ArtifactsInput!$M$27,Inputs!$B$4="Chapter Hunt"),CHOOSE(ArtifactsInput!$N$27+1,20,24,28,32,36,40),0)/100)))))/Skills!H13,1)))/Inputs!$B$43),G1847*Q1847))*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1847*(1-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1847*(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1847*(1-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1847*(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7">
        <f>IF(C1847,(H1847*N1847*IF(AND(Inputs!$B$38&lt;&gt;"pvp",Inputs!$B$43&gt;0),((Skills!G13*((R1847-1)*IF(Skills!H13&gt;0,Skills!I13/Skills!H13,1)+IF(Skills!H13&gt;0,MIN(Skills!I13,MAX(0,MAX(0,Inputs!$B$43-B1871)-((R1847-1)*(IF(Inputs!$B$38="pvp",15,MAX(0.1,Skills!D13-IF(Skills!E13=TRUE,Inputs!$B$32,0)))*(1-IF(AND(ArtifactsInput!$M$27,Inputs!$B$4="Chapter Hunt"),CHOOSE(ArtifactsInput!$N$27+1,20,24,28,32,36,40),0)/100)))))/Skills!H13,1)))/Inputs!$B$43),G1847*Q1847))*IF(Inputs!$B$38="pvp",1,(1+(Inputs!$B$21+Skills!Q13+(IF(ArtifactsInput!$M$33,CHOOSE(ArtifactsInput!$N$33+1,30,36,42,48,54,60)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8">
      <c r="A1848">
        <f>Skills!A14</f>
        <v/>
      </c>
      <c r="B1848">
        <f>Skills!B14</f>
        <v/>
      </c>
      <c r="C1848">
        <f>Inputs!$B$3&gt;=125</f>
        <v/>
      </c>
      <c r="D1848">
        <f>IF(Skills!C14=1,60+Inputs!$B$25+Inputs!$B$29,IF(Skills!C14=2,90+Inputs!$B$26+Inputs!$B$29,IF(Skills!C14=3,120+Inputs!$B$27+Inputs!$B$29,MAX(0,(Inputs!$B$3-100)*3)+Inputs!$B$28+Inputs!$B$29)))</f>
        <v/>
      </c>
      <c r="E1848">
        <f>INDEX(FactorTable!$B$2:$Y$301, MATCH(ROUND(MIN(300,MAX(1,D1848)),0), FactorTable!$A$2:$A$301,0), Skills!M14+1)</f>
        <v/>
      </c>
      <c r="F1848">
        <f>IF(Skills!N14=TRUE,(Skills!L14/10)*(E1848/1000),Skills!L14/10)+Skills!O14</f>
        <v/>
      </c>
      <c r="G1848">
        <f>Skills!G14*IF(Skills!H14&gt;0,Skills!I14/Skills!H14,1)</f>
        <v/>
      </c>
      <c r="H1848">
        <f>1-(1-Skills!J14/100)^Skills!K14</f>
        <v/>
      </c>
      <c r="I1848" t="inlineStr">
        <is>
          <t>1</t>
        </is>
      </c>
      <c r="J1848">
        <f>((Inputs!$B$6*(1+Inputs!$B$7/100))+(((Inputs!$B$12*(1+Inputs!$B$13/100))-(Inputs!$B$12*(1+Inputs!$B$13/100)))+0.25*(Inputs!$B$14-Inputs!$B$14))*(1+Inputs!$B$7/100))*(F1848/100)</f>
        <v/>
      </c>
      <c r="K1848">
        <f>J1848*(1+((Inputs!$B$12*(1+Inputs!$B$13/100))*0.01+Inputs!$B$14*0.0025)/100)*(1+Inputs!$B$15/100)*(1+Inputs!$B$16/100)*(5000/(6000+Inputs!$B$42*(1-(100*(1-(1-(Inputs!$B$19+0)/100)*(1-CHOOSE(ArtifactsInput!$N$40+1,5,6,7,8,9,10)/100)^(ArtifactsInput!$M$40-ArtifactsInput!$M$40)))/100)))*(1+(Inputs!$B$24+((C1860=TRUE)*(F1860-Calc!F26))+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1857=TRUE)*(F1857-Calc!F23))+((C1861=TRUE)*(F1861-Calc!F27))+(((IF(AND(ArtifactsInput!$M$42,((Inputs!$B$9+((C1853=TRUE)*(F1853-Calc!F19))+B1864+(ArtifactsInput!$M$24-ArtifactsInput!$M$24)*CHOOSE(ArtifactsInput!$N$24+1,10,12,14,16,18,20)+IF(ArtifactsInput!$M$10,CHOOSE(ArtifactsInput!$N$10+1,15,18,21,24,27,30)*(IF(Inputs!$B$38="pvp",MIN(15,15)/15,IF(AND(Inputs!$B$38&lt;&gt;"pvp",Inputs!$B$43&gt;0),MIN(15,Inputs!$B$43)/(Inputs!$B$43),0))),0)))&gt;=100),MIN(100,((Inputs!$B$9+((C1853=TRUE)*(F1853-Calc!F19))+B1864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1853=TRUE)*(F1853-Calc!F19))+B1864+(ArtifactsInput!$M$24-ArtifactsInput!$M$24)*CHOOSE(ArtifactsInput!$N$24+1,10,12,14,16,18,20)+IF(ArtifactsInput!$M$10,CHOOSE(ArtifactsInput!$N$10+1,15,18,21,24,27,30)*(IF(Inputs!$B$38="pvp",MIN(15,15)/15,IF(AND(Inputs!$B$38&lt;&gt;"pvp",Inputs!$B$43&gt;0),MIN(15,Inputs!$B$43)/(Inputs!$B$43),0))),0)))&gt;=100),CHOOSE(ArtifactsInput!$N$42+1,40,48,56,64,72,80),0))))/100)*((1+(((C1851=TRUE)*F1851)+((C1858=TRUE)*(F1858-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1848)</f>
        <v/>
      </c>
      <c r="L1848">
        <f>K1848*(MIN(Inputs!$B$22+((C1856=TRUE)*(F1856-Calc!F22)),(Inputs!$B$23+0+(IF(ArtifactsInput!$M$15,CHOOSE(ArtifactsInput!$N$15+1,25,30,35,40,45,50)/100*(Inputs!$B$11-Inputs!$B$11),0))))/100+(Inputs!$B$23+0+(IF(ArtifactsInput!$M$15,CHOOSE(ArtifactsInput!$N$15+1,25,30,35,40,45,50)/100*(Inputs!$B$11-Inputs!$B$11),0)))/100)/2</f>
        <v/>
      </c>
      <c r="M1848">
        <f>L1848*(1+(Inputs!$B$10+((C1859=TRUE)*(F1859-Calc!F25))+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8">
        <f>L1848*(1-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1848*(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8">
        <f>(1-Summary!$B$11)*T1848+Summary!$B$11*V1848</f>
        <v/>
      </c>
      <c r="P1848">
        <f>IF(B1874=0,0,O1848/B1874)</f>
        <v/>
      </c>
      <c r="Q1848" t="n">
        <v>0</v>
      </c>
      <c r="R1848" t="n">
        <v>0</v>
      </c>
      <c r="S1848">
        <f>IFERROR(O1848/N1848,0)</f>
        <v/>
      </c>
      <c r="T1848">
        <f>IF(C1848,(H1848*N1848*(B1868+IF(AND(Inputs!$B$38&lt;&gt;"pvp",Inputs!$B$43&gt;0),((Skills!G8*((R1842-1)*IF(Skills!H8&gt;0,Skills!I8/Skills!H8,1)+IF(Skills!H8&gt;0,MIN(Skills!I8,MAX(0,MAX(0,Inputs!$B$43-B1871)-((R1842-1)*(IF(Inputs!$B$38="pvp",15,MAX(0.1,Skills!D8-IF(Skills!E8=TRUE,Inputs!$B$32,0)))*(1-IF(AND(ArtifactsInput!$M$27,Inputs!$B$4="Chapter Hunt"),CHOOSE(ArtifactsInput!$N$27+1,20,24,28,32,36,40),0)/100)))))/Skills!H8,1)))/Inputs!$B$43),G1842*Q1842)+IF(AND(Inputs!$B$38&lt;&gt;"pvp",Inputs!$B$43&gt;0),((Skills!G11*((R1845-1)*IF(Skills!H11&gt;0,Skills!I11/Skills!H11,1)+IF(Skills!H11&gt;0,MIN(Skills!I11,MAX(0,MAX(0,Inputs!$B$43-B1871)-((R1845-1)*(IF(Inputs!$B$38="pvp",15,MAX(0.1,Skills!D11-IF(Skills!E11=TRUE,Inputs!$B$32,0)))*(1-IF(AND(ArtifactsInput!$M$27,Inputs!$B$4="Chapter Hunt"),CHOOSE(ArtifactsInput!$N$27+1,20,24,28,32,36,40),0)/100)))))/Skills!H11,1)))/Inputs!$B$43),G1845*Q1845)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1848*(1-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1848*(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1848*(1-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1848*(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8">
        <f>IF(C1848,(H1848*N1848*(B1868+IF(AND(Inputs!$B$38&lt;&gt;"pvp",Inputs!$B$43&gt;0),((Skills!G8*((R1842-1)*IF(Skills!H8&gt;0,Skills!I8/Skills!H8,1)+IF(Skills!H8&gt;0,MIN(Skills!I8,MAX(0,MAX(0,Inputs!$B$43-B1871)-((R1842-1)*(IF(Inputs!$B$38="pvp",15,MAX(0.1,Skills!D8-IF(Skills!E8=TRUE,Inputs!$B$32,0)))*(1-IF(AND(ArtifactsInput!$M$27,Inputs!$B$4="Chapter Hunt"),CHOOSE(ArtifactsInput!$N$27+1,20,24,28,32,36,40),0)/100)))))/Skills!H8,1)))/Inputs!$B$43),G1842*Q1842)+IF(AND(Inputs!$B$38&lt;&gt;"pvp",Inputs!$B$43&gt;0),((Skills!G11*((R1845-1)*IF(Skills!H11&gt;0,Skills!I11/Skills!H11,1)+IF(Skills!H11&gt;0,MIN(Skills!I11,MAX(0,MAX(0,Inputs!$B$43-B1871)-((R1845-1)*(IF(Inputs!$B$38="pvp",15,MAX(0.1,Skills!D11-IF(Skills!E11=TRUE,Inputs!$B$32,0)))*(1-IF(AND(ArtifactsInput!$M$27,Inputs!$B$4="Chapter Hunt"),CHOOSE(ArtifactsInput!$N$27+1,20,24,28,32,36,40),0)/100)))))/Skills!H11,1)))/Inputs!$B$43),G1845*Q1845)))*IF(Inputs!$B$38="pvp",1,(1+(Inputs!$B$21+Skills!Q14+(IF(ArtifactsInput!$M$33,CHOOSE(ArtifactsInput!$N$33+1,30,36,42,48,54,60)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9">
      <c r="A1849">
        <f>Skills!A15</f>
        <v/>
      </c>
      <c r="B1849">
        <f>Skills!B15</f>
        <v/>
      </c>
      <c r="C1849">
        <f>Inputs!$B$3&gt;=100</f>
        <v/>
      </c>
      <c r="D1849">
        <f>IF(Skills!C15=1,60+Inputs!$B$25+Inputs!$B$29,IF(Skills!C15=2,90+Inputs!$B$26+Inputs!$B$29,IF(Skills!C15=3,120+Inputs!$B$27+Inputs!$B$29,MAX(0,(Inputs!$B$3-100)*3)+Inputs!$B$28+Inputs!$B$29)))</f>
        <v/>
      </c>
      <c r="E1849">
        <f>INDEX(FactorTable!$B$2:$Y$301, MATCH(ROUND(MIN(300,MAX(1,D1849)),0), FactorTable!$A$2:$A$301,0), Skills!M15+1)</f>
        <v/>
      </c>
      <c r="F1849">
        <f>IF(Skills!N15=TRUE,(Skills!L15/10)*(E1849/1000),Skills!L15/10)+Skills!O15</f>
        <v/>
      </c>
      <c r="G1849" t="inlineStr"/>
      <c r="H1849" t="inlineStr"/>
      <c r="I1849" t="inlineStr">
        <is>
          <t>1</t>
        </is>
      </c>
      <c r="J1849" t="inlineStr"/>
      <c r="K1849" t="inlineStr"/>
      <c r="L1849" t="inlineStr"/>
      <c r="M1849" t="inlineStr"/>
      <c r="N1849" t="inlineStr"/>
      <c r="O1849" t="inlineStr"/>
      <c r="P1849" t="inlineStr"/>
      <c r="Q1849" t="inlineStr"/>
      <c r="R1849" t="inlineStr"/>
      <c r="S1849" t="inlineStr"/>
    </row>
    <row r="1850">
      <c r="A1850">
        <f>Skills!A16</f>
        <v/>
      </c>
      <c r="B1850">
        <f>Skills!B16</f>
        <v/>
      </c>
      <c r="C1850">
        <f>Inputs!$B$3&gt;=120</f>
        <v/>
      </c>
      <c r="D1850">
        <f>IF(Skills!C16=1,60+Inputs!$B$25+Inputs!$B$29,IF(Skills!C16=2,90+Inputs!$B$26+Inputs!$B$29,IF(Skills!C16=3,120+Inputs!$B$27+Inputs!$B$29,MAX(0,(Inputs!$B$3-100)*3)+Inputs!$B$28+Inputs!$B$29)))</f>
        <v/>
      </c>
      <c r="E1850">
        <f>INDEX(FactorTable!$B$2:$Y$301, MATCH(ROUND(MIN(300,MAX(1,D1850)),0), FactorTable!$A$2:$A$301,0), Skills!M16+1)</f>
        <v/>
      </c>
      <c r="F1850">
        <f>IF(Skills!N16=TRUE,(Skills!L16/10)*(E1850/1000),Skills!L16/10)+Skills!O16</f>
        <v/>
      </c>
      <c r="G1850" t="inlineStr"/>
      <c r="H1850" t="inlineStr"/>
      <c r="I1850" t="inlineStr">
        <is>
          <t>1</t>
        </is>
      </c>
      <c r="J1850" t="inlineStr"/>
      <c r="K1850" t="inlineStr"/>
      <c r="L1850" t="inlineStr"/>
      <c r="M1850" t="inlineStr"/>
      <c r="N1850" t="inlineStr"/>
      <c r="O1850" t="inlineStr"/>
      <c r="P1850" t="inlineStr"/>
      <c r="Q1850" t="inlineStr"/>
      <c r="R1850" t="inlineStr"/>
      <c r="S1850" t="inlineStr"/>
    </row>
    <row r="1851">
      <c r="A1851">
        <f>Skills!A17</f>
        <v/>
      </c>
      <c r="B1851">
        <f>Skills!B17</f>
        <v/>
      </c>
      <c r="C1851">
        <f>Inputs!$B$3&gt;=66</f>
        <v/>
      </c>
      <c r="D1851">
        <f>IF(Skills!C17=1,60+Inputs!$B$25+Inputs!$B$29,IF(Skills!C17=2,90+Inputs!$B$26+Inputs!$B$29,IF(Skills!C17=3,120+Inputs!$B$27+Inputs!$B$29,MAX(0,(Inputs!$B$3-100)*3)+Inputs!$B$28+Inputs!$B$29)))</f>
        <v/>
      </c>
      <c r="E1851">
        <f>INDEX(FactorTable!$B$2:$Y$301, MATCH(ROUND(MIN(300,MAX(1,D1851)),0), FactorTable!$A$2:$A$301,0), Skills!M17+1)</f>
        <v/>
      </c>
      <c r="F1851">
        <f>IF(Skills!N17=TRUE,(Skills!L17/10)*(E1851/1000),Skills!L17/10)+Skills!O17</f>
        <v/>
      </c>
      <c r="G1851">
        <f>Skills!G17*IF(Skills!H17&gt;0,Skills!I17/Skills!H17,1)</f>
        <v/>
      </c>
      <c r="H1851">
        <f>1-(1-Skills!J17/100)^Skills!K17</f>
        <v/>
      </c>
      <c r="I1851" t="inlineStr">
        <is>
          <t>1</t>
        </is>
      </c>
      <c r="J1851" t="inlineStr"/>
      <c r="K1851" t="inlineStr"/>
      <c r="L1851" t="inlineStr"/>
      <c r="M1851" t="inlineStr"/>
      <c r="N1851" t="inlineStr"/>
      <c r="O1851">
        <f>(1-Summary!$B$11)*T1851+Summary!$B$11*V1851</f>
        <v/>
      </c>
      <c r="P1851">
        <f>IF(B1874=0,0,O1851/B1874)</f>
        <v/>
      </c>
      <c r="Q1851" t="n">
        <v>0</v>
      </c>
      <c r="R1851" t="n">
        <v>0</v>
      </c>
      <c r="S1851">
        <f>IFERROR(O1851/N1851,0)</f>
        <v/>
      </c>
      <c r="T1851" t="n">
        <v>0</v>
      </c>
      <c r="V1851" t="n">
        <v>0</v>
      </c>
    </row>
    <row r="1852">
      <c r="A1852">
        <f>Skills!A18</f>
        <v/>
      </c>
      <c r="B1852">
        <f>Skills!B18</f>
        <v/>
      </c>
      <c r="C1852">
        <f>Inputs!$B$3&gt;=115</f>
        <v/>
      </c>
      <c r="D1852">
        <f>IF(Skills!C18=1,60+Inputs!$B$25+Inputs!$B$29,IF(Skills!C18=2,90+Inputs!$B$26+Inputs!$B$29,IF(Skills!C18=3,120+Inputs!$B$27+Inputs!$B$29,MAX(0,(Inputs!$B$3-100)*3)+Inputs!$B$28+Inputs!$B$29)))</f>
        <v/>
      </c>
      <c r="E1852">
        <f>INDEX(FactorTable!$B$2:$Y$301, MATCH(ROUND(MIN(300,MAX(1,D1852)),0), FactorTable!$A$2:$A$301,0), Skills!M18+1)</f>
        <v/>
      </c>
      <c r="F1852">
        <f>IF(Skills!N18=TRUE,(Skills!L18/10)*(E1852/1000),Skills!L18/10)+Skills!O18</f>
        <v/>
      </c>
      <c r="G1852">
        <f>Skills!G18*IF(Skills!H18&gt;0,Skills!I18/Skills!H18,1)</f>
        <v/>
      </c>
      <c r="H1852">
        <f>1-(1-Skills!J18/100)^Skills!K18</f>
        <v/>
      </c>
      <c r="I1852" t="inlineStr">
        <is>
          <t>1</t>
        </is>
      </c>
      <c r="J1852" t="inlineStr"/>
      <c r="K1852" t="inlineStr"/>
      <c r="L1852" t="inlineStr"/>
      <c r="M1852" t="inlineStr"/>
      <c r="N1852" t="inlineStr"/>
      <c r="O1852">
        <f>(1-Summary!$B$11)*T1852+Summary!$B$11*V1852</f>
        <v/>
      </c>
      <c r="P1852">
        <f>IF(B1874=0,0,O1852/B1874)</f>
        <v/>
      </c>
      <c r="Q1852" t="n">
        <v>0</v>
      </c>
      <c r="R1852" t="n">
        <v>0</v>
      </c>
      <c r="S1852">
        <f>IFERROR(O1852/N1852,0)</f>
        <v/>
      </c>
      <c r="T1852" t="n">
        <v>0</v>
      </c>
      <c r="V1852" t="n">
        <v>0</v>
      </c>
    </row>
    <row r="1853">
      <c r="A1853">
        <f>Skills!A19</f>
        <v/>
      </c>
      <c r="B1853">
        <f>Skills!B19</f>
        <v/>
      </c>
      <c r="C1853">
        <f>Inputs!$B$3&gt;=15</f>
        <v/>
      </c>
      <c r="D1853">
        <f>IF(Skills!C19=1,60+Inputs!$B$25+Inputs!$B$29,IF(Skills!C19=2,90+Inputs!$B$26+Inputs!$B$29,IF(Skills!C19=3,120+Inputs!$B$27+Inputs!$B$29,MAX(0,(Inputs!$B$3-100)*3)+Inputs!$B$28+Inputs!$B$29)))</f>
        <v/>
      </c>
      <c r="E1853">
        <f>INDEX(FactorTable!$B$2:$Y$301, MATCH(ROUND(MIN(300,MAX(1,D1853)),0), FactorTable!$A$2:$A$301,0), Skills!M19+1)</f>
        <v/>
      </c>
      <c r="F1853">
        <f>IF(Skills!N19=TRUE,(Skills!L19/10)*(E1853/1000),Skills!L19/10)+Skills!O19</f>
        <v/>
      </c>
      <c r="G1853">
        <f>Skills!G19*IF(Skills!H19&gt;0,Skills!I19/Skills!H19,1)</f>
        <v/>
      </c>
      <c r="H1853">
        <f>1-(1-Skills!J19/100)^Skills!K19</f>
        <v/>
      </c>
      <c r="I1853" t="inlineStr">
        <is>
          <t>1</t>
        </is>
      </c>
      <c r="J1853" t="inlineStr"/>
      <c r="K1853" t="inlineStr"/>
      <c r="L1853" t="inlineStr"/>
      <c r="M1853" t="inlineStr"/>
      <c r="N1853" t="inlineStr"/>
      <c r="O1853">
        <f>(1-Summary!$B$11)*T1853+Summary!$B$11*V1853</f>
        <v/>
      </c>
      <c r="P1853">
        <f>IF(B1874=0,0,O1853/B1874)</f>
        <v/>
      </c>
      <c r="Q1853" t="n">
        <v>0</v>
      </c>
      <c r="R1853" t="n">
        <v>0</v>
      </c>
      <c r="S1853">
        <f>IFERROR(O1853/N1853,0)</f>
        <v/>
      </c>
      <c r="T1853" t="n">
        <v>0</v>
      </c>
      <c r="V1853" t="n">
        <v>0</v>
      </c>
    </row>
    <row r="1854">
      <c r="A1854">
        <f>Skills!A20</f>
        <v/>
      </c>
      <c r="B1854">
        <f>Skills!B20</f>
        <v/>
      </c>
      <c r="C1854">
        <f>Inputs!$B$3&gt;=10</f>
        <v/>
      </c>
      <c r="D1854">
        <f>IF(Skills!C20=1,60+Inputs!$B$25+Inputs!$B$29,IF(Skills!C20=2,90+Inputs!$B$26+Inputs!$B$29,IF(Skills!C20=3,120+Inputs!$B$27+Inputs!$B$29,MAX(0,(Inputs!$B$3-100)*3)+Inputs!$B$28+Inputs!$B$29)))</f>
        <v/>
      </c>
      <c r="E1854">
        <f>INDEX(FactorTable!$B$2:$Y$301, MATCH(ROUND(MIN(300,MAX(1,D1854)),0), FactorTable!$A$2:$A$301,0), Skills!M20+1)</f>
        <v/>
      </c>
      <c r="F1854">
        <f>IF(Skills!N20=TRUE,(Skills!L20/10)*(E1854/1000),Skills!L20/10)+Skills!O20</f>
        <v/>
      </c>
      <c r="G1854">
        <f>Skills!G20*IF(Skills!H20&gt;0,Skills!I20/Skills!H20,1)</f>
        <v/>
      </c>
      <c r="H1854">
        <f>1-(1-Skills!J20/100)^Skills!K20</f>
        <v/>
      </c>
      <c r="I1854" t="inlineStr">
        <is>
          <t>1</t>
        </is>
      </c>
      <c r="J1854" t="inlineStr"/>
      <c r="K1854" t="inlineStr"/>
      <c r="L1854" t="inlineStr"/>
      <c r="M1854" t="inlineStr"/>
      <c r="N1854" t="inlineStr"/>
      <c r="O1854">
        <f>(1-Summary!$B$11)*T1854+Summary!$B$11*V1854</f>
        <v/>
      </c>
      <c r="P1854">
        <f>IF(B1874=0,0,O1854/B1874)</f>
        <v/>
      </c>
      <c r="Q1854" t="n">
        <v>0</v>
      </c>
      <c r="R1854" t="n">
        <v>0</v>
      </c>
      <c r="S1854">
        <f>IFERROR(O1854/N1854,0)</f>
        <v/>
      </c>
      <c r="T1854" t="n">
        <v>0</v>
      </c>
      <c r="V1854" t="n">
        <v>0</v>
      </c>
    </row>
    <row r="1855">
      <c r="A1855">
        <f>Skills!A21</f>
        <v/>
      </c>
      <c r="B1855">
        <f>Skills!B21</f>
        <v/>
      </c>
      <c r="C1855">
        <f>Inputs!$B$3&gt;=33</f>
        <v/>
      </c>
      <c r="D1855">
        <f>IF(Skills!C21=1,60+Inputs!$B$25+Inputs!$B$29,IF(Skills!C21=2,90+Inputs!$B$26+Inputs!$B$29,IF(Skills!C21=3,120+Inputs!$B$27+Inputs!$B$29,MAX(0,(Inputs!$B$3-100)*3)+Inputs!$B$28+Inputs!$B$29)))</f>
        <v/>
      </c>
      <c r="E1855">
        <f>INDEX(FactorTable!$B$2:$Y$301, MATCH(ROUND(MIN(300,MAX(1,D1855)),0), FactorTable!$A$2:$A$301,0), Skills!M21+1)</f>
        <v/>
      </c>
      <c r="F1855">
        <f>IF(Skills!N21=TRUE,(Skills!L21/10)*(E1855/1000),Skills!L21/10)+Skills!O21</f>
        <v/>
      </c>
      <c r="G1855">
        <f>Skills!G21*IF(Skills!H21&gt;0,Skills!I21/Skills!H21,1)</f>
        <v/>
      </c>
      <c r="H1855">
        <f>1-(1-Skills!J21/100)^Skills!K21</f>
        <v/>
      </c>
      <c r="I1855" t="inlineStr">
        <is>
          <t>1</t>
        </is>
      </c>
      <c r="J1855" t="inlineStr"/>
      <c r="K1855" t="inlineStr"/>
      <c r="L1855" t="inlineStr"/>
      <c r="M1855" t="inlineStr"/>
      <c r="N1855" t="inlineStr"/>
      <c r="O1855">
        <f>(1-Summary!$B$11)*T1855+Summary!$B$11*V1855</f>
        <v/>
      </c>
      <c r="P1855">
        <f>IF(B1874=0,0,O1855/B1874)</f>
        <v/>
      </c>
      <c r="Q1855" t="n">
        <v>0</v>
      </c>
      <c r="R1855" t="n">
        <v>0</v>
      </c>
      <c r="S1855">
        <f>IFERROR(O1855/N1855,0)</f>
        <v/>
      </c>
      <c r="T1855" t="n">
        <v>0</v>
      </c>
      <c r="V1855" t="n">
        <v>0</v>
      </c>
    </row>
    <row r="1856">
      <c r="A1856">
        <f>Skills!A22</f>
        <v/>
      </c>
      <c r="B1856">
        <f>Skills!B22</f>
        <v/>
      </c>
      <c r="C1856">
        <f>Inputs!$B$3&gt;=43</f>
        <v/>
      </c>
      <c r="D1856">
        <f>IF(Skills!C22=1,60+Inputs!$B$25+Inputs!$B$29,IF(Skills!C22=2,90+Inputs!$B$26+Inputs!$B$29,IF(Skills!C22=3,120+Inputs!$B$27+Inputs!$B$29,MAX(0,(Inputs!$B$3-100)*3)+Inputs!$B$28+Inputs!$B$29)))</f>
        <v/>
      </c>
      <c r="E1856">
        <f>INDEX(FactorTable!$B$2:$Y$301, MATCH(ROUND(MIN(300,MAX(1,D1856)),0), FactorTable!$A$2:$A$301,0), Skills!M22+1)</f>
        <v/>
      </c>
      <c r="F1856">
        <f>IF(Skills!N22=TRUE,(Skills!L22/10)*(E1856/1000),Skills!L22/10)+Skills!O22</f>
        <v/>
      </c>
      <c r="G1856">
        <f>Skills!G22*IF(Skills!H22&gt;0,Skills!I22/Skills!H22,1)</f>
        <v/>
      </c>
      <c r="H1856">
        <f>1-(1-Skills!J22/100)^Skills!K22</f>
        <v/>
      </c>
      <c r="I1856" t="inlineStr">
        <is>
          <t>1</t>
        </is>
      </c>
      <c r="J1856" t="inlineStr"/>
      <c r="K1856" t="inlineStr"/>
      <c r="L1856" t="inlineStr"/>
      <c r="M1856" t="inlineStr"/>
      <c r="N1856" t="inlineStr"/>
      <c r="O1856">
        <f>(1-Summary!$B$11)*T1856+Summary!$B$11*V1856</f>
        <v/>
      </c>
      <c r="P1856">
        <f>IF(B1874=0,0,O1856/B1874)</f>
        <v/>
      </c>
      <c r="Q1856" t="n">
        <v>0</v>
      </c>
      <c r="R1856" t="n">
        <v>0</v>
      </c>
      <c r="S1856">
        <f>IFERROR(O1856/N1856,0)</f>
        <v/>
      </c>
      <c r="T1856" t="n">
        <v>0</v>
      </c>
      <c r="V1856" t="n">
        <v>0</v>
      </c>
    </row>
    <row r="1857">
      <c r="A1857">
        <f>Skills!A23</f>
        <v/>
      </c>
      <c r="B1857">
        <f>Skills!B23</f>
        <v/>
      </c>
      <c r="C1857">
        <f>Inputs!$B$3&gt;=38</f>
        <v/>
      </c>
      <c r="D1857">
        <f>IF(Skills!C23=1,60+Inputs!$B$25+Inputs!$B$29,IF(Skills!C23=2,90+Inputs!$B$26+Inputs!$B$29,IF(Skills!C23=3,120+Inputs!$B$27+Inputs!$B$29,MAX(0,(Inputs!$B$3-100)*3)+Inputs!$B$28+Inputs!$B$29)))</f>
        <v/>
      </c>
      <c r="E1857">
        <f>INDEX(FactorTable!$B$2:$Y$301, MATCH(ROUND(MIN(300,MAX(1,D1857)),0), FactorTable!$A$2:$A$301,0), Skills!M23+1)</f>
        <v/>
      </c>
      <c r="F1857">
        <f>IF(Skills!N23=TRUE,(Skills!L23/10)*(E1857/1000),Skills!L23/10)+Skills!O23</f>
        <v/>
      </c>
      <c r="G1857">
        <f>Skills!G23*IF(Skills!H23&gt;0,Skills!I23/Skills!H23,1)</f>
        <v/>
      </c>
      <c r="H1857">
        <f>1-(1-Skills!J23/100)^Skills!K23</f>
        <v/>
      </c>
      <c r="I1857" t="inlineStr">
        <is>
          <t>1</t>
        </is>
      </c>
      <c r="J1857" t="inlineStr"/>
      <c r="K1857" t="inlineStr"/>
      <c r="L1857" t="inlineStr"/>
      <c r="M1857" t="inlineStr"/>
      <c r="N1857" t="inlineStr"/>
      <c r="O1857">
        <f>(1-Summary!$B$11)*T1857+Summary!$B$11*V1857</f>
        <v/>
      </c>
      <c r="P1857">
        <f>IF(B1874=0,0,O1857/B1874)</f>
        <v/>
      </c>
      <c r="Q1857" t="n">
        <v>0</v>
      </c>
      <c r="R1857" t="n">
        <v>0</v>
      </c>
      <c r="S1857">
        <f>IFERROR(O1857/N1857,0)</f>
        <v/>
      </c>
      <c r="T1857" t="n">
        <v>0</v>
      </c>
      <c r="V1857" t="n">
        <v>0</v>
      </c>
    </row>
    <row r="1858">
      <c r="A1858">
        <f>Skills!A24</f>
        <v/>
      </c>
      <c r="B1858">
        <f>Skills!B24</f>
        <v/>
      </c>
      <c r="C1858">
        <f>Inputs!$B$3&gt;=40</f>
        <v/>
      </c>
      <c r="D1858">
        <f>IF(Skills!C24=1,60+Inputs!$B$25+Inputs!$B$29,IF(Skills!C24=2,90+Inputs!$B$26+Inputs!$B$29,IF(Skills!C24=3,120+Inputs!$B$27+Inputs!$B$29,MAX(0,(Inputs!$B$3-100)*3)+Inputs!$B$28+Inputs!$B$29)))</f>
        <v/>
      </c>
      <c r="E1858">
        <f>INDEX(FactorTable!$B$2:$Y$301, MATCH(ROUND(MIN(300,MAX(1,D1858)),0), FactorTable!$A$2:$A$301,0), Skills!M24+1)</f>
        <v/>
      </c>
      <c r="F1858">
        <f>IF(Skills!N24=TRUE,(Skills!L24/10)*(E1858/1000),Skills!L24/10)+Skills!O24</f>
        <v/>
      </c>
      <c r="G1858">
        <f>Skills!G24*IF(Skills!H24&gt;0,Skills!I24/Skills!H24,1)</f>
        <v/>
      </c>
      <c r="H1858">
        <f>1-(1-Skills!J24/100)^Skills!K24</f>
        <v/>
      </c>
      <c r="I1858" t="inlineStr">
        <is>
          <t>1</t>
        </is>
      </c>
      <c r="J1858" t="inlineStr"/>
      <c r="K1858" t="inlineStr"/>
      <c r="L1858" t="inlineStr"/>
      <c r="M1858" t="inlineStr"/>
      <c r="N1858" t="inlineStr"/>
      <c r="O1858">
        <f>(1-Summary!$B$11)*T1858+Summary!$B$11*V1858</f>
        <v/>
      </c>
      <c r="P1858">
        <f>IF(B1874=0,0,O1858/B1874)</f>
        <v/>
      </c>
      <c r="Q1858" t="n">
        <v>0</v>
      </c>
      <c r="R1858" t="n">
        <v>0</v>
      </c>
      <c r="S1858">
        <f>IFERROR(O1858/N1858,0)</f>
        <v/>
      </c>
      <c r="T1858" t="n">
        <v>0</v>
      </c>
      <c r="V1858" t="n">
        <v>0</v>
      </c>
    </row>
    <row r="1859">
      <c r="A1859">
        <f>Skills!A25</f>
        <v/>
      </c>
      <c r="B1859">
        <f>Skills!B25</f>
        <v/>
      </c>
      <c r="C1859">
        <f>Inputs!$B$3&gt;=72</f>
        <v/>
      </c>
      <c r="D1859">
        <f>IF(Skills!C25=1,60+Inputs!$B$25+Inputs!$B$29,IF(Skills!C25=2,90+Inputs!$B$26+Inputs!$B$29,IF(Skills!C25=3,120+Inputs!$B$27+Inputs!$B$29,MAX(0,(Inputs!$B$3-100)*3)+Inputs!$B$28+Inputs!$B$29)))</f>
        <v/>
      </c>
      <c r="E1859">
        <f>INDEX(FactorTable!$B$2:$Y$301, MATCH(ROUND(MIN(300,MAX(1,D1859)),0), FactorTable!$A$2:$A$301,0), Skills!M25+1)</f>
        <v/>
      </c>
      <c r="F1859">
        <f>IF(Skills!N25=TRUE,(Skills!L25/10)*(E1859/1000),Skills!L25/10)+Skills!O25</f>
        <v/>
      </c>
      <c r="G1859">
        <f>Skills!G25*IF(Skills!H25&gt;0,Skills!I25/Skills!H25,1)</f>
        <v/>
      </c>
      <c r="H1859">
        <f>1-(1-Skills!J25/100)^Skills!K25</f>
        <v/>
      </c>
      <c r="I1859" t="inlineStr">
        <is>
          <t>1</t>
        </is>
      </c>
      <c r="J1859" t="inlineStr"/>
      <c r="K1859" t="inlineStr"/>
      <c r="L1859" t="inlineStr"/>
      <c r="M1859" t="inlineStr"/>
      <c r="N1859" t="inlineStr"/>
      <c r="O1859">
        <f>(1-Summary!$B$11)*T1859+Summary!$B$11*V1859</f>
        <v/>
      </c>
      <c r="P1859">
        <f>IF(B1874=0,0,O1859/B1874)</f>
        <v/>
      </c>
      <c r="Q1859" t="n">
        <v>0</v>
      </c>
      <c r="R1859" t="n">
        <v>0</v>
      </c>
      <c r="S1859">
        <f>IFERROR(O1859/N1859,0)</f>
        <v/>
      </c>
      <c r="T1859" t="n">
        <v>0</v>
      </c>
      <c r="V1859" t="n">
        <v>0</v>
      </c>
    </row>
    <row r="1860">
      <c r="A1860">
        <f>Skills!A26</f>
        <v/>
      </c>
      <c r="B1860">
        <f>Skills!B26</f>
        <v/>
      </c>
      <c r="C1860">
        <f>Inputs!$B$3&gt;=75</f>
        <v/>
      </c>
      <c r="D1860">
        <f>IF(Skills!C26=1,60+Inputs!$B$25+Inputs!$B$29,IF(Skills!C26=2,90+Inputs!$B$26+Inputs!$B$29,IF(Skills!C26=3,120+Inputs!$B$27+Inputs!$B$29,MAX(0,(Inputs!$B$3-100)*3)+Inputs!$B$28+Inputs!$B$29)))</f>
        <v/>
      </c>
      <c r="E1860">
        <f>INDEX(FactorTable!$B$2:$Y$301, MATCH(ROUND(MIN(300,MAX(1,D1860)),0), FactorTable!$A$2:$A$301,0), Skills!M26+1)</f>
        <v/>
      </c>
      <c r="F1860">
        <f>IF(Skills!N26=TRUE,(Skills!L26/10)*(E1860/1000),Skills!L26/10)+Skills!O26</f>
        <v/>
      </c>
      <c r="G1860">
        <f>Skills!G26*IF(Skills!H26&gt;0,Skills!I26/Skills!H26,1)</f>
        <v/>
      </c>
      <c r="H1860">
        <f>1-(1-Skills!J26/100)^Skills!K26</f>
        <v/>
      </c>
      <c r="I1860" t="inlineStr">
        <is>
          <t>1</t>
        </is>
      </c>
      <c r="J1860" t="inlineStr"/>
      <c r="K1860" t="inlineStr"/>
      <c r="L1860" t="inlineStr"/>
      <c r="M1860" t="inlineStr"/>
      <c r="N1860" t="inlineStr"/>
      <c r="O1860">
        <f>(1-Summary!$B$11)*T1860+Summary!$B$11*V1860</f>
        <v/>
      </c>
      <c r="P1860">
        <f>IF(B1874=0,0,O1860/B1874)</f>
        <v/>
      </c>
      <c r="Q1860" t="n">
        <v>0</v>
      </c>
      <c r="R1860" t="n">
        <v>0</v>
      </c>
      <c r="S1860">
        <f>IFERROR(O1860/N1860,0)</f>
        <v/>
      </c>
      <c r="T1860" t="n">
        <v>0</v>
      </c>
      <c r="V1860" t="n">
        <v>0</v>
      </c>
    </row>
    <row r="1861">
      <c r="A1861">
        <f>Skills!A27</f>
        <v/>
      </c>
      <c r="B1861">
        <f>Skills!B27</f>
        <v/>
      </c>
      <c r="C1861">
        <f>Inputs!$B$3&gt;=117</f>
        <v/>
      </c>
      <c r="D1861">
        <f>IF(Skills!C27=1,60+Inputs!$B$25+Inputs!$B$29,IF(Skills!C27=2,90+Inputs!$B$26+Inputs!$B$29,IF(Skills!C27=3,120+Inputs!$B$27+Inputs!$B$29,MAX(0,(Inputs!$B$3-100)*3)+Inputs!$B$28+Inputs!$B$29)))</f>
        <v/>
      </c>
      <c r="E1861">
        <f>INDEX(FactorTable!$B$2:$Y$301, MATCH(ROUND(MIN(300,MAX(1,D1861)),0), FactorTable!$A$2:$A$301,0), Skills!M27+1)</f>
        <v/>
      </c>
      <c r="F1861">
        <f>IF(Skills!N27=TRUE,(Skills!L27/10)*(E1861/1000),Skills!L27/10)+Skills!O27</f>
        <v/>
      </c>
      <c r="G1861">
        <f>Skills!G27*IF(Skills!H27&gt;0,Skills!I27/Skills!H27,1)</f>
        <v/>
      </c>
      <c r="H1861">
        <f>1-(1-Skills!J27/100)^Skills!K27</f>
        <v/>
      </c>
      <c r="I1861" t="inlineStr">
        <is>
          <t>1</t>
        </is>
      </c>
      <c r="J1861" t="inlineStr"/>
      <c r="K1861" t="inlineStr"/>
      <c r="L1861" t="inlineStr"/>
      <c r="M1861" t="inlineStr"/>
      <c r="N1861" t="inlineStr"/>
      <c r="O1861">
        <f>(1-Summary!$B$11)*T1861+Summary!$B$11*V1861</f>
        <v/>
      </c>
      <c r="P1861">
        <f>IF(B1874=0,0,O1861/B1874)</f>
        <v/>
      </c>
      <c r="Q1861" t="n">
        <v>0</v>
      </c>
      <c r="R1861" t="n">
        <v>0</v>
      </c>
      <c r="S1861">
        <f>IFERROR(O1861/N1861,0)</f>
        <v/>
      </c>
      <c r="T1861" t="n">
        <v>0</v>
      </c>
      <c r="V1861" t="n">
        <v>0</v>
      </c>
    </row>
    <row r="1863">
      <c r="A1863" t="inlineStr">
        <is>
          <t>Attack% Bucket Multiplier</t>
        </is>
      </c>
      <c r="B1863">
        <f>(1+(((C1851=TRUE)*F1851)+((C1858=TRUE)*(F1858-Calc!F24))+(IF(ArtifactsInput!$M$21,CHOOSE(ArtifactsInput!$N$21+1,25,30,35,40,45,50)*(IF(OR(Inputs!$B$4="Chapter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64">
      <c r="A1864" t="inlineStr">
        <is>
          <t>Global Crit Rate Bonus %</t>
        </is>
      </c>
      <c r="B1864" t="n">
        <v>0</v>
      </c>
    </row>
    <row r="1865">
      <c r="A1865" t="inlineStr">
        <is>
          <t>Attack Speed Buff Bonus % (unused)</t>
        </is>
      </c>
      <c r="B1865" t="n">
        <v>0</v>
      </c>
    </row>
    <row r="1866">
      <c r="A1866" t="inlineStr">
        <is>
          <t>Actions Per Second</t>
        </is>
      </c>
      <c r="B1866">
        <f>1+MIN(150,150*(1-(1-(Inputs!$B$11+((C1854=TRUE)*(F1854-Calc!F20))+((C1855=TRUE)*(F1855-Calc!F21)))/150)*(1-B1865/150)))/100</f>
        <v/>
      </c>
    </row>
    <row r="1867">
      <c r="A1867" t="inlineStr">
        <is>
          <t>Skill + Buff Cast Rate</t>
        </is>
      </c>
      <c r="B1867">
        <f>IF(AND(Inputs!$B$38&lt;&gt;"pvp",Inputs!$B$43&gt;0),SUMPRODUCT((Skills!E2:E27=TRUE)*(C1836:C1861=TRUE)*R1836:R1861*Skills!F2:F27)/Inputs!$B$43,SUMPRODUCT((Skills!E2:E27=TRUE)*(C1836:C1861=TRUE)*Q1836:Q1861*Skills!F2:F27))</f>
        <v/>
      </c>
    </row>
    <row r="1868">
      <c r="A1868" t="inlineStr">
        <is>
          <t>Eight-Legs Easton Casts Per Second</t>
        </is>
      </c>
      <c r="B1868">
        <f>MAX(0,B1866-B1867)</f>
        <v/>
      </c>
    </row>
    <row r="1869">
      <c r="A1869" t="inlineStr">
        <is>
          <t>Global Critical Damage Bonus % (unused)</t>
        </is>
      </c>
      <c r="B1869" t="n">
        <v>0</v>
      </c>
    </row>
    <row r="1870">
      <c r="A1870" t="inlineStr">
        <is>
          <t>Global Final Damage Bonus % (Jolly Roger only)</t>
        </is>
      </c>
      <c r="B1870">
        <f>((C1852=TRUE)*F1852)</f>
        <v/>
      </c>
    </row>
    <row r="1871">
      <c r="A1871" t="inlineStr">
        <is>
          <t>Buff-Casting Startup Delay (s, fixed-duration only)</t>
        </is>
      </c>
      <c r="B1871">
        <f>IF(AND(Inputs!$B$38&lt;&gt;"pvp",Inputs!$B$43&gt;0),SUMPRODUCT((Skills!T2:T27&gt;0)*(Skills!E2:E27=TRUE)*(C1836:C1861=TRUE))/B1866,0)</f>
        <v/>
      </c>
    </row>
    <row r="1872">
      <c r="A1872" t="inlineStr">
        <is>
          <t>Boss-Only Total DPS (this block's swept value)</t>
        </is>
      </c>
      <c r="B1872">
        <f>SUM(T1836:T1861)</f>
        <v/>
      </c>
    </row>
    <row r="1873">
      <c r="A1873" t="inlineStr">
        <is>
          <t>Normal-Only Total DPS (this block's swept value)</t>
        </is>
      </c>
      <c r="B1873">
        <f>SUM(V1836:V1861)</f>
        <v/>
      </c>
    </row>
    <row r="1874">
      <c r="A1874" s="6" t="inlineStr">
        <is>
          <t>TOTAL DPS</t>
        </is>
      </c>
      <c r="B1874" s="6">
        <f>SUM(O1836:O1861)</f>
        <v/>
      </c>
    </row>
    <row r="1877">
      <c r="A1877" s="6" t="inlineStr">
        <is>
          <t>Stat: Star Rock (Equip)</t>
        </is>
      </c>
    </row>
    <row r="1878">
      <c r="A1878" s="5" t="inlineStr">
        <is>
          <t>Key</t>
        </is>
      </c>
      <c r="B1878" s="5" t="inlineStr">
        <is>
          <t>Name</t>
        </is>
      </c>
      <c r="C1878" s="5" t="inlineStr">
        <is>
          <t>Unlocked</t>
        </is>
      </c>
      <c r="D1878" s="5" t="inlineStr">
        <is>
          <t>InputLevel</t>
        </is>
      </c>
      <c r="E1878" s="5" t="inlineStr">
        <is>
          <t>Factor</t>
        </is>
      </c>
      <c r="F1878" s="5" t="inlineStr">
        <is>
          <t>CoefficientPercent</t>
        </is>
      </c>
      <c r="G1878" s="5" t="inlineStr">
        <is>
          <t>EffectiveHits</t>
        </is>
      </c>
      <c r="H1878" s="5" t="inlineStr">
        <is>
          <t>ProcProbability</t>
        </is>
      </c>
      <c r="I1878" s="5" t="inlineStr">
        <is>
          <t>MapleHeroMultiplier</t>
        </is>
      </c>
      <c r="J1878" s="5" t="inlineStr">
        <is>
          <t>BaseDamage</t>
        </is>
      </c>
      <c r="K1878" s="5" t="inlineStr">
        <is>
          <t>BaseHitDamage</t>
        </is>
      </c>
      <c r="L1878" s="5" t="inlineStr">
        <is>
          <t>NonCritAvg</t>
        </is>
      </c>
      <c r="M1878" s="5" t="inlineStr">
        <is>
          <t>CritAvg</t>
        </is>
      </c>
      <c r="N1878" s="5" t="inlineStr">
        <is>
          <t>ExpectedDamage(perHit)</t>
        </is>
      </c>
      <c r="O1878" s="5" t="inlineStr">
        <is>
          <t>DPS</t>
        </is>
      </c>
      <c r="P1878" s="5" t="inlineStr">
        <is>
          <t>% of Total</t>
        </is>
      </c>
      <c r="Q1878" s="5" t="inlineStr">
        <is>
          <t>InvCooldown</t>
        </is>
      </c>
      <c r="R1878" s="5" t="inlineStr">
        <is>
          <t>CastsInFight</t>
        </is>
      </c>
      <c r="S1878" s="5" t="inlineStr">
        <is>
          <t>HitRate(perSec)</t>
        </is>
      </c>
      <c r="U1878" t="inlineStr">
        <is>
          <t>helpers</t>
        </is>
      </c>
    </row>
    <row r="1879">
      <c r="A1879">
        <f>Skills!A2</f>
        <v/>
      </c>
      <c r="B1879">
        <f>Skills!B2</f>
        <v/>
      </c>
      <c r="C1879">
        <f>Inputs!$B$3&gt;=100</f>
        <v/>
      </c>
      <c r="D1879" t="inlineStr"/>
      <c r="E1879" t="inlineStr"/>
      <c r="F1879">
        <f>U1881+Skills!O2</f>
        <v/>
      </c>
      <c r="G1879">
        <f>Skills!G2*IF(Skills!H2&gt;0,Skills!I2/Skills!H2,1)</f>
        <v/>
      </c>
      <c r="H1879">
        <f>1-(1-Skills!J2/100)^Skills!K2</f>
        <v/>
      </c>
      <c r="I1879" t="inlineStr">
        <is>
          <t>1</t>
        </is>
      </c>
      <c r="J1879">
        <f>((Inputs!$B$6*(1+Inputs!$B$7/100))+(((Inputs!$B$12*(1+Inputs!$B$13/100))-(Inputs!$B$12*(1+Inputs!$B$13/100)))+0.25*(Inputs!$B$14-Inputs!$B$14))*(1+Inputs!$B$7/100))*(F1879/100)</f>
        <v/>
      </c>
      <c r="K1879">
        <f>J1879*(1+((Inputs!$B$12*(1+Inputs!$B$13/100))*0.01+Inputs!$B$14*0.0025)/100)*(1+Inputs!$B$15/100)*(1+Inputs!$B$16/100)*(5000/(6000+Inputs!$B$42*(1-(100*(1-(1-(Inputs!$B$19+0)/100)*(1-CHOOSE(ArtifactsInput!$N$40+1,5,6,7,8,9,10)/100)^(ArtifactsInput!$M$40-ArtifactsInput!$M$40)))/100)))*(1+(Inputs!$B$24+((C1903=TRUE)*(F1903-Calc!F26))+B1913)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1900=TRUE)*(F1900-Calc!F23))+((C1904=TRUE)*(F1904-Calc!F27))+(((IF(AND(ArtifactsInput!$M$42,((Inputs!$B$9+((C1896=TRUE)*(F1896-Calc!F19))+B1907+(ArtifactsInput!$M$24-ArtifactsInput!$M$24)*CHOOSE(ArtifactsInput!$N$24+1,10,12,14,16,18,20)+IF(ArtifactsInput!$M$10,CHOOSE(ArtifactsInput!$N$10+1,15,18,21,24,27,30)*(IF(Inputs!$B$38="pvp",MIN(15,15)/15,IF(AND(Inputs!$B$38&lt;&gt;"pvp",Inputs!$B$43&gt;0),MIN(15,Inputs!$B$43)/(Inputs!$B$43),0))),0)))&gt;=100),MIN(100,((Inputs!$B$9+((C1896=TRUE)*(F1896-Calc!F19))+B1907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1896=TRUE)*(F1896-Calc!F19))+B1907+(ArtifactsInput!$M$24-ArtifactsInput!$M$24)*CHOOSE(ArtifactsInput!$N$24+1,10,12,14,16,18,20)+IF(ArtifactsInput!$M$10,CHOOSE(ArtifactsInput!$N$10+1,15,18,21,24,27,30)*(IF(Inputs!$B$38="pvp",MIN(15,15)/15,IF(AND(Inputs!$B$38&lt;&gt;"pvp",Inputs!$B$43&gt;0),MIN(15,Inputs!$B$43)/(Inputs!$B$43),0))),0)))&gt;=100),CHOOSE(ArtifactsInput!$N$42+1,40,48,56,64,72,80),0))))/100)*((1+(((C1894=TRUE)*F1894)+((C1901=TRUE)*(F1901-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1879)</f>
        <v/>
      </c>
      <c r="L1879">
        <f>K1879*(MIN(Inputs!$B$22+((C1899=TRUE)*(F1899-Calc!F22)),(Inputs!$B$23+0+(IF(ArtifactsInput!$M$15,CHOOSE(ArtifactsInput!$N$15+1,25,30,35,40,45,50)/100*(Inputs!$B$11-Inputs!$B$11),0))))/100+(Inputs!$B$23+0+(IF(ArtifactsInput!$M$15,CHOOSE(ArtifactsInput!$N$15+1,25,30,35,40,45,50)/100*(Inputs!$B$11-Inputs!$B$11),0)))/100)/2</f>
        <v/>
      </c>
      <c r="M1879">
        <f>L1879*(1+(Inputs!$B$10+((C1902=TRUE)*(F1902-Calc!F25))+B1912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9">
        <f>L1879*(1-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9">
        <f>(1-Summary!$B$11)*T1879+Summary!$B$11*V1879</f>
        <v/>
      </c>
      <c r="P1879">
        <f>IF(B1917=0,0,O1879/B1917)</f>
        <v/>
      </c>
      <c r="Q1879" t="n">
        <v>0</v>
      </c>
      <c r="R1879" t="n">
        <v>0</v>
      </c>
      <c r="S1879">
        <f>IFERROR(O1879/N1879,0)</f>
        <v/>
      </c>
      <c r="T1879">
        <f>IF(C1879,(Skills!G2*N1879*B1911)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1879*(1-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9">
        <f>MAX(0,(Inputs!$B$3-100)*3)+Inputs!$B$28+Inputs!$B$29</f>
        <v/>
      </c>
      <c r="V1879">
        <f>IF(C1879,(Skills!G2*N1879*B1911)*IF(Inputs!$B$38="pvp",1,(1+(Inputs!$B$21+Skills!Q2+(IF(ArtifactsInput!$M$33,CHOOSE(ArtifactsInput!$N$33+1,30,36,42,48,54,60),0))+(IF(AND(ArtifactsInput!$M$35,Inputs!$B$4&lt;&gt;"Chapter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0">
      <c r="A1880">
        <f>Skills!A3</f>
        <v/>
      </c>
      <c r="B1880">
        <f>Skills!B3</f>
        <v/>
      </c>
      <c r="C1880">
        <f>Inputs!$B$3&gt;=35</f>
        <v/>
      </c>
      <c r="D1880">
        <f>IF(Skills!C3=1,60+Inputs!$B$25+Inputs!$B$29,IF(Skills!C3=2,90+Inputs!$B$26+Inputs!$B$29,IF(Skills!C3=3,120+Inputs!$B$27+Inputs!$B$29,MAX(0,(Inputs!$B$3-100)*3)+Inputs!$B$28+Inputs!$B$29)))</f>
        <v/>
      </c>
      <c r="E1880">
        <f>INDEX(FactorTable!$B$2:$Y$301, MATCH(ROUND(MIN(300,MAX(1,D1880)),0), FactorTable!$A$2:$A$301,0), Skills!M3+1)</f>
        <v/>
      </c>
      <c r="F1880">
        <f>IF(Skills!N3=TRUE,(Skills!L3/10)*(E1880/1000),Skills!L3/10)+Skills!O3</f>
        <v/>
      </c>
      <c r="G1880">
        <f>Skills!G3*IF(Skills!H3&gt;0,Skills!I3/Skills!H3,1)</f>
        <v/>
      </c>
      <c r="H1880">
        <f>1-(1-Skills!J3/100)^Skills!K3</f>
        <v/>
      </c>
      <c r="I1880" t="inlineStr">
        <is>
          <t>1</t>
        </is>
      </c>
      <c r="J1880">
        <f>((Inputs!$B$6*(1+Inputs!$B$7/100))+(((Inputs!$B$12*(1+Inputs!$B$13/100))-(Inputs!$B$12*(1+Inputs!$B$13/100)))+0.25*(Inputs!$B$14-Inputs!$B$14))*(1+Inputs!$B$7/100))*(F1880/100)</f>
        <v/>
      </c>
      <c r="K1880">
        <f>J1880*(1+((Inputs!$B$12*(1+Inputs!$B$13/100))*0.01+Inputs!$B$14*0.0025)/100)*(1+Inputs!$B$15/100)*(1+Inputs!$B$16/100)*(5000/(6000+Inputs!$B$42*(1-(100*(1-(1-(Inputs!$B$19+0)/100)*(1-CHOOSE(ArtifactsInput!$N$40+1,5,6,7,8,9,10)/100)^(ArtifactsInput!$M$40-ArtifactsInput!$M$40)))/100)))*(1+(Inputs!$B$24+((C1903=TRUE)*(F1903-Calc!F26))+B1913)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1892=TRUE,F1892,0)/100)*(1+(IF(Skills!A3="EIGHT_LEGS_EASTON",Inputs!$B$17+((C1900=TRUE)*(F1900-Calc!F23))+((C1904=TRUE)*(F1904-Calc!F27))+(((IF(AND(ArtifactsInput!$M$42,((Inputs!$B$9+((C1896=TRUE)*(F1896-Calc!F19))+B1907+(ArtifactsInput!$M$24-ArtifactsInput!$M$24)*CHOOSE(ArtifactsInput!$N$24+1,10,12,14,16,18,20)+IF(ArtifactsInput!$M$10,CHOOSE(ArtifactsInput!$N$10+1,15,18,21,24,27,30)*(IF(Inputs!$B$38="pvp",MIN(15,15)/15,IF(AND(Inputs!$B$38&lt;&gt;"pvp",Inputs!$B$43&gt;0),MIN(15,Inputs!$B$43)/(Inputs!$B$43),0))),0)))&gt;=100),MIN(100,((Inputs!$B$9+((C1896=TRUE)*(F1896-Calc!F19))+B1907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1896=TRUE)*(F1896-Calc!F19))+B1907+(ArtifactsInput!$M$24-ArtifactsInput!$M$24)*CHOOSE(ArtifactsInput!$N$24+1,10,12,14,16,18,20)+IF(ArtifactsInput!$M$10,CHOOSE(ArtifactsInput!$N$10+1,15,18,21,24,27,30)*(IF(Inputs!$B$38="pvp",MIN(15,15)/15,IF(AND(Inputs!$B$38&lt;&gt;"pvp",Inputs!$B$43&gt;0),MIN(15,Inputs!$B$43)/(Inputs!$B$43),0))),0)))&gt;=100),CHOOSE(ArtifactsInput!$N$42+1,40,48,56,64,72,80),0))))/100)*((1+(((C1894=TRUE)*F1894)+((C1901=TRUE)*(F1901-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1880)</f>
        <v/>
      </c>
      <c r="L1880">
        <f>K1880*(MIN(Inputs!$B$22+((C1899=TRUE)*(F1899-Calc!F22)),(Inputs!$B$23+0+(IF(ArtifactsInput!$M$15,CHOOSE(ArtifactsInput!$N$15+1,25,30,35,40,45,50)/100*(Inputs!$B$11-Inputs!$B$11),0))))/100+(Inputs!$B$23+0+(IF(ArtifactsInput!$M$15,CHOOSE(ArtifactsInput!$N$15+1,25,30,35,40,45,50)/100*(Inputs!$B$11-Inputs!$B$11),0)))/100)/2</f>
        <v/>
      </c>
      <c r="M1880">
        <f>L1880*(1+(Inputs!$B$10+((C1902=TRUE)*(F1902-Calc!F25))+B1912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0">
        <f>L1880*(1-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1880*(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0">
        <f>(1-Summary!$B$11)*T1880+Summary!$B$11*V1880</f>
        <v/>
      </c>
      <c r="P1880">
        <f>IF(B1917=0,0,O1880/B1917)</f>
        <v/>
      </c>
      <c r="Q1880">
        <f>IFERROR(1/(IF(Inputs!$B$38="pvp",15,MAX(0.1,Skills!D3-IF(Skills!E3=TRUE,Inputs!$B$32,0)))*(1-IF(AND(ArtifactsInput!$M$27,Inputs!$B$4="Chapter Hunt"),CHOOSE(ArtifactsInput!$N$27+1,20,24,28,32,36,40),0)/100)),0)</f>
        <v/>
      </c>
      <c r="R1880">
        <f>IF(AND(Inputs!$B$38&lt;&gt;"pvp",Inputs!$B$43&gt;0),IF(MAX(0,Inputs!$B$43-B1914)&lt;=0,0,(INT(MAX(0,Inputs!$B$43-B1914)/(IF(Inputs!$B$38="pvp",15,MAX(0.1,Skills!D3-IF(Skills!E3=TRUE,Inputs!$B$32,0)))*(1-IF(AND(ArtifactsInput!$M$27,Inputs!$B$4="Chapter Hunt"),CHOOSE(ArtifactsInput!$N$27+1,20,24,28,32,36,40),0)/100)))+1)),0)</f>
        <v/>
      </c>
      <c r="S1880">
        <f>IFERROR(O1880/N1880,0)</f>
        <v/>
      </c>
      <c r="T1880">
        <f>IF(C1880,(H1880*N1880*IF(AND(Inputs!$B$38&lt;&gt;"pvp",Inputs!$B$43&gt;0),((Skills!G3*((R1880-1)*IF(Skills!H3&gt;0,Skills!I3/Skills!H3,1)+IF(Skills!H3&gt;0,MIN(Skills!I3,MAX(0,MAX(0,Inputs!$B$43-B1914)-((R1880-1)*(IF(Inputs!$B$38="pvp",15,MAX(0.1,Skills!D3-IF(Skills!E3=TRUE,Inputs!$B$32,0)))*(1-IF(AND(ArtifactsInput!$M$27,Inputs!$B$4="Chapter Hunt"),CHOOSE(ArtifactsInput!$N$27+1,20,24,28,32,36,40),0)/100)))))/Skills!H3,1)))/Inputs!$B$43),G1880*Q1880)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1880*(1-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1880*(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1880*(1-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1880*(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0">
        <f>INDEX(FactorTable!$B$2:$Y$301, MATCH(ROUND(MIN(300,MAX(1,U1879)),0), FactorTable!$A$2:$A$301,0), 22)</f>
        <v/>
      </c>
      <c r="V1880">
        <f>IF(C1880,(H1880*N1880*IF(AND(Inputs!$B$38&lt;&gt;"pvp",Inputs!$B$43&gt;0),((Skills!G3*((R1880-1)*IF(Skills!H3&gt;0,Skills!I3/Skills!H3,1)+IF(Skills!H3&gt;0,MIN(Skills!I3,MAX(0,MAX(0,Inputs!$B$43-B1914)-((R1880-1)*(IF(Inputs!$B$38="pvp",15,MAX(0.1,Skills!D3-IF(Skills!E3=TRUE,Inputs!$B$32,0)))*(1-IF(AND(ArtifactsInput!$M$27,Inputs!$B$4="Chapter Hunt"),CHOOSE(ArtifactsInput!$N$27+1,20,24,28,32,36,40),0)/100)))))/Skills!H3,1)))/Inputs!$B$43),G1880*Q1880))*IF(Inputs!$B$38="pvp",1,(1+(Inputs!$B$21+Skills!Q3+(IF(ArtifactsInput!$M$33,CHOOSE(ArtifactsInput!$N$33+1,30,36,42,48,54,60)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1">
      <c r="A1881">
        <f>Skills!A4</f>
        <v/>
      </c>
      <c r="B1881">
        <f>Skills!B4</f>
        <v/>
      </c>
      <c r="C1881">
        <f>Inputs!$B$3&gt;=40</f>
        <v/>
      </c>
      <c r="D1881">
        <f>IF(Skills!C4=1,60+Inputs!$B$25+Inputs!$B$29,IF(Skills!C4=2,90+Inputs!$B$26+Inputs!$B$29,IF(Skills!C4=3,120+Inputs!$B$27+Inputs!$B$29,MAX(0,(Inputs!$B$3-100)*3)+Inputs!$B$28+Inputs!$B$29)))</f>
        <v/>
      </c>
      <c r="E1881">
        <f>INDEX(FactorTable!$B$2:$Y$301, MATCH(ROUND(MIN(300,MAX(1,D1881)),0), FactorTable!$A$2:$A$301,0), Skills!M4+1)</f>
        <v/>
      </c>
      <c r="F1881">
        <f>IF(Skills!N4=TRUE,(Skills!L4/10)*(E1881/1000),Skills!L4/10)+Skills!O4</f>
        <v/>
      </c>
      <c r="G1881">
        <f>Skills!G4*IF(Skills!H4&gt;0,Skills!I4/Skills!H4,1)</f>
        <v/>
      </c>
      <c r="H1881">
        <f>1-(1-Skills!J4/100)^Skills!K4</f>
        <v/>
      </c>
      <c r="I1881" t="inlineStr">
        <is>
          <t>1</t>
        </is>
      </c>
      <c r="J1881">
        <f>((Inputs!$B$6*(1+Inputs!$B$7/100))+(((Inputs!$B$12*(1+Inputs!$B$13/100))-(Inputs!$B$12*(1+Inputs!$B$13/100)))+0.25*(Inputs!$B$14-Inputs!$B$14))*(1+Inputs!$B$7/100))*(F1881/100)</f>
        <v/>
      </c>
      <c r="K1881">
        <f>J1881*(1+((Inputs!$B$12*(1+Inputs!$B$13/100))*0.01+Inputs!$B$14*0.0025)/100)*(1+Inputs!$B$15/100)*(1+Inputs!$B$16/100)*(5000/(6000+Inputs!$B$42*(1-(100*(1-(1-(Inputs!$B$19+0)/100)*(1-CHOOSE(ArtifactsInput!$N$40+1,5,6,7,8,9,10)/100)^(ArtifactsInput!$M$40-ArtifactsInput!$M$40)))/100)))*(1+(Inputs!$B$24+((C1903=TRUE)*(F1903-Calc!F26))+B1913)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1893=TRUE,F1893,0)/100)*(1+(IF(Skills!A4="EIGHT_LEGS_EASTON",Inputs!$B$17+((C1900=TRUE)*(F1900-Calc!F23))+((C1904=TRUE)*(F1904-Calc!F27))+(((IF(AND(ArtifactsInput!$M$42,((Inputs!$B$9+((C1896=TRUE)*(F1896-Calc!F19))+B1907+(ArtifactsInput!$M$24-ArtifactsInput!$M$24)*CHOOSE(ArtifactsInput!$N$24+1,10,12,14,16,18,20)+IF(ArtifactsInput!$M$10,CHOOSE(ArtifactsInput!$N$10+1,15,18,21,24,27,30)*(IF(Inputs!$B$38="pvp",MIN(15,15)/15,IF(AND(Inputs!$B$38&lt;&gt;"pvp",Inputs!$B$43&gt;0),MIN(15,Inputs!$B$43)/(Inputs!$B$43),0))),0)))&gt;=100),MIN(100,((Inputs!$B$9+((C1896=TRUE)*(F1896-Calc!F19))+B1907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1896=TRUE)*(F1896-Calc!F19))+B1907+(ArtifactsInput!$M$24-ArtifactsInput!$M$24)*CHOOSE(ArtifactsInput!$N$24+1,10,12,14,16,18,20)+IF(ArtifactsInput!$M$10,CHOOSE(ArtifactsInput!$N$10+1,15,18,21,24,27,30)*(IF(Inputs!$B$38="pvp",MIN(15,15)/15,IF(AND(Inputs!$B$38&lt;&gt;"pvp",Inputs!$B$43&gt;0),MIN(15,Inputs!$B$43)/(Inputs!$B$43),0))),0)))&gt;=100),CHOOSE(ArtifactsInput!$N$42+1,40,48,56,64,72,80),0))))/100)*((1+(((C1894=TRUE)*F1894)+((C1901=TRUE)*(F1901-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1881)</f>
        <v/>
      </c>
      <c r="L1881">
        <f>K1881*(MIN(Inputs!$B$22+((C1899=TRUE)*(F1899-Calc!F22)),(Inputs!$B$23+0+(IF(ArtifactsInput!$M$15,CHOOSE(ArtifactsInput!$N$15+1,25,30,35,40,45,50)/100*(Inputs!$B$11-Inputs!$B$11),0))))/100+(Inputs!$B$23+0+(IF(ArtifactsInput!$M$15,CHOOSE(ArtifactsInput!$N$15+1,25,30,35,40,45,50)/100*(Inputs!$B$11-Inputs!$B$11),0)))/100)/2</f>
        <v/>
      </c>
      <c r="M1881">
        <f>L1881*(1+(Inputs!$B$10+((C1902=TRUE)*(F1902-Calc!F25))+B1912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1">
        <f>L1881*(1-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1">
        <f>(1-Summary!$B$11)*T1881+Summary!$B$11*V1881</f>
        <v/>
      </c>
      <c r="P1881">
        <f>IF(B1917=0,0,O1881/B1917)</f>
        <v/>
      </c>
      <c r="Q1881">
        <f>IFERROR(1/(IF(Inputs!$B$38="pvp",15,MAX(0.1,Skills!D4-IF(Skills!E4=TRUE,Inputs!$B$32,0)))*(1-IF(AND(ArtifactsInput!$M$27,Inputs!$B$4="Chapter Hunt"),CHOOSE(ArtifactsInput!$N$27+1,20,24,28,32,36,40),0)/100)),0)</f>
        <v/>
      </c>
      <c r="R1881">
        <f>IF(AND(Inputs!$B$38&lt;&gt;"pvp",Inputs!$B$43&gt;0),IF(MAX(0,Inputs!$B$43-B1914)&lt;=0,0,(INT(MAX(0,Inputs!$B$43-B1914)/(IF(Inputs!$B$38="pvp",15,MAX(0.1,Skills!D4-IF(Skills!E4=TRUE,Inputs!$B$32,0)))*(1-IF(AND(ArtifactsInput!$M$27,Inputs!$B$4="Chapter Hunt"),CHOOSE(ArtifactsInput!$N$27+1,20,24,28,32,36,40),0)/100)))+1)),0)</f>
        <v/>
      </c>
      <c r="S1881">
        <f>IFERROR(O1881/N1881,0)</f>
        <v/>
      </c>
      <c r="T1881">
        <f>IF(C1881,(H1881*N1881*IF(AND(Inputs!$B$38&lt;&gt;"pvp",Inputs!$B$43&gt;0),((Skills!G4*((R1881-1)*IF(Skills!H4&gt;0,Skills!I4/Skills!H4,1)+IF(Skills!H4&gt;0,MIN(Skills!I4,MAX(0,MAX(0,Inputs!$B$43-B1914)-((R1881-1)*(IF(Inputs!$B$38="pvp",15,MAX(0.1,Skills!D4-IF(Skills!E4=TRUE,Inputs!$B$32,0)))*(1-IF(AND(ArtifactsInput!$M$27,Inputs!$B$4="Chapter Hunt"),CHOOSE(ArtifactsInput!$N$27+1,20,24,28,32,36,40),0)/100)))))/Skills!H4,1)))/Inputs!$B$43),G1881*Q1881)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1881*(1-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1">
        <f>290*U1880/1000</f>
        <v/>
      </c>
      <c r="V1881">
        <f>IF(C1881,(H1881*N1881*IF(AND(Inputs!$B$38&lt;&gt;"pvp",Inputs!$B$43&gt;0),((Skills!G4*((R1881-1)*IF(Skills!H4&gt;0,Skills!I4/Skills!H4,1)+IF(Skills!H4&gt;0,MIN(Skills!I4,MAX(0,MAX(0,Inputs!$B$43-B1914)-((R1881-1)*(IF(Inputs!$B$38="pvp",15,MAX(0.1,Skills!D4-IF(Skills!E4=TRUE,Inputs!$B$32,0)))*(1-IF(AND(ArtifactsInput!$M$27,Inputs!$B$4="Chapter Hunt"),CHOOSE(ArtifactsInput!$N$27+1,20,24,28,32,36,40),0)/100)))))/Skills!H4,1)))/Inputs!$B$43),G1881*Q1881))*IF(Inputs!$B$38="pvp",1,(1+(Inputs!$B$21+Skills!Q4+(IF(ArtifactsInput!$M$33,CHOOSE(ArtifactsInput!$N$33+1,30,36,42,48,54,60)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2">
      <c r="A1882">
        <f>Skills!A5</f>
        <v/>
      </c>
      <c r="B1882">
        <f>Skills!B5</f>
        <v/>
      </c>
      <c r="C1882">
        <f>Inputs!$B$3&gt;=45</f>
        <v/>
      </c>
      <c r="D1882">
        <f>IF(Skills!C5=1,60+Inputs!$B$25+Inputs!$B$29,IF(Skills!C5=2,90+Inputs!$B$26+Inputs!$B$29,IF(Skills!C5=3,120+Inputs!$B$27+Inputs!$B$29,MAX(0,(Inputs!$B$3-100)*3)+Inputs!$B$28+Inputs!$B$29)))</f>
        <v/>
      </c>
      <c r="E1882">
        <f>INDEX(FactorTable!$B$2:$Y$301, MATCH(ROUND(MIN(300,MAX(1,D1882)),0), FactorTable!$A$2:$A$301,0), Skills!M5+1)</f>
        <v/>
      </c>
      <c r="F1882">
        <f>IF(Skills!N5=TRUE,(Skills!L5/10)*(E1882/1000),Skills!L5/10)+Skills!O5</f>
        <v/>
      </c>
      <c r="G1882">
        <f>Skills!G5*IF(Skills!H5&gt;0,Skills!I5/Skills!H5,1)</f>
        <v/>
      </c>
      <c r="H1882">
        <f>1-(1-Skills!J5/100)^Skills!K5</f>
        <v/>
      </c>
      <c r="I1882" t="inlineStr">
        <is>
          <t>1</t>
        </is>
      </c>
      <c r="J1882">
        <f>((Inputs!$B$6*(1+Inputs!$B$7/100))+(((Inputs!$B$12*(1+Inputs!$B$13/100))-(Inputs!$B$12*(1+Inputs!$B$13/100)))+0.25*(Inputs!$B$14-Inputs!$B$14))*(1+Inputs!$B$7/100))*(F1882/100)</f>
        <v/>
      </c>
      <c r="K1882">
        <f>J1882*(1+((Inputs!$B$12*(1+Inputs!$B$13/100))*0.01+Inputs!$B$14*0.0025)/100)*(1+Inputs!$B$15/100)*(1+Inputs!$B$16/100)*(5000/(6000+Inputs!$B$42*(1-(100*(1-(1-(Inputs!$B$19+0)/100)*(1-CHOOSE(ArtifactsInput!$N$40+1,5,6,7,8,9,10)/100)^(ArtifactsInput!$M$40-ArtifactsInput!$M$40)))/100)))*(1+(Inputs!$B$24+((C1903=TRUE)*(F1903-Calc!F26))+B1913)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1893=TRUE,F1893,0)/100)*(1+(IF(Skills!A5="EIGHT_LEGS_EASTON",Inputs!$B$17+((C1900=TRUE)*(F1900-Calc!F23))+((C1904=TRUE)*(F1904-Calc!F27))+(((IF(AND(ArtifactsInput!$M$42,((Inputs!$B$9+((C1896=TRUE)*(F1896-Calc!F19))+B1907+(ArtifactsInput!$M$24-ArtifactsInput!$M$24)*CHOOSE(ArtifactsInput!$N$24+1,10,12,14,16,18,20)+IF(ArtifactsInput!$M$10,CHOOSE(ArtifactsInput!$N$10+1,15,18,21,24,27,30)*(IF(Inputs!$B$38="pvp",MIN(15,15)/15,IF(AND(Inputs!$B$38&lt;&gt;"pvp",Inputs!$B$43&gt;0),MIN(15,Inputs!$B$43)/(Inputs!$B$43),0))),0)))&gt;=100),MIN(100,((Inputs!$B$9+((C1896=TRUE)*(F1896-Calc!F19))+B1907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1896=TRUE)*(F1896-Calc!F19))+B1907+(ArtifactsInput!$M$24-ArtifactsInput!$M$24)*CHOOSE(ArtifactsInput!$N$24+1,10,12,14,16,18,20)+IF(ArtifactsInput!$M$10,CHOOSE(ArtifactsInput!$N$10+1,15,18,21,24,27,30)*(IF(Inputs!$B$38="pvp",MIN(15,15)/15,IF(AND(Inputs!$B$38&lt;&gt;"pvp",Inputs!$B$43&gt;0),MIN(15,Inputs!$B$43)/(Inputs!$B$43),0))),0)))&gt;=100),CHOOSE(ArtifactsInput!$N$42+1,40,48,56,64,72,80),0))))/100)*((1+(((C1894=TRUE)*F1894)+((C1901=TRUE)*(F1901-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1882)</f>
        <v/>
      </c>
      <c r="L1882">
        <f>K1882*(MIN(Inputs!$B$22+((C1899=TRUE)*(F1899-Calc!F22)),(Inputs!$B$23+0+(IF(ArtifactsInput!$M$15,CHOOSE(ArtifactsInput!$N$15+1,25,30,35,40,45,50)/100*(Inputs!$B$11-Inputs!$B$11),0))))/100+(Inputs!$B$23+0+(IF(ArtifactsInput!$M$15,CHOOSE(ArtifactsInput!$N$15+1,25,30,35,40,45,50)/100*(Inputs!$B$11-Inputs!$B$11),0)))/100)/2</f>
        <v/>
      </c>
      <c r="M1882">
        <f>L1882*(1+(Inputs!$B$10+((C1902=TRUE)*(F1902-Calc!F25))+B1912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2">
        <f>L1882*(1-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(1-Summary!$B$11)*T1882+Summary!$B$11*V1882</f>
        <v/>
      </c>
      <c r="P1882">
        <f>IF(B1917=0,0,O1882/B1917)</f>
        <v/>
      </c>
      <c r="Q1882">
        <f>IFERROR(1/(IF(Inputs!$B$38="pvp",15,MAX(0.1,Skills!D5-IF(Skills!E5=TRUE,Inputs!$B$32,0)))*(1-IF(AND(ArtifactsInput!$M$27,Inputs!$B$4="Chapter Hunt"),CHOOSE(ArtifactsInput!$N$27+1,20,24,28,32,36,40),0)/100)),0)</f>
        <v/>
      </c>
      <c r="R1882">
        <f>IF(AND(Inputs!$B$38&lt;&gt;"pvp",Inputs!$B$43&gt;0),IF(MAX(0,Inputs!$B$43-B1914)&lt;=0,0,(INT(MAX(0,Inputs!$B$43-B1914)/(IF(Inputs!$B$38="pvp",15,MAX(0.1,Skills!D5-IF(Skills!E5=TRUE,Inputs!$B$32,0)))*(1-IF(AND(ArtifactsInput!$M$27,Inputs!$B$4="Chapter Hunt"),CHOOSE(ArtifactsInput!$N$27+1,20,24,28,32,36,40),0)/100)))+1)),0)</f>
        <v/>
      </c>
      <c r="S1882">
        <f>IFERROR(O1882/N1882,0)</f>
        <v/>
      </c>
      <c r="T1882">
        <f>IF(C1882,(H1882*N1882*IF(AND(Inputs!$B$38&lt;&gt;"pvp",Inputs!$B$43&gt;0),((Skills!G5*((R1882-1)*IF(Skills!H5&gt;0,Skills!I5/Skills!H5,1)+IF(Skills!H5&gt;0,MIN(Skills!I5,MAX(0,MAX(0,Inputs!$B$43-B1914)-((R1882-1)*(IF(Inputs!$B$38="pvp",15,MAX(0.1,Skills!D5-IF(Skills!E5=TRUE,Inputs!$B$32,0)))*(1-IF(AND(ArtifactsInput!$M$27,Inputs!$B$4="Chapter Hunt"),CHOOSE(ArtifactsInput!$N$27+1,20,24,28,32,36,40),0)/100)))))/Skills!H5,1)))/Inputs!$B$43),G1882*Q1882)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1882*(1-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2">
        <f>IF(C1882,(H1882*N1882*IF(AND(Inputs!$B$38&lt;&gt;"pvp",Inputs!$B$43&gt;0),((Skills!G5*((R1882-1)*IF(Skills!H5&gt;0,Skills!I5/Skills!H5,1)+IF(Skills!H5&gt;0,MIN(Skills!I5,MAX(0,MAX(0,Inputs!$B$43-B1914)-((R1882-1)*(IF(Inputs!$B$38="pvp",15,MAX(0.1,Skills!D5-IF(Skills!E5=TRUE,Inputs!$B$32,0)))*(1-IF(AND(ArtifactsInput!$M$27,Inputs!$B$4="Chapter Hunt"),CHOOSE(ArtifactsInput!$N$27+1,20,24,28,32,36,40),0)/100)))))/Skills!H5,1)))/Inputs!$B$43),G1882*Q1882))*IF(Inputs!$B$38="pvp",1,(1+(Inputs!$B$21+Skills!Q5+(IF(ArtifactsInput!$M$33,CHOOSE(ArtifactsInput!$N$33+1,30,36,42,48,54,60)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Skills!A6</f>
        <v/>
      </c>
      <c r="B1883">
        <f>Skills!B6</f>
        <v/>
      </c>
      <c r="C1883">
        <f>Inputs!$B$3&gt;=63</f>
        <v/>
      </c>
      <c r="D1883">
        <f>IF(Skills!C6=1,60+Inputs!$B$25+Inputs!$B$29,IF(Skills!C6=2,90+Inputs!$B$26+Inputs!$B$29,IF(Skills!C6=3,120+Inputs!$B$27+Inputs!$B$29,MAX(0,(Inputs!$B$3-100)*3)+Inputs!$B$28+Inputs!$B$29)))</f>
        <v/>
      </c>
      <c r="E1883">
        <f>INDEX(FactorTable!$B$2:$Y$301, MATCH(ROUND(MIN(300,MAX(1,D1883)),0), FactorTable!$A$2:$A$301,0), Skills!M6+1)</f>
        <v/>
      </c>
      <c r="F1883">
        <f>IF(Skills!N6=TRUE,(Skills!L6/10)*(E1883/1000),Skills!L6/10)+Skills!O6</f>
        <v/>
      </c>
      <c r="G1883">
        <f>Skills!G6*IF(Skills!H6&gt;0,Skills!I6/Skills!H6,1)</f>
        <v/>
      </c>
      <c r="H1883">
        <f>1-(1-Skills!J6/100)^Skills!K6</f>
        <v/>
      </c>
      <c r="I1883" t="inlineStr">
        <is>
          <t>1</t>
        </is>
      </c>
      <c r="J1883">
        <f>((Inputs!$B$6*(1+Inputs!$B$7/100))+(((Inputs!$B$12*(1+Inputs!$B$13/100))-(Inputs!$B$12*(1+Inputs!$B$13/100)))+0.25*(Inputs!$B$14-Inputs!$B$14))*(1+Inputs!$B$7/100))*(F1883/100)</f>
        <v/>
      </c>
      <c r="K1883">
        <f>J1883*(1+((Inputs!$B$12*(1+Inputs!$B$13/100))*0.01+Inputs!$B$14*0.0025)/100)*(1+Inputs!$B$15/100)*(1+Inputs!$B$16/100)*(5000/(6000+Inputs!$B$42*(1-(100*(1-(1-(Inputs!$B$19+0)/100)*(1-CHOOSE(ArtifactsInput!$N$40+1,5,6,7,8,9,10)/100)^(ArtifactsInput!$M$40-ArtifactsInput!$M$40)))/100)))*(1+(Inputs!$B$24+((C1903=TRUE)*(F1903-Calc!F26))+B1913)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1892=TRUE,F1892,0)/100)*(1+(IF(Skills!A6="EIGHT_LEGS_EASTON",Inputs!$B$17+((C1900=TRUE)*(F1900-Calc!F23))+((C1904=TRUE)*(F1904-Calc!F27))+(((IF(AND(ArtifactsInput!$M$42,((Inputs!$B$9+((C1896=TRUE)*(F1896-Calc!F19))+B1907+(ArtifactsInput!$M$24-ArtifactsInput!$M$24)*CHOOSE(ArtifactsInput!$N$24+1,10,12,14,16,18,20)+IF(ArtifactsInput!$M$10,CHOOSE(ArtifactsInput!$N$10+1,15,18,21,24,27,30)*(IF(Inputs!$B$38="pvp",MIN(15,15)/15,IF(AND(Inputs!$B$38&lt;&gt;"pvp",Inputs!$B$43&gt;0),MIN(15,Inputs!$B$43)/(Inputs!$B$43),0))),0)))&gt;=100),MIN(100,((Inputs!$B$9+((C1896=TRUE)*(F1896-Calc!F19))+B1907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1896=TRUE)*(F1896-Calc!F19))+B1907+(ArtifactsInput!$M$24-ArtifactsInput!$M$24)*CHOOSE(ArtifactsInput!$N$24+1,10,12,14,16,18,20)+IF(ArtifactsInput!$M$10,CHOOSE(ArtifactsInput!$N$10+1,15,18,21,24,27,30)*(IF(Inputs!$B$38="pvp",MIN(15,15)/15,IF(AND(Inputs!$B$38&lt;&gt;"pvp",Inputs!$B$43&gt;0),MIN(15,Inputs!$B$43)/(Inputs!$B$43),0))),0)))&gt;=100),CHOOSE(ArtifactsInput!$N$42+1,40,48,56,64,72,80),0))))/100)*((1+(((C1894=TRUE)*F1894)+((C1901=TRUE)*(F1901-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1883)</f>
        <v/>
      </c>
      <c r="L1883">
        <f>K1883*(MIN(Inputs!$B$22+((C1899=TRUE)*(F1899-Calc!F22)),(Inputs!$B$23+0+(IF(ArtifactsInput!$M$15,CHOOSE(ArtifactsInput!$N$15+1,25,30,35,40,45,50)/100*(Inputs!$B$11-Inputs!$B$11),0))))/100+(Inputs!$B$23+0+(IF(ArtifactsInput!$M$15,CHOOSE(ArtifactsInput!$N$15+1,25,30,35,40,45,50)/100*(Inputs!$B$11-Inputs!$B$11),0)))/100)/2</f>
        <v/>
      </c>
      <c r="M1883">
        <f>L1883*(1+(Inputs!$B$10+((C1902=TRUE)*(F1902-Calc!F25))+B1912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3">
        <f>L1883*(1-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1883*(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3">
        <f>(1-Summary!$B$11)*T1883+Summary!$B$11*V1883</f>
        <v/>
      </c>
      <c r="P1883">
        <f>IF(B1917=0,0,O1883/B1917)</f>
        <v/>
      </c>
      <c r="Q1883">
        <f>IFERROR(1/(IF(Inputs!$B$38="pvp",15,MAX(0.1,Skills!D6-IF(Skills!E6=TRUE,Inputs!$B$32,0)))*(1-IF(AND(ArtifactsInput!$M$27,Inputs!$B$4="Chapter Hunt"),CHOOSE(ArtifactsInput!$N$27+1,20,24,28,32,36,40),0)/100)),0)</f>
        <v/>
      </c>
      <c r="R1883">
        <f>IF(AND(Inputs!$B$38&lt;&gt;"pvp",Inputs!$B$43&gt;0),IF(MAX(0,Inputs!$B$43-B1914)&lt;=0,0,(INT(MAX(0,Inputs!$B$43-B1914)/(IF(Inputs!$B$38="pvp",15,MAX(0.1,Skills!D6-IF(Skills!E6=TRUE,Inputs!$B$32,0)))*(1-IF(AND(ArtifactsInput!$M$27,Inputs!$B$4="Chapter Hunt"),CHOOSE(ArtifactsInput!$N$27+1,20,24,28,32,36,40),0)/100)))+1)),0)</f>
        <v/>
      </c>
      <c r="S1883">
        <f>IFERROR(O1883/N1883,0)</f>
        <v/>
      </c>
      <c r="T1883">
        <f>IF(C1883,(H1883*N1883*IF(AND(Inputs!$B$38&lt;&gt;"pvp",Inputs!$B$43&gt;0),((Skills!G6*((R1883-1)*IF(Skills!H6&gt;0,Skills!I6/Skills!H6,1)+IF(Skills!H6&gt;0,MIN(Skills!I6,MAX(0,MAX(0,Inputs!$B$43-B1914)-((R1883-1)*(IF(Inputs!$B$38="pvp",15,MAX(0.1,Skills!D6-IF(Skills!E6=TRUE,Inputs!$B$32,0)))*(1-IF(AND(ArtifactsInput!$M$27,Inputs!$B$4="Chapter Hunt"),CHOOSE(ArtifactsInput!$N$27+1,20,24,28,32,36,40),0)/100)))))/Skills!H6,1)))/Inputs!$B$43),G1883*Q1883)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1883*(1-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1883*(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1883*(1-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1883*(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3">
        <f>IF(C1883,(H1883*N1883*IF(AND(Inputs!$B$38&lt;&gt;"pvp",Inputs!$B$43&gt;0),((Skills!G6*((R1883-1)*IF(Skills!H6&gt;0,Skills!I6/Skills!H6,1)+IF(Skills!H6&gt;0,MIN(Skills!I6,MAX(0,MAX(0,Inputs!$B$43-B1914)-((R1883-1)*(IF(Inputs!$B$38="pvp",15,MAX(0.1,Skills!D6-IF(Skills!E6=TRUE,Inputs!$B$32,0)))*(1-IF(AND(ArtifactsInput!$M$27,Inputs!$B$4="Chapter Hunt"),CHOOSE(ArtifactsInput!$N$27+1,20,24,28,32,36,40),0)/100)))))/Skills!H6,1)))/Inputs!$B$43),G1883*Q1883))*IF(Inputs!$B$38="pvp",1,(1+(Inputs!$B$21+Skills!Q6+(IF(ArtifactsInput!$M$33,CHOOSE(ArtifactsInput!$N$33+1,30,36,42,48,54,60)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4">
      <c r="A1884">
        <f>Skills!A7</f>
        <v/>
      </c>
      <c r="B1884">
        <f>Skills!B7</f>
        <v/>
      </c>
      <c r="C1884">
        <f>Inputs!$B$3&gt;=66</f>
        <v/>
      </c>
      <c r="D1884">
        <f>IF(Skills!C7=1,60+Inputs!$B$25+Inputs!$B$29,IF(Skills!C7=2,90+Inputs!$B$26+Inputs!$B$29,IF(Skills!C7=3,120+Inputs!$B$27+Inputs!$B$29,MAX(0,(Inputs!$B$3-100)*3)+Inputs!$B$28+Inputs!$B$29)))</f>
        <v/>
      </c>
      <c r="E1884">
        <f>INDEX(FactorTable!$B$2:$Y$301, MATCH(ROUND(MIN(300,MAX(1,D1884)),0), FactorTable!$A$2:$A$301,0), Skills!M7+1)</f>
        <v/>
      </c>
      <c r="F1884">
        <f>IF(Skills!N7=TRUE,(Skills!L7/10)*(E1884/1000),Skills!L7/10)+Skills!O7</f>
        <v/>
      </c>
      <c r="G1884">
        <f>Skills!G7*IF(Skills!H7&gt;0,Skills!I7/Skills!H7,1)</f>
        <v/>
      </c>
      <c r="H1884">
        <f>1-(1-Skills!J7/100)^Skills!K7</f>
        <v/>
      </c>
      <c r="I1884" t="inlineStr">
        <is>
          <t>1</t>
        </is>
      </c>
      <c r="J1884">
        <f>((Inputs!$B$6*(1+Inputs!$B$7/100))+(((Inputs!$B$12*(1+Inputs!$B$13/100))-(Inputs!$B$12*(1+Inputs!$B$13/100)))+0.25*(Inputs!$B$14-Inputs!$B$14))*(1+Inputs!$B$7/100))*(F1884/100)</f>
        <v/>
      </c>
      <c r="K1884">
        <f>J1884*(1+((Inputs!$B$12*(1+Inputs!$B$13/100))*0.01+Inputs!$B$14*0.0025)/100)*(1+Inputs!$B$15/100)*(1+Inputs!$B$16/100)*(5000/(6000+Inputs!$B$42*(1-(100*(1-(1-(Inputs!$B$19+0)/100)*(1-CHOOSE(ArtifactsInput!$N$40+1,5,6,7,8,9,10)/100)^(ArtifactsInput!$M$40-ArtifactsInput!$M$40)))/100)))*(1+(Inputs!$B$24+((C1903=TRUE)*(F1903-Calc!F26))+B1913)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1892=TRUE,F1892,0)/100)*(1+(IF(Skills!A7="EIGHT_LEGS_EASTON",Inputs!$B$17+((C1900=TRUE)*(F1900-Calc!F23))+((C1904=TRUE)*(F1904-Calc!F27))+(((IF(AND(ArtifactsInput!$M$42,((Inputs!$B$9+((C1896=TRUE)*(F1896-Calc!F19))+B1907+(ArtifactsInput!$M$24-ArtifactsInput!$M$24)*CHOOSE(ArtifactsInput!$N$24+1,10,12,14,16,18,20)+IF(ArtifactsInput!$M$10,CHOOSE(ArtifactsInput!$N$10+1,15,18,21,24,27,30)*(IF(Inputs!$B$38="pvp",MIN(15,15)/15,IF(AND(Inputs!$B$38&lt;&gt;"pvp",Inputs!$B$43&gt;0),MIN(15,Inputs!$B$43)/(Inputs!$B$43),0))),0)))&gt;=100),MIN(100,((Inputs!$B$9+((C1896=TRUE)*(F1896-Calc!F19))+B1907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1896=TRUE)*(F1896-Calc!F19))+B1907+(ArtifactsInput!$M$24-ArtifactsInput!$M$24)*CHOOSE(ArtifactsInput!$N$24+1,10,12,14,16,18,20)+IF(ArtifactsInput!$M$10,CHOOSE(ArtifactsInput!$N$10+1,15,18,21,24,27,30)*(IF(Inputs!$B$38="pvp",MIN(15,15)/15,IF(AND(Inputs!$B$38&lt;&gt;"pvp",Inputs!$B$43&gt;0),MIN(15,Inputs!$B$43)/(Inputs!$B$43),0))),0)))&gt;=100),CHOOSE(ArtifactsInput!$N$42+1,40,48,56,64,72,80),0))))/100)*((1+(((C1894=TRUE)*F1894)+((C1901=TRUE)*(F1901-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1884)</f>
        <v/>
      </c>
      <c r="L1884">
        <f>K1884*(MIN(Inputs!$B$22+((C1899=TRUE)*(F1899-Calc!F22)),(Inputs!$B$23+0+(IF(ArtifactsInput!$M$15,CHOOSE(ArtifactsInput!$N$15+1,25,30,35,40,45,50)/100*(Inputs!$B$11-Inputs!$B$11),0))))/100+(Inputs!$B$23+0+(IF(ArtifactsInput!$M$15,CHOOSE(ArtifactsInput!$N$15+1,25,30,35,40,45,50)/100*(Inputs!$B$11-Inputs!$B$11),0)))/100)/2</f>
        <v/>
      </c>
      <c r="M1884">
        <f>L1884*(1+(Inputs!$B$10+((C1902=TRUE)*(F1902-Calc!F25))+B1912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4">
        <f>L1884*(1-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1884*(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4">
        <f>(1-Summary!$B$11)*T1884+Summary!$B$11*V1884</f>
        <v/>
      </c>
      <c r="P1884">
        <f>IF(B1917=0,0,O1884/B1917)</f>
        <v/>
      </c>
      <c r="Q1884">
        <f>IFERROR(1/(IF(Inputs!$B$38="pvp",15,MAX(0.1,Skills!D7-IF(Skills!E7=TRUE,Inputs!$B$32,0)))*(1-IF(AND(ArtifactsInput!$M$27,Inputs!$B$4="Chapter Hunt"),CHOOSE(ArtifactsInput!$N$27+1,20,24,28,32,36,40),0)/100)),0)</f>
        <v/>
      </c>
      <c r="R1884">
        <f>IF(AND(Inputs!$B$38&lt;&gt;"pvp",Inputs!$B$43&gt;0),IF(MAX(0,Inputs!$B$43-B1914)&lt;=0,0,(INT(MAX(0,Inputs!$B$43-B1914)/(IF(Inputs!$B$38="pvp",15,MAX(0.1,Skills!D7-IF(Skills!E7=TRUE,Inputs!$B$32,0)))*(1-IF(AND(ArtifactsInput!$M$27,Inputs!$B$4="Chapter Hunt"),CHOOSE(ArtifactsInput!$N$27+1,20,24,28,32,36,40),0)/100)))+1)),0)</f>
        <v/>
      </c>
      <c r="S1884">
        <f>IFERROR(O1884/N1884,0)</f>
        <v/>
      </c>
      <c r="T1884">
        <f>IF(C1884,(H1884*N1884*IF(AND(Inputs!$B$38&lt;&gt;"pvp",Inputs!$B$43&gt;0),((Skills!G7*((R1884-1)*IF(Skills!H7&gt;0,Skills!I7/Skills!H7,1)+IF(Skills!H7&gt;0,MIN(Skills!I7,MAX(0,MAX(0,Inputs!$B$43-B1914)-((R1884-1)*(IF(Inputs!$B$38="pvp",15,MAX(0.1,Skills!D7-IF(Skills!E7=TRUE,Inputs!$B$32,0)))*(1-IF(AND(ArtifactsInput!$M$27,Inputs!$B$4="Chapter Hunt"),CHOOSE(ArtifactsInput!$N$27+1,20,24,28,32,36,40),0)/100)))))/Skills!H7,1)))/Inputs!$B$43),G1884*Q1884)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1884*(1-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1884*(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1884*(1-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1884*(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4">
        <f>IF(C1884,(H1884*N1884*IF(AND(Inputs!$B$38&lt;&gt;"pvp",Inputs!$B$43&gt;0),((Skills!G7*((R1884-1)*IF(Skills!H7&gt;0,Skills!I7/Skills!H7,1)+IF(Skills!H7&gt;0,MIN(Skills!I7,MAX(0,MAX(0,Inputs!$B$43-B1914)-((R1884-1)*(IF(Inputs!$B$38="pvp",15,MAX(0.1,Skills!D7-IF(Skills!E7=TRUE,Inputs!$B$32,0)))*(1-IF(AND(ArtifactsInput!$M$27,Inputs!$B$4="Chapter Hunt"),CHOOSE(ArtifactsInput!$N$27+1,20,24,28,32,36,40),0)/100)))))/Skills!H7,1)))/Inputs!$B$43),G1884*Q1884))*IF(Inputs!$B$38="pvp",1,(1+(Inputs!$B$21+Skills!Q7+(IF(ArtifactsInput!$M$33,CHOOSE(ArtifactsInput!$N$33+1,30,36,42,48,54,60)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5">
      <c r="A1885">
        <f>Skills!A8</f>
        <v/>
      </c>
      <c r="B1885">
        <f>Skills!B8</f>
        <v/>
      </c>
      <c r="C1885">
        <f>Inputs!$B$3&gt;=100</f>
        <v/>
      </c>
      <c r="D1885">
        <f>IF(Skills!C8=1,60+Inputs!$B$25+Inputs!$B$29,IF(Skills!C8=2,90+Inputs!$B$26+Inputs!$B$29,IF(Skills!C8=3,120+Inputs!$B$27+Inputs!$B$29,MAX(0,(Inputs!$B$3-100)*3)+Inputs!$B$28+Inputs!$B$29)))</f>
        <v/>
      </c>
      <c r="E1885">
        <f>INDEX(FactorTable!$B$2:$Y$301, MATCH(ROUND(MIN(300,MAX(1,D1885)),0), FactorTable!$A$2:$A$301,0), Skills!M8+1)</f>
        <v/>
      </c>
      <c r="F1885">
        <f>IF(Skills!N8=TRUE,(Skills!L8/10)*(E1885/1000),Skills!L8/10)+Skills!O8</f>
        <v/>
      </c>
      <c r="G1885">
        <f>Skills!G8*IF(Skills!H8&gt;0,Skills!I8/Skills!H8,1)</f>
        <v/>
      </c>
      <c r="H1885">
        <f>1-(1-Skills!J8/100)^Skills!K8</f>
        <v/>
      </c>
      <c r="I1885" t="inlineStr">
        <is>
          <t>1</t>
        </is>
      </c>
      <c r="J1885">
        <f>((Inputs!$B$6*(1+Inputs!$B$7/100))+(((Inputs!$B$12*(1+Inputs!$B$13/100))-(Inputs!$B$12*(1+Inputs!$B$13/100)))+0.25*(Inputs!$B$14-Inputs!$B$14))*(1+Inputs!$B$7/100))*(F1885/100)</f>
        <v/>
      </c>
      <c r="K1885">
        <f>J1885*(1+((Inputs!$B$12*(1+Inputs!$B$13/100))*0.01+Inputs!$B$14*0.0025)/100)*(1+Inputs!$B$15/100)*(1+Inputs!$B$16/100)*(5000/(6000+Inputs!$B$42*(1-(100*(1-(1-(Inputs!$B$19+0)/100)*(1-CHOOSE(ArtifactsInput!$N$40+1,5,6,7,8,9,10)/100)^(ArtifactsInput!$M$40-ArtifactsInput!$M$40)))/100)))*(1+(Inputs!$B$24+((C1903=TRUE)*(F1903-Calc!F26))+B1913)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1900=TRUE)*(F1900-Calc!F23))+((C1904=TRUE)*(F1904-Calc!F27))+(((IF(AND(ArtifactsInput!$M$42,((Inputs!$B$9+((C1896=TRUE)*(F1896-Calc!F19))+B1907+(ArtifactsInput!$M$24-ArtifactsInput!$M$24)*CHOOSE(ArtifactsInput!$N$24+1,10,12,14,16,18,20)+IF(ArtifactsInput!$M$10,CHOOSE(ArtifactsInput!$N$10+1,15,18,21,24,27,30)*(IF(Inputs!$B$38="pvp",MIN(15,15)/15,IF(AND(Inputs!$B$38&lt;&gt;"pvp",Inputs!$B$43&gt;0),MIN(15,Inputs!$B$43)/(Inputs!$B$43),0))),0)))&gt;=100),MIN(100,((Inputs!$B$9+((C1896=TRUE)*(F1896-Calc!F19))+B1907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1896=TRUE)*(F1896-Calc!F19))+B1907+(ArtifactsInput!$M$24-ArtifactsInput!$M$24)*CHOOSE(ArtifactsInput!$N$24+1,10,12,14,16,18,20)+IF(ArtifactsInput!$M$10,CHOOSE(ArtifactsInput!$N$10+1,15,18,21,24,27,30)*(IF(Inputs!$B$38="pvp",MIN(15,15)/15,IF(AND(Inputs!$B$38&lt;&gt;"pvp",Inputs!$B$43&gt;0),MIN(15,Inputs!$B$43)/(Inputs!$B$43),0))),0)))&gt;=100),CHOOSE(ArtifactsInput!$N$42+1,40,48,56,64,72,80),0))))/100)*((1+(((C1894=TRUE)*F1894)+((C1901=TRUE)*(F1901-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1885)</f>
        <v/>
      </c>
      <c r="L1885">
        <f>K1885*(MIN(Inputs!$B$22+((C1899=TRUE)*(F1899-Calc!F22)),(Inputs!$B$23+0+(IF(ArtifactsInput!$M$15,CHOOSE(ArtifactsInput!$N$15+1,25,30,35,40,45,50)/100*(Inputs!$B$11-Inputs!$B$11),0))))/100+(Inputs!$B$23+0+(IF(ArtifactsInput!$M$15,CHOOSE(ArtifactsInput!$N$15+1,25,30,35,40,45,50)/100*(Inputs!$B$11-Inputs!$B$11),0)))/100)/2</f>
        <v/>
      </c>
      <c r="M1885">
        <f>L1885*(1+(Inputs!$B$10+((C1902=TRUE)*(F1902-Calc!F25))+B1912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5">
        <f>L1885*(1-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1885*(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5">
        <f>(1-Summary!$B$11)*T1885+Summary!$B$11*V1885</f>
        <v/>
      </c>
      <c r="P1885">
        <f>IF(B1917=0,0,O1885/B1917)</f>
        <v/>
      </c>
      <c r="Q1885">
        <f>IFERROR(1/(IF(Inputs!$B$38="pvp",15,MAX(0.1,Skills!D8-IF(Skills!E8=TRUE,Inputs!$B$32,0)))*(1-IF(AND(ArtifactsInput!$M$27,Inputs!$B$4="Chapter Hunt"),CHOOSE(ArtifactsInput!$N$27+1,20,24,28,32,36,40),0)/100)),0)</f>
        <v/>
      </c>
      <c r="R1885">
        <f>IF(AND(Inputs!$B$38&lt;&gt;"pvp",Inputs!$B$43&gt;0),IF(MAX(0,Inputs!$B$43-B1914)&lt;=0,0,(INT(MAX(0,Inputs!$B$43-B1914)/(IF(Inputs!$B$38="pvp",15,MAX(0.1,Skills!D8-IF(Skills!E8=TRUE,Inputs!$B$32,0)))*(1-IF(AND(ArtifactsInput!$M$27,Inputs!$B$4="Chapter Hunt"),CHOOSE(ArtifactsInput!$N$27+1,20,24,28,32,36,40),0)/100)))+1)),0)</f>
        <v/>
      </c>
      <c r="S1885">
        <f>IFERROR(O1885/N1885,0)</f>
        <v/>
      </c>
      <c r="T1885">
        <f>IF(C1885,(H1885*N1885*IF(AND(Inputs!$B$38&lt;&gt;"pvp",Inputs!$B$43&gt;0),((Skills!G8*((R1885-1)*IF(Skills!H8&gt;0,Skills!I8/Skills!H8,1)+IF(Skills!H8&gt;0,MIN(Skills!I8,MAX(0,MAX(0,Inputs!$B$43-B1914)-((R1885-1)*(IF(Inputs!$B$38="pvp",15,MAX(0.1,Skills!D8-IF(Skills!E8=TRUE,Inputs!$B$32,0)))*(1-IF(AND(ArtifactsInput!$M$27,Inputs!$B$4="Chapter Hunt"),CHOOSE(ArtifactsInput!$N$27+1,20,24,28,32,36,40),0)/100)))))/Skills!H8,1)))/Inputs!$B$43),G1885*Q1885)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1885*(1-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1885*(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1885*(1-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1885*(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5">
        <f>IF(C1885,(H1885*N1885*IF(AND(Inputs!$B$38&lt;&gt;"pvp",Inputs!$B$43&gt;0),((Skills!G8*((R1885-1)*IF(Skills!H8&gt;0,Skills!I8/Skills!H8,1)+IF(Skills!H8&gt;0,MIN(Skills!I8,MAX(0,MAX(0,Inputs!$B$43-B1914)-((R1885-1)*(IF(Inputs!$B$38="pvp",15,MAX(0.1,Skills!D8-IF(Skills!E8=TRUE,Inputs!$B$32,0)))*(1-IF(AND(ArtifactsInput!$M$27,Inputs!$B$4="Chapter Hunt"),CHOOSE(ArtifactsInput!$N$27+1,20,24,28,32,36,40),0)/100)))))/Skills!H8,1)))/Inputs!$B$43),G1885*Q1885))*IF(Inputs!$B$38="pvp",1,(1+(Inputs!$B$21+Skills!Q8+(IF(ArtifactsInput!$M$33,CHOOSE(ArtifactsInput!$N$33+1,30,36,42,48,54,60)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6">
      <c r="A1886">
        <f>Skills!A9</f>
        <v/>
      </c>
      <c r="B1886">
        <f>Skills!B9</f>
        <v/>
      </c>
      <c r="C1886">
        <f>Inputs!$B$3&gt;=103</f>
        <v/>
      </c>
      <c r="D1886">
        <f>IF(Skills!C9=1,60+Inputs!$B$25+Inputs!$B$29,IF(Skills!C9=2,90+Inputs!$B$26+Inputs!$B$29,IF(Skills!C9=3,120+Inputs!$B$27+Inputs!$B$29,MAX(0,(Inputs!$B$3-100)*3)+Inputs!$B$28+Inputs!$B$29)))</f>
        <v/>
      </c>
      <c r="E1886">
        <f>INDEX(FactorTable!$B$2:$Y$301, MATCH(ROUND(MIN(300,MAX(1,D1886)),0), FactorTable!$A$2:$A$301,0), Skills!M9+1)</f>
        <v/>
      </c>
      <c r="F1886">
        <f>IF(Skills!N9=TRUE,(Skills!L9/10)*(E1886/1000),Skills!L9/10)+Skills!O9</f>
        <v/>
      </c>
      <c r="G1886">
        <f>Skills!G9*IF(Skills!H9&gt;0,Skills!I9/Skills!H9,1)</f>
        <v/>
      </c>
      <c r="H1886">
        <f>1-(1-Skills!J9/100)^Skills!K9</f>
        <v/>
      </c>
      <c r="I1886" t="inlineStr">
        <is>
          <t>1</t>
        </is>
      </c>
      <c r="J1886">
        <f>((Inputs!$B$6*(1+Inputs!$B$7/100))+(((Inputs!$B$12*(1+Inputs!$B$13/100))-(Inputs!$B$12*(1+Inputs!$B$13/100)))+0.25*(Inputs!$B$14-Inputs!$B$14))*(1+Inputs!$B$7/100))*(F1886/100)</f>
        <v/>
      </c>
      <c r="K1886">
        <f>J1886*(1+((Inputs!$B$12*(1+Inputs!$B$13/100))*0.01+Inputs!$B$14*0.0025)/100)*(1+Inputs!$B$15/100)*(1+Inputs!$B$16/100)*(5000/(6000+Inputs!$B$42*(1-(100*(1-(1-(Inputs!$B$19+0)/100)*(1-CHOOSE(ArtifactsInput!$N$40+1,5,6,7,8,9,10)/100)^(ArtifactsInput!$M$40-ArtifactsInput!$M$40)))/100)))*(1+(Inputs!$B$24+((C1903=TRUE)*(F1903-Calc!F26))+B1913)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1900=TRUE)*(F1900-Calc!F23))+((C1904=TRUE)*(F1904-Calc!F27))+(((IF(AND(ArtifactsInput!$M$42,((Inputs!$B$9+((C1896=TRUE)*(F1896-Calc!F19))+B1907+(ArtifactsInput!$M$24-ArtifactsInput!$M$24)*CHOOSE(ArtifactsInput!$N$24+1,10,12,14,16,18,20)+IF(ArtifactsInput!$M$10,CHOOSE(ArtifactsInput!$N$10+1,15,18,21,24,27,30)*(IF(Inputs!$B$38="pvp",MIN(15,15)/15,IF(AND(Inputs!$B$38&lt;&gt;"pvp",Inputs!$B$43&gt;0),MIN(15,Inputs!$B$43)/(Inputs!$B$43),0))),0)))&gt;=100),MIN(100,((Inputs!$B$9+((C1896=TRUE)*(F1896-Calc!F19))+B1907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1896=TRUE)*(F1896-Calc!F19))+B1907+(ArtifactsInput!$M$24-ArtifactsInput!$M$24)*CHOOSE(ArtifactsInput!$N$24+1,10,12,14,16,18,20)+IF(ArtifactsInput!$M$10,CHOOSE(ArtifactsInput!$N$10+1,15,18,21,24,27,30)*(IF(Inputs!$B$38="pvp",MIN(15,15)/15,IF(AND(Inputs!$B$38&lt;&gt;"pvp",Inputs!$B$43&gt;0),MIN(15,Inputs!$B$43)/(Inputs!$B$43),0))),0)))&gt;=100),CHOOSE(ArtifactsInput!$N$42+1,40,48,56,64,72,80),0))))/100)*((1+(((C1894=TRUE)*F1894)+((C1901=TRUE)*(F1901-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1886)</f>
        <v/>
      </c>
      <c r="L1886">
        <f>K1886*(MIN(Inputs!$B$22+((C1899=TRUE)*(F1899-Calc!F22)),(Inputs!$B$23+0+(IF(ArtifactsInput!$M$15,CHOOSE(ArtifactsInput!$N$15+1,25,30,35,40,45,50)/100*(Inputs!$B$11-Inputs!$B$11),0))))/100+(Inputs!$B$23+0+(IF(ArtifactsInput!$M$15,CHOOSE(ArtifactsInput!$N$15+1,25,30,35,40,45,50)/100*(Inputs!$B$11-Inputs!$B$11),0)))/100)/2</f>
        <v/>
      </c>
      <c r="M1886">
        <f>L1886*(1+(Inputs!$B$10+((C1902=TRUE)*(F1902-Calc!F25))+B1912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6">
        <f>L1886*(1-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1886*(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6">
        <f>(1-Summary!$B$11)*T1886+Summary!$B$11*V1886</f>
        <v/>
      </c>
      <c r="P1886">
        <f>IF(B1917=0,0,O1886/B1917)</f>
        <v/>
      </c>
      <c r="Q1886">
        <f>IFERROR(1/(IF(Inputs!$B$38="pvp",15,MAX(0.1,Skills!D9-IF(Skills!E9=TRUE,Inputs!$B$32,0)))*(1-IF(AND(ArtifactsInput!$M$27,Inputs!$B$4="Chapter Hunt"),CHOOSE(ArtifactsInput!$N$27+1,20,24,28,32,36,40),0)/100)),0)</f>
        <v/>
      </c>
      <c r="R1886">
        <f>IF(AND(Inputs!$B$38&lt;&gt;"pvp",Inputs!$B$43&gt;0),IF(MAX(0,Inputs!$B$43-B1914)&lt;=0,0,(INT(MAX(0,Inputs!$B$43-B1914)/(IF(Inputs!$B$38="pvp",15,MAX(0.1,Skills!D9-IF(Skills!E9=TRUE,Inputs!$B$32,0)))*(1-IF(AND(ArtifactsInput!$M$27,Inputs!$B$4="Chapter Hunt"),CHOOSE(ArtifactsInput!$N$27+1,20,24,28,32,36,40),0)/100)))+1)),0)</f>
        <v/>
      </c>
      <c r="S1886">
        <f>IFERROR(O1886/N1886,0)</f>
        <v/>
      </c>
      <c r="T1886">
        <f>IF(C1886,(H1886*N1886*IF(AND(Inputs!$B$38&lt;&gt;"pvp",Inputs!$B$43&gt;0),((Skills!G9*((R1886-1)*IF(Skills!H9&gt;0,Skills!I9/Skills!H9,1)+IF(Skills!H9&gt;0,MIN(Skills!I9,MAX(0,MAX(0,Inputs!$B$43-B1914)-((R1886-1)*(IF(Inputs!$B$38="pvp",15,MAX(0.1,Skills!D9-IF(Skills!E9=TRUE,Inputs!$B$32,0)))*(1-IF(AND(ArtifactsInput!$M$27,Inputs!$B$4="Chapter Hunt"),CHOOSE(ArtifactsInput!$N$27+1,20,24,28,32,36,40),0)/100)))))/Skills!H9,1)))/Inputs!$B$43),G1886*Q1886)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1886*(1-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1886*(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1886*(1-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1886*(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6">
        <f>IF(C1886,(H1886*N1886*IF(AND(Inputs!$B$38&lt;&gt;"pvp",Inputs!$B$43&gt;0),((Skills!G9*((R1886-1)*IF(Skills!H9&gt;0,Skills!I9/Skills!H9,1)+IF(Skills!H9&gt;0,MIN(Skills!I9,MAX(0,MAX(0,Inputs!$B$43-B1914)-((R1886-1)*(IF(Inputs!$B$38="pvp",15,MAX(0.1,Skills!D9-IF(Skills!E9=TRUE,Inputs!$B$32,0)))*(1-IF(AND(ArtifactsInput!$M$27,Inputs!$B$4="Chapter Hunt"),CHOOSE(ArtifactsInput!$N$27+1,20,24,28,32,36,40),0)/100)))))/Skills!H9,1)))/Inputs!$B$43),G1886*Q1886))*IF(Inputs!$B$38="pvp",1,(1+(Inputs!$B$21+Skills!Q9+(IF(ArtifactsInput!$M$33,CHOOSE(ArtifactsInput!$N$33+1,30,36,42,48,54,60)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7">
      <c r="A1887">
        <f>Skills!A10</f>
        <v/>
      </c>
      <c r="B1887">
        <f>Skills!B10</f>
        <v/>
      </c>
      <c r="C1887">
        <f>Inputs!$B$3&gt;=113</f>
        <v/>
      </c>
      <c r="D1887">
        <f>IF(Skills!C10=1,60+Inputs!$B$25+Inputs!$B$29,IF(Skills!C10=2,90+Inputs!$B$26+Inputs!$B$29,IF(Skills!C10=3,120+Inputs!$B$27+Inputs!$B$29,MAX(0,(Inputs!$B$3-100)*3)+Inputs!$B$28+Inputs!$B$29)))</f>
        <v/>
      </c>
      <c r="E1887">
        <f>INDEX(FactorTable!$B$2:$Y$301, MATCH(ROUND(MIN(300,MAX(1,D1887)),0), FactorTable!$A$2:$A$301,0), Skills!M10+1)</f>
        <v/>
      </c>
      <c r="F1887">
        <f>IF(Skills!N10=TRUE,(Skills!L10/10)*(E1887/1000),Skills!L10/10)+Skills!O10</f>
        <v/>
      </c>
      <c r="G1887">
        <f>Skills!G10*IF(Skills!H10&gt;0,Skills!I10/Skills!H10,1)</f>
        <v/>
      </c>
      <c r="H1887">
        <f>1-(1-Skills!J10/100)^Skills!K10</f>
        <v/>
      </c>
      <c r="I1887" t="inlineStr">
        <is>
          <t>1</t>
        </is>
      </c>
      <c r="J1887">
        <f>((Inputs!$B$6*(1+Inputs!$B$7/100))+(((Inputs!$B$12*(1+Inputs!$B$13/100))-(Inputs!$B$12*(1+Inputs!$B$13/100)))+0.25*(Inputs!$B$14-Inputs!$B$14))*(1+Inputs!$B$7/100))*(F1887/100)</f>
        <v/>
      </c>
      <c r="K1887">
        <f>J1887*(1+((Inputs!$B$12*(1+Inputs!$B$13/100))*0.01+Inputs!$B$14*0.0025)/100)*(1+Inputs!$B$15/100)*(1+Inputs!$B$16/100)*(5000/(6000+Inputs!$B$42*(1-(100*(1-(1-(Inputs!$B$19+0)/100)*(1-CHOOSE(ArtifactsInput!$N$40+1,5,6,7,8,9,10)/100)^(ArtifactsInput!$M$40-ArtifactsInput!$M$40)))/100)))*(1+(Inputs!$B$24+((C1903=TRUE)*(F1903-Calc!F26))+B1913)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1900=TRUE)*(F1900-Calc!F23))+((C1904=TRUE)*(F1904-Calc!F27))+(((IF(AND(ArtifactsInput!$M$42,((Inputs!$B$9+((C1896=TRUE)*(F1896-Calc!F19))+B1907+(ArtifactsInput!$M$24-ArtifactsInput!$M$24)*CHOOSE(ArtifactsInput!$N$24+1,10,12,14,16,18,20)+IF(ArtifactsInput!$M$10,CHOOSE(ArtifactsInput!$N$10+1,15,18,21,24,27,30)*(IF(Inputs!$B$38="pvp",MIN(15,15)/15,IF(AND(Inputs!$B$38&lt;&gt;"pvp",Inputs!$B$43&gt;0),MIN(15,Inputs!$B$43)/(Inputs!$B$43),0))),0)))&gt;=100),MIN(100,((Inputs!$B$9+((C1896=TRUE)*(F1896-Calc!F19))+B1907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1896=TRUE)*(F1896-Calc!F19))+B1907+(ArtifactsInput!$M$24-ArtifactsInput!$M$24)*CHOOSE(ArtifactsInput!$N$24+1,10,12,14,16,18,20)+IF(ArtifactsInput!$M$10,CHOOSE(ArtifactsInput!$N$10+1,15,18,21,24,27,30)*(IF(Inputs!$B$38="pvp",MIN(15,15)/15,IF(AND(Inputs!$B$38&lt;&gt;"pvp",Inputs!$B$43&gt;0),MIN(15,Inputs!$B$43)/(Inputs!$B$43),0))),0)))&gt;=100),CHOOSE(ArtifactsInput!$N$42+1,40,48,56,64,72,80),0))))/100)*((1+(((C1894=TRUE)*F1894)+((C1901=TRUE)*(F1901-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1887)</f>
        <v/>
      </c>
      <c r="L1887">
        <f>K1887*(MIN(Inputs!$B$22+((C1899=TRUE)*(F1899-Calc!F22)),(Inputs!$B$23+0+(IF(ArtifactsInput!$M$15,CHOOSE(ArtifactsInput!$N$15+1,25,30,35,40,45,50)/100*(Inputs!$B$11-Inputs!$B$11),0))))/100+(Inputs!$B$23+0+(IF(ArtifactsInput!$M$15,CHOOSE(ArtifactsInput!$N$15+1,25,30,35,40,45,50)/100*(Inputs!$B$11-Inputs!$B$11),0)))/100)/2</f>
        <v/>
      </c>
      <c r="M1887">
        <f>L1887*(1+(Inputs!$B$10+((C1902=TRUE)*(F1902-Calc!F25))+B1912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7">
        <f>L1887*(1-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1887*(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7">
        <f>(1-Summary!$B$11)*T1887+Summary!$B$11*V1887</f>
        <v/>
      </c>
      <c r="P1887">
        <f>IF(B1917=0,0,O1887/B1917)</f>
        <v/>
      </c>
      <c r="Q1887">
        <f>IFERROR(1/(IF(Inputs!$B$38="pvp",15,MAX(0.1,Skills!D10-IF(Skills!E10=TRUE,Inputs!$B$32,0)))*(1-IF(AND(ArtifactsInput!$M$27,Inputs!$B$4="Chapter Hunt"),CHOOSE(ArtifactsInput!$N$27+1,20,24,28,32,36,40),0)/100)),0)</f>
        <v/>
      </c>
      <c r="R1887">
        <f>IF(AND(Inputs!$B$38&lt;&gt;"pvp",Inputs!$B$43&gt;0),IF(MAX(0,Inputs!$B$43-B1914)&lt;=0,0,(INT(MAX(0,Inputs!$B$43-B1914)/(IF(Inputs!$B$38="pvp",15,MAX(0.1,Skills!D10-IF(Skills!E10=TRUE,Inputs!$B$32,0)))*(1-IF(AND(ArtifactsInput!$M$27,Inputs!$B$4="Chapter Hunt"),CHOOSE(ArtifactsInput!$N$27+1,20,24,28,32,36,40),0)/100)))+1)),0)</f>
        <v/>
      </c>
      <c r="S1887">
        <f>IFERROR(O1887/N1887,0)</f>
        <v/>
      </c>
      <c r="T1887">
        <f>IF(C1887,(H1887*N1887*IF(AND(Inputs!$B$38&lt;&gt;"pvp",Inputs!$B$43&gt;0),((Skills!G10*((R1887-1)*IF(Skills!H10&gt;0,Skills!I10/Skills!H10,1)+IF(Skills!H10&gt;0,MIN(Skills!I10,MAX(0,MAX(0,Inputs!$B$43-B1914)-((R1887-1)*(IF(Inputs!$B$38="pvp",15,MAX(0.1,Skills!D10-IF(Skills!E10=TRUE,Inputs!$B$32,0)))*(1-IF(AND(ArtifactsInput!$M$27,Inputs!$B$4="Chapter Hunt"),CHOOSE(ArtifactsInput!$N$27+1,20,24,28,32,36,40),0)/100)))))/Skills!H10,1)))/Inputs!$B$43),G1887*Q1887)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1887*(1-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1887*(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1887*(1-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1887*(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7">
        <f>IF(C1887,(H1887*N1887*IF(AND(Inputs!$B$38&lt;&gt;"pvp",Inputs!$B$43&gt;0),((Skills!G10*((R1887-1)*IF(Skills!H10&gt;0,Skills!I10/Skills!H10,1)+IF(Skills!H10&gt;0,MIN(Skills!I10,MAX(0,MAX(0,Inputs!$B$43-B1914)-((R1887-1)*(IF(Inputs!$B$38="pvp",15,MAX(0.1,Skills!D10-IF(Skills!E10=TRUE,Inputs!$B$32,0)))*(1-IF(AND(ArtifactsInput!$M$27,Inputs!$B$4="Chapter Hunt"),CHOOSE(ArtifactsInput!$N$27+1,20,24,28,32,36,40),0)/100)))))/Skills!H10,1)))/Inputs!$B$43),G1887*Q1887))*IF(Inputs!$B$38="pvp",1,(1+(Inputs!$B$21+Skills!Q10+(IF(ArtifactsInput!$M$33,CHOOSE(ArtifactsInput!$N$33+1,30,36,42,48,54,60)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8">
      <c r="A1888">
        <f>Skills!A11</f>
        <v/>
      </c>
      <c r="B1888">
        <f>Skills!B11</f>
        <v/>
      </c>
      <c r="C1888">
        <f>Inputs!$B$3&gt;=107</f>
        <v/>
      </c>
      <c r="D1888">
        <f>IF(Skills!C11=1,60+Inputs!$B$25+Inputs!$B$29,IF(Skills!C11=2,90+Inputs!$B$26+Inputs!$B$29,IF(Skills!C11=3,120+Inputs!$B$27+Inputs!$B$29,MAX(0,(Inputs!$B$3-100)*3)+Inputs!$B$28+Inputs!$B$29)))</f>
        <v/>
      </c>
      <c r="E1888">
        <f>INDEX(FactorTable!$B$2:$Y$301, MATCH(ROUND(MIN(300,MAX(1,D1888)),0), FactorTable!$A$2:$A$301,0), Skills!M11+1)</f>
        <v/>
      </c>
      <c r="F1888">
        <f>IF(Skills!N11=TRUE,(Skills!L11/10)*(E1888/1000),Skills!L11/10)+Skills!O11</f>
        <v/>
      </c>
      <c r="G1888">
        <f>Skills!G11*IF(Skills!H11&gt;0,Skills!I11/Skills!H11,1)</f>
        <v/>
      </c>
      <c r="H1888">
        <f>1-(1-Skills!J11/100)^Skills!K11</f>
        <v/>
      </c>
      <c r="I1888" t="inlineStr">
        <is>
          <t>1</t>
        </is>
      </c>
      <c r="J1888">
        <f>((Inputs!$B$6*(1+Inputs!$B$7/100))+(((Inputs!$B$12*(1+Inputs!$B$13/100))-(Inputs!$B$12*(1+Inputs!$B$13/100)))+0.25*(Inputs!$B$14-Inputs!$B$14))*(1+Inputs!$B$7/100))*(F1888/100)</f>
        <v/>
      </c>
      <c r="K1888">
        <f>J1888*(1+((Inputs!$B$12*(1+Inputs!$B$13/100))*0.01+Inputs!$B$14*0.0025)/100)*(1+Inputs!$B$15/100)*(1+Inputs!$B$16/100)*(5000/(6000+Inputs!$B$42*(1-(100*(1-(1-(Inputs!$B$19+0)/100)*(1-CHOOSE(ArtifactsInput!$N$40+1,5,6,7,8,9,10)/100)^(ArtifactsInput!$M$40-ArtifactsInput!$M$40)))/100)))*(1+(Inputs!$B$24+((C1903=TRUE)*(F1903-Calc!F26))+B1913)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1900=TRUE)*(F1900-Calc!F23))+((C1904=TRUE)*(F1904-Calc!F27))+(((IF(AND(ArtifactsInput!$M$42,((Inputs!$B$9+((C1896=TRUE)*(F1896-Calc!F19))+B1907+(ArtifactsInput!$M$24-ArtifactsInput!$M$24)*CHOOSE(ArtifactsInput!$N$24+1,10,12,14,16,18,20)+IF(ArtifactsInput!$M$10,CHOOSE(ArtifactsInput!$N$10+1,15,18,21,24,27,30)*(IF(Inputs!$B$38="pvp",MIN(15,15)/15,IF(AND(Inputs!$B$38&lt;&gt;"pvp",Inputs!$B$43&gt;0),MIN(15,Inputs!$B$43)/(Inputs!$B$43),0))),0)))&gt;=100),MIN(100,((Inputs!$B$9+((C1896=TRUE)*(F1896-Calc!F19))+B1907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1896=TRUE)*(F1896-Calc!F19))+B1907+(ArtifactsInput!$M$24-ArtifactsInput!$M$24)*CHOOSE(ArtifactsInput!$N$24+1,10,12,14,16,18,20)+IF(ArtifactsInput!$M$10,CHOOSE(ArtifactsInput!$N$10+1,15,18,21,24,27,30)*(IF(Inputs!$B$38="pvp",MIN(15,15)/15,IF(AND(Inputs!$B$38&lt;&gt;"pvp",Inputs!$B$43&gt;0),MIN(15,Inputs!$B$43)/(Inputs!$B$43),0))),0)))&gt;=100),CHOOSE(ArtifactsInput!$N$42+1,40,48,56,64,72,80),0))))/100)*((1+(((C1894=TRUE)*F1894)+((C1901=TRUE)*(F1901-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1888)</f>
        <v/>
      </c>
      <c r="L1888">
        <f>K1888*(MIN(Inputs!$B$22+((C1899=TRUE)*(F1899-Calc!F22)),(Inputs!$B$23+0+(IF(ArtifactsInput!$M$15,CHOOSE(ArtifactsInput!$N$15+1,25,30,35,40,45,50)/100*(Inputs!$B$11-Inputs!$B$11),0))))/100+(Inputs!$B$23+0+(IF(ArtifactsInput!$M$15,CHOOSE(ArtifactsInput!$N$15+1,25,30,35,40,45,50)/100*(Inputs!$B$11-Inputs!$B$11),0)))/100)/2</f>
        <v/>
      </c>
      <c r="M1888">
        <f>L1888*(1+(Inputs!$B$10+((C1902=TRUE)*(F1902-Calc!F25))+B1912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8">
        <f>L1888*(1-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1888*(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8">
        <f>(1-Summary!$B$11)*T1888+Summary!$B$11*V1888</f>
        <v/>
      </c>
      <c r="P1888">
        <f>IF(B1917=0,0,O1888/B1917)</f>
        <v/>
      </c>
      <c r="Q1888">
        <f>IFERROR(1/(IF(Inputs!$B$38="pvp",15,MAX(0.1,Skills!D11-IF(Skills!E11=TRUE,Inputs!$B$32,0)))*(1-IF(AND(ArtifactsInput!$M$27,Inputs!$B$4="Chapter Hunt"),CHOOSE(ArtifactsInput!$N$27+1,20,24,28,32,36,40),0)/100)),0)</f>
        <v/>
      </c>
      <c r="R1888">
        <f>IF(AND(Inputs!$B$38&lt;&gt;"pvp",Inputs!$B$43&gt;0),IF(MAX(0,Inputs!$B$43-B1914)&lt;=0,0,(INT(MAX(0,Inputs!$B$43-B1914)/(IF(Inputs!$B$38="pvp",15,MAX(0.1,Skills!D11-IF(Skills!E11=TRUE,Inputs!$B$32,0)))*(1-IF(AND(ArtifactsInput!$M$27,Inputs!$B$4="Chapter Hunt"),CHOOSE(ArtifactsInput!$N$27+1,20,24,28,32,36,40),0)/100)))+1)),0)</f>
        <v/>
      </c>
      <c r="S1888">
        <f>IFERROR(O1888/N1888,0)</f>
        <v/>
      </c>
      <c r="T1888">
        <f>IF(C1888,(H1888*N1888*IF(AND(Inputs!$B$38&lt;&gt;"pvp",Inputs!$B$43&gt;0),((Skills!G11*((R1888-1)*IF(Skills!H11&gt;0,Skills!I11/Skills!H11,1)+IF(Skills!H11&gt;0,MIN(Skills!I11,MAX(0,MAX(0,Inputs!$B$43-B1914)-((R1888-1)*(IF(Inputs!$B$38="pvp",15,MAX(0.1,Skills!D11-IF(Skills!E11=TRUE,Inputs!$B$32,0)))*(1-IF(AND(ArtifactsInput!$M$27,Inputs!$B$4="Chapter Hunt"),CHOOSE(ArtifactsInput!$N$27+1,20,24,28,32,36,40),0)/100)))))/Skills!H11,1)))/Inputs!$B$43),G1888*Q1888)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1888*(1-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1888*(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1888*(1-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1888*(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8">
        <f>IF(C1888,(H1888*N1888*IF(AND(Inputs!$B$38&lt;&gt;"pvp",Inputs!$B$43&gt;0),((Skills!G11*((R1888-1)*IF(Skills!H11&gt;0,Skills!I11/Skills!H11,1)+IF(Skills!H11&gt;0,MIN(Skills!I11,MAX(0,MAX(0,Inputs!$B$43-B1914)-((R1888-1)*(IF(Inputs!$B$38="pvp",15,MAX(0.1,Skills!D11-IF(Skills!E11=TRUE,Inputs!$B$32,0)))*(1-IF(AND(ArtifactsInput!$M$27,Inputs!$B$4="Chapter Hunt"),CHOOSE(ArtifactsInput!$N$27+1,20,24,28,32,36,40),0)/100)))))/Skills!H11,1)))/Inputs!$B$43),G1888*Q1888))*IF(Inputs!$B$38="pvp",1,(1+(Inputs!$B$21+Skills!Q11+(IF(ArtifactsInput!$M$33,CHOOSE(ArtifactsInput!$N$33+1,30,36,42,48,54,60)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9">
      <c r="A1889">
        <f>Skills!A12</f>
        <v/>
      </c>
      <c r="B1889">
        <f>Skills!B12</f>
        <v/>
      </c>
      <c r="C1889">
        <f>Inputs!$B$3&gt;=110</f>
        <v/>
      </c>
      <c r="D1889">
        <f>IF(Skills!C12=1,60+Inputs!$B$25+Inputs!$B$29,IF(Skills!C12=2,90+Inputs!$B$26+Inputs!$B$29,IF(Skills!C12=3,120+Inputs!$B$27+Inputs!$B$29,MAX(0,(Inputs!$B$3-100)*3)+Inputs!$B$28+Inputs!$B$29)))</f>
        <v/>
      </c>
      <c r="E1889">
        <f>INDEX(FactorTable!$B$2:$Y$301, MATCH(ROUND(MIN(300,MAX(1,D1889)),0), FactorTable!$A$2:$A$301,0), Skills!M12+1)</f>
        <v/>
      </c>
      <c r="F1889">
        <f>IF(Skills!N12=TRUE,(Skills!L12/10)*(E1889/1000),Skills!L12/10)+Skills!O12</f>
        <v/>
      </c>
      <c r="G1889">
        <f>Skills!G12*IF(Skills!H12&gt;0,Skills!I12/Skills!H12,1)</f>
        <v/>
      </c>
      <c r="H1889">
        <f>1-(1-Skills!J12/100)^Skills!K12</f>
        <v/>
      </c>
      <c r="I1889" t="inlineStr">
        <is>
          <t>1</t>
        </is>
      </c>
      <c r="J1889">
        <f>((Inputs!$B$6*(1+Inputs!$B$7/100))+(((Inputs!$B$12*(1+Inputs!$B$13/100))-(Inputs!$B$12*(1+Inputs!$B$13/100)))+0.25*(Inputs!$B$14-Inputs!$B$14))*(1+Inputs!$B$7/100))*(F1889/100)</f>
        <v/>
      </c>
      <c r="K1889">
        <f>J1889*(1+((Inputs!$B$12*(1+Inputs!$B$13/100))*0.01+Inputs!$B$14*0.0025)/100)*(1+Inputs!$B$15/100)*(1+Inputs!$B$16/100)*(5000/(6000+Inputs!$B$42*(1-(100*(1-(1-(Inputs!$B$19+0)/100)*(1-CHOOSE(ArtifactsInput!$N$40+1,5,6,7,8,9,10)/100)^(ArtifactsInput!$M$40-ArtifactsInput!$M$40)))/100)))*(1+(Inputs!$B$24+((C1903=TRUE)*(F1903-Calc!F26))+B1913)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1900=TRUE)*(F1900-Calc!F23))+((C1904=TRUE)*(F1904-Calc!F27))+(((IF(AND(ArtifactsInput!$M$42,((Inputs!$B$9+((C1896=TRUE)*(F1896-Calc!F19))+B1907+(ArtifactsInput!$M$24-ArtifactsInput!$M$24)*CHOOSE(ArtifactsInput!$N$24+1,10,12,14,16,18,20)+IF(ArtifactsInput!$M$10,CHOOSE(ArtifactsInput!$N$10+1,15,18,21,24,27,30)*(IF(Inputs!$B$38="pvp",MIN(15,15)/15,IF(AND(Inputs!$B$38&lt;&gt;"pvp",Inputs!$B$43&gt;0),MIN(15,Inputs!$B$43)/(Inputs!$B$43),0))),0)))&gt;=100),MIN(100,((Inputs!$B$9+((C1896=TRUE)*(F1896-Calc!F19))+B1907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1896=TRUE)*(F1896-Calc!F19))+B1907+(ArtifactsInput!$M$24-ArtifactsInput!$M$24)*CHOOSE(ArtifactsInput!$N$24+1,10,12,14,16,18,20)+IF(ArtifactsInput!$M$10,CHOOSE(ArtifactsInput!$N$10+1,15,18,21,24,27,30)*(IF(Inputs!$B$38="pvp",MIN(15,15)/15,IF(AND(Inputs!$B$38&lt;&gt;"pvp",Inputs!$B$43&gt;0),MIN(15,Inputs!$B$43)/(Inputs!$B$43),0))),0)))&gt;=100),CHOOSE(ArtifactsInput!$N$42+1,40,48,56,64,72,80),0))))/100)*((1+(((C1894=TRUE)*F1894)+((C1901=TRUE)*(F1901-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1889)</f>
        <v/>
      </c>
      <c r="L1889">
        <f>K1889*(MIN(Inputs!$B$22+((C1899=TRUE)*(F1899-Calc!F22)),(Inputs!$B$23+0+(IF(ArtifactsInput!$M$15,CHOOSE(ArtifactsInput!$N$15+1,25,30,35,40,45,50)/100*(Inputs!$B$11-Inputs!$B$11),0))))/100+(Inputs!$B$23+0+(IF(ArtifactsInput!$M$15,CHOOSE(ArtifactsInput!$N$15+1,25,30,35,40,45,50)/100*(Inputs!$B$11-Inputs!$B$11),0)))/100)/2</f>
        <v/>
      </c>
      <c r="M1889">
        <f>L1889*(1+(Inputs!$B$10+((C1902=TRUE)*(F1902-Calc!F25))+B1912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9">
        <f>L1889*(1-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1889*(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9">
        <f>(1-Summary!$B$11)*T1889+Summary!$B$11*V1889</f>
        <v/>
      </c>
      <c r="P1889">
        <f>IF(B1917=0,0,O1889/B1917)</f>
        <v/>
      </c>
      <c r="Q1889">
        <f>IFERROR(1/(IF(Inputs!$B$38="pvp",15,MAX(0.1,Skills!D12-IF(Skills!E12=TRUE,Inputs!$B$32,0)))*(1-IF(AND(ArtifactsInput!$M$27,Inputs!$B$4="Chapter Hunt"),CHOOSE(ArtifactsInput!$N$27+1,20,24,28,32,36,40),0)/100)),0)</f>
        <v/>
      </c>
      <c r="R1889">
        <f>IF(AND(Inputs!$B$38&lt;&gt;"pvp",Inputs!$B$43&gt;0),IF(MAX(0,Inputs!$B$43-B1914)&lt;=0,0,(INT(MAX(0,Inputs!$B$43-B1914)/(IF(Inputs!$B$38="pvp",15,MAX(0.1,Skills!D12-IF(Skills!E12=TRUE,Inputs!$B$32,0)))*(1-IF(AND(ArtifactsInput!$M$27,Inputs!$B$4="Chapter Hunt"),CHOOSE(ArtifactsInput!$N$27+1,20,24,28,32,36,40),0)/100)))+1)),0)</f>
        <v/>
      </c>
      <c r="S1889">
        <f>IFERROR(O1889/N1889,0)</f>
        <v/>
      </c>
      <c r="T1889">
        <f>IF(C1889,(H1889*N1889*IF(AND(Inputs!$B$38&lt;&gt;"pvp",Inputs!$B$43&gt;0),((Skills!G12*((R1889-1)*IF(Skills!H12&gt;0,Skills!I12/Skills!H12,1)+IF(Skills!H12&gt;0,MIN(Skills!I12,MAX(0,MAX(0,Inputs!$B$43-B1914)-((R1889-1)*(IF(Inputs!$B$38="pvp",15,MAX(0.1,Skills!D12-IF(Skills!E12=TRUE,Inputs!$B$32,0)))*(1-IF(AND(ArtifactsInput!$M$27,Inputs!$B$4="Chapter Hunt"),CHOOSE(ArtifactsInput!$N$27+1,20,24,28,32,36,40),0)/100)))))/Skills!H12,1)))/Inputs!$B$43),G1889*Q1889)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1889*(1-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1889*(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1889*(1-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1889*(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9">
        <f>IF(C1889,(H1889*N1889*IF(AND(Inputs!$B$38&lt;&gt;"pvp",Inputs!$B$43&gt;0),((Skills!G12*((R1889-1)*IF(Skills!H12&gt;0,Skills!I12/Skills!H12,1)+IF(Skills!H12&gt;0,MIN(Skills!I12,MAX(0,MAX(0,Inputs!$B$43-B1914)-((R1889-1)*(IF(Inputs!$B$38="pvp",15,MAX(0.1,Skills!D12-IF(Skills!E12=TRUE,Inputs!$B$32,0)))*(1-IF(AND(ArtifactsInput!$M$27,Inputs!$B$4="Chapter Hunt"),CHOOSE(ArtifactsInput!$N$27+1,20,24,28,32,36,40),0)/100)))))/Skills!H12,1)))/Inputs!$B$43),G1889*Q1889))*IF(Inputs!$B$38="pvp",1,(1+(Inputs!$B$21+Skills!Q12+(IF(ArtifactsInput!$M$33,CHOOSE(ArtifactsInput!$N$33+1,30,36,42,48,54,60)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0">
      <c r="A1890">
        <f>Skills!A13</f>
        <v/>
      </c>
      <c r="B1890">
        <f>Skills!B13</f>
        <v/>
      </c>
      <c r="C1890">
        <f>Inputs!$B$3&gt;=110</f>
        <v/>
      </c>
      <c r="D1890">
        <f>IF(Skills!C13=1,60+Inputs!$B$25+Inputs!$B$29,IF(Skills!C13=2,90+Inputs!$B$26+Inputs!$B$29,IF(Skills!C13=3,120+Inputs!$B$27+Inputs!$B$29,MAX(0,(Inputs!$B$3-100)*3)+Inputs!$B$28+Inputs!$B$29)))</f>
        <v/>
      </c>
      <c r="E1890">
        <f>INDEX(FactorTable!$B$2:$Y$301, MATCH(ROUND(MIN(300,MAX(1,D1890)),0), FactorTable!$A$2:$A$301,0), Skills!M13+1)</f>
        <v/>
      </c>
      <c r="F1890">
        <f>IF(Skills!N13=TRUE,(Skills!L13/10)*(E1890/1000),Skills!L13/10)+Skills!O13</f>
        <v/>
      </c>
      <c r="G1890">
        <f>Skills!G13*IF(Skills!H13&gt;0,Skills!I13/Skills!H13,1)</f>
        <v/>
      </c>
      <c r="H1890">
        <f>1-(1-Skills!J13/100)^Skills!K13</f>
        <v/>
      </c>
      <c r="I1890" t="inlineStr">
        <is>
          <t>1</t>
        </is>
      </c>
      <c r="J1890">
        <f>((Inputs!$B$6*(1+Inputs!$B$7/100))+(((Inputs!$B$12*(1+Inputs!$B$13/100))-(Inputs!$B$12*(1+Inputs!$B$13/100)))+0.25*(Inputs!$B$14-Inputs!$B$14))*(1+Inputs!$B$7/100))*(F1890/100)</f>
        <v/>
      </c>
      <c r="K1890">
        <f>J1890*(1+((Inputs!$B$12*(1+Inputs!$B$13/100))*0.01+Inputs!$B$14*0.0025)/100)*(1+Inputs!$B$15/100)*(1+Inputs!$B$16/100)*(5000/(6000+Inputs!$B$42*(1-(100*(1-(1-(Inputs!$B$19+0)/100)*(1-CHOOSE(ArtifactsInput!$N$40+1,5,6,7,8,9,10)/100)^(ArtifactsInput!$M$40-ArtifactsInput!$M$40)))/100)))*(1+(Inputs!$B$24+((C1903=TRUE)*(F1903-Calc!F26))+B1913)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1900=TRUE)*(F1900-Calc!F23))+((C1904=TRUE)*(F1904-Calc!F27))+(((IF(AND(ArtifactsInput!$M$42,((Inputs!$B$9+((C1896=TRUE)*(F1896-Calc!F19))+B1907+(ArtifactsInput!$M$24-ArtifactsInput!$M$24)*CHOOSE(ArtifactsInput!$N$24+1,10,12,14,16,18,20)+IF(ArtifactsInput!$M$10,CHOOSE(ArtifactsInput!$N$10+1,15,18,21,24,27,30)*(IF(Inputs!$B$38="pvp",MIN(15,15)/15,IF(AND(Inputs!$B$38&lt;&gt;"pvp",Inputs!$B$43&gt;0),MIN(15,Inputs!$B$43)/(Inputs!$B$43),0))),0)))&gt;=100),MIN(100,((Inputs!$B$9+((C1896=TRUE)*(F1896-Calc!F19))+B1907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1896=TRUE)*(F1896-Calc!F19))+B1907+(ArtifactsInput!$M$24-ArtifactsInput!$M$24)*CHOOSE(ArtifactsInput!$N$24+1,10,12,14,16,18,20)+IF(ArtifactsInput!$M$10,CHOOSE(ArtifactsInput!$N$10+1,15,18,21,24,27,30)*(IF(Inputs!$B$38="pvp",MIN(15,15)/15,IF(AND(Inputs!$B$38&lt;&gt;"pvp",Inputs!$B$43&gt;0),MIN(15,Inputs!$B$43)/(Inputs!$B$43),0))),0)))&gt;=100),CHOOSE(ArtifactsInput!$N$42+1,40,48,56,64,72,80),0))))/100)*((1+(((C1894=TRUE)*F1894)+((C1901=TRUE)*(F1901-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1890)</f>
        <v/>
      </c>
      <c r="L1890">
        <f>K1890*(MIN(Inputs!$B$22+((C1899=TRUE)*(F1899-Calc!F22)),(Inputs!$B$23+0+(IF(ArtifactsInput!$M$15,CHOOSE(ArtifactsInput!$N$15+1,25,30,35,40,45,50)/100*(Inputs!$B$11-Inputs!$B$11),0))))/100+(Inputs!$B$23+0+(IF(ArtifactsInput!$M$15,CHOOSE(ArtifactsInput!$N$15+1,25,30,35,40,45,50)/100*(Inputs!$B$11-Inputs!$B$11),0)))/100)/2</f>
        <v/>
      </c>
      <c r="M1890">
        <f>L1890*(1+(Inputs!$B$10+((C1902=TRUE)*(F1902-Calc!F25))+B1912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90">
        <f>L1890*(1-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1890*(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90">
        <f>(1-Summary!$B$11)*T1890+Summary!$B$11*V1890</f>
        <v/>
      </c>
      <c r="P1890">
        <f>IF(B1917=0,0,O1890/B1917)</f>
        <v/>
      </c>
      <c r="Q1890">
        <f>IFERROR(1/(IF(Inputs!$B$38="pvp",15,MAX(0.1,Skills!D13-IF(Skills!E13=TRUE,Inputs!$B$32,0)))*(1-IF(AND(ArtifactsInput!$M$27,Inputs!$B$4="Chapter Hunt"),CHOOSE(ArtifactsInput!$N$27+1,20,24,28,32,36,40),0)/100)),0)</f>
        <v/>
      </c>
      <c r="R1890">
        <f>IF(AND(Inputs!$B$38&lt;&gt;"pvp",Inputs!$B$43&gt;0),IF(MAX(0,Inputs!$B$43-B1914)&lt;=0,0,(INT(MAX(0,Inputs!$B$43-B1914)/(IF(Inputs!$B$38="pvp",15,MAX(0.1,Skills!D13-IF(Skills!E13=TRUE,Inputs!$B$32,0)))*(1-IF(AND(ArtifactsInput!$M$27,Inputs!$B$4="Chapter Hunt"),CHOOSE(ArtifactsInput!$N$27+1,20,24,28,32,36,40),0)/100)))+1)),0)</f>
        <v/>
      </c>
      <c r="S1890">
        <f>IFERROR(O1890/N1890,0)</f>
        <v/>
      </c>
      <c r="T1890">
        <f>IF(C1890,(H1890*N1890*IF(AND(Inputs!$B$38&lt;&gt;"pvp",Inputs!$B$43&gt;0),((Skills!G13*((R1890-1)*IF(Skills!H13&gt;0,Skills!I13/Skills!H13,1)+IF(Skills!H13&gt;0,MIN(Skills!I13,MAX(0,MAX(0,Inputs!$B$43-B1914)-((R1890-1)*(IF(Inputs!$B$38="pvp",15,MAX(0.1,Skills!D13-IF(Skills!E13=TRUE,Inputs!$B$32,0)))*(1-IF(AND(ArtifactsInput!$M$27,Inputs!$B$4="Chapter Hunt"),CHOOSE(ArtifactsInput!$N$27+1,20,24,28,32,36,40),0)/100)))))/Skills!H13,1)))/Inputs!$B$43),G1890*Q1890)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1890*(1-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1890*(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1890*(1-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1890*(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90">
        <f>IF(C1890,(H1890*N1890*IF(AND(Inputs!$B$38&lt;&gt;"pvp",Inputs!$B$43&gt;0),((Skills!G13*((R1890-1)*IF(Skills!H13&gt;0,Skills!I13/Skills!H13,1)+IF(Skills!H13&gt;0,MIN(Skills!I13,MAX(0,MAX(0,Inputs!$B$43-B1914)-((R1890-1)*(IF(Inputs!$B$38="pvp",15,MAX(0.1,Skills!D13-IF(Skills!E13=TRUE,Inputs!$B$32,0)))*(1-IF(AND(ArtifactsInput!$M$27,Inputs!$B$4="Chapter Hunt"),CHOOSE(ArtifactsInput!$N$27+1,20,24,28,32,36,40),0)/100)))))/Skills!H13,1)))/Inputs!$B$43),G1890*Q1890))*IF(Inputs!$B$38="pvp",1,(1+(Inputs!$B$21+Skills!Q13+(IF(ArtifactsInput!$M$33,CHOOSE(ArtifactsInput!$N$33+1,30,36,42,48,54,60)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1">
      <c r="A1891">
        <f>Skills!A14</f>
        <v/>
      </c>
      <c r="B1891">
        <f>Skills!B14</f>
        <v/>
      </c>
      <c r="C1891">
        <f>Inputs!$B$3&gt;=125</f>
        <v/>
      </c>
      <c r="D1891">
        <f>IF(Skills!C14=1,60+Inputs!$B$25+Inputs!$B$29,IF(Skills!C14=2,90+Inputs!$B$26+Inputs!$B$29,IF(Skills!C14=3,120+Inputs!$B$27+Inputs!$B$29,MAX(0,(Inputs!$B$3-100)*3)+Inputs!$B$28+Inputs!$B$29)))</f>
        <v/>
      </c>
      <c r="E1891">
        <f>INDEX(FactorTable!$B$2:$Y$301, MATCH(ROUND(MIN(300,MAX(1,D1891)),0), FactorTable!$A$2:$A$301,0), Skills!M14+1)</f>
        <v/>
      </c>
      <c r="F1891">
        <f>IF(Skills!N14=TRUE,(Skills!L14/10)*(E1891/1000),Skills!L14/10)+Skills!O14</f>
        <v/>
      </c>
      <c r="G1891">
        <f>Skills!G14*IF(Skills!H14&gt;0,Skills!I14/Skills!H14,1)</f>
        <v/>
      </c>
      <c r="H1891">
        <f>1-(1-Skills!J14/100)^Skills!K14</f>
        <v/>
      </c>
      <c r="I1891" t="inlineStr">
        <is>
          <t>1</t>
        </is>
      </c>
      <c r="J1891">
        <f>((Inputs!$B$6*(1+Inputs!$B$7/100))+(((Inputs!$B$12*(1+Inputs!$B$13/100))-(Inputs!$B$12*(1+Inputs!$B$13/100)))+0.25*(Inputs!$B$14-Inputs!$B$14))*(1+Inputs!$B$7/100))*(F1891/100)</f>
        <v/>
      </c>
      <c r="K1891">
        <f>J1891*(1+((Inputs!$B$12*(1+Inputs!$B$13/100))*0.01+Inputs!$B$14*0.0025)/100)*(1+Inputs!$B$15/100)*(1+Inputs!$B$16/100)*(5000/(6000+Inputs!$B$42*(1-(100*(1-(1-(Inputs!$B$19+0)/100)*(1-CHOOSE(ArtifactsInput!$N$40+1,5,6,7,8,9,10)/100)^(ArtifactsInput!$M$40-ArtifactsInput!$M$40)))/100)))*(1+(Inputs!$B$24+((C1903=TRUE)*(F1903-Calc!F26))+B1913)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1900=TRUE)*(F1900-Calc!F23))+((C1904=TRUE)*(F1904-Calc!F27))+(((IF(AND(ArtifactsInput!$M$42,((Inputs!$B$9+((C1896=TRUE)*(F1896-Calc!F19))+B1907+(ArtifactsInput!$M$24-ArtifactsInput!$M$24)*CHOOSE(ArtifactsInput!$N$24+1,10,12,14,16,18,20)+IF(ArtifactsInput!$M$10,CHOOSE(ArtifactsInput!$N$10+1,15,18,21,24,27,30)*(IF(Inputs!$B$38="pvp",MIN(15,15)/15,IF(AND(Inputs!$B$38&lt;&gt;"pvp",Inputs!$B$43&gt;0),MIN(15,Inputs!$B$43)/(Inputs!$B$43),0))),0)))&gt;=100),MIN(100,((Inputs!$B$9+((C1896=TRUE)*(F1896-Calc!F19))+B1907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1896=TRUE)*(F1896-Calc!F19))+B1907+(ArtifactsInput!$M$24-ArtifactsInput!$M$24)*CHOOSE(ArtifactsInput!$N$24+1,10,12,14,16,18,20)+IF(ArtifactsInput!$M$10,CHOOSE(ArtifactsInput!$N$10+1,15,18,21,24,27,30)*(IF(Inputs!$B$38="pvp",MIN(15,15)/15,IF(AND(Inputs!$B$38&lt;&gt;"pvp",Inputs!$B$43&gt;0),MIN(15,Inputs!$B$43)/(Inputs!$B$43),0))),0)))&gt;=100),CHOOSE(ArtifactsInput!$N$42+1,40,48,56,64,72,80),0))))/100)*((1+(((C1894=TRUE)*F1894)+((C1901=TRUE)*(F1901-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1891)</f>
        <v/>
      </c>
      <c r="L1891">
        <f>K1891*(MIN(Inputs!$B$22+((C1899=TRUE)*(F1899-Calc!F22)),(Inputs!$B$23+0+(IF(ArtifactsInput!$M$15,CHOOSE(ArtifactsInput!$N$15+1,25,30,35,40,45,50)/100*(Inputs!$B$11-Inputs!$B$11),0))))/100+(Inputs!$B$23+0+(IF(ArtifactsInput!$M$15,CHOOSE(ArtifactsInput!$N$15+1,25,30,35,40,45,50)/100*(Inputs!$B$11-Inputs!$B$11),0)))/100)/2</f>
        <v/>
      </c>
      <c r="M1891">
        <f>L1891*(1+(Inputs!$B$10+((C1902=TRUE)*(F1902-Calc!F25))+B1912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91">
        <f>L1891*(1-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1891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91">
        <f>(1-Summary!$B$11)*T1891+Summary!$B$11*V1891</f>
        <v/>
      </c>
      <c r="P1891">
        <f>IF(B1917=0,0,O1891/B1917)</f>
        <v/>
      </c>
      <c r="Q1891" t="n">
        <v>0</v>
      </c>
      <c r="R1891" t="n">
        <v>0</v>
      </c>
      <c r="S1891">
        <f>IFERROR(O1891/N1891,0)</f>
        <v/>
      </c>
      <c r="T1891">
        <f>IF(C1891,(H1891*N1891*(B1911+IF(AND(Inputs!$B$38&lt;&gt;"pvp",Inputs!$B$43&gt;0),((Skills!G8*((R1885-1)*IF(Skills!H8&gt;0,Skills!I8/Skills!H8,1)+IF(Skills!H8&gt;0,MIN(Skills!I8,MAX(0,MAX(0,Inputs!$B$43-B1914)-((R1885-1)*(IF(Inputs!$B$38="pvp",15,MAX(0.1,Skills!D8-IF(Skills!E8=TRUE,Inputs!$B$32,0)))*(1-IF(AND(ArtifactsInput!$M$27,Inputs!$B$4="Chapter Hunt"),CHOOSE(ArtifactsInput!$N$27+1,20,24,28,32,36,40),0)/100)))))/Skills!H8,1)))/Inputs!$B$43),G1885*Q1885)+IF(AND(Inputs!$B$38&lt;&gt;"pvp",Inputs!$B$43&gt;0),((Skills!G11*((R1888-1)*IF(Skills!H11&gt;0,Skills!I11/Skills!H11,1)+IF(Skills!H11&gt;0,MIN(Skills!I11,MAX(0,MAX(0,Inputs!$B$43-B1914)-((R1888-1)*(IF(Inputs!$B$38="pvp",15,MAX(0.1,Skills!D11-IF(Skills!E11=TRUE,Inputs!$B$32,0)))*(1-IF(AND(ArtifactsInput!$M$27,Inputs!$B$4="Chapter Hunt"),CHOOSE(ArtifactsInput!$N$27+1,20,24,28,32,36,40),0)/100)))))/Skills!H11,1)))/Inputs!$B$43),G1888*Q1888)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1891*(1-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1891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1891*(1-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1891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91">
        <f>IF(C1891,(H1891*N1891*(B1911+IF(AND(Inputs!$B$38&lt;&gt;"pvp",Inputs!$B$43&gt;0),((Skills!G8*((R1885-1)*IF(Skills!H8&gt;0,Skills!I8/Skills!H8,1)+IF(Skills!H8&gt;0,MIN(Skills!I8,MAX(0,MAX(0,Inputs!$B$43-B1914)-((R1885-1)*(IF(Inputs!$B$38="pvp",15,MAX(0.1,Skills!D8-IF(Skills!E8=TRUE,Inputs!$B$32,0)))*(1-IF(AND(ArtifactsInput!$M$27,Inputs!$B$4="Chapter Hunt"),CHOOSE(ArtifactsInput!$N$27+1,20,24,28,32,36,40),0)/100)))))/Skills!H8,1)))/Inputs!$B$43),G1885*Q1885)+IF(AND(Inputs!$B$38&lt;&gt;"pvp",Inputs!$B$43&gt;0),((Skills!G11*((R1888-1)*IF(Skills!H11&gt;0,Skills!I11/Skills!H11,1)+IF(Skills!H11&gt;0,MIN(Skills!I11,MAX(0,MAX(0,Inputs!$B$43-B1914)-((R1888-1)*(IF(Inputs!$B$38="pvp",15,MAX(0.1,Skills!D11-IF(Skills!E11=TRUE,Inputs!$B$32,0)))*(1-IF(AND(ArtifactsInput!$M$27,Inputs!$B$4="Chapter Hunt"),CHOOSE(ArtifactsInput!$N$27+1,20,24,28,32,36,40),0)/100)))))/Skills!H11,1)))/Inputs!$B$43),G1888*Q1888)))*IF(Inputs!$B$38="pvp",1,(1+(Inputs!$B$21+Skills!Q14+(IF(ArtifactsInput!$M$33,CHOOSE(ArtifactsInput!$N$33+1,30,36,42,48,54,60)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2">
      <c r="A1892">
        <f>Skills!A15</f>
        <v/>
      </c>
      <c r="B1892">
        <f>Skills!B15</f>
        <v/>
      </c>
      <c r="C1892">
        <f>Inputs!$B$3&gt;=100</f>
        <v/>
      </c>
      <c r="D1892">
        <f>IF(Skills!C15=1,60+Inputs!$B$25+Inputs!$B$29,IF(Skills!C15=2,90+Inputs!$B$26+Inputs!$B$29,IF(Skills!C15=3,120+Inputs!$B$27+Inputs!$B$29,MAX(0,(Inputs!$B$3-100)*3)+Inputs!$B$28+Inputs!$B$29)))</f>
        <v/>
      </c>
      <c r="E1892">
        <f>INDEX(FactorTable!$B$2:$Y$301, MATCH(ROUND(MIN(300,MAX(1,D1892)),0), FactorTable!$A$2:$A$301,0), Skills!M15+1)</f>
        <v/>
      </c>
      <c r="F1892">
        <f>IF(Skills!N15=TRUE,(Skills!L15/10)*(E1892/1000),Skills!L15/10)+Skills!O15</f>
        <v/>
      </c>
      <c r="G1892" t="inlineStr"/>
      <c r="H1892" t="inlineStr"/>
      <c r="I1892" t="inlineStr">
        <is>
          <t>1</t>
        </is>
      </c>
      <c r="J1892" t="inlineStr"/>
      <c r="K1892" t="inlineStr"/>
      <c r="L1892" t="inlineStr"/>
      <c r="M1892" t="inlineStr"/>
      <c r="N1892" t="inlineStr"/>
      <c r="O1892" t="inlineStr"/>
      <c r="P1892" t="inlineStr"/>
      <c r="Q1892" t="inlineStr"/>
      <c r="R1892" t="inlineStr"/>
      <c r="S1892" t="inlineStr"/>
    </row>
    <row r="1893">
      <c r="A1893">
        <f>Skills!A16</f>
        <v/>
      </c>
      <c r="B1893">
        <f>Skills!B16</f>
        <v/>
      </c>
      <c r="C1893">
        <f>Inputs!$B$3&gt;=120</f>
        <v/>
      </c>
      <c r="D1893">
        <f>IF(Skills!C16=1,60+Inputs!$B$25+Inputs!$B$29,IF(Skills!C16=2,90+Inputs!$B$26+Inputs!$B$29,IF(Skills!C16=3,120+Inputs!$B$27+Inputs!$B$29,MAX(0,(Inputs!$B$3-100)*3)+Inputs!$B$28+Inputs!$B$29)))</f>
        <v/>
      </c>
      <c r="E1893">
        <f>INDEX(FactorTable!$B$2:$Y$301, MATCH(ROUND(MIN(300,MAX(1,D1893)),0), FactorTable!$A$2:$A$301,0), Skills!M16+1)</f>
        <v/>
      </c>
      <c r="F1893">
        <f>IF(Skills!N16=TRUE,(Skills!L16/10)*(E1893/1000),Skills!L16/10)+Skills!O16</f>
        <v/>
      </c>
      <c r="G1893" t="inlineStr"/>
      <c r="H1893" t="inlineStr"/>
      <c r="I1893" t="inlineStr">
        <is>
          <t>1</t>
        </is>
      </c>
      <c r="J1893" t="inlineStr"/>
      <c r="K1893" t="inlineStr"/>
      <c r="L1893" t="inlineStr"/>
      <c r="M1893" t="inlineStr"/>
      <c r="N1893" t="inlineStr"/>
      <c r="O1893" t="inlineStr"/>
      <c r="P1893" t="inlineStr"/>
      <c r="Q1893" t="inlineStr"/>
      <c r="R1893" t="inlineStr"/>
      <c r="S1893" t="inlineStr"/>
    </row>
    <row r="1894">
      <c r="A1894">
        <f>Skills!A17</f>
        <v/>
      </c>
      <c r="B1894">
        <f>Skills!B17</f>
        <v/>
      </c>
      <c r="C1894">
        <f>Inputs!$B$3&gt;=66</f>
        <v/>
      </c>
      <c r="D1894">
        <f>IF(Skills!C17=1,60+Inputs!$B$25+Inputs!$B$29,IF(Skills!C17=2,90+Inputs!$B$26+Inputs!$B$29,IF(Skills!C17=3,120+Inputs!$B$27+Inputs!$B$29,MAX(0,(Inputs!$B$3-100)*3)+Inputs!$B$28+Inputs!$B$29)))</f>
        <v/>
      </c>
      <c r="E1894">
        <f>INDEX(FactorTable!$B$2:$Y$301, MATCH(ROUND(MIN(300,MAX(1,D1894)),0), FactorTable!$A$2:$A$301,0), Skills!M17+1)</f>
        <v/>
      </c>
      <c r="F1894">
        <f>IF(Skills!N17=TRUE,(Skills!L17/10)*(E1894/1000),Skills!L17/10)+Skills!O17</f>
        <v/>
      </c>
      <c r="G1894">
        <f>Skills!G17*IF(Skills!H17&gt;0,Skills!I17/Skills!H17,1)</f>
        <v/>
      </c>
      <c r="H1894">
        <f>1-(1-Skills!J17/100)^Skills!K17</f>
        <v/>
      </c>
      <c r="I1894" t="inlineStr">
        <is>
          <t>1</t>
        </is>
      </c>
      <c r="J1894" t="inlineStr"/>
      <c r="K1894" t="inlineStr"/>
      <c r="L1894" t="inlineStr"/>
      <c r="M1894" t="inlineStr"/>
      <c r="N1894" t="inlineStr"/>
      <c r="O1894">
        <f>(1-Summary!$B$11)*T1894+Summary!$B$11*V1894</f>
        <v/>
      </c>
      <c r="P1894">
        <f>IF(B1917=0,0,O1894/B1917)</f>
        <v/>
      </c>
      <c r="Q1894" t="n">
        <v>0</v>
      </c>
      <c r="R1894" t="n">
        <v>0</v>
      </c>
      <c r="S1894">
        <f>IFERROR(O1894/N1894,0)</f>
        <v/>
      </c>
      <c r="T1894" t="n">
        <v>0</v>
      </c>
      <c r="V1894" t="n">
        <v>0</v>
      </c>
    </row>
    <row r="1895">
      <c r="A1895">
        <f>Skills!A18</f>
        <v/>
      </c>
      <c r="B1895">
        <f>Skills!B18</f>
        <v/>
      </c>
      <c r="C1895">
        <f>Inputs!$B$3&gt;=115</f>
        <v/>
      </c>
      <c r="D1895">
        <f>IF(Skills!C18=1,60+Inputs!$B$25+Inputs!$B$29,IF(Skills!C18=2,90+Inputs!$B$26+Inputs!$B$29,IF(Skills!C18=3,120+Inputs!$B$27+Inputs!$B$29,MAX(0,(Inputs!$B$3-100)*3)+Inputs!$B$28+Inputs!$B$29)))</f>
        <v/>
      </c>
      <c r="E1895">
        <f>INDEX(FactorTable!$B$2:$Y$301, MATCH(ROUND(MIN(300,MAX(1,D1895)),0), FactorTable!$A$2:$A$301,0), Skills!M18+1)</f>
        <v/>
      </c>
      <c r="F1895">
        <f>IF(Skills!N18=TRUE,(Skills!L18/10)*(E1895/1000),Skills!L18/10)+Skills!O18</f>
        <v/>
      </c>
      <c r="G1895">
        <f>Skills!G18*IF(Skills!H18&gt;0,Skills!I18/Skills!H18,1)</f>
        <v/>
      </c>
      <c r="H1895">
        <f>1-(1-Skills!J18/100)^Skills!K18</f>
        <v/>
      </c>
      <c r="I1895" t="inlineStr">
        <is>
          <t>1</t>
        </is>
      </c>
      <c r="J1895" t="inlineStr"/>
      <c r="K1895" t="inlineStr"/>
      <c r="L1895" t="inlineStr"/>
      <c r="M1895" t="inlineStr"/>
      <c r="N1895" t="inlineStr"/>
      <c r="O1895">
        <f>(1-Summary!$B$11)*T1895+Summary!$B$11*V1895</f>
        <v/>
      </c>
      <c r="P1895">
        <f>IF(B1917=0,0,O1895/B1917)</f>
        <v/>
      </c>
      <c r="Q1895" t="n">
        <v>0</v>
      </c>
      <c r="R1895" t="n">
        <v>0</v>
      </c>
      <c r="S1895">
        <f>IFERROR(O1895/N1895,0)</f>
        <v/>
      </c>
      <c r="T1895" t="n">
        <v>0</v>
      </c>
      <c r="V1895" t="n">
        <v>0</v>
      </c>
    </row>
    <row r="1896">
      <c r="A1896">
        <f>Skills!A19</f>
        <v/>
      </c>
      <c r="B1896">
        <f>Skills!B19</f>
        <v/>
      </c>
      <c r="C1896">
        <f>Inputs!$B$3&gt;=15</f>
        <v/>
      </c>
      <c r="D1896">
        <f>IF(Skills!C19=1,60+Inputs!$B$25+Inputs!$B$29,IF(Skills!C19=2,90+Inputs!$B$26+Inputs!$B$29,IF(Skills!C19=3,120+Inputs!$B$27+Inputs!$B$29,MAX(0,(Inputs!$B$3-100)*3)+Inputs!$B$28+Inputs!$B$29)))</f>
        <v/>
      </c>
      <c r="E1896">
        <f>INDEX(FactorTable!$B$2:$Y$301, MATCH(ROUND(MIN(300,MAX(1,D1896)),0), FactorTable!$A$2:$A$301,0), Skills!M19+1)</f>
        <v/>
      </c>
      <c r="F1896">
        <f>IF(Skills!N19=TRUE,(Skills!L19/10)*(E1896/1000),Skills!L19/10)+Skills!O19</f>
        <v/>
      </c>
      <c r="G1896">
        <f>Skills!G19*IF(Skills!H19&gt;0,Skills!I19/Skills!H19,1)</f>
        <v/>
      </c>
      <c r="H1896">
        <f>1-(1-Skills!J19/100)^Skills!K19</f>
        <v/>
      </c>
      <c r="I1896" t="inlineStr">
        <is>
          <t>1</t>
        </is>
      </c>
      <c r="J1896" t="inlineStr"/>
      <c r="K1896" t="inlineStr"/>
      <c r="L1896" t="inlineStr"/>
      <c r="M1896" t="inlineStr"/>
      <c r="N1896" t="inlineStr"/>
      <c r="O1896">
        <f>(1-Summary!$B$11)*T1896+Summary!$B$11*V1896</f>
        <v/>
      </c>
      <c r="P1896">
        <f>IF(B1917=0,0,O1896/B1917)</f>
        <v/>
      </c>
      <c r="Q1896" t="n">
        <v>0</v>
      </c>
      <c r="R1896" t="n">
        <v>0</v>
      </c>
      <c r="S1896">
        <f>IFERROR(O1896/N1896,0)</f>
        <v/>
      </c>
      <c r="T1896" t="n">
        <v>0</v>
      </c>
      <c r="V1896" t="n">
        <v>0</v>
      </c>
    </row>
    <row r="1897">
      <c r="A1897">
        <f>Skills!A20</f>
        <v/>
      </c>
      <c r="B1897">
        <f>Skills!B20</f>
        <v/>
      </c>
      <c r="C1897">
        <f>Inputs!$B$3&gt;=10</f>
        <v/>
      </c>
      <c r="D1897">
        <f>IF(Skills!C20=1,60+Inputs!$B$25+Inputs!$B$29,IF(Skills!C20=2,90+Inputs!$B$26+Inputs!$B$29,IF(Skills!C20=3,120+Inputs!$B$27+Inputs!$B$29,MAX(0,(Inputs!$B$3-100)*3)+Inputs!$B$28+Inputs!$B$29)))</f>
        <v/>
      </c>
      <c r="E1897">
        <f>INDEX(FactorTable!$B$2:$Y$301, MATCH(ROUND(MIN(300,MAX(1,D1897)),0), FactorTable!$A$2:$A$301,0), Skills!M20+1)</f>
        <v/>
      </c>
      <c r="F1897">
        <f>IF(Skills!N20=TRUE,(Skills!L20/10)*(E1897/1000),Skills!L20/10)+Skills!O20</f>
        <v/>
      </c>
      <c r="G1897">
        <f>Skills!G20*IF(Skills!H20&gt;0,Skills!I20/Skills!H20,1)</f>
        <v/>
      </c>
      <c r="H1897">
        <f>1-(1-Skills!J20/100)^Skills!K20</f>
        <v/>
      </c>
      <c r="I1897" t="inlineStr">
        <is>
          <t>1</t>
        </is>
      </c>
      <c r="J1897" t="inlineStr"/>
      <c r="K1897" t="inlineStr"/>
      <c r="L1897" t="inlineStr"/>
      <c r="M1897" t="inlineStr"/>
      <c r="N1897" t="inlineStr"/>
      <c r="O1897">
        <f>(1-Summary!$B$11)*T1897+Summary!$B$11*V1897</f>
        <v/>
      </c>
      <c r="P1897">
        <f>IF(B1917=0,0,O1897/B1917)</f>
        <v/>
      </c>
      <c r="Q1897" t="n">
        <v>0</v>
      </c>
      <c r="R1897" t="n">
        <v>0</v>
      </c>
      <c r="S1897">
        <f>IFERROR(O1897/N1897,0)</f>
        <v/>
      </c>
      <c r="T1897" t="n">
        <v>0</v>
      </c>
      <c r="V1897" t="n">
        <v>0</v>
      </c>
    </row>
    <row r="1898">
      <c r="A1898">
        <f>Skills!A21</f>
        <v/>
      </c>
      <c r="B1898">
        <f>Skills!B21</f>
        <v/>
      </c>
      <c r="C1898">
        <f>Inputs!$B$3&gt;=33</f>
        <v/>
      </c>
      <c r="D1898">
        <f>IF(Skills!C21=1,60+Inputs!$B$25+Inputs!$B$29,IF(Skills!C21=2,90+Inputs!$B$26+Inputs!$B$29,IF(Skills!C21=3,120+Inputs!$B$27+Inputs!$B$29,MAX(0,(Inputs!$B$3-100)*3)+Inputs!$B$28+Inputs!$B$29)))</f>
        <v/>
      </c>
      <c r="E1898">
        <f>INDEX(FactorTable!$B$2:$Y$301, MATCH(ROUND(MIN(300,MAX(1,D1898)),0), FactorTable!$A$2:$A$301,0), Skills!M21+1)</f>
        <v/>
      </c>
      <c r="F1898">
        <f>IF(Skills!N21=TRUE,(Skills!L21/10)*(E1898/1000),Skills!L21/10)+Skills!O21</f>
        <v/>
      </c>
      <c r="G1898">
        <f>Skills!G21*IF(Skills!H21&gt;0,Skills!I21/Skills!H21,1)</f>
        <v/>
      </c>
      <c r="H1898">
        <f>1-(1-Skills!J21/100)^Skills!K21</f>
        <v/>
      </c>
      <c r="I1898" t="inlineStr">
        <is>
          <t>1</t>
        </is>
      </c>
      <c r="J1898" t="inlineStr"/>
      <c r="K1898" t="inlineStr"/>
      <c r="L1898" t="inlineStr"/>
      <c r="M1898" t="inlineStr"/>
      <c r="N1898" t="inlineStr"/>
      <c r="O1898">
        <f>(1-Summary!$B$11)*T1898+Summary!$B$11*V1898</f>
        <v/>
      </c>
      <c r="P1898">
        <f>IF(B1917=0,0,O1898/B1917)</f>
        <v/>
      </c>
      <c r="Q1898" t="n">
        <v>0</v>
      </c>
      <c r="R1898" t="n">
        <v>0</v>
      </c>
      <c r="S1898">
        <f>IFERROR(O1898/N1898,0)</f>
        <v/>
      </c>
      <c r="T1898" t="n">
        <v>0</v>
      </c>
      <c r="V1898" t="n">
        <v>0</v>
      </c>
    </row>
    <row r="1899">
      <c r="A1899">
        <f>Skills!A22</f>
        <v/>
      </c>
      <c r="B1899">
        <f>Skills!B22</f>
        <v/>
      </c>
      <c r="C1899">
        <f>Inputs!$B$3&gt;=43</f>
        <v/>
      </c>
      <c r="D1899">
        <f>IF(Skills!C22=1,60+Inputs!$B$25+Inputs!$B$29,IF(Skills!C22=2,90+Inputs!$B$26+Inputs!$B$29,IF(Skills!C22=3,120+Inputs!$B$27+Inputs!$B$29,MAX(0,(Inputs!$B$3-100)*3)+Inputs!$B$28+Inputs!$B$29)))</f>
        <v/>
      </c>
      <c r="E1899">
        <f>INDEX(FactorTable!$B$2:$Y$301, MATCH(ROUND(MIN(300,MAX(1,D1899)),0), FactorTable!$A$2:$A$301,0), Skills!M22+1)</f>
        <v/>
      </c>
      <c r="F1899">
        <f>IF(Skills!N22=TRUE,(Skills!L22/10)*(E1899/1000),Skills!L22/10)+Skills!O22</f>
        <v/>
      </c>
      <c r="G1899">
        <f>Skills!G22*IF(Skills!H22&gt;0,Skills!I22/Skills!H22,1)</f>
        <v/>
      </c>
      <c r="H1899">
        <f>1-(1-Skills!J22/100)^Skills!K22</f>
        <v/>
      </c>
      <c r="I1899" t="inlineStr">
        <is>
          <t>1</t>
        </is>
      </c>
      <c r="J1899" t="inlineStr"/>
      <c r="K1899" t="inlineStr"/>
      <c r="L1899" t="inlineStr"/>
      <c r="M1899" t="inlineStr"/>
      <c r="N1899" t="inlineStr"/>
      <c r="O1899">
        <f>(1-Summary!$B$11)*T1899+Summary!$B$11*V1899</f>
        <v/>
      </c>
      <c r="P1899">
        <f>IF(B1917=0,0,O1899/B1917)</f>
        <v/>
      </c>
      <c r="Q1899" t="n">
        <v>0</v>
      </c>
      <c r="R1899" t="n">
        <v>0</v>
      </c>
      <c r="S1899">
        <f>IFERROR(O1899/N1899,0)</f>
        <v/>
      </c>
      <c r="T1899" t="n">
        <v>0</v>
      </c>
      <c r="V1899" t="n">
        <v>0</v>
      </c>
    </row>
    <row r="1900">
      <c r="A1900">
        <f>Skills!A23</f>
        <v/>
      </c>
      <c r="B1900">
        <f>Skills!B23</f>
        <v/>
      </c>
      <c r="C1900">
        <f>Inputs!$B$3&gt;=38</f>
        <v/>
      </c>
      <c r="D1900">
        <f>IF(Skills!C23=1,60+Inputs!$B$25+Inputs!$B$29,IF(Skills!C23=2,90+Inputs!$B$26+Inputs!$B$29,IF(Skills!C23=3,120+Inputs!$B$27+Inputs!$B$29,MAX(0,(Inputs!$B$3-100)*3)+Inputs!$B$28+Inputs!$B$29)))</f>
        <v/>
      </c>
      <c r="E1900">
        <f>INDEX(FactorTable!$B$2:$Y$301, MATCH(ROUND(MIN(300,MAX(1,D1900)),0), FactorTable!$A$2:$A$301,0), Skills!M23+1)</f>
        <v/>
      </c>
      <c r="F1900">
        <f>IF(Skills!N23=TRUE,(Skills!L23/10)*(E1900/1000),Skills!L23/10)+Skills!O23</f>
        <v/>
      </c>
      <c r="G1900">
        <f>Skills!G23*IF(Skills!H23&gt;0,Skills!I23/Skills!H23,1)</f>
        <v/>
      </c>
      <c r="H1900">
        <f>1-(1-Skills!J23/100)^Skills!K23</f>
        <v/>
      </c>
      <c r="I1900" t="inlineStr">
        <is>
          <t>1</t>
        </is>
      </c>
      <c r="J1900" t="inlineStr"/>
      <c r="K1900" t="inlineStr"/>
      <c r="L1900" t="inlineStr"/>
      <c r="M1900" t="inlineStr"/>
      <c r="N1900" t="inlineStr"/>
      <c r="O1900">
        <f>(1-Summary!$B$11)*T1900+Summary!$B$11*V1900</f>
        <v/>
      </c>
      <c r="P1900">
        <f>IF(B1917=0,0,O1900/B1917)</f>
        <v/>
      </c>
      <c r="Q1900" t="n">
        <v>0</v>
      </c>
      <c r="R1900" t="n">
        <v>0</v>
      </c>
      <c r="S1900">
        <f>IFERROR(O1900/N1900,0)</f>
        <v/>
      </c>
      <c r="T1900" t="n">
        <v>0</v>
      </c>
      <c r="V1900" t="n">
        <v>0</v>
      </c>
    </row>
    <row r="1901">
      <c r="A1901">
        <f>Skills!A24</f>
        <v/>
      </c>
      <c r="B1901">
        <f>Skills!B24</f>
        <v/>
      </c>
      <c r="C1901">
        <f>Inputs!$B$3&gt;=40</f>
        <v/>
      </c>
      <c r="D1901">
        <f>IF(Skills!C24=1,60+Inputs!$B$25+Inputs!$B$29,IF(Skills!C24=2,90+Inputs!$B$26+Inputs!$B$29,IF(Skills!C24=3,120+Inputs!$B$27+Inputs!$B$29,MAX(0,(Inputs!$B$3-100)*3)+Inputs!$B$28+Inputs!$B$29)))</f>
        <v/>
      </c>
      <c r="E1901">
        <f>INDEX(FactorTable!$B$2:$Y$301, MATCH(ROUND(MIN(300,MAX(1,D1901)),0), FactorTable!$A$2:$A$301,0), Skills!M24+1)</f>
        <v/>
      </c>
      <c r="F1901">
        <f>IF(Skills!N24=TRUE,(Skills!L24/10)*(E1901/1000),Skills!L24/10)+Skills!O24</f>
        <v/>
      </c>
      <c r="G1901">
        <f>Skills!G24*IF(Skills!H24&gt;0,Skills!I24/Skills!H24,1)</f>
        <v/>
      </c>
      <c r="H1901">
        <f>1-(1-Skills!J24/100)^Skills!K24</f>
        <v/>
      </c>
      <c r="I1901" t="inlineStr">
        <is>
          <t>1</t>
        </is>
      </c>
      <c r="J1901" t="inlineStr"/>
      <c r="K1901" t="inlineStr"/>
      <c r="L1901" t="inlineStr"/>
      <c r="M1901" t="inlineStr"/>
      <c r="N1901" t="inlineStr"/>
      <c r="O1901">
        <f>(1-Summary!$B$11)*T1901+Summary!$B$11*V1901</f>
        <v/>
      </c>
      <c r="P1901">
        <f>IF(B1917=0,0,O1901/B1917)</f>
        <v/>
      </c>
      <c r="Q1901" t="n">
        <v>0</v>
      </c>
      <c r="R1901" t="n">
        <v>0</v>
      </c>
      <c r="S1901">
        <f>IFERROR(O1901/N1901,0)</f>
        <v/>
      </c>
      <c r="T1901" t="n">
        <v>0</v>
      </c>
      <c r="V1901" t="n">
        <v>0</v>
      </c>
    </row>
    <row r="1902">
      <c r="A1902">
        <f>Skills!A25</f>
        <v/>
      </c>
      <c r="B1902">
        <f>Skills!B25</f>
        <v/>
      </c>
      <c r="C1902">
        <f>Inputs!$B$3&gt;=72</f>
        <v/>
      </c>
      <c r="D1902">
        <f>IF(Skills!C25=1,60+Inputs!$B$25+Inputs!$B$29,IF(Skills!C25=2,90+Inputs!$B$26+Inputs!$B$29,IF(Skills!C25=3,120+Inputs!$B$27+Inputs!$B$29,MAX(0,(Inputs!$B$3-100)*3)+Inputs!$B$28+Inputs!$B$29)))</f>
        <v/>
      </c>
      <c r="E1902">
        <f>INDEX(FactorTable!$B$2:$Y$301, MATCH(ROUND(MIN(300,MAX(1,D1902)),0), FactorTable!$A$2:$A$301,0), Skills!M25+1)</f>
        <v/>
      </c>
      <c r="F1902">
        <f>IF(Skills!N25=TRUE,(Skills!L25/10)*(E1902/1000),Skills!L25/10)+Skills!O25</f>
        <v/>
      </c>
      <c r="G1902">
        <f>Skills!G25*IF(Skills!H25&gt;0,Skills!I25/Skills!H25,1)</f>
        <v/>
      </c>
      <c r="H1902">
        <f>1-(1-Skills!J25/100)^Skills!K25</f>
        <v/>
      </c>
      <c r="I1902" t="inlineStr">
        <is>
          <t>1</t>
        </is>
      </c>
      <c r="J1902" t="inlineStr"/>
      <c r="K1902" t="inlineStr"/>
      <c r="L1902" t="inlineStr"/>
      <c r="M1902" t="inlineStr"/>
      <c r="N1902" t="inlineStr"/>
      <c r="O1902">
        <f>(1-Summary!$B$11)*T1902+Summary!$B$11*V1902</f>
        <v/>
      </c>
      <c r="P1902">
        <f>IF(B1917=0,0,O1902/B1917)</f>
        <v/>
      </c>
      <c r="Q1902" t="n">
        <v>0</v>
      </c>
      <c r="R1902" t="n">
        <v>0</v>
      </c>
      <c r="S1902">
        <f>IFERROR(O1902/N1902,0)</f>
        <v/>
      </c>
      <c r="T1902" t="n">
        <v>0</v>
      </c>
      <c r="V1902" t="n">
        <v>0</v>
      </c>
    </row>
    <row r="1903">
      <c r="A1903">
        <f>Skills!A26</f>
        <v/>
      </c>
      <c r="B1903">
        <f>Skills!B26</f>
        <v/>
      </c>
      <c r="C1903">
        <f>Inputs!$B$3&gt;=75</f>
        <v/>
      </c>
      <c r="D1903">
        <f>IF(Skills!C26=1,60+Inputs!$B$25+Inputs!$B$29,IF(Skills!C26=2,90+Inputs!$B$26+Inputs!$B$29,IF(Skills!C26=3,120+Inputs!$B$27+Inputs!$B$29,MAX(0,(Inputs!$B$3-100)*3)+Inputs!$B$28+Inputs!$B$29)))</f>
        <v/>
      </c>
      <c r="E1903">
        <f>INDEX(FactorTable!$B$2:$Y$301, MATCH(ROUND(MIN(300,MAX(1,D1903)),0), FactorTable!$A$2:$A$301,0), Skills!M26+1)</f>
        <v/>
      </c>
      <c r="F1903">
        <f>IF(Skills!N26=TRUE,(Skills!L26/10)*(E1903/1000),Skills!L26/10)+Skills!O26</f>
        <v/>
      </c>
      <c r="G1903">
        <f>Skills!G26*IF(Skills!H26&gt;0,Skills!I26/Skills!H26,1)</f>
        <v/>
      </c>
      <c r="H1903">
        <f>1-(1-Skills!J26/100)^Skills!K26</f>
        <v/>
      </c>
      <c r="I1903" t="inlineStr">
        <is>
          <t>1</t>
        </is>
      </c>
      <c r="J1903" t="inlineStr"/>
      <c r="K1903" t="inlineStr"/>
      <c r="L1903" t="inlineStr"/>
      <c r="M1903" t="inlineStr"/>
      <c r="N1903" t="inlineStr"/>
      <c r="O1903">
        <f>(1-Summary!$B$11)*T1903+Summary!$B$11*V1903</f>
        <v/>
      </c>
      <c r="P1903">
        <f>IF(B1917=0,0,O1903/B1917)</f>
        <v/>
      </c>
      <c r="Q1903" t="n">
        <v>0</v>
      </c>
      <c r="R1903" t="n">
        <v>0</v>
      </c>
      <c r="S1903">
        <f>IFERROR(O1903/N1903,0)</f>
        <v/>
      </c>
      <c r="T1903" t="n">
        <v>0</v>
      </c>
      <c r="V1903" t="n">
        <v>0</v>
      </c>
    </row>
    <row r="1904">
      <c r="A1904">
        <f>Skills!A27</f>
        <v/>
      </c>
      <c r="B1904">
        <f>Skills!B27</f>
        <v/>
      </c>
      <c r="C1904">
        <f>Inputs!$B$3&gt;=117</f>
        <v/>
      </c>
      <c r="D1904">
        <f>IF(Skills!C27=1,60+Inputs!$B$25+Inputs!$B$29,IF(Skills!C27=2,90+Inputs!$B$26+Inputs!$B$29,IF(Skills!C27=3,120+Inputs!$B$27+Inputs!$B$29,MAX(0,(Inputs!$B$3-100)*3)+Inputs!$B$28+Inputs!$B$29)))</f>
        <v/>
      </c>
      <c r="E1904">
        <f>INDEX(FactorTable!$B$2:$Y$301, MATCH(ROUND(MIN(300,MAX(1,D1904)),0), FactorTable!$A$2:$A$301,0), Skills!M27+1)</f>
        <v/>
      </c>
      <c r="F1904">
        <f>IF(Skills!N27=TRUE,(Skills!L27/10)*(E1904/1000),Skills!L27/10)+Skills!O27</f>
        <v/>
      </c>
      <c r="G1904">
        <f>Skills!G27*IF(Skills!H27&gt;0,Skills!I27/Skills!H27,1)</f>
        <v/>
      </c>
      <c r="H1904">
        <f>1-(1-Skills!J27/100)^Skills!K27</f>
        <v/>
      </c>
      <c r="I1904" t="inlineStr">
        <is>
          <t>1</t>
        </is>
      </c>
      <c r="J1904" t="inlineStr"/>
      <c r="K1904" t="inlineStr"/>
      <c r="L1904" t="inlineStr"/>
      <c r="M1904" t="inlineStr"/>
      <c r="N1904" t="inlineStr"/>
      <c r="O1904">
        <f>(1-Summary!$B$11)*T1904+Summary!$B$11*V1904</f>
        <v/>
      </c>
      <c r="P1904">
        <f>IF(B1917=0,0,O1904/B1917)</f>
        <v/>
      </c>
      <c r="Q1904" t="n">
        <v>0</v>
      </c>
      <c r="R1904" t="n">
        <v>0</v>
      </c>
      <c r="S1904">
        <f>IFERROR(O1904/N1904,0)</f>
        <v/>
      </c>
      <c r="T1904" t="n">
        <v>0</v>
      </c>
      <c r="V1904" t="n">
        <v>0</v>
      </c>
    </row>
    <row r="1906">
      <c r="A1906" t="inlineStr">
        <is>
          <t>Attack% Bucket Multiplier</t>
        </is>
      </c>
      <c r="B1906">
        <f>(1+(((C1894=TRUE)*F1894)+((C1901=TRUE)*(F1901-Calc!F24))+(IF(ArtifactsInput!$M$21,CHOOSE(ArtifactsInput!$N$21+1,25,30,35,40,45,50)*(IF(OR(Inputs!$B$4="Chapter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07">
      <c r="A1907" t="inlineStr">
        <is>
          <t>Global Crit Rate Bonus %</t>
        </is>
      </c>
      <c r="B1907" t="n">
        <v>0</v>
      </c>
    </row>
    <row r="1908">
      <c r="A1908" t="inlineStr">
        <is>
          <t>Attack Speed Buff Bonus % (unused)</t>
        </is>
      </c>
      <c r="B1908" t="n">
        <v>0</v>
      </c>
    </row>
    <row r="1909">
      <c r="A1909" t="inlineStr">
        <is>
          <t>Actions Per Second</t>
        </is>
      </c>
      <c r="B1909">
        <f>1+MIN(150,150*(1-(1-(Inputs!$B$11+((C1897=TRUE)*(F1897-Calc!F20))+((C1898=TRUE)*(F1898-Calc!F21)))/150)*(1-B1908/150)))/100</f>
        <v/>
      </c>
    </row>
    <row r="1910">
      <c r="A1910" t="inlineStr">
        <is>
          <t>Skill + Buff Cast Rate</t>
        </is>
      </c>
      <c r="B1910">
        <f>IF(AND(Inputs!$B$38&lt;&gt;"pvp",Inputs!$B$43&gt;0),SUMPRODUCT((Skills!E2:E27=TRUE)*(C1879:C1904=TRUE)*R1879:R1904*Skills!F2:F27)/Inputs!$B$43,SUMPRODUCT((Skills!E2:E27=TRUE)*(C1879:C1904=TRUE)*Q1879:Q1904*Skills!F2:F27))</f>
        <v/>
      </c>
    </row>
    <row r="1911">
      <c r="A1911" t="inlineStr">
        <is>
          <t>Eight-Legs Easton Casts Per Second</t>
        </is>
      </c>
      <c r="B1911">
        <f>MAX(0,B1909-B1910)</f>
        <v/>
      </c>
    </row>
    <row r="1912">
      <c r="A1912" t="inlineStr">
        <is>
          <t>Global Critical Damage Bonus % (unused)</t>
        </is>
      </c>
      <c r="B1912" t="n">
        <v>0</v>
      </c>
    </row>
    <row r="1913">
      <c r="A1913" t="inlineStr">
        <is>
          <t>Global Final Damage Bonus % (Jolly Roger only)</t>
        </is>
      </c>
      <c r="B1913">
        <f>((C1895=TRUE)*F1895)</f>
        <v/>
      </c>
    </row>
    <row r="1914">
      <c r="A1914" t="inlineStr">
        <is>
          <t>Buff-Casting Startup Delay (s, fixed-duration only)</t>
        </is>
      </c>
      <c r="B1914">
        <f>IF(AND(Inputs!$B$38&lt;&gt;"pvp",Inputs!$B$43&gt;0),SUMPRODUCT((Skills!T2:T27&gt;0)*(Skills!E2:E27=TRUE)*(C1879:C1904=TRUE))/B1909,0)</f>
        <v/>
      </c>
    </row>
    <row r="1915">
      <c r="A1915" t="inlineStr">
        <is>
          <t>Boss-Only Total DPS (this block's swept value)</t>
        </is>
      </c>
      <c r="B1915">
        <f>SUM(T1879:T1904)</f>
        <v/>
      </c>
    </row>
    <row r="1916">
      <c r="A1916" t="inlineStr">
        <is>
          <t>Normal-Only Total DPS (this block's swept value)</t>
        </is>
      </c>
      <c r="B1916">
        <f>SUM(V1879:V1904)</f>
        <v/>
      </c>
    </row>
    <row r="1917">
      <c r="A1917" s="6" t="inlineStr">
        <is>
          <t>TOTAL DPS</t>
        </is>
      </c>
      <c r="B1917" s="6">
        <f>SUM(O1879:O1904)</f>
        <v/>
      </c>
    </row>
    <row r="1920">
      <c r="A1920" s="6" t="inlineStr">
        <is>
          <t>Stat: Book of Ancient (Equip)</t>
        </is>
      </c>
    </row>
    <row r="1921">
      <c r="A1921" s="5" t="inlineStr">
        <is>
          <t>Key</t>
        </is>
      </c>
      <c r="B1921" s="5" t="inlineStr">
        <is>
          <t>Name</t>
        </is>
      </c>
      <c r="C1921" s="5" t="inlineStr">
        <is>
          <t>Unlocked</t>
        </is>
      </c>
      <c r="D1921" s="5" t="inlineStr">
        <is>
          <t>InputLevel</t>
        </is>
      </c>
      <c r="E1921" s="5" t="inlineStr">
        <is>
          <t>Factor</t>
        </is>
      </c>
      <c r="F1921" s="5" t="inlineStr">
        <is>
          <t>CoefficientPercent</t>
        </is>
      </c>
      <c r="G1921" s="5" t="inlineStr">
        <is>
          <t>EffectiveHits</t>
        </is>
      </c>
      <c r="H1921" s="5" t="inlineStr">
        <is>
          <t>ProcProbability</t>
        </is>
      </c>
      <c r="I1921" s="5" t="inlineStr">
        <is>
          <t>MapleHeroMultiplier</t>
        </is>
      </c>
      <c r="J1921" s="5" t="inlineStr">
        <is>
          <t>BaseDamage</t>
        </is>
      </c>
      <c r="K1921" s="5" t="inlineStr">
        <is>
          <t>BaseHitDamage</t>
        </is>
      </c>
      <c r="L1921" s="5" t="inlineStr">
        <is>
          <t>NonCritAvg</t>
        </is>
      </c>
      <c r="M1921" s="5" t="inlineStr">
        <is>
          <t>CritAvg</t>
        </is>
      </c>
      <c r="N1921" s="5" t="inlineStr">
        <is>
          <t>ExpectedDamage(perHit)</t>
        </is>
      </c>
      <c r="O1921" s="5" t="inlineStr">
        <is>
          <t>DPS</t>
        </is>
      </c>
      <c r="P1921" s="5" t="inlineStr">
        <is>
          <t>% of Total</t>
        </is>
      </c>
      <c r="Q1921" s="5" t="inlineStr">
        <is>
          <t>InvCooldown</t>
        </is>
      </c>
      <c r="R1921" s="5" t="inlineStr">
        <is>
          <t>CastsInFight</t>
        </is>
      </c>
      <c r="S1921" s="5" t="inlineStr">
        <is>
          <t>HitRate(perSec)</t>
        </is>
      </c>
      <c r="U1921" t="inlineStr">
        <is>
          <t>helpers</t>
        </is>
      </c>
    </row>
    <row r="1922">
      <c r="A1922">
        <f>Skills!A2</f>
        <v/>
      </c>
      <c r="B1922">
        <f>Skills!B2</f>
        <v/>
      </c>
      <c r="C1922">
        <f>Inputs!$B$3&gt;=100</f>
        <v/>
      </c>
      <c r="D1922" t="inlineStr"/>
      <c r="E1922" t="inlineStr"/>
      <c r="F1922">
        <f>U1924+Skills!O2</f>
        <v/>
      </c>
      <c r="G1922">
        <f>Skills!G2*IF(Skills!H2&gt;0,Skills!I2/Skills!H2,1)</f>
        <v/>
      </c>
      <c r="H1922">
        <f>1-(1-Skills!J2/100)^Skills!K2</f>
        <v/>
      </c>
      <c r="I1922" t="inlineStr">
        <is>
          <t>1</t>
        </is>
      </c>
      <c r="J1922">
        <f>((Inputs!$B$6*(1+Inputs!$B$7/100))+(((Inputs!$B$12*(1+Inputs!$B$13/100))-(Inputs!$B$12*(1+Inputs!$B$13/100)))+0.25*(Inputs!$B$14-Inputs!$B$14))*(1+Inputs!$B$7/100))*(F1922/100)</f>
        <v/>
      </c>
      <c r="K1922">
        <f>J1922*(1+((Inputs!$B$12*(1+Inputs!$B$13/100))*0.01+Inputs!$B$14*0.0025)/100)*(1+Inputs!$B$15/100)*(1+Inputs!$B$16/100)*(5000/(6000+Inputs!$B$42*(1-(100*(1-(1-(Inputs!$B$19+0)/100)*(1-CHOOSE(ArtifactsInput!$N$40+1,5,6,7,8,9,10)/100)^(ArtifactsInput!$M$40-ArtifactsInput!$M$40)))/100)))*(1+(Inputs!$B$24+((C1946=TRUE)*(F1946-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1943=TRUE)*(F1943-Calc!F23))+((C1947=TRUE)*(F1947-Calc!F27))+(((IF(AND(ArtifactsInput!$M$42,((Inputs!$B$9+((C1939=TRUE)*(F1939-Calc!F19))+B1950+(IF(ArtifactsInput!$M$24,FALSE,TRUE)-ArtifactsInput!$M$24)*CHOOSE(ArtifactsInput!$N$24+1,10,12,14,16,18,20)+IF(ArtifactsInput!$M$10,CHOOSE(ArtifactsInput!$N$10+1,15,18,21,24,27,30)*(IF(Inputs!$B$38="pvp",MIN(15,15)/15,IF(AND(Inputs!$B$38&lt;&gt;"pvp",Inputs!$B$43&gt;0),MIN(15,Inputs!$B$43)/(Inputs!$B$43),0))),0)))&gt;=100),MIN(100,((Inputs!$B$9+((C1939=TRUE)*(F1939-Calc!F19))+B1950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1939=TRUE)*(F1939-Calc!F19))+B1950+(IF(ArtifactsInput!$M$24,FALSE,TRUE)-ArtifactsInput!$M$24)*CHOOSE(ArtifactsInput!$N$24+1,10,12,14,16,18,20)+IF(ArtifactsInput!$M$10,CHOOSE(ArtifactsInput!$N$10+1,15,18,21,24,27,30)*(IF(Inputs!$B$38="pvp",MIN(15,15)/15,IF(AND(Inputs!$B$38&lt;&gt;"pvp",Inputs!$B$43&gt;0),MIN(15,Inputs!$B$43)/(Inputs!$B$43),0))),0)))&gt;=100),CHOOSE(ArtifactsInput!$N$42+1,40,48,56,64,72,80),0))))/100)*((1+(((C1937=TRUE)*F1937)+((C1944=TRUE)*(F1944-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1922)</f>
        <v/>
      </c>
      <c r="L1922">
        <f>K1922*(MIN(Inputs!$B$22+((C1942=TRUE)*(F1942-Calc!F22)),(Inputs!$B$23+0+(IF(ArtifactsInput!$M$15,CHOOSE(ArtifactsInput!$N$15+1,25,30,35,40,45,50)/100*(Inputs!$B$11-Inputs!$B$11),0))))/100+(Inputs!$B$23+0+(IF(ArtifactsInput!$M$15,CHOOSE(ArtifactsInput!$N$15+1,25,30,35,40,45,50)/100*(Inputs!$B$11-Inputs!$B$11),0)))/100)/2</f>
        <v/>
      </c>
      <c r="M1922">
        <f>L1922*(1+(Inputs!$B$10+((C1945=TRUE)*(F1945-Calc!F25))+B1955+((IF(IF(ArtifactsInput!$M$24,FALSE,TRUE),1,-1)*CHOOSE(ArtifactsInput!$N$24+1,30,36,42,48,54,60)/100*IF(IF(ArtifactsInput!$M$24,FALSE,TRUE),(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2">
        <f>L1922*(1-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1922*(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2">
        <f>(1-Summary!$B$11)*T1922+Summary!$B$11*V1922</f>
        <v/>
      </c>
      <c r="P1922">
        <f>IF(B1960=0,0,O1922/B1960)</f>
        <v/>
      </c>
      <c r="Q1922" t="n">
        <v>0</v>
      </c>
      <c r="R1922" t="n">
        <v>0</v>
      </c>
      <c r="S1922">
        <f>IFERROR(O1922/N1922,0)</f>
        <v/>
      </c>
      <c r="T1922">
        <f>IF(C1922,(Skills!G2*N1922*B1954)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1922*(1-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1922*(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1922*(1-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1922*(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2">
        <f>MAX(0,(Inputs!$B$3-100)*3)+Inputs!$B$28+Inputs!$B$29</f>
        <v/>
      </c>
      <c r="V1922">
        <f>IF(C1922,(Skills!G2*N1922*B1954)*IF(Inputs!$B$38="pvp",1,(1+(Inputs!$B$21+Skills!Q2+(IF(ArtifactsInput!$M$33,CHOOSE(ArtifactsInput!$N$33+1,30,36,42,48,54,60),0))+(IF(AND(ArtifactsInput!$M$35,Inputs!$B$4&lt;&gt;"Chapter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3">
      <c r="A1923">
        <f>Skills!A3</f>
        <v/>
      </c>
      <c r="B1923">
        <f>Skills!B3</f>
        <v/>
      </c>
      <c r="C1923">
        <f>Inputs!$B$3&gt;=35</f>
        <v/>
      </c>
      <c r="D1923">
        <f>IF(Skills!C3=1,60+Inputs!$B$25+Inputs!$B$29,IF(Skills!C3=2,90+Inputs!$B$26+Inputs!$B$29,IF(Skills!C3=3,120+Inputs!$B$27+Inputs!$B$29,MAX(0,(Inputs!$B$3-100)*3)+Inputs!$B$28+Inputs!$B$29)))</f>
        <v/>
      </c>
      <c r="E1923">
        <f>INDEX(FactorTable!$B$2:$Y$301, MATCH(ROUND(MIN(300,MAX(1,D1923)),0), FactorTable!$A$2:$A$301,0), Skills!M3+1)</f>
        <v/>
      </c>
      <c r="F1923">
        <f>IF(Skills!N3=TRUE,(Skills!L3/10)*(E1923/1000),Skills!L3/10)+Skills!O3</f>
        <v/>
      </c>
      <c r="G1923">
        <f>Skills!G3*IF(Skills!H3&gt;0,Skills!I3/Skills!H3,1)</f>
        <v/>
      </c>
      <c r="H1923">
        <f>1-(1-Skills!J3/100)^Skills!K3</f>
        <v/>
      </c>
      <c r="I1923" t="inlineStr">
        <is>
          <t>1</t>
        </is>
      </c>
      <c r="J1923">
        <f>((Inputs!$B$6*(1+Inputs!$B$7/100))+(((Inputs!$B$12*(1+Inputs!$B$13/100))-(Inputs!$B$12*(1+Inputs!$B$13/100)))+0.25*(Inputs!$B$14-Inputs!$B$14))*(1+Inputs!$B$7/100))*(F1923/100)</f>
        <v/>
      </c>
      <c r="K1923">
        <f>J1923*(1+((Inputs!$B$12*(1+Inputs!$B$13/100))*0.01+Inputs!$B$14*0.0025)/100)*(1+Inputs!$B$15/100)*(1+Inputs!$B$16/100)*(5000/(6000+Inputs!$B$42*(1-(100*(1-(1-(Inputs!$B$19+0)/100)*(1-CHOOSE(ArtifactsInput!$N$40+1,5,6,7,8,9,10)/100)^(ArtifactsInput!$M$40-ArtifactsInput!$M$40)))/100)))*(1+(Inputs!$B$24+((C1946=TRUE)*(F1946-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1935=TRUE,F1935,0)/100)*(1+(IF(Skills!A3="EIGHT_LEGS_EASTON",Inputs!$B$17+((C1943=TRUE)*(F1943-Calc!F23))+((C1947=TRUE)*(F1947-Calc!F27))+(((IF(AND(ArtifactsInput!$M$42,((Inputs!$B$9+((C1939=TRUE)*(F1939-Calc!F19))+B1950+(IF(ArtifactsInput!$M$24,FALSE,TRUE)-ArtifactsInput!$M$24)*CHOOSE(ArtifactsInput!$N$24+1,10,12,14,16,18,20)+IF(ArtifactsInput!$M$10,CHOOSE(ArtifactsInput!$N$10+1,15,18,21,24,27,30)*(IF(Inputs!$B$38="pvp",MIN(15,15)/15,IF(AND(Inputs!$B$38&lt;&gt;"pvp",Inputs!$B$43&gt;0),MIN(15,Inputs!$B$43)/(Inputs!$B$43),0))),0)))&gt;=100),MIN(100,((Inputs!$B$9+((C1939=TRUE)*(F1939-Calc!F19))+B1950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1939=TRUE)*(F1939-Calc!F19))+B1950+(IF(ArtifactsInput!$M$24,FALSE,TRUE)-ArtifactsInput!$M$24)*CHOOSE(ArtifactsInput!$N$24+1,10,12,14,16,18,20)+IF(ArtifactsInput!$M$10,CHOOSE(ArtifactsInput!$N$10+1,15,18,21,24,27,30)*(IF(Inputs!$B$38="pvp",MIN(15,15)/15,IF(AND(Inputs!$B$38&lt;&gt;"pvp",Inputs!$B$43&gt;0),MIN(15,Inputs!$B$43)/(Inputs!$B$43),0))),0)))&gt;=100),CHOOSE(ArtifactsInput!$N$42+1,40,48,56,64,72,80),0))))/100)*((1+(((C1937=TRUE)*F1937)+((C1944=TRUE)*(F1944-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1923)</f>
        <v/>
      </c>
      <c r="L1923">
        <f>K1923*(MIN(Inputs!$B$22+((C1942=TRUE)*(F1942-Calc!F22)),(Inputs!$B$23+0+(IF(ArtifactsInput!$M$15,CHOOSE(ArtifactsInput!$N$15+1,25,30,35,40,45,50)/100*(Inputs!$B$11-Inputs!$B$11),0))))/100+(Inputs!$B$23+0+(IF(ArtifactsInput!$M$15,CHOOSE(ArtifactsInput!$N$15+1,25,30,35,40,45,50)/100*(Inputs!$B$11-Inputs!$B$11),0)))/100)/2</f>
        <v/>
      </c>
      <c r="M1923">
        <f>L1923*(1+(Inputs!$B$10+((C1945=TRUE)*(F1945-Calc!F25))+B1955+((IF(IF(ArtifactsInput!$M$24,FALSE,TRUE),1,-1)*CHOOSE(ArtifactsInput!$N$24+1,30,36,42,48,54,60)/100*IF(IF(ArtifactsInput!$M$24,FALSE,TRUE),(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3">
        <f>L1923*(1-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1923*(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3">
        <f>(1-Summary!$B$11)*T1923+Summary!$B$11*V1923</f>
        <v/>
      </c>
      <c r="P1923">
        <f>IF(B1960=0,0,O1923/B1960)</f>
        <v/>
      </c>
      <c r="Q1923">
        <f>IFERROR(1/(IF(Inputs!$B$38="pvp",15,MAX(0.1,Skills!D3-IF(Skills!E3=TRUE,Inputs!$B$32,0)))*(1-IF(AND(ArtifactsInput!$M$27,Inputs!$B$4="Chapter Hunt"),CHOOSE(ArtifactsInput!$N$27+1,20,24,28,32,36,40),0)/100)),0)</f>
        <v/>
      </c>
      <c r="R1923">
        <f>IF(AND(Inputs!$B$38&lt;&gt;"pvp",Inputs!$B$43&gt;0),IF(MAX(0,Inputs!$B$43-B1957)&lt;=0,0,(INT(MAX(0,Inputs!$B$43-B1957)/(IF(Inputs!$B$38="pvp",15,MAX(0.1,Skills!D3-IF(Skills!E3=TRUE,Inputs!$B$32,0)))*(1-IF(AND(ArtifactsInput!$M$27,Inputs!$B$4="Chapter Hunt"),CHOOSE(ArtifactsInput!$N$27+1,20,24,28,32,36,40),0)/100)))+1)),0)</f>
        <v/>
      </c>
      <c r="S1923">
        <f>IFERROR(O1923/N1923,0)</f>
        <v/>
      </c>
      <c r="T1923">
        <f>IF(C1923,(H1923*N1923*IF(AND(Inputs!$B$38&lt;&gt;"pvp",Inputs!$B$43&gt;0),((Skills!G3*((R1923-1)*IF(Skills!H3&gt;0,Skills!I3/Skills!H3,1)+IF(Skills!H3&gt;0,MIN(Skills!I3,MAX(0,MAX(0,Inputs!$B$43-B1957)-((R1923-1)*(IF(Inputs!$B$38="pvp",15,MAX(0.1,Skills!D3-IF(Skills!E3=TRUE,Inputs!$B$32,0)))*(1-IF(AND(ArtifactsInput!$M$27,Inputs!$B$4="Chapter Hunt"),CHOOSE(ArtifactsInput!$N$27+1,20,24,28,32,36,40),0)/100)))))/Skills!H3,1)))/Inputs!$B$43),G1923*Q1923)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1923*(1-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1923*(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1923*(1-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1923*(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3">
        <f>INDEX(FactorTable!$B$2:$Y$301, MATCH(ROUND(MIN(300,MAX(1,U1922)),0), FactorTable!$A$2:$A$301,0), 22)</f>
        <v/>
      </c>
      <c r="V1923">
        <f>IF(C1923,(H1923*N1923*IF(AND(Inputs!$B$38&lt;&gt;"pvp",Inputs!$B$43&gt;0),((Skills!G3*((R1923-1)*IF(Skills!H3&gt;0,Skills!I3/Skills!H3,1)+IF(Skills!H3&gt;0,MIN(Skills!I3,MAX(0,MAX(0,Inputs!$B$43-B1957)-((R1923-1)*(IF(Inputs!$B$38="pvp",15,MAX(0.1,Skills!D3-IF(Skills!E3=TRUE,Inputs!$B$32,0)))*(1-IF(AND(ArtifactsInput!$M$27,Inputs!$B$4="Chapter Hunt"),CHOOSE(ArtifactsInput!$N$27+1,20,24,28,32,36,40),0)/100)))))/Skills!H3,1)))/Inputs!$B$43),G1923*Q1923))*IF(Inputs!$B$38="pvp",1,(1+(Inputs!$B$21+Skills!Q3+(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4">
      <c r="A1924">
        <f>Skills!A4</f>
        <v/>
      </c>
      <c r="B1924">
        <f>Skills!B4</f>
        <v/>
      </c>
      <c r="C1924">
        <f>Inputs!$B$3&gt;=40</f>
        <v/>
      </c>
      <c r="D1924">
        <f>IF(Skills!C4=1,60+Inputs!$B$25+Inputs!$B$29,IF(Skills!C4=2,90+Inputs!$B$26+Inputs!$B$29,IF(Skills!C4=3,120+Inputs!$B$27+Inputs!$B$29,MAX(0,(Inputs!$B$3-100)*3)+Inputs!$B$28+Inputs!$B$29)))</f>
        <v/>
      </c>
      <c r="E1924">
        <f>INDEX(FactorTable!$B$2:$Y$301, MATCH(ROUND(MIN(300,MAX(1,D1924)),0), FactorTable!$A$2:$A$301,0), Skills!M4+1)</f>
        <v/>
      </c>
      <c r="F1924">
        <f>IF(Skills!N4=TRUE,(Skills!L4/10)*(E1924/1000),Skills!L4/10)+Skills!O4</f>
        <v/>
      </c>
      <c r="G1924">
        <f>Skills!G4*IF(Skills!H4&gt;0,Skills!I4/Skills!H4,1)</f>
        <v/>
      </c>
      <c r="H1924">
        <f>1-(1-Skills!J4/100)^Skills!K4</f>
        <v/>
      </c>
      <c r="I1924" t="inlineStr">
        <is>
          <t>1</t>
        </is>
      </c>
      <c r="J1924">
        <f>((Inputs!$B$6*(1+Inputs!$B$7/100))+(((Inputs!$B$12*(1+Inputs!$B$13/100))-(Inputs!$B$12*(1+Inputs!$B$13/100)))+0.25*(Inputs!$B$14-Inputs!$B$14))*(1+Inputs!$B$7/100))*(F1924/100)</f>
        <v/>
      </c>
      <c r="K1924">
        <f>J1924*(1+((Inputs!$B$12*(1+Inputs!$B$13/100))*0.01+Inputs!$B$14*0.0025)/100)*(1+Inputs!$B$15/100)*(1+Inputs!$B$16/100)*(5000/(6000+Inputs!$B$42*(1-(100*(1-(1-(Inputs!$B$19+0)/100)*(1-CHOOSE(ArtifactsInput!$N$40+1,5,6,7,8,9,10)/100)^(ArtifactsInput!$M$40-ArtifactsInput!$M$40)))/100)))*(1+(Inputs!$B$24+((C1946=TRUE)*(F1946-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1936=TRUE,F1936,0)/100)*(1+(IF(Skills!A4="EIGHT_LEGS_EASTON",Inputs!$B$17+((C1943=TRUE)*(F1943-Calc!F23))+((C1947=TRUE)*(F1947-Calc!F27))+(((IF(AND(ArtifactsInput!$M$42,((Inputs!$B$9+((C1939=TRUE)*(F1939-Calc!F19))+B1950+(IF(ArtifactsInput!$M$24,FALSE,TRUE)-ArtifactsInput!$M$24)*CHOOSE(ArtifactsInput!$N$24+1,10,12,14,16,18,20)+IF(ArtifactsInput!$M$10,CHOOSE(ArtifactsInput!$N$10+1,15,18,21,24,27,30)*(IF(Inputs!$B$38="pvp",MIN(15,15)/15,IF(AND(Inputs!$B$38&lt;&gt;"pvp",Inputs!$B$43&gt;0),MIN(15,Inputs!$B$43)/(Inputs!$B$43),0))),0)))&gt;=100),MIN(100,((Inputs!$B$9+((C1939=TRUE)*(F1939-Calc!F19))+B1950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1939=TRUE)*(F1939-Calc!F19))+B1950+(IF(ArtifactsInput!$M$24,FALSE,TRUE)-ArtifactsInput!$M$24)*CHOOSE(ArtifactsInput!$N$24+1,10,12,14,16,18,20)+IF(ArtifactsInput!$M$10,CHOOSE(ArtifactsInput!$N$10+1,15,18,21,24,27,30)*(IF(Inputs!$B$38="pvp",MIN(15,15)/15,IF(AND(Inputs!$B$38&lt;&gt;"pvp",Inputs!$B$43&gt;0),MIN(15,Inputs!$B$43)/(Inputs!$B$43),0))),0)))&gt;=100),CHOOSE(ArtifactsInput!$N$42+1,40,48,56,64,72,80),0))))/100)*((1+(((C1937=TRUE)*F1937)+((C1944=TRUE)*(F1944-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1924)</f>
        <v/>
      </c>
      <c r="L1924">
        <f>K1924*(MIN(Inputs!$B$22+((C1942=TRUE)*(F1942-Calc!F22)),(Inputs!$B$23+0+(IF(ArtifactsInput!$M$15,CHOOSE(ArtifactsInput!$N$15+1,25,30,35,40,45,50)/100*(Inputs!$B$11-Inputs!$B$11),0))))/100+(Inputs!$B$23+0+(IF(ArtifactsInput!$M$15,CHOOSE(ArtifactsInput!$N$15+1,25,30,35,40,45,50)/100*(Inputs!$B$11-Inputs!$B$11),0)))/100)/2</f>
        <v/>
      </c>
      <c r="M1924">
        <f>L1924*(1+(Inputs!$B$10+((C1945=TRUE)*(F1945-Calc!F25))+B1955+((IF(IF(ArtifactsInput!$M$24,FALSE,TRUE),1,-1)*CHOOSE(ArtifactsInput!$N$24+1,30,36,42,48,54,60)/100*IF(IF(ArtifactsInput!$M$24,FALSE,TRUE),(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4">
        <f>L1924*(1-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1924*(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4">
        <f>(1-Summary!$B$11)*T1924+Summary!$B$11*V1924</f>
        <v/>
      </c>
      <c r="P1924">
        <f>IF(B1960=0,0,O1924/B1960)</f>
        <v/>
      </c>
      <c r="Q1924">
        <f>IFERROR(1/(IF(Inputs!$B$38="pvp",15,MAX(0.1,Skills!D4-IF(Skills!E4=TRUE,Inputs!$B$32,0)))*(1-IF(AND(ArtifactsInput!$M$27,Inputs!$B$4="Chapter Hunt"),CHOOSE(ArtifactsInput!$N$27+1,20,24,28,32,36,40),0)/100)),0)</f>
        <v/>
      </c>
      <c r="R1924">
        <f>IF(AND(Inputs!$B$38&lt;&gt;"pvp",Inputs!$B$43&gt;0),IF(MAX(0,Inputs!$B$43-B1957)&lt;=0,0,(INT(MAX(0,Inputs!$B$43-B1957)/(IF(Inputs!$B$38="pvp",15,MAX(0.1,Skills!D4-IF(Skills!E4=TRUE,Inputs!$B$32,0)))*(1-IF(AND(ArtifactsInput!$M$27,Inputs!$B$4="Chapter Hunt"),CHOOSE(ArtifactsInput!$N$27+1,20,24,28,32,36,40),0)/100)))+1)),0)</f>
        <v/>
      </c>
      <c r="S1924">
        <f>IFERROR(O1924/N1924,0)</f>
        <v/>
      </c>
      <c r="T1924">
        <f>IF(C1924,(H1924*N1924*IF(AND(Inputs!$B$38&lt;&gt;"pvp",Inputs!$B$43&gt;0),((Skills!G4*((R1924-1)*IF(Skills!H4&gt;0,Skills!I4/Skills!H4,1)+IF(Skills!H4&gt;0,MIN(Skills!I4,MAX(0,MAX(0,Inputs!$B$43-B1957)-((R1924-1)*(IF(Inputs!$B$38="pvp",15,MAX(0.1,Skills!D4-IF(Skills!E4=TRUE,Inputs!$B$32,0)))*(1-IF(AND(ArtifactsInput!$M$27,Inputs!$B$4="Chapter Hunt"),CHOOSE(ArtifactsInput!$N$27+1,20,24,28,32,36,40),0)/100)))))/Skills!H4,1)))/Inputs!$B$43),G1924*Q1924)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1924*(1-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1924*(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1924*(1-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1924*(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4">
        <f>290*U1923/1000</f>
        <v/>
      </c>
      <c r="V1924">
        <f>IF(C1924,(H1924*N1924*IF(AND(Inputs!$B$38&lt;&gt;"pvp",Inputs!$B$43&gt;0),((Skills!G4*((R1924-1)*IF(Skills!H4&gt;0,Skills!I4/Skills!H4,1)+IF(Skills!H4&gt;0,MIN(Skills!I4,MAX(0,MAX(0,Inputs!$B$43-B1957)-((R1924-1)*(IF(Inputs!$B$38="pvp",15,MAX(0.1,Skills!D4-IF(Skills!E4=TRUE,Inputs!$B$32,0)))*(1-IF(AND(ArtifactsInput!$M$27,Inputs!$B$4="Chapter Hunt"),CHOOSE(ArtifactsInput!$N$27+1,20,24,28,32,36,40),0)/100)))))/Skills!H4,1)))/Inputs!$B$43),G1924*Q1924))*IF(Inputs!$B$38="pvp",1,(1+(Inputs!$B$21+Skills!Q4+(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5">
      <c r="A1925">
        <f>Skills!A5</f>
        <v/>
      </c>
      <c r="B1925">
        <f>Skills!B5</f>
        <v/>
      </c>
      <c r="C1925">
        <f>Inputs!$B$3&gt;=45</f>
        <v/>
      </c>
      <c r="D1925">
        <f>IF(Skills!C5=1,60+Inputs!$B$25+Inputs!$B$29,IF(Skills!C5=2,90+Inputs!$B$26+Inputs!$B$29,IF(Skills!C5=3,120+Inputs!$B$27+Inputs!$B$29,MAX(0,(Inputs!$B$3-100)*3)+Inputs!$B$28+Inputs!$B$29)))</f>
        <v/>
      </c>
      <c r="E1925">
        <f>INDEX(FactorTable!$B$2:$Y$301, MATCH(ROUND(MIN(300,MAX(1,D1925)),0), FactorTable!$A$2:$A$301,0), Skills!M5+1)</f>
        <v/>
      </c>
      <c r="F1925">
        <f>IF(Skills!N5=TRUE,(Skills!L5/10)*(E1925/1000),Skills!L5/10)+Skills!O5</f>
        <v/>
      </c>
      <c r="G1925">
        <f>Skills!G5*IF(Skills!H5&gt;0,Skills!I5/Skills!H5,1)</f>
        <v/>
      </c>
      <c r="H1925">
        <f>1-(1-Skills!J5/100)^Skills!K5</f>
        <v/>
      </c>
      <c r="I1925" t="inlineStr">
        <is>
          <t>1</t>
        </is>
      </c>
      <c r="J1925">
        <f>((Inputs!$B$6*(1+Inputs!$B$7/100))+(((Inputs!$B$12*(1+Inputs!$B$13/100))-(Inputs!$B$12*(1+Inputs!$B$13/100)))+0.25*(Inputs!$B$14-Inputs!$B$14))*(1+Inputs!$B$7/100))*(F1925/100)</f>
        <v/>
      </c>
      <c r="K1925">
        <f>J1925*(1+((Inputs!$B$12*(1+Inputs!$B$13/100))*0.01+Inputs!$B$14*0.0025)/100)*(1+Inputs!$B$15/100)*(1+Inputs!$B$16/100)*(5000/(6000+Inputs!$B$42*(1-(100*(1-(1-(Inputs!$B$19+0)/100)*(1-CHOOSE(ArtifactsInput!$N$40+1,5,6,7,8,9,10)/100)^(ArtifactsInput!$M$40-ArtifactsInput!$M$40)))/100)))*(1+(Inputs!$B$24+((C1946=TRUE)*(F1946-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1936=TRUE,F1936,0)/100)*(1+(IF(Skills!A5="EIGHT_LEGS_EASTON",Inputs!$B$17+((C1943=TRUE)*(F1943-Calc!F23))+((C1947=TRUE)*(F1947-Calc!F27))+(((IF(AND(ArtifactsInput!$M$42,((Inputs!$B$9+((C1939=TRUE)*(F1939-Calc!F19))+B1950+(IF(ArtifactsInput!$M$24,FALSE,TRUE)-ArtifactsInput!$M$24)*CHOOSE(ArtifactsInput!$N$24+1,10,12,14,16,18,20)+IF(ArtifactsInput!$M$10,CHOOSE(ArtifactsInput!$N$10+1,15,18,21,24,27,30)*(IF(Inputs!$B$38="pvp",MIN(15,15)/15,IF(AND(Inputs!$B$38&lt;&gt;"pvp",Inputs!$B$43&gt;0),MIN(15,Inputs!$B$43)/(Inputs!$B$43),0))),0)))&gt;=100),MIN(100,((Inputs!$B$9+((C1939=TRUE)*(F1939-Calc!F19))+B1950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1939=TRUE)*(F1939-Calc!F19))+B1950+(IF(ArtifactsInput!$M$24,FALSE,TRUE)-ArtifactsInput!$M$24)*CHOOSE(ArtifactsInput!$N$24+1,10,12,14,16,18,20)+IF(ArtifactsInput!$M$10,CHOOSE(ArtifactsInput!$N$10+1,15,18,21,24,27,30)*(IF(Inputs!$B$38="pvp",MIN(15,15)/15,IF(AND(Inputs!$B$38&lt;&gt;"pvp",Inputs!$B$43&gt;0),MIN(15,Inputs!$B$43)/(Inputs!$B$43),0))),0)))&gt;=100),CHOOSE(ArtifactsInput!$N$42+1,40,48,56,64,72,80),0))))/100)*((1+(((C1937=TRUE)*F1937)+((C1944=TRUE)*(F1944-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1925)</f>
        <v/>
      </c>
      <c r="L1925">
        <f>K1925*(MIN(Inputs!$B$22+((C1942=TRUE)*(F1942-Calc!F22)),(Inputs!$B$23+0+(IF(ArtifactsInput!$M$15,CHOOSE(ArtifactsInput!$N$15+1,25,30,35,40,45,50)/100*(Inputs!$B$11-Inputs!$B$11),0))))/100+(Inputs!$B$23+0+(IF(ArtifactsInput!$M$15,CHOOSE(ArtifactsInput!$N$15+1,25,30,35,40,45,50)/100*(Inputs!$B$11-Inputs!$B$11),0)))/100)/2</f>
        <v/>
      </c>
      <c r="M1925">
        <f>L1925*(1+(Inputs!$B$10+((C1945=TRUE)*(F1945-Calc!F25))+B1955+((IF(IF(ArtifactsInput!$M$24,FALSE,TRUE),1,-1)*CHOOSE(ArtifactsInput!$N$24+1,30,36,42,48,54,60)/100*IF(IF(ArtifactsInput!$M$24,FALSE,TRUE),(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5">
        <f>L1925*(1-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1925*(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5">
        <f>(1-Summary!$B$11)*T1925+Summary!$B$11*V1925</f>
        <v/>
      </c>
      <c r="P1925">
        <f>IF(B1960=0,0,O1925/B1960)</f>
        <v/>
      </c>
      <c r="Q1925">
        <f>IFERROR(1/(IF(Inputs!$B$38="pvp",15,MAX(0.1,Skills!D5-IF(Skills!E5=TRUE,Inputs!$B$32,0)))*(1-IF(AND(ArtifactsInput!$M$27,Inputs!$B$4="Chapter Hunt"),CHOOSE(ArtifactsInput!$N$27+1,20,24,28,32,36,40),0)/100)),0)</f>
        <v/>
      </c>
      <c r="R1925">
        <f>IF(AND(Inputs!$B$38&lt;&gt;"pvp",Inputs!$B$43&gt;0),IF(MAX(0,Inputs!$B$43-B1957)&lt;=0,0,(INT(MAX(0,Inputs!$B$43-B1957)/(IF(Inputs!$B$38="pvp",15,MAX(0.1,Skills!D5-IF(Skills!E5=TRUE,Inputs!$B$32,0)))*(1-IF(AND(ArtifactsInput!$M$27,Inputs!$B$4="Chapter Hunt"),CHOOSE(ArtifactsInput!$N$27+1,20,24,28,32,36,40),0)/100)))+1)),0)</f>
        <v/>
      </c>
      <c r="S1925">
        <f>IFERROR(O1925/N1925,0)</f>
        <v/>
      </c>
      <c r="T1925">
        <f>IF(C1925,(H1925*N1925*IF(AND(Inputs!$B$38&lt;&gt;"pvp",Inputs!$B$43&gt;0),((Skills!G5*((R1925-1)*IF(Skills!H5&gt;0,Skills!I5/Skills!H5,1)+IF(Skills!H5&gt;0,MIN(Skills!I5,MAX(0,MAX(0,Inputs!$B$43-B1957)-((R1925-1)*(IF(Inputs!$B$38="pvp",15,MAX(0.1,Skills!D5-IF(Skills!E5=TRUE,Inputs!$B$32,0)))*(1-IF(AND(ArtifactsInput!$M$27,Inputs!$B$4="Chapter Hunt"),CHOOSE(ArtifactsInput!$N$27+1,20,24,28,32,36,40),0)/100)))))/Skills!H5,1)))/Inputs!$B$43),G1925*Q1925)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1925*(1-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1925*(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1925*(1-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1925*(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5">
        <f>IF(C1925,(H1925*N1925*IF(AND(Inputs!$B$38&lt;&gt;"pvp",Inputs!$B$43&gt;0),((Skills!G5*((R1925-1)*IF(Skills!H5&gt;0,Skills!I5/Skills!H5,1)+IF(Skills!H5&gt;0,MIN(Skills!I5,MAX(0,MAX(0,Inputs!$B$43-B1957)-((R1925-1)*(IF(Inputs!$B$38="pvp",15,MAX(0.1,Skills!D5-IF(Skills!E5=TRUE,Inputs!$B$32,0)))*(1-IF(AND(ArtifactsInput!$M$27,Inputs!$B$4="Chapter Hunt"),CHOOSE(ArtifactsInput!$N$27+1,20,24,28,32,36,40),0)/100)))))/Skills!H5,1)))/Inputs!$B$43),G1925*Q1925))*IF(Inputs!$B$38="pvp",1,(1+(Inputs!$B$21+Skills!Q5+(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6">
      <c r="A1926">
        <f>Skills!A6</f>
        <v/>
      </c>
      <c r="B1926">
        <f>Skills!B6</f>
        <v/>
      </c>
      <c r="C1926">
        <f>Inputs!$B$3&gt;=63</f>
        <v/>
      </c>
      <c r="D1926">
        <f>IF(Skills!C6=1,60+Inputs!$B$25+Inputs!$B$29,IF(Skills!C6=2,90+Inputs!$B$26+Inputs!$B$29,IF(Skills!C6=3,120+Inputs!$B$27+Inputs!$B$29,MAX(0,(Inputs!$B$3-100)*3)+Inputs!$B$28+Inputs!$B$29)))</f>
        <v/>
      </c>
      <c r="E1926">
        <f>INDEX(FactorTable!$B$2:$Y$301, MATCH(ROUND(MIN(300,MAX(1,D1926)),0), FactorTable!$A$2:$A$301,0), Skills!M6+1)</f>
        <v/>
      </c>
      <c r="F1926">
        <f>IF(Skills!N6=TRUE,(Skills!L6/10)*(E1926/1000),Skills!L6/10)+Skills!O6</f>
        <v/>
      </c>
      <c r="G1926">
        <f>Skills!G6*IF(Skills!H6&gt;0,Skills!I6/Skills!H6,1)</f>
        <v/>
      </c>
      <c r="H1926">
        <f>1-(1-Skills!J6/100)^Skills!K6</f>
        <v/>
      </c>
      <c r="I1926" t="inlineStr">
        <is>
          <t>1</t>
        </is>
      </c>
      <c r="J1926">
        <f>((Inputs!$B$6*(1+Inputs!$B$7/100))+(((Inputs!$B$12*(1+Inputs!$B$13/100))-(Inputs!$B$12*(1+Inputs!$B$13/100)))+0.25*(Inputs!$B$14-Inputs!$B$14))*(1+Inputs!$B$7/100))*(F1926/100)</f>
        <v/>
      </c>
      <c r="K1926">
        <f>J1926*(1+((Inputs!$B$12*(1+Inputs!$B$13/100))*0.01+Inputs!$B$14*0.0025)/100)*(1+Inputs!$B$15/100)*(1+Inputs!$B$16/100)*(5000/(6000+Inputs!$B$42*(1-(100*(1-(1-(Inputs!$B$19+0)/100)*(1-CHOOSE(ArtifactsInput!$N$40+1,5,6,7,8,9,10)/100)^(ArtifactsInput!$M$40-ArtifactsInput!$M$40)))/100)))*(1+(Inputs!$B$24+((C1946=TRUE)*(F1946-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1935=TRUE,F1935,0)/100)*(1+(IF(Skills!A6="EIGHT_LEGS_EASTON",Inputs!$B$17+((C1943=TRUE)*(F1943-Calc!F23))+((C1947=TRUE)*(F1947-Calc!F27))+(((IF(AND(ArtifactsInput!$M$42,((Inputs!$B$9+((C1939=TRUE)*(F1939-Calc!F19))+B1950+(IF(ArtifactsInput!$M$24,FALSE,TRUE)-ArtifactsInput!$M$24)*CHOOSE(ArtifactsInput!$N$24+1,10,12,14,16,18,20)+IF(ArtifactsInput!$M$10,CHOOSE(ArtifactsInput!$N$10+1,15,18,21,24,27,30)*(IF(Inputs!$B$38="pvp",MIN(15,15)/15,IF(AND(Inputs!$B$38&lt;&gt;"pvp",Inputs!$B$43&gt;0),MIN(15,Inputs!$B$43)/(Inputs!$B$43),0))),0)))&gt;=100),MIN(100,((Inputs!$B$9+((C1939=TRUE)*(F1939-Calc!F19))+B1950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1939=TRUE)*(F1939-Calc!F19))+B1950+(IF(ArtifactsInput!$M$24,FALSE,TRUE)-ArtifactsInput!$M$24)*CHOOSE(ArtifactsInput!$N$24+1,10,12,14,16,18,20)+IF(ArtifactsInput!$M$10,CHOOSE(ArtifactsInput!$N$10+1,15,18,21,24,27,30)*(IF(Inputs!$B$38="pvp",MIN(15,15)/15,IF(AND(Inputs!$B$38&lt;&gt;"pvp",Inputs!$B$43&gt;0),MIN(15,Inputs!$B$43)/(Inputs!$B$43),0))),0)))&gt;=100),CHOOSE(ArtifactsInput!$N$42+1,40,48,56,64,72,80),0))))/100)*((1+(((C1937=TRUE)*F1937)+((C1944=TRUE)*(F1944-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1926)</f>
        <v/>
      </c>
      <c r="L1926">
        <f>K1926*(MIN(Inputs!$B$22+((C1942=TRUE)*(F1942-Calc!F22)),(Inputs!$B$23+0+(IF(ArtifactsInput!$M$15,CHOOSE(ArtifactsInput!$N$15+1,25,30,35,40,45,50)/100*(Inputs!$B$11-Inputs!$B$11),0))))/100+(Inputs!$B$23+0+(IF(ArtifactsInput!$M$15,CHOOSE(ArtifactsInput!$N$15+1,25,30,35,40,45,50)/100*(Inputs!$B$11-Inputs!$B$11),0)))/100)/2</f>
        <v/>
      </c>
      <c r="M1926">
        <f>L1926*(1+(Inputs!$B$10+((C1945=TRUE)*(F1945-Calc!F25))+B1955+((IF(IF(ArtifactsInput!$M$24,FALSE,TRUE),1,-1)*CHOOSE(ArtifactsInput!$N$24+1,30,36,42,48,54,60)/100*IF(IF(ArtifactsInput!$M$24,FALSE,TRUE),(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6">
        <f>L1926*(1-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1926*(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6">
        <f>(1-Summary!$B$11)*T1926+Summary!$B$11*V1926</f>
        <v/>
      </c>
      <c r="P1926">
        <f>IF(B1960=0,0,O1926/B1960)</f>
        <v/>
      </c>
      <c r="Q1926">
        <f>IFERROR(1/(IF(Inputs!$B$38="pvp",15,MAX(0.1,Skills!D6-IF(Skills!E6=TRUE,Inputs!$B$32,0)))*(1-IF(AND(ArtifactsInput!$M$27,Inputs!$B$4="Chapter Hunt"),CHOOSE(ArtifactsInput!$N$27+1,20,24,28,32,36,40),0)/100)),0)</f>
        <v/>
      </c>
      <c r="R1926">
        <f>IF(AND(Inputs!$B$38&lt;&gt;"pvp",Inputs!$B$43&gt;0),IF(MAX(0,Inputs!$B$43-B1957)&lt;=0,0,(INT(MAX(0,Inputs!$B$43-B1957)/(IF(Inputs!$B$38="pvp",15,MAX(0.1,Skills!D6-IF(Skills!E6=TRUE,Inputs!$B$32,0)))*(1-IF(AND(ArtifactsInput!$M$27,Inputs!$B$4="Chapter Hunt"),CHOOSE(ArtifactsInput!$N$27+1,20,24,28,32,36,40),0)/100)))+1)),0)</f>
        <v/>
      </c>
      <c r="S1926">
        <f>IFERROR(O1926/N1926,0)</f>
        <v/>
      </c>
      <c r="T1926">
        <f>IF(C1926,(H1926*N1926*IF(AND(Inputs!$B$38&lt;&gt;"pvp",Inputs!$B$43&gt;0),((Skills!G6*((R1926-1)*IF(Skills!H6&gt;0,Skills!I6/Skills!H6,1)+IF(Skills!H6&gt;0,MIN(Skills!I6,MAX(0,MAX(0,Inputs!$B$43-B1957)-((R1926-1)*(IF(Inputs!$B$38="pvp",15,MAX(0.1,Skills!D6-IF(Skills!E6=TRUE,Inputs!$B$32,0)))*(1-IF(AND(ArtifactsInput!$M$27,Inputs!$B$4="Chapter Hunt"),CHOOSE(ArtifactsInput!$N$27+1,20,24,28,32,36,40),0)/100)))))/Skills!H6,1)))/Inputs!$B$43),G1926*Q1926)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1926*(1-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1926*(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1926*(1-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1926*(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6">
        <f>IF(C1926,(H1926*N1926*IF(AND(Inputs!$B$38&lt;&gt;"pvp",Inputs!$B$43&gt;0),((Skills!G6*((R1926-1)*IF(Skills!H6&gt;0,Skills!I6/Skills!H6,1)+IF(Skills!H6&gt;0,MIN(Skills!I6,MAX(0,MAX(0,Inputs!$B$43-B1957)-((R1926-1)*(IF(Inputs!$B$38="pvp",15,MAX(0.1,Skills!D6-IF(Skills!E6=TRUE,Inputs!$B$32,0)))*(1-IF(AND(ArtifactsInput!$M$27,Inputs!$B$4="Chapter Hunt"),CHOOSE(ArtifactsInput!$N$27+1,20,24,28,32,36,40),0)/100)))))/Skills!H6,1)))/Inputs!$B$43),G1926*Q1926))*IF(Inputs!$B$38="pvp",1,(1+(Inputs!$B$21+Skills!Q6+(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7">
      <c r="A1927">
        <f>Skills!A7</f>
        <v/>
      </c>
      <c r="B1927">
        <f>Skills!B7</f>
        <v/>
      </c>
      <c r="C1927">
        <f>Inputs!$B$3&gt;=66</f>
        <v/>
      </c>
      <c r="D1927">
        <f>IF(Skills!C7=1,60+Inputs!$B$25+Inputs!$B$29,IF(Skills!C7=2,90+Inputs!$B$26+Inputs!$B$29,IF(Skills!C7=3,120+Inputs!$B$27+Inputs!$B$29,MAX(0,(Inputs!$B$3-100)*3)+Inputs!$B$28+Inputs!$B$29)))</f>
        <v/>
      </c>
      <c r="E1927">
        <f>INDEX(FactorTable!$B$2:$Y$301, MATCH(ROUND(MIN(300,MAX(1,D1927)),0), FactorTable!$A$2:$A$301,0), Skills!M7+1)</f>
        <v/>
      </c>
      <c r="F1927">
        <f>IF(Skills!N7=TRUE,(Skills!L7/10)*(E1927/1000),Skills!L7/10)+Skills!O7</f>
        <v/>
      </c>
      <c r="G1927">
        <f>Skills!G7*IF(Skills!H7&gt;0,Skills!I7/Skills!H7,1)</f>
        <v/>
      </c>
      <c r="H1927">
        <f>1-(1-Skills!J7/100)^Skills!K7</f>
        <v/>
      </c>
      <c r="I1927" t="inlineStr">
        <is>
          <t>1</t>
        </is>
      </c>
      <c r="J1927">
        <f>((Inputs!$B$6*(1+Inputs!$B$7/100))+(((Inputs!$B$12*(1+Inputs!$B$13/100))-(Inputs!$B$12*(1+Inputs!$B$13/100)))+0.25*(Inputs!$B$14-Inputs!$B$14))*(1+Inputs!$B$7/100))*(F1927/100)</f>
        <v/>
      </c>
      <c r="K1927">
        <f>J1927*(1+((Inputs!$B$12*(1+Inputs!$B$13/100))*0.01+Inputs!$B$14*0.0025)/100)*(1+Inputs!$B$15/100)*(1+Inputs!$B$16/100)*(5000/(6000+Inputs!$B$42*(1-(100*(1-(1-(Inputs!$B$19+0)/100)*(1-CHOOSE(ArtifactsInput!$N$40+1,5,6,7,8,9,10)/100)^(ArtifactsInput!$M$40-ArtifactsInput!$M$40)))/100)))*(1+(Inputs!$B$24+((C1946=TRUE)*(F1946-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1935=TRUE,F1935,0)/100)*(1+(IF(Skills!A7="EIGHT_LEGS_EASTON",Inputs!$B$17+((C1943=TRUE)*(F1943-Calc!F23))+((C1947=TRUE)*(F1947-Calc!F27))+(((IF(AND(ArtifactsInput!$M$42,((Inputs!$B$9+((C1939=TRUE)*(F1939-Calc!F19))+B1950+(IF(ArtifactsInput!$M$24,FALSE,TRUE)-ArtifactsInput!$M$24)*CHOOSE(ArtifactsInput!$N$24+1,10,12,14,16,18,20)+IF(ArtifactsInput!$M$10,CHOOSE(ArtifactsInput!$N$10+1,15,18,21,24,27,30)*(IF(Inputs!$B$38="pvp",MIN(15,15)/15,IF(AND(Inputs!$B$38&lt;&gt;"pvp",Inputs!$B$43&gt;0),MIN(15,Inputs!$B$43)/(Inputs!$B$43),0))),0)))&gt;=100),MIN(100,((Inputs!$B$9+((C1939=TRUE)*(F1939-Calc!F19))+B1950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1939=TRUE)*(F1939-Calc!F19))+B1950+(IF(ArtifactsInput!$M$24,FALSE,TRUE)-ArtifactsInput!$M$24)*CHOOSE(ArtifactsInput!$N$24+1,10,12,14,16,18,20)+IF(ArtifactsInput!$M$10,CHOOSE(ArtifactsInput!$N$10+1,15,18,21,24,27,30)*(IF(Inputs!$B$38="pvp",MIN(15,15)/15,IF(AND(Inputs!$B$38&lt;&gt;"pvp",Inputs!$B$43&gt;0),MIN(15,Inputs!$B$43)/(Inputs!$B$43),0))),0)))&gt;=100),CHOOSE(ArtifactsInput!$N$42+1,40,48,56,64,72,80),0))))/100)*((1+(((C1937=TRUE)*F1937)+((C1944=TRUE)*(F1944-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1927)</f>
        <v/>
      </c>
      <c r="L1927">
        <f>K1927*(MIN(Inputs!$B$22+((C1942=TRUE)*(F1942-Calc!F22)),(Inputs!$B$23+0+(IF(ArtifactsInput!$M$15,CHOOSE(ArtifactsInput!$N$15+1,25,30,35,40,45,50)/100*(Inputs!$B$11-Inputs!$B$11),0))))/100+(Inputs!$B$23+0+(IF(ArtifactsInput!$M$15,CHOOSE(ArtifactsInput!$N$15+1,25,30,35,40,45,50)/100*(Inputs!$B$11-Inputs!$B$11),0)))/100)/2</f>
        <v/>
      </c>
      <c r="M1927">
        <f>L1927*(1+(Inputs!$B$10+((C1945=TRUE)*(F1945-Calc!F25))+B1955+((IF(IF(ArtifactsInput!$M$24,FALSE,TRUE),1,-1)*CHOOSE(ArtifactsInput!$N$24+1,30,36,42,48,54,60)/100*IF(IF(ArtifactsInput!$M$24,FALSE,TRUE),(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7">
        <f>L1927*(1-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1927*(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7">
        <f>(1-Summary!$B$11)*T1927+Summary!$B$11*V1927</f>
        <v/>
      </c>
      <c r="P1927">
        <f>IF(B1960=0,0,O1927/B1960)</f>
        <v/>
      </c>
      <c r="Q1927">
        <f>IFERROR(1/(IF(Inputs!$B$38="pvp",15,MAX(0.1,Skills!D7-IF(Skills!E7=TRUE,Inputs!$B$32,0)))*(1-IF(AND(ArtifactsInput!$M$27,Inputs!$B$4="Chapter Hunt"),CHOOSE(ArtifactsInput!$N$27+1,20,24,28,32,36,40),0)/100)),0)</f>
        <v/>
      </c>
      <c r="R1927">
        <f>IF(AND(Inputs!$B$38&lt;&gt;"pvp",Inputs!$B$43&gt;0),IF(MAX(0,Inputs!$B$43-B1957)&lt;=0,0,(INT(MAX(0,Inputs!$B$43-B1957)/(IF(Inputs!$B$38="pvp",15,MAX(0.1,Skills!D7-IF(Skills!E7=TRUE,Inputs!$B$32,0)))*(1-IF(AND(ArtifactsInput!$M$27,Inputs!$B$4="Chapter Hunt"),CHOOSE(ArtifactsInput!$N$27+1,20,24,28,32,36,40),0)/100)))+1)),0)</f>
        <v/>
      </c>
      <c r="S1927">
        <f>IFERROR(O1927/N1927,0)</f>
        <v/>
      </c>
      <c r="T1927">
        <f>IF(C1927,(H1927*N1927*IF(AND(Inputs!$B$38&lt;&gt;"pvp",Inputs!$B$43&gt;0),((Skills!G7*((R1927-1)*IF(Skills!H7&gt;0,Skills!I7/Skills!H7,1)+IF(Skills!H7&gt;0,MIN(Skills!I7,MAX(0,MAX(0,Inputs!$B$43-B1957)-((R1927-1)*(IF(Inputs!$B$38="pvp",15,MAX(0.1,Skills!D7-IF(Skills!E7=TRUE,Inputs!$B$32,0)))*(1-IF(AND(ArtifactsInput!$M$27,Inputs!$B$4="Chapter Hunt"),CHOOSE(ArtifactsInput!$N$27+1,20,24,28,32,36,40),0)/100)))))/Skills!H7,1)))/Inputs!$B$43),G1927*Q1927)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1927*(1-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1927*(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1927*(1-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1927*(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7">
        <f>IF(C1927,(H1927*N1927*IF(AND(Inputs!$B$38&lt;&gt;"pvp",Inputs!$B$43&gt;0),((Skills!G7*((R1927-1)*IF(Skills!H7&gt;0,Skills!I7/Skills!H7,1)+IF(Skills!H7&gt;0,MIN(Skills!I7,MAX(0,MAX(0,Inputs!$B$43-B1957)-((R1927-1)*(IF(Inputs!$B$38="pvp",15,MAX(0.1,Skills!D7-IF(Skills!E7=TRUE,Inputs!$B$32,0)))*(1-IF(AND(ArtifactsInput!$M$27,Inputs!$B$4="Chapter Hunt"),CHOOSE(ArtifactsInput!$N$27+1,20,24,28,32,36,40),0)/100)))))/Skills!H7,1)))/Inputs!$B$43),G1927*Q1927))*IF(Inputs!$B$38="pvp",1,(1+(Inputs!$B$21+Skills!Q7+(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8">
      <c r="A1928">
        <f>Skills!A8</f>
        <v/>
      </c>
      <c r="B1928">
        <f>Skills!B8</f>
        <v/>
      </c>
      <c r="C1928">
        <f>Inputs!$B$3&gt;=100</f>
        <v/>
      </c>
      <c r="D1928">
        <f>IF(Skills!C8=1,60+Inputs!$B$25+Inputs!$B$29,IF(Skills!C8=2,90+Inputs!$B$26+Inputs!$B$29,IF(Skills!C8=3,120+Inputs!$B$27+Inputs!$B$29,MAX(0,(Inputs!$B$3-100)*3)+Inputs!$B$28+Inputs!$B$29)))</f>
        <v/>
      </c>
      <c r="E1928">
        <f>INDEX(FactorTable!$B$2:$Y$301, MATCH(ROUND(MIN(300,MAX(1,D1928)),0), FactorTable!$A$2:$A$301,0), Skills!M8+1)</f>
        <v/>
      </c>
      <c r="F1928">
        <f>IF(Skills!N8=TRUE,(Skills!L8/10)*(E1928/1000),Skills!L8/10)+Skills!O8</f>
        <v/>
      </c>
      <c r="G1928">
        <f>Skills!G8*IF(Skills!H8&gt;0,Skills!I8/Skills!H8,1)</f>
        <v/>
      </c>
      <c r="H1928">
        <f>1-(1-Skills!J8/100)^Skills!K8</f>
        <v/>
      </c>
      <c r="I1928" t="inlineStr">
        <is>
          <t>1</t>
        </is>
      </c>
      <c r="J1928">
        <f>((Inputs!$B$6*(1+Inputs!$B$7/100))+(((Inputs!$B$12*(1+Inputs!$B$13/100))-(Inputs!$B$12*(1+Inputs!$B$13/100)))+0.25*(Inputs!$B$14-Inputs!$B$14))*(1+Inputs!$B$7/100))*(F1928/100)</f>
        <v/>
      </c>
      <c r="K1928">
        <f>J1928*(1+((Inputs!$B$12*(1+Inputs!$B$13/100))*0.01+Inputs!$B$14*0.0025)/100)*(1+Inputs!$B$15/100)*(1+Inputs!$B$16/100)*(5000/(6000+Inputs!$B$42*(1-(100*(1-(1-(Inputs!$B$19+0)/100)*(1-CHOOSE(ArtifactsInput!$N$40+1,5,6,7,8,9,10)/100)^(ArtifactsInput!$M$40-ArtifactsInput!$M$40)))/100)))*(1+(Inputs!$B$24+((C1946=TRUE)*(F1946-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1943=TRUE)*(F1943-Calc!F23))+((C1947=TRUE)*(F1947-Calc!F27))+(((IF(AND(ArtifactsInput!$M$42,((Inputs!$B$9+((C1939=TRUE)*(F1939-Calc!F19))+B1950+(IF(ArtifactsInput!$M$24,FALSE,TRUE)-ArtifactsInput!$M$24)*CHOOSE(ArtifactsInput!$N$24+1,10,12,14,16,18,20)+IF(ArtifactsInput!$M$10,CHOOSE(ArtifactsInput!$N$10+1,15,18,21,24,27,30)*(IF(Inputs!$B$38="pvp",MIN(15,15)/15,IF(AND(Inputs!$B$38&lt;&gt;"pvp",Inputs!$B$43&gt;0),MIN(15,Inputs!$B$43)/(Inputs!$B$43),0))),0)))&gt;=100),MIN(100,((Inputs!$B$9+((C1939=TRUE)*(F1939-Calc!F19))+B1950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1939=TRUE)*(F1939-Calc!F19))+B1950+(IF(ArtifactsInput!$M$24,FALSE,TRUE)-ArtifactsInput!$M$24)*CHOOSE(ArtifactsInput!$N$24+1,10,12,14,16,18,20)+IF(ArtifactsInput!$M$10,CHOOSE(ArtifactsInput!$N$10+1,15,18,21,24,27,30)*(IF(Inputs!$B$38="pvp",MIN(15,15)/15,IF(AND(Inputs!$B$38&lt;&gt;"pvp",Inputs!$B$43&gt;0),MIN(15,Inputs!$B$43)/(Inputs!$B$43),0))),0)))&gt;=100),CHOOSE(ArtifactsInput!$N$42+1,40,48,56,64,72,80),0))))/100)*((1+(((C1937=TRUE)*F1937)+((C1944=TRUE)*(F1944-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1928)</f>
        <v/>
      </c>
      <c r="L1928">
        <f>K1928*(MIN(Inputs!$B$22+((C1942=TRUE)*(F1942-Calc!F22)),(Inputs!$B$23+0+(IF(ArtifactsInput!$M$15,CHOOSE(ArtifactsInput!$N$15+1,25,30,35,40,45,50)/100*(Inputs!$B$11-Inputs!$B$11),0))))/100+(Inputs!$B$23+0+(IF(ArtifactsInput!$M$15,CHOOSE(ArtifactsInput!$N$15+1,25,30,35,40,45,50)/100*(Inputs!$B$11-Inputs!$B$11),0)))/100)/2</f>
        <v/>
      </c>
      <c r="M1928">
        <f>L1928*(1+(Inputs!$B$10+((C1945=TRUE)*(F1945-Calc!F25))+B1955+((IF(IF(ArtifactsInput!$M$24,FALSE,TRUE),1,-1)*CHOOSE(ArtifactsInput!$N$24+1,30,36,42,48,54,60)/100*IF(IF(ArtifactsInput!$M$24,FALSE,TRUE),(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8">
        <f>L1928*(1-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1928*(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8">
        <f>(1-Summary!$B$11)*T1928+Summary!$B$11*V1928</f>
        <v/>
      </c>
      <c r="P1928">
        <f>IF(B1960=0,0,O1928/B1960)</f>
        <v/>
      </c>
      <c r="Q1928">
        <f>IFERROR(1/(IF(Inputs!$B$38="pvp",15,MAX(0.1,Skills!D8-IF(Skills!E8=TRUE,Inputs!$B$32,0)))*(1-IF(AND(ArtifactsInput!$M$27,Inputs!$B$4="Chapter Hunt"),CHOOSE(ArtifactsInput!$N$27+1,20,24,28,32,36,40),0)/100)),0)</f>
        <v/>
      </c>
      <c r="R1928">
        <f>IF(AND(Inputs!$B$38&lt;&gt;"pvp",Inputs!$B$43&gt;0),IF(MAX(0,Inputs!$B$43-B1957)&lt;=0,0,(INT(MAX(0,Inputs!$B$43-B1957)/(IF(Inputs!$B$38="pvp",15,MAX(0.1,Skills!D8-IF(Skills!E8=TRUE,Inputs!$B$32,0)))*(1-IF(AND(ArtifactsInput!$M$27,Inputs!$B$4="Chapter Hunt"),CHOOSE(ArtifactsInput!$N$27+1,20,24,28,32,36,40),0)/100)))+1)),0)</f>
        <v/>
      </c>
      <c r="S1928">
        <f>IFERROR(O1928/N1928,0)</f>
        <v/>
      </c>
      <c r="T1928">
        <f>IF(C1928,(H1928*N1928*IF(AND(Inputs!$B$38&lt;&gt;"pvp",Inputs!$B$43&gt;0),((Skills!G8*((R1928-1)*IF(Skills!H8&gt;0,Skills!I8/Skills!H8,1)+IF(Skills!H8&gt;0,MIN(Skills!I8,MAX(0,MAX(0,Inputs!$B$43-B1957)-((R1928-1)*(IF(Inputs!$B$38="pvp",15,MAX(0.1,Skills!D8-IF(Skills!E8=TRUE,Inputs!$B$32,0)))*(1-IF(AND(ArtifactsInput!$M$27,Inputs!$B$4="Chapter Hunt"),CHOOSE(ArtifactsInput!$N$27+1,20,24,28,32,36,40),0)/100)))))/Skills!H8,1)))/Inputs!$B$43),G1928*Q1928)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1928*(1-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1928*(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1928*(1-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1928*(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8">
        <f>IF(C1928,(H1928*N1928*IF(AND(Inputs!$B$38&lt;&gt;"pvp",Inputs!$B$43&gt;0),((Skills!G8*((R1928-1)*IF(Skills!H8&gt;0,Skills!I8/Skills!H8,1)+IF(Skills!H8&gt;0,MIN(Skills!I8,MAX(0,MAX(0,Inputs!$B$43-B1957)-((R1928-1)*(IF(Inputs!$B$38="pvp",15,MAX(0.1,Skills!D8-IF(Skills!E8=TRUE,Inputs!$B$32,0)))*(1-IF(AND(ArtifactsInput!$M$27,Inputs!$B$4="Chapter Hunt"),CHOOSE(ArtifactsInput!$N$27+1,20,24,28,32,36,40),0)/100)))))/Skills!H8,1)))/Inputs!$B$43),G1928*Q1928))*IF(Inputs!$B$38="pvp",1,(1+(Inputs!$B$21+Skills!Q8+(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9">
      <c r="A1929">
        <f>Skills!A9</f>
        <v/>
      </c>
      <c r="B1929">
        <f>Skills!B9</f>
        <v/>
      </c>
      <c r="C1929">
        <f>Inputs!$B$3&gt;=103</f>
        <v/>
      </c>
      <c r="D1929">
        <f>IF(Skills!C9=1,60+Inputs!$B$25+Inputs!$B$29,IF(Skills!C9=2,90+Inputs!$B$26+Inputs!$B$29,IF(Skills!C9=3,120+Inputs!$B$27+Inputs!$B$29,MAX(0,(Inputs!$B$3-100)*3)+Inputs!$B$28+Inputs!$B$29)))</f>
        <v/>
      </c>
      <c r="E1929">
        <f>INDEX(FactorTable!$B$2:$Y$301, MATCH(ROUND(MIN(300,MAX(1,D1929)),0), FactorTable!$A$2:$A$301,0), Skills!M9+1)</f>
        <v/>
      </c>
      <c r="F1929">
        <f>IF(Skills!N9=TRUE,(Skills!L9/10)*(E1929/1000),Skills!L9/10)+Skills!O9</f>
        <v/>
      </c>
      <c r="G1929">
        <f>Skills!G9*IF(Skills!H9&gt;0,Skills!I9/Skills!H9,1)</f>
        <v/>
      </c>
      <c r="H1929">
        <f>1-(1-Skills!J9/100)^Skills!K9</f>
        <v/>
      </c>
      <c r="I1929" t="inlineStr">
        <is>
          <t>1</t>
        </is>
      </c>
      <c r="J1929">
        <f>((Inputs!$B$6*(1+Inputs!$B$7/100))+(((Inputs!$B$12*(1+Inputs!$B$13/100))-(Inputs!$B$12*(1+Inputs!$B$13/100)))+0.25*(Inputs!$B$14-Inputs!$B$14))*(1+Inputs!$B$7/100))*(F1929/100)</f>
        <v/>
      </c>
      <c r="K1929">
        <f>J1929*(1+((Inputs!$B$12*(1+Inputs!$B$13/100))*0.01+Inputs!$B$14*0.0025)/100)*(1+Inputs!$B$15/100)*(1+Inputs!$B$16/100)*(5000/(6000+Inputs!$B$42*(1-(100*(1-(1-(Inputs!$B$19+0)/100)*(1-CHOOSE(ArtifactsInput!$N$40+1,5,6,7,8,9,10)/100)^(ArtifactsInput!$M$40-ArtifactsInput!$M$40)))/100)))*(1+(Inputs!$B$24+((C1946=TRUE)*(F1946-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1943=TRUE)*(F1943-Calc!F23))+((C1947=TRUE)*(F1947-Calc!F27))+(((IF(AND(ArtifactsInput!$M$42,((Inputs!$B$9+((C1939=TRUE)*(F1939-Calc!F19))+B1950+(IF(ArtifactsInput!$M$24,FALSE,TRUE)-ArtifactsInput!$M$24)*CHOOSE(ArtifactsInput!$N$24+1,10,12,14,16,18,20)+IF(ArtifactsInput!$M$10,CHOOSE(ArtifactsInput!$N$10+1,15,18,21,24,27,30)*(IF(Inputs!$B$38="pvp",MIN(15,15)/15,IF(AND(Inputs!$B$38&lt;&gt;"pvp",Inputs!$B$43&gt;0),MIN(15,Inputs!$B$43)/(Inputs!$B$43),0))),0)))&gt;=100),MIN(100,((Inputs!$B$9+((C1939=TRUE)*(F1939-Calc!F19))+B1950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1939=TRUE)*(F1939-Calc!F19))+B1950+(IF(ArtifactsInput!$M$24,FALSE,TRUE)-ArtifactsInput!$M$24)*CHOOSE(ArtifactsInput!$N$24+1,10,12,14,16,18,20)+IF(ArtifactsInput!$M$10,CHOOSE(ArtifactsInput!$N$10+1,15,18,21,24,27,30)*(IF(Inputs!$B$38="pvp",MIN(15,15)/15,IF(AND(Inputs!$B$38&lt;&gt;"pvp",Inputs!$B$43&gt;0),MIN(15,Inputs!$B$43)/(Inputs!$B$43),0))),0)))&gt;=100),CHOOSE(ArtifactsInput!$N$42+1,40,48,56,64,72,80),0))))/100)*((1+(((C1937=TRUE)*F1937)+((C1944=TRUE)*(F1944-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1929)</f>
        <v/>
      </c>
      <c r="L1929">
        <f>K1929*(MIN(Inputs!$B$22+((C1942=TRUE)*(F1942-Calc!F22)),(Inputs!$B$23+0+(IF(ArtifactsInput!$M$15,CHOOSE(ArtifactsInput!$N$15+1,25,30,35,40,45,50)/100*(Inputs!$B$11-Inputs!$B$11),0))))/100+(Inputs!$B$23+0+(IF(ArtifactsInput!$M$15,CHOOSE(ArtifactsInput!$N$15+1,25,30,35,40,45,50)/100*(Inputs!$B$11-Inputs!$B$11),0)))/100)/2</f>
        <v/>
      </c>
      <c r="M1929">
        <f>L1929*(1+(Inputs!$B$10+((C1945=TRUE)*(F1945-Calc!F25))+B1955+((IF(IF(ArtifactsInput!$M$24,FALSE,TRUE),1,-1)*CHOOSE(ArtifactsInput!$N$24+1,30,36,42,48,54,60)/100*IF(IF(ArtifactsInput!$M$24,FALSE,TRUE),(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9">
        <f>L1929*(1-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1929*(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9">
        <f>(1-Summary!$B$11)*T1929+Summary!$B$11*V1929</f>
        <v/>
      </c>
      <c r="P1929">
        <f>IF(B1960=0,0,O1929/B1960)</f>
        <v/>
      </c>
      <c r="Q1929">
        <f>IFERROR(1/(IF(Inputs!$B$38="pvp",15,MAX(0.1,Skills!D9-IF(Skills!E9=TRUE,Inputs!$B$32,0)))*(1-IF(AND(ArtifactsInput!$M$27,Inputs!$B$4="Chapter Hunt"),CHOOSE(ArtifactsInput!$N$27+1,20,24,28,32,36,40),0)/100)),0)</f>
        <v/>
      </c>
      <c r="R1929">
        <f>IF(AND(Inputs!$B$38&lt;&gt;"pvp",Inputs!$B$43&gt;0),IF(MAX(0,Inputs!$B$43-B1957)&lt;=0,0,(INT(MAX(0,Inputs!$B$43-B1957)/(IF(Inputs!$B$38="pvp",15,MAX(0.1,Skills!D9-IF(Skills!E9=TRUE,Inputs!$B$32,0)))*(1-IF(AND(ArtifactsInput!$M$27,Inputs!$B$4="Chapter Hunt"),CHOOSE(ArtifactsInput!$N$27+1,20,24,28,32,36,40),0)/100)))+1)),0)</f>
        <v/>
      </c>
      <c r="S1929">
        <f>IFERROR(O1929/N1929,0)</f>
        <v/>
      </c>
      <c r="T1929">
        <f>IF(C1929,(H1929*N1929*IF(AND(Inputs!$B$38&lt;&gt;"pvp",Inputs!$B$43&gt;0),((Skills!G9*((R1929-1)*IF(Skills!H9&gt;0,Skills!I9/Skills!H9,1)+IF(Skills!H9&gt;0,MIN(Skills!I9,MAX(0,MAX(0,Inputs!$B$43-B1957)-((R1929-1)*(IF(Inputs!$B$38="pvp",15,MAX(0.1,Skills!D9-IF(Skills!E9=TRUE,Inputs!$B$32,0)))*(1-IF(AND(ArtifactsInput!$M$27,Inputs!$B$4="Chapter Hunt"),CHOOSE(ArtifactsInput!$N$27+1,20,24,28,32,36,40),0)/100)))))/Skills!H9,1)))/Inputs!$B$43),G1929*Q1929)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1929*(1-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1929*(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1929*(1-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1929*(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9">
        <f>IF(C1929,(H1929*N1929*IF(AND(Inputs!$B$38&lt;&gt;"pvp",Inputs!$B$43&gt;0),((Skills!G9*((R1929-1)*IF(Skills!H9&gt;0,Skills!I9/Skills!H9,1)+IF(Skills!H9&gt;0,MIN(Skills!I9,MAX(0,MAX(0,Inputs!$B$43-B1957)-((R1929-1)*(IF(Inputs!$B$38="pvp",15,MAX(0.1,Skills!D9-IF(Skills!E9=TRUE,Inputs!$B$32,0)))*(1-IF(AND(ArtifactsInput!$M$27,Inputs!$B$4="Chapter Hunt"),CHOOSE(ArtifactsInput!$N$27+1,20,24,28,32,36,40),0)/100)))))/Skills!H9,1)))/Inputs!$B$43),G1929*Q1929))*IF(Inputs!$B$38="pvp",1,(1+(Inputs!$B$21+Skills!Q9+(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0">
      <c r="A1930">
        <f>Skills!A10</f>
        <v/>
      </c>
      <c r="B1930">
        <f>Skills!B10</f>
        <v/>
      </c>
      <c r="C1930">
        <f>Inputs!$B$3&gt;=113</f>
        <v/>
      </c>
      <c r="D1930">
        <f>IF(Skills!C10=1,60+Inputs!$B$25+Inputs!$B$29,IF(Skills!C10=2,90+Inputs!$B$26+Inputs!$B$29,IF(Skills!C10=3,120+Inputs!$B$27+Inputs!$B$29,MAX(0,(Inputs!$B$3-100)*3)+Inputs!$B$28+Inputs!$B$29)))</f>
        <v/>
      </c>
      <c r="E1930">
        <f>INDEX(FactorTable!$B$2:$Y$301, MATCH(ROUND(MIN(300,MAX(1,D1930)),0), FactorTable!$A$2:$A$301,0), Skills!M10+1)</f>
        <v/>
      </c>
      <c r="F1930">
        <f>IF(Skills!N10=TRUE,(Skills!L10/10)*(E1930/1000),Skills!L10/10)+Skills!O10</f>
        <v/>
      </c>
      <c r="G1930">
        <f>Skills!G10*IF(Skills!H10&gt;0,Skills!I10/Skills!H10,1)</f>
        <v/>
      </c>
      <c r="H1930">
        <f>1-(1-Skills!J10/100)^Skills!K10</f>
        <v/>
      </c>
      <c r="I1930" t="inlineStr">
        <is>
          <t>1</t>
        </is>
      </c>
      <c r="J1930">
        <f>((Inputs!$B$6*(1+Inputs!$B$7/100))+(((Inputs!$B$12*(1+Inputs!$B$13/100))-(Inputs!$B$12*(1+Inputs!$B$13/100)))+0.25*(Inputs!$B$14-Inputs!$B$14))*(1+Inputs!$B$7/100))*(F1930/100)</f>
        <v/>
      </c>
      <c r="K1930">
        <f>J1930*(1+((Inputs!$B$12*(1+Inputs!$B$13/100))*0.01+Inputs!$B$14*0.0025)/100)*(1+Inputs!$B$15/100)*(1+Inputs!$B$16/100)*(5000/(6000+Inputs!$B$42*(1-(100*(1-(1-(Inputs!$B$19+0)/100)*(1-CHOOSE(ArtifactsInput!$N$40+1,5,6,7,8,9,10)/100)^(ArtifactsInput!$M$40-ArtifactsInput!$M$40)))/100)))*(1+(Inputs!$B$24+((C1946=TRUE)*(F1946-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1943=TRUE)*(F1943-Calc!F23))+((C1947=TRUE)*(F1947-Calc!F27))+(((IF(AND(ArtifactsInput!$M$42,((Inputs!$B$9+((C1939=TRUE)*(F1939-Calc!F19))+B1950+(IF(ArtifactsInput!$M$24,FALSE,TRUE)-ArtifactsInput!$M$24)*CHOOSE(ArtifactsInput!$N$24+1,10,12,14,16,18,20)+IF(ArtifactsInput!$M$10,CHOOSE(ArtifactsInput!$N$10+1,15,18,21,24,27,30)*(IF(Inputs!$B$38="pvp",MIN(15,15)/15,IF(AND(Inputs!$B$38&lt;&gt;"pvp",Inputs!$B$43&gt;0),MIN(15,Inputs!$B$43)/(Inputs!$B$43),0))),0)))&gt;=100),MIN(100,((Inputs!$B$9+((C1939=TRUE)*(F1939-Calc!F19))+B1950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1939=TRUE)*(F1939-Calc!F19))+B1950+(IF(ArtifactsInput!$M$24,FALSE,TRUE)-ArtifactsInput!$M$24)*CHOOSE(ArtifactsInput!$N$24+1,10,12,14,16,18,20)+IF(ArtifactsInput!$M$10,CHOOSE(ArtifactsInput!$N$10+1,15,18,21,24,27,30)*(IF(Inputs!$B$38="pvp",MIN(15,15)/15,IF(AND(Inputs!$B$38&lt;&gt;"pvp",Inputs!$B$43&gt;0),MIN(15,Inputs!$B$43)/(Inputs!$B$43),0))),0)))&gt;=100),CHOOSE(ArtifactsInput!$N$42+1,40,48,56,64,72,80),0))))/100)*((1+(((C1937=TRUE)*F1937)+((C1944=TRUE)*(F1944-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1930)</f>
        <v/>
      </c>
      <c r="L1930">
        <f>K1930*(MIN(Inputs!$B$22+((C1942=TRUE)*(F1942-Calc!F22)),(Inputs!$B$23+0+(IF(ArtifactsInput!$M$15,CHOOSE(ArtifactsInput!$N$15+1,25,30,35,40,45,50)/100*(Inputs!$B$11-Inputs!$B$11),0))))/100+(Inputs!$B$23+0+(IF(ArtifactsInput!$M$15,CHOOSE(ArtifactsInput!$N$15+1,25,30,35,40,45,50)/100*(Inputs!$B$11-Inputs!$B$11),0)))/100)/2</f>
        <v/>
      </c>
      <c r="M1930">
        <f>L1930*(1+(Inputs!$B$10+((C1945=TRUE)*(F1945-Calc!F25))+B1955+((IF(IF(ArtifactsInput!$M$24,FALSE,TRUE),1,-1)*CHOOSE(ArtifactsInput!$N$24+1,30,36,42,48,54,60)/100*IF(IF(ArtifactsInput!$M$24,FALSE,TRUE),(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30">
        <f>L1930*(1-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1930*(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0">
        <f>(1-Summary!$B$11)*T1930+Summary!$B$11*V1930</f>
        <v/>
      </c>
      <c r="P1930">
        <f>IF(B1960=0,0,O1930/B1960)</f>
        <v/>
      </c>
      <c r="Q1930">
        <f>IFERROR(1/(IF(Inputs!$B$38="pvp",15,MAX(0.1,Skills!D10-IF(Skills!E10=TRUE,Inputs!$B$32,0)))*(1-IF(AND(ArtifactsInput!$M$27,Inputs!$B$4="Chapter Hunt"),CHOOSE(ArtifactsInput!$N$27+1,20,24,28,32,36,40),0)/100)),0)</f>
        <v/>
      </c>
      <c r="R1930">
        <f>IF(AND(Inputs!$B$38&lt;&gt;"pvp",Inputs!$B$43&gt;0),IF(MAX(0,Inputs!$B$43-B1957)&lt;=0,0,(INT(MAX(0,Inputs!$B$43-B1957)/(IF(Inputs!$B$38="pvp",15,MAX(0.1,Skills!D10-IF(Skills!E10=TRUE,Inputs!$B$32,0)))*(1-IF(AND(ArtifactsInput!$M$27,Inputs!$B$4="Chapter Hunt"),CHOOSE(ArtifactsInput!$N$27+1,20,24,28,32,36,40),0)/100)))+1)),0)</f>
        <v/>
      </c>
      <c r="S1930">
        <f>IFERROR(O1930/N1930,0)</f>
        <v/>
      </c>
      <c r="T1930">
        <f>IF(C1930,(H1930*N1930*IF(AND(Inputs!$B$38&lt;&gt;"pvp",Inputs!$B$43&gt;0),((Skills!G10*((R1930-1)*IF(Skills!H10&gt;0,Skills!I10/Skills!H10,1)+IF(Skills!H10&gt;0,MIN(Skills!I10,MAX(0,MAX(0,Inputs!$B$43-B1957)-((R1930-1)*(IF(Inputs!$B$38="pvp",15,MAX(0.1,Skills!D10-IF(Skills!E10=TRUE,Inputs!$B$32,0)))*(1-IF(AND(ArtifactsInput!$M$27,Inputs!$B$4="Chapter Hunt"),CHOOSE(ArtifactsInput!$N$27+1,20,24,28,32,36,40),0)/100)))))/Skills!H10,1)))/Inputs!$B$43),G1930*Q1930)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1930*(1-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1930*(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1930*(1-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1930*(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0">
        <f>IF(C1930,(H1930*N1930*IF(AND(Inputs!$B$38&lt;&gt;"pvp",Inputs!$B$43&gt;0),((Skills!G10*((R1930-1)*IF(Skills!H10&gt;0,Skills!I10/Skills!H10,1)+IF(Skills!H10&gt;0,MIN(Skills!I10,MAX(0,MAX(0,Inputs!$B$43-B1957)-((R1930-1)*(IF(Inputs!$B$38="pvp",15,MAX(0.1,Skills!D10-IF(Skills!E10=TRUE,Inputs!$B$32,0)))*(1-IF(AND(ArtifactsInput!$M$27,Inputs!$B$4="Chapter Hunt"),CHOOSE(ArtifactsInput!$N$27+1,20,24,28,32,36,40),0)/100)))))/Skills!H10,1)))/Inputs!$B$43),G1930*Q1930))*IF(Inputs!$B$38="pvp",1,(1+(Inputs!$B$21+Skills!Q10+(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1">
      <c r="A1931">
        <f>Skills!A11</f>
        <v/>
      </c>
      <c r="B1931">
        <f>Skills!B11</f>
        <v/>
      </c>
      <c r="C1931">
        <f>Inputs!$B$3&gt;=107</f>
        <v/>
      </c>
      <c r="D1931">
        <f>IF(Skills!C11=1,60+Inputs!$B$25+Inputs!$B$29,IF(Skills!C11=2,90+Inputs!$B$26+Inputs!$B$29,IF(Skills!C11=3,120+Inputs!$B$27+Inputs!$B$29,MAX(0,(Inputs!$B$3-100)*3)+Inputs!$B$28+Inputs!$B$29)))</f>
        <v/>
      </c>
      <c r="E1931">
        <f>INDEX(FactorTable!$B$2:$Y$301, MATCH(ROUND(MIN(300,MAX(1,D1931)),0), FactorTable!$A$2:$A$301,0), Skills!M11+1)</f>
        <v/>
      </c>
      <c r="F1931">
        <f>IF(Skills!N11=TRUE,(Skills!L11/10)*(E1931/1000),Skills!L11/10)+Skills!O11</f>
        <v/>
      </c>
      <c r="G1931">
        <f>Skills!G11*IF(Skills!H11&gt;0,Skills!I11/Skills!H11,1)</f>
        <v/>
      </c>
      <c r="H1931">
        <f>1-(1-Skills!J11/100)^Skills!K11</f>
        <v/>
      </c>
      <c r="I1931" t="inlineStr">
        <is>
          <t>1</t>
        </is>
      </c>
      <c r="J1931">
        <f>((Inputs!$B$6*(1+Inputs!$B$7/100))+(((Inputs!$B$12*(1+Inputs!$B$13/100))-(Inputs!$B$12*(1+Inputs!$B$13/100)))+0.25*(Inputs!$B$14-Inputs!$B$14))*(1+Inputs!$B$7/100))*(F1931/100)</f>
        <v/>
      </c>
      <c r="K1931">
        <f>J1931*(1+((Inputs!$B$12*(1+Inputs!$B$13/100))*0.01+Inputs!$B$14*0.0025)/100)*(1+Inputs!$B$15/100)*(1+Inputs!$B$16/100)*(5000/(6000+Inputs!$B$42*(1-(100*(1-(1-(Inputs!$B$19+0)/100)*(1-CHOOSE(ArtifactsInput!$N$40+1,5,6,7,8,9,10)/100)^(ArtifactsInput!$M$40-ArtifactsInput!$M$40)))/100)))*(1+(Inputs!$B$24+((C1946=TRUE)*(F1946-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1943=TRUE)*(F1943-Calc!F23))+((C1947=TRUE)*(F1947-Calc!F27))+(((IF(AND(ArtifactsInput!$M$42,((Inputs!$B$9+((C1939=TRUE)*(F1939-Calc!F19))+B1950+(IF(ArtifactsInput!$M$24,FALSE,TRUE)-ArtifactsInput!$M$24)*CHOOSE(ArtifactsInput!$N$24+1,10,12,14,16,18,20)+IF(ArtifactsInput!$M$10,CHOOSE(ArtifactsInput!$N$10+1,15,18,21,24,27,30)*(IF(Inputs!$B$38="pvp",MIN(15,15)/15,IF(AND(Inputs!$B$38&lt;&gt;"pvp",Inputs!$B$43&gt;0),MIN(15,Inputs!$B$43)/(Inputs!$B$43),0))),0)))&gt;=100),MIN(100,((Inputs!$B$9+((C1939=TRUE)*(F1939-Calc!F19))+B1950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1939=TRUE)*(F1939-Calc!F19))+B1950+(IF(ArtifactsInput!$M$24,FALSE,TRUE)-ArtifactsInput!$M$24)*CHOOSE(ArtifactsInput!$N$24+1,10,12,14,16,18,20)+IF(ArtifactsInput!$M$10,CHOOSE(ArtifactsInput!$N$10+1,15,18,21,24,27,30)*(IF(Inputs!$B$38="pvp",MIN(15,15)/15,IF(AND(Inputs!$B$38&lt;&gt;"pvp",Inputs!$B$43&gt;0),MIN(15,Inputs!$B$43)/(Inputs!$B$43),0))),0)))&gt;=100),CHOOSE(ArtifactsInput!$N$42+1,40,48,56,64,72,80),0))))/100)*((1+(((C1937=TRUE)*F1937)+((C1944=TRUE)*(F1944-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1931)</f>
        <v/>
      </c>
      <c r="L1931">
        <f>K1931*(MIN(Inputs!$B$22+((C1942=TRUE)*(F1942-Calc!F22)),(Inputs!$B$23+0+(IF(ArtifactsInput!$M$15,CHOOSE(ArtifactsInput!$N$15+1,25,30,35,40,45,50)/100*(Inputs!$B$11-Inputs!$B$11),0))))/100+(Inputs!$B$23+0+(IF(ArtifactsInput!$M$15,CHOOSE(ArtifactsInput!$N$15+1,25,30,35,40,45,50)/100*(Inputs!$B$11-Inputs!$B$11),0)))/100)/2</f>
        <v/>
      </c>
      <c r="M1931">
        <f>L1931*(1+(Inputs!$B$10+((C1945=TRUE)*(F1945-Calc!F25))+B1955+((IF(IF(ArtifactsInput!$M$24,FALSE,TRUE),1,-1)*CHOOSE(ArtifactsInput!$N$24+1,30,36,42,48,54,60)/100*IF(IF(ArtifactsInput!$M$24,FALSE,TRUE),(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31">
        <f>L1931*(1-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1931*(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1">
        <f>(1-Summary!$B$11)*T1931+Summary!$B$11*V1931</f>
        <v/>
      </c>
      <c r="P1931">
        <f>IF(B1960=0,0,O1931/B1960)</f>
        <v/>
      </c>
      <c r="Q1931">
        <f>IFERROR(1/(IF(Inputs!$B$38="pvp",15,MAX(0.1,Skills!D11-IF(Skills!E11=TRUE,Inputs!$B$32,0)))*(1-IF(AND(ArtifactsInput!$M$27,Inputs!$B$4="Chapter Hunt"),CHOOSE(ArtifactsInput!$N$27+1,20,24,28,32,36,40),0)/100)),0)</f>
        <v/>
      </c>
      <c r="R1931">
        <f>IF(AND(Inputs!$B$38&lt;&gt;"pvp",Inputs!$B$43&gt;0),IF(MAX(0,Inputs!$B$43-B1957)&lt;=0,0,(INT(MAX(0,Inputs!$B$43-B1957)/(IF(Inputs!$B$38="pvp",15,MAX(0.1,Skills!D11-IF(Skills!E11=TRUE,Inputs!$B$32,0)))*(1-IF(AND(ArtifactsInput!$M$27,Inputs!$B$4="Chapter Hunt"),CHOOSE(ArtifactsInput!$N$27+1,20,24,28,32,36,40),0)/100)))+1)),0)</f>
        <v/>
      </c>
      <c r="S1931">
        <f>IFERROR(O1931/N1931,0)</f>
        <v/>
      </c>
      <c r="T1931">
        <f>IF(C1931,(H1931*N1931*IF(AND(Inputs!$B$38&lt;&gt;"pvp",Inputs!$B$43&gt;0),((Skills!G11*((R1931-1)*IF(Skills!H11&gt;0,Skills!I11/Skills!H11,1)+IF(Skills!H11&gt;0,MIN(Skills!I11,MAX(0,MAX(0,Inputs!$B$43-B1957)-((R1931-1)*(IF(Inputs!$B$38="pvp",15,MAX(0.1,Skills!D11-IF(Skills!E11=TRUE,Inputs!$B$32,0)))*(1-IF(AND(ArtifactsInput!$M$27,Inputs!$B$4="Chapter Hunt"),CHOOSE(ArtifactsInput!$N$27+1,20,24,28,32,36,40),0)/100)))))/Skills!H11,1)))/Inputs!$B$43),G1931*Q1931)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1931*(1-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1931*(1-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1">
        <f>IF(C1931,(H1931*N1931*IF(AND(Inputs!$B$38&lt;&gt;"pvp",Inputs!$B$43&gt;0),((Skills!G11*((R1931-1)*IF(Skills!H11&gt;0,Skills!I11/Skills!H11,1)+IF(Skills!H11&gt;0,MIN(Skills!I11,MAX(0,MAX(0,Inputs!$B$43-B1957)-((R1931-1)*(IF(Inputs!$B$38="pvp",15,MAX(0.1,Skills!D11-IF(Skills!E11=TRUE,Inputs!$B$32,0)))*(1-IF(AND(ArtifactsInput!$M$27,Inputs!$B$4="Chapter Hunt"),CHOOSE(ArtifactsInput!$N$27+1,20,24,28,32,36,40),0)/100)))))/Skills!H11,1)))/Inputs!$B$43),G1931*Q1931))*IF(Inputs!$B$38="pvp",1,(1+(Inputs!$B$21+Skills!Q11+(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2">
      <c r="A1932">
        <f>Skills!A12</f>
        <v/>
      </c>
      <c r="B1932">
        <f>Skills!B12</f>
        <v/>
      </c>
      <c r="C1932">
        <f>Inputs!$B$3&gt;=110</f>
        <v/>
      </c>
      <c r="D1932">
        <f>IF(Skills!C12=1,60+Inputs!$B$25+Inputs!$B$29,IF(Skills!C12=2,90+Inputs!$B$26+Inputs!$B$29,IF(Skills!C12=3,120+Inputs!$B$27+Inputs!$B$29,MAX(0,(Inputs!$B$3-100)*3)+Inputs!$B$28+Inputs!$B$29)))</f>
        <v/>
      </c>
      <c r="E1932">
        <f>INDEX(FactorTable!$B$2:$Y$301, MATCH(ROUND(MIN(300,MAX(1,D1932)),0), FactorTable!$A$2:$A$301,0), Skills!M12+1)</f>
        <v/>
      </c>
      <c r="F1932">
        <f>IF(Skills!N12=TRUE,(Skills!L12/10)*(E1932/1000),Skills!L12/10)+Skills!O12</f>
        <v/>
      </c>
      <c r="G1932">
        <f>Skills!G12*IF(Skills!H12&gt;0,Skills!I12/Skills!H12,1)</f>
        <v/>
      </c>
      <c r="H1932">
        <f>1-(1-Skills!J12/100)^Skills!K12</f>
        <v/>
      </c>
      <c r="I1932" t="inlineStr">
        <is>
          <t>1</t>
        </is>
      </c>
      <c r="J1932">
        <f>((Inputs!$B$6*(1+Inputs!$B$7/100))+(((Inputs!$B$12*(1+Inputs!$B$13/100))-(Inputs!$B$12*(1+Inputs!$B$13/100)))+0.25*(Inputs!$B$14-Inputs!$B$14))*(1+Inputs!$B$7/100))*(F1932/100)</f>
        <v/>
      </c>
      <c r="K1932">
        <f>J1932*(1+((Inputs!$B$12*(1+Inputs!$B$13/100))*0.01+Inputs!$B$14*0.0025)/100)*(1+Inputs!$B$15/100)*(1+Inputs!$B$16/100)*(5000/(6000+Inputs!$B$42*(1-(100*(1-(1-(Inputs!$B$19+0)/100)*(1-CHOOSE(ArtifactsInput!$N$40+1,5,6,7,8,9,10)/100)^(ArtifactsInput!$M$40-ArtifactsInput!$M$40)))/100)))*(1+(Inputs!$B$24+((C1946=TRUE)*(F1946-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1943=TRUE)*(F1943-Calc!F23))+((C1947=TRUE)*(F1947-Calc!F27))+(((IF(AND(ArtifactsInput!$M$42,((Inputs!$B$9+((C1939=TRUE)*(F1939-Calc!F19))+B1950+(IF(ArtifactsInput!$M$24,FALSE,TRUE)-ArtifactsInput!$M$24)*CHOOSE(ArtifactsInput!$N$24+1,10,12,14,16,18,20)+IF(ArtifactsInput!$M$10,CHOOSE(ArtifactsInput!$N$10+1,15,18,21,24,27,30)*(IF(Inputs!$B$38="pvp",MIN(15,15)/15,IF(AND(Inputs!$B$38&lt;&gt;"pvp",Inputs!$B$43&gt;0),MIN(15,Inputs!$B$43)/(Inputs!$B$43),0))),0)))&gt;=100),MIN(100,((Inputs!$B$9+((C1939=TRUE)*(F1939-Calc!F19))+B1950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1939=TRUE)*(F1939-Calc!F19))+B1950+(IF(ArtifactsInput!$M$24,FALSE,TRUE)-ArtifactsInput!$M$24)*CHOOSE(ArtifactsInput!$N$24+1,10,12,14,16,18,20)+IF(ArtifactsInput!$M$10,CHOOSE(ArtifactsInput!$N$10+1,15,18,21,24,27,30)*(IF(Inputs!$B$38="pvp",MIN(15,15)/15,IF(AND(Inputs!$B$38&lt;&gt;"pvp",Inputs!$B$43&gt;0),MIN(15,Inputs!$B$43)/(Inputs!$B$43),0))),0)))&gt;=100),CHOOSE(ArtifactsInput!$N$42+1,40,48,56,64,72,80),0))))/100)*((1+(((C1937=TRUE)*F1937)+((C1944=TRUE)*(F1944-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1932)</f>
        <v/>
      </c>
      <c r="L1932">
        <f>K1932*(MIN(Inputs!$B$22+((C1942=TRUE)*(F1942-Calc!F22)),(Inputs!$B$23+0+(IF(ArtifactsInput!$M$15,CHOOSE(ArtifactsInput!$N$15+1,25,30,35,40,45,50)/100*(Inputs!$B$11-Inputs!$B$11),0))))/100+(Inputs!$B$23+0+(IF(ArtifactsInput!$M$15,CHOOSE(ArtifactsInput!$N$15+1,25,30,35,40,45,50)/100*(Inputs!$B$11-Inputs!$B$11),0)))/100)/2</f>
        <v/>
      </c>
      <c r="M1932">
        <f>L1932*(1+(Inputs!$B$10+((C1945=TRUE)*(F1945-Calc!F25))+B1955+((IF(IF(ArtifactsInput!$M$24,FALSE,TRUE),1,-1)*CHOOSE(ArtifactsInput!$N$24+1,30,36,42,48,54,60)/100*IF(IF(ArtifactsInput!$M$24,FALSE,TRUE),(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32">
        <f>L1932*(1-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1932*(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2">
        <f>(1-Summary!$B$11)*T1932+Summary!$B$11*V1932</f>
        <v/>
      </c>
      <c r="P1932">
        <f>IF(B1960=0,0,O1932/B1960)</f>
        <v/>
      </c>
      <c r="Q1932">
        <f>IFERROR(1/(IF(Inputs!$B$38="pvp",15,MAX(0.1,Skills!D12-IF(Skills!E12=TRUE,Inputs!$B$32,0)))*(1-IF(AND(ArtifactsInput!$M$27,Inputs!$B$4="Chapter Hunt"),CHOOSE(ArtifactsInput!$N$27+1,20,24,28,32,36,40),0)/100)),0)</f>
        <v/>
      </c>
      <c r="R1932">
        <f>IF(AND(Inputs!$B$38&lt;&gt;"pvp",Inputs!$B$43&gt;0),IF(MAX(0,Inputs!$B$43-B1957)&lt;=0,0,(INT(MAX(0,Inputs!$B$43-B1957)/(IF(Inputs!$B$38="pvp",15,MAX(0.1,Skills!D12-IF(Skills!E12=TRUE,Inputs!$B$32,0)))*(1-IF(AND(ArtifactsInput!$M$27,Inputs!$B$4="Chapter Hunt"),CHOOSE(ArtifactsInput!$N$27+1,20,24,28,32,36,40),0)/100)))+1)),0)</f>
        <v/>
      </c>
      <c r="S1932">
        <f>IFERROR(O1932/N1932,0)</f>
        <v/>
      </c>
      <c r="T1932">
        <f>IF(C1932,(H1932*N1932*IF(AND(Inputs!$B$38&lt;&gt;"pvp",Inputs!$B$43&gt;0),((Skills!G12*((R1932-1)*IF(Skills!H12&gt;0,Skills!I12/Skills!H12,1)+IF(Skills!H12&gt;0,MIN(Skills!I12,MAX(0,MAX(0,Inputs!$B$43-B1957)-((R1932-1)*(IF(Inputs!$B$38="pvp",15,MAX(0.1,Skills!D12-IF(Skills!E12=TRUE,Inputs!$B$32,0)))*(1-IF(AND(ArtifactsInput!$M$27,Inputs!$B$4="Chapter Hunt"),CHOOSE(ArtifactsInput!$N$27+1,20,24,28,32,36,40),0)/100)))))/Skills!H12,1)))/Inputs!$B$43),G1932*Q1932)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1932*(1-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1932*(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1932*(1-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1932*(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2">
        <f>IF(C1932,(H1932*N1932*IF(AND(Inputs!$B$38&lt;&gt;"pvp",Inputs!$B$43&gt;0),((Skills!G12*((R1932-1)*IF(Skills!H12&gt;0,Skills!I12/Skills!H12,1)+IF(Skills!H12&gt;0,MIN(Skills!I12,MAX(0,MAX(0,Inputs!$B$43-B1957)-((R1932-1)*(IF(Inputs!$B$38="pvp",15,MAX(0.1,Skills!D12-IF(Skills!E12=TRUE,Inputs!$B$32,0)))*(1-IF(AND(ArtifactsInput!$M$27,Inputs!$B$4="Chapter Hunt"),CHOOSE(ArtifactsInput!$N$27+1,20,24,28,32,36,40),0)/100)))))/Skills!H12,1)))/Inputs!$B$43),G1932*Q1932))*IF(Inputs!$B$38="pvp",1,(1+(Inputs!$B$21+Skills!Q12+(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3">
      <c r="A1933">
        <f>Skills!A13</f>
        <v/>
      </c>
      <c r="B1933">
        <f>Skills!B13</f>
        <v/>
      </c>
      <c r="C1933">
        <f>Inputs!$B$3&gt;=110</f>
        <v/>
      </c>
      <c r="D1933">
        <f>IF(Skills!C13=1,60+Inputs!$B$25+Inputs!$B$29,IF(Skills!C13=2,90+Inputs!$B$26+Inputs!$B$29,IF(Skills!C13=3,120+Inputs!$B$27+Inputs!$B$29,MAX(0,(Inputs!$B$3-100)*3)+Inputs!$B$28+Inputs!$B$29)))</f>
        <v/>
      </c>
      <c r="E1933">
        <f>INDEX(FactorTable!$B$2:$Y$301, MATCH(ROUND(MIN(300,MAX(1,D1933)),0), FactorTable!$A$2:$A$301,0), Skills!M13+1)</f>
        <v/>
      </c>
      <c r="F1933">
        <f>IF(Skills!N13=TRUE,(Skills!L13/10)*(E1933/1000),Skills!L13/10)+Skills!O13</f>
        <v/>
      </c>
      <c r="G1933">
        <f>Skills!G13*IF(Skills!H13&gt;0,Skills!I13/Skills!H13,1)</f>
        <v/>
      </c>
      <c r="H1933">
        <f>1-(1-Skills!J13/100)^Skills!K13</f>
        <v/>
      </c>
      <c r="I1933" t="inlineStr">
        <is>
          <t>1</t>
        </is>
      </c>
      <c r="J1933">
        <f>((Inputs!$B$6*(1+Inputs!$B$7/100))+(((Inputs!$B$12*(1+Inputs!$B$13/100))-(Inputs!$B$12*(1+Inputs!$B$13/100)))+0.25*(Inputs!$B$14-Inputs!$B$14))*(1+Inputs!$B$7/100))*(F1933/100)</f>
        <v/>
      </c>
      <c r="K1933">
        <f>J1933*(1+((Inputs!$B$12*(1+Inputs!$B$13/100))*0.01+Inputs!$B$14*0.0025)/100)*(1+Inputs!$B$15/100)*(1+Inputs!$B$16/100)*(5000/(6000+Inputs!$B$42*(1-(100*(1-(1-(Inputs!$B$19+0)/100)*(1-CHOOSE(ArtifactsInput!$N$40+1,5,6,7,8,9,10)/100)^(ArtifactsInput!$M$40-ArtifactsInput!$M$40)))/100)))*(1+(Inputs!$B$24+((C1946=TRUE)*(F1946-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1943=TRUE)*(F1943-Calc!F23))+((C1947=TRUE)*(F1947-Calc!F27))+(((IF(AND(ArtifactsInput!$M$42,((Inputs!$B$9+((C1939=TRUE)*(F1939-Calc!F19))+B1950+(IF(ArtifactsInput!$M$24,FALSE,TRUE)-ArtifactsInput!$M$24)*CHOOSE(ArtifactsInput!$N$24+1,10,12,14,16,18,20)+IF(ArtifactsInput!$M$10,CHOOSE(ArtifactsInput!$N$10+1,15,18,21,24,27,30)*(IF(Inputs!$B$38="pvp",MIN(15,15)/15,IF(AND(Inputs!$B$38&lt;&gt;"pvp",Inputs!$B$43&gt;0),MIN(15,Inputs!$B$43)/(Inputs!$B$43),0))),0)))&gt;=100),MIN(100,((Inputs!$B$9+((C1939=TRUE)*(F1939-Calc!F19))+B1950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1939=TRUE)*(F1939-Calc!F19))+B1950+(IF(ArtifactsInput!$M$24,FALSE,TRUE)-ArtifactsInput!$M$24)*CHOOSE(ArtifactsInput!$N$24+1,10,12,14,16,18,20)+IF(ArtifactsInput!$M$10,CHOOSE(ArtifactsInput!$N$10+1,15,18,21,24,27,30)*(IF(Inputs!$B$38="pvp",MIN(15,15)/15,IF(AND(Inputs!$B$38&lt;&gt;"pvp",Inputs!$B$43&gt;0),MIN(15,Inputs!$B$43)/(Inputs!$B$43),0))),0)))&gt;=100),CHOOSE(ArtifactsInput!$N$42+1,40,48,56,64,72,80),0))))/100)*((1+(((C1937=TRUE)*F1937)+((C1944=TRUE)*(F1944-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1933)</f>
        <v/>
      </c>
      <c r="L1933">
        <f>K1933*(MIN(Inputs!$B$22+((C1942=TRUE)*(F1942-Calc!F22)),(Inputs!$B$23+0+(IF(ArtifactsInput!$M$15,CHOOSE(ArtifactsInput!$N$15+1,25,30,35,40,45,50)/100*(Inputs!$B$11-Inputs!$B$11),0))))/100+(Inputs!$B$23+0+(IF(ArtifactsInput!$M$15,CHOOSE(ArtifactsInput!$N$15+1,25,30,35,40,45,50)/100*(Inputs!$B$11-Inputs!$B$11),0)))/100)/2</f>
        <v/>
      </c>
      <c r="M1933">
        <f>L1933*(1+(Inputs!$B$10+((C1945=TRUE)*(F1945-Calc!F25))+B1955+((IF(IF(ArtifactsInput!$M$24,FALSE,TRUE),1,-1)*CHOOSE(ArtifactsInput!$N$24+1,30,36,42,48,54,60)/100*IF(IF(ArtifactsInput!$M$24,FALSE,TRUE),(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33">
        <f>L1933*(1-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1933*(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3">
        <f>(1-Summary!$B$11)*T1933+Summary!$B$11*V1933</f>
        <v/>
      </c>
      <c r="P1933">
        <f>IF(B1960=0,0,O1933/B1960)</f>
        <v/>
      </c>
      <c r="Q1933">
        <f>IFERROR(1/(IF(Inputs!$B$38="pvp",15,MAX(0.1,Skills!D13-IF(Skills!E13=TRUE,Inputs!$B$32,0)))*(1-IF(AND(ArtifactsInput!$M$27,Inputs!$B$4="Chapter Hunt"),CHOOSE(ArtifactsInput!$N$27+1,20,24,28,32,36,40),0)/100)),0)</f>
        <v/>
      </c>
      <c r="R1933">
        <f>IF(AND(Inputs!$B$38&lt;&gt;"pvp",Inputs!$B$43&gt;0),IF(MAX(0,Inputs!$B$43-B1957)&lt;=0,0,(INT(MAX(0,Inputs!$B$43-B1957)/(IF(Inputs!$B$38="pvp",15,MAX(0.1,Skills!D13-IF(Skills!E13=TRUE,Inputs!$B$32,0)))*(1-IF(AND(ArtifactsInput!$M$27,Inputs!$B$4="Chapter Hunt"),CHOOSE(ArtifactsInput!$N$27+1,20,24,28,32,36,40),0)/100)))+1)),0)</f>
        <v/>
      </c>
      <c r="S1933">
        <f>IFERROR(O1933/N1933,0)</f>
        <v/>
      </c>
      <c r="T1933">
        <f>IF(C1933,(H1933*N1933*IF(AND(Inputs!$B$38&lt;&gt;"pvp",Inputs!$B$43&gt;0),((Skills!G13*((R1933-1)*IF(Skills!H13&gt;0,Skills!I13/Skills!H13,1)+IF(Skills!H13&gt;0,MIN(Skills!I13,MAX(0,MAX(0,Inputs!$B$43-B1957)-((R1933-1)*(IF(Inputs!$B$38="pvp",15,MAX(0.1,Skills!D13-IF(Skills!E13=TRUE,Inputs!$B$32,0)))*(1-IF(AND(ArtifactsInput!$M$27,Inputs!$B$4="Chapter Hunt"),CHOOSE(ArtifactsInput!$N$27+1,20,24,28,32,36,40),0)/100)))))/Skills!H13,1)))/Inputs!$B$43),G1933*Q1933))*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1933*(1-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1933*(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1933*(1-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1933*(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3">
        <f>IF(C1933,(H1933*N1933*IF(AND(Inputs!$B$38&lt;&gt;"pvp",Inputs!$B$43&gt;0),((Skills!G13*((R1933-1)*IF(Skills!H13&gt;0,Skills!I13/Skills!H13,1)+IF(Skills!H13&gt;0,MIN(Skills!I13,MAX(0,MAX(0,Inputs!$B$43-B1957)-((R1933-1)*(IF(Inputs!$B$38="pvp",15,MAX(0.1,Skills!D13-IF(Skills!E13=TRUE,Inputs!$B$32,0)))*(1-IF(AND(ArtifactsInput!$M$27,Inputs!$B$4="Chapter Hunt"),CHOOSE(ArtifactsInput!$N$27+1,20,24,28,32,36,40),0)/100)))))/Skills!H13,1)))/Inputs!$B$43),G1933*Q1933))*IF(Inputs!$B$38="pvp",1,(1+(Inputs!$B$21+Skills!Q13+(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4">
      <c r="A1934">
        <f>Skills!A14</f>
        <v/>
      </c>
      <c r="B1934">
        <f>Skills!B14</f>
        <v/>
      </c>
      <c r="C1934">
        <f>Inputs!$B$3&gt;=125</f>
        <v/>
      </c>
      <c r="D1934">
        <f>IF(Skills!C14=1,60+Inputs!$B$25+Inputs!$B$29,IF(Skills!C14=2,90+Inputs!$B$26+Inputs!$B$29,IF(Skills!C14=3,120+Inputs!$B$27+Inputs!$B$29,MAX(0,(Inputs!$B$3-100)*3)+Inputs!$B$28+Inputs!$B$29)))</f>
        <v/>
      </c>
      <c r="E1934">
        <f>INDEX(FactorTable!$B$2:$Y$301, MATCH(ROUND(MIN(300,MAX(1,D1934)),0), FactorTable!$A$2:$A$301,0), Skills!M14+1)</f>
        <v/>
      </c>
      <c r="F1934">
        <f>IF(Skills!N14=TRUE,(Skills!L14/10)*(E1934/1000),Skills!L14/10)+Skills!O14</f>
        <v/>
      </c>
      <c r="G1934">
        <f>Skills!G14*IF(Skills!H14&gt;0,Skills!I14/Skills!H14,1)</f>
        <v/>
      </c>
      <c r="H1934">
        <f>1-(1-Skills!J14/100)^Skills!K14</f>
        <v/>
      </c>
      <c r="I1934" t="inlineStr">
        <is>
          <t>1</t>
        </is>
      </c>
      <c r="J1934">
        <f>((Inputs!$B$6*(1+Inputs!$B$7/100))+(((Inputs!$B$12*(1+Inputs!$B$13/100))-(Inputs!$B$12*(1+Inputs!$B$13/100)))+0.25*(Inputs!$B$14-Inputs!$B$14))*(1+Inputs!$B$7/100))*(F1934/100)</f>
        <v/>
      </c>
      <c r="K1934">
        <f>J1934*(1+((Inputs!$B$12*(1+Inputs!$B$13/100))*0.01+Inputs!$B$14*0.0025)/100)*(1+Inputs!$B$15/100)*(1+Inputs!$B$16/100)*(5000/(6000+Inputs!$B$42*(1-(100*(1-(1-(Inputs!$B$19+0)/100)*(1-CHOOSE(ArtifactsInput!$N$40+1,5,6,7,8,9,10)/100)^(ArtifactsInput!$M$40-ArtifactsInput!$M$40)))/100)))*(1+(Inputs!$B$24+((C1946=TRUE)*(F1946-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1943=TRUE)*(F1943-Calc!F23))+((C1947=TRUE)*(F1947-Calc!F27))+(((IF(AND(ArtifactsInput!$M$42,((Inputs!$B$9+((C1939=TRUE)*(F1939-Calc!F19))+B1950+(IF(ArtifactsInput!$M$24,FALSE,TRUE)-ArtifactsInput!$M$24)*CHOOSE(ArtifactsInput!$N$24+1,10,12,14,16,18,20)+IF(ArtifactsInput!$M$10,CHOOSE(ArtifactsInput!$N$10+1,15,18,21,24,27,30)*(IF(Inputs!$B$38="pvp",MIN(15,15)/15,IF(AND(Inputs!$B$38&lt;&gt;"pvp",Inputs!$B$43&gt;0),MIN(15,Inputs!$B$43)/(Inputs!$B$43),0))),0)))&gt;=100),MIN(100,((Inputs!$B$9+((C1939=TRUE)*(F1939-Calc!F19))+B1950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1939=TRUE)*(F1939-Calc!F19))+B1950+(IF(ArtifactsInput!$M$24,FALSE,TRUE)-ArtifactsInput!$M$24)*CHOOSE(ArtifactsInput!$N$24+1,10,12,14,16,18,20)+IF(ArtifactsInput!$M$10,CHOOSE(ArtifactsInput!$N$10+1,15,18,21,24,27,30)*(IF(Inputs!$B$38="pvp",MIN(15,15)/15,IF(AND(Inputs!$B$38&lt;&gt;"pvp",Inputs!$B$43&gt;0),MIN(15,Inputs!$B$43)/(Inputs!$B$43),0))),0)))&gt;=100),CHOOSE(ArtifactsInput!$N$42+1,40,48,56,64,72,80),0))))/100)*((1+(((C1937=TRUE)*F1937)+((C1944=TRUE)*(F1944-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1934)</f>
        <v/>
      </c>
      <c r="L1934">
        <f>K1934*(MIN(Inputs!$B$22+((C1942=TRUE)*(F1942-Calc!F22)),(Inputs!$B$23+0+(IF(ArtifactsInput!$M$15,CHOOSE(ArtifactsInput!$N$15+1,25,30,35,40,45,50)/100*(Inputs!$B$11-Inputs!$B$11),0))))/100+(Inputs!$B$23+0+(IF(ArtifactsInput!$M$15,CHOOSE(ArtifactsInput!$N$15+1,25,30,35,40,45,50)/100*(Inputs!$B$11-Inputs!$B$11),0)))/100)/2</f>
        <v/>
      </c>
      <c r="M1934">
        <f>L1934*(1+(Inputs!$B$10+((C1945=TRUE)*(F1945-Calc!F25))+B1955+((IF(IF(ArtifactsInput!$M$24,FALSE,TRUE),1,-1)*CHOOSE(ArtifactsInput!$N$24+1,30,36,42,48,54,60)/100*IF(IF(ArtifactsInput!$M$24,FALSE,TRUE),(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34">
        <f>L1934*(1-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1934*(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4">
        <f>(1-Summary!$B$11)*T1934+Summary!$B$11*V1934</f>
        <v/>
      </c>
      <c r="P1934">
        <f>IF(B1960=0,0,O1934/B1960)</f>
        <v/>
      </c>
      <c r="Q1934" t="n">
        <v>0</v>
      </c>
      <c r="R1934" t="n">
        <v>0</v>
      </c>
      <c r="S1934">
        <f>IFERROR(O1934/N1934,0)</f>
        <v/>
      </c>
      <c r="T1934">
        <f>IF(C1934,(H1934*N1934*(B1954+IF(AND(Inputs!$B$38&lt;&gt;"pvp",Inputs!$B$43&gt;0),((Skills!G8*((R1928-1)*IF(Skills!H8&gt;0,Skills!I8/Skills!H8,1)+IF(Skills!H8&gt;0,MIN(Skills!I8,MAX(0,MAX(0,Inputs!$B$43-B1957)-((R1928-1)*(IF(Inputs!$B$38="pvp",15,MAX(0.1,Skills!D8-IF(Skills!E8=TRUE,Inputs!$B$32,0)))*(1-IF(AND(ArtifactsInput!$M$27,Inputs!$B$4="Chapter Hunt"),CHOOSE(ArtifactsInput!$N$27+1,20,24,28,32,36,40),0)/100)))))/Skills!H8,1)))/Inputs!$B$43),G1928*Q1928)+IF(AND(Inputs!$B$38&lt;&gt;"pvp",Inputs!$B$43&gt;0),((Skills!G11*((R1931-1)*IF(Skills!H11&gt;0,Skills!I11/Skills!H11,1)+IF(Skills!H11&gt;0,MIN(Skills!I11,MAX(0,MAX(0,Inputs!$B$43-B1957)-((R1931-1)*(IF(Inputs!$B$38="pvp",15,MAX(0.1,Skills!D11-IF(Skills!E11=TRUE,Inputs!$B$32,0)))*(1-IF(AND(ArtifactsInput!$M$27,Inputs!$B$4="Chapter Hunt"),CHOOSE(ArtifactsInput!$N$27+1,20,24,28,32,36,40),0)/100)))))/Skills!H11,1)))/Inputs!$B$43),G1931*Q1931)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1934*(1-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1934*(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1934*(1-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1934*(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4">
        <f>IF(C1934,(H1934*N1934*(B1954+IF(AND(Inputs!$B$38&lt;&gt;"pvp",Inputs!$B$43&gt;0),((Skills!G8*((R1928-1)*IF(Skills!H8&gt;0,Skills!I8/Skills!H8,1)+IF(Skills!H8&gt;0,MIN(Skills!I8,MAX(0,MAX(0,Inputs!$B$43-B1957)-((R1928-1)*(IF(Inputs!$B$38="pvp",15,MAX(0.1,Skills!D8-IF(Skills!E8=TRUE,Inputs!$B$32,0)))*(1-IF(AND(ArtifactsInput!$M$27,Inputs!$B$4="Chapter Hunt"),CHOOSE(ArtifactsInput!$N$27+1,20,24,28,32,36,40),0)/100)))))/Skills!H8,1)))/Inputs!$B$43),G1928*Q1928)+IF(AND(Inputs!$B$38&lt;&gt;"pvp",Inputs!$B$43&gt;0),((Skills!G11*((R1931-1)*IF(Skills!H11&gt;0,Skills!I11/Skills!H11,1)+IF(Skills!H11&gt;0,MIN(Skills!I11,MAX(0,MAX(0,Inputs!$B$43-B1957)-((R1931-1)*(IF(Inputs!$B$38="pvp",15,MAX(0.1,Skills!D11-IF(Skills!E11=TRUE,Inputs!$B$32,0)))*(1-IF(AND(ArtifactsInput!$M$27,Inputs!$B$4="Chapter Hunt"),CHOOSE(ArtifactsInput!$N$27+1,20,24,28,32,36,40),0)/100)))))/Skills!H11,1)))/Inputs!$B$43),G1931*Q1931)))*IF(Inputs!$B$38="pvp",1,(1+(Inputs!$B$21+Skills!Q14+(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5">
      <c r="A1935">
        <f>Skills!A15</f>
        <v/>
      </c>
      <c r="B1935">
        <f>Skills!B15</f>
        <v/>
      </c>
      <c r="C1935">
        <f>Inputs!$B$3&gt;=100</f>
        <v/>
      </c>
      <c r="D1935">
        <f>IF(Skills!C15=1,60+Inputs!$B$25+Inputs!$B$29,IF(Skills!C15=2,90+Inputs!$B$26+Inputs!$B$29,IF(Skills!C15=3,120+Inputs!$B$27+Inputs!$B$29,MAX(0,(Inputs!$B$3-100)*3)+Inputs!$B$28+Inputs!$B$29)))</f>
        <v/>
      </c>
      <c r="E1935">
        <f>INDEX(FactorTable!$B$2:$Y$301, MATCH(ROUND(MIN(300,MAX(1,D1935)),0), FactorTable!$A$2:$A$301,0), Skills!M15+1)</f>
        <v/>
      </c>
      <c r="F1935">
        <f>IF(Skills!N15=TRUE,(Skills!L15/10)*(E1935/1000),Skills!L15/10)+Skills!O15</f>
        <v/>
      </c>
      <c r="G1935" t="inlineStr"/>
      <c r="H1935" t="inlineStr"/>
      <c r="I1935" t="inlineStr">
        <is>
          <t>1</t>
        </is>
      </c>
      <c r="J1935" t="inlineStr"/>
      <c r="K1935" t="inlineStr"/>
      <c r="L1935" t="inlineStr"/>
      <c r="M1935" t="inlineStr"/>
      <c r="N1935" t="inlineStr"/>
      <c r="O1935" t="inlineStr"/>
      <c r="P1935" t="inlineStr"/>
      <c r="Q1935" t="inlineStr"/>
      <c r="R1935" t="inlineStr"/>
      <c r="S1935" t="inlineStr"/>
    </row>
    <row r="1936">
      <c r="A1936">
        <f>Skills!A16</f>
        <v/>
      </c>
      <c r="B1936">
        <f>Skills!B16</f>
        <v/>
      </c>
      <c r="C1936">
        <f>Inputs!$B$3&gt;=120</f>
        <v/>
      </c>
      <c r="D1936">
        <f>IF(Skills!C16=1,60+Inputs!$B$25+Inputs!$B$29,IF(Skills!C16=2,90+Inputs!$B$26+Inputs!$B$29,IF(Skills!C16=3,120+Inputs!$B$27+Inputs!$B$29,MAX(0,(Inputs!$B$3-100)*3)+Inputs!$B$28+Inputs!$B$29)))</f>
        <v/>
      </c>
      <c r="E1936">
        <f>INDEX(FactorTable!$B$2:$Y$301, MATCH(ROUND(MIN(300,MAX(1,D1936)),0), FactorTable!$A$2:$A$301,0), Skills!M16+1)</f>
        <v/>
      </c>
      <c r="F1936">
        <f>IF(Skills!N16=TRUE,(Skills!L16/10)*(E1936/1000),Skills!L16/10)+Skills!O16</f>
        <v/>
      </c>
      <c r="G1936" t="inlineStr"/>
      <c r="H1936" t="inlineStr"/>
      <c r="I1936" t="inlineStr">
        <is>
          <t>1</t>
        </is>
      </c>
      <c r="J1936" t="inlineStr"/>
      <c r="K1936" t="inlineStr"/>
      <c r="L1936" t="inlineStr"/>
      <c r="M1936" t="inlineStr"/>
      <c r="N1936" t="inlineStr"/>
      <c r="O1936" t="inlineStr"/>
      <c r="P1936" t="inlineStr"/>
      <c r="Q1936" t="inlineStr"/>
      <c r="R1936" t="inlineStr"/>
      <c r="S1936" t="inlineStr"/>
    </row>
    <row r="1937">
      <c r="A1937">
        <f>Skills!A17</f>
        <v/>
      </c>
      <c r="B1937">
        <f>Skills!B17</f>
        <v/>
      </c>
      <c r="C1937">
        <f>Inputs!$B$3&gt;=66</f>
        <v/>
      </c>
      <c r="D1937">
        <f>IF(Skills!C17=1,60+Inputs!$B$25+Inputs!$B$29,IF(Skills!C17=2,90+Inputs!$B$26+Inputs!$B$29,IF(Skills!C17=3,120+Inputs!$B$27+Inputs!$B$29,MAX(0,(Inputs!$B$3-100)*3)+Inputs!$B$28+Inputs!$B$29)))</f>
        <v/>
      </c>
      <c r="E1937">
        <f>INDEX(FactorTable!$B$2:$Y$301, MATCH(ROUND(MIN(300,MAX(1,D1937)),0), FactorTable!$A$2:$A$301,0), Skills!M17+1)</f>
        <v/>
      </c>
      <c r="F1937">
        <f>IF(Skills!N17=TRUE,(Skills!L17/10)*(E1937/1000),Skills!L17/10)+Skills!O17</f>
        <v/>
      </c>
      <c r="G1937">
        <f>Skills!G17*IF(Skills!H17&gt;0,Skills!I17/Skills!H17,1)</f>
        <v/>
      </c>
      <c r="H1937">
        <f>1-(1-Skills!J17/100)^Skills!K17</f>
        <v/>
      </c>
      <c r="I1937" t="inlineStr">
        <is>
          <t>1</t>
        </is>
      </c>
      <c r="J1937" t="inlineStr"/>
      <c r="K1937" t="inlineStr"/>
      <c r="L1937" t="inlineStr"/>
      <c r="M1937" t="inlineStr"/>
      <c r="N1937" t="inlineStr"/>
      <c r="O1937">
        <f>(1-Summary!$B$11)*T1937+Summary!$B$11*V1937</f>
        <v/>
      </c>
      <c r="P1937">
        <f>IF(B1960=0,0,O1937/B1960)</f>
        <v/>
      </c>
      <c r="Q1937" t="n">
        <v>0</v>
      </c>
      <c r="R1937" t="n">
        <v>0</v>
      </c>
      <c r="S1937">
        <f>IFERROR(O1937/N1937,0)</f>
        <v/>
      </c>
      <c r="T1937" t="n">
        <v>0</v>
      </c>
      <c r="V1937" t="n">
        <v>0</v>
      </c>
    </row>
    <row r="1938">
      <c r="A1938">
        <f>Skills!A18</f>
        <v/>
      </c>
      <c r="B1938">
        <f>Skills!B18</f>
        <v/>
      </c>
      <c r="C1938">
        <f>Inputs!$B$3&gt;=115</f>
        <v/>
      </c>
      <c r="D1938">
        <f>IF(Skills!C18=1,60+Inputs!$B$25+Inputs!$B$29,IF(Skills!C18=2,90+Inputs!$B$26+Inputs!$B$29,IF(Skills!C18=3,120+Inputs!$B$27+Inputs!$B$29,MAX(0,(Inputs!$B$3-100)*3)+Inputs!$B$28+Inputs!$B$29)))</f>
        <v/>
      </c>
      <c r="E1938">
        <f>INDEX(FactorTable!$B$2:$Y$301, MATCH(ROUND(MIN(300,MAX(1,D1938)),0), FactorTable!$A$2:$A$301,0), Skills!M18+1)</f>
        <v/>
      </c>
      <c r="F1938">
        <f>IF(Skills!N18=TRUE,(Skills!L18/10)*(E1938/1000),Skills!L18/10)+Skills!O18</f>
        <v/>
      </c>
      <c r="G1938">
        <f>Skills!G18*IF(Skills!H18&gt;0,Skills!I18/Skills!H18,1)</f>
        <v/>
      </c>
      <c r="H1938">
        <f>1-(1-Skills!J18/100)^Skills!K18</f>
        <v/>
      </c>
      <c r="I1938" t="inlineStr">
        <is>
          <t>1</t>
        </is>
      </c>
      <c r="J1938" t="inlineStr"/>
      <c r="K1938" t="inlineStr"/>
      <c r="L1938" t="inlineStr"/>
      <c r="M1938" t="inlineStr"/>
      <c r="N1938" t="inlineStr"/>
      <c r="O1938">
        <f>(1-Summary!$B$11)*T1938+Summary!$B$11*V1938</f>
        <v/>
      </c>
      <c r="P1938">
        <f>IF(B1960=0,0,O1938/B1960)</f>
        <v/>
      </c>
      <c r="Q1938" t="n">
        <v>0</v>
      </c>
      <c r="R1938" t="n">
        <v>0</v>
      </c>
      <c r="S1938">
        <f>IFERROR(O1938/N1938,0)</f>
        <v/>
      </c>
      <c r="T1938" t="n">
        <v>0</v>
      </c>
      <c r="V1938" t="n">
        <v>0</v>
      </c>
    </row>
    <row r="1939">
      <c r="A1939">
        <f>Skills!A19</f>
        <v/>
      </c>
      <c r="B1939">
        <f>Skills!B19</f>
        <v/>
      </c>
      <c r="C1939">
        <f>Inputs!$B$3&gt;=15</f>
        <v/>
      </c>
      <c r="D1939">
        <f>IF(Skills!C19=1,60+Inputs!$B$25+Inputs!$B$29,IF(Skills!C19=2,90+Inputs!$B$26+Inputs!$B$29,IF(Skills!C19=3,120+Inputs!$B$27+Inputs!$B$29,MAX(0,(Inputs!$B$3-100)*3)+Inputs!$B$28+Inputs!$B$29)))</f>
        <v/>
      </c>
      <c r="E1939">
        <f>INDEX(FactorTable!$B$2:$Y$301, MATCH(ROUND(MIN(300,MAX(1,D1939)),0), FactorTable!$A$2:$A$301,0), Skills!M19+1)</f>
        <v/>
      </c>
      <c r="F1939">
        <f>IF(Skills!N19=TRUE,(Skills!L19/10)*(E1939/1000),Skills!L19/10)+Skills!O19</f>
        <v/>
      </c>
      <c r="G1939">
        <f>Skills!G19*IF(Skills!H19&gt;0,Skills!I19/Skills!H19,1)</f>
        <v/>
      </c>
      <c r="H1939">
        <f>1-(1-Skills!J19/100)^Skills!K19</f>
        <v/>
      </c>
      <c r="I1939" t="inlineStr">
        <is>
          <t>1</t>
        </is>
      </c>
      <c r="J1939" t="inlineStr"/>
      <c r="K1939" t="inlineStr"/>
      <c r="L1939" t="inlineStr"/>
      <c r="M1939" t="inlineStr"/>
      <c r="N1939" t="inlineStr"/>
      <c r="O1939">
        <f>(1-Summary!$B$11)*T1939+Summary!$B$11*V1939</f>
        <v/>
      </c>
      <c r="P1939">
        <f>IF(B1960=0,0,O1939/B1960)</f>
        <v/>
      </c>
      <c r="Q1939" t="n">
        <v>0</v>
      </c>
      <c r="R1939" t="n">
        <v>0</v>
      </c>
      <c r="S1939">
        <f>IFERROR(O1939/N1939,0)</f>
        <v/>
      </c>
      <c r="T1939" t="n">
        <v>0</v>
      </c>
      <c r="V1939" t="n">
        <v>0</v>
      </c>
    </row>
    <row r="1940">
      <c r="A1940">
        <f>Skills!A20</f>
        <v/>
      </c>
      <c r="B1940">
        <f>Skills!B20</f>
        <v/>
      </c>
      <c r="C1940">
        <f>Inputs!$B$3&gt;=10</f>
        <v/>
      </c>
      <c r="D1940">
        <f>IF(Skills!C20=1,60+Inputs!$B$25+Inputs!$B$29,IF(Skills!C20=2,90+Inputs!$B$26+Inputs!$B$29,IF(Skills!C20=3,120+Inputs!$B$27+Inputs!$B$29,MAX(0,(Inputs!$B$3-100)*3)+Inputs!$B$28+Inputs!$B$29)))</f>
        <v/>
      </c>
      <c r="E1940">
        <f>INDEX(FactorTable!$B$2:$Y$301, MATCH(ROUND(MIN(300,MAX(1,D1940)),0), FactorTable!$A$2:$A$301,0), Skills!M20+1)</f>
        <v/>
      </c>
      <c r="F1940">
        <f>IF(Skills!N20=TRUE,(Skills!L20/10)*(E1940/1000),Skills!L20/10)+Skills!O20</f>
        <v/>
      </c>
      <c r="G1940">
        <f>Skills!G20*IF(Skills!H20&gt;0,Skills!I20/Skills!H20,1)</f>
        <v/>
      </c>
      <c r="H1940">
        <f>1-(1-Skills!J20/100)^Skills!K20</f>
        <v/>
      </c>
      <c r="I1940" t="inlineStr">
        <is>
          <t>1</t>
        </is>
      </c>
      <c r="J1940" t="inlineStr"/>
      <c r="K1940" t="inlineStr"/>
      <c r="L1940" t="inlineStr"/>
      <c r="M1940" t="inlineStr"/>
      <c r="N1940" t="inlineStr"/>
      <c r="O1940">
        <f>(1-Summary!$B$11)*T1940+Summary!$B$11*V1940</f>
        <v/>
      </c>
      <c r="P1940">
        <f>IF(B1960=0,0,O1940/B1960)</f>
        <v/>
      </c>
      <c r="Q1940" t="n">
        <v>0</v>
      </c>
      <c r="R1940" t="n">
        <v>0</v>
      </c>
      <c r="S1940">
        <f>IFERROR(O1940/N1940,0)</f>
        <v/>
      </c>
      <c r="T1940" t="n">
        <v>0</v>
      </c>
      <c r="V1940" t="n">
        <v>0</v>
      </c>
    </row>
    <row r="1941">
      <c r="A1941">
        <f>Skills!A21</f>
        <v/>
      </c>
      <c r="B1941">
        <f>Skills!B21</f>
        <v/>
      </c>
      <c r="C1941">
        <f>Inputs!$B$3&gt;=33</f>
        <v/>
      </c>
      <c r="D1941">
        <f>IF(Skills!C21=1,60+Inputs!$B$25+Inputs!$B$29,IF(Skills!C21=2,90+Inputs!$B$26+Inputs!$B$29,IF(Skills!C21=3,120+Inputs!$B$27+Inputs!$B$29,MAX(0,(Inputs!$B$3-100)*3)+Inputs!$B$28+Inputs!$B$29)))</f>
        <v/>
      </c>
      <c r="E1941">
        <f>INDEX(FactorTable!$B$2:$Y$301, MATCH(ROUND(MIN(300,MAX(1,D1941)),0), FactorTable!$A$2:$A$301,0), Skills!M21+1)</f>
        <v/>
      </c>
      <c r="F1941">
        <f>IF(Skills!N21=TRUE,(Skills!L21/10)*(E1941/1000),Skills!L21/10)+Skills!O21</f>
        <v/>
      </c>
      <c r="G1941">
        <f>Skills!G21*IF(Skills!H21&gt;0,Skills!I21/Skills!H21,1)</f>
        <v/>
      </c>
      <c r="H1941">
        <f>1-(1-Skills!J21/100)^Skills!K21</f>
        <v/>
      </c>
      <c r="I1941" t="inlineStr">
        <is>
          <t>1</t>
        </is>
      </c>
      <c r="J1941" t="inlineStr"/>
      <c r="K1941" t="inlineStr"/>
      <c r="L1941" t="inlineStr"/>
      <c r="M1941" t="inlineStr"/>
      <c r="N1941" t="inlineStr"/>
      <c r="O1941">
        <f>(1-Summary!$B$11)*T1941+Summary!$B$11*V1941</f>
        <v/>
      </c>
      <c r="P1941">
        <f>IF(B1960=0,0,O1941/B1960)</f>
        <v/>
      </c>
      <c r="Q1941" t="n">
        <v>0</v>
      </c>
      <c r="R1941" t="n">
        <v>0</v>
      </c>
      <c r="S1941">
        <f>IFERROR(O1941/N1941,0)</f>
        <v/>
      </c>
      <c r="T1941" t="n">
        <v>0</v>
      </c>
      <c r="V1941" t="n">
        <v>0</v>
      </c>
    </row>
    <row r="1942">
      <c r="A1942">
        <f>Skills!A22</f>
        <v/>
      </c>
      <c r="B1942">
        <f>Skills!B22</f>
        <v/>
      </c>
      <c r="C1942">
        <f>Inputs!$B$3&gt;=43</f>
        <v/>
      </c>
      <c r="D1942">
        <f>IF(Skills!C22=1,60+Inputs!$B$25+Inputs!$B$29,IF(Skills!C22=2,90+Inputs!$B$26+Inputs!$B$29,IF(Skills!C22=3,120+Inputs!$B$27+Inputs!$B$29,MAX(0,(Inputs!$B$3-100)*3)+Inputs!$B$28+Inputs!$B$29)))</f>
        <v/>
      </c>
      <c r="E1942">
        <f>INDEX(FactorTable!$B$2:$Y$301, MATCH(ROUND(MIN(300,MAX(1,D1942)),0), FactorTable!$A$2:$A$301,0), Skills!M22+1)</f>
        <v/>
      </c>
      <c r="F1942">
        <f>IF(Skills!N22=TRUE,(Skills!L22/10)*(E1942/1000),Skills!L22/10)+Skills!O22</f>
        <v/>
      </c>
      <c r="G1942">
        <f>Skills!G22*IF(Skills!H22&gt;0,Skills!I22/Skills!H22,1)</f>
        <v/>
      </c>
      <c r="H1942">
        <f>1-(1-Skills!J22/100)^Skills!K22</f>
        <v/>
      </c>
      <c r="I1942" t="inlineStr">
        <is>
          <t>1</t>
        </is>
      </c>
      <c r="J1942" t="inlineStr"/>
      <c r="K1942" t="inlineStr"/>
      <c r="L1942" t="inlineStr"/>
      <c r="M1942" t="inlineStr"/>
      <c r="N1942" t="inlineStr"/>
      <c r="O1942">
        <f>(1-Summary!$B$11)*T1942+Summary!$B$11*V1942</f>
        <v/>
      </c>
      <c r="P1942">
        <f>IF(B1960=0,0,O1942/B1960)</f>
        <v/>
      </c>
      <c r="Q1942" t="n">
        <v>0</v>
      </c>
      <c r="R1942" t="n">
        <v>0</v>
      </c>
      <c r="S1942">
        <f>IFERROR(O1942/N1942,0)</f>
        <v/>
      </c>
      <c r="T1942" t="n">
        <v>0</v>
      </c>
      <c r="V1942" t="n">
        <v>0</v>
      </c>
    </row>
    <row r="1943">
      <c r="A1943">
        <f>Skills!A23</f>
        <v/>
      </c>
      <c r="B1943">
        <f>Skills!B23</f>
        <v/>
      </c>
      <c r="C1943">
        <f>Inputs!$B$3&gt;=38</f>
        <v/>
      </c>
      <c r="D1943">
        <f>IF(Skills!C23=1,60+Inputs!$B$25+Inputs!$B$29,IF(Skills!C23=2,90+Inputs!$B$26+Inputs!$B$29,IF(Skills!C23=3,120+Inputs!$B$27+Inputs!$B$29,MAX(0,(Inputs!$B$3-100)*3)+Inputs!$B$28+Inputs!$B$29)))</f>
        <v/>
      </c>
      <c r="E1943">
        <f>INDEX(FactorTable!$B$2:$Y$301, MATCH(ROUND(MIN(300,MAX(1,D1943)),0), FactorTable!$A$2:$A$301,0), Skills!M23+1)</f>
        <v/>
      </c>
      <c r="F1943">
        <f>IF(Skills!N23=TRUE,(Skills!L23/10)*(E1943/1000),Skills!L23/10)+Skills!O23</f>
        <v/>
      </c>
      <c r="G1943">
        <f>Skills!G23*IF(Skills!H23&gt;0,Skills!I23/Skills!H23,1)</f>
        <v/>
      </c>
      <c r="H1943">
        <f>1-(1-Skills!J23/100)^Skills!K23</f>
        <v/>
      </c>
      <c r="I1943" t="inlineStr">
        <is>
          <t>1</t>
        </is>
      </c>
      <c r="J1943" t="inlineStr"/>
      <c r="K1943" t="inlineStr"/>
      <c r="L1943" t="inlineStr"/>
      <c r="M1943" t="inlineStr"/>
      <c r="N1943" t="inlineStr"/>
      <c r="O1943">
        <f>(1-Summary!$B$11)*T1943+Summary!$B$11*V1943</f>
        <v/>
      </c>
      <c r="P1943">
        <f>IF(B1960=0,0,O1943/B1960)</f>
        <v/>
      </c>
      <c r="Q1943" t="n">
        <v>0</v>
      </c>
      <c r="R1943" t="n">
        <v>0</v>
      </c>
      <c r="S1943">
        <f>IFERROR(O1943/N1943,0)</f>
        <v/>
      </c>
      <c r="T1943" t="n">
        <v>0</v>
      </c>
      <c r="V1943" t="n">
        <v>0</v>
      </c>
    </row>
    <row r="1944">
      <c r="A1944">
        <f>Skills!A24</f>
        <v/>
      </c>
      <c r="B1944">
        <f>Skills!B24</f>
        <v/>
      </c>
      <c r="C1944">
        <f>Inputs!$B$3&gt;=40</f>
        <v/>
      </c>
      <c r="D1944">
        <f>IF(Skills!C24=1,60+Inputs!$B$25+Inputs!$B$29,IF(Skills!C24=2,90+Inputs!$B$26+Inputs!$B$29,IF(Skills!C24=3,120+Inputs!$B$27+Inputs!$B$29,MAX(0,(Inputs!$B$3-100)*3)+Inputs!$B$28+Inputs!$B$29)))</f>
        <v/>
      </c>
      <c r="E1944">
        <f>INDEX(FactorTable!$B$2:$Y$301, MATCH(ROUND(MIN(300,MAX(1,D1944)),0), FactorTable!$A$2:$A$301,0), Skills!M24+1)</f>
        <v/>
      </c>
      <c r="F1944">
        <f>IF(Skills!N24=TRUE,(Skills!L24/10)*(E1944/1000),Skills!L24/10)+Skills!O24</f>
        <v/>
      </c>
      <c r="G1944">
        <f>Skills!G24*IF(Skills!H24&gt;0,Skills!I24/Skills!H24,1)</f>
        <v/>
      </c>
      <c r="H1944">
        <f>1-(1-Skills!J24/100)^Skills!K24</f>
        <v/>
      </c>
      <c r="I1944" t="inlineStr">
        <is>
          <t>1</t>
        </is>
      </c>
      <c r="J1944" t="inlineStr"/>
      <c r="K1944" t="inlineStr"/>
      <c r="L1944" t="inlineStr"/>
      <c r="M1944" t="inlineStr"/>
      <c r="N1944" t="inlineStr"/>
      <c r="O1944">
        <f>(1-Summary!$B$11)*T1944+Summary!$B$11*V1944</f>
        <v/>
      </c>
      <c r="P1944">
        <f>IF(B1960=0,0,O1944/B1960)</f>
        <v/>
      </c>
      <c r="Q1944" t="n">
        <v>0</v>
      </c>
      <c r="R1944" t="n">
        <v>0</v>
      </c>
      <c r="S1944">
        <f>IFERROR(O1944/N1944,0)</f>
        <v/>
      </c>
      <c r="T1944" t="n">
        <v>0</v>
      </c>
      <c r="V1944" t="n">
        <v>0</v>
      </c>
    </row>
    <row r="1945">
      <c r="A1945">
        <f>Skills!A25</f>
        <v/>
      </c>
      <c r="B1945">
        <f>Skills!B25</f>
        <v/>
      </c>
      <c r="C1945">
        <f>Inputs!$B$3&gt;=72</f>
        <v/>
      </c>
      <c r="D1945">
        <f>IF(Skills!C25=1,60+Inputs!$B$25+Inputs!$B$29,IF(Skills!C25=2,90+Inputs!$B$26+Inputs!$B$29,IF(Skills!C25=3,120+Inputs!$B$27+Inputs!$B$29,MAX(0,(Inputs!$B$3-100)*3)+Inputs!$B$28+Inputs!$B$29)))</f>
        <v/>
      </c>
      <c r="E1945">
        <f>INDEX(FactorTable!$B$2:$Y$301, MATCH(ROUND(MIN(300,MAX(1,D1945)),0), FactorTable!$A$2:$A$301,0), Skills!M25+1)</f>
        <v/>
      </c>
      <c r="F1945">
        <f>IF(Skills!N25=TRUE,(Skills!L25/10)*(E1945/1000),Skills!L25/10)+Skills!O25</f>
        <v/>
      </c>
      <c r="G1945">
        <f>Skills!G25*IF(Skills!H25&gt;0,Skills!I25/Skills!H25,1)</f>
        <v/>
      </c>
      <c r="H1945">
        <f>1-(1-Skills!J25/100)^Skills!K25</f>
        <v/>
      </c>
      <c r="I1945" t="inlineStr">
        <is>
          <t>1</t>
        </is>
      </c>
      <c r="J1945" t="inlineStr"/>
      <c r="K1945" t="inlineStr"/>
      <c r="L1945" t="inlineStr"/>
      <c r="M1945" t="inlineStr"/>
      <c r="N1945" t="inlineStr"/>
      <c r="O1945">
        <f>(1-Summary!$B$11)*T1945+Summary!$B$11*V1945</f>
        <v/>
      </c>
      <c r="P1945">
        <f>IF(B1960=0,0,O1945/B1960)</f>
        <v/>
      </c>
      <c r="Q1945" t="n">
        <v>0</v>
      </c>
      <c r="R1945" t="n">
        <v>0</v>
      </c>
      <c r="S1945">
        <f>IFERROR(O1945/N1945,0)</f>
        <v/>
      </c>
      <c r="T1945" t="n">
        <v>0</v>
      </c>
      <c r="V1945" t="n">
        <v>0</v>
      </c>
    </row>
    <row r="1946">
      <c r="A1946">
        <f>Skills!A26</f>
        <v/>
      </c>
      <c r="B1946">
        <f>Skills!B26</f>
        <v/>
      </c>
      <c r="C1946">
        <f>Inputs!$B$3&gt;=75</f>
        <v/>
      </c>
      <c r="D1946">
        <f>IF(Skills!C26=1,60+Inputs!$B$25+Inputs!$B$29,IF(Skills!C26=2,90+Inputs!$B$26+Inputs!$B$29,IF(Skills!C26=3,120+Inputs!$B$27+Inputs!$B$29,MAX(0,(Inputs!$B$3-100)*3)+Inputs!$B$28+Inputs!$B$29)))</f>
        <v/>
      </c>
      <c r="E1946">
        <f>INDEX(FactorTable!$B$2:$Y$301, MATCH(ROUND(MIN(300,MAX(1,D1946)),0), FactorTable!$A$2:$A$301,0), Skills!M26+1)</f>
        <v/>
      </c>
      <c r="F1946">
        <f>IF(Skills!N26=TRUE,(Skills!L26/10)*(E1946/1000),Skills!L26/10)+Skills!O26</f>
        <v/>
      </c>
      <c r="G1946">
        <f>Skills!G26*IF(Skills!H26&gt;0,Skills!I26/Skills!H26,1)</f>
        <v/>
      </c>
      <c r="H1946">
        <f>1-(1-Skills!J26/100)^Skills!K26</f>
        <v/>
      </c>
      <c r="I1946" t="inlineStr">
        <is>
          <t>1</t>
        </is>
      </c>
      <c r="J1946" t="inlineStr"/>
      <c r="K1946" t="inlineStr"/>
      <c r="L1946" t="inlineStr"/>
      <c r="M1946" t="inlineStr"/>
      <c r="N1946" t="inlineStr"/>
      <c r="O1946">
        <f>(1-Summary!$B$11)*T1946+Summary!$B$11*V1946</f>
        <v/>
      </c>
      <c r="P1946">
        <f>IF(B1960=0,0,O1946/B1960)</f>
        <v/>
      </c>
      <c r="Q1946" t="n">
        <v>0</v>
      </c>
      <c r="R1946" t="n">
        <v>0</v>
      </c>
      <c r="S1946">
        <f>IFERROR(O1946/N1946,0)</f>
        <v/>
      </c>
      <c r="T1946" t="n">
        <v>0</v>
      </c>
      <c r="V1946" t="n">
        <v>0</v>
      </c>
    </row>
    <row r="1947">
      <c r="A1947">
        <f>Skills!A27</f>
        <v/>
      </c>
      <c r="B1947">
        <f>Skills!B27</f>
        <v/>
      </c>
      <c r="C1947">
        <f>Inputs!$B$3&gt;=117</f>
        <v/>
      </c>
      <c r="D1947">
        <f>IF(Skills!C27=1,60+Inputs!$B$25+Inputs!$B$29,IF(Skills!C27=2,90+Inputs!$B$26+Inputs!$B$29,IF(Skills!C27=3,120+Inputs!$B$27+Inputs!$B$29,MAX(0,(Inputs!$B$3-100)*3)+Inputs!$B$28+Inputs!$B$29)))</f>
        <v/>
      </c>
      <c r="E1947">
        <f>INDEX(FactorTable!$B$2:$Y$301, MATCH(ROUND(MIN(300,MAX(1,D1947)),0), FactorTable!$A$2:$A$301,0), Skills!M27+1)</f>
        <v/>
      </c>
      <c r="F1947">
        <f>IF(Skills!N27=TRUE,(Skills!L27/10)*(E1947/1000),Skills!L27/10)+Skills!O27</f>
        <v/>
      </c>
      <c r="G1947">
        <f>Skills!G27*IF(Skills!H27&gt;0,Skills!I27/Skills!H27,1)</f>
        <v/>
      </c>
      <c r="H1947">
        <f>1-(1-Skills!J27/100)^Skills!K27</f>
        <v/>
      </c>
      <c r="I1947" t="inlineStr">
        <is>
          <t>1</t>
        </is>
      </c>
      <c r="J1947" t="inlineStr"/>
      <c r="K1947" t="inlineStr"/>
      <c r="L1947" t="inlineStr"/>
      <c r="M1947" t="inlineStr"/>
      <c r="N1947" t="inlineStr"/>
      <c r="O1947">
        <f>(1-Summary!$B$11)*T1947+Summary!$B$11*V1947</f>
        <v/>
      </c>
      <c r="P1947">
        <f>IF(B1960=0,0,O1947/B1960)</f>
        <v/>
      </c>
      <c r="Q1947" t="n">
        <v>0</v>
      </c>
      <c r="R1947" t="n">
        <v>0</v>
      </c>
      <c r="S1947">
        <f>IFERROR(O1947/N1947,0)</f>
        <v/>
      </c>
      <c r="T1947" t="n">
        <v>0</v>
      </c>
      <c r="V1947" t="n">
        <v>0</v>
      </c>
    </row>
    <row r="1949">
      <c r="A1949" t="inlineStr">
        <is>
          <t>Attack% Bucket Multiplier</t>
        </is>
      </c>
      <c r="B1949">
        <f>(1+(((C1937=TRUE)*F1937)+((C1944=TRUE)*(F1944-Calc!F24))+(IF(ArtifactsInput!$M$21,CHOOSE(ArtifactsInput!$N$21+1,25,30,35,40,45,50)*(IF(OR(Inputs!$B$4="Chapter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50">
      <c r="A1950" t="inlineStr">
        <is>
          <t>Global Crit Rate Bonus %</t>
        </is>
      </c>
      <c r="B1950" t="n">
        <v>0</v>
      </c>
    </row>
    <row r="1951">
      <c r="A1951" t="inlineStr">
        <is>
          <t>Attack Speed Buff Bonus % (unused)</t>
        </is>
      </c>
      <c r="B1951" t="n">
        <v>0</v>
      </c>
    </row>
    <row r="1952">
      <c r="A1952" t="inlineStr">
        <is>
          <t>Actions Per Second</t>
        </is>
      </c>
      <c r="B1952">
        <f>1+MIN(150,150*(1-(1-(Inputs!$B$11+((C1940=TRUE)*(F1940-Calc!F20))+((C1941=TRUE)*(F1941-Calc!F21)))/150)*(1-B1951/150)))/100</f>
        <v/>
      </c>
    </row>
    <row r="1953">
      <c r="A1953" t="inlineStr">
        <is>
          <t>Skill + Buff Cast Rate</t>
        </is>
      </c>
      <c r="B1953">
        <f>IF(AND(Inputs!$B$38&lt;&gt;"pvp",Inputs!$B$43&gt;0),SUMPRODUCT((Skills!E2:E27=TRUE)*(C1922:C1947=TRUE)*R1922:R1947*Skills!F2:F27)/Inputs!$B$43,SUMPRODUCT((Skills!E2:E27=TRUE)*(C1922:C1947=TRUE)*Q1922:Q1947*Skills!F2:F27))</f>
        <v/>
      </c>
    </row>
    <row r="1954">
      <c r="A1954" t="inlineStr">
        <is>
          <t>Eight-Legs Easton Casts Per Second</t>
        </is>
      </c>
      <c r="B1954">
        <f>MAX(0,B1952-B1953)</f>
        <v/>
      </c>
    </row>
    <row r="1955">
      <c r="A1955" t="inlineStr">
        <is>
          <t>Global Critical Damage Bonus % (unused)</t>
        </is>
      </c>
      <c r="B1955" t="n">
        <v>0</v>
      </c>
    </row>
    <row r="1956">
      <c r="A1956" t="inlineStr">
        <is>
          <t>Global Final Damage Bonus % (Jolly Roger only)</t>
        </is>
      </c>
      <c r="B1956">
        <f>((C1938=TRUE)*F1938)</f>
        <v/>
      </c>
    </row>
    <row r="1957">
      <c r="A1957" t="inlineStr">
        <is>
          <t>Buff-Casting Startup Delay (s, fixed-duration only)</t>
        </is>
      </c>
      <c r="B1957">
        <f>IF(AND(Inputs!$B$38&lt;&gt;"pvp",Inputs!$B$43&gt;0),SUMPRODUCT((Skills!T2:T27&gt;0)*(Skills!E2:E27=TRUE)*(C1922:C1947=TRUE))/B1952,0)</f>
        <v/>
      </c>
    </row>
    <row r="1958">
      <c r="A1958" t="inlineStr">
        <is>
          <t>Boss-Only Total DPS (this block's swept value)</t>
        </is>
      </c>
      <c r="B1958">
        <f>SUM(T1922:T1947)</f>
        <v/>
      </c>
    </row>
    <row r="1959">
      <c r="A1959" t="inlineStr">
        <is>
          <t>Normal-Only Total DPS (this block's swept value)</t>
        </is>
      </c>
      <c r="B1959">
        <f>SUM(V1922:V1947)</f>
        <v/>
      </c>
    </row>
    <row r="1960">
      <c r="A1960" s="6" t="inlineStr">
        <is>
          <t>TOTAL DPS</t>
        </is>
      </c>
      <c r="B1960" s="6">
        <f>SUM(O1922:O1947)</f>
        <v/>
      </c>
    </row>
    <row r="1963">
      <c r="A1963" s="6" t="inlineStr">
        <is>
          <t>Stat: Lunar Dew (Equip)</t>
        </is>
      </c>
    </row>
    <row r="1964">
      <c r="A1964" s="5" t="inlineStr">
        <is>
          <t>Key</t>
        </is>
      </c>
      <c r="B1964" s="5" t="inlineStr">
        <is>
          <t>Name</t>
        </is>
      </c>
      <c r="C1964" s="5" t="inlineStr">
        <is>
          <t>Unlocked</t>
        </is>
      </c>
      <c r="D1964" s="5" t="inlineStr">
        <is>
          <t>InputLevel</t>
        </is>
      </c>
      <c r="E1964" s="5" t="inlineStr">
        <is>
          <t>Factor</t>
        </is>
      </c>
      <c r="F1964" s="5" t="inlineStr">
        <is>
          <t>CoefficientPercent</t>
        </is>
      </c>
      <c r="G1964" s="5" t="inlineStr">
        <is>
          <t>EffectiveHits</t>
        </is>
      </c>
      <c r="H1964" s="5" t="inlineStr">
        <is>
          <t>ProcProbability</t>
        </is>
      </c>
      <c r="I1964" s="5" t="inlineStr">
        <is>
          <t>MapleHeroMultiplier</t>
        </is>
      </c>
      <c r="J1964" s="5" t="inlineStr">
        <is>
          <t>BaseDamage</t>
        </is>
      </c>
      <c r="K1964" s="5" t="inlineStr">
        <is>
          <t>BaseHitDamage</t>
        </is>
      </c>
      <c r="L1964" s="5" t="inlineStr">
        <is>
          <t>NonCritAvg</t>
        </is>
      </c>
      <c r="M1964" s="5" t="inlineStr">
        <is>
          <t>CritAvg</t>
        </is>
      </c>
      <c r="N1964" s="5" t="inlineStr">
        <is>
          <t>ExpectedDamage(perHit)</t>
        </is>
      </c>
      <c r="O1964" s="5" t="inlineStr">
        <is>
          <t>DPS</t>
        </is>
      </c>
      <c r="P1964" s="5" t="inlineStr">
        <is>
          <t>% of Total</t>
        </is>
      </c>
      <c r="Q1964" s="5" t="inlineStr">
        <is>
          <t>InvCooldown</t>
        </is>
      </c>
      <c r="R1964" s="5" t="inlineStr">
        <is>
          <t>CastsInFight</t>
        </is>
      </c>
      <c r="S1964" s="5" t="inlineStr">
        <is>
          <t>HitRate(perSec)</t>
        </is>
      </c>
      <c r="U1964" t="inlineStr">
        <is>
          <t>helpers</t>
        </is>
      </c>
    </row>
    <row r="1965">
      <c r="A1965">
        <f>Skills!A2</f>
        <v/>
      </c>
      <c r="B1965">
        <f>Skills!B2</f>
        <v/>
      </c>
      <c r="C1965">
        <f>Inputs!$B$3&gt;=100</f>
        <v/>
      </c>
      <c r="D1965" t="inlineStr"/>
      <c r="E1965" t="inlineStr"/>
      <c r="F1965">
        <f>U1967+Skills!O2</f>
        <v/>
      </c>
      <c r="G1965">
        <f>Skills!G2*IF(Skills!H2&gt;0,Skills!I2/Skills!H2,1)</f>
        <v/>
      </c>
      <c r="H1965">
        <f>1-(1-Skills!J2/100)^Skills!K2</f>
        <v/>
      </c>
      <c r="I1965" t="inlineStr">
        <is>
          <t>1</t>
        </is>
      </c>
      <c r="J1965">
        <f>((Inputs!$B$6*(1+Inputs!$B$7/100))+(((Inputs!$B$12*(1+Inputs!$B$13/100))-(Inputs!$B$12*(1+Inputs!$B$13/100)))+0.25*(Inputs!$B$14-Inputs!$B$14))*(1+Inputs!$B$7/100))*(F1965/100)</f>
        <v/>
      </c>
      <c r="K1965">
        <f>J1965*(1+((Inputs!$B$12*(1+Inputs!$B$13/100))*0.01+Inputs!$B$14*0.0025)/100)*(1+Inputs!$B$15/100)*(1+Inputs!$B$16/100)*(5000/(6000+Inputs!$B$42*(1-(100*(1-(1-(Inputs!$B$19+0)/100)*(1-CHOOSE(ArtifactsInput!$N$40+1,5,6,7,8,9,10)/100)^(ArtifactsInput!$M$40-ArtifactsInput!$M$40)))/100)))*(1+(Inputs!$B$24+((C1989=TRUE)*(F1989-Calc!F26))+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1986=TRUE)*(F1986-Calc!F23))+((C1990=TRUE)*(F1990-Calc!F27))+(((IF(AND(ArtifactsInput!$M$42,((Inputs!$B$9+((C1982=TRUE)*(F1982-Calc!F19))+B1993+(ArtifactsInput!$M$24-ArtifactsInput!$M$24)*CHOOSE(ArtifactsInput!$N$24+1,10,12,14,16,18,20)+IF(ArtifactsInput!$M$10,CHOOSE(ArtifactsInput!$N$10+1,15,18,21,24,27,30)*(IF(Inputs!$B$38="pvp",MIN(15,15)/15,IF(AND(Inputs!$B$38&lt;&gt;"pvp",Inputs!$B$43&gt;0),MIN(15,Inputs!$B$43)/(Inputs!$B$43),0))),0)))&gt;=100),MIN(100,((Inputs!$B$9+((C1982=TRUE)*(F1982-Calc!F19))+B1993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1993+(ArtifactsInput!$M$24-ArtifactsInput!$M$24)*CHOOSE(ArtifactsInput!$N$24+1,10,12,14,16,18,20)+IF(ArtifactsInput!$M$10,CHOOSE(ArtifactsInput!$N$10+1,15,18,21,24,27,30)*(IF(Inputs!$B$38="pvp",MIN(15,15)/15,IF(AND(Inputs!$B$38&lt;&gt;"pvp",Inputs!$B$43&gt;0),MIN(15,Inputs!$B$43)/(Inputs!$B$43),0))),0)))&gt;=100),CHOOSE(ArtifactsInput!$N$42+1,40,48,56,64,72,80),0))))/100)*((1+(((C1980=TRUE)*F1980)+((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1965)</f>
        <v/>
      </c>
      <c r="L1965">
        <f>K1965*(MIN(Inputs!$B$22+((C1985=TRUE)*(F1985-Calc!F22)),(Inputs!$B$23+0+(IF(ArtifactsInput!$M$15,CHOOSE(ArtifactsInput!$N$15+1,25,30,35,40,45,50)/100*(Inputs!$B$11-Inputs!$B$11),0))))/100+(Inputs!$B$23+0+(IF(ArtifactsInput!$M$15,CHOOSE(ArtifactsInput!$N$15+1,25,30,35,40,45,50)/100*(Inputs!$B$11-Inputs!$B$11),0)))/100)/2</f>
        <v/>
      </c>
      <c r="M1965">
        <f>L1965*(1+(Inputs!$B$10+((C1988=TRUE)*(F1988-Calc!F25))+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5">
        <f>L1965*(1-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1965*(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5">
        <f>(1-Summary!$B$11)*T1965+Summary!$B$11*V1965</f>
        <v/>
      </c>
      <c r="P1965">
        <f>IF(B2003=0,0,O1965/B2003)</f>
        <v/>
      </c>
      <c r="Q1965" t="n">
        <v>0</v>
      </c>
      <c r="R1965" t="n">
        <v>0</v>
      </c>
      <c r="S1965">
        <f>IFERROR(O1965/N1965,0)</f>
        <v/>
      </c>
      <c r="T1965">
        <f>IF(C1965,(Skills!G2*N1965*B1997)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1965*(1-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1965*(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1965*(1-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1965*(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5">
        <f>MAX(0,(Inputs!$B$3-100)*3)+Inputs!$B$28+Inputs!$B$29</f>
        <v/>
      </c>
      <c r="V1965">
        <f>IF(C1965,(Skills!G2*N1965*B1997)*IF(Inputs!$B$38="pvp",1,(1+(Inputs!$B$21+Skills!Q2+(IF(ArtifactsInput!$M$33,CHOOSE(ArtifactsInput!$N$33+1,30,36,42,48,54,60),0))+(IF(AND(ArtifactsInput!$M$35,Inputs!$B$4&lt;&gt;"Chapter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6">
      <c r="A1966">
        <f>Skills!A3</f>
        <v/>
      </c>
      <c r="B1966">
        <f>Skills!B3</f>
        <v/>
      </c>
      <c r="C1966">
        <f>Inputs!$B$3&gt;=35</f>
        <v/>
      </c>
      <c r="D1966">
        <f>IF(Skills!C3=1,60+Inputs!$B$25+Inputs!$B$29,IF(Skills!C3=2,90+Inputs!$B$26+Inputs!$B$29,IF(Skills!C3=3,120+Inputs!$B$27+Inputs!$B$29,MAX(0,(Inputs!$B$3-100)*3)+Inputs!$B$28+Inputs!$B$29)))</f>
        <v/>
      </c>
      <c r="E1966">
        <f>INDEX(FactorTable!$B$2:$Y$301, MATCH(ROUND(MIN(300,MAX(1,D1966)),0), FactorTable!$A$2:$A$301,0), Skills!M3+1)</f>
        <v/>
      </c>
      <c r="F1966">
        <f>IF(Skills!N3=TRUE,(Skills!L3/10)*(E1966/1000),Skills!L3/10)+Skills!O3</f>
        <v/>
      </c>
      <c r="G1966">
        <f>Skills!G3*IF(Skills!H3&gt;0,Skills!I3/Skills!H3,1)</f>
        <v/>
      </c>
      <c r="H1966">
        <f>1-(1-Skills!J3/100)^Skills!K3</f>
        <v/>
      </c>
      <c r="I1966" t="inlineStr">
        <is>
          <t>1</t>
        </is>
      </c>
      <c r="J1966">
        <f>((Inputs!$B$6*(1+Inputs!$B$7/100))+(((Inputs!$B$12*(1+Inputs!$B$13/100))-(Inputs!$B$12*(1+Inputs!$B$13/100)))+0.25*(Inputs!$B$14-Inputs!$B$14))*(1+Inputs!$B$7/100))*(F1966/100)</f>
        <v/>
      </c>
      <c r="K1966">
        <f>J1966*(1+((Inputs!$B$12*(1+Inputs!$B$13/100))*0.01+Inputs!$B$14*0.0025)/100)*(1+Inputs!$B$15/100)*(1+Inputs!$B$16/100)*(5000/(6000+Inputs!$B$42*(1-(100*(1-(1-(Inputs!$B$19+0)/100)*(1-CHOOSE(ArtifactsInput!$N$40+1,5,6,7,8,9,10)/100)^(ArtifactsInput!$M$40-ArtifactsInput!$M$40)))/100)))*(1+(Inputs!$B$24+((C1989=TRUE)*(F1989-Calc!F26))+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1978=TRUE,F1978,0)/100)*(1+(IF(Skills!A3="EIGHT_LEGS_EASTON",Inputs!$B$17+((C1986=TRUE)*(F1986-Calc!F23))+((C1990=TRUE)*(F1990-Calc!F27))+(((IF(AND(ArtifactsInput!$M$42,((Inputs!$B$9+((C1982=TRUE)*(F1982-Calc!F19))+B1993+(ArtifactsInput!$M$24-ArtifactsInput!$M$24)*CHOOSE(ArtifactsInput!$N$24+1,10,12,14,16,18,20)+IF(ArtifactsInput!$M$10,CHOOSE(ArtifactsInput!$N$10+1,15,18,21,24,27,30)*(IF(Inputs!$B$38="pvp",MIN(15,15)/15,IF(AND(Inputs!$B$38&lt;&gt;"pvp",Inputs!$B$43&gt;0),MIN(15,Inputs!$B$43)/(Inputs!$B$43),0))),0)))&gt;=100),MIN(100,((Inputs!$B$9+((C1982=TRUE)*(F1982-Calc!F19))+B1993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1993+(ArtifactsInput!$M$24-ArtifactsInput!$M$24)*CHOOSE(ArtifactsInput!$N$24+1,10,12,14,16,18,20)+IF(ArtifactsInput!$M$10,CHOOSE(ArtifactsInput!$N$10+1,15,18,21,24,27,30)*(IF(Inputs!$B$38="pvp",MIN(15,15)/15,IF(AND(Inputs!$B$38&lt;&gt;"pvp",Inputs!$B$43&gt;0),MIN(15,Inputs!$B$43)/(Inputs!$B$43),0))),0)))&gt;=100),CHOOSE(ArtifactsInput!$N$42+1,40,48,56,64,72,80),0))))/100)*((1+(((C1980=TRUE)*F1980)+((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1966)</f>
        <v/>
      </c>
      <c r="L1966">
        <f>K1966*(MIN(Inputs!$B$22+((C1985=TRUE)*(F1985-Calc!F22)),(Inputs!$B$23+0+(IF(ArtifactsInput!$M$15,CHOOSE(ArtifactsInput!$N$15+1,25,30,35,40,45,50)/100*(Inputs!$B$11-Inputs!$B$11),0))))/100+(Inputs!$B$23+0+(IF(ArtifactsInput!$M$15,CHOOSE(ArtifactsInput!$N$15+1,25,30,35,40,45,50)/100*(Inputs!$B$11-Inputs!$B$11),0)))/100)/2</f>
        <v/>
      </c>
      <c r="M1966">
        <f>L1966*(1+(Inputs!$B$10+((C1988=TRUE)*(F1988-Calc!F25))+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6">
        <f>L1966*(1-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1966*(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6">
        <f>(1-Summary!$B$11)*T1966+Summary!$B$11*V1966</f>
        <v/>
      </c>
      <c r="P1966">
        <f>IF(B2003=0,0,O1966/B2003)</f>
        <v/>
      </c>
      <c r="Q1966">
        <f>IFERROR(1/(IF(Inputs!$B$38="pvp",15,MAX(0.1,Skills!D3-IF(Skills!E3=TRUE,Inputs!$B$32,0)))*(1-IF(AND(ArtifactsInput!$M$27,Inputs!$B$4="Chapter Hunt"),CHOOSE(ArtifactsInput!$N$27+1,20,24,28,32,36,40),0)/100)),0)</f>
        <v/>
      </c>
      <c r="R1966">
        <f>IF(AND(Inputs!$B$38&lt;&gt;"pvp",Inputs!$B$43&gt;0),IF(MAX(0,Inputs!$B$43-B2000)&lt;=0,0,(INT(MAX(0,Inputs!$B$43-B2000)/(IF(Inputs!$B$38="pvp",15,MAX(0.1,Skills!D3-IF(Skills!E3=TRUE,Inputs!$B$32,0)))*(1-IF(AND(ArtifactsInput!$M$27,Inputs!$B$4="Chapter Hunt"),CHOOSE(ArtifactsInput!$N$27+1,20,24,28,32,36,40),0)/100)))+1)),0)</f>
        <v/>
      </c>
      <c r="S1966">
        <f>IFERROR(O1966/N1966,0)</f>
        <v/>
      </c>
      <c r="T1966">
        <f>IF(C1966,(H1966*N1966*IF(AND(Inputs!$B$38&lt;&gt;"pvp",Inputs!$B$43&gt;0),((Skills!G3*((R1966-1)*IF(Skills!H3&gt;0,Skills!I3/Skills!H3,1)+IF(Skills!H3&gt;0,MIN(Skills!I3,MAX(0,MAX(0,Inputs!$B$43-B2000)-((R1966-1)*(IF(Inputs!$B$38="pvp",15,MAX(0.1,Skills!D3-IF(Skills!E3=TRUE,Inputs!$B$32,0)))*(1-IF(AND(ArtifactsInput!$M$27,Inputs!$B$4="Chapter Hunt"),CHOOSE(ArtifactsInput!$N$27+1,20,24,28,32,36,40),0)/100)))))/Skills!H3,1)))/Inputs!$B$43),G1966*Q1966)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1966*(1-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1966*(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1966*(1-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1966*(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6">
        <f>INDEX(FactorTable!$B$2:$Y$301, MATCH(ROUND(MIN(300,MAX(1,U1965)),0), FactorTable!$A$2:$A$301,0), 22)</f>
        <v/>
      </c>
      <c r="V1966">
        <f>IF(C1966,(H1966*N1966*IF(AND(Inputs!$B$38&lt;&gt;"pvp",Inputs!$B$43&gt;0),((Skills!G3*((R1966-1)*IF(Skills!H3&gt;0,Skills!I3/Skills!H3,1)+IF(Skills!H3&gt;0,MIN(Skills!I3,MAX(0,MAX(0,Inputs!$B$43-B2000)-((R1966-1)*(IF(Inputs!$B$38="pvp",15,MAX(0.1,Skills!D3-IF(Skills!E3=TRUE,Inputs!$B$32,0)))*(1-IF(AND(ArtifactsInput!$M$27,Inputs!$B$4="Chapter Hunt"),CHOOSE(ArtifactsInput!$N$27+1,20,24,28,32,36,40),0)/100)))))/Skills!H3,1)))/Inputs!$B$43),G1966*Q1966))*IF(Inputs!$B$38="pvp",1,(1+(Inputs!$B$21+Skills!Q3+(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7">
      <c r="A1967">
        <f>Skills!A4</f>
        <v/>
      </c>
      <c r="B1967">
        <f>Skills!B4</f>
        <v/>
      </c>
      <c r="C1967">
        <f>Inputs!$B$3&gt;=40</f>
        <v/>
      </c>
      <c r="D1967">
        <f>IF(Skills!C4=1,60+Inputs!$B$25+Inputs!$B$29,IF(Skills!C4=2,90+Inputs!$B$26+Inputs!$B$29,IF(Skills!C4=3,120+Inputs!$B$27+Inputs!$B$29,MAX(0,(Inputs!$B$3-100)*3)+Inputs!$B$28+Inputs!$B$29)))</f>
        <v/>
      </c>
      <c r="E1967">
        <f>INDEX(FactorTable!$B$2:$Y$301, MATCH(ROUND(MIN(300,MAX(1,D1967)),0), FactorTable!$A$2:$A$301,0), Skills!M4+1)</f>
        <v/>
      </c>
      <c r="F1967">
        <f>IF(Skills!N4=TRUE,(Skills!L4/10)*(E1967/1000),Skills!L4/10)+Skills!O4</f>
        <v/>
      </c>
      <c r="G1967">
        <f>Skills!G4*IF(Skills!H4&gt;0,Skills!I4/Skills!H4,1)</f>
        <v/>
      </c>
      <c r="H1967">
        <f>1-(1-Skills!J4/100)^Skills!K4</f>
        <v/>
      </c>
      <c r="I1967" t="inlineStr">
        <is>
          <t>1</t>
        </is>
      </c>
      <c r="J1967">
        <f>((Inputs!$B$6*(1+Inputs!$B$7/100))+(((Inputs!$B$12*(1+Inputs!$B$13/100))-(Inputs!$B$12*(1+Inputs!$B$13/100)))+0.25*(Inputs!$B$14-Inputs!$B$14))*(1+Inputs!$B$7/100))*(F1967/100)</f>
        <v/>
      </c>
      <c r="K1967">
        <f>J1967*(1+((Inputs!$B$12*(1+Inputs!$B$13/100))*0.01+Inputs!$B$14*0.0025)/100)*(1+Inputs!$B$15/100)*(1+Inputs!$B$16/100)*(5000/(6000+Inputs!$B$42*(1-(100*(1-(1-(Inputs!$B$19+0)/100)*(1-CHOOSE(ArtifactsInput!$N$40+1,5,6,7,8,9,10)/100)^(ArtifactsInput!$M$40-ArtifactsInput!$M$40)))/100)))*(1+(Inputs!$B$24+((C1989=TRUE)*(F1989-Calc!F26))+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1979=TRUE,F1979,0)/100)*(1+(IF(Skills!A4="EIGHT_LEGS_EASTON",Inputs!$B$17+((C1986=TRUE)*(F1986-Calc!F23))+((C1990=TRUE)*(F1990-Calc!F27))+(((IF(AND(ArtifactsInput!$M$42,((Inputs!$B$9+((C1982=TRUE)*(F1982-Calc!F19))+B1993+(ArtifactsInput!$M$24-ArtifactsInput!$M$24)*CHOOSE(ArtifactsInput!$N$24+1,10,12,14,16,18,20)+IF(ArtifactsInput!$M$10,CHOOSE(ArtifactsInput!$N$10+1,15,18,21,24,27,30)*(IF(Inputs!$B$38="pvp",MIN(15,15)/15,IF(AND(Inputs!$B$38&lt;&gt;"pvp",Inputs!$B$43&gt;0),MIN(15,Inputs!$B$43)/(Inputs!$B$43),0))),0)))&gt;=100),MIN(100,((Inputs!$B$9+((C1982=TRUE)*(F1982-Calc!F19))+B1993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1993+(ArtifactsInput!$M$24-ArtifactsInput!$M$24)*CHOOSE(ArtifactsInput!$N$24+1,10,12,14,16,18,20)+IF(ArtifactsInput!$M$10,CHOOSE(ArtifactsInput!$N$10+1,15,18,21,24,27,30)*(IF(Inputs!$B$38="pvp",MIN(15,15)/15,IF(AND(Inputs!$B$38&lt;&gt;"pvp",Inputs!$B$43&gt;0),MIN(15,Inputs!$B$43)/(Inputs!$B$43),0))),0)))&gt;=100),CHOOSE(ArtifactsInput!$N$42+1,40,48,56,64,72,80),0))))/100)*((1+(((C1980=TRUE)*F1980)+((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1967)</f>
        <v/>
      </c>
      <c r="L1967">
        <f>K1967*(MIN(Inputs!$B$22+((C1985=TRUE)*(F1985-Calc!F22)),(Inputs!$B$23+0+(IF(ArtifactsInput!$M$15,CHOOSE(ArtifactsInput!$N$15+1,25,30,35,40,45,50)/100*(Inputs!$B$11-Inputs!$B$11),0))))/100+(Inputs!$B$23+0+(IF(ArtifactsInput!$M$15,CHOOSE(ArtifactsInput!$N$15+1,25,30,35,40,45,50)/100*(Inputs!$B$11-Inputs!$B$11),0)))/100)/2</f>
        <v/>
      </c>
      <c r="M1967">
        <f>L1967*(1+(Inputs!$B$10+((C1988=TRUE)*(F1988-Calc!F25))+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7">
        <f>L1967*(1-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1967*(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7">
        <f>(1-Summary!$B$11)*T1967+Summary!$B$11*V1967</f>
        <v/>
      </c>
      <c r="P1967">
        <f>IF(B2003=0,0,O1967/B2003)</f>
        <v/>
      </c>
      <c r="Q1967">
        <f>IFERROR(1/(IF(Inputs!$B$38="pvp",15,MAX(0.1,Skills!D4-IF(Skills!E4=TRUE,Inputs!$B$32,0)))*(1-IF(AND(ArtifactsInput!$M$27,Inputs!$B$4="Chapter Hunt"),CHOOSE(ArtifactsInput!$N$27+1,20,24,28,32,36,40),0)/100)),0)</f>
        <v/>
      </c>
      <c r="R1967">
        <f>IF(AND(Inputs!$B$38&lt;&gt;"pvp",Inputs!$B$43&gt;0),IF(MAX(0,Inputs!$B$43-B2000)&lt;=0,0,(INT(MAX(0,Inputs!$B$43-B2000)/(IF(Inputs!$B$38="pvp",15,MAX(0.1,Skills!D4-IF(Skills!E4=TRUE,Inputs!$B$32,0)))*(1-IF(AND(ArtifactsInput!$M$27,Inputs!$B$4="Chapter Hunt"),CHOOSE(ArtifactsInput!$N$27+1,20,24,28,32,36,40),0)/100)))+1)),0)</f>
        <v/>
      </c>
      <c r="S1967">
        <f>IFERROR(O1967/N1967,0)</f>
        <v/>
      </c>
      <c r="T1967">
        <f>IF(C1967,(H1967*N1967*IF(AND(Inputs!$B$38&lt;&gt;"pvp",Inputs!$B$43&gt;0),((Skills!G4*((R1967-1)*IF(Skills!H4&gt;0,Skills!I4/Skills!H4,1)+IF(Skills!H4&gt;0,MIN(Skills!I4,MAX(0,MAX(0,Inputs!$B$43-B2000)-((R1967-1)*(IF(Inputs!$B$38="pvp",15,MAX(0.1,Skills!D4-IF(Skills!E4=TRUE,Inputs!$B$32,0)))*(1-IF(AND(ArtifactsInput!$M$27,Inputs!$B$4="Chapter Hunt"),CHOOSE(ArtifactsInput!$N$27+1,20,24,28,32,36,40),0)/100)))))/Skills!H4,1)))/Inputs!$B$43),G1967*Q1967)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1967*(1-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1967*(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1967*(1-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1967*(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7">
        <f>290*U1966/1000</f>
        <v/>
      </c>
      <c r="V1967">
        <f>IF(C1967,(H1967*N1967*IF(AND(Inputs!$B$38&lt;&gt;"pvp",Inputs!$B$43&gt;0),((Skills!G4*((R1967-1)*IF(Skills!H4&gt;0,Skills!I4/Skills!H4,1)+IF(Skills!H4&gt;0,MIN(Skills!I4,MAX(0,MAX(0,Inputs!$B$43-B2000)-((R1967-1)*(IF(Inputs!$B$38="pvp",15,MAX(0.1,Skills!D4-IF(Skills!E4=TRUE,Inputs!$B$32,0)))*(1-IF(AND(ArtifactsInput!$M$27,Inputs!$B$4="Chapter Hunt"),CHOOSE(ArtifactsInput!$N$27+1,20,24,28,32,36,40),0)/100)))))/Skills!H4,1)))/Inputs!$B$43),G1967*Q1967))*IF(Inputs!$B$38="pvp",1,(1+(Inputs!$B$21+Skills!Q4+(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8">
      <c r="A1968">
        <f>Skills!A5</f>
        <v/>
      </c>
      <c r="B1968">
        <f>Skills!B5</f>
        <v/>
      </c>
      <c r="C1968">
        <f>Inputs!$B$3&gt;=45</f>
        <v/>
      </c>
      <c r="D1968">
        <f>IF(Skills!C5=1,60+Inputs!$B$25+Inputs!$B$29,IF(Skills!C5=2,90+Inputs!$B$26+Inputs!$B$29,IF(Skills!C5=3,120+Inputs!$B$27+Inputs!$B$29,MAX(0,(Inputs!$B$3-100)*3)+Inputs!$B$28+Inputs!$B$29)))</f>
        <v/>
      </c>
      <c r="E1968">
        <f>INDEX(FactorTable!$B$2:$Y$301, MATCH(ROUND(MIN(300,MAX(1,D1968)),0), FactorTable!$A$2:$A$301,0), Skills!M5+1)</f>
        <v/>
      </c>
      <c r="F1968">
        <f>IF(Skills!N5=TRUE,(Skills!L5/10)*(E1968/1000),Skills!L5/10)+Skills!O5</f>
        <v/>
      </c>
      <c r="G1968">
        <f>Skills!G5*IF(Skills!H5&gt;0,Skills!I5/Skills!H5,1)</f>
        <v/>
      </c>
      <c r="H1968">
        <f>1-(1-Skills!J5/100)^Skills!K5</f>
        <v/>
      </c>
      <c r="I1968" t="inlineStr">
        <is>
          <t>1</t>
        </is>
      </c>
      <c r="J1968">
        <f>((Inputs!$B$6*(1+Inputs!$B$7/100))+(((Inputs!$B$12*(1+Inputs!$B$13/100))-(Inputs!$B$12*(1+Inputs!$B$13/100)))+0.25*(Inputs!$B$14-Inputs!$B$14))*(1+Inputs!$B$7/100))*(F1968/100)</f>
        <v/>
      </c>
      <c r="K1968">
        <f>J1968*(1+((Inputs!$B$12*(1+Inputs!$B$13/100))*0.01+Inputs!$B$14*0.0025)/100)*(1+Inputs!$B$15/100)*(1+Inputs!$B$16/100)*(5000/(6000+Inputs!$B$42*(1-(100*(1-(1-(Inputs!$B$19+0)/100)*(1-CHOOSE(ArtifactsInput!$N$40+1,5,6,7,8,9,10)/100)^(ArtifactsInput!$M$40-ArtifactsInput!$M$40)))/100)))*(1+(Inputs!$B$24+((C1989=TRUE)*(F1989-Calc!F26))+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1979=TRUE,F1979,0)/100)*(1+(IF(Skills!A5="EIGHT_LEGS_EASTON",Inputs!$B$17+((C1986=TRUE)*(F1986-Calc!F23))+((C1990=TRUE)*(F1990-Calc!F27))+(((IF(AND(ArtifactsInput!$M$42,((Inputs!$B$9+((C1982=TRUE)*(F1982-Calc!F19))+B1993+(ArtifactsInput!$M$24-ArtifactsInput!$M$24)*CHOOSE(ArtifactsInput!$N$24+1,10,12,14,16,18,20)+IF(ArtifactsInput!$M$10,CHOOSE(ArtifactsInput!$N$10+1,15,18,21,24,27,30)*(IF(Inputs!$B$38="pvp",MIN(15,15)/15,IF(AND(Inputs!$B$38&lt;&gt;"pvp",Inputs!$B$43&gt;0),MIN(15,Inputs!$B$43)/(Inputs!$B$43),0))),0)))&gt;=100),MIN(100,((Inputs!$B$9+((C1982=TRUE)*(F1982-Calc!F19))+B1993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1993+(ArtifactsInput!$M$24-ArtifactsInput!$M$24)*CHOOSE(ArtifactsInput!$N$24+1,10,12,14,16,18,20)+IF(ArtifactsInput!$M$10,CHOOSE(ArtifactsInput!$N$10+1,15,18,21,24,27,30)*(IF(Inputs!$B$38="pvp",MIN(15,15)/15,IF(AND(Inputs!$B$38&lt;&gt;"pvp",Inputs!$B$43&gt;0),MIN(15,Inputs!$B$43)/(Inputs!$B$43),0))),0)))&gt;=100),CHOOSE(ArtifactsInput!$N$42+1,40,48,56,64,72,80),0))))/100)*((1+(((C1980=TRUE)*F1980)+((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1968)</f>
        <v/>
      </c>
      <c r="L1968">
        <f>K1968*(MIN(Inputs!$B$22+((C1985=TRUE)*(F1985-Calc!F22)),(Inputs!$B$23+0+(IF(ArtifactsInput!$M$15,CHOOSE(ArtifactsInput!$N$15+1,25,30,35,40,45,50)/100*(Inputs!$B$11-Inputs!$B$11),0))))/100+(Inputs!$B$23+0+(IF(ArtifactsInput!$M$15,CHOOSE(ArtifactsInput!$N$15+1,25,30,35,40,45,50)/100*(Inputs!$B$11-Inputs!$B$11),0)))/100)/2</f>
        <v/>
      </c>
      <c r="M1968">
        <f>L1968*(1+(Inputs!$B$10+((C1988=TRUE)*(F1988-Calc!F25))+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8">
        <f>L1968*(1-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1968*(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8">
        <f>(1-Summary!$B$11)*T1968+Summary!$B$11*V1968</f>
        <v/>
      </c>
      <c r="P1968">
        <f>IF(B2003=0,0,O1968/B2003)</f>
        <v/>
      </c>
      <c r="Q1968">
        <f>IFERROR(1/(IF(Inputs!$B$38="pvp",15,MAX(0.1,Skills!D5-IF(Skills!E5=TRUE,Inputs!$B$32,0)))*(1-IF(AND(ArtifactsInput!$M$27,Inputs!$B$4="Chapter Hunt"),CHOOSE(ArtifactsInput!$N$27+1,20,24,28,32,36,40),0)/100)),0)</f>
        <v/>
      </c>
      <c r="R1968">
        <f>IF(AND(Inputs!$B$38&lt;&gt;"pvp",Inputs!$B$43&gt;0),IF(MAX(0,Inputs!$B$43-B2000)&lt;=0,0,(INT(MAX(0,Inputs!$B$43-B2000)/(IF(Inputs!$B$38="pvp",15,MAX(0.1,Skills!D5-IF(Skills!E5=TRUE,Inputs!$B$32,0)))*(1-IF(AND(ArtifactsInput!$M$27,Inputs!$B$4="Chapter Hunt"),CHOOSE(ArtifactsInput!$N$27+1,20,24,28,32,36,40),0)/100)))+1)),0)</f>
        <v/>
      </c>
      <c r="S1968">
        <f>IFERROR(O1968/N1968,0)</f>
        <v/>
      </c>
      <c r="T1968">
        <f>IF(C1968,(H1968*N1968*IF(AND(Inputs!$B$38&lt;&gt;"pvp",Inputs!$B$43&gt;0),((Skills!G5*((R1968-1)*IF(Skills!H5&gt;0,Skills!I5/Skills!H5,1)+IF(Skills!H5&gt;0,MIN(Skills!I5,MAX(0,MAX(0,Inputs!$B$43-B2000)-((R1968-1)*(IF(Inputs!$B$38="pvp",15,MAX(0.1,Skills!D5-IF(Skills!E5=TRUE,Inputs!$B$32,0)))*(1-IF(AND(ArtifactsInput!$M$27,Inputs!$B$4="Chapter Hunt"),CHOOSE(ArtifactsInput!$N$27+1,20,24,28,32,36,40),0)/100)))))/Skills!H5,1)))/Inputs!$B$43),G1968*Q1968)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1968*(1-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1968*(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1968*(1-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1968*(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8">
        <f>IF(C1968,(H1968*N1968*IF(AND(Inputs!$B$38&lt;&gt;"pvp",Inputs!$B$43&gt;0),((Skills!G5*((R1968-1)*IF(Skills!H5&gt;0,Skills!I5/Skills!H5,1)+IF(Skills!H5&gt;0,MIN(Skills!I5,MAX(0,MAX(0,Inputs!$B$43-B2000)-((R1968-1)*(IF(Inputs!$B$38="pvp",15,MAX(0.1,Skills!D5-IF(Skills!E5=TRUE,Inputs!$B$32,0)))*(1-IF(AND(ArtifactsInput!$M$27,Inputs!$B$4="Chapter Hunt"),CHOOSE(ArtifactsInput!$N$27+1,20,24,28,32,36,40),0)/100)))))/Skills!H5,1)))/Inputs!$B$43),G1968*Q1968))*IF(Inputs!$B$38="pvp",1,(1+(Inputs!$B$21+Skills!Q5+(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9">
      <c r="A1969">
        <f>Skills!A6</f>
        <v/>
      </c>
      <c r="B1969">
        <f>Skills!B6</f>
        <v/>
      </c>
      <c r="C1969">
        <f>Inputs!$B$3&gt;=63</f>
        <v/>
      </c>
      <c r="D1969">
        <f>IF(Skills!C6=1,60+Inputs!$B$25+Inputs!$B$29,IF(Skills!C6=2,90+Inputs!$B$26+Inputs!$B$29,IF(Skills!C6=3,120+Inputs!$B$27+Inputs!$B$29,MAX(0,(Inputs!$B$3-100)*3)+Inputs!$B$28+Inputs!$B$29)))</f>
        <v/>
      </c>
      <c r="E1969">
        <f>INDEX(FactorTable!$B$2:$Y$301, MATCH(ROUND(MIN(300,MAX(1,D1969)),0), FactorTable!$A$2:$A$301,0), Skills!M6+1)</f>
        <v/>
      </c>
      <c r="F1969">
        <f>IF(Skills!N6=TRUE,(Skills!L6/10)*(E1969/1000),Skills!L6/10)+Skills!O6</f>
        <v/>
      </c>
      <c r="G1969">
        <f>Skills!G6*IF(Skills!H6&gt;0,Skills!I6/Skills!H6,1)</f>
        <v/>
      </c>
      <c r="H1969">
        <f>1-(1-Skills!J6/100)^Skills!K6</f>
        <v/>
      </c>
      <c r="I1969" t="inlineStr">
        <is>
          <t>1</t>
        </is>
      </c>
      <c r="J1969">
        <f>((Inputs!$B$6*(1+Inputs!$B$7/100))+(((Inputs!$B$12*(1+Inputs!$B$13/100))-(Inputs!$B$12*(1+Inputs!$B$13/100)))+0.25*(Inputs!$B$14-Inputs!$B$14))*(1+Inputs!$B$7/100))*(F1969/100)</f>
        <v/>
      </c>
      <c r="K1969">
        <f>J1969*(1+((Inputs!$B$12*(1+Inputs!$B$13/100))*0.01+Inputs!$B$14*0.0025)/100)*(1+Inputs!$B$15/100)*(1+Inputs!$B$16/100)*(5000/(6000+Inputs!$B$42*(1-(100*(1-(1-(Inputs!$B$19+0)/100)*(1-CHOOSE(ArtifactsInput!$N$40+1,5,6,7,8,9,10)/100)^(ArtifactsInput!$M$40-ArtifactsInput!$M$40)))/100)))*(1+(Inputs!$B$24+((C1989=TRUE)*(F1989-Calc!F26))+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1978=TRUE,F1978,0)/100)*(1+(IF(Skills!A6="EIGHT_LEGS_EASTON",Inputs!$B$17+((C1986=TRUE)*(F1986-Calc!F23))+((C1990=TRUE)*(F1990-Calc!F27))+(((IF(AND(ArtifactsInput!$M$42,((Inputs!$B$9+((C1982=TRUE)*(F1982-Calc!F19))+B1993+(ArtifactsInput!$M$24-ArtifactsInput!$M$24)*CHOOSE(ArtifactsInput!$N$24+1,10,12,14,16,18,20)+IF(ArtifactsInput!$M$10,CHOOSE(ArtifactsInput!$N$10+1,15,18,21,24,27,30)*(IF(Inputs!$B$38="pvp",MIN(15,15)/15,IF(AND(Inputs!$B$38&lt;&gt;"pvp",Inputs!$B$43&gt;0),MIN(15,Inputs!$B$43)/(Inputs!$B$43),0))),0)))&gt;=100),MIN(100,((Inputs!$B$9+((C1982=TRUE)*(F1982-Calc!F19))+B1993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1993+(ArtifactsInput!$M$24-ArtifactsInput!$M$24)*CHOOSE(ArtifactsInput!$N$24+1,10,12,14,16,18,20)+IF(ArtifactsInput!$M$10,CHOOSE(ArtifactsInput!$N$10+1,15,18,21,24,27,30)*(IF(Inputs!$B$38="pvp",MIN(15,15)/15,IF(AND(Inputs!$B$38&lt;&gt;"pvp",Inputs!$B$43&gt;0),MIN(15,Inputs!$B$43)/(Inputs!$B$43),0))),0)))&gt;=100),CHOOSE(ArtifactsInput!$N$42+1,40,48,56,64,72,80),0))))/100)*((1+(((C1980=TRUE)*F1980)+((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1969)</f>
        <v/>
      </c>
      <c r="L1969">
        <f>K1969*(MIN(Inputs!$B$22+((C1985=TRUE)*(F1985-Calc!F22)),(Inputs!$B$23+0+(IF(ArtifactsInput!$M$15,CHOOSE(ArtifactsInput!$N$15+1,25,30,35,40,45,50)/100*(Inputs!$B$11-Inputs!$B$11),0))))/100+(Inputs!$B$23+0+(IF(ArtifactsInput!$M$15,CHOOSE(ArtifactsInput!$N$15+1,25,30,35,40,45,50)/100*(Inputs!$B$11-Inputs!$B$11),0)))/100)/2</f>
        <v/>
      </c>
      <c r="M1969">
        <f>L1969*(1+(Inputs!$B$10+((C1988=TRUE)*(F1988-Calc!F25))+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9">
        <f>L1969*(1-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1969*(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9">
        <f>(1-Summary!$B$11)*T1969+Summary!$B$11*V1969</f>
        <v/>
      </c>
      <c r="P1969">
        <f>IF(B2003=0,0,O1969/B2003)</f>
        <v/>
      </c>
      <c r="Q1969">
        <f>IFERROR(1/(IF(Inputs!$B$38="pvp",15,MAX(0.1,Skills!D6-IF(Skills!E6=TRUE,Inputs!$B$32,0)))*(1-IF(AND(ArtifactsInput!$M$27,Inputs!$B$4="Chapter Hunt"),CHOOSE(ArtifactsInput!$N$27+1,20,24,28,32,36,40),0)/100)),0)</f>
        <v/>
      </c>
      <c r="R1969">
        <f>IF(AND(Inputs!$B$38&lt;&gt;"pvp",Inputs!$B$43&gt;0),IF(MAX(0,Inputs!$B$43-B2000)&lt;=0,0,(INT(MAX(0,Inputs!$B$43-B2000)/(IF(Inputs!$B$38="pvp",15,MAX(0.1,Skills!D6-IF(Skills!E6=TRUE,Inputs!$B$32,0)))*(1-IF(AND(ArtifactsInput!$M$27,Inputs!$B$4="Chapter Hunt"),CHOOSE(ArtifactsInput!$N$27+1,20,24,28,32,36,40),0)/100)))+1)),0)</f>
        <v/>
      </c>
      <c r="S1969">
        <f>IFERROR(O1969/N1969,0)</f>
        <v/>
      </c>
      <c r="T1969">
        <f>IF(C1969,(H1969*N1969*IF(AND(Inputs!$B$38&lt;&gt;"pvp",Inputs!$B$43&gt;0),((Skills!G6*((R1969-1)*IF(Skills!H6&gt;0,Skills!I6/Skills!H6,1)+IF(Skills!H6&gt;0,MIN(Skills!I6,MAX(0,MAX(0,Inputs!$B$43-B2000)-((R1969-1)*(IF(Inputs!$B$38="pvp",15,MAX(0.1,Skills!D6-IF(Skills!E6=TRUE,Inputs!$B$32,0)))*(1-IF(AND(ArtifactsInput!$M$27,Inputs!$B$4="Chapter Hunt"),CHOOSE(ArtifactsInput!$N$27+1,20,24,28,32,36,40),0)/100)))))/Skills!H6,1)))/Inputs!$B$43),G1969*Q1969)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1969*(1-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1969*(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1969*(1-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1969*(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9">
        <f>IF(C1969,(H1969*N1969*IF(AND(Inputs!$B$38&lt;&gt;"pvp",Inputs!$B$43&gt;0),((Skills!G6*((R1969-1)*IF(Skills!H6&gt;0,Skills!I6/Skills!H6,1)+IF(Skills!H6&gt;0,MIN(Skills!I6,MAX(0,MAX(0,Inputs!$B$43-B2000)-((R1969-1)*(IF(Inputs!$B$38="pvp",15,MAX(0.1,Skills!D6-IF(Skills!E6=TRUE,Inputs!$B$32,0)))*(1-IF(AND(ArtifactsInput!$M$27,Inputs!$B$4="Chapter Hunt"),CHOOSE(ArtifactsInput!$N$27+1,20,24,28,32,36,40),0)/100)))))/Skills!H6,1)))/Inputs!$B$43),G1969*Q1969))*IF(Inputs!$B$38="pvp",1,(1+(Inputs!$B$21+Skills!Q6+(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0">
      <c r="A1970">
        <f>Skills!A7</f>
        <v/>
      </c>
      <c r="B1970">
        <f>Skills!B7</f>
        <v/>
      </c>
      <c r="C1970">
        <f>Inputs!$B$3&gt;=66</f>
        <v/>
      </c>
      <c r="D1970">
        <f>IF(Skills!C7=1,60+Inputs!$B$25+Inputs!$B$29,IF(Skills!C7=2,90+Inputs!$B$26+Inputs!$B$29,IF(Skills!C7=3,120+Inputs!$B$27+Inputs!$B$29,MAX(0,(Inputs!$B$3-100)*3)+Inputs!$B$28+Inputs!$B$29)))</f>
        <v/>
      </c>
      <c r="E1970">
        <f>INDEX(FactorTable!$B$2:$Y$301, MATCH(ROUND(MIN(300,MAX(1,D1970)),0), FactorTable!$A$2:$A$301,0), Skills!M7+1)</f>
        <v/>
      </c>
      <c r="F1970">
        <f>IF(Skills!N7=TRUE,(Skills!L7/10)*(E1970/1000),Skills!L7/10)+Skills!O7</f>
        <v/>
      </c>
      <c r="G1970">
        <f>Skills!G7*IF(Skills!H7&gt;0,Skills!I7/Skills!H7,1)</f>
        <v/>
      </c>
      <c r="H1970">
        <f>1-(1-Skills!J7/100)^Skills!K7</f>
        <v/>
      </c>
      <c r="I1970" t="inlineStr">
        <is>
          <t>1</t>
        </is>
      </c>
      <c r="J1970">
        <f>((Inputs!$B$6*(1+Inputs!$B$7/100))+(((Inputs!$B$12*(1+Inputs!$B$13/100))-(Inputs!$B$12*(1+Inputs!$B$13/100)))+0.25*(Inputs!$B$14-Inputs!$B$14))*(1+Inputs!$B$7/100))*(F1970/100)</f>
        <v/>
      </c>
      <c r="K1970">
        <f>J1970*(1+((Inputs!$B$12*(1+Inputs!$B$13/100))*0.01+Inputs!$B$14*0.0025)/100)*(1+Inputs!$B$15/100)*(1+Inputs!$B$16/100)*(5000/(6000+Inputs!$B$42*(1-(100*(1-(1-(Inputs!$B$19+0)/100)*(1-CHOOSE(ArtifactsInput!$N$40+1,5,6,7,8,9,10)/100)^(ArtifactsInput!$M$40-ArtifactsInput!$M$40)))/100)))*(1+(Inputs!$B$24+((C1989=TRUE)*(F1989-Calc!F26))+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1978=TRUE,F1978,0)/100)*(1+(IF(Skills!A7="EIGHT_LEGS_EASTON",Inputs!$B$17+((C1986=TRUE)*(F1986-Calc!F23))+((C1990=TRUE)*(F1990-Calc!F27))+(((IF(AND(ArtifactsInput!$M$42,((Inputs!$B$9+((C1982=TRUE)*(F1982-Calc!F19))+B1993+(ArtifactsInput!$M$24-ArtifactsInput!$M$24)*CHOOSE(ArtifactsInput!$N$24+1,10,12,14,16,18,20)+IF(ArtifactsInput!$M$10,CHOOSE(ArtifactsInput!$N$10+1,15,18,21,24,27,30)*(IF(Inputs!$B$38="pvp",MIN(15,15)/15,IF(AND(Inputs!$B$38&lt;&gt;"pvp",Inputs!$B$43&gt;0),MIN(15,Inputs!$B$43)/(Inputs!$B$43),0))),0)))&gt;=100),MIN(100,((Inputs!$B$9+((C1982=TRUE)*(F1982-Calc!F19))+B1993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1993+(ArtifactsInput!$M$24-ArtifactsInput!$M$24)*CHOOSE(ArtifactsInput!$N$24+1,10,12,14,16,18,20)+IF(ArtifactsInput!$M$10,CHOOSE(ArtifactsInput!$N$10+1,15,18,21,24,27,30)*(IF(Inputs!$B$38="pvp",MIN(15,15)/15,IF(AND(Inputs!$B$38&lt;&gt;"pvp",Inputs!$B$43&gt;0),MIN(15,Inputs!$B$43)/(Inputs!$B$43),0))),0)))&gt;=100),CHOOSE(ArtifactsInput!$N$42+1,40,48,56,64,72,80),0))))/100)*((1+(((C1980=TRUE)*F1980)+((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1970)</f>
        <v/>
      </c>
      <c r="L1970">
        <f>K1970*(MIN(Inputs!$B$22+((C1985=TRUE)*(F1985-Calc!F22)),(Inputs!$B$23+0+(IF(ArtifactsInput!$M$15,CHOOSE(ArtifactsInput!$N$15+1,25,30,35,40,45,50)/100*(Inputs!$B$11-Inputs!$B$11),0))))/100+(Inputs!$B$23+0+(IF(ArtifactsInput!$M$15,CHOOSE(ArtifactsInput!$N$15+1,25,30,35,40,45,50)/100*(Inputs!$B$11-Inputs!$B$11),0)))/100)/2</f>
        <v/>
      </c>
      <c r="M1970">
        <f>L1970*(1+(Inputs!$B$10+((C1988=TRUE)*(F1988-Calc!F25))+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0">
        <f>L1970*(1-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1970*(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0">
        <f>(1-Summary!$B$11)*T1970+Summary!$B$11*V1970</f>
        <v/>
      </c>
      <c r="P1970">
        <f>IF(B2003=0,0,O1970/B2003)</f>
        <v/>
      </c>
      <c r="Q1970">
        <f>IFERROR(1/(IF(Inputs!$B$38="pvp",15,MAX(0.1,Skills!D7-IF(Skills!E7=TRUE,Inputs!$B$32,0)))*(1-IF(AND(ArtifactsInput!$M$27,Inputs!$B$4="Chapter Hunt"),CHOOSE(ArtifactsInput!$N$27+1,20,24,28,32,36,40),0)/100)),0)</f>
        <v/>
      </c>
      <c r="R1970">
        <f>IF(AND(Inputs!$B$38&lt;&gt;"pvp",Inputs!$B$43&gt;0),IF(MAX(0,Inputs!$B$43-B2000)&lt;=0,0,(INT(MAX(0,Inputs!$B$43-B2000)/(IF(Inputs!$B$38="pvp",15,MAX(0.1,Skills!D7-IF(Skills!E7=TRUE,Inputs!$B$32,0)))*(1-IF(AND(ArtifactsInput!$M$27,Inputs!$B$4="Chapter Hunt"),CHOOSE(ArtifactsInput!$N$27+1,20,24,28,32,36,40),0)/100)))+1)),0)</f>
        <v/>
      </c>
      <c r="S1970">
        <f>IFERROR(O1970/N1970,0)</f>
        <v/>
      </c>
      <c r="T1970">
        <f>IF(C1970,(H1970*N1970*IF(AND(Inputs!$B$38&lt;&gt;"pvp",Inputs!$B$43&gt;0),((Skills!G7*((R1970-1)*IF(Skills!H7&gt;0,Skills!I7/Skills!H7,1)+IF(Skills!H7&gt;0,MIN(Skills!I7,MAX(0,MAX(0,Inputs!$B$43-B2000)-((R1970-1)*(IF(Inputs!$B$38="pvp",15,MAX(0.1,Skills!D7-IF(Skills!E7=TRUE,Inputs!$B$32,0)))*(1-IF(AND(ArtifactsInput!$M$27,Inputs!$B$4="Chapter Hunt"),CHOOSE(ArtifactsInput!$N$27+1,20,24,28,32,36,40),0)/100)))))/Skills!H7,1)))/Inputs!$B$43),G1970*Q1970)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1970*(1-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1970*(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1970*(1-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1970*(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0">
        <f>IF(C1970,(H1970*N1970*IF(AND(Inputs!$B$38&lt;&gt;"pvp",Inputs!$B$43&gt;0),((Skills!G7*((R1970-1)*IF(Skills!H7&gt;0,Skills!I7/Skills!H7,1)+IF(Skills!H7&gt;0,MIN(Skills!I7,MAX(0,MAX(0,Inputs!$B$43-B2000)-((R1970-1)*(IF(Inputs!$B$38="pvp",15,MAX(0.1,Skills!D7-IF(Skills!E7=TRUE,Inputs!$B$32,0)))*(1-IF(AND(ArtifactsInput!$M$27,Inputs!$B$4="Chapter Hunt"),CHOOSE(ArtifactsInput!$N$27+1,20,24,28,32,36,40),0)/100)))))/Skills!H7,1)))/Inputs!$B$43),G1970*Q1970))*IF(Inputs!$B$38="pvp",1,(1+(Inputs!$B$21+Skills!Q7+(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1">
      <c r="A1971">
        <f>Skills!A8</f>
        <v/>
      </c>
      <c r="B1971">
        <f>Skills!B8</f>
        <v/>
      </c>
      <c r="C1971">
        <f>Inputs!$B$3&gt;=100</f>
        <v/>
      </c>
      <c r="D1971">
        <f>IF(Skills!C8=1,60+Inputs!$B$25+Inputs!$B$29,IF(Skills!C8=2,90+Inputs!$B$26+Inputs!$B$29,IF(Skills!C8=3,120+Inputs!$B$27+Inputs!$B$29,MAX(0,(Inputs!$B$3-100)*3)+Inputs!$B$28+Inputs!$B$29)))</f>
        <v/>
      </c>
      <c r="E1971">
        <f>INDEX(FactorTable!$B$2:$Y$301, MATCH(ROUND(MIN(300,MAX(1,D1971)),0), FactorTable!$A$2:$A$301,0), Skills!M8+1)</f>
        <v/>
      </c>
      <c r="F1971">
        <f>IF(Skills!N8=TRUE,(Skills!L8/10)*(E1971/1000),Skills!L8/10)+Skills!O8</f>
        <v/>
      </c>
      <c r="G1971">
        <f>Skills!G8*IF(Skills!H8&gt;0,Skills!I8/Skills!H8,1)</f>
        <v/>
      </c>
      <c r="H1971">
        <f>1-(1-Skills!J8/100)^Skills!K8</f>
        <v/>
      </c>
      <c r="I1971" t="inlineStr">
        <is>
          <t>1</t>
        </is>
      </c>
      <c r="J1971">
        <f>((Inputs!$B$6*(1+Inputs!$B$7/100))+(((Inputs!$B$12*(1+Inputs!$B$13/100))-(Inputs!$B$12*(1+Inputs!$B$13/100)))+0.25*(Inputs!$B$14-Inputs!$B$14))*(1+Inputs!$B$7/100))*(F1971/100)</f>
        <v/>
      </c>
      <c r="K1971">
        <f>J1971*(1+((Inputs!$B$12*(1+Inputs!$B$13/100))*0.01+Inputs!$B$14*0.0025)/100)*(1+Inputs!$B$15/100)*(1+Inputs!$B$16/100)*(5000/(6000+Inputs!$B$42*(1-(100*(1-(1-(Inputs!$B$19+0)/100)*(1-CHOOSE(ArtifactsInput!$N$40+1,5,6,7,8,9,10)/100)^(ArtifactsInput!$M$40-ArtifactsInput!$M$40)))/100)))*(1+(Inputs!$B$24+((C1989=TRUE)*(F1989-Calc!F26))+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1986=TRUE)*(F1986-Calc!F23))+((C1990=TRUE)*(F1990-Calc!F27))+(((IF(AND(ArtifactsInput!$M$42,((Inputs!$B$9+((C1982=TRUE)*(F1982-Calc!F19))+B1993+(ArtifactsInput!$M$24-ArtifactsInput!$M$24)*CHOOSE(ArtifactsInput!$N$24+1,10,12,14,16,18,20)+IF(ArtifactsInput!$M$10,CHOOSE(ArtifactsInput!$N$10+1,15,18,21,24,27,30)*(IF(Inputs!$B$38="pvp",MIN(15,15)/15,IF(AND(Inputs!$B$38&lt;&gt;"pvp",Inputs!$B$43&gt;0),MIN(15,Inputs!$B$43)/(Inputs!$B$43),0))),0)))&gt;=100),MIN(100,((Inputs!$B$9+((C1982=TRUE)*(F1982-Calc!F19))+B1993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1993+(ArtifactsInput!$M$24-ArtifactsInput!$M$24)*CHOOSE(ArtifactsInput!$N$24+1,10,12,14,16,18,20)+IF(ArtifactsInput!$M$10,CHOOSE(ArtifactsInput!$N$10+1,15,18,21,24,27,30)*(IF(Inputs!$B$38="pvp",MIN(15,15)/15,IF(AND(Inputs!$B$38&lt;&gt;"pvp",Inputs!$B$43&gt;0),MIN(15,Inputs!$B$43)/(Inputs!$B$43),0))),0)))&gt;=100),CHOOSE(ArtifactsInput!$N$42+1,40,48,56,64,72,80),0))))/100)*((1+(((C1980=TRUE)*F1980)+((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1971)</f>
        <v/>
      </c>
      <c r="L1971">
        <f>K1971*(MIN(Inputs!$B$22+((C1985=TRUE)*(F1985-Calc!F22)),(Inputs!$B$23+0+(IF(ArtifactsInput!$M$15,CHOOSE(ArtifactsInput!$N$15+1,25,30,35,40,45,50)/100*(Inputs!$B$11-Inputs!$B$11),0))))/100+(Inputs!$B$23+0+(IF(ArtifactsInput!$M$15,CHOOSE(ArtifactsInput!$N$15+1,25,30,35,40,45,50)/100*(Inputs!$B$11-Inputs!$B$11),0)))/100)/2</f>
        <v/>
      </c>
      <c r="M1971">
        <f>L1971*(1+(Inputs!$B$10+((C1988=TRUE)*(F1988-Calc!F25))+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1">
        <f>L1971*(1-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1971*(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1">
        <f>(1-Summary!$B$11)*T1971+Summary!$B$11*V1971</f>
        <v/>
      </c>
      <c r="P1971">
        <f>IF(B2003=0,0,O1971/B2003)</f>
        <v/>
      </c>
      <c r="Q1971">
        <f>IFERROR(1/(IF(Inputs!$B$38="pvp",15,MAX(0.1,Skills!D8-IF(Skills!E8=TRUE,Inputs!$B$32,0)))*(1-IF(AND(ArtifactsInput!$M$27,Inputs!$B$4="Chapter Hunt"),CHOOSE(ArtifactsInput!$N$27+1,20,24,28,32,36,40),0)/100)),0)</f>
        <v/>
      </c>
      <c r="R1971">
        <f>IF(AND(Inputs!$B$38&lt;&gt;"pvp",Inputs!$B$43&gt;0),IF(MAX(0,Inputs!$B$43-B2000)&lt;=0,0,(INT(MAX(0,Inputs!$B$43-B2000)/(IF(Inputs!$B$38="pvp",15,MAX(0.1,Skills!D8-IF(Skills!E8=TRUE,Inputs!$B$32,0)))*(1-IF(AND(ArtifactsInput!$M$27,Inputs!$B$4="Chapter Hunt"),CHOOSE(ArtifactsInput!$N$27+1,20,24,28,32,36,40),0)/100)))+1)),0)</f>
        <v/>
      </c>
      <c r="S1971">
        <f>IFERROR(O1971/N1971,0)</f>
        <v/>
      </c>
      <c r="T1971">
        <f>IF(C1971,(H1971*N1971*IF(AND(Inputs!$B$38&lt;&gt;"pvp",Inputs!$B$43&gt;0),((Skills!G8*((R1971-1)*IF(Skills!H8&gt;0,Skills!I8/Skills!H8,1)+IF(Skills!H8&gt;0,MIN(Skills!I8,MAX(0,MAX(0,Inputs!$B$43-B2000)-((R1971-1)*(IF(Inputs!$B$38="pvp",15,MAX(0.1,Skills!D8-IF(Skills!E8=TRUE,Inputs!$B$32,0)))*(1-IF(AND(ArtifactsInput!$M$27,Inputs!$B$4="Chapter Hunt"),CHOOSE(ArtifactsInput!$N$27+1,20,24,28,32,36,40),0)/100)))))/Skills!H8,1)))/Inputs!$B$43),G1971*Q1971)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1971*(1-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1">
        <f>IF(C1971,(H1971*N1971*IF(AND(Inputs!$B$38&lt;&gt;"pvp",Inputs!$B$43&gt;0),((Skills!G8*((R1971-1)*IF(Skills!H8&gt;0,Skills!I8/Skills!H8,1)+IF(Skills!H8&gt;0,MIN(Skills!I8,MAX(0,MAX(0,Inputs!$B$43-B2000)-((R1971-1)*(IF(Inputs!$B$38="pvp",15,MAX(0.1,Skills!D8-IF(Skills!E8=TRUE,Inputs!$B$32,0)))*(1-IF(AND(ArtifactsInput!$M$27,Inputs!$B$4="Chapter Hunt"),CHOOSE(ArtifactsInput!$N$27+1,20,24,28,32,36,40),0)/100)))))/Skills!H8,1)))/Inputs!$B$43),G1971*Q1971))*IF(Inputs!$B$38="pvp",1,(1+(Inputs!$B$21+Skills!Q8+(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2">
      <c r="A1972">
        <f>Skills!A9</f>
        <v/>
      </c>
      <c r="B1972">
        <f>Skills!B9</f>
        <v/>
      </c>
      <c r="C1972">
        <f>Inputs!$B$3&gt;=103</f>
        <v/>
      </c>
      <c r="D1972">
        <f>IF(Skills!C9=1,60+Inputs!$B$25+Inputs!$B$29,IF(Skills!C9=2,90+Inputs!$B$26+Inputs!$B$29,IF(Skills!C9=3,120+Inputs!$B$27+Inputs!$B$29,MAX(0,(Inputs!$B$3-100)*3)+Inputs!$B$28+Inputs!$B$29)))</f>
        <v/>
      </c>
      <c r="E1972">
        <f>INDEX(FactorTable!$B$2:$Y$301, MATCH(ROUND(MIN(300,MAX(1,D1972)),0), FactorTable!$A$2:$A$301,0), Skills!M9+1)</f>
        <v/>
      </c>
      <c r="F1972">
        <f>IF(Skills!N9=TRUE,(Skills!L9/10)*(E1972/1000),Skills!L9/10)+Skills!O9</f>
        <v/>
      </c>
      <c r="G1972">
        <f>Skills!G9*IF(Skills!H9&gt;0,Skills!I9/Skills!H9,1)</f>
        <v/>
      </c>
      <c r="H1972">
        <f>1-(1-Skills!J9/100)^Skills!K9</f>
        <v/>
      </c>
      <c r="I1972" t="inlineStr">
        <is>
          <t>1</t>
        </is>
      </c>
      <c r="J1972">
        <f>((Inputs!$B$6*(1+Inputs!$B$7/100))+(((Inputs!$B$12*(1+Inputs!$B$13/100))-(Inputs!$B$12*(1+Inputs!$B$13/100)))+0.25*(Inputs!$B$14-Inputs!$B$14))*(1+Inputs!$B$7/100))*(F1972/100)</f>
        <v/>
      </c>
      <c r="K1972">
        <f>J1972*(1+((Inputs!$B$12*(1+Inputs!$B$13/100))*0.01+Inputs!$B$14*0.0025)/100)*(1+Inputs!$B$15/100)*(1+Inputs!$B$16/100)*(5000/(6000+Inputs!$B$42*(1-(100*(1-(1-(Inputs!$B$19+0)/100)*(1-CHOOSE(ArtifactsInput!$N$40+1,5,6,7,8,9,10)/100)^(ArtifactsInput!$M$40-ArtifactsInput!$M$40)))/100)))*(1+(Inputs!$B$24+((C1989=TRUE)*(F1989-Calc!F26))+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1986=TRUE)*(F1986-Calc!F23))+((C1990=TRUE)*(F1990-Calc!F27))+(((IF(AND(ArtifactsInput!$M$42,((Inputs!$B$9+((C1982=TRUE)*(F1982-Calc!F19))+B1993+(ArtifactsInput!$M$24-ArtifactsInput!$M$24)*CHOOSE(ArtifactsInput!$N$24+1,10,12,14,16,18,20)+IF(ArtifactsInput!$M$10,CHOOSE(ArtifactsInput!$N$10+1,15,18,21,24,27,30)*(IF(Inputs!$B$38="pvp",MIN(15,15)/15,IF(AND(Inputs!$B$38&lt;&gt;"pvp",Inputs!$B$43&gt;0),MIN(15,Inputs!$B$43)/(Inputs!$B$43),0))),0)))&gt;=100),MIN(100,((Inputs!$B$9+((C1982=TRUE)*(F1982-Calc!F19))+B1993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1993+(ArtifactsInput!$M$24-ArtifactsInput!$M$24)*CHOOSE(ArtifactsInput!$N$24+1,10,12,14,16,18,20)+IF(ArtifactsInput!$M$10,CHOOSE(ArtifactsInput!$N$10+1,15,18,21,24,27,30)*(IF(Inputs!$B$38="pvp",MIN(15,15)/15,IF(AND(Inputs!$B$38&lt;&gt;"pvp",Inputs!$B$43&gt;0),MIN(15,Inputs!$B$43)/(Inputs!$B$43),0))),0)))&gt;=100),CHOOSE(ArtifactsInput!$N$42+1,40,48,56,64,72,80),0))))/100)*((1+(((C1980=TRUE)*F1980)+((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1972)</f>
        <v/>
      </c>
      <c r="L1972">
        <f>K1972*(MIN(Inputs!$B$22+((C1985=TRUE)*(F1985-Calc!F22)),(Inputs!$B$23+0+(IF(ArtifactsInput!$M$15,CHOOSE(ArtifactsInput!$N$15+1,25,30,35,40,45,50)/100*(Inputs!$B$11-Inputs!$B$11),0))))/100+(Inputs!$B$23+0+(IF(ArtifactsInput!$M$15,CHOOSE(ArtifactsInput!$N$15+1,25,30,35,40,45,50)/100*(Inputs!$B$11-Inputs!$B$11),0)))/100)/2</f>
        <v/>
      </c>
      <c r="M1972">
        <f>L1972*(1+(Inputs!$B$10+((C1988=TRUE)*(F1988-Calc!F25))+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2">
        <f>L1972*(1-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1972*(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2">
        <f>(1-Summary!$B$11)*T1972+Summary!$B$11*V1972</f>
        <v/>
      </c>
      <c r="P1972">
        <f>IF(B2003=0,0,O1972/B2003)</f>
        <v/>
      </c>
      <c r="Q1972">
        <f>IFERROR(1/(IF(Inputs!$B$38="pvp",15,MAX(0.1,Skills!D9-IF(Skills!E9=TRUE,Inputs!$B$32,0)))*(1-IF(AND(ArtifactsInput!$M$27,Inputs!$B$4="Chapter Hunt"),CHOOSE(ArtifactsInput!$N$27+1,20,24,28,32,36,40),0)/100)),0)</f>
        <v/>
      </c>
      <c r="R1972">
        <f>IF(AND(Inputs!$B$38&lt;&gt;"pvp",Inputs!$B$43&gt;0),IF(MAX(0,Inputs!$B$43-B2000)&lt;=0,0,(INT(MAX(0,Inputs!$B$43-B2000)/(IF(Inputs!$B$38="pvp",15,MAX(0.1,Skills!D9-IF(Skills!E9=TRUE,Inputs!$B$32,0)))*(1-IF(AND(ArtifactsInput!$M$27,Inputs!$B$4="Chapter Hunt"),CHOOSE(ArtifactsInput!$N$27+1,20,24,28,32,36,40),0)/100)))+1)),0)</f>
        <v/>
      </c>
      <c r="S1972">
        <f>IFERROR(O1972/N1972,0)</f>
        <v/>
      </c>
      <c r="T1972">
        <f>IF(C1972,(H1972*N1972*IF(AND(Inputs!$B$38&lt;&gt;"pvp",Inputs!$B$43&gt;0),((Skills!G9*((R1972-1)*IF(Skills!H9&gt;0,Skills!I9/Skills!H9,1)+IF(Skills!H9&gt;0,MIN(Skills!I9,MAX(0,MAX(0,Inputs!$B$43-B2000)-((R1972-1)*(IF(Inputs!$B$38="pvp",15,MAX(0.1,Skills!D9-IF(Skills!E9=TRUE,Inputs!$B$32,0)))*(1-IF(AND(ArtifactsInput!$M$27,Inputs!$B$4="Chapter Hunt"),CHOOSE(ArtifactsInput!$N$27+1,20,24,28,32,36,40),0)/100)))))/Skills!H9,1)))/Inputs!$B$43),G1972*Q1972)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1972*(1-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1972*(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1972*(1-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1972*(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2">
        <f>IF(C1972,(H1972*N1972*IF(AND(Inputs!$B$38&lt;&gt;"pvp",Inputs!$B$43&gt;0),((Skills!G9*((R1972-1)*IF(Skills!H9&gt;0,Skills!I9/Skills!H9,1)+IF(Skills!H9&gt;0,MIN(Skills!I9,MAX(0,MAX(0,Inputs!$B$43-B2000)-((R1972-1)*(IF(Inputs!$B$38="pvp",15,MAX(0.1,Skills!D9-IF(Skills!E9=TRUE,Inputs!$B$32,0)))*(1-IF(AND(ArtifactsInput!$M$27,Inputs!$B$4="Chapter Hunt"),CHOOSE(ArtifactsInput!$N$27+1,20,24,28,32,36,40),0)/100)))))/Skills!H9,1)))/Inputs!$B$43),G1972*Q1972))*IF(Inputs!$B$38="pvp",1,(1+(Inputs!$B$21+Skills!Q9+(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3">
      <c r="A1973">
        <f>Skills!A10</f>
        <v/>
      </c>
      <c r="B1973">
        <f>Skills!B10</f>
        <v/>
      </c>
      <c r="C1973">
        <f>Inputs!$B$3&gt;=113</f>
        <v/>
      </c>
      <c r="D1973">
        <f>IF(Skills!C10=1,60+Inputs!$B$25+Inputs!$B$29,IF(Skills!C10=2,90+Inputs!$B$26+Inputs!$B$29,IF(Skills!C10=3,120+Inputs!$B$27+Inputs!$B$29,MAX(0,(Inputs!$B$3-100)*3)+Inputs!$B$28+Inputs!$B$29)))</f>
        <v/>
      </c>
      <c r="E1973">
        <f>INDEX(FactorTable!$B$2:$Y$301, MATCH(ROUND(MIN(300,MAX(1,D1973)),0), FactorTable!$A$2:$A$301,0), Skills!M10+1)</f>
        <v/>
      </c>
      <c r="F1973">
        <f>IF(Skills!N10=TRUE,(Skills!L10/10)*(E1973/1000),Skills!L10/10)+Skills!O10</f>
        <v/>
      </c>
      <c r="G1973">
        <f>Skills!G10*IF(Skills!H10&gt;0,Skills!I10/Skills!H10,1)</f>
        <v/>
      </c>
      <c r="H1973">
        <f>1-(1-Skills!J10/100)^Skills!K10</f>
        <v/>
      </c>
      <c r="I1973" t="inlineStr">
        <is>
          <t>1</t>
        </is>
      </c>
      <c r="J1973">
        <f>((Inputs!$B$6*(1+Inputs!$B$7/100))+(((Inputs!$B$12*(1+Inputs!$B$13/100))-(Inputs!$B$12*(1+Inputs!$B$13/100)))+0.25*(Inputs!$B$14-Inputs!$B$14))*(1+Inputs!$B$7/100))*(F1973/100)</f>
        <v/>
      </c>
      <c r="K1973">
        <f>J1973*(1+((Inputs!$B$12*(1+Inputs!$B$13/100))*0.01+Inputs!$B$14*0.0025)/100)*(1+Inputs!$B$15/100)*(1+Inputs!$B$16/100)*(5000/(6000+Inputs!$B$42*(1-(100*(1-(1-(Inputs!$B$19+0)/100)*(1-CHOOSE(ArtifactsInput!$N$40+1,5,6,7,8,9,10)/100)^(ArtifactsInput!$M$40-ArtifactsInput!$M$40)))/100)))*(1+(Inputs!$B$24+((C1989=TRUE)*(F1989-Calc!F26))+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1986=TRUE)*(F1986-Calc!F23))+((C1990=TRUE)*(F1990-Calc!F27))+(((IF(AND(ArtifactsInput!$M$42,((Inputs!$B$9+((C1982=TRUE)*(F1982-Calc!F19))+B1993+(ArtifactsInput!$M$24-ArtifactsInput!$M$24)*CHOOSE(ArtifactsInput!$N$24+1,10,12,14,16,18,20)+IF(ArtifactsInput!$M$10,CHOOSE(ArtifactsInput!$N$10+1,15,18,21,24,27,30)*(IF(Inputs!$B$38="pvp",MIN(15,15)/15,IF(AND(Inputs!$B$38&lt;&gt;"pvp",Inputs!$B$43&gt;0),MIN(15,Inputs!$B$43)/(Inputs!$B$43),0))),0)))&gt;=100),MIN(100,((Inputs!$B$9+((C1982=TRUE)*(F1982-Calc!F19))+B1993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1993+(ArtifactsInput!$M$24-ArtifactsInput!$M$24)*CHOOSE(ArtifactsInput!$N$24+1,10,12,14,16,18,20)+IF(ArtifactsInput!$M$10,CHOOSE(ArtifactsInput!$N$10+1,15,18,21,24,27,30)*(IF(Inputs!$B$38="pvp",MIN(15,15)/15,IF(AND(Inputs!$B$38&lt;&gt;"pvp",Inputs!$B$43&gt;0),MIN(15,Inputs!$B$43)/(Inputs!$B$43),0))),0)))&gt;=100),CHOOSE(ArtifactsInput!$N$42+1,40,48,56,64,72,80),0))))/100)*((1+(((C1980=TRUE)*F1980)+((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1973)</f>
        <v/>
      </c>
      <c r="L1973">
        <f>K1973*(MIN(Inputs!$B$22+((C1985=TRUE)*(F1985-Calc!F22)),(Inputs!$B$23+0+(IF(ArtifactsInput!$M$15,CHOOSE(ArtifactsInput!$N$15+1,25,30,35,40,45,50)/100*(Inputs!$B$11-Inputs!$B$11),0))))/100+(Inputs!$B$23+0+(IF(ArtifactsInput!$M$15,CHOOSE(ArtifactsInput!$N$15+1,25,30,35,40,45,50)/100*(Inputs!$B$11-Inputs!$B$11),0)))/100)/2</f>
        <v/>
      </c>
      <c r="M1973">
        <f>L1973*(1+(Inputs!$B$10+((C1988=TRUE)*(F1988-Calc!F25))+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3">
        <f>L1973*(1-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1973*(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3">
        <f>(1-Summary!$B$11)*T1973+Summary!$B$11*V1973</f>
        <v/>
      </c>
      <c r="P1973">
        <f>IF(B2003=0,0,O1973/B2003)</f>
        <v/>
      </c>
      <c r="Q1973">
        <f>IFERROR(1/(IF(Inputs!$B$38="pvp",15,MAX(0.1,Skills!D10-IF(Skills!E10=TRUE,Inputs!$B$32,0)))*(1-IF(AND(ArtifactsInput!$M$27,Inputs!$B$4="Chapter Hunt"),CHOOSE(ArtifactsInput!$N$27+1,20,24,28,32,36,40),0)/100)),0)</f>
        <v/>
      </c>
      <c r="R1973">
        <f>IF(AND(Inputs!$B$38&lt;&gt;"pvp",Inputs!$B$43&gt;0),IF(MAX(0,Inputs!$B$43-B2000)&lt;=0,0,(INT(MAX(0,Inputs!$B$43-B2000)/(IF(Inputs!$B$38="pvp",15,MAX(0.1,Skills!D10-IF(Skills!E10=TRUE,Inputs!$B$32,0)))*(1-IF(AND(ArtifactsInput!$M$27,Inputs!$B$4="Chapter Hunt"),CHOOSE(ArtifactsInput!$N$27+1,20,24,28,32,36,40),0)/100)))+1)),0)</f>
        <v/>
      </c>
      <c r="S1973">
        <f>IFERROR(O1973/N1973,0)</f>
        <v/>
      </c>
      <c r="T1973">
        <f>IF(C1973,(H1973*N1973*IF(AND(Inputs!$B$38&lt;&gt;"pvp",Inputs!$B$43&gt;0),((Skills!G10*((R1973-1)*IF(Skills!H10&gt;0,Skills!I10/Skills!H10,1)+IF(Skills!H10&gt;0,MIN(Skills!I10,MAX(0,MAX(0,Inputs!$B$43-B2000)-((R1973-1)*(IF(Inputs!$B$38="pvp",15,MAX(0.1,Skills!D10-IF(Skills!E10=TRUE,Inputs!$B$32,0)))*(1-IF(AND(ArtifactsInput!$M$27,Inputs!$B$4="Chapter Hunt"),CHOOSE(ArtifactsInput!$N$27+1,20,24,28,32,36,40),0)/100)))))/Skills!H10,1)))/Inputs!$B$43),G1973*Q1973)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1973*(1-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1973*(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1973*(1-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1973*(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3">
        <f>IF(C1973,(H1973*N1973*IF(AND(Inputs!$B$38&lt;&gt;"pvp",Inputs!$B$43&gt;0),((Skills!G10*((R1973-1)*IF(Skills!H10&gt;0,Skills!I10/Skills!H10,1)+IF(Skills!H10&gt;0,MIN(Skills!I10,MAX(0,MAX(0,Inputs!$B$43-B2000)-((R1973-1)*(IF(Inputs!$B$38="pvp",15,MAX(0.1,Skills!D10-IF(Skills!E10=TRUE,Inputs!$B$32,0)))*(1-IF(AND(ArtifactsInput!$M$27,Inputs!$B$4="Chapter Hunt"),CHOOSE(ArtifactsInput!$N$27+1,20,24,28,32,36,40),0)/100)))))/Skills!H10,1)))/Inputs!$B$43),G1973*Q1973))*IF(Inputs!$B$38="pvp",1,(1+(Inputs!$B$21+Skills!Q10+(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4">
      <c r="A1974">
        <f>Skills!A11</f>
        <v/>
      </c>
      <c r="B1974">
        <f>Skills!B11</f>
        <v/>
      </c>
      <c r="C1974">
        <f>Inputs!$B$3&gt;=107</f>
        <v/>
      </c>
      <c r="D1974">
        <f>IF(Skills!C11=1,60+Inputs!$B$25+Inputs!$B$29,IF(Skills!C11=2,90+Inputs!$B$26+Inputs!$B$29,IF(Skills!C11=3,120+Inputs!$B$27+Inputs!$B$29,MAX(0,(Inputs!$B$3-100)*3)+Inputs!$B$28+Inputs!$B$29)))</f>
        <v/>
      </c>
      <c r="E1974">
        <f>INDEX(FactorTable!$B$2:$Y$301, MATCH(ROUND(MIN(300,MAX(1,D1974)),0), FactorTable!$A$2:$A$301,0), Skills!M11+1)</f>
        <v/>
      </c>
      <c r="F1974">
        <f>IF(Skills!N11=TRUE,(Skills!L11/10)*(E1974/1000),Skills!L11/10)+Skills!O11</f>
        <v/>
      </c>
      <c r="G1974">
        <f>Skills!G11*IF(Skills!H11&gt;0,Skills!I11/Skills!H11,1)</f>
        <v/>
      </c>
      <c r="H1974">
        <f>1-(1-Skills!J11/100)^Skills!K11</f>
        <v/>
      </c>
      <c r="I1974" t="inlineStr">
        <is>
          <t>1</t>
        </is>
      </c>
      <c r="J1974">
        <f>((Inputs!$B$6*(1+Inputs!$B$7/100))+(((Inputs!$B$12*(1+Inputs!$B$13/100))-(Inputs!$B$12*(1+Inputs!$B$13/100)))+0.25*(Inputs!$B$14-Inputs!$B$14))*(1+Inputs!$B$7/100))*(F1974/100)</f>
        <v/>
      </c>
      <c r="K1974">
        <f>J1974*(1+((Inputs!$B$12*(1+Inputs!$B$13/100))*0.01+Inputs!$B$14*0.0025)/100)*(1+Inputs!$B$15/100)*(1+Inputs!$B$16/100)*(5000/(6000+Inputs!$B$42*(1-(100*(1-(1-(Inputs!$B$19+0)/100)*(1-CHOOSE(ArtifactsInput!$N$40+1,5,6,7,8,9,10)/100)^(ArtifactsInput!$M$40-ArtifactsInput!$M$40)))/100)))*(1+(Inputs!$B$24+((C1989=TRUE)*(F1989-Calc!F26))+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1986=TRUE)*(F1986-Calc!F23))+((C1990=TRUE)*(F1990-Calc!F27))+(((IF(AND(ArtifactsInput!$M$42,((Inputs!$B$9+((C1982=TRUE)*(F1982-Calc!F19))+B1993+(ArtifactsInput!$M$24-ArtifactsInput!$M$24)*CHOOSE(ArtifactsInput!$N$24+1,10,12,14,16,18,20)+IF(ArtifactsInput!$M$10,CHOOSE(ArtifactsInput!$N$10+1,15,18,21,24,27,30)*(IF(Inputs!$B$38="pvp",MIN(15,15)/15,IF(AND(Inputs!$B$38&lt;&gt;"pvp",Inputs!$B$43&gt;0),MIN(15,Inputs!$B$43)/(Inputs!$B$43),0))),0)))&gt;=100),MIN(100,((Inputs!$B$9+((C1982=TRUE)*(F1982-Calc!F19))+B1993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1993+(ArtifactsInput!$M$24-ArtifactsInput!$M$24)*CHOOSE(ArtifactsInput!$N$24+1,10,12,14,16,18,20)+IF(ArtifactsInput!$M$10,CHOOSE(ArtifactsInput!$N$10+1,15,18,21,24,27,30)*(IF(Inputs!$B$38="pvp",MIN(15,15)/15,IF(AND(Inputs!$B$38&lt;&gt;"pvp",Inputs!$B$43&gt;0),MIN(15,Inputs!$B$43)/(Inputs!$B$43),0))),0)))&gt;=100),CHOOSE(ArtifactsInput!$N$42+1,40,48,56,64,72,80),0))))/100)*((1+(((C1980=TRUE)*F1980)+((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1974)</f>
        <v/>
      </c>
      <c r="L1974">
        <f>K1974*(MIN(Inputs!$B$22+((C1985=TRUE)*(F1985-Calc!F22)),(Inputs!$B$23+0+(IF(ArtifactsInput!$M$15,CHOOSE(ArtifactsInput!$N$15+1,25,30,35,40,45,50)/100*(Inputs!$B$11-Inputs!$B$11),0))))/100+(Inputs!$B$23+0+(IF(ArtifactsInput!$M$15,CHOOSE(ArtifactsInput!$N$15+1,25,30,35,40,45,50)/100*(Inputs!$B$11-Inputs!$B$11),0)))/100)/2</f>
        <v/>
      </c>
      <c r="M1974">
        <f>L1974*(1+(Inputs!$B$10+((C1988=TRUE)*(F1988-Calc!F25))+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4">
        <f>L1974*(1-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1974*(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4">
        <f>(1-Summary!$B$11)*T1974+Summary!$B$11*V1974</f>
        <v/>
      </c>
      <c r="P1974">
        <f>IF(B2003=0,0,O1974/B2003)</f>
        <v/>
      </c>
      <c r="Q1974">
        <f>IFERROR(1/(IF(Inputs!$B$38="pvp",15,MAX(0.1,Skills!D11-IF(Skills!E11=TRUE,Inputs!$B$32,0)))*(1-IF(AND(ArtifactsInput!$M$27,Inputs!$B$4="Chapter Hunt"),CHOOSE(ArtifactsInput!$N$27+1,20,24,28,32,36,40),0)/100)),0)</f>
        <v/>
      </c>
      <c r="R1974">
        <f>IF(AND(Inputs!$B$38&lt;&gt;"pvp",Inputs!$B$43&gt;0),IF(MAX(0,Inputs!$B$43-B2000)&lt;=0,0,(INT(MAX(0,Inputs!$B$43-B2000)/(IF(Inputs!$B$38="pvp",15,MAX(0.1,Skills!D11-IF(Skills!E11=TRUE,Inputs!$B$32,0)))*(1-IF(AND(ArtifactsInput!$M$27,Inputs!$B$4="Chapter Hunt"),CHOOSE(ArtifactsInput!$N$27+1,20,24,28,32,36,40),0)/100)))+1)),0)</f>
        <v/>
      </c>
      <c r="S1974">
        <f>IFERROR(O1974/N1974,0)</f>
        <v/>
      </c>
      <c r="T1974">
        <f>IF(C1974,(H1974*N1974*IF(AND(Inputs!$B$38&lt;&gt;"pvp",Inputs!$B$43&gt;0),((Skills!G11*((R1974-1)*IF(Skills!H11&gt;0,Skills!I11/Skills!H11,1)+IF(Skills!H11&gt;0,MIN(Skills!I11,MAX(0,MAX(0,Inputs!$B$43-B2000)-((R1974-1)*(IF(Inputs!$B$38="pvp",15,MAX(0.1,Skills!D11-IF(Skills!E11=TRUE,Inputs!$B$32,0)))*(1-IF(AND(ArtifactsInput!$M$27,Inputs!$B$4="Chapter Hunt"),CHOOSE(ArtifactsInput!$N$27+1,20,24,28,32,36,40),0)/100)))))/Skills!H11,1)))/Inputs!$B$43),G1974*Q1974)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1974*(1-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1974*(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1974*(1-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1974*(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4">
        <f>IF(C1974,(H1974*N1974*IF(AND(Inputs!$B$38&lt;&gt;"pvp",Inputs!$B$43&gt;0),((Skills!G11*((R1974-1)*IF(Skills!H11&gt;0,Skills!I11/Skills!H11,1)+IF(Skills!H11&gt;0,MIN(Skills!I11,MAX(0,MAX(0,Inputs!$B$43-B2000)-((R1974-1)*(IF(Inputs!$B$38="pvp",15,MAX(0.1,Skills!D11-IF(Skills!E11=TRUE,Inputs!$B$32,0)))*(1-IF(AND(ArtifactsInput!$M$27,Inputs!$B$4="Chapter Hunt"),CHOOSE(ArtifactsInput!$N$27+1,20,24,28,32,36,40),0)/100)))))/Skills!H11,1)))/Inputs!$B$43),G1974*Q1974))*IF(Inputs!$B$38="pvp",1,(1+(Inputs!$B$21+Skills!Q11+(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5">
      <c r="A1975">
        <f>Skills!A12</f>
        <v/>
      </c>
      <c r="B1975">
        <f>Skills!B12</f>
        <v/>
      </c>
      <c r="C1975">
        <f>Inputs!$B$3&gt;=110</f>
        <v/>
      </c>
      <c r="D1975">
        <f>IF(Skills!C12=1,60+Inputs!$B$25+Inputs!$B$29,IF(Skills!C12=2,90+Inputs!$B$26+Inputs!$B$29,IF(Skills!C12=3,120+Inputs!$B$27+Inputs!$B$29,MAX(0,(Inputs!$B$3-100)*3)+Inputs!$B$28+Inputs!$B$29)))</f>
        <v/>
      </c>
      <c r="E1975">
        <f>INDEX(FactorTable!$B$2:$Y$301, MATCH(ROUND(MIN(300,MAX(1,D1975)),0), FactorTable!$A$2:$A$301,0), Skills!M12+1)</f>
        <v/>
      </c>
      <c r="F1975">
        <f>IF(Skills!N12=TRUE,(Skills!L12/10)*(E1975/1000),Skills!L12/10)+Skills!O12</f>
        <v/>
      </c>
      <c r="G1975">
        <f>Skills!G12*IF(Skills!H12&gt;0,Skills!I12/Skills!H12,1)</f>
        <v/>
      </c>
      <c r="H1975">
        <f>1-(1-Skills!J12/100)^Skills!K12</f>
        <v/>
      </c>
      <c r="I1975" t="inlineStr">
        <is>
          <t>1</t>
        </is>
      </c>
      <c r="J1975">
        <f>((Inputs!$B$6*(1+Inputs!$B$7/100))+(((Inputs!$B$12*(1+Inputs!$B$13/100))-(Inputs!$B$12*(1+Inputs!$B$13/100)))+0.25*(Inputs!$B$14-Inputs!$B$14))*(1+Inputs!$B$7/100))*(F1975/100)</f>
        <v/>
      </c>
      <c r="K1975">
        <f>J1975*(1+((Inputs!$B$12*(1+Inputs!$B$13/100))*0.01+Inputs!$B$14*0.0025)/100)*(1+Inputs!$B$15/100)*(1+Inputs!$B$16/100)*(5000/(6000+Inputs!$B$42*(1-(100*(1-(1-(Inputs!$B$19+0)/100)*(1-CHOOSE(ArtifactsInput!$N$40+1,5,6,7,8,9,10)/100)^(ArtifactsInput!$M$40-ArtifactsInput!$M$40)))/100)))*(1+(Inputs!$B$24+((C1989=TRUE)*(F1989-Calc!F26))+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1986=TRUE)*(F1986-Calc!F23))+((C1990=TRUE)*(F1990-Calc!F27))+(((IF(AND(ArtifactsInput!$M$42,((Inputs!$B$9+((C1982=TRUE)*(F1982-Calc!F19))+B1993+(ArtifactsInput!$M$24-ArtifactsInput!$M$24)*CHOOSE(ArtifactsInput!$N$24+1,10,12,14,16,18,20)+IF(ArtifactsInput!$M$10,CHOOSE(ArtifactsInput!$N$10+1,15,18,21,24,27,30)*(IF(Inputs!$B$38="pvp",MIN(15,15)/15,IF(AND(Inputs!$B$38&lt;&gt;"pvp",Inputs!$B$43&gt;0),MIN(15,Inputs!$B$43)/(Inputs!$B$43),0))),0)))&gt;=100),MIN(100,((Inputs!$B$9+((C1982=TRUE)*(F1982-Calc!F19))+B1993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1993+(ArtifactsInput!$M$24-ArtifactsInput!$M$24)*CHOOSE(ArtifactsInput!$N$24+1,10,12,14,16,18,20)+IF(ArtifactsInput!$M$10,CHOOSE(ArtifactsInput!$N$10+1,15,18,21,24,27,30)*(IF(Inputs!$B$38="pvp",MIN(15,15)/15,IF(AND(Inputs!$B$38&lt;&gt;"pvp",Inputs!$B$43&gt;0),MIN(15,Inputs!$B$43)/(Inputs!$B$43),0))),0)))&gt;=100),CHOOSE(ArtifactsInput!$N$42+1,40,48,56,64,72,80),0))))/100)*((1+(((C1980=TRUE)*F1980)+((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1975)</f>
        <v/>
      </c>
      <c r="L1975">
        <f>K1975*(MIN(Inputs!$B$22+((C1985=TRUE)*(F1985-Calc!F22)),(Inputs!$B$23+0+(IF(ArtifactsInput!$M$15,CHOOSE(ArtifactsInput!$N$15+1,25,30,35,40,45,50)/100*(Inputs!$B$11-Inputs!$B$11),0))))/100+(Inputs!$B$23+0+(IF(ArtifactsInput!$M$15,CHOOSE(ArtifactsInput!$N$15+1,25,30,35,40,45,50)/100*(Inputs!$B$11-Inputs!$B$11),0)))/100)/2</f>
        <v/>
      </c>
      <c r="M1975">
        <f>L1975*(1+(Inputs!$B$10+((C1988=TRUE)*(F1988-Calc!F25))+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5">
        <f>L1975*(1-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1975*(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5">
        <f>(1-Summary!$B$11)*T1975+Summary!$B$11*V1975</f>
        <v/>
      </c>
      <c r="P1975">
        <f>IF(B2003=0,0,O1975/B2003)</f>
        <v/>
      </c>
      <c r="Q1975">
        <f>IFERROR(1/(IF(Inputs!$B$38="pvp",15,MAX(0.1,Skills!D12-IF(Skills!E12=TRUE,Inputs!$B$32,0)))*(1-IF(AND(ArtifactsInput!$M$27,Inputs!$B$4="Chapter Hunt"),CHOOSE(ArtifactsInput!$N$27+1,20,24,28,32,36,40),0)/100)),0)</f>
        <v/>
      </c>
      <c r="R1975">
        <f>IF(AND(Inputs!$B$38&lt;&gt;"pvp",Inputs!$B$43&gt;0),IF(MAX(0,Inputs!$B$43-B2000)&lt;=0,0,(INT(MAX(0,Inputs!$B$43-B2000)/(IF(Inputs!$B$38="pvp",15,MAX(0.1,Skills!D12-IF(Skills!E12=TRUE,Inputs!$B$32,0)))*(1-IF(AND(ArtifactsInput!$M$27,Inputs!$B$4="Chapter Hunt"),CHOOSE(ArtifactsInput!$N$27+1,20,24,28,32,36,40),0)/100)))+1)),0)</f>
        <v/>
      </c>
      <c r="S1975">
        <f>IFERROR(O1975/N1975,0)</f>
        <v/>
      </c>
      <c r="T1975">
        <f>IF(C1975,(H1975*N1975*IF(AND(Inputs!$B$38&lt;&gt;"pvp",Inputs!$B$43&gt;0),((Skills!G12*((R1975-1)*IF(Skills!H12&gt;0,Skills!I12/Skills!H12,1)+IF(Skills!H12&gt;0,MIN(Skills!I12,MAX(0,MAX(0,Inputs!$B$43-B2000)-((R1975-1)*(IF(Inputs!$B$38="pvp",15,MAX(0.1,Skills!D12-IF(Skills!E12=TRUE,Inputs!$B$32,0)))*(1-IF(AND(ArtifactsInput!$M$27,Inputs!$B$4="Chapter Hunt"),CHOOSE(ArtifactsInput!$N$27+1,20,24,28,32,36,40),0)/100)))))/Skills!H12,1)))/Inputs!$B$43),G1975*Q1975)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1975*(1-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1975*(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1975*(1-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1975*(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5">
        <f>IF(C1975,(H1975*N1975*IF(AND(Inputs!$B$38&lt;&gt;"pvp",Inputs!$B$43&gt;0),((Skills!G12*((R1975-1)*IF(Skills!H12&gt;0,Skills!I12/Skills!H12,1)+IF(Skills!H12&gt;0,MIN(Skills!I12,MAX(0,MAX(0,Inputs!$B$43-B2000)-((R1975-1)*(IF(Inputs!$B$38="pvp",15,MAX(0.1,Skills!D12-IF(Skills!E12=TRUE,Inputs!$B$32,0)))*(1-IF(AND(ArtifactsInput!$M$27,Inputs!$B$4="Chapter Hunt"),CHOOSE(ArtifactsInput!$N$27+1,20,24,28,32,36,40),0)/100)))))/Skills!H12,1)))/Inputs!$B$43),G1975*Q1975))*IF(Inputs!$B$38="pvp",1,(1+(Inputs!$B$21+Skills!Q12+(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6">
      <c r="A1976">
        <f>Skills!A13</f>
        <v/>
      </c>
      <c r="B1976">
        <f>Skills!B13</f>
        <v/>
      </c>
      <c r="C1976">
        <f>Inputs!$B$3&gt;=110</f>
        <v/>
      </c>
      <c r="D1976">
        <f>IF(Skills!C13=1,60+Inputs!$B$25+Inputs!$B$29,IF(Skills!C13=2,90+Inputs!$B$26+Inputs!$B$29,IF(Skills!C13=3,120+Inputs!$B$27+Inputs!$B$29,MAX(0,(Inputs!$B$3-100)*3)+Inputs!$B$28+Inputs!$B$29)))</f>
        <v/>
      </c>
      <c r="E1976">
        <f>INDEX(FactorTable!$B$2:$Y$301, MATCH(ROUND(MIN(300,MAX(1,D1976)),0), FactorTable!$A$2:$A$301,0), Skills!M13+1)</f>
        <v/>
      </c>
      <c r="F1976">
        <f>IF(Skills!N13=TRUE,(Skills!L13/10)*(E1976/1000),Skills!L13/10)+Skills!O13</f>
        <v/>
      </c>
      <c r="G1976">
        <f>Skills!G13*IF(Skills!H13&gt;0,Skills!I13/Skills!H13,1)</f>
        <v/>
      </c>
      <c r="H1976">
        <f>1-(1-Skills!J13/100)^Skills!K13</f>
        <v/>
      </c>
      <c r="I1976" t="inlineStr">
        <is>
          <t>1</t>
        </is>
      </c>
      <c r="J1976">
        <f>((Inputs!$B$6*(1+Inputs!$B$7/100))+(((Inputs!$B$12*(1+Inputs!$B$13/100))-(Inputs!$B$12*(1+Inputs!$B$13/100)))+0.25*(Inputs!$B$14-Inputs!$B$14))*(1+Inputs!$B$7/100))*(F1976/100)</f>
        <v/>
      </c>
      <c r="K1976">
        <f>J1976*(1+((Inputs!$B$12*(1+Inputs!$B$13/100))*0.01+Inputs!$B$14*0.0025)/100)*(1+Inputs!$B$15/100)*(1+Inputs!$B$16/100)*(5000/(6000+Inputs!$B$42*(1-(100*(1-(1-(Inputs!$B$19+0)/100)*(1-CHOOSE(ArtifactsInput!$N$40+1,5,6,7,8,9,10)/100)^(ArtifactsInput!$M$40-ArtifactsInput!$M$40)))/100)))*(1+(Inputs!$B$24+((C1989=TRUE)*(F1989-Calc!F26))+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1986=TRUE)*(F1986-Calc!F23))+((C1990=TRUE)*(F1990-Calc!F27))+(((IF(AND(ArtifactsInput!$M$42,((Inputs!$B$9+((C1982=TRUE)*(F1982-Calc!F19))+B1993+(ArtifactsInput!$M$24-ArtifactsInput!$M$24)*CHOOSE(ArtifactsInput!$N$24+1,10,12,14,16,18,20)+IF(ArtifactsInput!$M$10,CHOOSE(ArtifactsInput!$N$10+1,15,18,21,24,27,30)*(IF(Inputs!$B$38="pvp",MIN(15,15)/15,IF(AND(Inputs!$B$38&lt;&gt;"pvp",Inputs!$B$43&gt;0),MIN(15,Inputs!$B$43)/(Inputs!$B$43),0))),0)))&gt;=100),MIN(100,((Inputs!$B$9+((C1982=TRUE)*(F1982-Calc!F19))+B1993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1993+(ArtifactsInput!$M$24-ArtifactsInput!$M$24)*CHOOSE(ArtifactsInput!$N$24+1,10,12,14,16,18,20)+IF(ArtifactsInput!$M$10,CHOOSE(ArtifactsInput!$N$10+1,15,18,21,24,27,30)*(IF(Inputs!$B$38="pvp",MIN(15,15)/15,IF(AND(Inputs!$B$38&lt;&gt;"pvp",Inputs!$B$43&gt;0),MIN(15,Inputs!$B$43)/(Inputs!$B$43),0))),0)))&gt;=100),CHOOSE(ArtifactsInput!$N$42+1,40,48,56,64,72,80),0))))/100)*((1+(((C1980=TRUE)*F1980)+((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1976)</f>
        <v/>
      </c>
      <c r="L1976">
        <f>K1976*(MIN(Inputs!$B$22+((C1985=TRUE)*(F1985-Calc!F22)),(Inputs!$B$23+0+(IF(ArtifactsInput!$M$15,CHOOSE(ArtifactsInput!$N$15+1,25,30,35,40,45,50)/100*(Inputs!$B$11-Inputs!$B$11),0))))/100+(Inputs!$B$23+0+(IF(ArtifactsInput!$M$15,CHOOSE(ArtifactsInput!$N$15+1,25,30,35,40,45,50)/100*(Inputs!$B$11-Inputs!$B$11),0)))/100)/2</f>
        <v/>
      </c>
      <c r="M1976">
        <f>L1976*(1+(Inputs!$B$10+((C1988=TRUE)*(F1988-Calc!F25))+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6">
        <f>L1976*(1-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1976*(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6">
        <f>(1-Summary!$B$11)*T1976+Summary!$B$11*V1976</f>
        <v/>
      </c>
      <c r="P1976">
        <f>IF(B2003=0,0,O1976/B2003)</f>
        <v/>
      </c>
      <c r="Q1976">
        <f>IFERROR(1/(IF(Inputs!$B$38="pvp",15,MAX(0.1,Skills!D13-IF(Skills!E13=TRUE,Inputs!$B$32,0)))*(1-IF(AND(ArtifactsInput!$M$27,Inputs!$B$4="Chapter Hunt"),CHOOSE(ArtifactsInput!$N$27+1,20,24,28,32,36,40),0)/100)),0)</f>
        <v/>
      </c>
      <c r="R1976">
        <f>IF(AND(Inputs!$B$38&lt;&gt;"pvp",Inputs!$B$43&gt;0),IF(MAX(0,Inputs!$B$43-B2000)&lt;=0,0,(INT(MAX(0,Inputs!$B$43-B2000)/(IF(Inputs!$B$38="pvp",15,MAX(0.1,Skills!D13-IF(Skills!E13=TRUE,Inputs!$B$32,0)))*(1-IF(AND(ArtifactsInput!$M$27,Inputs!$B$4="Chapter Hunt"),CHOOSE(ArtifactsInput!$N$27+1,20,24,28,32,36,40),0)/100)))+1)),0)</f>
        <v/>
      </c>
      <c r="S1976">
        <f>IFERROR(O1976/N1976,0)</f>
        <v/>
      </c>
      <c r="T1976">
        <f>IF(C1976,(H1976*N1976*IF(AND(Inputs!$B$38&lt;&gt;"pvp",Inputs!$B$43&gt;0),((Skills!G13*((R1976-1)*IF(Skills!H13&gt;0,Skills!I13/Skills!H13,1)+IF(Skills!H13&gt;0,MIN(Skills!I13,MAX(0,MAX(0,Inputs!$B$43-B2000)-((R1976-1)*(IF(Inputs!$B$38="pvp",15,MAX(0.1,Skills!D13-IF(Skills!E13=TRUE,Inputs!$B$32,0)))*(1-IF(AND(ArtifactsInput!$M$27,Inputs!$B$4="Chapter Hunt"),CHOOSE(ArtifactsInput!$N$27+1,20,24,28,32,36,40),0)/100)))))/Skills!H13,1)))/Inputs!$B$43),G1976*Q1976)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1976*(1-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1976*(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1976*(1-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1976*(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6">
        <f>IF(C1976,(H1976*N1976*IF(AND(Inputs!$B$38&lt;&gt;"pvp",Inputs!$B$43&gt;0),((Skills!G13*((R1976-1)*IF(Skills!H13&gt;0,Skills!I13/Skills!H13,1)+IF(Skills!H13&gt;0,MIN(Skills!I13,MAX(0,MAX(0,Inputs!$B$43-B2000)-((R1976-1)*(IF(Inputs!$B$38="pvp",15,MAX(0.1,Skills!D13-IF(Skills!E13=TRUE,Inputs!$B$32,0)))*(1-IF(AND(ArtifactsInput!$M$27,Inputs!$B$4="Chapter Hunt"),CHOOSE(ArtifactsInput!$N$27+1,20,24,28,32,36,40),0)/100)))))/Skills!H13,1)))/Inputs!$B$43),G1976*Q1976))*IF(Inputs!$B$38="pvp",1,(1+(Inputs!$B$21+Skills!Q13+(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7">
      <c r="A1977">
        <f>Skills!A14</f>
        <v/>
      </c>
      <c r="B1977">
        <f>Skills!B14</f>
        <v/>
      </c>
      <c r="C1977">
        <f>Inputs!$B$3&gt;=125</f>
        <v/>
      </c>
      <c r="D1977">
        <f>IF(Skills!C14=1,60+Inputs!$B$25+Inputs!$B$29,IF(Skills!C14=2,90+Inputs!$B$26+Inputs!$B$29,IF(Skills!C14=3,120+Inputs!$B$27+Inputs!$B$29,MAX(0,(Inputs!$B$3-100)*3)+Inputs!$B$28+Inputs!$B$29)))</f>
        <v/>
      </c>
      <c r="E1977">
        <f>INDEX(FactorTable!$B$2:$Y$301, MATCH(ROUND(MIN(300,MAX(1,D1977)),0), FactorTable!$A$2:$A$301,0), Skills!M14+1)</f>
        <v/>
      </c>
      <c r="F1977">
        <f>IF(Skills!N14=TRUE,(Skills!L14/10)*(E1977/1000),Skills!L14/10)+Skills!O14</f>
        <v/>
      </c>
      <c r="G1977">
        <f>Skills!G14*IF(Skills!H14&gt;0,Skills!I14/Skills!H14,1)</f>
        <v/>
      </c>
      <c r="H1977">
        <f>1-(1-Skills!J14/100)^Skills!K14</f>
        <v/>
      </c>
      <c r="I1977" t="inlineStr">
        <is>
          <t>1</t>
        </is>
      </c>
      <c r="J1977">
        <f>((Inputs!$B$6*(1+Inputs!$B$7/100))+(((Inputs!$B$12*(1+Inputs!$B$13/100))-(Inputs!$B$12*(1+Inputs!$B$13/100)))+0.25*(Inputs!$B$14-Inputs!$B$14))*(1+Inputs!$B$7/100))*(F1977/100)</f>
        <v/>
      </c>
      <c r="K1977">
        <f>J1977*(1+((Inputs!$B$12*(1+Inputs!$B$13/100))*0.01+Inputs!$B$14*0.0025)/100)*(1+Inputs!$B$15/100)*(1+Inputs!$B$16/100)*(5000/(6000+Inputs!$B$42*(1-(100*(1-(1-(Inputs!$B$19+0)/100)*(1-CHOOSE(ArtifactsInput!$N$40+1,5,6,7,8,9,10)/100)^(ArtifactsInput!$M$40-ArtifactsInput!$M$40)))/100)))*(1+(Inputs!$B$24+((C1989=TRUE)*(F1989-Calc!F26))+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1986=TRUE)*(F1986-Calc!F23))+((C1990=TRUE)*(F1990-Calc!F27))+(((IF(AND(ArtifactsInput!$M$42,((Inputs!$B$9+((C1982=TRUE)*(F1982-Calc!F19))+B1993+(ArtifactsInput!$M$24-ArtifactsInput!$M$24)*CHOOSE(ArtifactsInput!$N$24+1,10,12,14,16,18,20)+IF(ArtifactsInput!$M$10,CHOOSE(ArtifactsInput!$N$10+1,15,18,21,24,27,30)*(IF(Inputs!$B$38="pvp",MIN(15,15)/15,IF(AND(Inputs!$B$38&lt;&gt;"pvp",Inputs!$B$43&gt;0),MIN(15,Inputs!$B$43)/(Inputs!$B$43),0))),0)))&gt;=100),MIN(100,((Inputs!$B$9+((C1982=TRUE)*(F1982-Calc!F19))+B1993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1993+(ArtifactsInput!$M$24-ArtifactsInput!$M$24)*CHOOSE(ArtifactsInput!$N$24+1,10,12,14,16,18,20)+IF(ArtifactsInput!$M$10,CHOOSE(ArtifactsInput!$N$10+1,15,18,21,24,27,30)*(IF(Inputs!$B$38="pvp",MIN(15,15)/15,IF(AND(Inputs!$B$38&lt;&gt;"pvp",Inputs!$B$43&gt;0),MIN(15,Inputs!$B$43)/(Inputs!$B$43),0))),0)))&gt;=100),CHOOSE(ArtifactsInput!$N$42+1,40,48,56,64,72,80),0))))/100)*((1+(((C1980=TRUE)*F1980)+((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1977)</f>
        <v/>
      </c>
      <c r="L1977">
        <f>K1977*(MIN(Inputs!$B$22+((C1985=TRUE)*(F1985-Calc!F22)),(Inputs!$B$23+0+(IF(ArtifactsInput!$M$15,CHOOSE(ArtifactsInput!$N$15+1,25,30,35,40,45,50)/100*(Inputs!$B$11-Inputs!$B$11),0))))/100+(Inputs!$B$23+0+(IF(ArtifactsInput!$M$15,CHOOSE(ArtifactsInput!$N$15+1,25,30,35,40,45,50)/100*(Inputs!$B$11-Inputs!$B$11),0)))/100)/2</f>
        <v/>
      </c>
      <c r="M1977">
        <f>L1977*(1+(Inputs!$B$10+((C1988=TRUE)*(F1988-Calc!F25))+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7">
        <f>L1977*(1-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1977*(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7">
        <f>(1-Summary!$B$11)*T1977+Summary!$B$11*V1977</f>
        <v/>
      </c>
      <c r="P1977">
        <f>IF(B2003=0,0,O1977/B2003)</f>
        <v/>
      </c>
      <c r="Q1977" t="n">
        <v>0</v>
      </c>
      <c r="R1977" t="n">
        <v>0</v>
      </c>
      <c r="S1977">
        <f>IFERROR(O1977/N1977,0)</f>
        <v/>
      </c>
      <c r="T1977">
        <f>IF(C1977,(H1977*N1977*(B1997+IF(AND(Inputs!$B$38&lt;&gt;"pvp",Inputs!$B$43&gt;0),((Skills!G8*((R1971-1)*IF(Skills!H8&gt;0,Skills!I8/Skills!H8,1)+IF(Skills!H8&gt;0,MIN(Skills!I8,MAX(0,MAX(0,Inputs!$B$43-B2000)-((R1971-1)*(IF(Inputs!$B$38="pvp",15,MAX(0.1,Skills!D8-IF(Skills!E8=TRUE,Inputs!$B$32,0)))*(1-IF(AND(ArtifactsInput!$M$27,Inputs!$B$4="Chapter Hunt"),CHOOSE(ArtifactsInput!$N$27+1,20,24,28,32,36,40),0)/100)))))/Skills!H8,1)))/Inputs!$B$43),G1971*Q1971)+IF(AND(Inputs!$B$38&lt;&gt;"pvp",Inputs!$B$43&gt;0),((Skills!G11*((R1974-1)*IF(Skills!H11&gt;0,Skills!I11/Skills!H11,1)+IF(Skills!H11&gt;0,MIN(Skills!I11,MAX(0,MAX(0,Inputs!$B$43-B2000)-((R1974-1)*(IF(Inputs!$B$38="pvp",15,MAX(0.1,Skills!D11-IF(Skills!E11=TRUE,Inputs!$B$32,0)))*(1-IF(AND(ArtifactsInput!$M$27,Inputs!$B$4="Chapter Hunt"),CHOOSE(ArtifactsInput!$N$27+1,20,24,28,32,36,40),0)/100)))))/Skills!H11,1)))/Inputs!$B$43),G1974*Q1974)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1977*(1-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1977*(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1977*(1-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1977*(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7">
        <f>IF(C1977,(H1977*N1977*(B1997+IF(AND(Inputs!$B$38&lt;&gt;"pvp",Inputs!$B$43&gt;0),((Skills!G8*((R1971-1)*IF(Skills!H8&gt;0,Skills!I8/Skills!H8,1)+IF(Skills!H8&gt;0,MIN(Skills!I8,MAX(0,MAX(0,Inputs!$B$43-B2000)-((R1971-1)*(IF(Inputs!$B$38="pvp",15,MAX(0.1,Skills!D8-IF(Skills!E8=TRUE,Inputs!$B$32,0)))*(1-IF(AND(ArtifactsInput!$M$27,Inputs!$B$4="Chapter Hunt"),CHOOSE(ArtifactsInput!$N$27+1,20,24,28,32,36,40),0)/100)))))/Skills!H8,1)))/Inputs!$B$43),G1971*Q1971)+IF(AND(Inputs!$B$38&lt;&gt;"pvp",Inputs!$B$43&gt;0),((Skills!G11*((R1974-1)*IF(Skills!H11&gt;0,Skills!I11/Skills!H11,1)+IF(Skills!H11&gt;0,MIN(Skills!I11,MAX(0,MAX(0,Inputs!$B$43-B2000)-((R1974-1)*(IF(Inputs!$B$38="pvp",15,MAX(0.1,Skills!D11-IF(Skills!E11=TRUE,Inputs!$B$32,0)))*(1-IF(AND(ArtifactsInput!$M$27,Inputs!$B$4="Chapter Hunt"),CHOOSE(ArtifactsInput!$N$27+1,20,24,28,32,36,40),0)/100)))))/Skills!H11,1)))/Inputs!$B$43),G1974*Q1974)))*IF(Inputs!$B$38="pvp",1,(1+(Inputs!$B$21+Skills!Q14+(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8">
      <c r="A1978">
        <f>Skills!A15</f>
        <v/>
      </c>
      <c r="B1978">
        <f>Skills!B15</f>
        <v/>
      </c>
      <c r="C1978">
        <f>Inputs!$B$3&gt;=100</f>
        <v/>
      </c>
      <c r="D1978">
        <f>IF(Skills!C15=1,60+Inputs!$B$25+Inputs!$B$29,IF(Skills!C15=2,90+Inputs!$B$26+Inputs!$B$29,IF(Skills!C15=3,120+Inputs!$B$27+Inputs!$B$29,MAX(0,(Inputs!$B$3-100)*3)+Inputs!$B$28+Inputs!$B$29)))</f>
        <v/>
      </c>
      <c r="E1978">
        <f>INDEX(FactorTable!$B$2:$Y$301, MATCH(ROUND(MIN(300,MAX(1,D1978)),0), FactorTable!$A$2:$A$301,0), Skills!M15+1)</f>
        <v/>
      </c>
      <c r="F1978">
        <f>IF(Skills!N15=TRUE,(Skills!L15/10)*(E1978/1000),Skills!L15/10)+Skills!O15</f>
        <v/>
      </c>
      <c r="G1978" t="inlineStr"/>
      <c r="H1978" t="inlineStr"/>
      <c r="I1978" t="inlineStr">
        <is>
          <t>1</t>
        </is>
      </c>
      <c r="J1978" t="inlineStr"/>
      <c r="K1978" t="inlineStr"/>
      <c r="L1978" t="inlineStr"/>
      <c r="M1978" t="inlineStr"/>
      <c r="N1978" t="inlineStr"/>
      <c r="O1978" t="inlineStr"/>
      <c r="P1978" t="inlineStr"/>
      <c r="Q1978" t="inlineStr"/>
      <c r="R1978" t="inlineStr"/>
      <c r="S1978" t="inlineStr"/>
    </row>
    <row r="1979">
      <c r="A1979">
        <f>Skills!A16</f>
        <v/>
      </c>
      <c r="B1979">
        <f>Skills!B16</f>
        <v/>
      </c>
      <c r="C1979">
        <f>Inputs!$B$3&gt;=120</f>
        <v/>
      </c>
      <c r="D1979">
        <f>IF(Skills!C16=1,60+Inputs!$B$25+Inputs!$B$29,IF(Skills!C16=2,90+Inputs!$B$26+Inputs!$B$29,IF(Skills!C16=3,120+Inputs!$B$27+Inputs!$B$29,MAX(0,(Inputs!$B$3-100)*3)+Inputs!$B$28+Inputs!$B$29)))</f>
        <v/>
      </c>
      <c r="E1979">
        <f>INDEX(FactorTable!$B$2:$Y$301, MATCH(ROUND(MIN(300,MAX(1,D1979)),0), FactorTable!$A$2:$A$301,0), Skills!M16+1)</f>
        <v/>
      </c>
      <c r="F1979">
        <f>IF(Skills!N16=TRUE,(Skills!L16/10)*(E1979/1000),Skills!L16/10)+Skills!O16</f>
        <v/>
      </c>
      <c r="G1979" t="inlineStr"/>
      <c r="H1979" t="inlineStr"/>
      <c r="I1979" t="inlineStr">
        <is>
          <t>1</t>
        </is>
      </c>
      <c r="J1979" t="inlineStr"/>
      <c r="K1979" t="inlineStr"/>
      <c r="L1979" t="inlineStr"/>
      <c r="M1979" t="inlineStr"/>
      <c r="N1979" t="inlineStr"/>
      <c r="O1979" t="inlineStr"/>
      <c r="P1979" t="inlineStr"/>
      <c r="Q1979" t="inlineStr"/>
      <c r="R1979" t="inlineStr"/>
      <c r="S1979" t="inlineStr"/>
    </row>
    <row r="1980">
      <c r="A1980">
        <f>Skills!A17</f>
        <v/>
      </c>
      <c r="B1980">
        <f>Skills!B17</f>
        <v/>
      </c>
      <c r="C1980">
        <f>Inputs!$B$3&gt;=66</f>
        <v/>
      </c>
      <c r="D1980">
        <f>IF(Skills!C17=1,60+Inputs!$B$25+Inputs!$B$29,IF(Skills!C17=2,90+Inputs!$B$26+Inputs!$B$29,IF(Skills!C17=3,120+Inputs!$B$27+Inputs!$B$29,MAX(0,(Inputs!$B$3-100)*3)+Inputs!$B$28+Inputs!$B$29)))</f>
        <v/>
      </c>
      <c r="E1980">
        <f>INDEX(FactorTable!$B$2:$Y$301, MATCH(ROUND(MIN(300,MAX(1,D1980)),0), FactorTable!$A$2:$A$301,0), Skills!M17+1)</f>
        <v/>
      </c>
      <c r="F1980">
        <f>IF(Skills!N17=TRUE,(Skills!L17/10)*(E1980/1000),Skills!L17/10)+Skills!O17</f>
        <v/>
      </c>
      <c r="G1980">
        <f>Skills!G17*IF(Skills!H17&gt;0,Skills!I17/Skills!H17,1)</f>
        <v/>
      </c>
      <c r="H1980">
        <f>1-(1-Skills!J17/100)^Skills!K17</f>
        <v/>
      </c>
      <c r="I1980" t="inlineStr">
        <is>
          <t>1</t>
        </is>
      </c>
      <c r="J1980" t="inlineStr"/>
      <c r="K1980" t="inlineStr"/>
      <c r="L1980" t="inlineStr"/>
      <c r="M1980" t="inlineStr"/>
      <c r="N1980" t="inlineStr"/>
      <c r="O1980">
        <f>(1-Summary!$B$11)*T1980+Summary!$B$11*V1980</f>
        <v/>
      </c>
      <c r="P1980">
        <f>IF(B2003=0,0,O1980/B2003)</f>
        <v/>
      </c>
      <c r="Q1980" t="n">
        <v>0</v>
      </c>
      <c r="R1980" t="n">
        <v>0</v>
      </c>
      <c r="S1980">
        <f>IFERROR(O1980/N1980,0)</f>
        <v/>
      </c>
      <c r="T1980" t="n">
        <v>0</v>
      </c>
      <c r="V1980" t="n">
        <v>0</v>
      </c>
    </row>
    <row r="1981">
      <c r="A1981">
        <f>Skills!A18</f>
        <v/>
      </c>
      <c r="B1981">
        <f>Skills!B18</f>
        <v/>
      </c>
      <c r="C1981">
        <f>Inputs!$B$3&gt;=115</f>
        <v/>
      </c>
      <c r="D1981">
        <f>IF(Skills!C18=1,60+Inputs!$B$25+Inputs!$B$29,IF(Skills!C18=2,90+Inputs!$B$26+Inputs!$B$29,IF(Skills!C18=3,120+Inputs!$B$27+Inputs!$B$29,MAX(0,(Inputs!$B$3-100)*3)+Inputs!$B$28+Inputs!$B$29)))</f>
        <v/>
      </c>
      <c r="E1981">
        <f>INDEX(FactorTable!$B$2:$Y$301, MATCH(ROUND(MIN(300,MAX(1,D1981)),0), FactorTable!$A$2:$A$301,0), Skills!M18+1)</f>
        <v/>
      </c>
      <c r="F1981">
        <f>IF(Skills!N18=TRUE,(Skills!L18/10)*(E1981/1000),Skills!L18/10)+Skills!O18</f>
        <v/>
      </c>
      <c r="G1981">
        <f>Skills!G18*IF(Skills!H18&gt;0,Skills!I18/Skills!H18,1)</f>
        <v/>
      </c>
      <c r="H1981">
        <f>1-(1-Skills!J18/100)^Skills!K18</f>
        <v/>
      </c>
      <c r="I1981" t="inlineStr">
        <is>
          <t>1</t>
        </is>
      </c>
      <c r="J1981" t="inlineStr"/>
      <c r="K1981" t="inlineStr"/>
      <c r="L1981" t="inlineStr"/>
      <c r="M1981" t="inlineStr"/>
      <c r="N1981" t="inlineStr"/>
      <c r="O1981">
        <f>(1-Summary!$B$11)*T1981+Summary!$B$11*V1981</f>
        <v/>
      </c>
      <c r="P1981">
        <f>IF(B2003=0,0,O1981/B2003)</f>
        <v/>
      </c>
      <c r="Q1981" t="n">
        <v>0</v>
      </c>
      <c r="R1981" t="n">
        <v>0</v>
      </c>
      <c r="S1981">
        <f>IFERROR(O1981/N1981,0)</f>
        <v/>
      </c>
      <c r="T1981" t="n">
        <v>0</v>
      </c>
      <c r="V1981" t="n">
        <v>0</v>
      </c>
    </row>
    <row r="1982">
      <c r="A1982">
        <f>Skills!A19</f>
        <v/>
      </c>
      <c r="B1982">
        <f>Skills!B19</f>
        <v/>
      </c>
      <c r="C1982">
        <f>Inputs!$B$3&gt;=15</f>
        <v/>
      </c>
      <c r="D1982">
        <f>IF(Skills!C19=1,60+Inputs!$B$25+Inputs!$B$29,IF(Skills!C19=2,90+Inputs!$B$26+Inputs!$B$29,IF(Skills!C19=3,120+Inputs!$B$27+Inputs!$B$29,MAX(0,(Inputs!$B$3-100)*3)+Inputs!$B$28+Inputs!$B$29)))</f>
        <v/>
      </c>
      <c r="E1982">
        <f>INDEX(FactorTable!$B$2:$Y$301, MATCH(ROUND(MIN(300,MAX(1,D1982)),0), FactorTable!$A$2:$A$301,0), Skills!M19+1)</f>
        <v/>
      </c>
      <c r="F1982">
        <f>IF(Skills!N19=TRUE,(Skills!L19/10)*(E1982/1000),Skills!L19/10)+Skills!O19</f>
        <v/>
      </c>
      <c r="G1982">
        <f>Skills!G19*IF(Skills!H19&gt;0,Skills!I19/Skills!H19,1)</f>
        <v/>
      </c>
      <c r="H1982">
        <f>1-(1-Skills!J19/100)^Skills!K19</f>
        <v/>
      </c>
      <c r="I1982" t="inlineStr">
        <is>
          <t>1</t>
        </is>
      </c>
      <c r="J1982" t="inlineStr"/>
      <c r="K1982" t="inlineStr"/>
      <c r="L1982" t="inlineStr"/>
      <c r="M1982" t="inlineStr"/>
      <c r="N1982" t="inlineStr"/>
      <c r="O1982">
        <f>(1-Summary!$B$11)*T1982+Summary!$B$11*V1982</f>
        <v/>
      </c>
      <c r="P1982">
        <f>IF(B2003=0,0,O1982/B2003)</f>
        <v/>
      </c>
      <c r="Q1982" t="n">
        <v>0</v>
      </c>
      <c r="R1982" t="n">
        <v>0</v>
      </c>
      <c r="S1982">
        <f>IFERROR(O1982/N1982,0)</f>
        <v/>
      </c>
      <c r="T1982" t="n">
        <v>0</v>
      </c>
      <c r="V1982" t="n">
        <v>0</v>
      </c>
    </row>
    <row r="1983">
      <c r="A1983">
        <f>Skills!A20</f>
        <v/>
      </c>
      <c r="B1983">
        <f>Skills!B20</f>
        <v/>
      </c>
      <c r="C1983">
        <f>Inputs!$B$3&gt;=10</f>
        <v/>
      </c>
      <c r="D1983">
        <f>IF(Skills!C20=1,60+Inputs!$B$25+Inputs!$B$29,IF(Skills!C20=2,90+Inputs!$B$26+Inputs!$B$29,IF(Skills!C20=3,120+Inputs!$B$27+Inputs!$B$29,MAX(0,(Inputs!$B$3-100)*3)+Inputs!$B$28+Inputs!$B$29)))</f>
        <v/>
      </c>
      <c r="E1983">
        <f>INDEX(FactorTable!$B$2:$Y$301, MATCH(ROUND(MIN(300,MAX(1,D1983)),0), FactorTable!$A$2:$A$301,0), Skills!M20+1)</f>
        <v/>
      </c>
      <c r="F1983">
        <f>IF(Skills!N20=TRUE,(Skills!L20/10)*(E1983/1000),Skills!L20/10)+Skills!O20</f>
        <v/>
      </c>
      <c r="G1983">
        <f>Skills!G20*IF(Skills!H20&gt;0,Skills!I20/Skills!H20,1)</f>
        <v/>
      </c>
      <c r="H1983">
        <f>1-(1-Skills!J20/100)^Skills!K20</f>
        <v/>
      </c>
      <c r="I1983" t="inlineStr">
        <is>
          <t>1</t>
        </is>
      </c>
      <c r="J1983" t="inlineStr"/>
      <c r="K1983" t="inlineStr"/>
      <c r="L1983" t="inlineStr"/>
      <c r="M1983" t="inlineStr"/>
      <c r="N1983" t="inlineStr"/>
      <c r="O1983">
        <f>(1-Summary!$B$11)*T1983+Summary!$B$11*V1983</f>
        <v/>
      </c>
      <c r="P1983">
        <f>IF(B2003=0,0,O1983/B2003)</f>
        <v/>
      </c>
      <c r="Q1983" t="n">
        <v>0</v>
      </c>
      <c r="R1983" t="n">
        <v>0</v>
      </c>
      <c r="S1983">
        <f>IFERROR(O1983/N1983,0)</f>
        <v/>
      </c>
      <c r="T1983" t="n">
        <v>0</v>
      </c>
      <c r="V1983" t="n">
        <v>0</v>
      </c>
    </row>
    <row r="1984">
      <c r="A1984">
        <f>Skills!A21</f>
        <v/>
      </c>
      <c r="B1984">
        <f>Skills!B21</f>
        <v/>
      </c>
      <c r="C1984">
        <f>Inputs!$B$3&gt;=33</f>
        <v/>
      </c>
      <c r="D1984">
        <f>IF(Skills!C21=1,60+Inputs!$B$25+Inputs!$B$29,IF(Skills!C21=2,90+Inputs!$B$26+Inputs!$B$29,IF(Skills!C21=3,120+Inputs!$B$27+Inputs!$B$29,MAX(0,(Inputs!$B$3-100)*3)+Inputs!$B$28+Inputs!$B$29)))</f>
        <v/>
      </c>
      <c r="E1984">
        <f>INDEX(FactorTable!$B$2:$Y$301, MATCH(ROUND(MIN(300,MAX(1,D1984)),0), FactorTable!$A$2:$A$301,0), Skills!M21+1)</f>
        <v/>
      </c>
      <c r="F1984">
        <f>IF(Skills!N21=TRUE,(Skills!L21/10)*(E1984/1000),Skills!L21/10)+Skills!O21</f>
        <v/>
      </c>
      <c r="G1984">
        <f>Skills!G21*IF(Skills!H21&gt;0,Skills!I21/Skills!H21,1)</f>
        <v/>
      </c>
      <c r="H1984">
        <f>1-(1-Skills!J21/100)^Skills!K21</f>
        <v/>
      </c>
      <c r="I1984" t="inlineStr">
        <is>
          <t>1</t>
        </is>
      </c>
      <c r="J1984" t="inlineStr"/>
      <c r="K1984" t="inlineStr"/>
      <c r="L1984" t="inlineStr"/>
      <c r="M1984" t="inlineStr"/>
      <c r="N1984" t="inlineStr"/>
      <c r="O1984">
        <f>(1-Summary!$B$11)*T1984+Summary!$B$11*V1984</f>
        <v/>
      </c>
      <c r="P1984">
        <f>IF(B2003=0,0,O1984/B2003)</f>
        <v/>
      </c>
      <c r="Q1984" t="n">
        <v>0</v>
      </c>
      <c r="R1984" t="n">
        <v>0</v>
      </c>
      <c r="S1984">
        <f>IFERROR(O1984/N1984,0)</f>
        <v/>
      </c>
      <c r="T1984" t="n">
        <v>0</v>
      </c>
      <c r="V1984" t="n">
        <v>0</v>
      </c>
    </row>
    <row r="1985">
      <c r="A1985">
        <f>Skills!A22</f>
        <v/>
      </c>
      <c r="B1985">
        <f>Skills!B22</f>
        <v/>
      </c>
      <c r="C1985">
        <f>Inputs!$B$3&gt;=43</f>
        <v/>
      </c>
      <c r="D1985">
        <f>IF(Skills!C22=1,60+Inputs!$B$25+Inputs!$B$29,IF(Skills!C22=2,90+Inputs!$B$26+Inputs!$B$29,IF(Skills!C22=3,120+Inputs!$B$27+Inputs!$B$29,MAX(0,(Inputs!$B$3-100)*3)+Inputs!$B$28+Inputs!$B$29)))</f>
        <v/>
      </c>
      <c r="E1985">
        <f>INDEX(FactorTable!$B$2:$Y$301, MATCH(ROUND(MIN(300,MAX(1,D1985)),0), FactorTable!$A$2:$A$301,0), Skills!M22+1)</f>
        <v/>
      </c>
      <c r="F1985">
        <f>IF(Skills!N22=TRUE,(Skills!L22/10)*(E1985/1000),Skills!L22/10)+Skills!O22</f>
        <v/>
      </c>
      <c r="G1985">
        <f>Skills!G22*IF(Skills!H22&gt;0,Skills!I22/Skills!H22,1)</f>
        <v/>
      </c>
      <c r="H1985">
        <f>1-(1-Skills!J22/100)^Skills!K22</f>
        <v/>
      </c>
      <c r="I1985" t="inlineStr">
        <is>
          <t>1</t>
        </is>
      </c>
      <c r="J1985" t="inlineStr"/>
      <c r="K1985" t="inlineStr"/>
      <c r="L1985" t="inlineStr"/>
      <c r="M1985" t="inlineStr"/>
      <c r="N1985" t="inlineStr"/>
      <c r="O1985">
        <f>(1-Summary!$B$11)*T1985+Summary!$B$11*V1985</f>
        <v/>
      </c>
      <c r="P1985">
        <f>IF(B2003=0,0,O1985/B2003)</f>
        <v/>
      </c>
      <c r="Q1985" t="n">
        <v>0</v>
      </c>
      <c r="R1985" t="n">
        <v>0</v>
      </c>
      <c r="S1985">
        <f>IFERROR(O1985/N1985,0)</f>
        <v/>
      </c>
      <c r="T1985" t="n">
        <v>0</v>
      </c>
      <c r="V1985" t="n">
        <v>0</v>
      </c>
    </row>
    <row r="1986">
      <c r="A1986">
        <f>Skills!A23</f>
        <v/>
      </c>
      <c r="B1986">
        <f>Skills!B23</f>
        <v/>
      </c>
      <c r="C1986">
        <f>Inputs!$B$3&gt;=38</f>
        <v/>
      </c>
      <c r="D1986">
        <f>IF(Skills!C23=1,60+Inputs!$B$25+Inputs!$B$29,IF(Skills!C23=2,90+Inputs!$B$26+Inputs!$B$29,IF(Skills!C23=3,120+Inputs!$B$27+Inputs!$B$29,MAX(0,(Inputs!$B$3-100)*3)+Inputs!$B$28+Inputs!$B$29)))</f>
        <v/>
      </c>
      <c r="E1986">
        <f>INDEX(FactorTable!$B$2:$Y$301, MATCH(ROUND(MIN(300,MAX(1,D1986)),0), FactorTable!$A$2:$A$301,0), Skills!M23+1)</f>
        <v/>
      </c>
      <c r="F1986">
        <f>IF(Skills!N23=TRUE,(Skills!L23/10)*(E1986/1000),Skills!L23/10)+Skills!O23</f>
        <v/>
      </c>
      <c r="G1986">
        <f>Skills!G23*IF(Skills!H23&gt;0,Skills!I23/Skills!H23,1)</f>
        <v/>
      </c>
      <c r="H1986">
        <f>1-(1-Skills!J23/100)^Skills!K23</f>
        <v/>
      </c>
      <c r="I1986" t="inlineStr">
        <is>
          <t>1</t>
        </is>
      </c>
      <c r="J1986" t="inlineStr"/>
      <c r="K1986" t="inlineStr"/>
      <c r="L1986" t="inlineStr"/>
      <c r="M1986" t="inlineStr"/>
      <c r="N1986" t="inlineStr"/>
      <c r="O1986">
        <f>(1-Summary!$B$11)*T1986+Summary!$B$11*V1986</f>
        <v/>
      </c>
      <c r="P1986">
        <f>IF(B2003=0,0,O1986/B2003)</f>
        <v/>
      </c>
      <c r="Q1986" t="n">
        <v>0</v>
      </c>
      <c r="R1986" t="n">
        <v>0</v>
      </c>
      <c r="S1986">
        <f>IFERROR(O1986/N1986,0)</f>
        <v/>
      </c>
      <c r="T1986" t="n">
        <v>0</v>
      </c>
      <c r="V1986" t="n">
        <v>0</v>
      </c>
    </row>
    <row r="1987">
      <c r="A1987">
        <f>Skills!A24</f>
        <v/>
      </c>
      <c r="B1987">
        <f>Skills!B24</f>
        <v/>
      </c>
      <c r="C1987">
        <f>Inputs!$B$3&gt;=40</f>
        <v/>
      </c>
      <c r="D1987">
        <f>IF(Skills!C24=1,60+Inputs!$B$25+Inputs!$B$29,IF(Skills!C24=2,90+Inputs!$B$26+Inputs!$B$29,IF(Skills!C24=3,120+Inputs!$B$27+Inputs!$B$29,MAX(0,(Inputs!$B$3-100)*3)+Inputs!$B$28+Inputs!$B$29)))</f>
        <v/>
      </c>
      <c r="E1987">
        <f>INDEX(FactorTable!$B$2:$Y$301, MATCH(ROUND(MIN(300,MAX(1,D1987)),0), FactorTable!$A$2:$A$301,0), Skills!M24+1)</f>
        <v/>
      </c>
      <c r="F1987">
        <f>IF(Skills!N24=TRUE,(Skills!L24/10)*(E1987/1000),Skills!L24/10)+Skills!O24</f>
        <v/>
      </c>
      <c r="G1987">
        <f>Skills!G24*IF(Skills!H24&gt;0,Skills!I24/Skills!H24,1)</f>
        <v/>
      </c>
      <c r="H1987">
        <f>1-(1-Skills!J24/100)^Skills!K24</f>
        <v/>
      </c>
      <c r="I1987" t="inlineStr">
        <is>
          <t>1</t>
        </is>
      </c>
      <c r="J1987" t="inlineStr"/>
      <c r="K1987" t="inlineStr"/>
      <c r="L1987" t="inlineStr"/>
      <c r="M1987" t="inlineStr"/>
      <c r="N1987" t="inlineStr"/>
      <c r="O1987">
        <f>(1-Summary!$B$11)*T1987+Summary!$B$11*V1987</f>
        <v/>
      </c>
      <c r="P1987">
        <f>IF(B2003=0,0,O1987/B2003)</f>
        <v/>
      </c>
      <c r="Q1987" t="n">
        <v>0</v>
      </c>
      <c r="R1987" t="n">
        <v>0</v>
      </c>
      <c r="S1987">
        <f>IFERROR(O1987/N1987,0)</f>
        <v/>
      </c>
      <c r="T1987" t="n">
        <v>0</v>
      </c>
      <c r="V1987" t="n">
        <v>0</v>
      </c>
    </row>
    <row r="1988">
      <c r="A1988">
        <f>Skills!A25</f>
        <v/>
      </c>
      <c r="B1988">
        <f>Skills!B25</f>
        <v/>
      </c>
      <c r="C1988">
        <f>Inputs!$B$3&gt;=72</f>
        <v/>
      </c>
      <c r="D1988">
        <f>IF(Skills!C25=1,60+Inputs!$B$25+Inputs!$B$29,IF(Skills!C25=2,90+Inputs!$B$26+Inputs!$B$29,IF(Skills!C25=3,120+Inputs!$B$27+Inputs!$B$29,MAX(0,(Inputs!$B$3-100)*3)+Inputs!$B$28+Inputs!$B$29)))</f>
        <v/>
      </c>
      <c r="E1988">
        <f>INDEX(FactorTable!$B$2:$Y$301, MATCH(ROUND(MIN(300,MAX(1,D1988)),0), FactorTable!$A$2:$A$301,0), Skills!M25+1)</f>
        <v/>
      </c>
      <c r="F1988">
        <f>IF(Skills!N25=TRUE,(Skills!L25/10)*(E1988/1000),Skills!L25/10)+Skills!O25</f>
        <v/>
      </c>
      <c r="G1988">
        <f>Skills!G25*IF(Skills!H25&gt;0,Skills!I25/Skills!H25,1)</f>
        <v/>
      </c>
      <c r="H1988">
        <f>1-(1-Skills!J25/100)^Skills!K25</f>
        <v/>
      </c>
      <c r="I1988" t="inlineStr">
        <is>
          <t>1</t>
        </is>
      </c>
      <c r="J1988" t="inlineStr"/>
      <c r="K1988" t="inlineStr"/>
      <c r="L1988" t="inlineStr"/>
      <c r="M1988" t="inlineStr"/>
      <c r="N1988" t="inlineStr"/>
      <c r="O1988">
        <f>(1-Summary!$B$11)*T1988+Summary!$B$11*V1988</f>
        <v/>
      </c>
      <c r="P1988">
        <f>IF(B2003=0,0,O1988/B2003)</f>
        <v/>
      </c>
      <c r="Q1988" t="n">
        <v>0</v>
      </c>
      <c r="R1988" t="n">
        <v>0</v>
      </c>
      <c r="S1988">
        <f>IFERROR(O1988/N1988,0)</f>
        <v/>
      </c>
      <c r="T1988" t="n">
        <v>0</v>
      </c>
      <c r="V1988" t="n">
        <v>0</v>
      </c>
    </row>
    <row r="1989">
      <c r="A1989">
        <f>Skills!A26</f>
        <v/>
      </c>
      <c r="B1989">
        <f>Skills!B26</f>
        <v/>
      </c>
      <c r="C1989">
        <f>Inputs!$B$3&gt;=75</f>
        <v/>
      </c>
      <c r="D1989">
        <f>IF(Skills!C26=1,60+Inputs!$B$25+Inputs!$B$29,IF(Skills!C26=2,90+Inputs!$B$26+Inputs!$B$29,IF(Skills!C26=3,120+Inputs!$B$27+Inputs!$B$29,MAX(0,(Inputs!$B$3-100)*3)+Inputs!$B$28+Inputs!$B$29)))</f>
        <v/>
      </c>
      <c r="E1989">
        <f>INDEX(FactorTable!$B$2:$Y$301, MATCH(ROUND(MIN(300,MAX(1,D1989)),0), FactorTable!$A$2:$A$301,0), Skills!M26+1)</f>
        <v/>
      </c>
      <c r="F1989">
        <f>IF(Skills!N26=TRUE,(Skills!L26/10)*(E1989/1000),Skills!L26/10)+Skills!O26</f>
        <v/>
      </c>
      <c r="G1989">
        <f>Skills!G26*IF(Skills!H26&gt;0,Skills!I26/Skills!H26,1)</f>
        <v/>
      </c>
      <c r="H1989">
        <f>1-(1-Skills!J26/100)^Skills!K26</f>
        <v/>
      </c>
      <c r="I1989" t="inlineStr">
        <is>
          <t>1</t>
        </is>
      </c>
      <c r="J1989" t="inlineStr"/>
      <c r="K1989" t="inlineStr"/>
      <c r="L1989" t="inlineStr"/>
      <c r="M1989" t="inlineStr"/>
      <c r="N1989" t="inlineStr"/>
      <c r="O1989">
        <f>(1-Summary!$B$11)*T1989+Summary!$B$11*V1989</f>
        <v/>
      </c>
      <c r="P1989">
        <f>IF(B2003=0,0,O1989/B2003)</f>
        <v/>
      </c>
      <c r="Q1989" t="n">
        <v>0</v>
      </c>
      <c r="R1989" t="n">
        <v>0</v>
      </c>
      <c r="S1989">
        <f>IFERROR(O1989/N1989,0)</f>
        <v/>
      </c>
      <c r="T1989" t="n">
        <v>0</v>
      </c>
      <c r="V1989" t="n">
        <v>0</v>
      </c>
    </row>
    <row r="1990">
      <c r="A1990">
        <f>Skills!A27</f>
        <v/>
      </c>
      <c r="B1990">
        <f>Skills!B27</f>
        <v/>
      </c>
      <c r="C1990">
        <f>Inputs!$B$3&gt;=117</f>
        <v/>
      </c>
      <c r="D1990">
        <f>IF(Skills!C27=1,60+Inputs!$B$25+Inputs!$B$29,IF(Skills!C27=2,90+Inputs!$B$26+Inputs!$B$29,IF(Skills!C27=3,120+Inputs!$B$27+Inputs!$B$29,MAX(0,(Inputs!$B$3-100)*3)+Inputs!$B$28+Inputs!$B$29)))</f>
        <v/>
      </c>
      <c r="E1990">
        <f>INDEX(FactorTable!$B$2:$Y$301, MATCH(ROUND(MIN(300,MAX(1,D1990)),0), FactorTable!$A$2:$A$301,0), Skills!M27+1)</f>
        <v/>
      </c>
      <c r="F1990">
        <f>IF(Skills!N27=TRUE,(Skills!L27/10)*(E1990/1000),Skills!L27/10)+Skills!O27</f>
        <v/>
      </c>
      <c r="G1990">
        <f>Skills!G27*IF(Skills!H27&gt;0,Skills!I27/Skills!H27,1)</f>
        <v/>
      </c>
      <c r="H1990">
        <f>1-(1-Skills!J27/100)^Skills!K27</f>
        <v/>
      </c>
      <c r="I1990" t="inlineStr">
        <is>
          <t>1</t>
        </is>
      </c>
      <c r="J1990" t="inlineStr"/>
      <c r="K1990" t="inlineStr"/>
      <c r="L1990" t="inlineStr"/>
      <c r="M1990" t="inlineStr"/>
      <c r="N1990" t="inlineStr"/>
      <c r="O1990">
        <f>(1-Summary!$B$11)*T1990+Summary!$B$11*V1990</f>
        <v/>
      </c>
      <c r="P1990">
        <f>IF(B2003=0,0,O1990/B2003)</f>
        <v/>
      </c>
      <c r="Q1990" t="n">
        <v>0</v>
      </c>
      <c r="R1990" t="n">
        <v>0</v>
      </c>
      <c r="S1990">
        <f>IFERROR(O1990/N1990,0)</f>
        <v/>
      </c>
      <c r="T1990" t="n">
        <v>0</v>
      </c>
      <c r="V1990" t="n">
        <v>0</v>
      </c>
    </row>
    <row r="1992">
      <c r="A1992" t="inlineStr">
        <is>
          <t>Attack% Bucket Multiplier</t>
        </is>
      </c>
      <c r="B1992">
        <f>(1+(((C1980=TRUE)*F1980)+((C1987=TRUE)*(F1987-Calc!F24))+(IF(ArtifactsInput!$M$21,CHOOSE(ArtifactsInput!$N$21+1,25,30,35,40,45,50)*(IF(OR(Inputs!$B$4="Chapter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93">
      <c r="A1993" t="inlineStr">
        <is>
          <t>Global Crit Rate Bonus %</t>
        </is>
      </c>
      <c r="B1993" t="n">
        <v>0</v>
      </c>
    </row>
    <row r="1994">
      <c r="A1994" t="inlineStr">
        <is>
          <t>Attack Speed Buff Bonus % (unused)</t>
        </is>
      </c>
      <c r="B1994" t="n">
        <v>0</v>
      </c>
    </row>
    <row r="1995">
      <c r="A1995" t="inlineStr">
        <is>
          <t>Actions Per Second</t>
        </is>
      </c>
      <c r="B1995">
        <f>1+MIN(150,150*(1-(1-(Inputs!$B$11+((C1983=TRUE)*(F1983-Calc!F20))+((C1984=TRUE)*(F1984-Calc!F21)))/150)*(1-B1994/150)))/100</f>
        <v/>
      </c>
    </row>
    <row r="1996">
      <c r="A1996" t="inlineStr">
        <is>
          <t>Skill + Buff Cast Rate</t>
        </is>
      </c>
      <c r="B1996">
        <f>IF(AND(Inputs!$B$38&lt;&gt;"pvp",Inputs!$B$43&gt;0),SUMPRODUCT((Skills!E2:E27=TRUE)*(C1965:C1990=TRUE)*R1965:R1990*Skills!F2:F27)/Inputs!$B$43,SUMPRODUCT((Skills!E2:E27=TRUE)*(C1965:C1990=TRUE)*Q1965:Q1990*Skills!F2:F27))</f>
        <v/>
      </c>
    </row>
    <row r="1997">
      <c r="A1997" t="inlineStr">
        <is>
          <t>Eight-Legs Easton Casts Per Second</t>
        </is>
      </c>
      <c r="B1997">
        <f>MAX(0,B1995-B1996)</f>
        <v/>
      </c>
    </row>
    <row r="1998">
      <c r="A1998" t="inlineStr">
        <is>
          <t>Global Critical Damage Bonus % (unused)</t>
        </is>
      </c>
      <c r="B1998" t="n">
        <v>0</v>
      </c>
    </row>
    <row r="1999">
      <c r="A1999" t="inlineStr">
        <is>
          <t>Global Final Damage Bonus % (Jolly Roger only)</t>
        </is>
      </c>
      <c r="B1999">
        <f>((C1981=TRUE)*F1981)</f>
        <v/>
      </c>
    </row>
    <row r="2000">
      <c r="A2000" t="inlineStr">
        <is>
          <t>Buff-Casting Startup Delay (s, fixed-duration only)</t>
        </is>
      </c>
      <c r="B2000">
        <f>IF(AND(Inputs!$B$38&lt;&gt;"pvp",Inputs!$B$43&gt;0),SUMPRODUCT((Skills!T2:T27&gt;0)*(Skills!E2:E27=TRUE)*(C1965:C1990=TRUE))/B1995,0)</f>
        <v/>
      </c>
    </row>
    <row r="2001">
      <c r="A2001" t="inlineStr">
        <is>
          <t>Boss-Only Total DPS (this block's swept value)</t>
        </is>
      </c>
      <c r="B2001">
        <f>SUM(T1965:T1990)</f>
        <v/>
      </c>
    </row>
    <row r="2002">
      <c r="A2002" t="inlineStr">
        <is>
          <t>Normal-Only Total DPS (this block's swept value)</t>
        </is>
      </c>
      <c r="B2002">
        <f>SUM(V1965:V1990)</f>
        <v/>
      </c>
    </row>
    <row r="2003">
      <c r="A2003" s="6" t="inlineStr">
        <is>
          <t>TOTAL DPS</t>
        </is>
      </c>
      <c r="B2003" s="6">
        <f>SUM(O1965:O1990)</f>
        <v/>
      </c>
    </row>
    <row r="2006">
      <c r="A2006" s="6" t="inlineStr">
        <is>
          <t>Stat: Fire Flower (Equip)</t>
        </is>
      </c>
    </row>
    <row r="2007">
      <c r="A2007" s="5" t="inlineStr">
        <is>
          <t>Key</t>
        </is>
      </c>
      <c r="B2007" s="5" t="inlineStr">
        <is>
          <t>Name</t>
        </is>
      </c>
      <c r="C2007" s="5" t="inlineStr">
        <is>
          <t>Unlocked</t>
        </is>
      </c>
      <c r="D2007" s="5" t="inlineStr">
        <is>
          <t>InputLevel</t>
        </is>
      </c>
      <c r="E2007" s="5" t="inlineStr">
        <is>
          <t>Factor</t>
        </is>
      </c>
      <c r="F2007" s="5" t="inlineStr">
        <is>
          <t>CoefficientPercent</t>
        </is>
      </c>
      <c r="G2007" s="5" t="inlineStr">
        <is>
          <t>EffectiveHits</t>
        </is>
      </c>
      <c r="H2007" s="5" t="inlineStr">
        <is>
          <t>ProcProbability</t>
        </is>
      </c>
      <c r="I2007" s="5" t="inlineStr">
        <is>
          <t>MapleHeroMultiplier</t>
        </is>
      </c>
      <c r="J2007" s="5" t="inlineStr">
        <is>
          <t>BaseDamage</t>
        </is>
      </c>
      <c r="K2007" s="5" t="inlineStr">
        <is>
          <t>BaseHitDamage</t>
        </is>
      </c>
      <c r="L2007" s="5" t="inlineStr">
        <is>
          <t>NonCritAvg</t>
        </is>
      </c>
      <c r="M2007" s="5" t="inlineStr">
        <is>
          <t>CritAvg</t>
        </is>
      </c>
      <c r="N2007" s="5" t="inlineStr">
        <is>
          <t>ExpectedDamage(perHit)</t>
        </is>
      </c>
      <c r="O2007" s="5" t="inlineStr">
        <is>
          <t>DPS</t>
        </is>
      </c>
      <c r="P2007" s="5" t="inlineStr">
        <is>
          <t>% of Total</t>
        </is>
      </c>
      <c r="Q2007" s="5" t="inlineStr">
        <is>
          <t>InvCooldown</t>
        </is>
      </c>
      <c r="R2007" s="5" t="inlineStr">
        <is>
          <t>CastsInFight</t>
        </is>
      </c>
      <c r="S2007" s="5" t="inlineStr">
        <is>
          <t>HitRate(perSec)</t>
        </is>
      </c>
      <c r="U2007" t="inlineStr">
        <is>
          <t>helpers</t>
        </is>
      </c>
    </row>
    <row r="2008">
      <c r="A2008">
        <f>Skills!A2</f>
        <v/>
      </c>
      <c r="B2008">
        <f>Skills!B2</f>
        <v/>
      </c>
      <c r="C2008">
        <f>Inputs!$B$3&gt;=100</f>
        <v/>
      </c>
      <c r="D2008" t="inlineStr"/>
      <c r="E2008" t="inlineStr"/>
      <c r="F2008">
        <f>U2010+Skills!O2</f>
        <v/>
      </c>
      <c r="G2008">
        <f>Skills!G2*IF(Skills!H2&gt;0,Skills!I2/Skills!H2,1)</f>
        <v/>
      </c>
      <c r="H2008">
        <f>1-(1-Skills!J2/100)^Skills!K2</f>
        <v/>
      </c>
      <c r="I2008" t="inlineStr">
        <is>
          <t>1</t>
        </is>
      </c>
      <c r="J2008">
        <f>((Inputs!$B$6*(1+Inputs!$B$7/100))+(((Inputs!$B$12*(1+Inputs!$B$13/100))-(Inputs!$B$12*(1+Inputs!$B$13/100)))+0.25*(Inputs!$B$14-Inputs!$B$14))*(1+Inputs!$B$7/100))*(F2008/100)</f>
        <v/>
      </c>
      <c r="K2008">
        <f>J2008*(1+((Inputs!$B$12*(1+Inputs!$B$13/100))*0.01+Inputs!$B$14*0.0025)/100)*(1+Inputs!$B$15/100)*(1+Inputs!$B$16/100)*(5000/(6000+Inputs!$B$42*(1-(100*(1-(1-(Inputs!$B$19+0)/100)*(1-CHOOSE(ArtifactsInput!$N$40+1,5,6,7,8,9,10)/100)^(ArtifactsInput!$M$40-ArtifactsInput!$M$40)))/100)))*(1+(Inputs!$B$24+((C2032=TRUE)*(F2032-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2029=TRUE)*(F2029-Calc!F23))+((C2033=TRUE)*(F2033-Calc!F27))+(((IF(AND(ArtifactsInput!$M$42,((Inputs!$B$9+((C2025=TRUE)*(F2025-Calc!F19))+B2036+(ArtifactsInput!$M$24-ArtifactsInput!$M$24)*CHOOSE(ArtifactsInput!$N$24+1,10,12,14,16,18,20)+IF(ArtifactsInput!$M$10,CHOOSE(ArtifactsInput!$N$10+1,15,18,21,24,27,30)*(IF(Inputs!$B$38="pvp",MIN(15,15)/15,IF(AND(Inputs!$B$38&lt;&gt;"pvp",Inputs!$B$43&gt;0),MIN(15,Inputs!$B$43)/(Inputs!$B$43),0))),0)))&gt;=100),MIN(100,((Inputs!$B$9+((C2025=TRUE)*(F2025-Calc!F19))+B2036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19))+B2036+(ArtifactsInput!$M$24-ArtifactsInput!$M$24)*CHOOSE(ArtifactsInput!$N$24+1,10,12,14,16,18,20)+IF(ArtifactsInput!$M$10,CHOOSE(ArtifactsInput!$N$10+1,15,18,21,24,27,30)*(IF(Inputs!$B$38="pvp",MIN(15,15)/15,IF(AND(Inputs!$B$38&lt;&gt;"pvp",Inputs!$B$43&gt;0),MIN(15,Inputs!$B$43)/(Inputs!$B$43),0))),0)))&gt;=100),CHOOSE(ArtifactsInput!$N$42+1,40,48,56,64,72,80),0))))/100)*((1+(((C2023=TRUE)*F2023)+((C2030=TRUE)*(F2030-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2008)</f>
        <v/>
      </c>
      <c r="L2008">
        <f>K2008*(MIN(Inputs!$B$22+((C2028=TRUE)*(F2028-Calc!F22)),(Inputs!$B$23+0+(IF(ArtifactsInput!$M$15,CHOOSE(ArtifactsInput!$N$15+1,25,30,35,40,45,50)/100*(Inputs!$B$11-Inputs!$B$11),0))))/100+(Inputs!$B$23+0+(IF(ArtifactsInput!$M$15,CHOOSE(ArtifactsInput!$N$15+1,25,30,35,40,45,50)/100*(Inputs!$B$11-Inputs!$B$11),0)))/100)/2</f>
        <v/>
      </c>
      <c r="M2008">
        <f>L2008*(1+(Inputs!$B$10+((C2031=TRUE)*(F2031-Calc!F25))+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8">
        <f>L2008*(1-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2008*(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8">
        <f>(1-Summary!$B$11)*T2008+Summary!$B$11*V2008</f>
        <v/>
      </c>
      <c r="P2008">
        <f>IF(B2046=0,0,O2008/B2046)</f>
        <v/>
      </c>
      <c r="Q2008" t="n">
        <v>0</v>
      </c>
      <c r="R2008" t="n">
        <v>0</v>
      </c>
      <c r="S2008">
        <f>IFERROR(O2008/N2008,0)</f>
        <v/>
      </c>
      <c r="T2008">
        <f>IF(C2008,(Skills!G2*N2008*B2040)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2008*(1-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2008*(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2008*(1-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2008*(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8">
        <f>MAX(0,(Inputs!$B$3-100)*3)+Inputs!$B$28+Inputs!$B$29</f>
        <v/>
      </c>
      <c r="V2008">
        <f>IF(C2008,(Skills!G2*N2008*B2040)*IF(Inputs!$B$38="pvp",1,(1+(Inputs!$B$21+Skills!Q2+(IF(ArtifactsInput!$M$33,CHOOSE(ArtifactsInput!$N$33+1,30,36,42,48,54,60),0))+(IF(AND(ArtifactsInput!$M$35,Inputs!$B$4&lt;&gt;"Chapter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9">
      <c r="A2009">
        <f>Skills!A3</f>
        <v/>
      </c>
      <c r="B2009">
        <f>Skills!B3</f>
        <v/>
      </c>
      <c r="C2009">
        <f>Inputs!$B$3&gt;=35</f>
        <v/>
      </c>
      <c r="D2009">
        <f>IF(Skills!C3=1,60+Inputs!$B$25+Inputs!$B$29,IF(Skills!C3=2,90+Inputs!$B$26+Inputs!$B$29,IF(Skills!C3=3,120+Inputs!$B$27+Inputs!$B$29,MAX(0,(Inputs!$B$3-100)*3)+Inputs!$B$28+Inputs!$B$29)))</f>
        <v/>
      </c>
      <c r="E2009">
        <f>INDEX(FactorTable!$B$2:$Y$301, MATCH(ROUND(MIN(300,MAX(1,D2009)),0), FactorTable!$A$2:$A$301,0), Skills!M3+1)</f>
        <v/>
      </c>
      <c r="F2009">
        <f>IF(Skills!N3=TRUE,(Skills!L3/10)*(E2009/1000),Skills!L3/10)+Skills!O3</f>
        <v/>
      </c>
      <c r="G2009">
        <f>Skills!G3*IF(Skills!H3&gt;0,Skills!I3/Skills!H3,1)</f>
        <v/>
      </c>
      <c r="H2009">
        <f>1-(1-Skills!J3/100)^Skills!K3</f>
        <v/>
      </c>
      <c r="I2009" t="inlineStr">
        <is>
          <t>1</t>
        </is>
      </c>
      <c r="J2009">
        <f>((Inputs!$B$6*(1+Inputs!$B$7/100))+(((Inputs!$B$12*(1+Inputs!$B$13/100))-(Inputs!$B$12*(1+Inputs!$B$13/100)))+0.25*(Inputs!$B$14-Inputs!$B$14))*(1+Inputs!$B$7/100))*(F2009/100)</f>
        <v/>
      </c>
      <c r="K2009">
        <f>J2009*(1+((Inputs!$B$12*(1+Inputs!$B$13/100))*0.01+Inputs!$B$14*0.0025)/100)*(1+Inputs!$B$15/100)*(1+Inputs!$B$16/100)*(5000/(6000+Inputs!$B$42*(1-(100*(1-(1-(Inputs!$B$19+0)/100)*(1-CHOOSE(ArtifactsInput!$N$40+1,5,6,7,8,9,10)/100)^(ArtifactsInput!$M$40-ArtifactsInput!$M$40)))/100)))*(1+(Inputs!$B$24+((C2032=TRUE)*(F2032-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2021=TRUE,F2021,0)/100)*(1+(IF(Skills!A3="EIGHT_LEGS_EASTON",Inputs!$B$17+((C2029=TRUE)*(F2029-Calc!F23))+((C2033=TRUE)*(F2033-Calc!F27))+(((IF(AND(ArtifactsInput!$M$42,((Inputs!$B$9+((C2025=TRUE)*(F2025-Calc!F19))+B2036+(ArtifactsInput!$M$24-ArtifactsInput!$M$24)*CHOOSE(ArtifactsInput!$N$24+1,10,12,14,16,18,20)+IF(ArtifactsInput!$M$10,CHOOSE(ArtifactsInput!$N$10+1,15,18,21,24,27,30)*(IF(Inputs!$B$38="pvp",MIN(15,15)/15,IF(AND(Inputs!$B$38&lt;&gt;"pvp",Inputs!$B$43&gt;0),MIN(15,Inputs!$B$43)/(Inputs!$B$43),0))),0)))&gt;=100),MIN(100,((Inputs!$B$9+((C2025=TRUE)*(F2025-Calc!F19))+B2036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19))+B2036+(ArtifactsInput!$M$24-ArtifactsInput!$M$24)*CHOOSE(ArtifactsInput!$N$24+1,10,12,14,16,18,20)+IF(ArtifactsInput!$M$10,CHOOSE(ArtifactsInput!$N$10+1,15,18,21,24,27,30)*(IF(Inputs!$B$38="pvp",MIN(15,15)/15,IF(AND(Inputs!$B$38&lt;&gt;"pvp",Inputs!$B$43&gt;0),MIN(15,Inputs!$B$43)/(Inputs!$B$43),0))),0)))&gt;=100),CHOOSE(ArtifactsInput!$N$42+1,40,48,56,64,72,80),0))))/100)*((1+(((C2023=TRUE)*F2023)+((C2030=TRUE)*(F2030-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2009)</f>
        <v/>
      </c>
      <c r="L2009">
        <f>K2009*(MIN(Inputs!$B$22+((C2028=TRUE)*(F2028-Calc!F22)),(Inputs!$B$23+0+(IF(ArtifactsInput!$M$15,CHOOSE(ArtifactsInput!$N$15+1,25,30,35,40,45,50)/100*(Inputs!$B$11-Inputs!$B$11),0))))/100+(Inputs!$B$23+0+(IF(ArtifactsInput!$M$15,CHOOSE(ArtifactsInput!$N$15+1,25,30,35,40,45,50)/100*(Inputs!$B$11-Inputs!$B$11),0)))/100)/2</f>
        <v/>
      </c>
      <c r="M2009">
        <f>L2009*(1+(Inputs!$B$10+((C2031=TRUE)*(F2031-Calc!F25))+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9">
        <f>L2009*(1-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2009*(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9">
        <f>(1-Summary!$B$11)*T2009+Summary!$B$11*V2009</f>
        <v/>
      </c>
      <c r="P2009">
        <f>IF(B2046=0,0,O2009/B2046)</f>
        <v/>
      </c>
      <c r="Q2009">
        <f>IFERROR(1/(IF(Inputs!$B$38="pvp",15,MAX(0.1,Skills!D3-IF(Skills!E3=TRUE,Inputs!$B$32,0)))*(1-IF(AND(ArtifactsInput!$M$27,Inputs!$B$4="Chapter Hunt"),CHOOSE(ArtifactsInput!$N$27+1,20,24,28,32,36,40),0)/100)),0)</f>
        <v/>
      </c>
      <c r="R2009">
        <f>IF(AND(Inputs!$B$38&lt;&gt;"pvp",Inputs!$B$43&gt;0),IF(MAX(0,Inputs!$B$43-B2043)&lt;=0,0,(INT(MAX(0,Inputs!$B$43-B2043)/(IF(Inputs!$B$38="pvp",15,MAX(0.1,Skills!D3-IF(Skills!E3=TRUE,Inputs!$B$32,0)))*(1-IF(AND(ArtifactsInput!$M$27,Inputs!$B$4="Chapter Hunt"),CHOOSE(ArtifactsInput!$N$27+1,20,24,28,32,36,40),0)/100)))+1)),0)</f>
        <v/>
      </c>
      <c r="S2009">
        <f>IFERROR(O2009/N2009,0)</f>
        <v/>
      </c>
      <c r="T2009">
        <f>IF(C2009,(H2009*N2009*IF(AND(Inputs!$B$38&lt;&gt;"pvp",Inputs!$B$43&gt;0),((Skills!G3*((R2009-1)*IF(Skills!H3&gt;0,Skills!I3/Skills!H3,1)+IF(Skills!H3&gt;0,MIN(Skills!I3,MAX(0,MAX(0,Inputs!$B$43-B2043)-((R2009-1)*(IF(Inputs!$B$38="pvp",15,MAX(0.1,Skills!D3-IF(Skills!E3=TRUE,Inputs!$B$32,0)))*(1-IF(AND(ArtifactsInput!$M$27,Inputs!$B$4="Chapter Hunt"),CHOOSE(ArtifactsInput!$N$27+1,20,24,28,32,36,40),0)/100)))))/Skills!H3,1)))/Inputs!$B$43),G2009*Q2009)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2009*(1-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2009*(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2009*(1-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2009*(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9">
        <f>INDEX(FactorTable!$B$2:$Y$301, MATCH(ROUND(MIN(300,MAX(1,U2008)),0), FactorTable!$A$2:$A$301,0), 22)</f>
        <v/>
      </c>
      <c r="V2009">
        <f>IF(C2009,(H2009*N2009*IF(AND(Inputs!$B$38&lt;&gt;"pvp",Inputs!$B$43&gt;0),((Skills!G3*((R2009-1)*IF(Skills!H3&gt;0,Skills!I3/Skills!H3,1)+IF(Skills!H3&gt;0,MIN(Skills!I3,MAX(0,MAX(0,Inputs!$B$43-B2043)-((R2009-1)*(IF(Inputs!$B$38="pvp",15,MAX(0.1,Skills!D3-IF(Skills!E3=TRUE,Inputs!$B$32,0)))*(1-IF(AND(ArtifactsInput!$M$27,Inputs!$B$4="Chapter Hunt"),CHOOSE(ArtifactsInput!$N$27+1,20,24,28,32,36,40),0)/100)))))/Skills!H3,1)))/Inputs!$B$43),G2009*Q2009))*IF(Inputs!$B$38="pvp",1,(1+(Inputs!$B$21+Skills!Q3+(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0">
      <c r="A2010">
        <f>Skills!A4</f>
        <v/>
      </c>
      <c r="B2010">
        <f>Skills!B4</f>
        <v/>
      </c>
      <c r="C2010">
        <f>Inputs!$B$3&gt;=40</f>
        <v/>
      </c>
      <c r="D2010">
        <f>IF(Skills!C4=1,60+Inputs!$B$25+Inputs!$B$29,IF(Skills!C4=2,90+Inputs!$B$26+Inputs!$B$29,IF(Skills!C4=3,120+Inputs!$B$27+Inputs!$B$29,MAX(0,(Inputs!$B$3-100)*3)+Inputs!$B$28+Inputs!$B$29)))</f>
        <v/>
      </c>
      <c r="E2010">
        <f>INDEX(FactorTable!$B$2:$Y$301, MATCH(ROUND(MIN(300,MAX(1,D2010)),0), FactorTable!$A$2:$A$301,0), Skills!M4+1)</f>
        <v/>
      </c>
      <c r="F2010">
        <f>IF(Skills!N4=TRUE,(Skills!L4/10)*(E2010/1000),Skills!L4/10)+Skills!O4</f>
        <v/>
      </c>
      <c r="G2010">
        <f>Skills!G4*IF(Skills!H4&gt;0,Skills!I4/Skills!H4,1)</f>
        <v/>
      </c>
      <c r="H2010">
        <f>1-(1-Skills!J4/100)^Skills!K4</f>
        <v/>
      </c>
      <c r="I2010" t="inlineStr">
        <is>
          <t>1</t>
        </is>
      </c>
      <c r="J2010">
        <f>((Inputs!$B$6*(1+Inputs!$B$7/100))+(((Inputs!$B$12*(1+Inputs!$B$13/100))-(Inputs!$B$12*(1+Inputs!$B$13/100)))+0.25*(Inputs!$B$14-Inputs!$B$14))*(1+Inputs!$B$7/100))*(F2010/100)</f>
        <v/>
      </c>
      <c r="K2010">
        <f>J2010*(1+((Inputs!$B$12*(1+Inputs!$B$13/100))*0.01+Inputs!$B$14*0.0025)/100)*(1+Inputs!$B$15/100)*(1+Inputs!$B$16/100)*(5000/(6000+Inputs!$B$42*(1-(100*(1-(1-(Inputs!$B$19+0)/100)*(1-CHOOSE(ArtifactsInput!$N$40+1,5,6,7,8,9,10)/100)^(ArtifactsInput!$M$40-ArtifactsInput!$M$40)))/100)))*(1+(Inputs!$B$24+((C2032=TRUE)*(F2032-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2022=TRUE,F2022,0)/100)*(1+(IF(Skills!A4="EIGHT_LEGS_EASTON",Inputs!$B$17+((C2029=TRUE)*(F2029-Calc!F23))+((C2033=TRUE)*(F2033-Calc!F27))+(((IF(AND(ArtifactsInput!$M$42,((Inputs!$B$9+((C2025=TRUE)*(F2025-Calc!F19))+B2036+(ArtifactsInput!$M$24-ArtifactsInput!$M$24)*CHOOSE(ArtifactsInput!$N$24+1,10,12,14,16,18,20)+IF(ArtifactsInput!$M$10,CHOOSE(ArtifactsInput!$N$10+1,15,18,21,24,27,30)*(IF(Inputs!$B$38="pvp",MIN(15,15)/15,IF(AND(Inputs!$B$38&lt;&gt;"pvp",Inputs!$B$43&gt;0),MIN(15,Inputs!$B$43)/(Inputs!$B$43),0))),0)))&gt;=100),MIN(100,((Inputs!$B$9+((C2025=TRUE)*(F2025-Calc!F19))+B2036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19))+B2036+(ArtifactsInput!$M$24-ArtifactsInput!$M$24)*CHOOSE(ArtifactsInput!$N$24+1,10,12,14,16,18,20)+IF(ArtifactsInput!$M$10,CHOOSE(ArtifactsInput!$N$10+1,15,18,21,24,27,30)*(IF(Inputs!$B$38="pvp",MIN(15,15)/15,IF(AND(Inputs!$B$38&lt;&gt;"pvp",Inputs!$B$43&gt;0),MIN(15,Inputs!$B$43)/(Inputs!$B$43),0))),0)))&gt;=100),CHOOSE(ArtifactsInput!$N$42+1,40,48,56,64,72,80),0))))/100)*((1+(((C2023=TRUE)*F2023)+((C2030=TRUE)*(F2030-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2010)</f>
        <v/>
      </c>
      <c r="L2010">
        <f>K2010*(MIN(Inputs!$B$22+((C2028=TRUE)*(F2028-Calc!F22)),(Inputs!$B$23+0+(IF(ArtifactsInput!$M$15,CHOOSE(ArtifactsInput!$N$15+1,25,30,35,40,45,50)/100*(Inputs!$B$11-Inputs!$B$11),0))))/100+(Inputs!$B$23+0+(IF(ArtifactsInput!$M$15,CHOOSE(ArtifactsInput!$N$15+1,25,30,35,40,45,50)/100*(Inputs!$B$11-Inputs!$B$11),0)))/100)/2</f>
        <v/>
      </c>
      <c r="M2010">
        <f>L2010*(1+(Inputs!$B$10+((C2031=TRUE)*(F2031-Calc!F25))+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0">
        <f>L2010*(1-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2010*(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0">
        <f>(1-Summary!$B$11)*T2010+Summary!$B$11*V2010</f>
        <v/>
      </c>
      <c r="P2010">
        <f>IF(B2046=0,0,O2010/B2046)</f>
        <v/>
      </c>
      <c r="Q2010">
        <f>IFERROR(1/(IF(Inputs!$B$38="pvp",15,MAX(0.1,Skills!D4-IF(Skills!E4=TRUE,Inputs!$B$32,0)))*(1-IF(AND(ArtifactsInput!$M$27,Inputs!$B$4="Chapter Hunt"),CHOOSE(ArtifactsInput!$N$27+1,20,24,28,32,36,40),0)/100)),0)</f>
        <v/>
      </c>
      <c r="R2010">
        <f>IF(AND(Inputs!$B$38&lt;&gt;"pvp",Inputs!$B$43&gt;0),IF(MAX(0,Inputs!$B$43-B2043)&lt;=0,0,(INT(MAX(0,Inputs!$B$43-B2043)/(IF(Inputs!$B$38="pvp",15,MAX(0.1,Skills!D4-IF(Skills!E4=TRUE,Inputs!$B$32,0)))*(1-IF(AND(ArtifactsInput!$M$27,Inputs!$B$4="Chapter Hunt"),CHOOSE(ArtifactsInput!$N$27+1,20,24,28,32,36,40),0)/100)))+1)),0)</f>
        <v/>
      </c>
      <c r="S2010">
        <f>IFERROR(O2010/N2010,0)</f>
        <v/>
      </c>
      <c r="T2010">
        <f>IF(C2010,(H2010*N2010*IF(AND(Inputs!$B$38&lt;&gt;"pvp",Inputs!$B$43&gt;0),((Skills!G4*((R2010-1)*IF(Skills!H4&gt;0,Skills!I4/Skills!H4,1)+IF(Skills!H4&gt;0,MIN(Skills!I4,MAX(0,MAX(0,Inputs!$B$43-B2043)-((R2010-1)*(IF(Inputs!$B$38="pvp",15,MAX(0.1,Skills!D4-IF(Skills!E4=TRUE,Inputs!$B$32,0)))*(1-IF(AND(ArtifactsInput!$M$27,Inputs!$B$4="Chapter Hunt"),CHOOSE(ArtifactsInput!$N$27+1,20,24,28,32,36,40),0)/100)))))/Skills!H4,1)))/Inputs!$B$43),G2010*Q2010)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2010*(1-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2010*(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2010*(1-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2010*(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0">
        <f>290*U2009/1000</f>
        <v/>
      </c>
      <c r="V2010">
        <f>IF(C2010,(H2010*N2010*IF(AND(Inputs!$B$38&lt;&gt;"pvp",Inputs!$B$43&gt;0),((Skills!G4*((R2010-1)*IF(Skills!H4&gt;0,Skills!I4/Skills!H4,1)+IF(Skills!H4&gt;0,MIN(Skills!I4,MAX(0,MAX(0,Inputs!$B$43-B2043)-((R2010-1)*(IF(Inputs!$B$38="pvp",15,MAX(0.1,Skills!D4-IF(Skills!E4=TRUE,Inputs!$B$32,0)))*(1-IF(AND(ArtifactsInput!$M$27,Inputs!$B$4="Chapter Hunt"),CHOOSE(ArtifactsInput!$N$27+1,20,24,28,32,36,40),0)/100)))))/Skills!H4,1)))/Inputs!$B$43),G2010*Q2010))*IF(Inputs!$B$38="pvp",1,(1+(Inputs!$B$21+Skills!Q4+(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1">
      <c r="A2011">
        <f>Skills!A5</f>
        <v/>
      </c>
      <c r="B2011">
        <f>Skills!B5</f>
        <v/>
      </c>
      <c r="C2011">
        <f>Inputs!$B$3&gt;=45</f>
        <v/>
      </c>
      <c r="D2011">
        <f>IF(Skills!C5=1,60+Inputs!$B$25+Inputs!$B$29,IF(Skills!C5=2,90+Inputs!$B$26+Inputs!$B$29,IF(Skills!C5=3,120+Inputs!$B$27+Inputs!$B$29,MAX(0,(Inputs!$B$3-100)*3)+Inputs!$B$28+Inputs!$B$29)))</f>
        <v/>
      </c>
      <c r="E2011">
        <f>INDEX(FactorTable!$B$2:$Y$301, MATCH(ROUND(MIN(300,MAX(1,D2011)),0), FactorTable!$A$2:$A$301,0), Skills!M5+1)</f>
        <v/>
      </c>
      <c r="F2011">
        <f>IF(Skills!N5=TRUE,(Skills!L5/10)*(E2011/1000),Skills!L5/10)+Skills!O5</f>
        <v/>
      </c>
      <c r="G2011">
        <f>Skills!G5*IF(Skills!H5&gt;0,Skills!I5/Skills!H5,1)</f>
        <v/>
      </c>
      <c r="H2011">
        <f>1-(1-Skills!J5/100)^Skills!K5</f>
        <v/>
      </c>
      <c r="I2011" t="inlineStr">
        <is>
          <t>1</t>
        </is>
      </c>
      <c r="J2011">
        <f>((Inputs!$B$6*(1+Inputs!$B$7/100))+(((Inputs!$B$12*(1+Inputs!$B$13/100))-(Inputs!$B$12*(1+Inputs!$B$13/100)))+0.25*(Inputs!$B$14-Inputs!$B$14))*(1+Inputs!$B$7/100))*(F2011/100)</f>
        <v/>
      </c>
      <c r="K2011">
        <f>J2011*(1+((Inputs!$B$12*(1+Inputs!$B$13/100))*0.01+Inputs!$B$14*0.0025)/100)*(1+Inputs!$B$15/100)*(1+Inputs!$B$16/100)*(5000/(6000+Inputs!$B$42*(1-(100*(1-(1-(Inputs!$B$19+0)/100)*(1-CHOOSE(ArtifactsInput!$N$40+1,5,6,7,8,9,10)/100)^(ArtifactsInput!$M$40-ArtifactsInput!$M$40)))/100)))*(1+(Inputs!$B$24+((C2032=TRUE)*(F2032-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2022=TRUE,F2022,0)/100)*(1+(IF(Skills!A5="EIGHT_LEGS_EASTON",Inputs!$B$17+((C2029=TRUE)*(F2029-Calc!F23))+((C2033=TRUE)*(F2033-Calc!F27))+(((IF(AND(ArtifactsInput!$M$42,((Inputs!$B$9+((C2025=TRUE)*(F2025-Calc!F19))+B2036+(ArtifactsInput!$M$24-ArtifactsInput!$M$24)*CHOOSE(ArtifactsInput!$N$24+1,10,12,14,16,18,20)+IF(ArtifactsInput!$M$10,CHOOSE(ArtifactsInput!$N$10+1,15,18,21,24,27,30)*(IF(Inputs!$B$38="pvp",MIN(15,15)/15,IF(AND(Inputs!$B$38&lt;&gt;"pvp",Inputs!$B$43&gt;0),MIN(15,Inputs!$B$43)/(Inputs!$B$43),0))),0)))&gt;=100),MIN(100,((Inputs!$B$9+((C2025=TRUE)*(F2025-Calc!F19))+B2036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19))+B2036+(ArtifactsInput!$M$24-ArtifactsInput!$M$24)*CHOOSE(ArtifactsInput!$N$24+1,10,12,14,16,18,20)+IF(ArtifactsInput!$M$10,CHOOSE(ArtifactsInput!$N$10+1,15,18,21,24,27,30)*(IF(Inputs!$B$38="pvp",MIN(15,15)/15,IF(AND(Inputs!$B$38&lt;&gt;"pvp",Inputs!$B$43&gt;0),MIN(15,Inputs!$B$43)/(Inputs!$B$43),0))),0)))&gt;=100),CHOOSE(ArtifactsInput!$N$42+1,40,48,56,64,72,80),0))))/100)*((1+(((C2023=TRUE)*F2023)+((C2030=TRUE)*(F2030-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2011)</f>
        <v/>
      </c>
      <c r="L2011">
        <f>K2011*(MIN(Inputs!$B$22+((C2028=TRUE)*(F2028-Calc!F22)),(Inputs!$B$23+0+(IF(ArtifactsInput!$M$15,CHOOSE(ArtifactsInput!$N$15+1,25,30,35,40,45,50)/100*(Inputs!$B$11-Inputs!$B$11),0))))/100+(Inputs!$B$23+0+(IF(ArtifactsInput!$M$15,CHOOSE(ArtifactsInput!$N$15+1,25,30,35,40,45,50)/100*(Inputs!$B$11-Inputs!$B$11),0)))/100)/2</f>
        <v/>
      </c>
      <c r="M2011">
        <f>L2011*(1+(Inputs!$B$10+((C2031=TRUE)*(F2031-Calc!F25))+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1">
        <f>L2011*(1-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2011*(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1">
        <f>(1-Summary!$B$11)*T2011+Summary!$B$11*V2011</f>
        <v/>
      </c>
      <c r="P2011">
        <f>IF(B2046=0,0,O2011/B2046)</f>
        <v/>
      </c>
      <c r="Q2011">
        <f>IFERROR(1/(IF(Inputs!$B$38="pvp",15,MAX(0.1,Skills!D5-IF(Skills!E5=TRUE,Inputs!$B$32,0)))*(1-IF(AND(ArtifactsInput!$M$27,Inputs!$B$4="Chapter Hunt"),CHOOSE(ArtifactsInput!$N$27+1,20,24,28,32,36,40),0)/100)),0)</f>
        <v/>
      </c>
      <c r="R2011">
        <f>IF(AND(Inputs!$B$38&lt;&gt;"pvp",Inputs!$B$43&gt;0),IF(MAX(0,Inputs!$B$43-B2043)&lt;=0,0,(INT(MAX(0,Inputs!$B$43-B2043)/(IF(Inputs!$B$38="pvp",15,MAX(0.1,Skills!D5-IF(Skills!E5=TRUE,Inputs!$B$32,0)))*(1-IF(AND(ArtifactsInput!$M$27,Inputs!$B$4="Chapter Hunt"),CHOOSE(ArtifactsInput!$N$27+1,20,24,28,32,36,40),0)/100)))+1)),0)</f>
        <v/>
      </c>
      <c r="S2011">
        <f>IFERROR(O2011/N2011,0)</f>
        <v/>
      </c>
      <c r="T2011">
        <f>IF(C2011,(H2011*N2011*IF(AND(Inputs!$B$38&lt;&gt;"pvp",Inputs!$B$43&gt;0),((Skills!G5*((R2011-1)*IF(Skills!H5&gt;0,Skills!I5/Skills!H5,1)+IF(Skills!H5&gt;0,MIN(Skills!I5,MAX(0,MAX(0,Inputs!$B$43-B2043)-((R2011-1)*(IF(Inputs!$B$38="pvp",15,MAX(0.1,Skills!D5-IF(Skills!E5=TRUE,Inputs!$B$32,0)))*(1-IF(AND(ArtifactsInput!$M$27,Inputs!$B$4="Chapter Hunt"),CHOOSE(ArtifactsInput!$N$27+1,20,24,28,32,36,40),0)/100)))))/Skills!H5,1)))/Inputs!$B$43),G2011*Q2011)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2011*(1-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1">
        <f>IF(C2011,(H2011*N2011*IF(AND(Inputs!$B$38&lt;&gt;"pvp",Inputs!$B$43&gt;0),((Skills!G5*((R2011-1)*IF(Skills!H5&gt;0,Skills!I5/Skills!H5,1)+IF(Skills!H5&gt;0,MIN(Skills!I5,MAX(0,MAX(0,Inputs!$B$43-B2043)-((R2011-1)*(IF(Inputs!$B$38="pvp",15,MAX(0.1,Skills!D5-IF(Skills!E5=TRUE,Inputs!$B$32,0)))*(1-IF(AND(ArtifactsInput!$M$27,Inputs!$B$4="Chapter Hunt"),CHOOSE(ArtifactsInput!$N$27+1,20,24,28,32,36,40),0)/100)))))/Skills!H5,1)))/Inputs!$B$43),G2011*Q2011))*IF(Inputs!$B$38="pvp",1,(1+(Inputs!$B$21+Skills!Q5+(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2">
      <c r="A2012">
        <f>Skills!A6</f>
        <v/>
      </c>
      <c r="B2012">
        <f>Skills!B6</f>
        <v/>
      </c>
      <c r="C2012">
        <f>Inputs!$B$3&gt;=63</f>
        <v/>
      </c>
      <c r="D2012">
        <f>IF(Skills!C6=1,60+Inputs!$B$25+Inputs!$B$29,IF(Skills!C6=2,90+Inputs!$B$26+Inputs!$B$29,IF(Skills!C6=3,120+Inputs!$B$27+Inputs!$B$29,MAX(0,(Inputs!$B$3-100)*3)+Inputs!$B$28+Inputs!$B$29)))</f>
        <v/>
      </c>
      <c r="E2012">
        <f>INDEX(FactorTable!$B$2:$Y$301, MATCH(ROUND(MIN(300,MAX(1,D2012)),0), FactorTable!$A$2:$A$301,0), Skills!M6+1)</f>
        <v/>
      </c>
      <c r="F2012">
        <f>IF(Skills!N6=TRUE,(Skills!L6/10)*(E2012/1000),Skills!L6/10)+Skills!O6</f>
        <v/>
      </c>
      <c r="G2012">
        <f>Skills!G6*IF(Skills!H6&gt;0,Skills!I6/Skills!H6,1)</f>
        <v/>
      </c>
      <c r="H2012">
        <f>1-(1-Skills!J6/100)^Skills!K6</f>
        <v/>
      </c>
      <c r="I2012" t="inlineStr">
        <is>
          <t>1</t>
        </is>
      </c>
      <c r="J2012">
        <f>((Inputs!$B$6*(1+Inputs!$B$7/100))+(((Inputs!$B$12*(1+Inputs!$B$13/100))-(Inputs!$B$12*(1+Inputs!$B$13/100)))+0.25*(Inputs!$B$14-Inputs!$B$14))*(1+Inputs!$B$7/100))*(F2012/100)</f>
        <v/>
      </c>
      <c r="K2012">
        <f>J2012*(1+((Inputs!$B$12*(1+Inputs!$B$13/100))*0.01+Inputs!$B$14*0.0025)/100)*(1+Inputs!$B$15/100)*(1+Inputs!$B$16/100)*(5000/(6000+Inputs!$B$42*(1-(100*(1-(1-(Inputs!$B$19+0)/100)*(1-CHOOSE(ArtifactsInput!$N$40+1,5,6,7,8,9,10)/100)^(ArtifactsInput!$M$40-ArtifactsInput!$M$40)))/100)))*(1+(Inputs!$B$24+((C2032=TRUE)*(F2032-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2021=TRUE,F2021,0)/100)*(1+(IF(Skills!A6="EIGHT_LEGS_EASTON",Inputs!$B$17+((C2029=TRUE)*(F2029-Calc!F23))+((C2033=TRUE)*(F2033-Calc!F27))+(((IF(AND(ArtifactsInput!$M$42,((Inputs!$B$9+((C2025=TRUE)*(F2025-Calc!F19))+B2036+(ArtifactsInput!$M$24-ArtifactsInput!$M$24)*CHOOSE(ArtifactsInput!$N$24+1,10,12,14,16,18,20)+IF(ArtifactsInput!$M$10,CHOOSE(ArtifactsInput!$N$10+1,15,18,21,24,27,30)*(IF(Inputs!$B$38="pvp",MIN(15,15)/15,IF(AND(Inputs!$B$38&lt;&gt;"pvp",Inputs!$B$43&gt;0),MIN(15,Inputs!$B$43)/(Inputs!$B$43),0))),0)))&gt;=100),MIN(100,((Inputs!$B$9+((C2025=TRUE)*(F2025-Calc!F19))+B2036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19))+B2036+(ArtifactsInput!$M$24-ArtifactsInput!$M$24)*CHOOSE(ArtifactsInput!$N$24+1,10,12,14,16,18,20)+IF(ArtifactsInput!$M$10,CHOOSE(ArtifactsInput!$N$10+1,15,18,21,24,27,30)*(IF(Inputs!$B$38="pvp",MIN(15,15)/15,IF(AND(Inputs!$B$38&lt;&gt;"pvp",Inputs!$B$43&gt;0),MIN(15,Inputs!$B$43)/(Inputs!$B$43),0))),0)))&gt;=100),CHOOSE(ArtifactsInput!$N$42+1,40,48,56,64,72,80),0))))/100)*((1+(((C2023=TRUE)*F2023)+((C2030=TRUE)*(F2030-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2012)</f>
        <v/>
      </c>
      <c r="L2012">
        <f>K2012*(MIN(Inputs!$B$22+((C2028=TRUE)*(F2028-Calc!F22)),(Inputs!$B$23+0+(IF(ArtifactsInput!$M$15,CHOOSE(ArtifactsInput!$N$15+1,25,30,35,40,45,50)/100*(Inputs!$B$11-Inputs!$B$11),0))))/100+(Inputs!$B$23+0+(IF(ArtifactsInput!$M$15,CHOOSE(ArtifactsInput!$N$15+1,25,30,35,40,45,50)/100*(Inputs!$B$11-Inputs!$B$11),0)))/100)/2</f>
        <v/>
      </c>
      <c r="M2012">
        <f>L2012*(1+(Inputs!$B$10+((C2031=TRUE)*(F2031-Calc!F25))+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2">
        <f>L2012*(1-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2012*(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2">
        <f>(1-Summary!$B$11)*T2012+Summary!$B$11*V2012</f>
        <v/>
      </c>
      <c r="P2012">
        <f>IF(B2046=0,0,O2012/B2046)</f>
        <v/>
      </c>
      <c r="Q2012">
        <f>IFERROR(1/(IF(Inputs!$B$38="pvp",15,MAX(0.1,Skills!D6-IF(Skills!E6=TRUE,Inputs!$B$32,0)))*(1-IF(AND(ArtifactsInput!$M$27,Inputs!$B$4="Chapter Hunt"),CHOOSE(ArtifactsInput!$N$27+1,20,24,28,32,36,40),0)/100)),0)</f>
        <v/>
      </c>
      <c r="R2012">
        <f>IF(AND(Inputs!$B$38&lt;&gt;"pvp",Inputs!$B$43&gt;0),IF(MAX(0,Inputs!$B$43-B2043)&lt;=0,0,(INT(MAX(0,Inputs!$B$43-B2043)/(IF(Inputs!$B$38="pvp",15,MAX(0.1,Skills!D6-IF(Skills!E6=TRUE,Inputs!$B$32,0)))*(1-IF(AND(ArtifactsInput!$M$27,Inputs!$B$4="Chapter Hunt"),CHOOSE(ArtifactsInput!$N$27+1,20,24,28,32,36,40),0)/100)))+1)),0)</f>
        <v/>
      </c>
      <c r="S2012">
        <f>IFERROR(O2012/N2012,0)</f>
        <v/>
      </c>
      <c r="T2012">
        <f>IF(C2012,(H2012*N2012*IF(AND(Inputs!$B$38&lt;&gt;"pvp",Inputs!$B$43&gt;0),((Skills!G6*((R2012-1)*IF(Skills!H6&gt;0,Skills!I6/Skills!H6,1)+IF(Skills!H6&gt;0,MIN(Skills!I6,MAX(0,MAX(0,Inputs!$B$43-B2043)-((R2012-1)*(IF(Inputs!$B$38="pvp",15,MAX(0.1,Skills!D6-IF(Skills!E6=TRUE,Inputs!$B$32,0)))*(1-IF(AND(ArtifactsInput!$M$27,Inputs!$B$4="Chapter Hunt"),CHOOSE(ArtifactsInput!$N$27+1,20,24,28,32,36,40),0)/100)))))/Skills!H6,1)))/Inputs!$B$43),G2012*Q2012)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2012*(1-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2012*(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2012*(1-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2012*(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2">
        <f>IF(C2012,(H2012*N2012*IF(AND(Inputs!$B$38&lt;&gt;"pvp",Inputs!$B$43&gt;0),((Skills!G6*((R2012-1)*IF(Skills!H6&gt;0,Skills!I6/Skills!H6,1)+IF(Skills!H6&gt;0,MIN(Skills!I6,MAX(0,MAX(0,Inputs!$B$43-B2043)-((R2012-1)*(IF(Inputs!$B$38="pvp",15,MAX(0.1,Skills!D6-IF(Skills!E6=TRUE,Inputs!$B$32,0)))*(1-IF(AND(ArtifactsInput!$M$27,Inputs!$B$4="Chapter Hunt"),CHOOSE(ArtifactsInput!$N$27+1,20,24,28,32,36,40),0)/100)))))/Skills!H6,1)))/Inputs!$B$43),G2012*Q2012))*IF(Inputs!$B$38="pvp",1,(1+(Inputs!$B$21+Skills!Q6+(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3">
      <c r="A2013">
        <f>Skills!A7</f>
        <v/>
      </c>
      <c r="B2013">
        <f>Skills!B7</f>
        <v/>
      </c>
      <c r="C2013">
        <f>Inputs!$B$3&gt;=66</f>
        <v/>
      </c>
      <c r="D2013">
        <f>IF(Skills!C7=1,60+Inputs!$B$25+Inputs!$B$29,IF(Skills!C7=2,90+Inputs!$B$26+Inputs!$B$29,IF(Skills!C7=3,120+Inputs!$B$27+Inputs!$B$29,MAX(0,(Inputs!$B$3-100)*3)+Inputs!$B$28+Inputs!$B$29)))</f>
        <v/>
      </c>
      <c r="E2013">
        <f>INDEX(FactorTable!$B$2:$Y$301, MATCH(ROUND(MIN(300,MAX(1,D2013)),0), FactorTable!$A$2:$A$301,0), Skills!M7+1)</f>
        <v/>
      </c>
      <c r="F2013">
        <f>IF(Skills!N7=TRUE,(Skills!L7/10)*(E2013/1000),Skills!L7/10)+Skills!O7</f>
        <v/>
      </c>
      <c r="G2013">
        <f>Skills!G7*IF(Skills!H7&gt;0,Skills!I7/Skills!H7,1)</f>
        <v/>
      </c>
      <c r="H2013">
        <f>1-(1-Skills!J7/100)^Skills!K7</f>
        <v/>
      </c>
      <c r="I2013" t="inlineStr">
        <is>
          <t>1</t>
        </is>
      </c>
      <c r="J2013">
        <f>((Inputs!$B$6*(1+Inputs!$B$7/100))+(((Inputs!$B$12*(1+Inputs!$B$13/100))-(Inputs!$B$12*(1+Inputs!$B$13/100)))+0.25*(Inputs!$B$14-Inputs!$B$14))*(1+Inputs!$B$7/100))*(F2013/100)</f>
        <v/>
      </c>
      <c r="K2013">
        <f>J2013*(1+((Inputs!$B$12*(1+Inputs!$B$13/100))*0.01+Inputs!$B$14*0.0025)/100)*(1+Inputs!$B$15/100)*(1+Inputs!$B$16/100)*(5000/(6000+Inputs!$B$42*(1-(100*(1-(1-(Inputs!$B$19+0)/100)*(1-CHOOSE(ArtifactsInput!$N$40+1,5,6,7,8,9,10)/100)^(ArtifactsInput!$M$40-ArtifactsInput!$M$40)))/100)))*(1+(Inputs!$B$24+((C2032=TRUE)*(F2032-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2021=TRUE,F2021,0)/100)*(1+(IF(Skills!A7="EIGHT_LEGS_EASTON",Inputs!$B$17+((C2029=TRUE)*(F2029-Calc!F23))+((C2033=TRUE)*(F2033-Calc!F27))+(((IF(AND(ArtifactsInput!$M$42,((Inputs!$B$9+((C2025=TRUE)*(F2025-Calc!F19))+B2036+(ArtifactsInput!$M$24-ArtifactsInput!$M$24)*CHOOSE(ArtifactsInput!$N$24+1,10,12,14,16,18,20)+IF(ArtifactsInput!$M$10,CHOOSE(ArtifactsInput!$N$10+1,15,18,21,24,27,30)*(IF(Inputs!$B$38="pvp",MIN(15,15)/15,IF(AND(Inputs!$B$38&lt;&gt;"pvp",Inputs!$B$43&gt;0),MIN(15,Inputs!$B$43)/(Inputs!$B$43),0))),0)))&gt;=100),MIN(100,((Inputs!$B$9+((C2025=TRUE)*(F2025-Calc!F19))+B2036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19))+B2036+(ArtifactsInput!$M$24-ArtifactsInput!$M$24)*CHOOSE(ArtifactsInput!$N$24+1,10,12,14,16,18,20)+IF(ArtifactsInput!$M$10,CHOOSE(ArtifactsInput!$N$10+1,15,18,21,24,27,30)*(IF(Inputs!$B$38="pvp",MIN(15,15)/15,IF(AND(Inputs!$B$38&lt;&gt;"pvp",Inputs!$B$43&gt;0),MIN(15,Inputs!$B$43)/(Inputs!$B$43),0))),0)))&gt;=100),CHOOSE(ArtifactsInput!$N$42+1,40,48,56,64,72,80),0))))/100)*((1+(((C2023=TRUE)*F2023)+((C2030=TRUE)*(F2030-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2013)</f>
        <v/>
      </c>
      <c r="L2013">
        <f>K2013*(MIN(Inputs!$B$22+((C2028=TRUE)*(F2028-Calc!F22)),(Inputs!$B$23+0+(IF(ArtifactsInput!$M$15,CHOOSE(ArtifactsInput!$N$15+1,25,30,35,40,45,50)/100*(Inputs!$B$11-Inputs!$B$11),0))))/100+(Inputs!$B$23+0+(IF(ArtifactsInput!$M$15,CHOOSE(ArtifactsInput!$N$15+1,25,30,35,40,45,50)/100*(Inputs!$B$11-Inputs!$B$11),0)))/100)/2</f>
        <v/>
      </c>
      <c r="M2013">
        <f>L2013*(1+(Inputs!$B$10+((C2031=TRUE)*(F2031-Calc!F25))+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3">
        <f>L2013*(1-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2013*(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3">
        <f>(1-Summary!$B$11)*T2013+Summary!$B$11*V2013</f>
        <v/>
      </c>
      <c r="P2013">
        <f>IF(B2046=0,0,O2013/B2046)</f>
        <v/>
      </c>
      <c r="Q2013">
        <f>IFERROR(1/(IF(Inputs!$B$38="pvp",15,MAX(0.1,Skills!D7-IF(Skills!E7=TRUE,Inputs!$B$32,0)))*(1-IF(AND(ArtifactsInput!$M$27,Inputs!$B$4="Chapter Hunt"),CHOOSE(ArtifactsInput!$N$27+1,20,24,28,32,36,40),0)/100)),0)</f>
        <v/>
      </c>
      <c r="R2013">
        <f>IF(AND(Inputs!$B$38&lt;&gt;"pvp",Inputs!$B$43&gt;0),IF(MAX(0,Inputs!$B$43-B2043)&lt;=0,0,(INT(MAX(0,Inputs!$B$43-B2043)/(IF(Inputs!$B$38="pvp",15,MAX(0.1,Skills!D7-IF(Skills!E7=TRUE,Inputs!$B$32,0)))*(1-IF(AND(ArtifactsInput!$M$27,Inputs!$B$4="Chapter Hunt"),CHOOSE(ArtifactsInput!$N$27+1,20,24,28,32,36,40),0)/100)))+1)),0)</f>
        <v/>
      </c>
      <c r="S2013">
        <f>IFERROR(O2013/N2013,0)</f>
        <v/>
      </c>
      <c r="T2013">
        <f>IF(C2013,(H2013*N2013*IF(AND(Inputs!$B$38&lt;&gt;"pvp",Inputs!$B$43&gt;0),((Skills!G7*((R2013-1)*IF(Skills!H7&gt;0,Skills!I7/Skills!H7,1)+IF(Skills!H7&gt;0,MIN(Skills!I7,MAX(0,MAX(0,Inputs!$B$43-B2043)-((R2013-1)*(IF(Inputs!$B$38="pvp",15,MAX(0.1,Skills!D7-IF(Skills!E7=TRUE,Inputs!$B$32,0)))*(1-IF(AND(ArtifactsInput!$M$27,Inputs!$B$4="Chapter Hunt"),CHOOSE(ArtifactsInput!$N$27+1,20,24,28,32,36,40),0)/100)))))/Skills!H7,1)))/Inputs!$B$43),G2013*Q2013)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2013*(1-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2013*(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2013*(1-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2013*(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3">
        <f>IF(C2013,(H2013*N2013*IF(AND(Inputs!$B$38&lt;&gt;"pvp",Inputs!$B$43&gt;0),((Skills!G7*((R2013-1)*IF(Skills!H7&gt;0,Skills!I7/Skills!H7,1)+IF(Skills!H7&gt;0,MIN(Skills!I7,MAX(0,MAX(0,Inputs!$B$43-B2043)-((R2013-1)*(IF(Inputs!$B$38="pvp",15,MAX(0.1,Skills!D7-IF(Skills!E7=TRUE,Inputs!$B$32,0)))*(1-IF(AND(ArtifactsInput!$M$27,Inputs!$B$4="Chapter Hunt"),CHOOSE(ArtifactsInput!$N$27+1,20,24,28,32,36,40),0)/100)))))/Skills!H7,1)))/Inputs!$B$43),G2013*Q2013))*IF(Inputs!$B$38="pvp",1,(1+(Inputs!$B$21+Skills!Q7+(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4">
      <c r="A2014">
        <f>Skills!A8</f>
        <v/>
      </c>
      <c r="B2014">
        <f>Skills!B8</f>
        <v/>
      </c>
      <c r="C2014">
        <f>Inputs!$B$3&gt;=100</f>
        <v/>
      </c>
      <c r="D2014">
        <f>IF(Skills!C8=1,60+Inputs!$B$25+Inputs!$B$29,IF(Skills!C8=2,90+Inputs!$B$26+Inputs!$B$29,IF(Skills!C8=3,120+Inputs!$B$27+Inputs!$B$29,MAX(0,(Inputs!$B$3-100)*3)+Inputs!$B$28+Inputs!$B$29)))</f>
        <v/>
      </c>
      <c r="E2014">
        <f>INDEX(FactorTable!$B$2:$Y$301, MATCH(ROUND(MIN(300,MAX(1,D2014)),0), FactorTable!$A$2:$A$301,0), Skills!M8+1)</f>
        <v/>
      </c>
      <c r="F2014">
        <f>IF(Skills!N8=TRUE,(Skills!L8/10)*(E2014/1000),Skills!L8/10)+Skills!O8</f>
        <v/>
      </c>
      <c r="G2014">
        <f>Skills!G8*IF(Skills!H8&gt;0,Skills!I8/Skills!H8,1)</f>
        <v/>
      </c>
      <c r="H2014">
        <f>1-(1-Skills!J8/100)^Skills!K8</f>
        <v/>
      </c>
      <c r="I2014" t="inlineStr">
        <is>
          <t>1</t>
        </is>
      </c>
      <c r="J2014">
        <f>((Inputs!$B$6*(1+Inputs!$B$7/100))+(((Inputs!$B$12*(1+Inputs!$B$13/100))-(Inputs!$B$12*(1+Inputs!$B$13/100)))+0.25*(Inputs!$B$14-Inputs!$B$14))*(1+Inputs!$B$7/100))*(F2014/100)</f>
        <v/>
      </c>
      <c r="K2014">
        <f>J2014*(1+((Inputs!$B$12*(1+Inputs!$B$13/100))*0.01+Inputs!$B$14*0.0025)/100)*(1+Inputs!$B$15/100)*(1+Inputs!$B$16/100)*(5000/(6000+Inputs!$B$42*(1-(100*(1-(1-(Inputs!$B$19+0)/100)*(1-CHOOSE(ArtifactsInput!$N$40+1,5,6,7,8,9,10)/100)^(ArtifactsInput!$M$40-ArtifactsInput!$M$40)))/100)))*(1+(Inputs!$B$24+((C2032=TRUE)*(F2032-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2029=TRUE)*(F2029-Calc!F23))+((C2033=TRUE)*(F2033-Calc!F27))+(((IF(AND(ArtifactsInput!$M$42,((Inputs!$B$9+((C2025=TRUE)*(F2025-Calc!F19))+B2036+(ArtifactsInput!$M$24-ArtifactsInput!$M$24)*CHOOSE(ArtifactsInput!$N$24+1,10,12,14,16,18,20)+IF(ArtifactsInput!$M$10,CHOOSE(ArtifactsInput!$N$10+1,15,18,21,24,27,30)*(IF(Inputs!$B$38="pvp",MIN(15,15)/15,IF(AND(Inputs!$B$38&lt;&gt;"pvp",Inputs!$B$43&gt;0),MIN(15,Inputs!$B$43)/(Inputs!$B$43),0))),0)))&gt;=100),MIN(100,((Inputs!$B$9+((C2025=TRUE)*(F2025-Calc!F19))+B2036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19))+B2036+(ArtifactsInput!$M$24-ArtifactsInput!$M$24)*CHOOSE(ArtifactsInput!$N$24+1,10,12,14,16,18,20)+IF(ArtifactsInput!$M$10,CHOOSE(ArtifactsInput!$N$10+1,15,18,21,24,27,30)*(IF(Inputs!$B$38="pvp",MIN(15,15)/15,IF(AND(Inputs!$B$38&lt;&gt;"pvp",Inputs!$B$43&gt;0),MIN(15,Inputs!$B$43)/(Inputs!$B$43),0))),0)))&gt;=100),CHOOSE(ArtifactsInput!$N$42+1,40,48,56,64,72,80),0))))/100)*((1+(((C2023=TRUE)*F2023)+((C2030=TRUE)*(F2030-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2014)</f>
        <v/>
      </c>
      <c r="L2014">
        <f>K2014*(MIN(Inputs!$B$22+((C2028=TRUE)*(F2028-Calc!F22)),(Inputs!$B$23+0+(IF(ArtifactsInput!$M$15,CHOOSE(ArtifactsInput!$N$15+1,25,30,35,40,45,50)/100*(Inputs!$B$11-Inputs!$B$11),0))))/100+(Inputs!$B$23+0+(IF(ArtifactsInput!$M$15,CHOOSE(ArtifactsInput!$N$15+1,25,30,35,40,45,50)/100*(Inputs!$B$11-Inputs!$B$11),0)))/100)/2</f>
        <v/>
      </c>
      <c r="M2014">
        <f>L2014*(1+(Inputs!$B$10+((C2031=TRUE)*(F2031-Calc!F25))+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4">
        <f>L2014*(1-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2014*(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4">
        <f>(1-Summary!$B$11)*T2014+Summary!$B$11*V2014</f>
        <v/>
      </c>
      <c r="P2014">
        <f>IF(B2046=0,0,O2014/B2046)</f>
        <v/>
      </c>
      <c r="Q2014">
        <f>IFERROR(1/(IF(Inputs!$B$38="pvp",15,MAX(0.1,Skills!D8-IF(Skills!E8=TRUE,Inputs!$B$32,0)))*(1-IF(AND(ArtifactsInput!$M$27,Inputs!$B$4="Chapter Hunt"),CHOOSE(ArtifactsInput!$N$27+1,20,24,28,32,36,40),0)/100)),0)</f>
        <v/>
      </c>
      <c r="R2014">
        <f>IF(AND(Inputs!$B$38&lt;&gt;"pvp",Inputs!$B$43&gt;0),IF(MAX(0,Inputs!$B$43-B2043)&lt;=0,0,(INT(MAX(0,Inputs!$B$43-B2043)/(IF(Inputs!$B$38="pvp",15,MAX(0.1,Skills!D8-IF(Skills!E8=TRUE,Inputs!$B$32,0)))*(1-IF(AND(ArtifactsInput!$M$27,Inputs!$B$4="Chapter Hunt"),CHOOSE(ArtifactsInput!$N$27+1,20,24,28,32,36,40),0)/100)))+1)),0)</f>
        <v/>
      </c>
      <c r="S2014">
        <f>IFERROR(O2014/N2014,0)</f>
        <v/>
      </c>
      <c r="T2014">
        <f>IF(C2014,(H2014*N2014*IF(AND(Inputs!$B$38&lt;&gt;"pvp",Inputs!$B$43&gt;0),((Skills!G8*((R2014-1)*IF(Skills!H8&gt;0,Skills!I8/Skills!H8,1)+IF(Skills!H8&gt;0,MIN(Skills!I8,MAX(0,MAX(0,Inputs!$B$43-B2043)-((R2014-1)*(IF(Inputs!$B$38="pvp",15,MAX(0.1,Skills!D8-IF(Skills!E8=TRUE,Inputs!$B$32,0)))*(1-IF(AND(ArtifactsInput!$M$27,Inputs!$B$4="Chapter Hunt"),CHOOSE(ArtifactsInput!$N$27+1,20,24,28,32,36,40),0)/100)))))/Skills!H8,1)))/Inputs!$B$43),G2014*Q2014)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2014*(1-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2014*(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2014*(1-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2014*(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4">
        <f>IF(C2014,(H2014*N2014*IF(AND(Inputs!$B$38&lt;&gt;"pvp",Inputs!$B$43&gt;0),((Skills!G8*((R2014-1)*IF(Skills!H8&gt;0,Skills!I8/Skills!H8,1)+IF(Skills!H8&gt;0,MIN(Skills!I8,MAX(0,MAX(0,Inputs!$B$43-B2043)-((R2014-1)*(IF(Inputs!$B$38="pvp",15,MAX(0.1,Skills!D8-IF(Skills!E8=TRUE,Inputs!$B$32,0)))*(1-IF(AND(ArtifactsInput!$M$27,Inputs!$B$4="Chapter Hunt"),CHOOSE(ArtifactsInput!$N$27+1,20,24,28,32,36,40),0)/100)))))/Skills!H8,1)))/Inputs!$B$43),G2014*Q2014))*IF(Inputs!$B$38="pvp",1,(1+(Inputs!$B$21+Skills!Q8+(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5">
      <c r="A2015">
        <f>Skills!A9</f>
        <v/>
      </c>
      <c r="B2015">
        <f>Skills!B9</f>
        <v/>
      </c>
      <c r="C2015">
        <f>Inputs!$B$3&gt;=103</f>
        <v/>
      </c>
      <c r="D2015">
        <f>IF(Skills!C9=1,60+Inputs!$B$25+Inputs!$B$29,IF(Skills!C9=2,90+Inputs!$B$26+Inputs!$B$29,IF(Skills!C9=3,120+Inputs!$B$27+Inputs!$B$29,MAX(0,(Inputs!$B$3-100)*3)+Inputs!$B$28+Inputs!$B$29)))</f>
        <v/>
      </c>
      <c r="E2015">
        <f>INDEX(FactorTable!$B$2:$Y$301, MATCH(ROUND(MIN(300,MAX(1,D2015)),0), FactorTable!$A$2:$A$301,0), Skills!M9+1)</f>
        <v/>
      </c>
      <c r="F2015">
        <f>IF(Skills!N9=TRUE,(Skills!L9/10)*(E2015/1000),Skills!L9/10)+Skills!O9</f>
        <v/>
      </c>
      <c r="G2015">
        <f>Skills!G9*IF(Skills!H9&gt;0,Skills!I9/Skills!H9,1)</f>
        <v/>
      </c>
      <c r="H2015">
        <f>1-(1-Skills!J9/100)^Skills!K9</f>
        <v/>
      </c>
      <c r="I2015" t="inlineStr">
        <is>
          <t>1</t>
        </is>
      </c>
      <c r="J2015">
        <f>((Inputs!$B$6*(1+Inputs!$B$7/100))+(((Inputs!$B$12*(1+Inputs!$B$13/100))-(Inputs!$B$12*(1+Inputs!$B$13/100)))+0.25*(Inputs!$B$14-Inputs!$B$14))*(1+Inputs!$B$7/100))*(F2015/100)</f>
        <v/>
      </c>
      <c r="K2015">
        <f>J2015*(1+((Inputs!$B$12*(1+Inputs!$B$13/100))*0.01+Inputs!$B$14*0.0025)/100)*(1+Inputs!$B$15/100)*(1+Inputs!$B$16/100)*(5000/(6000+Inputs!$B$42*(1-(100*(1-(1-(Inputs!$B$19+0)/100)*(1-CHOOSE(ArtifactsInput!$N$40+1,5,6,7,8,9,10)/100)^(ArtifactsInput!$M$40-ArtifactsInput!$M$40)))/100)))*(1+(Inputs!$B$24+((C2032=TRUE)*(F2032-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2029=TRUE)*(F2029-Calc!F23))+((C2033=TRUE)*(F2033-Calc!F27))+(((IF(AND(ArtifactsInput!$M$42,((Inputs!$B$9+((C2025=TRUE)*(F2025-Calc!F19))+B2036+(ArtifactsInput!$M$24-ArtifactsInput!$M$24)*CHOOSE(ArtifactsInput!$N$24+1,10,12,14,16,18,20)+IF(ArtifactsInput!$M$10,CHOOSE(ArtifactsInput!$N$10+1,15,18,21,24,27,30)*(IF(Inputs!$B$38="pvp",MIN(15,15)/15,IF(AND(Inputs!$B$38&lt;&gt;"pvp",Inputs!$B$43&gt;0),MIN(15,Inputs!$B$43)/(Inputs!$B$43),0))),0)))&gt;=100),MIN(100,((Inputs!$B$9+((C2025=TRUE)*(F2025-Calc!F19))+B2036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19))+B2036+(ArtifactsInput!$M$24-ArtifactsInput!$M$24)*CHOOSE(ArtifactsInput!$N$24+1,10,12,14,16,18,20)+IF(ArtifactsInput!$M$10,CHOOSE(ArtifactsInput!$N$10+1,15,18,21,24,27,30)*(IF(Inputs!$B$38="pvp",MIN(15,15)/15,IF(AND(Inputs!$B$38&lt;&gt;"pvp",Inputs!$B$43&gt;0),MIN(15,Inputs!$B$43)/(Inputs!$B$43),0))),0)))&gt;=100),CHOOSE(ArtifactsInput!$N$42+1,40,48,56,64,72,80),0))))/100)*((1+(((C2023=TRUE)*F2023)+((C2030=TRUE)*(F2030-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2015)</f>
        <v/>
      </c>
      <c r="L2015">
        <f>K2015*(MIN(Inputs!$B$22+((C2028=TRUE)*(F2028-Calc!F22)),(Inputs!$B$23+0+(IF(ArtifactsInput!$M$15,CHOOSE(ArtifactsInput!$N$15+1,25,30,35,40,45,50)/100*(Inputs!$B$11-Inputs!$B$11),0))))/100+(Inputs!$B$23+0+(IF(ArtifactsInput!$M$15,CHOOSE(ArtifactsInput!$N$15+1,25,30,35,40,45,50)/100*(Inputs!$B$11-Inputs!$B$11),0)))/100)/2</f>
        <v/>
      </c>
      <c r="M2015">
        <f>L2015*(1+(Inputs!$B$10+((C2031=TRUE)*(F2031-Calc!F25))+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5">
        <f>L2015*(1-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2015*(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5">
        <f>(1-Summary!$B$11)*T2015+Summary!$B$11*V2015</f>
        <v/>
      </c>
      <c r="P2015">
        <f>IF(B2046=0,0,O2015/B2046)</f>
        <v/>
      </c>
      <c r="Q2015">
        <f>IFERROR(1/(IF(Inputs!$B$38="pvp",15,MAX(0.1,Skills!D9-IF(Skills!E9=TRUE,Inputs!$B$32,0)))*(1-IF(AND(ArtifactsInput!$M$27,Inputs!$B$4="Chapter Hunt"),CHOOSE(ArtifactsInput!$N$27+1,20,24,28,32,36,40),0)/100)),0)</f>
        <v/>
      </c>
      <c r="R2015">
        <f>IF(AND(Inputs!$B$38&lt;&gt;"pvp",Inputs!$B$43&gt;0),IF(MAX(0,Inputs!$B$43-B2043)&lt;=0,0,(INT(MAX(0,Inputs!$B$43-B2043)/(IF(Inputs!$B$38="pvp",15,MAX(0.1,Skills!D9-IF(Skills!E9=TRUE,Inputs!$B$32,0)))*(1-IF(AND(ArtifactsInput!$M$27,Inputs!$B$4="Chapter Hunt"),CHOOSE(ArtifactsInput!$N$27+1,20,24,28,32,36,40),0)/100)))+1)),0)</f>
        <v/>
      </c>
      <c r="S2015">
        <f>IFERROR(O2015/N2015,0)</f>
        <v/>
      </c>
      <c r="T2015">
        <f>IF(C2015,(H2015*N2015*IF(AND(Inputs!$B$38&lt;&gt;"pvp",Inputs!$B$43&gt;0),((Skills!G9*((R2015-1)*IF(Skills!H9&gt;0,Skills!I9/Skills!H9,1)+IF(Skills!H9&gt;0,MIN(Skills!I9,MAX(0,MAX(0,Inputs!$B$43-B2043)-((R2015-1)*(IF(Inputs!$B$38="pvp",15,MAX(0.1,Skills!D9-IF(Skills!E9=TRUE,Inputs!$B$32,0)))*(1-IF(AND(ArtifactsInput!$M$27,Inputs!$B$4="Chapter Hunt"),CHOOSE(ArtifactsInput!$N$27+1,20,24,28,32,36,40),0)/100)))))/Skills!H9,1)))/Inputs!$B$43),G2015*Q2015)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2015*(1-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2015*(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2015*(1-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2015*(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5">
        <f>IF(C2015,(H2015*N2015*IF(AND(Inputs!$B$38&lt;&gt;"pvp",Inputs!$B$43&gt;0),((Skills!G9*((R2015-1)*IF(Skills!H9&gt;0,Skills!I9/Skills!H9,1)+IF(Skills!H9&gt;0,MIN(Skills!I9,MAX(0,MAX(0,Inputs!$B$43-B2043)-((R2015-1)*(IF(Inputs!$B$38="pvp",15,MAX(0.1,Skills!D9-IF(Skills!E9=TRUE,Inputs!$B$32,0)))*(1-IF(AND(ArtifactsInput!$M$27,Inputs!$B$4="Chapter Hunt"),CHOOSE(ArtifactsInput!$N$27+1,20,24,28,32,36,40),0)/100)))))/Skills!H9,1)))/Inputs!$B$43),G2015*Q2015))*IF(Inputs!$B$38="pvp",1,(1+(Inputs!$B$21+Skills!Q9+(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6">
      <c r="A2016">
        <f>Skills!A10</f>
        <v/>
      </c>
      <c r="B2016">
        <f>Skills!B10</f>
        <v/>
      </c>
      <c r="C2016">
        <f>Inputs!$B$3&gt;=113</f>
        <v/>
      </c>
      <c r="D2016">
        <f>IF(Skills!C10=1,60+Inputs!$B$25+Inputs!$B$29,IF(Skills!C10=2,90+Inputs!$B$26+Inputs!$B$29,IF(Skills!C10=3,120+Inputs!$B$27+Inputs!$B$29,MAX(0,(Inputs!$B$3-100)*3)+Inputs!$B$28+Inputs!$B$29)))</f>
        <v/>
      </c>
      <c r="E2016">
        <f>INDEX(FactorTable!$B$2:$Y$301, MATCH(ROUND(MIN(300,MAX(1,D2016)),0), FactorTable!$A$2:$A$301,0), Skills!M10+1)</f>
        <v/>
      </c>
      <c r="F2016">
        <f>IF(Skills!N10=TRUE,(Skills!L10/10)*(E2016/1000),Skills!L10/10)+Skills!O10</f>
        <v/>
      </c>
      <c r="G2016">
        <f>Skills!G10*IF(Skills!H10&gt;0,Skills!I10/Skills!H10,1)</f>
        <v/>
      </c>
      <c r="H2016">
        <f>1-(1-Skills!J10/100)^Skills!K10</f>
        <v/>
      </c>
      <c r="I2016" t="inlineStr">
        <is>
          <t>1</t>
        </is>
      </c>
      <c r="J2016">
        <f>((Inputs!$B$6*(1+Inputs!$B$7/100))+(((Inputs!$B$12*(1+Inputs!$B$13/100))-(Inputs!$B$12*(1+Inputs!$B$13/100)))+0.25*(Inputs!$B$14-Inputs!$B$14))*(1+Inputs!$B$7/100))*(F2016/100)</f>
        <v/>
      </c>
      <c r="K2016">
        <f>J2016*(1+((Inputs!$B$12*(1+Inputs!$B$13/100))*0.01+Inputs!$B$14*0.0025)/100)*(1+Inputs!$B$15/100)*(1+Inputs!$B$16/100)*(5000/(6000+Inputs!$B$42*(1-(100*(1-(1-(Inputs!$B$19+0)/100)*(1-CHOOSE(ArtifactsInput!$N$40+1,5,6,7,8,9,10)/100)^(ArtifactsInput!$M$40-ArtifactsInput!$M$40)))/100)))*(1+(Inputs!$B$24+((C2032=TRUE)*(F2032-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2029=TRUE)*(F2029-Calc!F23))+((C2033=TRUE)*(F2033-Calc!F27))+(((IF(AND(ArtifactsInput!$M$42,((Inputs!$B$9+((C2025=TRUE)*(F2025-Calc!F19))+B2036+(ArtifactsInput!$M$24-ArtifactsInput!$M$24)*CHOOSE(ArtifactsInput!$N$24+1,10,12,14,16,18,20)+IF(ArtifactsInput!$M$10,CHOOSE(ArtifactsInput!$N$10+1,15,18,21,24,27,30)*(IF(Inputs!$B$38="pvp",MIN(15,15)/15,IF(AND(Inputs!$B$38&lt;&gt;"pvp",Inputs!$B$43&gt;0),MIN(15,Inputs!$B$43)/(Inputs!$B$43),0))),0)))&gt;=100),MIN(100,((Inputs!$B$9+((C2025=TRUE)*(F2025-Calc!F19))+B2036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19))+B2036+(ArtifactsInput!$M$24-ArtifactsInput!$M$24)*CHOOSE(ArtifactsInput!$N$24+1,10,12,14,16,18,20)+IF(ArtifactsInput!$M$10,CHOOSE(ArtifactsInput!$N$10+1,15,18,21,24,27,30)*(IF(Inputs!$B$38="pvp",MIN(15,15)/15,IF(AND(Inputs!$B$38&lt;&gt;"pvp",Inputs!$B$43&gt;0),MIN(15,Inputs!$B$43)/(Inputs!$B$43),0))),0)))&gt;=100),CHOOSE(ArtifactsInput!$N$42+1,40,48,56,64,72,80),0))))/100)*((1+(((C2023=TRUE)*F2023)+((C2030=TRUE)*(F2030-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2016)</f>
        <v/>
      </c>
      <c r="L2016">
        <f>K2016*(MIN(Inputs!$B$22+((C2028=TRUE)*(F2028-Calc!F22)),(Inputs!$B$23+0+(IF(ArtifactsInput!$M$15,CHOOSE(ArtifactsInput!$N$15+1,25,30,35,40,45,50)/100*(Inputs!$B$11-Inputs!$B$11),0))))/100+(Inputs!$B$23+0+(IF(ArtifactsInput!$M$15,CHOOSE(ArtifactsInput!$N$15+1,25,30,35,40,45,50)/100*(Inputs!$B$11-Inputs!$B$11),0)))/100)/2</f>
        <v/>
      </c>
      <c r="M2016">
        <f>L2016*(1+(Inputs!$B$10+((C2031=TRUE)*(F2031-Calc!F25))+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6">
        <f>L2016*(1-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2016*(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6">
        <f>(1-Summary!$B$11)*T2016+Summary!$B$11*V2016</f>
        <v/>
      </c>
      <c r="P2016">
        <f>IF(B2046=0,0,O2016/B2046)</f>
        <v/>
      </c>
      <c r="Q2016">
        <f>IFERROR(1/(IF(Inputs!$B$38="pvp",15,MAX(0.1,Skills!D10-IF(Skills!E10=TRUE,Inputs!$B$32,0)))*(1-IF(AND(ArtifactsInput!$M$27,Inputs!$B$4="Chapter Hunt"),CHOOSE(ArtifactsInput!$N$27+1,20,24,28,32,36,40),0)/100)),0)</f>
        <v/>
      </c>
      <c r="R2016">
        <f>IF(AND(Inputs!$B$38&lt;&gt;"pvp",Inputs!$B$43&gt;0),IF(MAX(0,Inputs!$B$43-B2043)&lt;=0,0,(INT(MAX(0,Inputs!$B$43-B2043)/(IF(Inputs!$B$38="pvp",15,MAX(0.1,Skills!D10-IF(Skills!E10=TRUE,Inputs!$B$32,0)))*(1-IF(AND(ArtifactsInput!$M$27,Inputs!$B$4="Chapter Hunt"),CHOOSE(ArtifactsInput!$N$27+1,20,24,28,32,36,40),0)/100)))+1)),0)</f>
        <v/>
      </c>
      <c r="S2016">
        <f>IFERROR(O2016/N2016,0)</f>
        <v/>
      </c>
      <c r="T2016">
        <f>IF(C2016,(H2016*N2016*IF(AND(Inputs!$B$38&lt;&gt;"pvp",Inputs!$B$43&gt;0),((Skills!G10*((R2016-1)*IF(Skills!H10&gt;0,Skills!I10/Skills!H10,1)+IF(Skills!H10&gt;0,MIN(Skills!I10,MAX(0,MAX(0,Inputs!$B$43-B2043)-((R2016-1)*(IF(Inputs!$B$38="pvp",15,MAX(0.1,Skills!D10-IF(Skills!E10=TRUE,Inputs!$B$32,0)))*(1-IF(AND(ArtifactsInput!$M$27,Inputs!$B$4="Chapter Hunt"),CHOOSE(ArtifactsInput!$N$27+1,20,24,28,32,36,40),0)/100)))))/Skills!H10,1)))/Inputs!$B$43),G2016*Q2016)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2016*(1-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2016*(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2016*(1-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2016*(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6">
        <f>IF(C2016,(H2016*N2016*IF(AND(Inputs!$B$38&lt;&gt;"pvp",Inputs!$B$43&gt;0),((Skills!G10*((R2016-1)*IF(Skills!H10&gt;0,Skills!I10/Skills!H10,1)+IF(Skills!H10&gt;0,MIN(Skills!I10,MAX(0,MAX(0,Inputs!$B$43-B2043)-((R2016-1)*(IF(Inputs!$B$38="pvp",15,MAX(0.1,Skills!D10-IF(Skills!E10=TRUE,Inputs!$B$32,0)))*(1-IF(AND(ArtifactsInput!$M$27,Inputs!$B$4="Chapter Hunt"),CHOOSE(ArtifactsInput!$N$27+1,20,24,28,32,36,40),0)/100)))))/Skills!H10,1)))/Inputs!$B$43),G2016*Q2016))*IF(Inputs!$B$38="pvp",1,(1+(Inputs!$B$21+Skills!Q10+(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7">
      <c r="A2017">
        <f>Skills!A11</f>
        <v/>
      </c>
      <c r="B2017">
        <f>Skills!B11</f>
        <v/>
      </c>
      <c r="C2017">
        <f>Inputs!$B$3&gt;=107</f>
        <v/>
      </c>
      <c r="D2017">
        <f>IF(Skills!C11=1,60+Inputs!$B$25+Inputs!$B$29,IF(Skills!C11=2,90+Inputs!$B$26+Inputs!$B$29,IF(Skills!C11=3,120+Inputs!$B$27+Inputs!$B$29,MAX(0,(Inputs!$B$3-100)*3)+Inputs!$B$28+Inputs!$B$29)))</f>
        <v/>
      </c>
      <c r="E2017">
        <f>INDEX(FactorTable!$B$2:$Y$301, MATCH(ROUND(MIN(300,MAX(1,D2017)),0), FactorTable!$A$2:$A$301,0), Skills!M11+1)</f>
        <v/>
      </c>
      <c r="F2017">
        <f>IF(Skills!N11=TRUE,(Skills!L11/10)*(E2017/1000),Skills!L11/10)+Skills!O11</f>
        <v/>
      </c>
      <c r="G2017">
        <f>Skills!G11*IF(Skills!H11&gt;0,Skills!I11/Skills!H11,1)</f>
        <v/>
      </c>
      <c r="H2017">
        <f>1-(1-Skills!J11/100)^Skills!K11</f>
        <v/>
      </c>
      <c r="I2017" t="inlineStr">
        <is>
          <t>1</t>
        </is>
      </c>
      <c r="J2017">
        <f>((Inputs!$B$6*(1+Inputs!$B$7/100))+(((Inputs!$B$12*(1+Inputs!$B$13/100))-(Inputs!$B$12*(1+Inputs!$B$13/100)))+0.25*(Inputs!$B$14-Inputs!$B$14))*(1+Inputs!$B$7/100))*(F2017/100)</f>
        <v/>
      </c>
      <c r="K2017">
        <f>J2017*(1+((Inputs!$B$12*(1+Inputs!$B$13/100))*0.01+Inputs!$B$14*0.0025)/100)*(1+Inputs!$B$15/100)*(1+Inputs!$B$16/100)*(5000/(6000+Inputs!$B$42*(1-(100*(1-(1-(Inputs!$B$19+0)/100)*(1-CHOOSE(ArtifactsInput!$N$40+1,5,6,7,8,9,10)/100)^(ArtifactsInput!$M$40-ArtifactsInput!$M$40)))/100)))*(1+(Inputs!$B$24+((C2032=TRUE)*(F2032-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2029=TRUE)*(F2029-Calc!F23))+((C2033=TRUE)*(F2033-Calc!F27))+(((IF(AND(ArtifactsInput!$M$42,((Inputs!$B$9+((C2025=TRUE)*(F2025-Calc!F19))+B2036+(ArtifactsInput!$M$24-ArtifactsInput!$M$24)*CHOOSE(ArtifactsInput!$N$24+1,10,12,14,16,18,20)+IF(ArtifactsInput!$M$10,CHOOSE(ArtifactsInput!$N$10+1,15,18,21,24,27,30)*(IF(Inputs!$B$38="pvp",MIN(15,15)/15,IF(AND(Inputs!$B$38&lt;&gt;"pvp",Inputs!$B$43&gt;0),MIN(15,Inputs!$B$43)/(Inputs!$B$43),0))),0)))&gt;=100),MIN(100,((Inputs!$B$9+((C2025=TRUE)*(F2025-Calc!F19))+B2036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19))+B2036+(ArtifactsInput!$M$24-ArtifactsInput!$M$24)*CHOOSE(ArtifactsInput!$N$24+1,10,12,14,16,18,20)+IF(ArtifactsInput!$M$10,CHOOSE(ArtifactsInput!$N$10+1,15,18,21,24,27,30)*(IF(Inputs!$B$38="pvp",MIN(15,15)/15,IF(AND(Inputs!$B$38&lt;&gt;"pvp",Inputs!$B$43&gt;0),MIN(15,Inputs!$B$43)/(Inputs!$B$43),0))),0)))&gt;=100),CHOOSE(ArtifactsInput!$N$42+1,40,48,56,64,72,80),0))))/100)*((1+(((C2023=TRUE)*F2023)+((C2030=TRUE)*(F2030-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2017)</f>
        <v/>
      </c>
      <c r="L2017">
        <f>K2017*(MIN(Inputs!$B$22+((C2028=TRUE)*(F2028-Calc!F22)),(Inputs!$B$23+0+(IF(ArtifactsInput!$M$15,CHOOSE(ArtifactsInput!$N$15+1,25,30,35,40,45,50)/100*(Inputs!$B$11-Inputs!$B$11),0))))/100+(Inputs!$B$23+0+(IF(ArtifactsInput!$M$15,CHOOSE(ArtifactsInput!$N$15+1,25,30,35,40,45,50)/100*(Inputs!$B$11-Inputs!$B$11),0)))/100)/2</f>
        <v/>
      </c>
      <c r="M2017">
        <f>L2017*(1+(Inputs!$B$10+((C2031=TRUE)*(F2031-Calc!F25))+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7">
        <f>L2017*(1-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2017*(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7">
        <f>(1-Summary!$B$11)*T2017+Summary!$B$11*V2017</f>
        <v/>
      </c>
      <c r="P2017">
        <f>IF(B2046=0,0,O2017/B2046)</f>
        <v/>
      </c>
      <c r="Q2017">
        <f>IFERROR(1/(IF(Inputs!$B$38="pvp",15,MAX(0.1,Skills!D11-IF(Skills!E11=TRUE,Inputs!$B$32,0)))*(1-IF(AND(ArtifactsInput!$M$27,Inputs!$B$4="Chapter Hunt"),CHOOSE(ArtifactsInput!$N$27+1,20,24,28,32,36,40),0)/100)),0)</f>
        <v/>
      </c>
      <c r="R2017">
        <f>IF(AND(Inputs!$B$38&lt;&gt;"pvp",Inputs!$B$43&gt;0),IF(MAX(0,Inputs!$B$43-B2043)&lt;=0,0,(INT(MAX(0,Inputs!$B$43-B2043)/(IF(Inputs!$B$38="pvp",15,MAX(0.1,Skills!D11-IF(Skills!E11=TRUE,Inputs!$B$32,0)))*(1-IF(AND(ArtifactsInput!$M$27,Inputs!$B$4="Chapter Hunt"),CHOOSE(ArtifactsInput!$N$27+1,20,24,28,32,36,40),0)/100)))+1)),0)</f>
        <v/>
      </c>
      <c r="S2017">
        <f>IFERROR(O2017/N2017,0)</f>
        <v/>
      </c>
      <c r="T2017">
        <f>IF(C2017,(H2017*N2017*IF(AND(Inputs!$B$38&lt;&gt;"pvp",Inputs!$B$43&gt;0),((Skills!G11*((R2017-1)*IF(Skills!H11&gt;0,Skills!I11/Skills!H11,1)+IF(Skills!H11&gt;0,MIN(Skills!I11,MAX(0,MAX(0,Inputs!$B$43-B2043)-((R2017-1)*(IF(Inputs!$B$38="pvp",15,MAX(0.1,Skills!D11-IF(Skills!E11=TRUE,Inputs!$B$32,0)))*(1-IF(AND(ArtifactsInput!$M$27,Inputs!$B$4="Chapter Hunt"),CHOOSE(ArtifactsInput!$N$27+1,20,24,28,32,36,40),0)/100)))))/Skills!H11,1)))/Inputs!$B$43),G2017*Q2017)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2017*(1-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2017*(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2017*(1-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2017*(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7">
        <f>IF(C2017,(H2017*N2017*IF(AND(Inputs!$B$38&lt;&gt;"pvp",Inputs!$B$43&gt;0),((Skills!G11*((R2017-1)*IF(Skills!H11&gt;0,Skills!I11/Skills!H11,1)+IF(Skills!H11&gt;0,MIN(Skills!I11,MAX(0,MAX(0,Inputs!$B$43-B2043)-((R2017-1)*(IF(Inputs!$B$38="pvp",15,MAX(0.1,Skills!D11-IF(Skills!E11=TRUE,Inputs!$B$32,0)))*(1-IF(AND(ArtifactsInput!$M$27,Inputs!$B$4="Chapter Hunt"),CHOOSE(ArtifactsInput!$N$27+1,20,24,28,32,36,40),0)/100)))))/Skills!H11,1)))/Inputs!$B$43),G2017*Q2017))*IF(Inputs!$B$38="pvp",1,(1+(Inputs!$B$21+Skills!Q11+(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8">
      <c r="A2018">
        <f>Skills!A12</f>
        <v/>
      </c>
      <c r="B2018">
        <f>Skills!B12</f>
        <v/>
      </c>
      <c r="C2018">
        <f>Inputs!$B$3&gt;=110</f>
        <v/>
      </c>
      <c r="D2018">
        <f>IF(Skills!C12=1,60+Inputs!$B$25+Inputs!$B$29,IF(Skills!C12=2,90+Inputs!$B$26+Inputs!$B$29,IF(Skills!C12=3,120+Inputs!$B$27+Inputs!$B$29,MAX(0,(Inputs!$B$3-100)*3)+Inputs!$B$28+Inputs!$B$29)))</f>
        <v/>
      </c>
      <c r="E2018">
        <f>INDEX(FactorTable!$B$2:$Y$301, MATCH(ROUND(MIN(300,MAX(1,D2018)),0), FactorTable!$A$2:$A$301,0), Skills!M12+1)</f>
        <v/>
      </c>
      <c r="F2018">
        <f>IF(Skills!N12=TRUE,(Skills!L12/10)*(E2018/1000),Skills!L12/10)+Skills!O12</f>
        <v/>
      </c>
      <c r="G2018">
        <f>Skills!G12*IF(Skills!H12&gt;0,Skills!I12/Skills!H12,1)</f>
        <v/>
      </c>
      <c r="H2018">
        <f>1-(1-Skills!J12/100)^Skills!K12</f>
        <v/>
      </c>
      <c r="I2018" t="inlineStr">
        <is>
          <t>1</t>
        </is>
      </c>
      <c r="J2018">
        <f>((Inputs!$B$6*(1+Inputs!$B$7/100))+(((Inputs!$B$12*(1+Inputs!$B$13/100))-(Inputs!$B$12*(1+Inputs!$B$13/100)))+0.25*(Inputs!$B$14-Inputs!$B$14))*(1+Inputs!$B$7/100))*(F2018/100)</f>
        <v/>
      </c>
      <c r="K2018">
        <f>J2018*(1+((Inputs!$B$12*(1+Inputs!$B$13/100))*0.01+Inputs!$B$14*0.0025)/100)*(1+Inputs!$B$15/100)*(1+Inputs!$B$16/100)*(5000/(6000+Inputs!$B$42*(1-(100*(1-(1-(Inputs!$B$19+0)/100)*(1-CHOOSE(ArtifactsInput!$N$40+1,5,6,7,8,9,10)/100)^(ArtifactsInput!$M$40-ArtifactsInput!$M$40)))/100)))*(1+(Inputs!$B$24+((C2032=TRUE)*(F2032-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2029=TRUE)*(F2029-Calc!F23))+((C2033=TRUE)*(F2033-Calc!F27))+(((IF(AND(ArtifactsInput!$M$42,((Inputs!$B$9+((C2025=TRUE)*(F2025-Calc!F19))+B2036+(ArtifactsInput!$M$24-ArtifactsInput!$M$24)*CHOOSE(ArtifactsInput!$N$24+1,10,12,14,16,18,20)+IF(ArtifactsInput!$M$10,CHOOSE(ArtifactsInput!$N$10+1,15,18,21,24,27,30)*(IF(Inputs!$B$38="pvp",MIN(15,15)/15,IF(AND(Inputs!$B$38&lt;&gt;"pvp",Inputs!$B$43&gt;0),MIN(15,Inputs!$B$43)/(Inputs!$B$43),0))),0)))&gt;=100),MIN(100,((Inputs!$B$9+((C2025=TRUE)*(F2025-Calc!F19))+B2036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19))+B2036+(ArtifactsInput!$M$24-ArtifactsInput!$M$24)*CHOOSE(ArtifactsInput!$N$24+1,10,12,14,16,18,20)+IF(ArtifactsInput!$M$10,CHOOSE(ArtifactsInput!$N$10+1,15,18,21,24,27,30)*(IF(Inputs!$B$38="pvp",MIN(15,15)/15,IF(AND(Inputs!$B$38&lt;&gt;"pvp",Inputs!$B$43&gt;0),MIN(15,Inputs!$B$43)/(Inputs!$B$43),0))),0)))&gt;=100),CHOOSE(ArtifactsInput!$N$42+1,40,48,56,64,72,80),0))))/100)*((1+(((C2023=TRUE)*F2023)+((C2030=TRUE)*(F2030-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2018)</f>
        <v/>
      </c>
      <c r="L2018">
        <f>K2018*(MIN(Inputs!$B$22+((C2028=TRUE)*(F2028-Calc!F22)),(Inputs!$B$23+0+(IF(ArtifactsInput!$M$15,CHOOSE(ArtifactsInput!$N$15+1,25,30,35,40,45,50)/100*(Inputs!$B$11-Inputs!$B$11),0))))/100+(Inputs!$B$23+0+(IF(ArtifactsInput!$M$15,CHOOSE(ArtifactsInput!$N$15+1,25,30,35,40,45,50)/100*(Inputs!$B$11-Inputs!$B$11),0)))/100)/2</f>
        <v/>
      </c>
      <c r="M2018">
        <f>L2018*(1+(Inputs!$B$10+((C2031=TRUE)*(F2031-Calc!F25))+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8">
        <f>L2018*(1-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2018*(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8">
        <f>(1-Summary!$B$11)*T2018+Summary!$B$11*V2018</f>
        <v/>
      </c>
      <c r="P2018">
        <f>IF(B2046=0,0,O2018/B2046)</f>
        <v/>
      </c>
      <c r="Q2018">
        <f>IFERROR(1/(IF(Inputs!$B$38="pvp",15,MAX(0.1,Skills!D12-IF(Skills!E12=TRUE,Inputs!$B$32,0)))*(1-IF(AND(ArtifactsInput!$M$27,Inputs!$B$4="Chapter Hunt"),CHOOSE(ArtifactsInput!$N$27+1,20,24,28,32,36,40),0)/100)),0)</f>
        <v/>
      </c>
      <c r="R2018">
        <f>IF(AND(Inputs!$B$38&lt;&gt;"pvp",Inputs!$B$43&gt;0),IF(MAX(0,Inputs!$B$43-B2043)&lt;=0,0,(INT(MAX(0,Inputs!$B$43-B2043)/(IF(Inputs!$B$38="pvp",15,MAX(0.1,Skills!D12-IF(Skills!E12=TRUE,Inputs!$B$32,0)))*(1-IF(AND(ArtifactsInput!$M$27,Inputs!$B$4="Chapter Hunt"),CHOOSE(ArtifactsInput!$N$27+1,20,24,28,32,36,40),0)/100)))+1)),0)</f>
        <v/>
      </c>
      <c r="S2018">
        <f>IFERROR(O2018/N2018,0)</f>
        <v/>
      </c>
      <c r="T2018">
        <f>IF(C2018,(H2018*N2018*IF(AND(Inputs!$B$38&lt;&gt;"pvp",Inputs!$B$43&gt;0),((Skills!G12*((R2018-1)*IF(Skills!H12&gt;0,Skills!I12/Skills!H12,1)+IF(Skills!H12&gt;0,MIN(Skills!I12,MAX(0,MAX(0,Inputs!$B$43-B2043)-((R2018-1)*(IF(Inputs!$B$38="pvp",15,MAX(0.1,Skills!D12-IF(Skills!E12=TRUE,Inputs!$B$32,0)))*(1-IF(AND(ArtifactsInput!$M$27,Inputs!$B$4="Chapter Hunt"),CHOOSE(ArtifactsInput!$N$27+1,20,24,28,32,36,40),0)/100)))))/Skills!H12,1)))/Inputs!$B$43),G2018*Q2018))*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2018*(1-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2018*(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2018*(1-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2018*(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8">
        <f>IF(C2018,(H2018*N2018*IF(AND(Inputs!$B$38&lt;&gt;"pvp",Inputs!$B$43&gt;0),((Skills!G12*((R2018-1)*IF(Skills!H12&gt;0,Skills!I12/Skills!H12,1)+IF(Skills!H12&gt;0,MIN(Skills!I12,MAX(0,MAX(0,Inputs!$B$43-B2043)-((R2018-1)*(IF(Inputs!$B$38="pvp",15,MAX(0.1,Skills!D12-IF(Skills!E12=TRUE,Inputs!$B$32,0)))*(1-IF(AND(ArtifactsInput!$M$27,Inputs!$B$4="Chapter Hunt"),CHOOSE(ArtifactsInput!$N$27+1,20,24,28,32,36,40),0)/100)))))/Skills!H12,1)))/Inputs!$B$43),G2018*Q2018))*IF(Inputs!$B$38="pvp",1,(1+(Inputs!$B$21+Skills!Q12+(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12,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9">
      <c r="A2019">
        <f>Skills!A13</f>
        <v/>
      </c>
      <c r="B2019">
        <f>Skills!B13</f>
        <v/>
      </c>
      <c r="C2019">
        <f>Inputs!$B$3&gt;=110</f>
        <v/>
      </c>
      <c r="D2019">
        <f>IF(Skills!C13=1,60+Inputs!$B$25+Inputs!$B$29,IF(Skills!C13=2,90+Inputs!$B$26+Inputs!$B$29,IF(Skills!C13=3,120+Inputs!$B$27+Inputs!$B$29,MAX(0,(Inputs!$B$3-100)*3)+Inputs!$B$28+Inputs!$B$29)))</f>
        <v/>
      </c>
      <c r="E2019">
        <f>INDEX(FactorTable!$B$2:$Y$301, MATCH(ROUND(MIN(300,MAX(1,D2019)),0), FactorTable!$A$2:$A$301,0), Skills!M13+1)</f>
        <v/>
      </c>
      <c r="F2019">
        <f>IF(Skills!N13=TRUE,(Skills!L13/10)*(E2019/1000),Skills!L13/10)+Skills!O13</f>
        <v/>
      </c>
      <c r="G2019">
        <f>Skills!G13*IF(Skills!H13&gt;0,Skills!I13/Skills!H13,1)</f>
        <v/>
      </c>
      <c r="H2019">
        <f>1-(1-Skills!J13/100)^Skills!K13</f>
        <v/>
      </c>
      <c r="I2019" t="inlineStr">
        <is>
          <t>1</t>
        </is>
      </c>
      <c r="J2019">
        <f>((Inputs!$B$6*(1+Inputs!$B$7/100))+(((Inputs!$B$12*(1+Inputs!$B$13/100))-(Inputs!$B$12*(1+Inputs!$B$13/100)))+0.25*(Inputs!$B$14-Inputs!$B$14))*(1+Inputs!$B$7/100))*(F2019/100)</f>
        <v/>
      </c>
      <c r="K2019">
        <f>J2019*(1+((Inputs!$B$12*(1+Inputs!$B$13/100))*0.01+Inputs!$B$14*0.0025)/100)*(1+Inputs!$B$15/100)*(1+Inputs!$B$16/100)*(5000/(6000+Inputs!$B$42*(1-(100*(1-(1-(Inputs!$B$19+0)/100)*(1-CHOOSE(ArtifactsInput!$N$40+1,5,6,7,8,9,10)/100)^(ArtifactsInput!$M$40-ArtifactsInput!$M$40)))/100)))*(1+(Inputs!$B$24+((C2032=TRUE)*(F2032-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2029=TRUE)*(F2029-Calc!F23))+((C2033=TRUE)*(F2033-Calc!F27))+(((IF(AND(ArtifactsInput!$M$42,((Inputs!$B$9+((C2025=TRUE)*(F2025-Calc!F19))+B2036+(ArtifactsInput!$M$24-ArtifactsInput!$M$24)*CHOOSE(ArtifactsInput!$N$24+1,10,12,14,16,18,20)+IF(ArtifactsInput!$M$10,CHOOSE(ArtifactsInput!$N$10+1,15,18,21,24,27,30)*(IF(Inputs!$B$38="pvp",MIN(15,15)/15,IF(AND(Inputs!$B$38&lt;&gt;"pvp",Inputs!$B$43&gt;0),MIN(15,Inputs!$B$43)/(Inputs!$B$43),0))),0)))&gt;=100),MIN(100,((Inputs!$B$9+((C2025=TRUE)*(F2025-Calc!F19))+B2036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19))+B2036+(ArtifactsInput!$M$24-ArtifactsInput!$M$24)*CHOOSE(ArtifactsInput!$N$24+1,10,12,14,16,18,20)+IF(ArtifactsInput!$M$10,CHOOSE(ArtifactsInput!$N$10+1,15,18,21,24,27,30)*(IF(Inputs!$B$38="pvp",MIN(15,15)/15,IF(AND(Inputs!$B$38&lt;&gt;"pvp",Inputs!$B$43&gt;0),MIN(15,Inputs!$B$43)/(Inputs!$B$43),0))),0)))&gt;=100),CHOOSE(ArtifactsInput!$N$42+1,40,48,56,64,72,80),0))))/100)*((1+(((C2023=TRUE)*F2023)+((C2030=TRUE)*(F2030-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2019)</f>
        <v/>
      </c>
      <c r="L2019">
        <f>K2019*(MIN(Inputs!$B$22+((C2028=TRUE)*(F2028-Calc!F22)),(Inputs!$B$23+0+(IF(ArtifactsInput!$M$15,CHOOSE(ArtifactsInput!$N$15+1,25,30,35,40,45,50)/100*(Inputs!$B$11-Inputs!$B$11),0))))/100+(Inputs!$B$23+0+(IF(ArtifactsInput!$M$15,CHOOSE(ArtifactsInput!$N$15+1,25,30,35,40,45,50)/100*(Inputs!$B$11-Inputs!$B$11),0)))/100)/2</f>
        <v/>
      </c>
      <c r="M2019">
        <f>L2019*(1+(Inputs!$B$10+((C2031=TRUE)*(F2031-Calc!F25))+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9">
        <f>L2019*(1-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2019*(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9">
        <f>(1-Summary!$B$11)*T2019+Summary!$B$11*V2019</f>
        <v/>
      </c>
      <c r="P2019">
        <f>IF(B2046=0,0,O2019/B2046)</f>
        <v/>
      </c>
      <c r="Q2019">
        <f>IFERROR(1/(IF(Inputs!$B$38="pvp",15,MAX(0.1,Skills!D13-IF(Skills!E13=TRUE,Inputs!$B$32,0)))*(1-IF(AND(ArtifactsInput!$M$27,Inputs!$B$4="Chapter Hunt"),CHOOSE(ArtifactsInput!$N$27+1,20,24,28,32,36,40),0)/100)),0)</f>
        <v/>
      </c>
      <c r="R2019">
        <f>IF(AND(Inputs!$B$38&lt;&gt;"pvp",Inputs!$B$43&gt;0),IF(MAX(0,Inputs!$B$43-B2043)&lt;=0,0,(INT(MAX(0,Inputs!$B$43-B2043)/(IF(Inputs!$B$38="pvp",15,MAX(0.1,Skills!D13-IF(Skills!E13=TRUE,Inputs!$B$32,0)))*(1-IF(AND(ArtifactsInput!$M$27,Inputs!$B$4="Chapter Hunt"),CHOOSE(ArtifactsInput!$N$27+1,20,24,28,32,36,40),0)/100)))+1)),0)</f>
        <v/>
      </c>
      <c r="S2019">
        <f>IFERROR(O2019/N2019,0)</f>
        <v/>
      </c>
      <c r="T2019">
        <f>IF(C2019,(H2019*N2019*IF(AND(Inputs!$B$38&lt;&gt;"pvp",Inputs!$B$43&gt;0),((Skills!G13*((R2019-1)*IF(Skills!H13&gt;0,Skills!I13/Skills!H13,1)+IF(Skills!H13&gt;0,MIN(Skills!I13,MAX(0,MAX(0,Inputs!$B$43-B2043)-((R2019-1)*(IF(Inputs!$B$38="pvp",15,MAX(0.1,Skills!D13-IF(Skills!E13=TRUE,Inputs!$B$32,0)))*(1-IF(AND(ArtifactsInput!$M$27,Inputs!$B$4="Chapter Hunt"),CHOOSE(ArtifactsInput!$N$27+1,20,24,28,32,36,40),0)/100)))))/Skills!H13,1)))/Inputs!$B$43),G2019*Q2019))*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2019*(1-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2019*(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2019*(1-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2019*(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9">
        <f>IF(C2019,(H2019*N2019*IF(AND(Inputs!$B$38&lt;&gt;"pvp",Inputs!$B$43&gt;0),((Skills!G13*((R2019-1)*IF(Skills!H13&gt;0,Skills!I13/Skills!H13,1)+IF(Skills!H13&gt;0,MIN(Skills!I13,MAX(0,MAX(0,Inputs!$B$43-B2043)-((R2019-1)*(IF(Inputs!$B$38="pvp",15,MAX(0.1,Skills!D13-IF(Skills!E13=TRUE,Inputs!$B$32,0)))*(1-IF(AND(ArtifactsInput!$M$27,Inputs!$B$4="Chapter Hunt"),CHOOSE(ArtifactsInput!$N$27+1,20,24,28,32,36,40),0)/100)))))/Skills!H13,1)))/Inputs!$B$43),G2019*Q2019))*IF(Inputs!$B$38="pvp",1,(1+(Inputs!$B$21+Skills!Q13+(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13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0">
      <c r="A2020">
        <f>Skills!A14</f>
        <v/>
      </c>
      <c r="B2020">
        <f>Skills!B14</f>
        <v/>
      </c>
      <c r="C2020">
        <f>Inputs!$B$3&gt;=125</f>
        <v/>
      </c>
      <c r="D2020">
        <f>IF(Skills!C14=1,60+Inputs!$B$25+Inputs!$B$29,IF(Skills!C14=2,90+Inputs!$B$26+Inputs!$B$29,IF(Skills!C14=3,120+Inputs!$B$27+Inputs!$B$29,MAX(0,(Inputs!$B$3-100)*3)+Inputs!$B$28+Inputs!$B$29)))</f>
        <v/>
      </c>
      <c r="E2020">
        <f>INDEX(FactorTable!$B$2:$Y$301, MATCH(ROUND(MIN(300,MAX(1,D2020)),0), FactorTable!$A$2:$A$301,0), Skills!M14+1)</f>
        <v/>
      </c>
      <c r="F2020">
        <f>IF(Skills!N14=TRUE,(Skills!L14/10)*(E2020/1000),Skills!L14/10)+Skills!O14</f>
        <v/>
      </c>
      <c r="G2020">
        <f>Skills!G14*IF(Skills!H14&gt;0,Skills!I14/Skills!H14,1)</f>
        <v/>
      </c>
      <c r="H2020">
        <f>1-(1-Skills!J14/100)^Skills!K14</f>
        <v/>
      </c>
      <c r="I2020" t="inlineStr">
        <is>
          <t>1</t>
        </is>
      </c>
      <c r="J2020">
        <f>((Inputs!$B$6*(1+Inputs!$B$7/100))+(((Inputs!$B$12*(1+Inputs!$B$13/100))-(Inputs!$B$12*(1+Inputs!$B$13/100)))+0.25*(Inputs!$B$14-Inputs!$B$14))*(1+Inputs!$B$7/100))*(F2020/100)</f>
        <v/>
      </c>
      <c r="K2020">
        <f>J2020*(1+((Inputs!$B$12*(1+Inputs!$B$13/100))*0.01+Inputs!$B$14*0.0025)/100)*(1+Inputs!$B$15/100)*(1+Inputs!$B$16/100)*(5000/(6000+Inputs!$B$42*(1-(100*(1-(1-(Inputs!$B$19+0)/100)*(1-CHOOSE(ArtifactsInput!$N$40+1,5,6,7,8,9,10)/100)^(ArtifactsInput!$M$40-ArtifactsInput!$M$40)))/100)))*(1+(Inputs!$B$24+((C2032=TRUE)*(F2032-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2029=TRUE)*(F2029-Calc!F23))+((C2033=TRUE)*(F2033-Calc!F27))+(((IF(AND(ArtifactsInput!$M$42,((Inputs!$B$9+((C2025=TRUE)*(F2025-Calc!F19))+B2036+(ArtifactsInput!$M$24-ArtifactsInput!$M$24)*CHOOSE(ArtifactsInput!$N$24+1,10,12,14,16,18,20)+IF(ArtifactsInput!$M$10,CHOOSE(ArtifactsInput!$N$10+1,15,18,21,24,27,30)*(IF(Inputs!$B$38="pvp",MIN(15,15)/15,IF(AND(Inputs!$B$38&lt;&gt;"pvp",Inputs!$B$43&gt;0),MIN(15,Inputs!$B$43)/(Inputs!$B$43),0))),0)))&gt;=100),MIN(100,((Inputs!$B$9+((C2025=TRUE)*(F2025-Calc!F19))+B2036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19))+B2036+(ArtifactsInput!$M$24-ArtifactsInput!$M$24)*CHOOSE(ArtifactsInput!$N$24+1,10,12,14,16,18,20)+IF(ArtifactsInput!$M$10,CHOOSE(ArtifactsInput!$N$10+1,15,18,21,24,27,30)*(IF(Inputs!$B$38="pvp",MIN(15,15)/15,IF(AND(Inputs!$B$38&lt;&gt;"pvp",Inputs!$B$43&gt;0),MIN(15,Inputs!$B$43)/(Inputs!$B$43),0))),0)))&gt;=100),CHOOSE(ArtifactsInput!$N$42+1,40,48,56,64,72,80),0))))/100)*((1+(((C2023=TRUE)*F2023)+((C2030=TRUE)*(F2030-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2020)</f>
        <v/>
      </c>
      <c r="L2020">
        <f>K2020*(MIN(Inputs!$B$22+((C2028=TRUE)*(F2028-Calc!F22)),(Inputs!$B$23+0+(IF(ArtifactsInput!$M$15,CHOOSE(ArtifactsInput!$N$15+1,25,30,35,40,45,50)/100*(Inputs!$B$11-Inputs!$B$11),0))))/100+(Inputs!$B$23+0+(IF(ArtifactsInput!$M$15,CHOOSE(ArtifactsInput!$N$15+1,25,30,35,40,45,50)/100*(Inputs!$B$11-Inputs!$B$11),0)))/100)/2</f>
        <v/>
      </c>
      <c r="M2020">
        <f>L2020*(1+(Inputs!$B$10+((C2031=TRUE)*(F2031-Calc!F25))+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0">
        <f>L2020*(1-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2020*(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0">
        <f>(1-Summary!$B$11)*T2020+Summary!$B$11*V2020</f>
        <v/>
      </c>
      <c r="P2020">
        <f>IF(B2046=0,0,O2020/B2046)</f>
        <v/>
      </c>
      <c r="Q2020" t="n">
        <v>0</v>
      </c>
      <c r="R2020" t="n">
        <v>0</v>
      </c>
      <c r="S2020">
        <f>IFERROR(O2020/N2020,0)</f>
        <v/>
      </c>
      <c r="T2020">
        <f>IF(C2020,(H2020*N2020*(B2040+IF(AND(Inputs!$B$38&lt;&gt;"pvp",Inputs!$B$43&gt;0),((Skills!G8*((R2014-1)*IF(Skills!H8&gt;0,Skills!I8/Skills!H8,1)+IF(Skills!H8&gt;0,MIN(Skills!I8,MAX(0,MAX(0,Inputs!$B$43-B2043)-((R2014-1)*(IF(Inputs!$B$38="pvp",15,MAX(0.1,Skills!D8-IF(Skills!E8=TRUE,Inputs!$B$32,0)))*(1-IF(AND(ArtifactsInput!$M$27,Inputs!$B$4="Chapter Hunt"),CHOOSE(ArtifactsInput!$N$27+1,20,24,28,32,36,40),0)/100)))))/Skills!H8,1)))/Inputs!$B$43),G2014*Q2014)+IF(AND(Inputs!$B$38&lt;&gt;"pvp",Inputs!$B$43&gt;0),((Skills!G11*((R2017-1)*IF(Skills!H11&gt;0,Skills!I11/Skills!H11,1)+IF(Skills!H11&gt;0,MIN(Skills!I11,MAX(0,MAX(0,Inputs!$B$43-B2043)-((R2017-1)*(IF(Inputs!$B$38="pvp",15,MAX(0.1,Skills!D11-IF(Skills!E11=TRUE,Inputs!$B$32,0)))*(1-IF(AND(ArtifactsInput!$M$27,Inputs!$B$4="Chapter Hunt"),CHOOSE(ArtifactsInput!$N$27+1,20,24,28,32,36,40),0)/100)))))/Skills!H11,1)))/Inputs!$B$43),G2017*Q2017)))*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2020*(1-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2020*(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2020*(1-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2020*(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0">
        <f>IF(C2020,(H2020*N2020*(B2040+IF(AND(Inputs!$B$38&lt;&gt;"pvp",Inputs!$B$43&gt;0),((Skills!G8*((R2014-1)*IF(Skills!H8&gt;0,Skills!I8/Skills!H8,1)+IF(Skills!H8&gt;0,MIN(Skills!I8,MAX(0,MAX(0,Inputs!$B$43-B2043)-((R2014-1)*(IF(Inputs!$B$38="pvp",15,MAX(0.1,Skills!D8-IF(Skills!E8=TRUE,Inputs!$B$32,0)))*(1-IF(AND(ArtifactsInput!$M$27,Inputs!$B$4="Chapter Hunt"),CHOOSE(ArtifactsInput!$N$27+1,20,24,28,32,36,40),0)/100)))))/Skills!H8,1)))/Inputs!$B$43),G2014*Q2014)+IF(AND(Inputs!$B$38&lt;&gt;"pvp",Inputs!$B$43&gt;0),((Skills!G11*((R2017-1)*IF(Skills!H11&gt;0,Skills!I11/Skills!H11,1)+IF(Skills!H11&gt;0,MIN(Skills!I11,MAX(0,MAX(0,Inputs!$B$43-B2043)-((R2017-1)*(IF(Inputs!$B$38="pvp",15,MAX(0.1,Skills!D11-IF(Skills!E11=TRUE,Inputs!$B$32,0)))*(1-IF(AND(ArtifactsInput!$M$27,Inputs!$B$4="Chapter Hunt"),CHOOSE(ArtifactsInput!$N$27+1,20,24,28,32,36,40),0)/100)))))/Skills!H11,1)))/Inputs!$B$43),G2017*Q2017)))*IF(Inputs!$B$38="pvp",1,(1+(Inputs!$B$21+Skills!Q14+(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14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1">
      <c r="A2021">
        <f>Skills!A15</f>
        <v/>
      </c>
      <c r="B2021">
        <f>Skills!B15</f>
        <v/>
      </c>
      <c r="C2021">
        <f>Inputs!$B$3&gt;=100</f>
        <v/>
      </c>
      <c r="D2021">
        <f>IF(Skills!C15=1,60+Inputs!$B$25+Inputs!$B$29,IF(Skills!C15=2,90+Inputs!$B$26+Inputs!$B$29,IF(Skills!C15=3,120+Inputs!$B$27+Inputs!$B$29,MAX(0,(Inputs!$B$3-100)*3)+Inputs!$B$28+Inputs!$B$29)))</f>
        <v/>
      </c>
      <c r="E2021">
        <f>INDEX(FactorTable!$B$2:$Y$301, MATCH(ROUND(MIN(300,MAX(1,D2021)),0), FactorTable!$A$2:$A$301,0), Skills!M15+1)</f>
        <v/>
      </c>
      <c r="F2021">
        <f>IF(Skills!N15=TRUE,(Skills!L15/10)*(E2021/1000),Skills!L15/10)+Skills!O15</f>
        <v/>
      </c>
      <c r="G2021" t="inlineStr"/>
      <c r="H2021" t="inlineStr"/>
      <c r="I2021" t="inlineStr">
        <is>
          <t>1</t>
        </is>
      </c>
      <c r="J2021" t="inlineStr"/>
      <c r="K2021" t="inlineStr"/>
      <c r="L2021" t="inlineStr"/>
      <c r="M2021" t="inlineStr"/>
      <c r="N2021" t="inlineStr"/>
      <c r="O2021" t="inlineStr"/>
      <c r="P2021" t="inlineStr"/>
      <c r="Q2021" t="inlineStr"/>
      <c r="R2021" t="inlineStr"/>
      <c r="S2021" t="inlineStr"/>
    </row>
    <row r="2022">
      <c r="A2022">
        <f>Skills!A16</f>
        <v/>
      </c>
      <c r="B2022">
        <f>Skills!B16</f>
        <v/>
      </c>
      <c r="C2022">
        <f>Inputs!$B$3&gt;=120</f>
        <v/>
      </c>
      <c r="D2022">
        <f>IF(Skills!C16=1,60+Inputs!$B$25+Inputs!$B$29,IF(Skills!C16=2,90+Inputs!$B$26+Inputs!$B$29,IF(Skills!C16=3,120+Inputs!$B$27+Inputs!$B$29,MAX(0,(Inputs!$B$3-100)*3)+Inputs!$B$28+Inputs!$B$29)))</f>
        <v/>
      </c>
      <c r="E2022">
        <f>INDEX(FactorTable!$B$2:$Y$301, MATCH(ROUND(MIN(300,MAX(1,D2022)),0), FactorTable!$A$2:$A$301,0), Skills!M16+1)</f>
        <v/>
      </c>
      <c r="F2022">
        <f>IF(Skills!N16=TRUE,(Skills!L16/10)*(E2022/1000),Skills!L16/10)+Skills!O16</f>
        <v/>
      </c>
      <c r="G2022" t="inlineStr"/>
      <c r="H2022" t="inlineStr"/>
      <c r="I2022" t="inlineStr">
        <is>
          <t>1</t>
        </is>
      </c>
      <c r="J2022" t="inlineStr"/>
      <c r="K2022" t="inlineStr"/>
      <c r="L2022" t="inlineStr"/>
      <c r="M2022" t="inlineStr"/>
      <c r="N2022" t="inlineStr"/>
      <c r="O2022" t="inlineStr"/>
      <c r="P2022" t="inlineStr"/>
      <c r="Q2022" t="inlineStr"/>
      <c r="R2022" t="inlineStr"/>
      <c r="S2022" t="inlineStr"/>
    </row>
    <row r="2023">
      <c r="A2023">
        <f>Skills!A17</f>
        <v/>
      </c>
      <c r="B2023">
        <f>Skills!B17</f>
        <v/>
      </c>
      <c r="C2023">
        <f>Inputs!$B$3&gt;=66</f>
        <v/>
      </c>
      <c r="D2023">
        <f>IF(Skills!C17=1,60+Inputs!$B$25+Inputs!$B$29,IF(Skills!C17=2,90+Inputs!$B$26+Inputs!$B$29,IF(Skills!C17=3,120+Inputs!$B$27+Inputs!$B$29,MAX(0,(Inputs!$B$3-100)*3)+Inputs!$B$28+Inputs!$B$29)))</f>
        <v/>
      </c>
      <c r="E2023">
        <f>INDEX(FactorTable!$B$2:$Y$301, MATCH(ROUND(MIN(300,MAX(1,D2023)),0), FactorTable!$A$2:$A$301,0), Skills!M17+1)</f>
        <v/>
      </c>
      <c r="F2023">
        <f>IF(Skills!N17=TRUE,(Skills!L17/10)*(E2023/1000),Skills!L17/10)+Skills!O17</f>
        <v/>
      </c>
      <c r="G2023">
        <f>Skills!G17*IF(Skills!H17&gt;0,Skills!I17/Skills!H17,1)</f>
        <v/>
      </c>
      <c r="H2023">
        <f>1-(1-Skills!J17/100)^Skills!K17</f>
        <v/>
      </c>
      <c r="I2023" t="inlineStr">
        <is>
          <t>1</t>
        </is>
      </c>
      <c r="J2023" t="inlineStr"/>
      <c r="K2023" t="inlineStr"/>
      <c r="L2023" t="inlineStr"/>
      <c r="M2023" t="inlineStr"/>
      <c r="N2023" t="inlineStr"/>
      <c r="O2023">
        <f>(1-Summary!$B$11)*T2023+Summary!$B$11*V2023</f>
        <v/>
      </c>
      <c r="P2023">
        <f>IF(B2046=0,0,O2023/B2046)</f>
        <v/>
      </c>
      <c r="Q2023" t="n">
        <v>0</v>
      </c>
      <c r="R2023" t="n">
        <v>0</v>
      </c>
      <c r="S2023">
        <f>IFERROR(O2023/N2023,0)</f>
        <v/>
      </c>
      <c r="T2023" t="n">
        <v>0</v>
      </c>
      <c r="V2023" t="n">
        <v>0</v>
      </c>
    </row>
    <row r="2024">
      <c r="A2024">
        <f>Skills!A18</f>
        <v/>
      </c>
      <c r="B2024">
        <f>Skills!B18</f>
        <v/>
      </c>
      <c r="C2024">
        <f>Inputs!$B$3&gt;=115</f>
        <v/>
      </c>
      <c r="D2024">
        <f>IF(Skills!C18=1,60+Inputs!$B$25+Inputs!$B$29,IF(Skills!C18=2,90+Inputs!$B$26+Inputs!$B$29,IF(Skills!C18=3,120+Inputs!$B$27+Inputs!$B$29,MAX(0,(Inputs!$B$3-100)*3)+Inputs!$B$28+Inputs!$B$29)))</f>
        <v/>
      </c>
      <c r="E2024">
        <f>INDEX(FactorTable!$B$2:$Y$301, MATCH(ROUND(MIN(300,MAX(1,D2024)),0), FactorTable!$A$2:$A$301,0), Skills!M18+1)</f>
        <v/>
      </c>
      <c r="F2024">
        <f>IF(Skills!N18=TRUE,(Skills!L18/10)*(E2024/1000),Skills!L18/10)+Skills!O18</f>
        <v/>
      </c>
      <c r="G2024">
        <f>Skills!G18*IF(Skills!H18&gt;0,Skills!I18/Skills!H18,1)</f>
        <v/>
      </c>
      <c r="H2024">
        <f>1-(1-Skills!J18/100)^Skills!K18</f>
        <v/>
      </c>
      <c r="I2024" t="inlineStr">
        <is>
          <t>1</t>
        </is>
      </c>
      <c r="J2024" t="inlineStr"/>
      <c r="K2024" t="inlineStr"/>
      <c r="L2024" t="inlineStr"/>
      <c r="M2024" t="inlineStr"/>
      <c r="N2024" t="inlineStr"/>
      <c r="O2024">
        <f>(1-Summary!$B$11)*T2024+Summary!$B$11*V2024</f>
        <v/>
      </c>
      <c r="P2024">
        <f>IF(B2046=0,0,O2024/B2046)</f>
        <v/>
      </c>
      <c r="Q2024" t="n">
        <v>0</v>
      </c>
      <c r="R2024" t="n">
        <v>0</v>
      </c>
      <c r="S2024">
        <f>IFERROR(O2024/N2024,0)</f>
        <v/>
      </c>
      <c r="T2024" t="n">
        <v>0</v>
      </c>
      <c r="V2024" t="n">
        <v>0</v>
      </c>
    </row>
    <row r="2025">
      <c r="A2025">
        <f>Skills!A19</f>
        <v/>
      </c>
      <c r="B2025">
        <f>Skills!B19</f>
        <v/>
      </c>
      <c r="C2025">
        <f>Inputs!$B$3&gt;=15</f>
        <v/>
      </c>
      <c r="D2025">
        <f>IF(Skills!C19=1,60+Inputs!$B$25+Inputs!$B$29,IF(Skills!C19=2,90+Inputs!$B$26+Inputs!$B$29,IF(Skills!C19=3,120+Inputs!$B$27+Inputs!$B$29,MAX(0,(Inputs!$B$3-100)*3)+Inputs!$B$28+Inputs!$B$29)))</f>
        <v/>
      </c>
      <c r="E2025">
        <f>INDEX(FactorTable!$B$2:$Y$301, MATCH(ROUND(MIN(300,MAX(1,D2025)),0), FactorTable!$A$2:$A$301,0), Skills!M19+1)</f>
        <v/>
      </c>
      <c r="F2025">
        <f>IF(Skills!N19=TRUE,(Skills!L19/10)*(E2025/1000),Skills!L19/10)+Skills!O19</f>
        <v/>
      </c>
      <c r="G2025">
        <f>Skills!G19*IF(Skills!H19&gt;0,Skills!I19/Skills!H19,1)</f>
        <v/>
      </c>
      <c r="H2025">
        <f>1-(1-Skills!J19/100)^Skills!K19</f>
        <v/>
      </c>
      <c r="I2025" t="inlineStr">
        <is>
          <t>1</t>
        </is>
      </c>
      <c r="J2025" t="inlineStr"/>
      <c r="K2025" t="inlineStr"/>
      <c r="L2025" t="inlineStr"/>
      <c r="M2025" t="inlineStr"/>
      <c r="N2025" t="inlineStr"/>
      <c r="O2025">
        <f>(1-Summary!$B$11)*T2025+Summary!$B$11*V2025</f>
        <v/>
      </c>
      <c r="P2025">
        <f>IF(B2046=0,0,O2025/B2046)</f>
        <v/>
      </c>
      <c r="Q2025" t="n">
        <v>0</v>
      </c>
      <c r="R2025" t="n">
        <v>0</v>
      </c>
      <c r="S2025">
        <f>IFERROR(O2025/N2025,0)</f>
        <v/>
      </c>
      <c r="T2025" t="n">
        <v>0</v>
      </c>
      <c r="V2025" t="n">
        <v>0</v>
      </c>
    </row>
    <row r="2026">
      <c r="A2026">
        <f>Skills!A20</f>
        <v/>
      </c>
      <c r="B2026">
        <f>Skills!B20</f>
        <v/>
      </c>
      <c r="C2026">
        <f>Inputs!$B$3&gt;=10</f>
        <v/>
      </c>
      <c r="D2026">
        <f>IF(Skills!C20=1,60+Inputs!$B$25+Inputs!$B$29,IF(Skills!C20=2,90+Inputs!$B$26+Inputs!$B$29,IF(Skills!C20=3,120+Inputs!$B$27+Inputs!$B$29,MAX(0,(Inputs!$B$3-100)*3)+Inputs!$B$28+Inputs!$B$29)))</f>
        <v/>
      </c>
      <c r="E2026">
        <f>INDEX(FactorTable!$B$2:$Y$301, MATCH(ROUND(MIN(300,MAX(1,D2026)),0), FactorTable!$A$2:$A$301,0), Skills!M20+1)</f>
        <v/>
      </c>
      <c r="F2026">
        <f>IF(Skills!N20=TRUE,(Skills!L20/10)*(E2026/1000),Skills!L20/10)+Skills!O20</f>
        <v/>
      </c>
      <c r="G2026">
        <f>Skills!G20*IF(Skills!H20&gt;0,Skills!I20/Skills!H20,1)</f>
        <v/>
      </c>
      <c r="H2026">
        <f>1-(1-Skills!J20/100)^Skills!K20</f>
        <v/>
      </c>
      <c r="I2026" t="inlineStr">
        <is>
          <t>1</t>
        </is>
      </c>
      <c r="J2026" t="inlineStr"/>
      <c r="K2026" t="inlineStr"/>
      <c r="L2026" t="inlineStr"/>
      <c r="M2026" t="inlineStr"/>
      <c r="N2026" t="inlineStr"/>
      <c r="O2026">
        <f>(1-Summary!$B$11)*T2026+Summary!$B$11*V2026</f>
        <v/>
      </c>
      <c r="P2026">
        <f>IF(B2046=0,0,O2026/B2046)</f>
        <v/>
      </c>
      <c r="Q2026" t="n">
        <v>0</v>
      </c>
      <c r="R2026" t="n">
        <v>0</v>
      </c>
      <c r="S2026">
        <f>IFERROR(O2026/N2026,0)</f>
        <v/>
      </c>
      <c r="T2026" t="n">
        <v>0</v>
      </c>
      <c r="V2026" t="n">
        <v>0</v>
      </c>
    </row>
    <row r="2027">
      <c r="A2027">
        <f>Skills!A21</f>
        <v/>
      </c>
      <c r="B2027">
        <f>Skills!B21</f>
        <v/>
      </c>
      <c r="C2027">
        <f>Inputs!$B$3&gt;=33</f>
        <v/>
      </c>
      <c r="D2027">
        <f>IF(Skills!C21=1,60+Inputs!$B$25+Inputs!$B$29,IF(Skills!C21=2,90+Inputs!$B$26+Inputs!$B$29,IF(Skills!C21=3,120+Inputs!$B$27+Inputs!$B$29,MAX(0,(Inputs!$B$3-100)*3)+Inputs!$B$28+Inputs!$B$29)))</f>
        <v/>
      </c>
      <c r="E2027">
        <f>INDEX(FactorTable!$B$2:$Y$301, MATCH(ROUND(MIN(300,MAX(1,D2027)),0), FactorTable!$A$2:$A$301,0), Skills!M21+1)</f>
        <v/>
      </c>
      <c r="F2027">
        <f>IF(Skills!N21=TRUE,(Skills!L21/10)*(E2027/1000),Skills!L21/10)+Skills!O21</f>
        <v/>
      </c>
      <c r="G2027">
        <f>Skills!G21*IF(Skills!H21&gt;0,Skills!I21/Skills!H21,1)</f>
        <v/>
      </c>
      <c r="H2027">
        <f>1-(1-Skills!J21/100)^Skills!K21</f>
        <v/>
      </c>
      <c r="I2027" t="inlineStr">
        <is>
          <t>1</t>
        </is>
      </c>
      <c r="J2027" t="inlineStr"/>
      <c r="K2027" t="inlineStr"/>
      <c r="L2027" t="inlineStr"/>
      <c r="M2027" t="inlineStr"/>
      <c r="N2027" t="inlineStr"/>
      <c r="O2027">
        <f>(1-Summary!$B$11)*T2027+Summary!$B$11*V2027</f>
        <v/>
      </c>
      <c r="P2027">
        <f>IF(B2046=0,0,O2027/B2046)</f>
        <v/>
      </c>
      <c r="Q2027" t="n">
        <v>0</v>
      </c>
      <c r="R2027" t="n">
        <v>0</v>
      </c>
      <c r="S2027">
        <f>IFERROR(O2027/N2027,0)</f>
        <v/>
      </c>
      <c r="T2027" t="n">
        <v>0</v>
      </c>
      <c r="V2027" t="n">
        <v>0</v>
      </c>
    </row>
    <row r="2028">
      <c r="A2028">
        <f>Skills!A22</f>
        <v/>
      </c>
      <c r="B2028">
        <f>Skills!B22</f>
        <v/>
      </c>
      <c r="C2028">
        <f>Inputs!$B$3&gt;=43</f>
        <v/>
      </c>
      <c r="D2028">
        <f>IF(Skills!C22=1,60+Inputs!$B$25+Inputs!$B$29,IF(Skills!C22=2,90+Inputs!$B$26+Inputs!$B$29,IF(Skills!C22=3,120+Inputs!$B$27+Inputs!$B$29,MAX(0,(Inputs!$B$3-100)*3)+Inputs!$B$28+Inputs!$B$29)))</f>
        <v/>
      </c>
      <c r="E2028">
        <f>INDEX(FactorTable!$B$2:$Y$301, MATCH(ROUND(MIN(300,MAX(1,D2028)),0), FactorTable!$A$2:$A$301,0), Skills!M22+1)</f>
        <v/>
      </c>
      <c r="F2028">
        <f>IF(Skills!N22=TRUE,(Skills!L22/10)*(E2028/1000),Skills!L22/10)+Skills!O22</f>
        <v/>
      </c>
      <c r="G2028">
        <f>Skills!G22*IF(Skills!H22&gt;0,Skills!I22/Skills!H22,1)</f>
        <v/>
      </c>
      <c r="H2028">
        <f>1-(1-Skills!J22/100)^Skills!K22</f>
        <v/>
      </c>
      <c r="I2028" t="inlineStr">
        <is>
          <t>1</t>
        </is>
      </c>
      <c r="J2028" t="inlineStr"/>
      <c r="K2028" t="inlineStr"/>
      <c r="L2028" t="inlineStr"/>
      <c r="M2028" t="inlineStr"/>
      <c r="N2028" t="inlineStr"/>
      <c r="O2028">
        <f>(1-Summary!$B$11)*T2028+Summary!$B$11*V2028</f>
        <v/>
      </c>
      <c r="P2028">
        <f>IF(B2046=0,0,O2028/B2046)</f>
        <v/>
      </c>
      <c r="Q2028" t="n">
        <v>0</v>
      </c>
      <c r="R2028" t="n">
        <v>0</v>
      </c>
      <c r="S2028">
        <f>IFERROR(O2028/N2028,0)</f>
        <v/>
      </c>
      <c r="T2028" t="n">
        <v>0</v>
      </c>
      <c r="V2028" t="n">
        <v>0</v>
      </c>
    </row>
    <row r="2029">
      <c r="A2029">
        <f>Skills!A23</f>
        <v/>
      </c>
      <c r="B2029">
        <f>Skills!B23</f>
        <v/>
      </c>
      <c r="C2029">
        <f>Inputs!$B$3&gt;=38</f>
        <v/>
      </c>
      <c r="D2029">
        <f>IF(Skills!C23=1,60+Inputs!$B$25+Inputs!$B$29,IF(Skills!C23=2,90+Inputs!$B$26+Inputs!$B$29,IF(Skills!C23=3,120+Inputs!$B$27+Inputs!$B$29,MAX(0,(Inputs!$B$3-100)*3)+Inputs!$B$28+Inputs!$B$29)))</f>
        <v/>
      </c>
      <c r="E2029">
        <f>INDEX(FactorTable!$B$2:$Y$301, MATCH(ROUND(MIN(300,MAX(1,D2029)),0), FactorTable!$A$2:$A$301,0), Skills!M23+1)</f>
        <v/>
      </c>
      <c r="F2029">
        <f>IF(Skills!N23=TRUE,(Skills!L23/10)*(E2029/1000),Skills!L23/10)+Skills!O23</f>
        <v/>
      </c>
      <c r="G2029">
        <f>Skills!G23*IF(Skills!H23&gt;0,Skills!I23/Skills!H23,1)</f>
        <v/>
      </c>
      <c r="H2029">
        <f>1-(1-Skills!J23/100)^Skills!K23</f>
        <v/>
      </c>
      <c r="I2029" t="inlineStr">
        <is>
          <t>1</t>
        </is>
      </c>
      <c r="J2029" t="inlineStr"/>
      <c r="K2029" t="inlineStr"/>
      <c r="L2029" t="inlineStr"/>
      <c r="M2029" t="inlineStr"/>
      <c r="N2029" t="inlineStr"/>
      <c r="O2029">
        <f>(1-Summary!$B$11)*T2029+Summary!$B$11*V2029</f>
        <v/>
      </c>
      <c r="P2029">
        <f>IF(B2046=0,0,O2029/B2046)</f>
        <v/>
      </c>
      <c r="Q2029" t="n">
        <v>0</v>
      </c>
      <c r="R2029" t="n">
        <v>0</v>
      </c>
      <c r="S2029">
        <f>IFERROR(O2029/N2029,0)</f>
        <v/>
      </c>
      <c r="T2029" t="n">
        <v>0</v>
      </c>
      <c r="V2029" t="n">
        <v>0</v>
      </c>
    </row>
    <row r="2030">
      <c r="A2030">
        <f>Skills!A24</f>
        <v/>
      </c>
      <c r="B2030">
        <f>Skills!B24</f>
        <v/>
      </c>
      <c r="C2030">
        <f>Inputs!$B$3&gt;=40</f>
        <v/>
      </c>
      <c r="D2030">
        <f>IF(Skills!C24=1,60+Inputs!$B$25+Inputs!$B$29,IF(Skills!C24=2,90+Inputs!$B$26+Inputs!$B$29,IF(Skills!C24=3,120+Inputs!$B$27+Inputs!$B$29,MAX(0,(Inputs!$B$3-100)*3)+Inputs!$B$28+Inputs!$B$29)))</f>
        <v/>
      </c>
      <c r="E2030">
        <f>INDEX(FactorTable!$B$2:$Y$301, MATCH(ROUND(MIN(300,MAX(1,D2030)),0), FactorTable!$A$2:$A$301,0), Skills!M24+1)</f>
        <v/>
      </c>
      <c r="F2030">
        <f>IF(Skills!N24=TRUE,(Skills!L24/10)*(E2030/1000),Skills!L24/10)+Skills!O24</f>
        <v/>
      </c>
      <c r="G2030">
        <f>Skills!G24*IF(Skills!H24&gt;0,Skills!I24/Skills!H24,1)</f>
        <v/>
      </c>
      <c r="H2030">
        <f>1-(1-Skills!J24/100)^Skills!K24</f>
        <v/>
      </c>
      <c r="I2030" t="inlineStr">
        <is>
          <t>1</t>
        </is>
      </c>
      <c r="J2030" t="inlineStr"/>
      <c r="K2030" t="inlineStr"/>
      <c r="L2030" t="inlineStr"/>
      <c r="M2030" t="inlineStr"/>
      <c r="N2030" t="inlineStr"/>
      <c r="O2030">
        <f>(1-Summary!$B$11)*T2030+Summary!$B$11*V2030</f>
        <v/>
      </c>
      <c r="P2030">
        <f>IF(B2046=0,0,O2030/B2046)</f>
        <v/>
      </c>
      <c r="Q2030" t="n">
        <v>0</v>
      </c>
      <c r="R2030" t="n">
        <v>0</v>
      </c>
      <c r="S2030">
        <f>IFERROR(O2030/N2030,0)</f>
        <v/>
      </c>
      <c r="T2030" t="n">
        <v>0</v>
      </c>
      <c r="V2030" t="n">
        <v>0</v>
      </c>
    </row>
    <row r="2031">
      <c r="A2031">
        <f>Skills!A25</f>
        <v/>
      </c>
      <c r="B2031">
        <f>Skills!B25</f>
        <v/>
      </c>
      <c r="C2031">
        <f>Inputs!$B$3&gt;=72</f>
        <v/>
      </c>
      <c r="D2031">
        <f>IF(Skills!C25=1,60+Inputs!$B$25+Inputs!$B$29,IF(Skills!C25=2,90+Inputs!$B$26+Inputs!$B$29,IF(Skills!C25=3,120+Inputs!$B$27+Inputs!$B$29,MAX(0,(Inputs!$B$3-100)*3)+Inputs!$B$28+Inputs!$B$29)))</f>
        <v/>
      </c>
      <c r="E2031">
        <f>INDEX(FactorTable!$B$2:$Y$301, MATCH(ROUND(MIN(300,MAX(1,D2031)),0), FactorTable!$A$2:$A$301,0), Skills!M25+1)</f>
        <v/>
      </c>
      <c r="F2031">
        <f>IF(Skills!N25=TRUE,(Skills!L25/10)*(E2031/1000),Skills!L25/10)+Skills!O25</f>
        <v/>
      </c>
      <c r="G2031">
        <f>Skills!G25*IF(Skills!H25&gt;0,Skills!I25/Skills!H25,1)</f>
        <v/>
      </c>
      <c r="H2031">
        <f>1-(1-Skills!J25/100)^Skills!K25</f>
        <v/>
      </c>
      <c r="I2031" t="inlineStr">
        <is>
          <t>1</t>
        </is>
      </c>
      <c r="J2031" t="inlineStr"/>
      <c r="K2031" t="inlineStr"/>
      <c r="L2031" t="inlineStr"/>
      <c r="M2031" t="inlineStr"/>
      <c r="N2031" t="inlineStr"/>
      <c r="O2031">
        <f>(1-Summary!$B$11)*T2031+Summary!$B$11*V2031</f>
        <v/>
      </c>
      <c r="P2031">
        <f>IF(B2046=0,0,O2031/B2046)</f>
        <v/>
      </c>
      <c r="Q2031" t="n">
        <v>0</v>
      </c>
      <c r="R2031" t="n">
        <v>0</v>
      </c>
      <c r="S2031">
        <f>IFERROR(O2031/N2031,0)</f>
        <v/>
      </c>
      <c r="T2031" t="n">
        <v>0</v>
      </c>
      <c r="V2031" t="n">
        <v>0</v>
      </c>
    </row>
    <row r="2032">
      <c r="A2032">
        <f>Skills!A26</f>
        <v/>
      </c>
      <c r="B2032">
        <f>Skills!B26</f>
        <v/>
      </c>
      <c r="C2032">
        <f>Inputs!$B$3&gt;=75</f>
        <v/>
      </c>
      <c r="D2032">
        <f>IF(Skills!C26=1,60+Inputs!$B$25+Inputs!$B$29,IF(Skills!C26=2,90+Inputs!$B$26+Inputs!$B$29,IF(Skills!C26=3,120+Inputs!$B$27+Inputs!$B$29,MAX(0,(Inputs!$B$3-100)*3)+Inputs!$B$28+Inputs!$B$29)))</f>
        <v/>
      </c>
      <c r="E2032">
        <f>INDEX(FactorTable!$B$2:$Y$301, MATCH(ROUND(MIN(300,MAX(1,D2032)),0), FactorTable!$A$2:$A$301,0), Skills!M26+1)</f>
        <v/>
      </c>
      <c r="F2032">
        <f>IF(Skills!N26=TRUE,(Skills!L26/10)*(E2032/1000),Skills!L26/10)+Skills!O26</f>
        <v/>
      </c>
      <c r="G2032">
        <f>Skills!G26*IF(Skills!H26&gt;0,Skills!I26/Skills!H26,1)</f>
        <v/>
      </c>
      <c r="H2032">
        <f>1-(1-Skills!J26/100)^Skills!K26</f>
        <v/>
      </c>
      <c r="I2032" t="inlineStr">
        <is>
          <t>1</t>
        </is>
      </c>
      <c r="J2032" t="inlineStr"/>
      <c r="K2032" t="inlineStr"/>
      <c r="L2032" t="inlineStr"/>
      <c r="M2032" t="inlineStr"/>
      <c r="N2032" t="inlineStr"/>
      <c r="O2032">
        <f>(1-Summary!$B$11)*T2032+Summary!$B$11*V2032</f>
        <v/>
      </c>
      <c r="P2032">
        <f>IF(B2046=0,0,O2032/B2046)</f>
        <v/>
      </c>
      <c r="Q2032" t="n">
        <v>0</v>
      </c>
      <c r="R2032" t="n">
        <v>0</v>
      </c>
      <c r="S2032">
        <f>IFERROR(O2032/N2032,0)</f>
        <v/>
      </c>
      <c r="T2032" t="n">
        <v>0</v>
      </c>
      <c r="V2032" t="n">
        <v>0</v>
      </c>
    </row>
    <row r="2033">
      <c r="A2033">
        <f>Skills!A27</f>
        <v/>
      </c>
      <c r="B2033">
        <f>Skills!B27</f>
        <v/>
      </c>
      <c r="C2033">
        <f>Inputs!$B$3&gt;=117</f>
        <v/>
      </c>
      <c r="D2033">
        <f>IF(Skills!C27=1,60+Inputs!$B$25+Inputs!$B$29,IF(Skills!C27=2,90+Inputs!$B$26+Inputs!$B$29,IF(Skills!C27=3,120+Inputs!$B$27+Inputs!$B$29,MAX(0,(Inputs!$B$3-100)*3)+Inputs!$B$28+Inputs!$B$29)))</f>
        <v/>
      </c>
      <c r="E2033">
        <f>INDEX(FactorTable!$B$2:$Y$301, MATCH(ROUND(MIN(300,MAX(1,D2033)),0), FactorTable!$A$2:$A$301,0), Skills!M27+1)</f>
        <v/>
      </c>
      <c r="F2033">
        <f>IF(Skills!N27=TRUE,(Skills!L27/10)*(E2033/1000),Skills!L27/10)+Skills!O27</f>
        <v/>
      </c>
      <c r="G2033">
        <f>Skills!G27*IF(Skills!H27&gt;0,Skills!I27/Skills!H27,1)</f>
        <v/>
      </c>
      <c r="H2033">
        <f>1-(1-Skills!J27/100)^Skills!K27</f>
        <v/>
      </c>
      <c r="I2033" t="inlineStr">
        <is>
          <t>1</t>
        </is>
      </c>
      <c r="J2033" t="inlineStr"/>
      <c r="K2033" t="inlineStr"/>
      <c r="L2033" t="inlineStr"/>
      <c r="M2033" t="inlineStr"/>
      <c r="N2033" t="inlineStr"/>
      <c r="O2033">
        <f>(1-Summary!$B$11)*T2033+Summary!$B$11*V2033</f>
        <v/>
      </c>
      <c r="P2033">
        <f>IF(B2046=0,0,O2033/B2046)</f>
        <v/>
      </c>
      <c r="Q2033" t="n">
        <v>0</v>
      </c>
      <c r="R2033" t="n">
        <v>0</v>
      </c>
      <c r="S2033">
        <f>IFERROR(O2033/N2033,0)</f>
        <v/>
      </c>
      <c r="T2033" t="n">
        <v>0</v>
      </c>
      <c r="V2033" t="n">
        <v>0</v>
      </c>
    </row>
    <row r="2035">
      <c r="A2035" t="inlineStr">
        <is>
          <t>Attack% Bucket Multiplier</t>
        </is>
      </c>
      <c r="B2035">
        <f>(1+(((C2023=TRUE)*F2023)+((C2030=TRUE)*(F2030-Calc!F24))+(IF(ArtifactsInput!$M$21,CHOOSE(ArtifactsInput!$N$21+1,25,30,35,40,45,50)*(IF(OR(Inputs!$B$4="Chapter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36">
      <c r="A2036" t="inlineStr">
        <is>
          <t>Global Crit Rate Bonus %</t>
        </is>
      </c>
      <c r="B2036" t="n">
        <v>0</v>
      </c>
    </row>
    <row r="2037">
      <c r="A2037" t="inlineStr">
        <is>
          <t>Attack Speed Buff Bonus % (unused)</t>
        </is>
      </c>
      <c r="B2037" t="n">
        <v>0</v>
      </c>
    </row>
    <row r="2038">
      <c r="A2038" t="inlineStr">
        <is>
          <t>Actions Per Second</t>
        </is>
      </c>
      <c r="B2038">
        <f>1+MIN(150,150*(1-(1-(Inputs!$B$11+((C2026=TRUE)*(F2026-Calc!F20))+((C2027=TRUE)*(F2027-Calc!F21)))/150)*(1-B2037/150)))/100</f>
        <v/>
      </c>
    </row>
    <row r="2039">
      <c r="A2039" t="inlineStr">
        <is>
          <t>Skill + Buff Cast Rate</t>
        </is>
      </c>
      <c r="B2039">
        <f>IF(AND(Inputs!$B$38&lt;&gt;"pvp",Inputs!$B$43&gt;0),SUMPRODUCT((Skills!E2:E27=TRUE)*(C2008:C2033=TRUE)*R2008:R2033*Skills!F2:F27)/Inputs!$B$43,SUMPRODUCT((Skills!E2:E27=TRUE)*(C2008:C2033=TRUE)*Q2008:Q2033*Skills!F2:F27))</f>
        <v/>
      </c>
    </row>
    <row r="2040">
      <c r="A2040" t="inlineStr">
        <is>
          <t>Eight-Legs Easton Casts Per Second</t>
        </is>
      </c>
      <c r="B2040">
        <f>MAX(0,B2038-B2039)</f>
        <v/>
      </c>
    </row>
    <row r="2041">
      <c r="A2041" t="inlineStr">
        <is>
          <t>Global Critical Damage Bonus % (unused)</t>
        </is>
      </c>
      <c r="B2041" t="n">
        <v>0</v>
      </c>
    </row>
    <row r="2042">
      <c r="A2042" t="inlineStr">
        <is>
          <t>Global Final Damage Bonus % (Jolly Roger only)</t>
        </is>
      </c>
      <c r="B2042">
        <f>((C2024=TRUE)*F2024)</f>
        <v/>
      </c>
    </row>
    <row r="2043">
      <c r="A2043" t="inlineStr">
        <is>
          <t>Buff-Casting Startup Delay (s, fixed-duration only)</t>
        </is>
      </c>
      <c r="B2043">
        <f>IF(AND(Inputs!$B$38&lt;&gt;"pvp",Inputs!$B$43&gt;0),SUMPRODUCT((Skills!T2:T27&gt;0)*(Skills!E2:E27=TRUE)*(C2008:C2033=TRUE))/B2038,0)</f>
        <v/>
      </c>
    </row>
    <row r="2044">
      <c r="A2044" t="inlineStr">
        <is>
          <t>Boss-Only Total DPS (this block's swept value)</t>
        </is>
      </c>
      <c r="B2044">
        <f>SUM(T2008:T2033)</f>
        <v/>
      </c>
    </row>
    <row r="2045">
      <c r="A2045" t="inlineStr">
        <is>
          <t>Normal-Only Total DPS (this block's swept value)</t>
        </is>
      </c>
      <c r="B2045">
        <f>SUM(V2008:V2033)</f>
        <v/>
      </c>
    </row>
    <row r="2046">
      <c r="A2046" s="6" t="inlineStr">
        <is>
          <t>TOTAL DPS</t>
        </is>
      </c>
      <c r="B2046" s="6">
        <f>SUM(O2008:O2033)</f>
        <v/>
      </c>
    </row>
    <row r="2049">
      <c r="A2049" s="6" t="inlineStr">
        <is>
          <t>Stat: Soul Contract (Equip)</t>
        </is>
      </c>
    </row>
    <row r="2050">
      <c r="A2050" s="5" t="inlineStr">
        <is>
          <t>Key</t>
        </is>
      </c>
      <c r="B2050" s="5" t="inlineStr">
        <is>
          <t>Name</t>
        </is>
      </c>
      <c r="C2050" s="5" t="inlineStr">
        <is>
          <t>Unlocked</t>
        </is>
      </c>
      <c r="D2050" s="5" t="inlineStr">
        <is>
          <t>InputLevel</t>
        </is>
      </c>
      <c r="E2050" s="5" t="inlineStr">
        <is>
          <t>Factor</t>
        </is>
      </c>
      <c r="F2050" s="5" t="inlineStr">
        <is>
          <t>CoefficientPercent</t>
        </is>
      </c>
      <c r="G2050" s="5" t="inlineStr">
        <is>
          <t>EffectiveHits</t>
        </is>
      </c>
      <c r="H2050" s="5" t="inlineStr">
        <is>
          <t>ProcProbability</t>
        </is>
      </c>
      <c r="I2050" s="5" t="inlineStr">
        <is>
          <t>MapleHeroMultiplier</t>
        </is>
      </c>
      <c r="J2050" s="5" t="inlineStr">
        <is>
          <t>BaseDamage</t>
        </is>
      </c>
      <c r="K2050" s="5" t="inlineStr">
        <is>
          <t>BaseHitDamage</t>
        </is>
      </c>
      <c r="L2050" s="5" t="inlineStr">
        <is>
          <t>NonCritAvg</t>
        </is>
      </c>
      <c r="M2050" s="5" t="inlineStr">
        <is>
          <t>CritAvg</t>
        </is>
      </c>
      <c r="N2050" s="5" t="inlineStr">
        <is>
          <t>ExpectedDamage(perHit)</t>
        </is>
      </c>
      <c r="O2050" s="5" t="inlineStr">
        <is>
          <t>DPS</t>
        </is>
      </c>
      <c r="P2050" s="5" t="inlineStr">
        <is>
          <t>% of Total</t>
        </is>
      </c>
      <c r="Q2050" s="5" t="inlineStr">
        <is>
          <t>InvCooldown</t>
        </is>
      </c>
      <c r="R2050" s="5" t="inlineStr">
        <is>
          <t>CastsInFight</t>
        </is>
      </c>
      <c r="S2050" s="5" t="inlineStr">
        <is>
          <t>HitRate(perSec)</t>
        </is>
      </c>
      <c r="U2050" t="inlineStr">
        <is>
          <t>helpers</t>
        </is>
      </c>
    </row>
    <row r="2051">
      <c r="A2051">
        <f>Skills!A2</f>
        <v/>
      </c>
      <c r="B2051">
        <f>Skills!B2</f>
        <v/>
      </c>
      <c r="C2051">
        <f>Inputs!$B$3&gt;=100</f>
        <v/>
      </c>
      <c r="D2051" t="inlineStr"/>
      <c r="E2051" t="inlineStr"/>
      <c r="F2051">
        <f>U2053+Skills!O2</f>
        <v/>
      </c>
      <c r="G2051">
        <f>Skills!G2*IF(Skills!H2&gt;0,Skills!I2/Skills!H2,1)</f>
        <v/>
      </c>
      <c r="H2051">
        <f>1-(1-Skills!J2/100)^Skills!K2</f>
        <v/>
      </c>
      <c r="I2051" t="inlineStr">
        <is>
          <t>1</t>
        </is>
      </c>
      <c r="J2051">
        <f>((Inputs!$B$6*(1+Inputs!$B$7/100))+(((Inputs!$B$12*(1+Inputs!$B$13/100))-(Inputs!$B$12*(1+Inputs!$B$13/100)))+0.25*(Inputs!$B$14-Inputs!$B$14))*(1+Inputs!$B$7/100))*(F2051/100)</f>
        <v/>
      </c>
      <c r="K2051">
        <f>J2051*(1+((Inputs!$B$12*(1+Inputs!$B$13/100))*0.01+Inputs!$B$14*0.0025)/100)*(1+Inputs!$B$15/100)*(1+Inputs!$B$16/100)*(5000/(6000+Inputs!$B$42*(1-(100*(1-(1-(Inputs!$B$19+0)/100)*(1-CHOOSE(ArtifactsInput!$N$40+1,5,6,7,8,9,10)/100)^(ArtifactsInput!$M$40-ArtifactsInput!$M$40)))/100)))*(1+(Inputs!$B$24+((C2075=TRUE)*(F2075-Calc!F26))+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2072=TRUE)*(F2072-Calc!F23))+((C2076=TRUE)*(F2076-Calc!F27))+(((IF(AND(ArtifactsInput!$M$42,((Inputs!$B$9+((C2068=TRUE)*(F2068-Calc!F19))+B2079+(ArtifactsInput!$M$24-ArtifactsInput!$M$24)*CHOOSE(ArtifactsInput!$N$24+1,10,12,14,16,18,20)+IF(ArtifactsInput!$M$10,CHOOSE(ArtifactsInput!$N$10+1,15,18,21,24,27,30)*(IF(Inputs!$B$38="pvp",MIN(15,15)/15,IF(AND(Inputs!$B$38&lt;&gt;"pvp",Inputs!$B$43&gt;0),MIN(15,Inputs!$B$43)/(Inputs!$B$43),0))),0)))&gt;=100),MIN(100,((Inputs!$B$9+((C2068=TRUE)*(F2068-Calc!F19))+B2079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2068=TRUE)*(F2068-Calc!F19))+B2079+(ArtifactsInput!$M$24-ArtifactsInput!$M$24)*CHOOSE(ArtifactsInput!$N$24+1,10,12,14,16,18,20)+IF(ArtifactsInput!$M$10,CHOOSE(ArtifactsInput!$N$10+1,15,18,21,24,27,30)*(IF(Inputs!$B$38="pvp",MIN(15,15)/15,IF(AND(Inputs!$B$38&lt;&gt;"pvp",Inputs!$B$43&gt;0),MIN(15,Inputs!$B$43)/(Inputs!$B$43),0))),0)))&gt;=100),CHOOSE(ArtifactsInput!$N$42+1,40,48,56,64,72,80),0))))/100)*((1+(((C2066=TRUE)*F2066)+((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2051)</f>
        <v/>
      </c>
      <c r="L2051">
        <f>K2051*(MIN(Inputs!$B$22+((C2071=TRUE)*(F2071-Calc!F22)),(Inputs!$B$23+0+(IF(ArtifactsInput!$M$15,CHOOSE(ArtifactsInput!$N$15+1,25,30,35,40,45,50)/100*(Inputs!$B$11-Inputs!$B$11),0))))/100+(Inputs!$B$23+0+(IF(ArtifactsInput!$M$15,CHOOSE(ArtifactsInput!$N$15+1,25,30,35,40,45,50)/100*(Inputs!$B$11-Inputs!$B$11),0)))/100)/2</f>
        <v/>
      </c>
      <c r="M2051">
        <f>L2051*(1+(Inputs!$B$10+((C2074=TRUE)*(F2074-Calc!F25))+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1">
        <f>L2051*(1-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1">
        <f>(1-Summary!$B$11)*T2051+Summary!$B$11*V2051</f>
        <v/>
      </c>
      <c r="P2051">
        <f>IF(B2089=0,0,O2051/B2089)</f>
        <v/>
      </c>
      <c r="Q2051" t="n">
        <v>0</v>
      </c>
      <c r="R2051" t="n">
        <v>0</v>
      </c>
      <c r="S2051">
        <f>IFERROR(O2051/N2051,0)</f>
        <v/>
      </c>
      <c r="T2051">
        <f>IF(C2051,(Skills!G2*N2051*B2083)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2051*(1-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1">
        <f>MAX(0,(Inputs!$B$3-100)*3)+Inputs!$B$28+Inputs!$B$29</f>
        <v/>
      </c>
      <c r="V2051">
        <f>IF(C2051,(Skills!G2*N2051*B2083)*IF(Inputs!$B$38="pvp",1,(1+(Inputs!$B$21+Skills!Q2+(IF(ArtifactsInput!$M$33,CHOOSE(ArtifactsInput!$N$33+1,30,36,42,48,54,60),0))+(IF(AND(ArtifactsInput!$M$35,Inputs!$B$4&lt;&gt;"Chapter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2">
      <c r="A2052">
        <f>Skills!A3</f>
        <v/>
      </c>
      <c r="B2052">
        <f>Skills!B3</f>
        <v/>
      </c>
      <c r="C2052">
        <f>Inputs!$B$3&gt;=35</f>
        <v/>
      </c>
      <c r="D2052">
        <f>IF(Skills!C3=1,60+Inputs!$B$25+Inputs!$B$29,IF(Skills!C3=2,90+Inputs!$B$26+Inputs!$B$29,IF(Skills!C3=3,120+Inputs!$B$27+Inputs!$B$29,MAX(0,(Inputs!$B$3-100)*3)+Inputs!$B$28+Inputs!$B$29)))</f>
        <v/>
      </c>
      <c r="E2052">
        <f>INDEX(FactorTable!$B$2:$Y$301, MATCH(ROUND(MIN(300,MAX(1,D2052)),0), FactorTable!$A$2:$A$301,0), Skills!M3+1)</f>
        <v/>
      </c>
      <c r="F2052">
        <f>IF(Skills!N3=TRUE,(Skills!L3/10)*(E2052/1000),Skills!L3/10)+Skills!O3</f>
        <v/>
      </c>
      <c r="G2052">
        <f>Skills!G3*IF(Skills!H3&gt;0,Skills!I3/Skills!H3,1)</f>
        <v/>
      </c>
      <c r="H2052">
        <f>1-(1-Skills!J3/100)^Skills!K3</f>
        <v/>
      </c>
      <c r="I2052" t="inlineStr">
        <is>
          <t>1</t>
        </is>
      </c>
      <c r="J2052">
        <f>((Inputs!$B$6*(1+Inputs!$B$7/100))+(((Inputs!$B$12*(1+Inputs!$B$13/100))-(Inputs!$B$12*(1+Inputs!$B$13/100)))+0.25*(Inputs!$B$14-Inputs!$B$14))*(1+Inputs!$B$7/100))*(F2052/100)</f>
        <v/>
      </c>
      <c r="K2052">
        <f>J2052*(1+((Inputs!$B$12*(1+Inputs!$B$13/100))*0.01+Inputs!$B$14*0.0025)/100)*(1+Inputs!$B$15/100)*(1+Inputs!$B$16/100)*(5000/(6000+Inputs!$B$42*(1-(100*(1-(1-(Inputs!$B$19+0)/100)*(1-CHOOSE(ArtifactsInput!$N$40+1,5,6,7,8,9,10)/100)^(ArtifactsInput!$M$40-ArtifactsInput!$M$40)))/100)))*(1+(Inputs!$B$24+((C2075=TRUE)*(F2075-Calc!F26))+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2064=TRUE,F2064,0)/100)*(1+(IF(Skills!A3="EIGHT_LEGS_EASTON",Inputs!$B$17+((C2072=TRUE)*(F2072-Calc!F23))+((C2076=TRUE)*(F2076-Calc!F27))+(((IF(AND(ArtifactsInput!$M$42,((Inputs!$B$9+((C2068=TRUE)*(F2068-Calc!F19))+B2079+(ArtifactsInput!$M$24-ArtifactsInput!$M$24)*CHOOSE(ArtifactsInput!$N$24+1,10,12,14,16,18,20)+IF(ArtifactsInput!$M$10,CHOOSE(ArtifactsInput!$N$10+1,15,18,21,24,27,30)*(IF(Inputs!$B$38="pvp",MIN(15,15)/15,IF(AND(Inputs!$B$38&lt;&gt;"pvp",Inputs!$B$43&gt;0),MIN(15,Inputs!$B$43)/(Inputs!$B$43),0))),0)))&gt;=100),MIN(100,((Inputs!$B$9+((C2068=TRUE)*(F2068-Calc!F19))+B2079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2068=TRUE)*(F2068-Calc!F19))+B2079+(ArtifactsInput!$M$24-ArtifactsInput!$M$24)*CHOOSE(ArtifactsInput!$N$24+1,10,12,14,16,18,20)+IF(ArtifactsInput!$M$10,CHOOSE(ArtifactsInput!$N$10+1,15,18,21,24,27,30)*(IF(Inputs!$B$38="pvp",MIN(15,15)/15,IF(AND(Inputs!$B$38&lt;&gt;"pvp",Inputs!$B$43&gt;0),MIN(15,Inputs!$B$43)/(Inputs!$B$43),0))),0)))&gt;=100),CHOOSE(ArtifactsInput!$N$42+1,40,48,56,64,72,80),0))))/100)*((1+(((C2066=TRUE)*F2066)+((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2052)</f>
        <v/>
      </c>
      <c r="L2052">
        <f>K2052*(MIN(Inputs!$B$22+((C2071=TRUE)*(F2071-Calc!F22)),(Inputs!$B$23+0+(IF(ArtifactsInput!$M$15,CHOOSE(ArtifactsInput!$N$15+1,25,30,35,40,45,50)/100*(Inputs!$B$11-Inputs!$B$11),0))))/100+(Inputs!$B$23+0+(IF(ArtifactsInput!$M$15,CHOOSE(ArtifactsInput!$N$15+1,25,30,35,40,45,50)/100*(Inputs!$B$11-Inputs!$B$11),0)))/100)/2</f>
        <v/>
      </c>
      <c r="M2052">
        <f>L2052*(1+(Inputs!$B$10+((C2074=TRUE)*(F2074-Calc!F25))+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2">
        <f>L2052*(1-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2052*(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2">
        <f>(1-Summary!$B$11)*T2052+Summary!$B$11*V2052</f>
        <v/>
      </c>
      <c r="P2052">
        <f>IF(B2089=0,0,O2052/B2089)</f>
        <v/>
      </c>
      <c r="Q2052">
        <f>IFERROR(1/(IF(Inputs!$B$38="pvp",15,MAX(0.1,Skills!D3-IF(Skills!E3=TRUE,Inputs!$B$32,0)))*(1-IF(AND(IF(ArtifactsInput!$M$27,FALSE,TRUE),Inputs!$B$4="Chapter Hunt"),CHOOSE(ArtifactsInput!$N$27+1,20,24,28,32,36,40),0)/100)),0)</f>
        <v/>
      </c>
      <c r="R2052">
        <f>IF(AND(Inputs!$B$38&lt;&gt;"pvp",Inputs!$B$43&gt;0),IF(MAX(0,Inputs!$B$43-B2086)&lt;=0,0,(INT(MAX(0,Inputs!$B$43-B2086)/(IF(Inputs!$B$38="pvp",15,MAX(0.1,Skills!D3-IF(Skills!E3=TRUE,Inputs!$B$32,0)))*(1-IF(AND(IF(ArtifactsInput!$M$27,FALSE,TRUE),Inputs!$B$4="Chapter Hunt"),CHOOSE(ArtifactsInput!$N$27+1,20,24,28,32,36,40),0)/100)))+1)),0)</f>
        <v/>
      </c>
      <c r="S2052">
        <f>IFERROR(O2052/N2052,0)</f>
        <v/>
      </c>
      <c r="T2052">
        <f>IF(C2052,(H2052*N2052*IF(AND(Inputs!$B$38&lt;&gt;"pvp",Inputs!$B$43&gt;0),((Skills!G3*((R2052-1)*IF(Skills!H3&gt;0,Skills!I3/Skills!H3,1)+IF(Skills!H3&gt;0,MIN(Skills!I3,MAX(0,MAX(0,Inputs!$B$43-B2086)-((R2052-1)*(IF(Inputs!$B$38="pvp",15,MAX(0.1,Skills!D3-IF(Skills!E3=TRUE,Inputs!$B$32,0)))*(1-IF(AND(IF(ArtifactsInput!$M$27,FALSE,TRUE),Inputs!$B$4="Chapter Hunt"),CHOOSE(ArtifactsInput!$N$27+1,20,24,28,32,36,40),0)/100)))))/Skills!H3,1)))/Inputs!$B$43),G2052*Q2052)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2052*(1-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2052*(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2052*(1-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2052*(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2">
        <f>INDEX(FactorTable!$B$2:$Y$301, MATCH(ROUND(MIN(300,MAX(1,U2051)),0), FactorTable!$A$2:$A$301,0), 22)</f>
        <v/>
      </c>
      <c r="V2052">
        <f>IF(C2052,(H2052*N2052*IF(AND(Inputs!$B$38&lt;&gt;"pvp",Inputs!$B$43&gt;0),((Skills!G3*((R2052-1)*IF(Skills!H3&gt;0,Skills!I3/Skills!H3,1)+IF(Skills!H3&gt;0,MIN(Skills!I3,MAX(0,MAX(0,Inputs!$B$43-B2086)-((R2052-1)*(IF(Inputs!$B$38="pvp",15,MAX(0.1,Skills!D3-IF(Skills!E3=TRUE,Inputs!$B$32,0)))*(1-IF(AND(IF(ArtifactsInput!$M$27,FALSE,TRUE),Inputs!$B$4="Chapter Hunt"),CHOOSE(ArtifactsInput!$N$27+1,20,24,28,32,36,40),0)/100)))))/Skills!H3,1)))/Inputs!$B$43),G2052*Q2052))*IF(Inputs!$B$38="pvp",1,(1+(Inputs!$B$21+Skills!Q3+(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3">
      <c r="A2053">
        <f>Skills!A4</f>
        <v/>
      </c>
      <c r="B2053">
        <f>Skills!B4</f>
        <v/>
      </c>
      <c r="C2053">
        <f>Inputs!$B$3&gt;=40</f>
        <v/>
      </c>
      <c r="D2053">
        <f>IF(Skills!C4=1,60+Inputs!$B$25+Inputs!$B$29,IF(Skills!C4=2,90+Inputs!$B$26+Inputs!$B$29,IF(Skills!C4=3,120+Inputs!$B$27+Inputs!$B$29,MAX(0,(Inputs!$B$3-100)*3)+Inputs!$B$28+Inputs!$B$29)))</f>
        <v/>
      </c>
      <c r="E2053">
        <f>INDEX(FactorTable!$B$2:$Y$301, MATCH(ROUND(MIN(300,MAX(1,D2053)),0), FactorTable!$A$2:$A$301,0), Skills!M4+1)</f>
        <v/>
      </c>
      <c r="F2053">
        <f>IF(Skills!N4=TRUE,(Skills!L4/10)*(E2053/1000),Skills!L4/10)+Skills!O4</f>
        <v/>
      </c>
      <c r="G2053">
        <f>Skills!G4*IF(Skills!H4&gt;0,Skills!I4/Skills!H4,1)</f>
        <v/>
      </c>
      <c r="H2053">
        <f>1-(1-Skills!J4/100)^Skills!K4</f>
        <v/>
      </c>
      <c r="I2053" t="inlineStr">
        <is>
          <t>1</t>
        </is>
      </c>
      <c r="J2053">
        <f>((Inputs!$B$6*(1+Inputs!$B$7/100))+(((Inputs!$B$12*(1+Inputs!$B$13/100))-(Inputs!$B$12*(1+Inputs!$B$13/100)))+0.25*(Inputs!$B$14-Inputs!$B$14))*(1+Inputs!$B$7/100))*(F2053/100)</f>
        <v/>
      </c>
      <c r="K2053">
        <f>J2053*(1+((Inputs!$B$12*(1+Inputs!$B$13/100))*0.01+Inputs!$B$14*0.0025)/100)*(1+Inputs!$B$15/100)*(1+Inputs!$B$16/100)*(5000/(6000+Inputs!$B$42*(1-(100*(1-(1-(Inputs!$B$19+0)/100)*(1-CHOOSE(ArtifactsInput!$N$40+1,5,6,7,8,9,10)/100)^(ArtifactsInput!$M$40-ArtifactsInput!$M$40)))/100)))*(1+(Inputs!$B$24+((C2075=TRUE)*(F2075-Calc!F26))+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2065=TRUE,F2065,0)/100)*(1+(IF(Skills!A4="EIGHT_LEGS_EASTON",Inputs!$B$17+((C2072=TRUE)*(F2072-Calc!F23))+((C2076=TRUE)*(F2076-Calc!F27))+(((IF(AND(ArtifactsInput!$M$42,((Inputs!$B$9+((C2068=TRUE)*(F2068-Calc!F19))+B2079+(ArtifactsInput!$M$24-ArtifactsInput!$M$24)*CHOOSE(ArtifactsInput!$N$24+1,10,12,14,16,18,20)+IF(ArtifactsInput!$M$10,CHOOSE(ArtifactsInput!$N$10+1,15,18,21,24,27,30)*(IF(Inputs!$B$38="pvp",MIN(15,15)/15,IF(AND(Inputs!$B$38&lt;&gt;"pvp",Inputs!$B$43&gt;0),MIN(15,Inputs!$B$43)/(Inputs!$B$43),0))),0)))&gt;=100),MIN(100,((Inputs!$B$9+((C2068=TRUE)*(F2068-Calc!F19))+B2079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2068=TRUE)*(F2068-Calc!F19))+B2079+(ArtifactsInput!$M$24-ArtifactsInput!$M$24)*CHOOSE(ArtifactsInput!$N$24+1,10,12,14,16,18,20)+IF(ArtifactsInput!$M$10,CHOOSE(ArtifactsInput!$N$10+1,15,18,21,24,27,30)*(IF(Inputs!$B$38="pvp",MIN(15,15)/15,IF(AND(Inputs!$B$38&lt;&gt;"pvp",Inputs!$B$43&gt;0),MIN(15,Inputs!$B$43)/(Inputs!$B$43),0))),0)))&gt;=100),CHOOSE(ArtifactsInput!$N$42+1,40,48,56,64,72,80),0))))/100)*((1+(((C2066=TRUE)*F2066)+((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2053)</f>
        <v/>
      </c>
      <c r="L2053">
        <f>K2053*(MIN(Inputs!$B$22+((C2071=TRUE)*(F2071-Calc!F22)),(Inputs!$B$23+0+(IF(ArtifactsInput!$M$15,CHOOSE(ArtifactsInput!$N$15+1,25,30,35,40,45,50)/100*(Inputs!$B$11-Inputs!$B$11),0))))/100+(Inputs!$B$23+0+(IF(ArtifactsInput!$M$15,CHOOSE(ArtifactsInput!$N$15+1,25,30,35,40,45,50)/100*(Inputs!$B$11-Inputs!$B$11),0)))/100)/2</f>
        <v/>
      </c>
      <c r="M2053">
        <f>L2053*(1+(Inputs!$B$10+((C2074=TRUE)*(F2074-Calc!F25))+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3">
        <f>L2053*(1-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(1-Summary!$B$11)*T2053+Summary!$B$11*V2053</f>
        <v/>
      </c>
      <c r="P2053">
        <f>IF(B2089=0,0,O2053/B2089)</f>
        <v/>
      </c>
      <c r="Q2053">
        <f>IFERROR(1/(IF(Inputs!$B$38="pvp",15,MAX(0.1,Skills!D4-IF(Skills!E4=TRUE,Inputs!$B$32,0)))*(1-IF(AND(IF(ArtifactsInput!$M$27,FALSE,TRUE),Inputs!$B$4="Chapter Hunt"),CHOOSE(ArtifactsInput!$N$27+1,20,24,28,32,36,40),0)/100)),0)</f>
        <v/>
      </c>
      <c r="R2053">
        <f>IF(AND(Inputs!$B$38&lt;&gt;"pvp",Inputs!$B$43&gt;0),IF(MAX(0,Inputs!$B$43-B2086)&lt;=0,0,(INT(MAX(0,Inputs!$B$43-B2086)/(IF(Inputs!$B$38="pvp",15,MAX(0.1,Skills!D4-IF(Skills!E4=TRUE,Inputs!$B$32,0)))*(1-IF(AND(IF(ArtifactsInput!$M$27,FALSE,TRUE),Inputs!$B$4="Chapter Hunt"),CHOOSE(ArtifactsInput!$N$27+1,20,24,28,32,36,40),0)/100)))+1)),0)</f>
        <v/>
      </c>
      <c r="S2053">
        <f>IFERROR(O2053/N2053,0)</f>
        <v/>
      </c>
      <c r="T2053">
        <f>IF(C2053,(H2053*N2053*IF(AND(Inputs!$B$38&lt;&gt;"pvp",Inputs!$B$43&gt;0),((Skills!G4*((R2053-1)*IF(Skills!H4&gt;0,Skills!I4/Skills!H4,1)+IF(Skills!H4&gt;0,MIN(Skills!I4,MAX(0,MAX(0,Inputs!$B$43-B2086)-((R2053-1)*(IF(Inputs!$B$38="pvp",15,MAX(0.1,Skills!D4-IF(Skills!E4=TRUE,Inputs!$B$32,0)))*(1-IF(AND(IF(ArtifactsInput!$M$27,FALSE,TRUE),Inputs!$B$4="Chapter Hunt"),CHOOSE(ArtifactsInput!$N$27+1,20,24,28,32,36,40),0)/100)))))/Skills!H4,1)))/Inputs!$B$43),G2053*Q2053)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2053*(1-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3">
        <f>290*U2052/1000</f>
        <v/>
      </c>
      <c r="V2053">
        <f>IF(C2053,(H2053*N2053*IF(AND(Inputs!$B$38&lt;&gt;"pvp",Inputs!$B$43&gt;0),((Skills!G4*((R2053-1)*IF(Skills!H4&gt;0,Skills!I4/Skills!H4,1)+IF(Skills!H4&gt;0,MIN(Skills!I4,MAX(0,MAX(0,Inputs!$B$43-B2086)-((R2053-1)*(IF(Inputs!$B$38="pvp",15,MAX(0.1,Skills!D4-IF(Skills!E4=TRUE,Inputs!$B$32,0)))*(1-IF(AND(IF(ArtifactsInput!$M$27,FALSE,TRUE),Inputs!$B$4="Chapter Hunt"),CHOOSE(ArtifactsInput!$N$27+1,20,24,28,32,36,40),0)/100)))))/Skills!H4,1)))/Inputs!$B$43),G2053*Q2053))*IF(Inputs!$B$38="pvp",1,(1+(Inputs!$B$21+Skills!Q4+(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4">
      <c r="A2054">
        <f>Skills!A5</f>
        <v/>
      </c>
      <c r="B2054">
        <f>Skills!B5</f>
        <v/>
      </c>
      <c r="C2054">
        <f>Inputs!$B$3&gt;=45</f>
        <v/>
      </c>
      <c r="D2054">
        <f>IF(Skills!C5=1,60+Inputs!$B$25+Inputs!$B$29,IF(Skills!C5=2,90+Inputs!$B$26+Inputs!$B$29,IF(Skills!C5=3,120+Inputs!$B$27+Inputs!$B$29,MAX(0,(Inputs!$B$3-100)*3)+Inputs!$B$28+Inputs!$B$29)))</f>
        <v/>
      </c>
      <c r="E2054">
        <f>INDEX(FactorTable!$B$2:$Y$301, MATCH(ROUND(MIN(300,MAX(1,D2054)),0), FactorTable!$A$2:$A$301,0), Skills!M5+1)</f>
        <v/>
      </c>
      <c r="F2054">
        <f>IF(Skills!N5=TRUE,(Skills!L5/10)*(E2054/1000),Skills!L5/10)+Skills!O5</f>
        <v/>
      </c>
      <c r="G2054">
        <f>Skills!G5*IF(Skills!H5&gt;0,Skills!I5/Skills!H5,1)</f>
        <v/>
      </c>
      <c r="H2054">
        <f>1-(1-Skills!J5/100)^Skills!K5</f>
        <v/>
      </c>
      <c r="I2054" t="inlineStr">
        <is>
          <t>1</t>
        </is>
      </c>
      <c r="J2054">
        <f>((Inputs!$B$6*(1+Inputs!$B$7/100))+(((Inputs!$B$12*(1+Inputs!$B$13/100))-(Inputs!$B$12*(1+Inputs!$B$13/100)))+0.25*(Inputs!$B$14-Inputs!$B$14))*(1+Inputs!$B$7/100))*(F2054/100)</f>
        <v/>
      </c>
      <c r="K2054">
        <f>J2054*(1+((Inputs!$B$12*(1+Inputs!$B$13/100))*0.01+Inputs!$B$14*0.0025)/100)*(1+Inputs!$B$15/100)*(1+Inputs!$B$16/100)*(5000/(6000+Inputs!$B$42*(1-(100*(1-(1-(Inputs!$B$19+0)/100)*(1-CHOOSE(ArtifactsInput!$N$40+1,5,6,7,8,9,10)/100)^(ArtifactsInput!$M$40-ArtifactsInput!$M$40)))/100)))*(1+(Inputs!$B$24+((C2075=TRUE)*(F2075-Calc!F26))+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2065=TRUE,F2065,0)/100)*(1+(IF(Skills!A5="EIGHT_LEGS_EASTON",Inputs!$B$17+((C2072=TRUE)*(F2072-Calc!F23))+((C2076=TRUE)*(F2076-Calc!F27))+(((IF(AND(ArtifactsInput!$M$42,((Inputs!$B$9+((C2068=TRUE)*(F2068-Calc!F19))+B2079+(ArtifactsInput!$M$24-ArtifactsInput!$M$24)*CHOOSE(ArtifactsInput!$N$24+1,10,12,14,16,18,20)+IF(ArtifactsInput!$M$10,CHOOSE(ArtifactsInput!$N$10+1,15,18,21,24,27,30)*(IF(Inputs!$B$38="pvp",MIN(15,15)/15,IF(AND(Inputs!$B$38&lt;&gt;"pvp",Inputs!$B$43&gt;0),MIN(15,Inputs!$B$43)/(Inputs!$B$43),0))),0)))&gt;=100),MIN(100,((Inputs!$B$9+((C2068=TRUE)*(F2068-Calc!F19))+B2079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2068=TRUE)*(F2068-Calc!F19))+B2079+(ArtifactsInput!$M$24-ArtifactsInput!$M$24)*CHOOSE(ArtifactsInput!$N$24+1,10,12,14,16,18,20)+IF(ArtifactsInput!$M$10,CHOOSE(ArtifactsInput!$N$10+1,15,18,21,24,27,30)*(IF(Inputs!$B$38="pvp",MIN(15,15)/15,IF(AND(Inputs!$B$38&lt;&gt;"pvp",Inputs!$B$43&gt;0),MIN(15,Inputs!$B$43)/(Inputs!$B$43),0))),0)))&gt;=100),CHOOSE(ArtifactsInput!$N$42+1,40,48,56,64,72,80),0))))/100)*((1+(((C2066=TRUE)*F2066)+((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2054)</f>
        <v/>
      </c>
      <c r="L2054">
        <f>K2054*(MIN(Inputs!$B$22+((C2071=TRUE)*(F2071-Calc!F22)),(Inputs!$B$23+0+(IF(ArtifactsInput!$M$15,CHOOSE(ArtifactsInput!$N$15+1,25,30,35,40,45,50)/100*(Inputs!$B$11-Inputs!$B$11),0))))/100+(Inputs!$B$23+0+(IF(ArtifactsInput!$M$15,CHOOSE(ArtifactsInput!$N$15+1,25,30,35,40,45,50)/100*(Inputs!$B$11-Inputs!$B$11),0)))/100)/2</f>
        <v/>
      </c>
      <c r="M2054">
        <f>L2054*(1+(Inputs!$B$10+((C2074=TRUE)*(F2074-Calc!F25))+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4">
        <f>L2054*(1-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2054*(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4">
        <f>(1-Summary!$B$11)*T2054+Summary!$B$11*V2054</f>
        <v/>
      </c>
      <c r="P2054">
        <f>IF(B2089=0,0,O2054/B2089)</f>
        <v/>
      </c>
      <c r="Q2054">
        <f>IFERROR(1/(IF(Inputs!$B$38="pvp",15,MAX(0.1,Skills!D5-IF(Skills!E5=TRUE,Inputs!$B$32,0)))*(1-IF(AND(IF(ArtifactsInput!$M$27,FALSE,TRUE),Inputs!$B$4="Chapter Hunt"),CHOOSE(ArtifactsInput!$N$27+1,20,24,28,32,36,40),0)/100)),0)</f>
        <v/>
      </c>
      <c r="R2054">
        <f>IF(AND(Inputs!$B$38&lt;&gt;"pvp",Inputs!$B$43&gt;0),IF(MAX(0,Inputs!$B$43-B2086)&lt;=0,0,(INT(MAX(0,Inputs!$B$43-B2086)/(IF(Inputs!$B$38="pvp",15,MAX(0.1,Skills!D5-IF(Skills!E5=TRUE,Inputs!$B$32,0)))*(1-IF(AND(IF(ArtifactsInput!$M$27,FALSE,TRUE),Inputs!$B$4="Chapter Hunt"),CHOOSE(ArtifactsInput!$N$27+1,20,24,28,32,36,40),0)/100)))+1)),0)</f>
        <v/>
      </c>
      <c r="S2054">
        <f>IFERROR(O2054/N2054,0)</f>
        <v/>
      </c>
      <c r="T2054">
        <f>IF(C2054,(H2054*N2054*IF(AND(Inputs!$B$38&lt;&gt;"pvp",Inputs!$B$43&gt;0),((Skills!G5*((R2054-1)*IF(Skills!H5&gt;0,Skills!I5/Skills!H5,1)+IF(Skills!H5&gt;0,MIN(Skills!I5,MAX(0,MAX(0,Inputs!$B$43-B2086)-((R2054-1)*(IF(Inputs!$B$38="pvp",15,MAX(0.1,Skills!D5-IF(Skills!E5=TRUE,Inputs!$B$32,0)))*(1-IF(AND(IF(ArtifactsInput!$M$27,FALSE,TRUE),Inputs!$B$4="Chapter Hunt"),CHOOSE(ArtifactsInput!$N$27+1,20,24,28,32,36,40),0)/100)))))/Skills!H5,1)))/Inputs!$B$43),G2054*Q2054)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2054*(1-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2054*(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2054*(1-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2054*(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4">
        <f>IF(C2054,(H2054*N2054*IF(AND(Inputs!$B$38&lt;&gt;"pvp",Inputs!$B$43&gt;0),((Skills!G5*((R2054-1)*IF(Skills!H5&gt;0,Skills!I5/Skills!H5,1)+IF(Skills!H5&gt;0,MIN(Skills!I5,MAX(0,MAX(0,Inputs!$B$43-B2086)-((R2054-1)*(IF(Inputs!$B$38="pvp",15,MAX(0.1,Skills!D5-IF(Skills!E5=TRUE,Inputs!$B$32,0)))*(1-IF(AND(IF(ArtifactsInput!$M$27,FALSE,TRUE),Inputs!$B$4="Chapter Hunt"),CHOOSE(ArtifactsInput!$N$27+1,20,24,28,32,36,40),0)/100)))))/Skills!H5,1)))/Inputs!$B$43),G2054*Q2054))*IF(Inputs!$B$38="pvp",1,(1+(Inputs!$B$21+Skills!Q5+(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5">
      <c r="A2055">
        <f>Skills!A6</f>
        <v/>
      </c>
      <c r="B2055">
        <f>Skills!B6</f>
        <v/>
      </c>
      <c r="C2055">
        <f>Inputs!$B$3&gt;=63</f>
        <v/>
      </c>
      <c r="D2055">
        <f>IF(Skills!C6=1,60+Inputs!$B$25+Inputs!$B$29,IF(Skills!C6=2,90+Inputs!$B$26+Inputs!$B$29,IF(Skills!C6=3,120+Inputs!$B$27+Inputs!$B$29,MAX(0,(Inputs!$B$3-100)*3)+Inputs!$B$28+Inputs!$B$29)))</f>
        <v/>
      </c>
      <c r="E2055">
        <f>INDEX(FactorTable!$B$2:$Y$301, MATCH(ROUND(MIN(300,MAX(1,D2055)),0), FactorTable!$A$2:$A$301,0), Skills!M6+1)</f>
        <v/>
      </c>
      <c r="F2055">
        <f>IF(Skills!N6=TRUE,(Skills!L6/10)*(E2055/1000),Skills!L6/10)+Skills!O6</f>
        <v/>
      </c>
      <c r="G2055">
        <f>Skills!G6*IF(Skills!H6&gt;0,Skills!I6/Skills!H6,1)</f>
        <v/>
      </c>
      <c r="H2055">
        <f>1-(1-Skills!J6/100)^Skills!K6</f>
        <v/>
      </c>
      <c r="I2055" t="inlineStr">
        <is>
          <t>1</t>
        </is>
      </c>
      <c r="J2055">
        <f>((Inputs!$B$6*(1+Inputs!$B$7/100))+(((Inputs!$B$12*(1+Inputs!$B$13/100))-(Inputs!$B$12*(1+Inputs!$B$13/100)))+0.25*(Inputs!$B$14-Inputs!$B$14))*(1+Inputs!$B$7/100))*(F2055/100)</f>
        <v/>
      </c>
      <c r="K2055">
        <f>J2055*(1+((Inputs!$B$12*(1+Inputs!$B$13/100))*0.01+Inputs!$B$14*0.0025)/100)*(1+Inputs!$B$15/100)*(1+Inputs!$B$16/100)*(5000/(6000+Inputs!$B$42*(1-(100*(1-(1-(Inputs!$B$19+0)/100)*(1-CHOOSE(ArtifactsInput!$N$40+1,5,6,7,8,9,10)/100)^(ArtifactsInput!$M$40-ArtifactsInput!$M$40)))/100)))*(1+(Inputs!$B$24+((C2075=TRUE)*(F2075-Calc!F26))+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2064=TRUE,F2064,0)/100)*(1+(IF(Skills!A6="EIGHT_LEGS_EASTON",Inputs!$B$17+((C2072=TRUE)*(F2072-Calc!F23))+((C2076=TRUE)*(F2076-Calc!F27))+(((IF(AND(ArtifactsInput!$M$42,((Inputs!$B$9+((C2068=TRUE)*(F2068-Calc!F19))+B2079+(ArtifactsInput!$M$24-ArtifactsInput!$M$24)*CHOOSE(ArtifactsInput!$N$24+1,10,12,14,16,18,20)+IF(ArtifactsInput!$M$10,CHOOSE(ArtifactsInput!$N$10+1,15,18,21,24,27,30)*(IF(Inputs!$B$38="pvp",MIN(15,15)/15,IF(AND(Inputs!$B$38&lt;&gt;"pvp",Inputs!$B$43&gt;0),MIN(15,Inputs!$B$43)/(Inputs!$B$43),0))),0)))&gt;=100),MIN(100,((Inputs!$B$9+((C2068=TRUE)*(F2068-Calc!F19))+B2079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2068=TRUE)*(F2068-Calc!F19))+B2079+(ArtifactsInput!$M$24-ArtifactsInput!$M$24)*CHOOSE(ArtifactsInput!$N$24+1,10,12,14,16,18,20)+IF(ArtifactsInput!$M$10,CHOOSE(ArtifactsInput!$N$10+1,15,18,21,24,27,30)*(IF(Inputs!$B$38="pvp",MIN(15,15)/15,IF(AND(Inputs!$B$38&lt;&gt;"pvp",Inputs!$B$43&gt;0),MIN(15,Inputs!$B$43)/(Inputs!$B$43),0))),0)))&gt;=100),CHOOSE(ArtifactsInput!$N$42+1,40,48,56,64,72,80),0))))/100)*((1+(((C2066=TRUE)*F2066)+((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2055)</f>
        <v/>
      </c>
      <c r="L2055">
        <f>K2055*(MIN(Inputs!$B$22+((C2071=TRUE)*(F2071-Calc!F22)),(Inputs!$B$23+0+(IF(ArtifactsInput!$M$15,CHOOSE(ArtifactsInput!$N$15+1,25,30,35,40,45,50)/100*(Inputs!$B$11-Inputs!$B$11),0))))/100+(Inputs!$B$23+0+(IF(ArtifactsInput!$M$15,CHOOSE(ArtifactsInput!$N$15+1,25,30,35,40,45,50)/100*(Inputs!$B$11-Inputs!$B$11),0)))/100)/2</f>
        <v/>
      </c>
      <c r="M2055">
        <f>L2055*(1+(Inputs!$B$10+((C2074=TRUE)*(F2074-Calc!F25))+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5">
        <f>L2055*(1-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2055*(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5">
        <f>(1-Summary!$B$11)*T2055+Summary!$B$11*V2055</f>
        <v/>
      </c>
      <c r="P2055">
        <f>IF(B2089=0,0,O2055/B2089)</f>
        <v/>
      </c>
      <c r="Q2055">
        <f>IFERROR(1/(IF(Inputs!$B$38="pvp",15,MAX(0.1,Skills!D6-IF(Skills!E6=TRUE,Inputs!$B$32,0)))*(1-IF(AND(IF(ArtifactsInput!$M$27,FALSE,TRUE),Inputs!$B$4="Chapter Hunt"),CHOOSE(ArtifactsInput!$N$27+1,20,24,28,32,36,40),0)/100)),0)</f>
        <v/>
      </c>
      <c r="R2055">
        <f>IF(AND(Inputs!$B$38&lt;&gt;"pvp",Inputs!$B$43&gt;0),IF(MAX(0,Inputs!$B$43-B2086)&lt;=0,0,(INT(MAX(0,Inputs!$B$43-B2086)/(IF(Inputs!$B$38="pvp",15,MAX(0.1,Skills!D6-IF(Skills!E6=TRUE,Inputs!$B$32,0)))*(1-IF(AND(IF(ArtifactsInput!$M$27,FALSE,TRUE),Inputs!$B$4="Chapter Hunt"),CHOOSE(ArtifactsInput!$N$27+1,20,24,28,32,36,40),0)/100)))+1)),0)</f>
        <v/>
      </c>
      <c r="S2055">
        <f>IFERROR(O2055/N2055,0)</f>
        <v/>
      </c>
      <c r="T2055">
        <f>IF(C2055,(H2055*N2055*IF(AND(Inputs!$B$38&lt;&gt;"pvp",Inputs!$B$43&gt;0),((Skills!G6*((R2055-1)*IF(Skills!H6&gt;0,Skills!I6/Skills!H6,1)+IF(Skills!H6&gt;0,MIN(Skills!I6,MAX(0,MAX(0,Inputs!$B$43-B2086)-((R2055-1)*(IF(Inputs!$B$38="pvp",15,MAX(0.1,Skills!D6-IF(Skills!E6=TRUE,Inputs!$B$32,0)))*(1-IF(AND(IF(ArtifactsInput!$M$27,FALSE,TRUE),Inputs!$B$4="Chapter Hunt"),CHOOSE(ArtifactsInput!$N$27+1,20,24,28,32,36,40),0)/100)))))/Skills!H6,1)))/Inputs!$B$43),G2055*Q2055)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2055*(1-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2055*(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2055*(1-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2055*(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5">
        <f>IF(C2055,(H2055*N2055*IF(AND(Inputs!$B$38&lt;&gt;"pvp",Inputs!$B$43&gt;0),((Skills!G6*((R2055-1)*IF(Skills!H6&gt;0,Skills!I6/Skills!H6,1)+IF(Skills!H6&gt;0,MIN(Skills!I6,MAX(0,MAX(0,Inputs!$B$43-B2086)-((R2055-1)*(IF(Inputs!$B$38="pvp",15,MAX(0.1,Skills!D6-IF(Skills!E6=TRUE,Inputs!$B$32,0)))*(1-IF(AND(IF(ArtifactsInput!$M$27,FALSE,TRUE),Inputs!$B$4="Chapter Hunt"),CHOOSE(ArtifactsInput!$N$27+1,20,24,28,32,36,40),0)/100)))))/Skills!H6,1)))/Inputs!$B$43),G2055*Q2055))*IF(Inputs!$B$38="pvp",1,(1+(Inputs!$B$21+Skills!Q6+(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6">
      <c r="A2056">
        <f>Skills!A7</f>
        <v/>
      </c>
      <c r="B2056">
        <f>Skills!B7</f>
        <v/>
      </c>
      <c r="C2056">
        <f>Inputs!$B$3&gt;=66</f>
        <v/>
      </c>
      <c r="D2056">
        <f>IF(Skills!C7=1,60+Inputs!$B$25+Inputs!$B$29,IF(Skills!C7=2,90+Inputs!$B$26+Inputs!$B$29,IF(Skills!C7=3,120+Inputs!$B$27+Inputs!$B$29,MAX(0,(Inputs!$B$3-100)*3)+Inputs!$B$28+Inputs!$B$29)))</f>
        <v/>
      </c>
      <c r="E2056">
        <f>INDEX(FactorTable!$B$2:$Y$301, MATCH(ROUND(MIN(300,MAX(1,D2056)),0), FactorTable!$A$2:$A$301,0), Skills!M7+1)</f>
        <v/>
      </c>
      <c r="F2056">
        <f>IF(Skills!N7=TRUE,(Skills!L7/10)*(E2056/1000),Skills!L7/10)+Skills!O7</f>
        <v/>
      </c>
      <c r="G2056">
        <f>Skills!G7*IF(Skills!H7&gt;0,Skills!I7/Skills!H7,1)</f>
        <v/>
      </c>
      <c r="H2056">
        <f>1-(1-Skills!J7/100)^Skills!K7</f>
        <v/>
      </c>
      <c r="I2056" t="inlineStr">
        <is>
          <t>1</t>
        </is>
      </c>
      <c r="J2056">
        <f>((Inputs!$B$6*(1+Inputs!$B$7/100))+(((Inputs!$B$12*(1+Inputs!$B$13/100))-(Inputs!$B$12*(1+Inputs!$B$13/100)))+0.25*(Inputs!$B$14-Inputs!$B$14))*(1+Inputs!$B$7/100))*(F2056/100)</f>
        <v/>
      </c>
      <c r="K2056">
        <f>J2056*(1+((Inputs!$B$12*(1+Inputs!$B$13/100))*0.01+Inputs!$B$14*0.0025)/100)*(1+Inputs!$B$15/100)*(1+Inputs!$B$16/100)*(5000/(6000+Inputs!$B$42*(1-(100*(1-(1-(Inputs!$B$19+0)/100)*(1-CHOOSE(ArtifactsInput!$N$40+1,5,6,7,8,9,10)/100)^(ArtifactsInput!$M$40-ArtifactsInput!$M$40)))/100)))*(1+(Inputs!$B$24+((C2075=TRUE)*(F2075-Calc!F26))+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2064=TRUE,F2064,0)/100)*(1+(IF(Skills!A7="EIGHT_LEGS_EASTON",Inputs!$B$17+((C2072=TRUE)*(F2072-Calc!F23))+((C2076=TRUE)*(F2076-Calc!F27))+(((IF(AND(ArtifactsInput!$M$42,((Inputs!$B$9+((C2068=TRUE)*(F2068-Calc!F19))+B2079+(ArtifactsInput!$M$24-ArtifactsInput!$M$24)*CHOOSE(ArtifactsInput!$N$24+1,10,12,14,16,18,20)+IF(ArtifactsInput!$M$10,CHOOSE(ArtifactsInput!$N$10+1,15,18,21,24,27,30)*(IF(Inputs!$B$38="pvp",MIN(15,15)/15,IF(AND(Inputs!$B$38&lt;&gt;"pvp",Inputs!$B$43&gt;0),MIN(15,Inputs!$B$43)/(Inputs!$B$43),0))),0)))&gt;=100),MIN(100,((Inputs!$B$9+((C2068=TRUE)*(F2068-Calc!F19))+B2079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2068=TRUE)*(F2068-Calc!F19))+B2079+(ArtifactsInput!$M$24-ArtifactsInput!$M$24)*CHOOSE(ArtifactsInput!$N$24+1,10,12,14,16,18,20)+IF(ArtifactsInput!$M$10,CHOOSE(ArtifactsInput!$N$10+1,15,18,21,24,27,30)*(IF(Inputs!$B$38="pvp",MIN(15,15)/15,IF(AND(Inputs!$B$38&lt;&gt;"pvp",Inputs!$B$43&gt;0),MIN(15,Inputs!$B$43)/(Inputs!$B$43),0))),0)))&gt;=100),CHOOSE(ArtifactsInput!$N$42+1,40,48,56,64,72,80),0))))/100)*((1+(((C2066=TRUE)*F2066)+((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2056)</f>
        <v/>
      </c>
      <c r="L2056">
        <f>K2056*(MIN(Inputs!$B$22+((C2071=TRUE)*(F2071-Calc!F22)),(Inputs!$B$23+0+(IF(ArtifactsInput!$M$15,CHOOSE(ArtifactsInput!$N$15+1,25,30,35,40,45,50)/100*(Inputs!$B$11-Inputs!$B$11),0))))/100+(Inputs!$B$23+0+(IF(ArtifactsInput!$M$15,CHOOSE(ArtifactsInput!$N$15+1,25,30,35,40,45,50)/100*(Inputs!$B$11-Inputs!$B$11),0)))/100)/2</f>
        <v/>
      </c>
      <c r="M2056">
        <f>L2056*(1+(Inputs!$B$10+((C2074=TRUE)*(F2074-Calc!F25))+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6">
        <f>L2056*(1-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2056*(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6">
        <f>(1-Summary!$B$11)*T2056+Summary!$B$11*V2056</f>
        <v/>
      </c>
      <c r="P2056">
        <f>IF(B2089=0,0,O2056/B2089)</f>
        <v/>
      </c>
      <c r="Q2056">
        <f>IFERROR(1/(IF(Inputs!$B$38="pvp",15,MAX(0.1,Skills!D7-IF(Skills!E7=TRUE,Inputs!$B$32,0)))*(1-IF(AND(IF(ArtifactsInput!$M$27,FALSE,TRUE),Inputs!$B$4="Chapter Hunt"),CHOOSE(ArtifactsInput!$N$27+1,20,24,28,32,36,40),0)/100)),0)</f>
        <v/>
      </c>
      <c r="R2056">
        <f>IF(AND(Inputs!$B$38&lt;&gt;"pvp",Inputs!$B$43&gt;0),IF(MAX(0,Inputs!$B$43-B2086)&lt;=0,0,(INT(MAX(0,Inputs!$B$43-B2086)/(IF(Inputs!$B$38="pvp",15,MAX(0.1,Skills!D7-IF(Skills!E7=TRUE,Inputs!$B$32,0)))*(1-IF(AND(IF(ArtifactsInput!$M$27,FALSE,TRUE),Inputs!$B$4="Chapter Hunt"),CHOOSE(ArtifactsInput!$N$27+1,20,24,28,32,36,40),0)/100)))+1)),0)</f>
        <v/>
      </c>
      <c r="S2056">
        <f>IFERROR(O2056/N2056,0)</f>
        <v/>
      </c>
      <c r="T2056">
        <f>IF(C2056,(H2056*N2056*IF(AND(Inputs!$B$38&lt;&gt;"pvp",Inputs!$B$43&gt;0),((Skills!G7*((R2056-1)*IF(Skills!H7&gt;0,Skills!I7/Skills!H7,1)+IF(Skills!H7&gt;0,MIN(Skills!I7,MAX(0,MAX(0,Inputs!$B$43-B2086)-((R2056-1)*(IF(Inputs!$B$38="pvp",15,MAX(0.1,Skills!D7-IF(Skills!E7=TRUE,Inputs!$B$32,0)))*(1-IF(AND(IF(ArtifactsInput!$M$27,FALSE,TRUE),Inputs!$B$4="Chapter Hunt"),CHOOSE(ArtifactsInput!$N$27+1,20,24,28,32,36,40),0)/100)))))/Skills!H7,1)))/Inputs!$B$43),G2056*Q2056)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2056*(1-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2056*(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2056*(1-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2056*(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6">
        <f>IF(C2056,(H2056*N2056*IF(AND(Inputs!$B$38&lt;&gt;"pvp",Inputs!$B$43&gt;0),((Skills!G7*((R2056-1)*IF(Skills!H7&gt;0,Skills!I7/Skills!H7,1)+IF(Skills!H7&gt;0,MIN(Skills!I7,MAX(0,MAX(0,Inputs!$B$43-B2086)-((R2056-1)*(IF(Inputs!$B$38="pvp",15,MAX(0.1,Skills!D7-IF(Skills!E7=TRUE,Inputs!$B$32,0)))*(1-IF(AND(IF(ArtifactsInput!$M$27,FALSE,TRUE),Inputs!$B$4="Chapter Hunt"),CHOOSE(ArtifactsInput!$N$27+1,20,24,28,32,36,40),0)/100)))))/Skills!H7,1)))/Inputs!$B$43),G2056*Q2056))*IF(Inputs!$B$38="pvp",1,(1+(Inputs!$B$21+Skills!Q7+(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7">
      <c r="A2057">
        <f>Skills!A8</f>
        <v/>
      </c>
      <c r="B2057">
        <f>Skills!B8</f>
        <v/>
      </c>
      <c r="C2057">
        <f>Inputs!$B$3&gt;=100</f>
        <v/>
      </c>
      <c r="D2057">
        <f>IF(Skills!C8=1,60+Inputs!$B$25+Inputs!$B$29,IF(Skills!C8=2,90+Inputs!$B$26+Inputs!$B$29,IF(Skills!C8=3,120+Inputs!$B$27+Inputs!$B$29,MAX(0,(Inputs!$B$3-100)*3)+Inputs!$B$28+Inputs!$B$29)))</f>
        <v/>
      </c>
      <c r="E2057">
        <f>INDEX(FactorTable!$B$2:$Y$301, MATCH(ROUND(MIN(300,MAX(1,D2057)),0), FactorTable!$A$2:$A$301,0), Skills!M8+1)</f>
        <v/>
      </c>
      <c r="F2057">
        <f>IF(Skills!N8=TRUE,(Skills!L8/10)*(E2057/1000),Skills!L8/10)+Skills!O8</f>
        <v/>
      </c>
      <c r="G2057">
        <f>Skills!G8*IF(Skills!H8&gt;0,Skills!I8/Skills!H8,1)</f>
        <v/>
      </c>
      <c r="H2057">
        <f>1-(1-Skills!J8/100)^Skills!K8</f>
        <v/>
      </c>
      <c r="I2057" t="inlineStr">
        <is>
          <t>1</t>
        </is>
      </c>
      <c r="J2057">
        <f>((Inputs!$B$6*(1+Inputs!$B$7/100))+(((Inputs!$B$12*(1+Inputs!$B$13/100))-(Inputs!$B$12*(1+Inputs!$B$13/100)))+0.25*(Inputs!$B$14-Inputs!$B$14))*(1+Inputs!$B$7/100))*(F2057/100)</f>
        <v/>
      </c>
      <c r="K2057">
        <f>J2057*(1+((Inputs!$B$12*(1+Inputs!$B$13/100))*0.01+Inputs!$B$14*0.0025)/100)*(1+Inputs!$B$15/100)*(1+Inputs!$B$16/100)*(5000/(6000+Inputs!$B$42*(1-(100*(1-(1-(Inputs!$B$19+0)/100)*(1-CHOOSE(ArtifactsInput!$N$40+1,5,6,7,8,9,10)/100)^(ArtifactsInput!$M$40-ArtifactsInput!$M$40)))/100)))*(1+(Inputs!$B$24+((C2075=TRUE)*(F2075-Calc!F26))+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2072=TRUE)*(F2072-Calc!F23))+((C2076=TRUE)*(F2076-Calc!F27))+(((IF(AND(ArtifactsInput!$M$42,((Inputs!$B$9+((C2068=TRUE)*(F2068-Calc!F19))+B2079+(ArtifactsInput!$M$24-ArtifactsInput!$M$24)*CHOOSE(ArtifactsInput!$N$24+1,10,12,14,16,18,20)+IF(ArtifactsInput!$M$10,CHOOSE(ArtifactsInput!$N$10+1,15,18,21,24,27,30)*(IF(Inputs!$B$38="pvp",MIN(15,15)/15,IF(AND(Inputs!$B$38&lt;&gt;"pvp",Inputs!$B$43&gt;0),MIN(15,Inputs!$B$43)/(Inputs!$B$43),0))),0)))&gt;=100),MIN(100,((Inputs!$B$9+((C2068=TRUE)*(F2068-Calc!F19))+B2079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2068=TRUE)*(F2068-Calc!F19))+B2079+(ArtifactsInput!$M$24-ArtifactsInput!$M$24)*CHOOSE(ArtifactsInput!$N$24+1,10,12,14,16,18,20)+IF(ArtifactsInput!$M$10,CHOOSE(ArtifactsInput!$N$10+1,15,18,21,24,27,30)*(IF(Inputs!$B$38="pvp",MIN(15,15)/15,IF(AND(Inputs!$B$38&lt;&gt;"pvp",Inputs!$B$43&gt;0),MIN(15,Inputs!$B$43)/(Inputs!$B$43),0))),0)))&gt;=100),CHOOSE(ArtifactsInput!$N$42+1,40,48,56,64,72,80),0))))/100)*((1+(((C2066=TRUE)*F2066)+((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2057)</f>
        <v/>
      </c>
      <c r="L2057">
        <f>K2057*(MIN(Inputs!$B$22+((C2071=TRUE)*(F2071-Calc!F22)),(Inputs!$B$23+0+(IF(ArtifactsInput!$M$15,CHOOSE(ArtifactsInput!$N$15+1,25,30,35,40,45,50)/100*(Inputs!$B$11-Inputs!$B$11),0))))/100+(Inputs!$B$23+0+(IF(ArtifactsInput!$M$15,CHOOSE(ArtifactsInput!$N$15+1,25,30,35,40,45,50)/100*(Inputs!$B$11-Inputs!$B$11),0)))/100)/2</f>
        <v/>
      </c>
      <c r="M2057">
        <f>L2057*(1+(Inputs!$B$10+((C2074=TRUE)*(F2074-Calc!F25))+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7">
        <f>L2057*(1-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2057*(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7">
        <f>(1-Summary!$B$11)*T2057+Summary!$B$11*V2057</f>
        <v/>
      </c>
      <c r="P2057">
        <f>IF(B2089=0,0,O2057/B2089)</f>
        <v/>
      </c>
      <c r="Q2057">
        <f>IFERROR(1/(IF(Inputs!$B$38="pvp",15,MAX(0.1,Skills!D8-IF(Skills!E8=TRUE,Inputs!$B$32,0)))*(1-IF(AND(IF(ArtifactsInput!$M$27,FALSE,TRUE),Inputs!$B$4="Chapter Hunt"),CHOOSE(ArtifactsInput!$N$27+1,20,24,28,32,36,40),0)/100)),0)</f>
        <v/>
      </c>
      <c r="R2057">
        <f>IF(AND(Inputs!$B$38&lt;&gt;"pvp",Inputs!$B$43&gt;0),IF(MAX(0,Inputs!$B$43-B2086)&lt;=0,0,(INT(MAX(0,Inputs!$B$43-B2086)/(IF(Inputs!$B$38="pvp",15,MAX(0.1,Skills!D8-IF(Skills!E8=TRUE,Inputs!$B$32,0)))*(1-IF(AND(IF(ArtifactsInput!$M$27,FALSE,TRUE),Inputs!$B$4="Chapter Hunt"),CHOOSE(ArtifactsInput!$N$27+1,20,24,28,32,36,40),0)/100)))+1)),0)</f>
        <v/>
      </c>
      <c r="S2057">
        <f>IFERROR(O2057/N2057,0)</f>
        <v/>
      </c>
      <c r="T2057">
        <f>IF(C2057,(H2057*N2057*IF(AND(Inputs!$B$38&lt;&gt;"pvp",Inputs!$B$43&gt;0),((Skills!G8*((R2057-1)*IF(Skills!H8&gt;0,Skills!I8/Skills!H8,1)+IF(Skills!H8&gt;0,MIN(Skills!I8,MAX(0,MAX(0,Inputs!$B$43-B2086)-((R2057-1)*(IF(Inputs!$B$38="pvp",15,MAX(0.1,Skills!D8-IF(Skills!E8=TRUE,Inputs!$B$32,0)))*(1-IF(AND(IF(ArtifactsInput!$M$27,FALSE,TRUE),Inputs!$B$4="Chapter Hunt"),CHOOSE(ArtifactsInput!$N$27+1,20,24,28,32,36,40),0)/100)))))/Skills!H8,1)))/Inputs!$B$43),G2057*Q2057)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2057*(1-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2057*(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2057*(1-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2057*(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7">
        <f>IF(C2057,(H2057*N2057*IF(AND(Inputs!$B$38&lt;&gt;"pvp",Inputs!$B$43&gt;0),((Skills!G8*((R2057-1)*IF(Skills!H8&gt;0,Skills!I8/Skills!H8,1)+IF(Skills!H8&gt;0,MIN(Skills!I8,MAX(0,MAX(0,Inputs!$B$43-B2086)-((R2057-1)*(IF(Inputs!$B$38="pvp",15,MAX(0.1,Skills!D8-IF(Skills!E8=TRUE,Inputs!$B$32,0)))*(1-IF(AND(IF(ArtifactsInput!$M$27,FALSE,TRUE),Inputs!$B$4="Chapter Hunt"),CHOOSE(ArtifactsInput!$N$27+1,20,24,28,32,36,40),0)/100)))))/Skills!H8,1)))/Inputs!$B$43),G2057*Q2057))*IF(Inputs!$B$38="pvp",1,(1+(Inputs!$B$21+Skills!Q8+(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8">
      <c r="A2058">
        <f>Skills!A9</f>
        <v/>
      </c>
      <c r="B2058">
        <f>Skills!B9</f>
        <v/>
      </c>
      <c r="C2058">
        <f>Inputs!$B$3&gt;=103</f>
        <v/>
      </c>
      <c r="D2058">
        <f>IF(Skills!C9=1,60+Inputs!$B$25+Inputs!$B$29,IF(Skills!C9=2,90+Inputs!$B$26+Inputs!$B$29,IF(Skills!C9=3,120+Inputs!$B$27+Inputs!$B$29,MAX(0,(Inputs!$B$3-100)*3)+Inputs!$B$28+Inputs!$B$29)))</f>
        <v/>
      </c>
      <c r="E2058">
        <f>INDEX(FactorTable!$B$2:$Y$301, MATCH(ROUND(MIN(300,MAX(1,D2058)),0), FactorTable!$A$2:$A$301,0), Skills!M9+1)</f>
        <v/>
      </c>
      <c r="F2058">
        <f>IF(Skills!N9=TRUE,(Skills!L9/10)*(E2058/1000),Skills!L9/10)+Skills!O9</f>
        <v/>
      </c>
      <c r="G2058">
        <f>Skills!G9*IF(Skills!H9&gt;0,Skills!I9/Skills!H9,1)</f>
        <v/>
      </c>
      <c r="H2058">
        <f>1-(1-Skills!J9/100)^Skills!K9</f>
        <v/>
      </c>
      <c r="I2058" t="inlineStr">
        <is>
          <t>1</t>
        </is>
      </c>
      <c r="J2058">
        <f>((Inputs!$B$6*(1+Inputs!$B$7/100))+(((Inputs!$B$12*(1+Inputs!$B$13/100))-(Inputs!$B$12*(1+Inputs!$B$13/100)))+0.25*(Inputs!$B$14-Inputs!$B$14))*(1+Inputs!$B$7/100))*(F2058/100)</f>
        <v/>
      </c>
      <c r="K2058">
        <f>J2058*(1+((Inputs!$B$12*(1+Inputs!$B$13/100))*0.01+Inputs!$B$14*0.0025)/100)*(1+Inputs!$B$15/100)*(1+Inputs!$B$16/100)*(5000/(6000+Inputs!$B$42*(1-(100*(1-(1-(Inputs!$B$19+0)/100)*(1-CHOOSE(ArtifactsInput!$N$40+1,5,6,7,8,9,10)/100)^(ArtifactsInput!$M$40-ArtifactsInput!$M$40)))/100)))*(1+(Inputs!$B$24+((C2075=TRUE)*(F2075-Calc!F26))+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2072=TRUE)*(F2072-Calc!F23))+((C2076=TRUE)*(F2076-Calc!F27))+(((IF(AND(ArtifactsInput!$M$42,((Inputs!$B$9+((C2068=TRUE)*(F2068-Calc!F19))+B2079+(ArtifactsInput!$M$24-ArtifactsInput!$M$24)*CHOOSE(ArtifactsInput!$N$24+1,10,12,14,16,18,20)+IF(ArtifactsInput!$M$10,CHOOSE(ArtifactsInput!$N$10+1,15,18,21,24,27,30)*(IF(Inputs!$B$38="pvp",MIN(15,15)/15,IF(AND(Inputs!$B$38&lt;&gt;"pvp",Inputs!$B$43&gt;0),MIN(15,Inputs!$B$43)/(Inputs!$B$43),0))),0)))&gt;=100),MIN(100,((Inputs!$B$9+((C2068=TRUE)*(F2068-Calc!F19))+B2079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2068=TRUE)*(F2068-Calc!F19))+B2079+(ArtifactsInput!$M$24-ArtifactsInput!$M$24)*CHOOSE(ArtifactsInput!$N$24+1,10,12,14,16,18,20)+IF(ArtifactsInput!$M$10,CHOOSE(ArtifactsInput!$N$10+1,15,18,21,24,27,30)*(IF(Inputs!$B$38="pvp",MIN(15,15)/15,IF(AND(Inputs!$B$38&lt;&gt;"pvp",Inputs!$B$43&gt;0),MIN(15,Inputs!$B$43)/(Inputs!$B$43),0))),0)))&gt;=100),CHOOSE(ArtifactsInput!$N$42+1,40,48,56,64,72,80),0))))/100)*((1+(((C2066=TRUE)*F2066)+((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2058)</f>
        <v/>
      </c>
      <c r="L2058">
        <f>K2058*(MIN(Inputs!$B$22+((C2071=TRUE)*(F2071-Calc!F22)),(Inputs!$B$23+0+(IF(ArtifactsInput!$M$15,CHOOSE(ArtifactsInput!$N$15+1,25,30,35,40,45,50)/100*(Inputs!$B$11-Inputs!$B$11),0))))/100+(Inputs!$B$23+0+(IF(ArtifactsInput!$M$15,CHOOSE(ArtifactsInput!$N$15+1,25,30,35,40,45,50)/100*(Inputs!$B$11-Inputs!$B$11),0)))/100)/2</f>
        <v/>
      </c>
      <c r="M2058">
        <f>L2058*(1+(Inputs!$B$10+((C2074=TRUE)*(F2074-Calc!F25))+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8">
        <f>L2058*(1-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2058*(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8">
        <f>(1-Summary!$B$11)*T2058+Summary!$B$11*V2058</f>
        <v/>
      </c>
      <c r="P2058">
        <f>IF(B2089=0,0,O2058/B2089)</f>
        <v/>
      </c>
      <c r="Q2058">
        <f>IFERROR(1/(IF(Inputs!$B$38="pvp",15,MAX(0.1,Skills!D9-IF(Skills!E9=TRUE,Inputs!$B$32,0)))*(1-IF(AND(IF(ArtifactsInput!$M$27,FALSE,TRUE),Inputs!$B$4="Chapter Hunt"),CHOOSE(ArtifactsInput!$N$27+1,20,24,28,32,36,40),0)/100)),0)</f>
        <v/>
      </c>
      <c r="R2058">
        <f>IF(AND(Inputs!$B$38&lt;&gt;"pvp",Inputs!$B$43&gt;0),IF(MAX(0,Inputs!$B$43-B2086)&lt;=0,0,(INT(MAX(0,Inputs!$B$43-B2086)/(IF(Inputs!$B$38="pvp",15,MAX(0.1,Skills!D9-IF(Skills!E9=TRUE,Inputs!$B$32,0)))*(1-IF(AND(IF(ArtifactsInput!$M$27,FALSE,TRUE),Inputs!$B$4="Chapter Hunt"),CHOOSE(ArtifactsInput!$N$27+1,20,24,28,32,36,40),0)/100)))+1)),0)</f>
        <v/>
      </c>
      <c r="S2058">
        <f>IFERROR(O2058/N2058,0)</f>
        <v/>
      </c>
      <c r="T2058">
        <f>IF(C2058,(H2058*N2058*IF(AND(Inputs!$B$38&lt;&gt;"pvp",Inputs!$B$43&gt;0),((Skills!G9*((R2058-1)*IF(Skills!H9&gt;0,Skills!I9/Skills!H9,1)+IF(Skills!H9&gt;0,MIN(Skills!I9,MAX(0,MAX(0,Inputs!$B$43-B2086)-((R2058-1)*(IF(Inputs!$B$38="pvp",15,MAX(0.1,Skills!D9-IF(Skills!E9=TRUE,Inputs!$B$32,0)))*(1-IF(AND(IF(ArtifactsInput!$M$27,FALSE,TRUE),Inputs!$B$4="Chapter Hunt"),CHOOSE(ArtifactsInput!$N$27+1,20,24,28,32,36,40),0)/100)))))/Skills!H9,1)))/Inputs!$B$43),G2058*Q2058)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2058*(1-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2058*(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2058*(1-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2058*(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8">
        <f>IF(C2058,(H2058*N2058*IF(AND(Inputs!$B$38&lt;&gt;"pvp",Inputs!$B$43&gt;0),((Skills!G9*((R2058-1)*IF(Skills!H9&gt;0,Skills!I9/Skills!H9,1)+IF(Skills!H9&gt;0,MIN(Skills!I9,MAX(0,MAX(0,Inputs!$B$43-B2086)-((R2058-1)*(IF(Inputs!$B$38="pvp",15,MAX(0.1,Skills!D9-IF(Skills!E9=TRUE,Inputs!$B$32,0)))*(1-IF(AND(IF(ArtifactsInput!$M$27,FALSE,TRUE),Inputs!$B$4="Chapter Hunt"),CHOOSE(ArtifactsInput!$N$27+1,20,24,28,32,36,40),0)/100)))))/Skills!H9,1)))/Inputs!$B$43),G2058*Q2058))*IF(Inputs!$B$38="pvp",1,(1+(Inputs!$B$21+Skills!Q9+(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9">
      <c r="A2059">
        <f>Skills!A10</f>
        <v/>
      </c>
      <c r="B2059">
        <f>Skills!B10</f>
        <v/>
      </c>
      <c r="C2059">
        <f>Inputs!$B$3&gt;=113</f>
        <v/>
      </c>
      <c r="D2059">
        <f>IF(Skills!C10=1,60+Inputs!$B$25+Inputs!$B$29,IF(Skills!C10=2,90+Inputs!$B$26+Inputs!$B$29,IF(Skills!C10=3,120+Inputs!$B$27+Inputs!$B$29,MAX(0,(Inputs!$B$3-100)*3)+Inputs!$B$28+Inputs!$B$29)))</f>
        <v/>
      </c>
      <c r="E2059">
        <f>INDEX(FactorTable!$B$2:$Y$301, MATCH(ROUND(MIN(300,MAX(1,D2059)),0), FactorTable!$A$2:$A$301,0), Skills!M10+1)</f>
        <v/>
      </c>
      <c r="F2059">
        <f>IF(Skills!N10=TRUE,(Skills!L10/10)*(E2059/1000),Skills!L10/10)+Skills!O10</f>
        <v/>
      </c>
      <c r="G2059">
        <f>Skills!G10*IF(Skills!H10&gt;0,Skills!I10/Skills!H10,1)</f>
        <v/>
      </c>
      <c r="H2059">
        <f>1-(1-Skills!J10/100)^Skills!K10</f>
        <v/>
      </c>
      <c r="I2059" t="inlineStr">
        <is>
          <t>1</t>
        </is>
      </c>
      <c r="J2059">
        <f>((Inputs!$B$6*(1+Inputs!$B$7/100))+(((Inputs!$B$12*(1+Inputs!$B$13/100))-(Inputs!$B$12*(1+Inputs!$B$13/100)))+0.25*(Inputs!$B$14-Inputs!$B$14))*(1+Inputs!$B$7/100))*(F2059/100)</f>
        <v/>
      </c>
      <c r="K2059">
        <f>J2059*(1+((Inputs!$B$12*(1+Inputs!$B$13/100))*0.01+Inputs!$B$14*0.0025)/100)*(1+Inputs!$B$15/100)*(1+Inputs!$B$16/100)*(5000/(6000+Inputs!$B$42*(1-(100*(1-(1-(Inputs!$B$19+0)/100)*(1-CHOOSE(ArtifactsInput!$N$40+1,5,6,7,8,9,10)/100)^(ArtifactsInput!$M$40-ArtifactsInput!$M$40)))/100)))*(1+(Inputs!$B$24+((C2075=TRUE)*(F2075-Calc!F26))+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2072=TRUE)*(F2072-Calc!F23))+((C2076=TRUE)*(F2076-Calc!F27))+(((IF(AND(ArtifactsInput!$M$42,((Inputs!$B$9+((C2068=TRUE)*(F2068-Calc!F19))+B2079+(ArtifactsInput!$M$24-ArtifactsInput!$M$24)*CHOOSE(ArtifactsInput!$N$24+1,10,12,14,16,18,20)+IF(ArtifactsInput!$M$10,CHOOSE(ArtifactsInput!$N$10+1,15,18,21,24,27,30)*(IF(Inputs!$B$38="pvp",MIN(15,15)/15,IF(AND(Inputs!$B$38&lt;&gt;"pvp",Inputs!$B$43&gt;0),MIN(15,Inputs!$B$43)/(Inputs!$B$43),0))),0)))&gt;=100),MIN(100,((Inputs!$B$9+((C2068=TRUE)*(F2068-Calc!F19))+B2079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2068=TRUE)*(F2068-Calc!F19))+B2079+(ArtifactsInput!$M$24-ArtifactsInput!$M$24)*CHOOSE(ArtifactsInput!$N$24+1,10,12,14,16,18,20)+IF(ArtifactsInput!$M$10,CHOOSE(ArtifactsInput!$N$10+1,15,18,21,24,27,30)*(IF(Inputs!$B$38="pvp",MIN(15,15)/15,IF(AND(Inputs!$B$38&lt;&gt;"pvp",Inputs!$B$43&gt;0),MIN(15,Inputs!$B$43)/(Inputs!$B$43),0))),0)))&gt;=100),CHOOSE(ArtifactsInput!$N$42+1,40,48,56,64,72,80),0))))/100)*((1+(((C2066=TRUE)*F2066)+((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2059)</f>
        <v/>
      </c>
      <c r="L2059">
        <f>K2059*(MIN(Inputs!$B$22+((C2071=TRUE)*(F2071-Calc!F22)),(Inputs!$B$23+0+(IF(ArtifactsInput!$M$15,CHOOSE(ArtifactsInput!$N$15+1,25,30,35,40,45,50)/100*(Inputs!$B$11-Inputs!$B$11),0))))/100+(Inputs!$B$23+0+(IF(ArtifactsInput!$M$15,CHOOSE(ArtifactsInput!$N$15+1,25,30,35,40,45,50)/100*(Inputs!$B$11-Inputs!$B$11),0)))/100)/2</f>
        <v/>
      </c>
      <c r="M2059">
        <f>L2059*(1+(Inputs!$B$10+((C2074=TRUE)*(F2074-Calc!F25))+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9">
        <f>L2059*(1-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2059*(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9">
        <f>(1-Summary!$B$11)*T2059+Summary!$B$11*V2059</f>
        <v/>
      </c>
      <c r="P2059">
        <f>IF(B2089=0,0,O2059/B2089)</f>
        <v/>
      </c>
      <c r="Q2059">
        <f>IFERROR(1/(IF(Inputs!$B$38="pvp",15,MAX(0.1,Skills!D10-IF(Skills!E10=TRUE,Inputs!$B$32,0)))*(1-IF(AND(IF(ArtifactsInput!$M$27,FALSE,TRUE),Inputs!$B$4="Chapter Hunt"),CHOOSE(ArtifactsInput!$N$27+1,20,24,28,32,36,40),0)/100)),0)</f>
        <v/>
      </c>
      <c r="R2059">
        <f>IF(AND(Inputs!$B$38&lt;&gt;"pvp",Inputs!$B$43&gt;0),IF(MAX(0,Inputs!$B$43-B2086)&lt;=0,0,(INT(MAX(0,Inputs!$B$43-B2086)/(IF(Inputs!$B$38="pvp",15,MAX(0.1,Skills!D10-IF(Skills!E10=TRUE,Inputs!$B$32,0)))*(1-IF(AND(IF(ArtifactsInput!$M$27,FALSE,TRUE),Inputs!$B$4="Chapter Hunt"),CHOOSE(ArtifactsInput!$N$27+1,20,24,28,32,36,40),0)/100)))+1)),0)</f>
        <v/>
      </c>
      <c r="S2059">
        <f>IFERROR(O2059/N2059,0)</f>
        <v/>
      </c>
      <c r="T2059">
        <f>IF(C2059,(H2059*N2059*IF(AND(Inputs!$B$38&lt;&gt;"pvp",Inputs!$B$43&gt;0),((Skills!G10*((R2059-1)*IF(Skills!H10&gt;0,Skills!I10/Skills!H10,1)+IF(Skills!H10&gt;0,MIN(Skills!I10,MAX(0,MAX(0,Inputs!$B$43-B2086)-((R2059-1)*(IF(Inputs!$B$38="pvp",15,MAX(0.1,Skills!D10-IF(Skills!E10=TRUE,Inputs!$B$32,0)))*(1-IF(AND(IF(ArtifactsInput!$M$27,FALSE,TRUE),Inputs!$B$4="Chapter Hunt"),CHOOSE(ArtifactsInput!$N$27+1,20,24,28,32,36,40),0)/100)))))/Skills!H10,1)))/Inputs!$B$43),G2059*Q2059)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2059*(1-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2059*(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2059*(1-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2059*(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9">
        <f>IF(C2059,(H2059*N2059*IF(AND(Inputs!$B$38&lt;&gt;"pvp",Inputs!$B$43&gt;0),((Skills!G10*((R2059-1)*IF(Skills!H10&gt;0,Skills!I10/Skills!H10,1)+IF(Skills!H10&gt;0,MIN(Skills!I10,MAX(0,MAX(0,Inputs!$B$43-B2086)-((R2059-1)*(IF(Inputs!$B$38="pvp",15,MAX(0.1,Skills!D10-IF(Skills!E10=TRUE,Inputs!$B$32,0)))*(1-IF(AND(IF(ArtifactsInput!$M$27,FALSE,TRUE),Inputs!$B$4="Chapter Hunt"),CHOOSE(ArtifactsInput!$N$27+1,20,24,28,32,36,40),0)/100)))))/Skills!H10,1)))/Inputs!$B$43),G2059*Q2059))*IF(Inputs!$B$38="pvp",1,(1+(Inputs!$B$21+Skills!Q10+(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0">
      <c r="A2060">
        <f>Skills!A11</f>
        <v/>
      </c>
      <c r="B2060">
        <f>Skills!B11</f>
        <v/>
      </c>
      <c r="C2060">
        <f>Inputs!$B$3&gt;=107</f>
        <v/>
      </c>
      <c r="D2060">
        <f>IF(Skills!C11=1,60+Inputs!$B$25+Inputs!$B$29,IF(Skills!C11=2,90+Inputs!$B$26+Inputs!$B$29,IF(Skills!C11=3,120+Inputs!$B$27+Inputs!$B$29,MAX(0,(Inputs!$B$3-100)*3)+Inputs!$B$28+Inputs!$B$29)))</f>
        <v/>
      </c>
      <c r="E2060">
        <f>INDEX(FactorTable!$B$2:$Y$301, MATCH(ROUND(MIN(300,MAX(1,D2060)),0), FactorTable!$A$2:$A$301,0), Skills!M11+1)</f>
        <v/>
      </c>
      <c r="F2060">
        <f>IF(Skills!N11=TRUE,(Skills!L11/10)*(E2060/1000),Skills!L11/10)+Skills!O11</f>
        <v/>
      </c>
      <c r="G2060">
        <f>Skills!G11*IF(Skills!H11&gt;0,Skills!I11/Skills!H11,1)</f>
        <v/>
      </c>
      <c r="H2060">
        <f>1-(1-Skills!J11/100)^Skills!K11</f>
        <v/>
      </c>
      <c r="I2060" t="inlineStr">
        <is>
          <t>1</t>
        </is>
      </c>
      <c r="J2060">
        <f>((Inputs!$B$6*(1+Inputs!$B$7/100))+(((Inputs!$B$12*(1+Inputs!$B$13/100))-(Inputs!$B$12*(1+Inputs!$B$13/100)))+0.25*(Inputs!$B$14-Inputs!$B$14))*(1+Inputs!$B$7/100))*(F2060/100)</f>
        <v/>
      </c>
      <c r="K2060">
        <f>J2060*(1+((Inputs!$B$12*(1+Inputs!$B$13/100))*0.01+Inputs!$B$14*0.0025)/100)*(1+Inputs!$B$15/100)*(1+Inputs!$B$16/100)*(5000/(6000+Inputs!$B$42*(1-(100*(1-(1-(Inputs!$B$19+0)/100)*(1-CHOOSE(ArtifactsInput!$N$40+1,5,6,7,8,9,10)/100)^(ArtifactsInput!$M$40-ArtifactsInput!$M$40)))/100)))*(1+(Inputs!$B$24+((C2075=TRUE)*(F2075-Calc!F26))+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2072=TRUE)*(F2072-Calc!F23))+((C2076=TRUE)*(F2076-Calc!F27))+(((IF(AND(ArtifactsInput!$M$42,((Inputs!$B$9+((C2068=TRUE)*(F2068-Calc!F19))+B2079+(ArtifactsInput!$M$24-ArtifactsInput!$M$24)*CHOOSE(ArtifactsInput!$N$24+1,10,12,14,16,18,20)+IF(ArtifactsInput!$M$10,CHOOSE(ArtifactsInput!$N$10+1,15,18,21,24,27,30)*(IF(Inputs!$B$38="pvp",MIN(15,15)/15,IF(AND(Inputs!$B$38&lt;&gt;"pvp",Inputs!$B$43&gt;0),MIN(15,Inputs!$B$43)/(Inputs!$B$43),0))),0)))&gt;=100),MIN(100,((Inputs!$B$9+((C2068=TRUE)*(F2068-Calc!F19))+B2079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2068=TRUE)*(F2068-Calc!F19))+B2079+(ArtifactsInput!$M$24-ArtifactsInput!$M$24)*CHOOSE(ArtifactsInput!$N$24+1,10,12,14,16,18,20)+IF(ArtifactsInput!$M$10,CHOOSE(ArtifactsInput!$N$10+1,15,18,21,24,27,30)*(IF(Inputs!$B$38="pvp",MIN(15,15)/15,IF(AND(Inputs!$B$38&lt;&gt;"pvp",Inputs!$B$43&gt;0),MIN(15,Inputs!$B$43)/(Inputs!$B$43),0))),0)))&gt;=100),CHOOSE(ArtifactsInput!$N$42+1,40,48,56,64,72,80),0))))/100)*((1+(((C2066=TRUE)*F2066)+((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2060)</f>
        <v/>
      </c>
      <c r="L2060">
        <f>K2060*(MIN(Inputs!$B$22+((C2071=TRUE)*(F2071-Calc!F22)),(Inputs!$B$23+0+(IF(ArtifactsInput!$M$15,CHOOSE(ArtifactsInput!$N$15+1,25,30,35,40,45,50)/100*(Inputs!$B$11-Inputs!$B$11),0))))/100+(Inputs!$B$23+0+(IF(ArtifactsInput!$M$15,CHOOSE(ArtifactsInput!$N$15+1,25,30,35,40,45,50)/100*(Inputs!$B$11-Inputs!$B$11),0)))/100)/2</f>
        <v/>
      </c>
      <c r="M2060">
        <f>L2060*(1+(Inputs!$B$10+((C2074=TRUE)*(F2074-Calc!F25))+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0">
        <f>L2060*(1-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2060*(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0">
        <f>(1-Summary!$B$11)*T2060+Summary!$B$11*V2060</f>
        <v/>
      </c>
      <c r="P2060">
        <f>IF(B2089=0,0,O2060/B2089)</f>
        <v/>
      </c>
      <c r="Q2060">
        <f>IFERROR(1/(IF(Inputs!$B$38="pvp",15,MAX(0.1,Skills!D11-IF(Skills!E11=TRUE,Inputs!$B$32,0)))*(1-IF(AND(IF(ArtifactsInput!$M$27,FALSE,TRUE),Inputs!$B$4="Chapter Hunt"),CHOOSE(ArtifactsInput!$N$27+1,20,24,28,32,36,40),0)/100)),0)</f>
        <v/>
      </c>
      <c r="R2060">
        <f>IF(AND(Inputs!$B$38&lt;&gt;"pvp",Inputs!$B$43&gt;0),IF(MAX(0,Inputs!$B$43-B2086)&lt;=0,0,(INT(MAX(0,Inputs!$B$43-B2086)/(IF(Inputs!$B$38="pvp",15,MAX(0.1,Skills!D11-IF(Skills!E11=TRUE,Inputs!$B$32,0)))*(1-IF(AND(IF(ArtifactsInput!$M$27,FALSE,TRUE),Inputs!$B$4="Chapter Hunt"),CHOOSE(ArtifactsInput!$N$27+1,20,24,28,32,36,40),0)/100)))+1)),0)</f>
        <v/>
      </c>
      <c r="S2060">
        <f>IFERROR(O2060/N2060,0)</f>
        <v/>
      </c>
      <c r="T2060">
        <f>IF(C2060,(H2060*N2060*IF(AND(Inputs!$B$38&lt;&gt;"pvp",Inputs!$B$43&gt;0),((Skills!G11*((R2060-1)*IF(Skills!H11&gt;0,Skills!I11/Skills!H11,1)+IF(Skills!H11&gt;0,MIN(Skills!I11,MAX(0,MAX(0,Inputs!$B$43-B2086)-((R2060-1)*(IF(Inputs!$B$38="pvp",15,MAX(0.1,Skills!D11-IF(Skills!E11=TRUE,Inputs!$B$32,0)))*(1-IF(AND(IF(ArtifactsInput!$M$27,FALSE,TRUE),Inputs!$B$4="Chapter Hunt"),CHOOSE(ArtifactsInput!$N$27+1,20,24,28,32,36,40),0)/100)))))/Skills!H11,1)))/Inputs!$B$43),G2060*Q2060)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2060*(1-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2060*(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2060*(1-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2060*(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0">
        <f>IF(C2060,(H2060*N2060*IF(AND(Inputs!$B$38&lt;&gt;"pvp",Inputs!$B$43&gt;0),((Skills!G11*((R2060-1)*IF(Skills!H11&gt;0,Skills!I11/Skills!H11,1)+IF(Skills!H11&gt;0,MIN(Skills!I11,MAX(0,MAX(0,Inputs!$B$43-B2086)-((R2060-1)*(IF(Inputs!$B$38="pvp",15,MAX(0.1,Skills!D11-IF(Skills!E11=TRUE,Inputs!$B$32,0)))*(1-IF(AND(IF(ArtifactsInput!$M$27,FALSE,TRUE),Inputs!$B$4="Chapter Hunt"),CHOOSE(ArtifactsInput!$N$27+1,20,24,28,32,36,40),0)/100)))))/Skills!H11,1)))/Inputs!$B$43),G2060*Q2060))*IF(Inputs!$B$38="pvp",1,(1+(Inputs!$B$21+Skills!Q11+(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1">
      <c r="A2061">
        <f>Skills!A12</f>
        <v/>
      </c>
      <c r="B2061">
        <f>Skills!B12</f>
        <v/>
      </c>
      <c r="C2061">
        <f>Inputs!$B$3&gt;=110</f>
        <v/>
      </c>
      <c r="D2061">
        <f>IF(Skills!C12=1,60+Inputs!$B$25+Inputs!$B$29,IF(Skills!C12=2,90+Inputs!$B$26+Inputs!$B$29,IF(Skills!C12=3,120+Inputs!$B$27+Inputs!$B$29,MAX(0,(Inputs!$B$3-100)*3)+Inputs!$B$28+Inputs!$B$29)))</f>
        <v/>
      </c>
      <c r="E2061">
        <f>INDEX(FactorTable!$B$2:$Y$301, MATCH(ROUND(MIN(300,MAX(1,D2061)),0), FactorTable!$A$2:$A$301,0), Skills!M12+1)</f>
        <v/>
      </c>
      <c r="F2061">
        <f>IF(Skills!N12=TRUE,(Skills!L12/10)*(E2061/1000),Skills!L12/10)+Skills!O12</f>
        <v/>
      </c>
      <c r="G2061">
        <f>Skills!G12*IF(Skills!H12&gt;0,Skills!I12/Skills!H12,1)</f>
        <v/>
      </c>
      <c r="H2061">
        <f>1-(1-Skills!J12/100)^Skills!K12</f>
        <v/>
      </c>
      <c r="I2061" t="inlineStr">
        <is>
          <t>1</t>
        </is>
      </c>
      <c r="J2061">
        <f>((Inputs!$B$6*(1+Inputs!$B$7/100))+(((Inputs!$B$12*(1+Inputs!$B$13/100))-(Inputs!$B$12*(1+Inputs!$B$13/100)))+0.25*(Inputs!$B$14-Inputs!$B$14))*(1+Inputs!$B$7/100))*(F2061/100)</f>
        <v/>
      </c>
      <c r="K2061">
        <f>J2061*(1+((Inputs!$B$12*(1+Inputs!$B$13/100))*0.01+Inputs!$B$14*0.0025)/100)*(1+Inputs!$B$15/100)*(1+Inputs!$B$16/100)*(5000/(6000+Inputs!$B$42*(1-(100*(1-(1-(Inputs!$B$19+0)/100)*(1-CHOOSE(ArtifactsInput!$N$40+1,5,6,7,8,9,10)/100)^(ArtifactsInput!$M$40-ArtifactsInput!$M$40)))/100)))*(1+(Inputs!$B$24+((C2075=TRUE)*(F2075-Calc!F26))+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2072=TRUE)*(F2072-Calc!F23))+((C2076=TRUE)*(F2076-Calc!F27))+(((IF(AND(ArtifactsInput!$M$42,((Inputs!$B$9+((C2068=TRUE)*(F2068-Calc!F19))+B2079+(ArtifactsInput!$M$24-ArtifactsInput!$M$24)*CHOOSE(ArtifactsInput!$N$24+1,10,12,14,16,18,20)+IF(ArtifactsInput!$M$10,CHOOSE(ArtifactsInput!$N$10+1,15,18,21,24,27,30)*(IF(Inputs!$B$38="pvp",MIN(15,15)/15,IF(AND(Inputs!$B$38&lt;&gt;"pvp",Inputs!$B$43&gt;0),MIN(15,Inputs!$B$43)/(Inputs!$B$43),0))),0)))&gt;=100),MIN(100,((Inputs!$B$9+((C2068=TRUE)*(F2068-Calc!F19))+B2079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2068=TRUE)*(F2068-Calc!F19))+B2079+(ArtifactsInput!$M$24-ArtifactsInput!$M$24)*CHOOSE(ArtifactsInput!$N$24+1,10,12,14,16,18,20)+IF(ArtifactsInput!$M$10,CHOOSE(ArtifactsInput!$N$10+1,15,18,21,24,27,30)*(IF(Inputs!$B$38="pvp",MIN(15,15)/15,IF(AND(Inputs!$B$38&lt;&gt;"pvp",Inputs!$B$43&gt;0),MIN(15,Inputs!$B$43)/(Inputs!$B$43),0))),0)))&gt;=100),CHOOSE(ArtifactsInput!$N$42+1,40,48,56,64,72,80),0))))/100)*((1+(((C2066=TRUE)*F2066)+((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2061)</f>
        <v/>
      </c>
      <c r="L2061">
        <f>K2061*(MIN(Inputs!$B$22+((C2071=TRUE)*(F2071-Calc!F22)),(Inputs!$B$23+0+(IF(ArtifactsInput!$M$15,CHOOSE(ArtifactsInput!$N$15+1,25,30,35,40,45,50)/100*(Inputs!$B$11-Inputs!$B$11),0))))/100+(Inputs!$B$23+0+(IF(ArtifactsInput!$M$15,CHOOSE(ArtifactsInput!$N$15+1,25,30,35,40,45,50)/100*(Inputs!$B$11-Inputs!$B$11),0)))/100)/2</f>
        <v/>
      </c>
      <c r="M2061">
        <f>L2061*(1+(Inputs!$B$10+((C2074=TRUE)*(F2074-Calc!F25))+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1">
        <f>L2061*(1-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1">
        <f>(1-Summary!$B$11)*T2061+Summary!$B$11*V2061</f>
        <v/>
      </c>
      <c r="P2061">
        <f>IF(B2089=0,0,O2061/B2089)</f>
        <v/>
      </c>
      <c r="Q2061">
        <f>IFERROR(1/(IF(Inputs!$B$38="pvp",15,MAX(0.1,Skills!D12-IF(Skills!E12=TRUE,Inputs!$B$32,0)))*(1-IF(AND(IF(ArtifactsInput!$M$27,FALSE,TRUE),Inputs!$B$4="Chapter Hunt"),CHOOSE(ArtifactsInput!$N$27+1,20,24,28,32,36,40),0)/100)),0)</f>
        <v/>
      </c>
      <c r="R2061">
        <f>IF(AND(Inputs!$B$38&lt;&gt;"pvp",Inputs!$B$43&gt;0),IF(MAX(0,Inputs!$B$43-B2086)&lt;=0,0,(INT(MAX(0,Inputs!$B$43-B2086)/(IF(Inputs!$B$38="pvp",15,MAX(0.1,Skills!D12-IF(Skills!E12=TRUE,Inputs!$B$32,0)))*(1-IF(AND(IF(ArtifactsInput!$M$27,FALSE,TRUE),Inputs!$B$4="Chapter Hunt"),CHOOSE(ArtifactsInput!$N$27+1,20,24,28,32,36,40),0)/100)))+1)),0)</f>
        <v/>
      </c>
      <c r="S2061">
        <f>IFERROR(O2061/N2061,0)</f>
        <v/>
      </c>
      <c r="T2061">
        <f>IF(C2061,(H2061*N2061*IF(AND(Inputs!$B$38&lt;&gt;"pvp",Inputs!$B$43&gt;0),((Skills!G12*((R2061-1)*IF(Skills!H12&gt;0,Skills!I12/Skills!H12,1)+IF(Skills!H12&gt;0,MIN(Skills!I12,MAX(0,MAX(0,Inputs!$B$43-B2086)-((R2061-1)*(IF(Inputs!$B$38="pvp",15,MAX(0.1,Skills!D12-IF(Skills!E12=TRUE,Inputs!$B$32,0)))*(1-IF(AND(IF(ArtifactsInput!$M$27,FALSE,TRUE),Inputs!$B$4="Chapter Hunt"),CHOOSE(ArtifactsInput!$N$27+1,20,24,28,32,36,40),0)/100)))))/Skills!H12,1)))/Inputs!$B$43),G2061*Q2061)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2061*(1-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1">
        <f>IF(C2061,(H2061*N2061*IF(AND(Inputs!$B$38&lt;&gt;"pvp",Inputs!$B$43&gt;0),((Skills!G12*((R2061-1)*IF(Skills!H12&gt;0,Skills!I12/Skills!H12,1)+IF(Skills!H12&gt;0,MIN(Skills!I12,MAX(0,MAX(0,Inputs!$B$43-B2086)-((R2061-1)*(IF(Inputs!$B$38="pvp",15,MAX(0.1,Skills!D12-IF(Skills!E12=TRUE,Inputs!$B$32,0)))*(1-IF(AND(IF(ArtifactsInput!$M$27,FALSE,TRUE),Inputs!$B$4="Chapter Hunt"),CHOOSE(ArtifactsInput!$N$27+1,20,24,28,32,36,40),0)/100)))))/Skills!H12,1)))/Inputs!$B$43),G2061*Q2061))*IF(Inputs!$B$38="pvp",1,(1+(Inputs!$B$21+Skills!Q12+(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2">
      <c r="A2062">
        <f>Skills!A13</f>
        <v/>
      </c>
      <c r="B2062">
        <f>Skills!B13</f>
        <v/>
      </c>
      <c r="C2062">
        <f>Inputs!$B$3&gt;=110</f>
        <v/>
      </c>
      <c r="D2062">
        <f>IF(Skills!C13=1,60+Inputs!$B$25+Inputs!$B$29,IF(Skills!C13=2,90+Inputs!$B$26+Inputs!$B$29,IF(Skills!C13=3,120+Inputs!$B$27+Inputs!$B$29,MAX(0,(Inputs!$B$3-100)*3)+Inputs!$B$28+Inputs!$B$29)))</f>
        <v/>
      </c>
      <c r="E2062">
        <f>INDEX(FactorTable!$B$2:$Y$301, MATCH(ROUND(MIN(300,MAX(1,D2062)),0), FactorTable!$A$2:$A$301,0), Skills!M13+1)</f>
        <v/>
      </c>
      <c r="F2062">
        <f>IF(Skills!N13=TRUE,(Skills!L13/10)*(E2062/1000),Skills!L13/10)+Skills!O13</f>
        <v/>
      </c>
      <c r="G2062">
        <f>Skills!G13*IF(Skills!H13&gt;0,Skills!I13/Skills!H13,1)</f>
        <v/>
      </c>
      <c r="H2062">
        <f>1-(1-Skills!J13/100)^Skills!K13</f>
        <v/>
      </c>
      <c r="I2062" t="inlineStr">
        <is>
          <t>1</t>
        </is>
      </c>
      <c r="J2062">
        <f>((Inputs!$B$6*(1+Inputs!$B$7/100))+(((Inputs!$B$12*(1+Inputs!$B$13/100))-(Inputs!$B$12*(1+Inputs!$B$13/100)))+0.25*(Inputs!$B$14-Inputs!$B$14))*(1+Inputs!$B$7/100))*(F2062/100)</f>
        <v/>
      </c>
      <c r="K2062">
        <f>J2062*(1+((Inputs!$B$12*(1+Inputs!$B$13/100))*0.01+Inputs!$B$14*0.0025)/100)*(1+Inputs!$B$15/100)*(1+Inputs!$B$16/100)*(5000/(6000+Inputs!$B$42*(1-(100*(1-(1-(Inputs!$B$19+0)/100)*(1-CHOOSE(ArtifactsInput!$N$40+1,5,6,7,8,9,10)/100)^(ArtifactsInput!$M$40-ArtifactsInput!$M$40)))/100)))*(1+(Inputs!$B$24+((C2075=TRUE)*(F2075-Calc!F26))+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2072=TRUE)*(F2072-Calc!F23))+((C2076=TRUE)*(F2076-Calc!F27))+(((IF(AND(ArtifactsInput!$M$42,((Inputs!$B$9+((C2068=TRUE)*(F2068-Calc!F19))+B2079+(ArtifactsInput!$M$24-ArtifactsInput!$M$24)*CHOOSE(ArtifactsInput!$N$24+1,10,12,14,16,18,20)+IF(ArtifactsInput!$M$10,CHOOSE(ArtifactsInput!$N$10+1,15,18,21,24,27,30)*(IF(Inputs!$B$38="pvp",MIN(15,15)/15,IF(AND(Inputs!$B$38&lt;&gt;"pvp",Inputs!$B$43&gt;0),MIN(15,Inputs!$B$43)/(Inputs!$B$43),0))),0)))&gt;=100),MIN(100,((Inputs!$B$9+((C2068=TRUE)*(F2068-Calc!F19))+B2079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2068=TRUE)*(F2068-Calc!F19))+B2079+(ArtifactsInput!$M$24-ArtifactsInput!$M$24)*CHOOSE(ArtifactsInput!$N$24+1,10,12,14,16,18,20)+IF(ArtifactsInput!$M$10,CHOOSE(ArtifactsInput!$N$10+1,15,18,21,24,27,30)*(IF(Inputs!$B$38="pvp",MIN(15,15)/15,IF(AND(Inputs!$B$38&lt;&gt;"pvp",Inputs!$B$43&gt;0),MIN(15,Inputs!$B$43)/(Inputs!$B$43),0))),0)))&gt;=100),CHOOSE(ArtifactsInput!$N$42+1,40,48,56,64,72,80),0))))/100)*((1+(((C2066=TRUE)*F2066)+((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2062)</f>
        <v/>
      </c>
      <c r="L2062">
        <f>K2062*(MIN(Inputs!$B$22+((C2071=TRUE)*(F2071-Calc!F22)),(Inputs!$B$23+0+(IF(ArtifactsInput!$M$15,CHOOSE(ArtifactsInput!$N$15+1,25,30,35,40,45,50)/100*(Inputs!$B$11-Inputs!$B$11),0))))/100+(Inputs!$B$23+0+(IF(ArtifactsInput!$M$15,CHOOSE(ArtifactsInput!$N$15+1,25,30,35,40,45,50)/100*(Inputs!$B$11-Inputs!$B$11),0)))/100)/2</f>
        <v/>
      </c>
      <c r="M2062">
        <f>L2062*(1+(Inputs!$B$10+((C2074=TRUE)*(F2074-Calc!F25))+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2">
        <f>L2062*(1-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2062*(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2">
        <f>(1-Summary!$B$11)*T2062+Summary!$B$11*V2062</f>
        <v/>
      </c>
      <c r="P2062">
        <f>IF(B2089=0,0,O2062/B2089)</f>
        <v/>
      </c>
      <c r="Q2062">
        <f>IFERROR(1/(IF(Inputs!$B$38="pvp",15,MAX(0.1,Skills!D13-IF(Skills!E13=TRUE,Inputs!$B$32,0)))*(1-IF(AND(IF(ArtifactsInput!$M$27,FALSE,TRUE),Inputs!$B$4="Chapter Hunt"),CHOOSE(ArtifactsInput!$N$27+1,20,24,28,32,36,40),0)/100)),0)</f>
        <v/>
      </c>
      <c r="R2062">
        <f>IF(AND(Inputs!$B$38&lt;&gt;"pvp",Inputs!$B$43&gt;0),IF(MAX(0,Inputs!$B$43-B2086)&lt;=0,0,(INT(MAX(0,Inputs!$B$43-B2086)/(IF(Inputs!$B$38="pvp",15,MAX(0.1,Skills!D13-IF(Skills!E13=TRUE,Inputs!$B$32,0)))*(1-IF(AND(IF(ArtifactsInput!$M$27,FALSE,TRUE),Inputs!$B$4="Chapter Hunt"),CHOOSE(ArtifactsInput!$N$27+1,20,24,28,32,36,40),0)/100)))+1)),0)</f>
        <v/>
      </c>
      <c r="S2062">
        <f>IFERROR(O2062/N2062,0)</f>
        <v/>
      </c>
      <c r="T2062">
        <f>IF(C2062,(H2062*N2062*IF(AND(Inputs!$B$38&lt;&gt;"pvp",Inputs!$B$43&gt;0),((Skills!G13*((R2062-1)*IF(Skills!H13&gt;0,Skills!I13/Skills!H13,1)+IF(Skills!H13&gt;0,MIN(Skills!I13,MAX(0,MAX(0,Inputs!$B$43-B2086)-((R2062-1)*(IF(Inputs!$B$38="pvp",15,MAX(0.1,Skills!D13-IF(Skills!E13=TRUE,Inputs!$B$32,0)))*(1-IF(AND(IF(ArtifactsInput!$M$27,FALSE,TRUE),Inputs!$B$4="Chapter Hunt"),CHOOSE(ArtifactsInput!$N$27+1,20,24,28,32,36,40),0)/100)))))/Skills!H13,1)))/Inputs!$B$43),G2062*Q2062)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2062*(1-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2062*(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2062*(1-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2062*(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2">
        <f>IF(C2062,(H2062*N2062*IF(AND(Inputs!$B$38&lt;&gt;"pvp",Inputs!$B$43&gt;0),((Skills!G13*((R2062-1)*IF(Skills!H13&gt;0,Skills!I13/Skills!H13,1)+IF(Skills!H13&gt;0,MIN(Skills!I13,MAX(0,MAX(0,Inputs!$B$43-B2086)-((R2062-1)*(IF(Inputs!$B$38="pvp",15,MAX(0.1,Skills!D13-IF(Skills!E13=TRUE,Inputs!$B$32,0)))*(1-IF(AND(IF(ArtifactsInput!$M$27,FALSE,TRUE),Inputs!$B$4="Chapter Hunt"),CHOOSE(ArtifactsInput!$N$27+1,20,24,28,32,36,40),0)/100)))))/Skills!H13,1)))/Inputs!$B$43),G2062*Q2062))*IF(Inputs!$B$38="pvp",1,(1+(Inputs!$B$21+Skills!Q13+(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3">
      <c r="A2063">
        <f>Skills!A14</f>
        <v/>
      </c>
      <c r="B2063">
        <f>Skills!B14</f>
        <v/>
      </c>
      <c r="C2063">
        <f>Inputs!$B$3&gt;=125</f>
        <v/>
      </c>
      <c r="D2063">
        <f>IF(Skills!C14=1,60+Inputs!$B$25+Inputs!$B$29,IF(Skills!C14=2,90+Inputs!$B$26+Inputs!$B$29,IF(Skills!C14=3,120+Inputs!$B$27+Inputs!$B$29,MAX(0,(Inputs!$B$3-100)*3)+Inputs!$B$28+Inputs!$B$29)))</f>
        <v/>
      </c>
      <c r="E2063">
        <f>INDEX(FactorTable!$B$2:$Y$301, MATCH(ROUND(MIN(300,MAX(1,D2063)),0), FactorTable!$A$2:$A$301,0), Skills!M14+1)</f>
        <v/>
      </c>
      <c r="F2063">
        <f>IF(Skills!N14=TRUE,(Skills!L14/10)*(E2063/1000),Skills!L14/10)+Skills!O14</f>
        <v/>
      </c>
      <c r="G2063">
        <f>Skills!G14*IF(Skills!H14&gt;0,Skills!I14/Skills!H14,1)</f>
        <v/>
      </c>
      <c r="H2063">
        <f>1-(1-Skills!J14/100)^Skills!K14</f>
        <v/>
      </c>
      <c r="I2063" t="inlineStr">
        <is>
          <t>1</t>
        </is>
      </c>
      <c r="J2063">
        <f>((Inputs!$B$6*(1+Inputs!$B$7/100))+(((Inputs!$B$12*(1+Inputs!$B$13/100))-(Inputs!$B$12*(1+Inputs!$B$13/100)))+0.25*(Inputs!$B$14-Inputs!$B$14))*(1+Inputs!$B$7/100))*(F2063/100)</f>
        <v/>
      </c>
      <c r="K2063">
        <f>J2063*(1+((Inputs!$B$12*(1+Inputs!$B$13/100))*0.01+Inputs!$B$14*0.0025)/100)*(1+Inputs!$B$15/100)*(1+Inputs!$B$16/100)*(5000/(6000+Inputs!$B$42*(1-(100*(1-(1-(Inputs!$B$19+0)/100)*(1-CHOOSE(ArtifactsInput!$N$40+1,5,6,7,8,9,10)/100)^(ArtifactsInput!$M$40-ArtifactsInput!$M$40)))/100)))*(1+(Inputs!$B$24+((C2075=TRUE)*(F2075-Calc!F26))+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2072=TRUE)*(F2072-Calc!F23))+((C2076=TRUE)*(F2076-Calc!F27))+(((IF(AND(ArtifactsInput!$M$42,((Inputs!$B$9+((C2068=TRUE)*(F2068-Calc!F19))+B2079+(ArtifactsInput!$M$24-ArtifactsInput!$M$24)*CHOOSE(ArtifactsInput!$N$24+1,10,12,14,16,18,20)+IF(ArtifactsInput!$M$10,CHOOSE(ArtifactsInput!$N$10+1,15,18,21,24,27,30)*(IF(Inputs!$B$38="pvp",MIN(15,15)/15,IF(AND(Inputs!$B$38&lt;&gt;"pvp",Inputs!$B$43&gt;0),MIN(15,Inputs!$B$43)/(Inputs!$B$43),0))),0)))&gt;=100),MIN(100,((Inputs!$B$9+((C2068=TRUE)*(F2068-Calc!F19))+B2079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2068=TRUE)*(F2068-Calc!F19))+B2079+(ArtifactsInput!$M$24-ArtifactsInput!$M$24)*CHOOSE(ArtifactsInput!$N$24+1,10,12,14,16,18,20)+IF(ArtifactsInput!$M$10,CHOOSE(ArtifactsInput!$N$10+1,15,18,21,24,27,30)*(IF(Inputs!$B$38="pvp",MIN(15,15)/15,IF(AND(Inputs!$B$38&lt;&gt;"pvp",Inputs!$B$43&gt;0),MIN(15,Inputs!$B$43)/(Inputs!$B$43),0))),0)))&gt;=100),CHOOSE(ArtifactsInput!$N$42+1,40,48,56,64,72,80),0))))/100)*((1+(((C2066=TRUE)*F2066)+((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2063)</f>
        <v/>
      </c>
      <c r="L2063">
        <f>K2063*(MIN(Inputs!$B$22+((C2071=TRUE)*(F2071-Calc!F22)),(Inputs!$B$23+0+(IF(ArtifactsInput!$M$15,CHOOSE(ArtifactsInput!$N$15+1,25,30,35,40,45,50)/100*(Inputs!$B$11-Inputs!$B$11),0))))/100+(Inputs!$B$23+0+(IF(ArtifactsInput!$M$15,CHOOSE(ArtifactsInput!$N$15+1,25,30,35,40,45,50)/100*(Inputs!$B$11-Inputs!$B$11),0)))/100)/2</f>
        <v/>
      </c>
      <c r="M2063">
        <f>L2063*(1+(Inputs!$B$10+((C2074=TRUE)*(F2074-Calc!F25))+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3">
        <f>L2063*(1-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2063*(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3">
        <f>(1-Summary!$B$11)*T2063+Summary!$B$11*V2063</f>
        <v/>
      </c>
      <c r="P2063">
        <f>IF(B2089=0,0,O2063/B2089)</f>
        <v/>
      </c>
      <c r="Q2063" t="n">
        <v>0</v>
      </c>
      <c r="R2063" t="n">
        <v>0</v>
      </c>
      <c r="S2063">
        <f>IFERROR(O2063/N2063,0)</f>
        <v/>
      </c>
      <c r="T2063">
        <f>IF(C2063,(H2063*N2063*(B2083+IF(AND(Inputs!$B$38&lt;&gt;"pvp",Inputs!$B$43&gt;0),((Skills!G8*((R2057-1)*IF(Skills!H8&gt;0,Skills!I8/Skills!H8,1)+IF(Skills!H8&gt;0,MIN(Skills!I8,MAX(0,MAX(0,Inputs!$B$43-B2086)-((R2057-1)*(IF(Inputs!$B$38="pvp",15,MAX(0.1,Skills!D8-IF(Skills!E8=TRUE,Inputs!$B$32,0)))*(1-IF(AND(IF(ArtifactsInput!$M$27,FALSE,TRUE),Inputs!$B$4="Chapter Hunt"),CHOOSE(ArtifactsInput!$N$27+1,20,24,28,32,36,40),0)/100)))))/Skills!H8,1)))/Inputs!$B$43),G2057*Q2057)+IF(AND(Inputs!$B$38&lt;&gt;"pvp",Inputs!$B$43&gt;0),((Skills!G11*((R2060-1)*IF(Skills!H11&gt;0,Skills!I11/Skills!H11,1)+IF(Skills!H11&gt;0,MIN(Skills!I11,MAX(0,MAX(0,Inputs!$B$43-B2086)-((R2060-1)*(IF(Inputs!$B$38="pvp",15,MAX(0.1,Skills!D11-IF(Skills!E11=TRUE,Inputs!$B$32,0)))*(1-IF(AND(IF(ArtifactsInput!$M$27,FALSE,TRUE),Inputs!$B$4="Chapter Hunt"),CHOOSE(ArtifactsInput!$N$27+1,20,24,28,32,36,40),0)/100)))))/Skills!H11,1)))/Inputs!$B$43),G2060*Q2060)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2063*(1-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2063*(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2063*(1-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2063*(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3">
        <f>IF(C2063,(H2063*N2063*(B2083+IF(AND(Inputs!$B$38&lt;&gt;"pvp",Inputs!$B$43&gt;0),((Skills!G8*((R2057-1)*IF(Skills!H8&gt;0,Skills!I8/Skills!H8,1)+IF(Skills!H8&gt;0,MIN(Skills!I8,MAX(0,MAX(0,Inputs!$B$43-B2086)-((R2057-1)*(IF(Inputs!$B$38="pvp",15,MAX(0.1,Skills!D8-IF(Skills!E8=TRUE,Inputs!$B$32,0)))*(1-IF(AND(IF(ArtifactsInput!$M$27,FALSE,TRUE),Inputs!$B$4="Chapter Hunt"),CHOOSE(ArtifactsInput!$N$27+1,20,24,28,32,36,40),0)/100)))))/Skills!H8,1)))/Inputs!$B$43),G2057*Q2057)+IF(AND(Inputs!$B$38&lt;&gt;"pvp",Inputs!$B$43&gt;0),((Skills!G11*((R2060-1)*IF(Skills!H11&gt;0,Skills!I11/Skills!H11,1)+IF(Skills!H11&gt;0,MIN(Skills!I11,MAX(0,MAX(0,Inputs!$B$43-B2086)-((R2060-1)*(IF(Inputs!$B$38="pvp",15,MAX(0.1,Skills!D11-IF(Skills!E11=TRUE,Inputs!$B$32,0)))*(1-IF(AND(IF(ArtifactsInput!$M$27,FALSE,TRUE),Inputs!$B$4="Chapter Hunt"),CHOOSE(ArtifactsInput!$N$27+1,20,24,28,32,36,40),0)/100)))))/Skills!H11,1)))/Inputs!$B$43),G2060*Q2060)))*IF(Inputs!$B$38="pvp",1,(1+(Inputs!$B$21+Skills!Q14+(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4">
      <c r="A2064">
        <f>Skills!A15</f>
        <v/>
      </c>
      <c r="B2064">
        <f>Skills!B15</f>
        <v/>
      </c>
      <c r="C2064">
        <f>Inputs!$B$3&gt;=100</f>
        <v/>
      </c>
      <c r="D2064">
        <f>IF(Skills!C15=1,60+Inputs!$B$25+Inputs!$B$29,IF(Skills!C15=2,90+Inputs!$B$26+Inputs!$B$29,IF(Skills!C15=3,120+Inputs!$B$27+Inputs!$B$29,MAX(0,(Inputs!$B$3-100)*3)+Inputs!$B$28+Inputs!$B$29)))</f>
        <v/>
      </c>
      <c r="E2064">
        <f>INDEX(FactorTable!$B$2:$Y$301, MATCH(ROUND(MIN(300,MAX(1,D2064)),0), FactorTable!$A$2:$A$301,0), Skills!M15+1)</f>
        <v/>
      </c>
      <c r="F2064">
        <f>IF(Skills!N15=TRUE,(Skills!L15/10)*(E2064/1000),Skills!L15/10)+Skills!O15</f>
        <v/>
      </c>
      <c r="G2064" t="inlineStr"/>
      <c r="H2064" t="inlineStr"/>
      <c r="I2064" t="inlineStr">
        <is>
          <t>1</t>
        </is>
      </c>
      <c r="J2064" t="inlineStr"/>
      <c r="K2064" t="inlineStr"/>
      <c r="L2064" t="inlineStr"/>
      <c r="M2064" t="inlineStr"/>
      <c r="N2064" t="inlineStr"/>
      <c r="O2064" t="inlineStr"/>
      <c r="P2064" t="inlineStr"/>
      <c r="Q2064" t="inlineStr"/>
      <c r="R2064" t="inlineStr"/>
      <c r="S2064" t="inlineStr"/>
    </row>
    <row r="2065">
      <c r="A2065">
        <f>Skills!A16</f>
        <v/>
      </c>
      <c r="B2065">
        <f>Skills!B16</f>
        <v/>
      </c>
      <c r="C2065">
        <f>Inputs!$B$3&gt;=120</f>
        <v/>
      </c>
      <c r="D2065">
        <f>IF(Skills!C16=1,60+Inputs!$B$25+Inputs!$B$29,IF(Skills!C16=2,90+Inputs!$B$26+Inputs!$B$29,IF(Skills!C16=3,120+Inputs!$B$27+Inputs!$B$29,MAX(0,(Inputs!$B$3-100)*3)+Inputs!$B$28+Inputs!$B$29)))</f>
        <v/>
      </c>
      <c r="E2065">
        <f>INDEX(FactorTable!$B$2:$Y$301, MATCH(ROUND(MIN(300,MAX(1,D2065)),0), FactorTable!$A$2:$A$301,0), Skills!M16+1)</f>
        <v/>
      </c>
      <c r="F2065">
        <f>IF(Skills!N16=TRUE,(Skills!L16/10)*(E2065/1000),Skills!L16/10)+Skills!O16</f>
        <v/>
      </c>
      <c r="G2065" t="inlineStr"/>
      <c r="H2065" t="inlineStr"/>
      <c r="I2065" t="inlineStr">
        <is>
          <t>1</t>
        </is>
      </c>
      <c r="J2065" t="inlineStr"/>
      <c r="K2065" t="inlineStr"/>
      <c r="L2065" t="inlineStr"/>
      <c r="M2065" t="inlineStr"/>
      <c r="N2065" t="inlineStr"/>
      <c r="O2065" t="inlineStr"/>
      <c r="P2065" t="inlineStr"/>
      <c r="Q2065" t="inlineStr"/>
      <c r="R2065" t="inlineStr"/>
      <c r="S2065" t="inlineStr"/>
    </row>
    <row r="2066">
      <c r="A2066">
        <f>Skills!A17</f>
        <v/>
      </c>
      <c r="B2066">
        <f>Skills!B17</f>
        <v/>
      </c>
      <c r="C2066">
        <f>Inputs!$B$3&gt;=66</f>
        <v/>
      </c>
      <c r="D2066">
        <f>IF(Skills!C17=1,60+Inputs!$B$25+Inputs!$B$29,IF(Skills!C17=2,90+Inputs!$B$26+Inputs!$B$29,IF(Skills!C17=3,120+Inputs!$B$27+Inputs!$B$29,MAX(0,(Inputs!$B$3-100)*3)+Inputs!$B$28+Inputs!$B$29)))</f>
        <v/>
      </c>
      <c r="E2066">
        <f>INDEX(FactorTable!$B$2:$Y$301, MATCH(ROUND(MIN(300,MAX(1,D2066)),0), FactorTable!$A$2:$A$301,0), Skills!M17+1)</f>
        <v/>
      </c>
      <c r="F2066">
        <f>IF(Skills!N17=TRUE,(Skills!L17/10)*(E2066/1000),Skills!L17/10)+Skills!O17</f>
        <v/>
      </c>
      <c r="G2066">
        <f>Skills!G17*IF(Skills!H17&gt;0,Skills!I17/Skills!H17,1)</f>
        <v/>
      </c>
      <c r="H2066">
        <f>1-(1-Skills!J17/100)^Skills!K17</f>
        <v/>
      </c>
      <c r="I2066" t="inlineStr">
        <is>
          <t>1</t>
        </is>
      </c>
      <c r="J2066" t="inlineStr"/>
      <c r="K2066" t="inlineStr"/>
      <c r="L2066" t="inlineStr"/>
      <c r="M2066" t="inlineStr"/>
      <c r="N2066" t="inlineStr"/>
      <c r="O2066">
        <f>(1-Summary!$B$11)*T2066+Summary!$B$11*V2066</f>
        <v/>
      </c>
      <c r="P2066">
        <f>IF(B2089=0,0,O2066/B2089)</f>
        <v/>
      </c>
      <c r="Q2066" t="n">
        <v>0</v>
      </c>
      <c r="R2066" t="n">
        <v>0</v>
      </c>
      <c r="S2066">
        <f>IFERROR(O2066/N2066,0)</f>
        <v/>
      </c>
      <c r="T2066" t="n">
        <v>0</v>
      </c>
      <c r="V2066" t="n">
        <v>0</v>
      </c>
    </row>
    <row r="2067">
      <c r="A2067">
        <f>Skills!A18</f>
        <v/>
      </c>
      <c r="B2067">
        <f>Skills!B18</f>
        <v/>
      </c>
      <c r="C2067">
        <f>Inputs!$B$3&gt;=115</f>
        <v/>
      </c>
      <c r="D2067">
        <f>IF(Skills!C18=1,60+Inputs!$B$25+Inputs!$B$29,IF(Skills!C18=2,90+Inputs!$B$26+Inputs!$B$29,IF(Skills!C18=3,120+Inputs!$B$27+Inputs!$B$29,MAX(0,(Inputs!$B$3-100)*3)+Inputs!$B$28+Inputs!$B$29)))</f>
        <v/>
      </c>
      <c r="E2067">
        <f>INDEX(FactorTable!$B$2:$Y$301, MATCH(ROUND(MIN(300,MAX(1,D2067)),0), FactorTable!$A$2:$A$301,0), Skills!M18+1)</f>
        <v/>
      </c>
      <c r="F2067">
        <f>IF(Skills!N18=TRUE,(Skills!L18/10)*(E2067/1000),Skills!L18/10)+Skills!O18</f>
        <v/>
      </c>
      <c r="G2067">
        <f>Skills!G18*IF(Skills!H18&gt;0,Skills!I18/Skills!H18,1)</f>
        <v/>
      </c>
      <c r="H2067">
        <f>1-(1-Skills!J18/100)^Skills!K18</f>
        <v/>
      </c>
      <c r="I2067" t="inlineStr">
        <is>
          <t>1</t>
        </is>
      </c>
      <c r="J2067" t="inlineStr"/>
      <c r="K2067" t="inlineStr"/>
      <c r="L2067" t="inlineStr"/>
      <c r="M2067" t="inlineStr"/>
      <c r="N2067" t="inlineStr"/>
      <c r="O2067">
        <f>(1-Summary!$B$11)*T2067+Summary!$B$11*V2067</f>
        <v/>
      </c>
      <c r="P2067">
        <f>IF(B2089=0,0,O2067/B2089)</f>
        <v/>
      </c>
      <c r="Q2067" t="n">
        <v>0</v>
      </c>
      <c r="R2067" t="n">
        <v>0</v>
      </c>
      <c r="S2067">
        <f>IFERROR(O2067/N2067,0)</f>
        <v/>
      </c>
      <c r="T2067" t="n">
        <v>0</v>
      </c>
      <c r="V2067" t="n">
        <v>0</v>
      </c>
    </row>
    <row r="2068">
      <c r="A2068">
        <f>Skills!A19</f>
        <v/>
      </c>
      <c r="B2068">
        <f>Skills!B19</f>
        <v/>
      </c>
      <c r="C2068">
        <f>Inputs!$B$3&gt;=15</f>
        <v/>
      </c>
      <c r="D2068">
        <f>IF(Skills!C19=1,60+Inputs!$B$25+Inputs!$B$29,IF(Skills!C19=2,90+Inputs!$B$26+Inputs!$B$29,IF(Skills!C19=3,120+Inputs!$B$27+Inputs!$B$29,MAX(0,(Inputs!$B$3-100)*3)+Inputs!$B$28+Inputs!$B$29)))</f>
        <v/>
      </c>
      <c r="E2068">
        <f>INDEX(FactorTable!$B$2:$Y$301, MATCH(ROUND(MIN(300,MAX(1,D2068)),0), FactorTable!$A$2:$A$301,0), Skills!M19+1)</f>
        <v/>
      </c>
      <c r="F2068">
        <f>IF(Skills!N19=TRUE,(Skills!L19/10)*(E2068/1000),Skills!L19/10)+Skills!O19</f>
        <v/>
      </c>
      <c r="G2068">
        <f>Skills!G19*IF(Skills!H19&gt;0,Skills!I19/Skills!H19,1)</f>
        <v/>
      </c>
      <c r="H2068">
        <f>1-(1-Skills!J19/100)^Skills!K19</f>
        <v/>
      </c>
      <c r="I2068" t="inlineStr">
        <is>
          <t>1</t>
        </is>
      </c>
      <c r="J2068" t="inlineStr"/>
      <c r="K2068" t="inlineStr"/>
      <c r="L2068" t="inlineStr"/>
      <c r="M2068" t="inlineStr"/>
      <c r="N2068" t="inlineStr"/>
      <c r="O2068">
        <f>(1-Summary!$B$11)*T2068+Summary!$B$11*V2068</f>
        <v/>
      </c>
      <c r="P2068">
        <f>IF(B2089=0,0,O2068/B2089)</f>
        <v/>
      </c>
      <c r="Q2068" t="n">
        <v>0</v>
      </c>
      <c r="R2068" t="n">
        <v>0</v>
      </c>
      <c r="S2068">
        <f>IFERROR(O2068/N2068,0)</f>
        <v/>
      </c>
      <c r="T2068" t="n">
        <v>0</v>
      </c>
      <c r="V2068" t="n">
        <v>0</v>
      </c>
    </row>
    <row r="2069">
      <c r="A2069">
        <f>Skills!A20</f>
        <v/>
      </c>
      <c r="B2069">
        <f>Skills!B20</f>
        <v/>
      </c>
      <c r="C2069">
        <f>Inputs!$B$3&gt;=10</f>
        <v/>
      </c>
      <c r="D2069">
        <f>IF(Skills!C20=1,60+Inputs!$B$25+Inputs!$B$29,IF(Skills!C20=2,90+Inputs!$B$26+Inputs!$B$29,IF(Skills!C20=3,120+Inputs!$B$27+Inputs!$B$29,MAX(0,(Inputs!$B$3-100)*3)+Inputs!$B$28+Inputs!$B$29)))</f>
        <v/>
      </c>
      <c r="E2069">
        <f>INDEX(FactorTable!$B$2:$Y$301, MATCH(ROUND(MIN(300,MAX(1,D2069)),0), FactorTable!$A$2:$A$301,0), Skills!M20+1)</f>
        <v/>
      </c>
      <c r="F2069">
        <f>IF(Skills!N20=TRUE,(Skills!L20/10)*(E2069/1000),Skills!L20/10)+Skills!O20</f>
        <v/>
      </c>
      <c r="G2069">
        <f>Skills!G20*IF(Skills!H20&gt;0,Skills!I20/Skills!H20,1)</f>
        <v/>
      </c>
      <c r="H2069">
        <f>1-(1-Skills!J20/100)^Skills!K20</f>
        <v/>
      </c>
      <c r="I2069" t="inlineStr">
        <is>
          <t>1</t>
        </is>
      </c>
      <c r="J2069" t="inlineStr"/>
      <c r="K2069" t="inlineStr"/>
      <c r="L2069" t="inlineStr"/>
      <c r="M2069" t="inlineStr"/>
      <c r="N2069" t="inlineStr"/>
      <c r="O2069">
        <f>(1-Summary!$B$11)*T2069+Summary!$B$11*V2069</f>
        <v/>
      </c>
      <c r="P2069">
        <f>IF(B2089=0,0,O2069/B2089)</f>
        <v/>
      </c>
      <c r="Q2069" t="n">
        <v>0</v>
      </c>
      <c r="R2069" t="n">
        <v>0</v>
      </c>
      <c r="S2069">
        <f>IFERROR(O2069/N2069,0)</f>
        <v/>
      </c>
      <c r="T2069" t="n">
        <v>0</v>
      </c>
      <c r="V2069" t="n">
        <v>0</v>
      </c>
    </row>
    <row r="2070">
      <c r="A2070">
        <f>Skills!A21</f>
        <v/>
      </c>
      <c r="B2070">
        <f>Skills!B21</f>
        <v/>
      </c>
      <c r="C2070">
        <f>Inputs!$B$3&gt;=33</f>
        <v/>
      </c>
      <c r="D2070">
        <f>IF(Skills!C21=1,60+Inputs!$B$25+Inputs!$B$29,IF(Skills!C21=2,90+Inputs!$B$26+Inputs!$B$29,IF(Skills!C21=3,120+Inputs!$B$27+Inputs!$B$29,MAX(0,(Inputs!$B$3-100)*3)+Inputs!$B$28+Inputs!$B$29)))</f>
        <v/>
      </c>
      <c r="E2070">
        <f>INDEX(FactorTable!$B$2:$Y$301, MATCH(ROUND(MIN(300,MAX(1,D2070)),0), FactorTable!$A$2:$A$301,0), Skills!M21+1)</f>
        <v/>
      </c>
      <c r="F2070">
        <f>IF(Skills!N21=TRUE,(Skills!L21/10)*(E2070/1000),Skills!L21/10)+Skills!O21</f>
        <v/>
      </c>
      <c r="G2070">
        <f>Skills!G21*IF(Skills!H21&gt;0,Skills!I21/Skills!H21,1)</f>
        <v/>
      </c>
      <c r="H2070">
        <f>1-(1-Skills!J21/100)^Skills!K21</f>
        <v/>
      </c>
      <c r="I2070" t="inlineStr">
        <is>
          <t>1</t>
        </is>
      </c>
      <c r="J2070" t="inlineStr"/>
      <c r="K2070" t="inlineStr"/>
      <c r="L2070" t="inlineStr"/>
      <c r="M2070" t="inlineStr"/>
      <c r="N2070" t="inlineStr"/>
      <c r="O2070">
        <f>(1-Summary!$B$11)*T2070+Summary!$B$11*V2070</f>
        <v/>
      </c>
      <c r="P2070">
        <f>IF(B2089=0,0,O2070/B2089)</f>
        <v/>
      </c>
      <c r="Q2070" t="n">
        <v>0</v>
      </c>
      <c r="R2070" t="n">
        <v>0</v>
      </c>
      <c r="S2070">
        <f>IFERROR(O2070/N2070,0)</f>
        <v/>
      </c>
      <c r="T2070" t="n">
        <v>0</v>
      </c>
      <c r="V2070" t="n">
        <v>0</v>
      </c>
    </row>
    <row r="2071">
      <c r="A2071">
        <f>Skills!A22</f>
        <v/>
      </c>
      <c r="B2071">
        <f>Skills!B22</f>
        <v/>
      </c>
      <c r="C2071">
        <f>Inputs!$B$3&gt;=43</f>
        <v/>
      </c>
      <c r="D2071">
        <f>IF(Skills!C22=1,60+Inputs!$B$25+Inputs!$B$29,IF(Skills!C22=2,90+Inputs!$B$26+Inputs!$B$29,IF(Skills!C22=3,120+Inputs!$B$27+Inputs!$B$29,MAX(0,(Inputs!$B$3-100)*3)+Inputs!$B$28+Inputs!$B$29)))</f>
        <v/>
      </c>
      <c r="E2071">
        <f>INDEX(FactorTable!$B$2:$Y$301, MATCH(ROUND(MIN(300,MAX(1,D2071)),0), FactorTable!$A$2:$A$301,0), Skills!M22+1)</f>
        <v/>
      </c>
      <c r="F2071">
        <f>IF(Skills!N22=TRUE,(Skills!L22/10)*(E2071/1000),Skills!L22/10)+Skills!O22</f>
        <v/>
      </c>
      <c r="G2071">
        <f>Skills!G22*IF(Skills!H22&gt;0,Skills!I22/Skills!H22,1)</f>
        <v/>
      </c>
      <c r="H2071">
        <f>1-(1-Skills!J22/100)^Skills!K22</f>
        <v/>
      </c>
      <c r="I2071" t="inlineStr">
        <is>
          <t>1</t>
        </is>
      </c>
      <c r="J2071" t="inlineStr"/>
      <c r="K2071" t="inlineStr"/>
      <c r="L2071" t="inlineStr"/>
      <c r="M2071" t="inlineStr"/>
      <c r="N2071" t="inlineStr"/>
      <c r="O2071">
        <f>(1-Summary!$B$11)*T2071+Summary!$B$11*V2071</f>
        <v/>
      </c>
      <c r="P2071">
        <f>IF(B2089=0,0,O2071/B2089)</f>
        <v/>
      </c>
      <c r="Q2071" t="n">
        <v>0</v>
      </c>
      <c r="R2071" t="n">
        <v>0</v>
      </c>
      <c r="S2071">
        <f>IFERROR(O2071/N2071,0)</f>
        <v/>
      </c>
      <c r="T2071" t="n">
        <v>0</v>
      </c>
      <c r="V2071" t="n">
        <v>0</v>
      </c>
    </row>
    <row r="2072">
      <c r="A2072">
        <f>Skills!A23</f>
        <v/>
      </c>
      <c r="B2072">
        <f>Skills!B23</f>
        <v/>
      </c>
      <c r="C2072">
        <f>Inputs!$B$3&gt;=38</f>
        <v/>
      </c>
      <c r="D2072">
        <f>IF(Skills!C23=1,60+Inputs!$B$25+Inputs!$B$29,IF(Skills!C23=2,90+Inputs!$B$26+Inputs!$B$29,IF(Skills!C23=3,120+Inputs!$B$27+Inputs!$B$29,MAX(0,(Inputs!$B$3-100)*3)+Inputs!$B$28+Inputs!$B$29)))</f>
        <v/>
      </c>
      <c r="E2072">
        <f>INDEX(FactorTable!$B$2:$Y$301, MATCH(ROUND(MIN(300,MAX(1,D2072)),0), FactorTable!$A$2:$A$301,0), Skills!M23+1)</f>
        <v/>
      </c>
      <c r="F2072">
        <f>IF(Skills!N23=TRUE,(Skills!L23/10)*(E2072/1000),Skills!L23/10)+Skills!O23</f>
        <v/>
      </c>
      <c r="G2072">
        <f>Skills!G23*IF(Skills!H23&gt;0,Skills!I23/Skills!H23,1)</f>
        <v/>
      </c>
      <c r="H2072">
        <f>1-(1-Skills!J23/100)^Skills!K23</f>
        <v/>
      </c>
      <c r="I2072" t="inlineStr">
        <is>
          <t>1</t>
        </is>
      </c>
      <c r="J2072" t="inlineStr"/>
      <c r="K2072" t="inlineStr"/>
      <c r="L2072" t="inlineStr"/>
      <c r="M2072" t="inlineStr"/>
      <c r="N2072" t="inlineStr"/>
      <c r="O2072">
        <f>(1-Summary!$B$11)*T2072+Summary!$B$11*V2072</f>
        <v/>
      </c>
      <c r="P2072">
        <f>IF(B2089=0,0,O2072/B2089)</f>
        <v/>
      </c>
      <c r="Q2072" t="n">
        <v>0</v>
      </c>
      <c r="R2072" t="n">
        <v>0</v>
      </c>
      <c r="S2072">
        <f>IFERROR(O2072/N2072,0)</f>
        <v/>
      </c>
      <c r="T2072" t="n">
        <v>0</v>
      </c>
      <c r="V2072" t="n">
        <v>0</v>
      </c>
    </row>
    <row r="2073">
      <c r="A2073">
        <f>Skills!A24</f>
        <v/>
      </c>
      <c r="B2073">
        <f>Skills!B24</f>
        <v/>
      </c>
      <c r="C2073">
        <f>Inputs!$B$3&gt;=40</f>
        <v/>
      </c>
      <c r="D2073">
        <f>IF(Skills!C24=1,60+Inputs!$B$25+Inputs!$B$29,IF(Skills!C24=2,90+Inputs!$B$26+Inputs!$B$29,IF(Skills!C24=3,120+Inputs!$B$27+Inputs!$B$29,MAX(0,(Inputs!$B$3-100)*3)+Inputs!$B$28+Inputs!$B$29)))</f>
        <v/>
      </c>
      <c r="E2073">
        <f>INDEX(FactorTable!$B$2:$Y$301, MATCH(ROUND(MIN(300,MAX(1,D2073)),0), FactorTable!$A$2:$A$301,0), Skills!M24+1)</f>
        <v/>
      </c>
      <c r="F2073">
        <f>IF(Skills!N24=TRUE,(Skills!L24/10)*(E2073/1000),Skills!L24/10)+Skills!O24</f>
        <v/>
      </c>
      <c r="G2073">
        <f>Skills!G24*IF(Skills!H24&gt;0,Skills!I24/Skills!H24,1)</f>
        <v/>
      </c>
      <c r="H2073">
        <f>1-(1-Skills!J24/100)^Skills!K24</f>
        <v/>
      </c>
      <c r="I2073" t="inlineStr">
        <is>
          <t>1</t>
        </is>
      </c>
      <c r="J2073" t="inlineStr"/>
      <c r="K2073" t="inlineStr"/>
      <c r="L2073" t="inlineStr"/>
      <c r="M2073" t="inlineStr"/>
      <c r="N2073" t="inlineStr"/>
      <c r="O2073">
        <f>(1-Summary!$B$11)*T2073+Summary!$B$11*V2073</f>
        <v/>
      </c>
      <c r="P2073">
        <f>IF(B2089=0,0,O2073/B2089)</f>
        <v/>
      </c>
      <c r="Q2073" t="n">
        <v>0</v>
      </c>
      <c r="R2073" t="n">
        <v>0</v>
      </c>
      <c r="S2073">
        <f>IFERROR(O2073/N2073,0)</f>
        <v/>
      </c>
      <c r="T2073" t="n">
        <v>0</v>
      </c>
      <c r="V2073" t="n">
        <v>0</v>
      </c>
    </row>
    <row r="2074">
      <c r="A2074">
        <f>Skills!A25</f>
        <v/>
      </c>
      <c r="B2074">
        <f>Skills!B25</f>
        <v/>
      </c>
      <c r="C2074">
        <f>Inputs!$B$3&gt;=72</f>
        <v/>
      </c>
      <c r="D2074">
        <f>IF(Skills!C25=1,60+Inputs!$B$25+Inputs!$B$29,IF(Skills!C25=2,90+Inputs!$B$26+Inputs!$B$29,IF(Skills!C25=3,120+Inputs!$B$27+Inputs!$B$29,MAX(0,(Inputs!$B$3-100)*3)+Inputs!$B$28+Inputs!$B$29)))</f>
        <v/>
      </c>
      <c r="E2074">
        <f>INDEX(FactorTable!$B$2:$Y$301, MATCH(ROUND(MIN(300,MAX(1,D2074)),0), FactorTable!$A$2:$A$301,0), Skills!M25+1)</f>
        <v/>
      </c>
      <c r="F2074">
        <f>IF(Skills!N25=TRUE,(Skills!L25/10)*(E2074/1000),Skills!L25/10)+Skills!O25</f>
        <v/>
      </c>
      <c r="G2074">
        <f>Skills!G25*IF(Skills!H25&gt;0,Skills!I25/Skills!H25,1)</f>
        <v/>
      </c>
      <c r="H2074">
        <f>1-(1-Skills!J25/100)^Skills!K25</f>
        <v/>
      </c>
      <c r="I2074" t="inlineStr">
        <is>
          <t>1</t>
        </is>
      </c>
      <c r="J2074" t="inlineStr"/>
      <c r="K2074" t="inlineStr"/>
      <c r="L2074" t="inlineStr"/>
      <c r="M2074" t="inlineStr"/>
      <c r="N2074" t="inlineStr"/>
      <c r="O2074">
        <f>(1-Summary!$B$11)*T2074+Summary!$B$11*V2074</f>
        <v/>
      </c>
      <c r="P2074">
        <f>IF(B2089=0,0,O2074/B2089)</f>
        <v/>
      </c>
      <c r="Q2074" t="n">
        <v>0</v>
      </c>
      <c r="R2074" t="n">
        <v>0</v>
      </c>
      <c r="S2074">
        <f>IFERROR(O2074/N2074,0)</f>
        <v/>
      </c>
      <c r="T2074" t="n">
        <v>0</v>
      </c>
      <c r="V2074" t="n">
        <v>0</v>
      </c>
    </row>
    <row r="2075">
      <c r="A2075">
        <f>Skills!A26</f>
        <v/>
      </c>
      <c r="B2075">
        <f>Skills!B26</f>
        <v/>
      </c>
      <c r="C2075">
        <f>Inputs!$B$3&gt;=75</f>
        <v/>
      </c>
      <c r="D2075">
        <f>IF(Skills!C26=1,60+Inputs!$B$25+Inputs!$B$29,IF(Skills!C26=2,90+Inputs!$B$26+Inputs!$B$29,IF(Skills!C26=3,120+Inputs!$B$27+Inputs!$B$29,MAX(0,(Inputs!$B$3-100)*3)+Inputs!$B$28+Inputs!$B$29)))</f>
        <v/>
      </c>
      <c r="E2075">
        <f>INDEX(FactorTable!$B$2:$Y$301, MATCH(ROUND(MIN(300,MAX(1,D2075)),0), FactorTable!$A$2:$A$301,0), Skills!M26+1)</f>
        <v/>
      </c>
      <c r="F2075">
        <f>IF(Skills!N26=TRUE,(Skills!L26/10)*(E2075/1000),Skills!L26/10)+Skills!O26</f>
        <v/>
      </c>
      <c r="G2075">
        <f>Skills!G26*IF(Skills!H26&gt;0,Skills!I26/Skills!H26,1)</f>
        <v/>
      </c>
      <c r="H2075">
        <f>1-(1-Skills!J26/100)^Skills!K26</f>
        <v/>
      </c>
      <c r="I2075" t="inlineStr">
        <is>
          <t>1</t>
        </is>
      </c>
      <c r="J2075" t="inlineStr"/>
      <c r="K2075" t="inlineStr"/>
      <c r="L2075" t="inlineStr"/>
      <c r="M2075" t="inlineStr"/>
      <c r="N2075" t="inlineStr"/>
      <c r="O2075">
        <f>(1-Summary!$B$11)*T2075+Summary!$B$11*V2075</f>
        <v/>
      </c>
      <c r="P2075">
        <f>IF(B2089=0,0,O2075/B2089)</f>
        <v/>
      </c>
      <c r="Q2075" t="n">
        <v>0</v>
      </c>
      <c r="R2075" t="n">
        <v>0</v>
      </c>
      <c r="S2075">
        <f>IFERROR(O2075/N2075,0)</f>
        <v/>
      </c>
      <c r="T2075" t="n">
        <v>0</v>
      </c>
      <c r="V2075" t="n">
        <v>0</v>
      </c>
    </row>
    <row r="2076">
      <c r="A2076">
        <f>Skills!A27</f>
        <v/>
      </c>
      <c r="B2076">
        <f>Skills!B27</f>
        <v/>
      </c>
      <c r="C2076">
        <f>Inputs!$B$3&gt;=117</f>
        <v/>
      </c>
      <c r="D2076">
        <f>IF(Skills!C27=1,60+Inputs!$B$25+Inputs!$B$29,IF(Skills!C27=2,90+Inputs!$B$26+Inputs!$B$29,IF(Skills!C27=3,120+Inputs!$B$27+Inputs!$B$29,MAX(0,(Inputs!$B$3-100)*3)+Inputs!$B$28+Inputs!$B$29)))</f>
        <v/>
      </c>
      <c r="E2076">
        <f>INDEX(FactorTable!$B$2:$Y$301, MATCH(ROUND(MIN(300,MAX(1,D2076)),0), FactorTable!$A$2:$A$301,0), Skills!M27+1)</f>
        <v/>
      </c>
      <c r="F2076">
        <f>IF(Skills!N27=TRUE,(Skills!L27/10)*(E2076/1000),Skills!L27/10)+Skills!O27</f>
        <v/>
      </c>
      <c r="G2076">
        <f>Skills!G27*IF(Skills!H27&gt;0,Skills!I27/Skills!H27,1)</f>
        <v/>
      </c>
      <c r="H2076">
        <f>1-(1-Skills!J27/100)^Skills!K27</f>
        <v/>
      </c>
      <c r="I2076" t="inlineStr">
        <is>
          <t>1</t>
        </is>
      </c>
      <c r="J2076" t="inlineStr"/>
      <c r="K2076" t="inlineStr"/>
      <c r="L2076" t="inlineStr"/>
      <c r="M2076" t="inlineStr"/>
      <c r="N2076" t="inlineStr"/>
      <c r="O2076">
        <f>(1-Summary!$B$11)*T2076+Summary!$B$11*V2076</f>
        <v/>
      </c>
      <c r="P2076">
        <f>IF(B2089=0,0,O2076/B2089)</f>
        <v/>
      </c>
      <c r="Q2076" t="n">
        <v>0</v>
      </c>
      <c r="R2076" t="n">
        <v>0</v>
      </c>
      <c r="S2076">
        <f>IFERROR(O2076/N2076,0)</f>
        <v/>
      </c>
      <c r="T2076" t="n">
        <v>0</v>
      </c>
      <c r="V2076" t="n">
        <v>0</v>
      </c>
    </row>
    <row r="2078">
      <c r="A2078" t="inlineStr">
        <is>
          <t>Attack% Bucket Multiplier</t>
        </is>
      </c>
      <c r="B2078">
        <f>(1+(((C2066=TRUE)*F2066)+((C2073=TRUE)*(F2073-Calc!F24))+(IF(ArtifactsInput!$M$21,CHOOSE(ArtifactsInput!$N$21+1,25,30,35,40,45,50)*(IF(OR(Inputs!$B$4="Chapter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79">
      <c r="A2079" t="inlineStr">
        <is>
          <t>Global Crit Rate Bonus %</t>
        </is>
      </c>
      <c r="B2079" t="n">
        <v>0</v>
      </c>
    </row>
    <row r="2080">
      <c r="A2080" t="inlineStr">
        <is>
          <t>Attack Speed Buff Bonus % (unused)</t>
        </is>
      </c>
      <c r="B2080" t="n">
        <v>0</v>
      </c>
    </row>
    <row r="2081">
      <c r="A2081" t="inlineStr">
        <is>
          <t>Actions Per Second</t>
        </is>
      </c>
      <c r="B2081">
        <f>1+MIN(150,150*(1-(1-(Inputs!$B$11+((C2069=TRUE)*(F2069-Calc!F20))+((C2070=TRUE)*(F2070-Calc!F21)))/150)*(1-B2080/150)))/100</f>
        <v/>
      </c>
    </row>
    <row r="2082">
      <c r="A2082" t="inlineStr">
        <is>
          <t>Skill + Buff Cast Rate</t>
        </is>
      </c>
      <c r="B2082">
        <f>IF(AND(Inputs!$B$38&lt;&gt;"pvp",Inputs!$B$43&gt;0),SUMPRODUCT((Skills!E2:E27=TRUE)*(C2051:C2076=TRUE)*R2051:R2076*Skills!F2:F27)/Inputs!$B$43,SUMPRODUCT((Skills!E2:E27=TRUE)*(C2051:C2076=TRUE)*Q2051:Q2076*Skills!F2:F27))</f>
        <v/>
      </c>
    </row>
    <row r="2083">
      <c r="A2083" t="inlineStr">
        <is>
          <t>Eight-Legs Easton Casts Per Second</t>
        </is>
      </c>
      <c r="B2083">
        <f>MAX(0,B2081-B2082)</f>
        <v/>
      </c>
    </row>
    <row r="2084">
      <c r="A2084" t="inlineStr">
        <is>
          <t>Global Critical Damage Bonus % (unused)</t>
        </is>
      </c>
      <c r="B2084" t="n">
        <v>0</v>
      </c>
    </row>
    <row r="2085">
      <c r="A2085" t="inlineStr">
        <is>
          <t>Global Final Damage Bonus % (Jolly Roger only)</t>
        </is>
      </c>
      <c r="B2085">
        <f>((C2067=TRUE)*F2067)</f>
        <v/>
      </c>
    </row>
    <row r="2086">
      <c r="A2086" t="inlineStr">
        <is>
          <t>Buff-Casting Startup Delay (s, fixed-duration only)</t>
        </is>
      </c>
      <c r="B2086">
        <f>IF(AND(Inputs!$B$38&lt;&gt;"pvp",Inputs!$B$43&gt;0),SUMPRODUCT((Skills!T2:T27&gt;0)*(Skills!E2:E27=TRUE)*(C2051:C2076=TRUE))/B2081,0)</f>
        <v/>
      </c>
    </row>
    <row r="2087">
      <c r="A2087" t="inlineStr">
        <is>
          <t>Boss-Only Total DPS (this block's swept value)</t>
        </is>
      </c>
      <c r="B2087">
        <f>SUM(T2051:T2076)</f>
        <v/>
      </c>
    </row>
    <row r="2088">
      <c r="A2088" t="inlineStr">
        <is>
          <t>Normal-Only Total DPS (this block's swept value)</t>
        </is>
      </c>
      <c r="B2088">
        <f>SUM(V2051:V2076)</f>
        <v/>
      </c>
    </row>
    <row r="2089">
      <c r="A2089" s="6" t="inlineStr">
        <is>
          <t>TOTAL DPS</t>
        </is>
      </c>
      <c r="B2089" s="6">
        <f>SUM(O2051:O2076)</f>
        <v/>
      </c>
    </row>
    <row r="2092">
      <c r="A2092" s="6" t="inlineStr">
        <is>
          <t>Stat: Lit Lamp (Equip)</t>
        </is>
      </c>
    </row>
    <row r="2093">
      <c r="A2093" s="5" t="inlineStr">
        <is>
          <t>Key</t>
        </is>
      </c>
      <c r="B2093" s="5" t="inlineStr">
        <is>
          <t>Name</t>
        </is>
      </c>
      <c r="C2093" s="5" t="inlineStr">
        <is>
          <t>Unlocked</t>
        </is>
      </c>
      <c r="D2093" s="5" t="inlineStr">
        <is>
          <t>InputLevel</t>
        </is>
      </c>
      <c r="E2093" s="5" t="inlineStr">
        <is>
          <t>Factor</t>
        </is>
      </c>
      <c r="F2093" s="5" t="inlineStr">
        <is>
          <t>CoefficientPercent</t>
        </is>
      </c>
      <c r="G2093" s="5" t="inlineStr">
        <is>
          <t>EffectiveHits</t>
        </is>
      </c>
      <c r="H2093" s="5" t="inlineStr">
        <is>
          <t>ProcProbability</t>
        </is>
      </c>
      <c r="I2093" s="5" t="inlineStr">
        <is>
          <t>MapleHeroMultiplier</t>
        </is>
      </c>
      <c r="J2093" s="5" t="inlineStr">
        <is>
          <t>BaseDamage</t>
        </is>
      </c>
      <c r="K2093" s="5" t="inlineStr">
        <is>
          <t>BaseHitDamage</t>
        </is>
      </c>
      <c r="L2093" s="5" t="inlineStr">
        <is>
          <t>NonCritAvg</t>
        </is>
      </c>
      <c r="M2093" s="5" t="inlineStr">
        <is>
          <t>CritAvg</t>
        </is>
      </c>
      <c r="N2093" s="5" t="inlineStr">
        <is>
          <t>ExpectedDamage(perHit)</t>
        </is>
      </c>
      <c r="O2093" s="5" t="inlineStr">
        <is>
          <t>DPS</t>
        </is>
      </c>
      <c r="P2093" s="5" t="inlineStr">
        <is>
          <t>% of Total</t>
        </is>
      </c>
      <c r="Q2093" s="5" t="inlineStr">
        <is>
          <t>InvCooldown</t>
        </is>
      </c>
      <c r="R2093" s="5" t="inlineStr">
        <is>
          <t>CastsInFight</t>
        </is>
      </c>
      <c r="S2093" s="5" t="inlineStr">
        <is>
          <t>HitRate(perSec)</t>
        </is>
      </c>
      <c r="U2093" t="inlineStr">
        <is>
          <t>helpers</t>
        </is>
      </c>
    </row>
    <row r="2094">
      <c r="A2094">
        <f>Skills!A2</f>
        <v/>
      </c>
      <c r="B2094">
        <f>Skills!B2</f>
        <v/>
      </c>
      <c r="C2094">
        <f>Inputs!$B$3&gt;=100</f>
        <v/>
      </c>
      <c r="D2094" t="inlineStr"/>
      <c r="E2094" t="inlineStr"/>
      <c r="F2094">
        <f>U2096+Skills!O2</f>
        <v/>
      </c>
      <c r="G2094">
        <f>Skills!G2*IF(Skills!H2&gt;0,Skills!I2/Skills!H2,1)</f>
        <v/>
      </c>
      <c r="H2094">
        <f>1-(1-Skills!J2/100)^Skills!K2</f>
        <v/>
      </c>
      <c r="I2094" t="inlineStr">
        <is>
          <t>1</t>
        </is>
      </c>
      <c r="J2094">
        <f>((Inputs!$B$6*(1+Inputs!$B$7/100))+(((Inputs!$B$12*(1+Inputs!$B$13/100))-(Inputs!$B$12*(1+Inputs!$B$13/100)))+0.25*(Inputs!$B$14-Inputs!$B$14))*(1+Inputs!$B$7/100))*(F2094/100)</f>
        <v/>
      </c>
      <c r="K2094">
        <f>J2094*(1+((Inputs!$B$12*(1+Inputs!$B$13/100))*0.01+Inputs!$B$14*0.0025)/100)*(1+Inputs!$B$15/100)*(1+Inputs!$B$16/100)*(5000/(6000+Inputs!$B$42*(1-(100*(1-(1-(Inputs!$B$19+0)/100)*(1-CHOOSE(ArtifactsInput!$N$40+1,5,6,7,8,9,10)/100)^(ArtifactsInput!$M$40-ArtifactsInput!$M$40)))/100)))*(1+(Inputs!$B$24+((C2118=TRUE)*(F2118-Calc!F26))+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2115=TRUE)*(F2115-Calc!F23))+((C2119=TRUE)*(F2119-Calc!F27))+(((IF(AND(ArtifactsInput!$M$42,((Inputs!$B$9+((C2111=TRUE)*(F2111-Calc!F19))+B2122+(ArtifactsInput!$M$24-ArtifactsInput!$M$24)*CHOOSE(ArtifactsInput!$N$24+1,10,12,14,16,18,20)+IF(ArtifactsInput!$M$10,CHOOSE(ArtifactsInput!$N$10+1,15,18,21,24,27,30)*(IF(Inputs!$B$38="pvp",MIN(15,15)/15,IF(AND(Inputs!$B$38&lt;&gt;"pvp",Inputs!$B$43&gt;0),MIN(15,Inputs!$B$43)/(Inputs!$B$43),0))),0)))&gt;=100),MIN(100,((Inputs!$B$9+((C2111=TRUE)*(F2111-Calc!F19))+B2122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2111=TRUE)*(F2111-Calc!F19))+B2122+(ArtifactsInput!$M$24-ArtifactsInput!$M$24)*CHOOSE(ArtifactsInput!$N$24+1,10,12,14,16,18,20)+IF(ArtifactsInput!$M$10,CHOOSE(ArtifactsInput!$N$10+1,15,18,21,24,27,30)*(IF(Inputs!$B$38="pvp",MIN(15,15)/15,IF(AND(Inputs!$B$38&lt;&gt;"pvp",Inputs!$B$43&gt;0),MIN(15,Inputs!$B$43)/(Inputs!$B$43),0))),0)))&gt;=100),CHOOSE(ArtifactsInput!$N$42+1,40,48,56,64,72,80),0))))/100)*((1+(((C2109=TRUE)*F2109)+((C2116=TRUE)*(F2116-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2094)</f>
        <v/>
      </c>
      <c r="L2094">
        <f>K2094*(MIN(Inputs!$B$22+((C2114=TRUE)*(F2114-Calc!F22)),(Inputs!$B$23+0+(IF(ArtifactsInput!$M$15,CHOOSE(ArtifactsInput!$N$15+1,25,30,35,40,45,50)/100*(Inputs!$B$11-Inputs!$B$11),0))))/100+(Inputs!$B$23+0+(IF(ArtifactsInput!$M$15,CHOOSE(ArtifactsInput!$N$15+1,25,30,35,40,45,50)/100*(Inputs!$B$11-Inputs!$B$11),0)))/100)/2</f>
        <v/>
      </c>
      <c r="M2094">
        <f>L2094*(1+(Inputs!$B$10+((C2117=TRUE)*(F2117-Calc!F25))+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4">
        <f>L2094*(1-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2094*(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4">
        <f>(1-Summary!$B$11)*T2094+Summary!$B$11*V2094</f>
        <v/>
      </c>
      <c r="P2094">
        <f>IF(B2132=0,0,O2094/B2132)</f>
        <v/>
      </c>
      <c r="Q2094" t="n">
        <v>0</v>
      </c>
      <c r="R2094" t="n">
        <v>0</v>
      </c>
      <c r="S2094">
        <f>IFERROR(O2094/N2094,0)</f>
        <v/>
      </c>
      <c r="T2094">
        <f>IF(C2094,(Skills!G2*N2094*B2126)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2094*(1-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2094*(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2094*(1-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2094*(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4">
        <f>MAX(0,(Inputs!$B$3-100)*3)+Inputs!$B$28+Inputs!$B$29</f>
        <v/>
      </c>
      <c r="V2094">
        <f>IF(C2094,(Skills!G2*N2094*B2126)*IF(Inputs!$B$38="pvp",1,(1+(Inputs!$B$21+Skills!Q2+(IF(ArtifactsInput!$M$33,CHOOSE(ArtifactsInput!$N$33+1,30,36,42,48,54,60),0))+(IF(AND(ArtifactsInput!$M$35,Inputs!$B$4&lt;&gt;"Chapter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5">
      <c r="A2095">
        <f>Skills!A3</f>
        <v/>
      </c>
      <c r="B2095">
        <f>Skills!B3</f>
        <v/>
      </c>
      <c r="C2095">
        <f>Inputs!$B$3&gt;=35</f>
        <v/>
      </c>
      <c r="D2095">
        <f>IF(Skills!C3=1,60+Inputs!$B$25+Inputs!$B$29,IF(Skills!C3=2,90+Inputs!$B$26+Inputs!$B$29,IF(Skills!C3=3,120+Inputs!$B$27+Inputs!$B$29,MAX(0,(Inputs!$B$3-100)*3)+Inputs!$B$28+Inputs!$B$29)))</f>
        <v/>
      </c>
      <c r="E2095">
        <f>INDEX(FactorTable!$B$2:$Y$301, MATCH(ROUND(MIN(300,MAX(1,D2095)),0), FactorTable!$A$2:$A$301,0), Skills!M3+1)</f>
        <v/>
      </c>
      <c r="F2095">
        <f>IF(Skills!N3=TRUE,(Skills!L3/10)*(E2095/1000),Skills!L3/10)+Skills!O3</f>
        <v/>
      </c>
      <c r="G2095">
        <f>Skills!G3*IF(Skills!H3&gt;0,Skills!I3/Skills!H3,1)</f>
        <v/>
      </c>
      <c r="H2095">
        <f>1-(1-Skills!J3/100)^Skills!K3</f>
        <v/>
      </c>
      <c r="I2095" t="inlineStr">
        <is>
          <t>1</t>
        </is>
      </c>
      <c r="J2095">
        <f>((Inputs!$B$6*(1+Inputs!$B$7/100))+(((Inputs!$B$12*(1+Inputs!$B$13/100))-(Inputs!$B$12*(1+Inputs!$B$13/100)))+0.25*(Inputs!$B$14-Inputs!$B$14))*(1+Inputs!$B$7/100))*(F2095/100)</f>
        <v/>
      </c>
      <c r="K2095">
        <f>J2095*(1+((Inputs!$B$12*(1+Inputs!$B$13/100))*0.01+Inputs!$B$14*0.0025)/100)*(1+Inputs!$B$15/100)*(1+Inputs!$B$16/100)*(5000/(6000+Inputs!$B$42*(1-(100*(1-(1-(Inputs!$B$19+0)/100)*(1-CHOOSE(ArtifactsInput!$N$40+1,5,6,7,8,9,10)/100)^(ArtifactsInput!$M$40-ArtifactsInput!$M$40)))/100)))*(1+(Inputs!$B$24+((C2118=TRUE)*(F2118-Calc!F26))+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2107=TRUE,F2107,0)/100)*(1+(IF(Skills!A3="EIGHT_LEGS_EASTON",Inputs!$B$17+((C2115=TRUE)*(F2115-Calc!F23))+((C2119=TRUE)*(F2119-Calc!F27))+(((IF(AND(ArtifactsInput!$M$42,((Inputs!$B$9+((C2111=TRUE)*(F2111-Calc!F19))+B2122+(ArtifactsInput!$M$24-ArtifactsInput!$M$24)*CHOOSE(ArtifactsInput!$N$24+1,10,12,14,16,18,20)+IF(ArtifactsInput!$M$10,CHOOSE(ArtifactsInput!$N$10+1,15,18,21,24,27,30)*(IF(Inputs!$B$38="pvp",MIN(15,15)/15,IF(AND(Inputs!$B$38&lt;&gt;"pvp",Inputs!$B$43&gt;0),MIN(15,Inputs!$B$43)/(Inputs!$B$43),0))),0)))&gt;=100),MIN(100,((Inputs!$B$9+((C2111=TRUE)*(F2111-Calc!F19))+B2122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2111=TRUE)*(F2111-Calc!F19))+B2122+(ArtifactsInput!$M$24-ArtifactsInput!$M$24)*CHOOSE(ArtifactsInput!$N$24+1,10,12,14,16,18,20)+IF(ArtifactsInput!$M$10,CHOOSE(ArtifactsInput!$N$10+1,15,18,21,24,27,30)*(IF(Inputs!$B$38="pvp",MIN(15,15)/15,IF(AND(Inputs!$B$38&lt;&gt;"pvp",Inputs!$B$43&gt;0),MIN(15,Inputs!$B$43)/(Inputs!$B$43),0))),0)))&gt;=100),CHOOSE(ArtifactsInput!$N$42+1,40,48,56,64,72,80),0))))/100)*((1+(((C2109=TRUE)*F2109)+((C2116=TRUE)*(F2116-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2095)</f>
        <v/>
      </c>
      <c r="L2095">
        <f>K2095*(MIN(Inputs!$B$22+((C2114=TRUE)*(F2114-Calc!F22)),(Inputs!$B$23+0+(IF(ArtifactsInput!$M$15,CHOOSE(ArtifactsInput!$N$15+1,25,30,35,40,45,50)/100*(Inputs!$B$11-Inputs!$B$11),0))))/100+(Inputs!$B$23+0+(IF(ArtifactsInput!$M$15,CHOOSE(ArtifactsInput!$N$15+1,25,30,35,40,45,50)/100*(Inputs!$B$11-Inputs!$B$11),0)))/100)/2</f>
        <v/>
      </c>
      <c r="M2095">
        <f>L2095*(1+(Inputs!$B$10+((C2117=TRUE)*(F2117-Calc!F25))+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5">
        <f>L2095*(1-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2095*(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5">
        <f>(1-Summary!$B$11)*T2095+Summary!$B$11*V2095</f>
        <v/>
      </c>
      <c r="P2095">
        <f>IF(B2132=0,0,O2095/B2132)</f>
        <v/>
      </c>
      <c r="Q2095">
        <f>IFERROR(1/(IF(Inputs!$B$38="pvp",15,MAX(0.1,Skills!D3-IF(Skills!E3=TRUE,Inputs!$B$32,0)))*(1-IF(AND(ArtifactsInput!$M$27,Inputs!$B$4="Chapter Hunt"),CHOOSE(ArtifactsInput!$N$27+1,20,24,28,32,36,40),0)/100)),0)</f>
        <v/>
      </c>
      <c r="R2095">
        <f>IF(AND(Inputs!$B$38&lt;&gt;"pvp",Inputs!$B$43&gt;0),IF(MAX(0,Inputs!$B$43-B2129)&lt;=0,0,(INT(MAX(0,Inputs!$B$43-B2129)/(IF(Inputs!$B$38="pvp",15,MAX(0.1,Skills!D3-IF(Skills!E3=TRUE,Inputs!$B$32,0)))*(1-IF(AND(ArtifactsInput!$M$27,Inputs!$B$4="Chapter Hunt"),CHOOSE(ArtifactsInput!$N$27+1,20,24,28,32,36,40),0)/100)))+1)),0)</f>
        <v/>
      </c>
      <c r="S2095">
        <f>IFERROR(O2095/N2095,0)</f>
        <v/>
      </c>
      <c r="T2095">
        <f>IF(C2095,(H2095*N2095*IF(AND(Inputs!$B$38&lt;&gt;"pvp",Inputs!$B$43&gt;0),((Skills!G3*((R2095-1)*IF(Skills!H3&gt;0,Skills!I3/Skills!H3,1)+IF(Skills!H3&gt;0,MIN(Skills!I3,MAX(0,MAX(0,Inputs!$B$43-B2129)-((R2095-1)*(IF(Inputs!$B$38="pvp",15,MAX(0.1,Skills!D3-IF(Skills!E3=TRUE,Inputs!$B$32,0)))*(1-IF(AND(ArtifactsInput!$M$27,Inputs!$B$4="Chapter Hunt"),CHOOSE(ArtifactsInput!$N$27+1,20,24,28,32,36,40),0)/100)))))/Skills!H3,1)))/Inputs!$B$43),G2095*Q2095)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2095*(1-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2095*(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2095*(1-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2095*(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5">
        <f>INDEX(FactorTable!$B$2:$Y$301, MATCH(ROUND(MIN(300,MAX(1,U2094)),0), FactorTable!$A$2:$A$301,0), 22)</f>
        <v/>
      </c>
      <c r="V2095">
        <f>IF(C2095,(H2095*N2095*IF(AND(Inputs!$B$38&lt;&gt;"pvp",Inputs!$B$43&gt;0),((Skills!G3*((R2095-1)*IF(Skills!H3&gt;0,Skills!I3/Skills!H3,1)+IF(Skills!H3&gt;0,MIN(Skills!I3,MAX(0,MAX(0,Inputs!$B$43-B2129)-((R2095-1)*(IF(Inputs!$B$38="pvp",15,MAX(0.1,Skills!D3-IF(Skills!E3=TRUE,Inputs!$B$32,0)))*(1-IF(AND(ArtifactsInput!$M$27,Inputs!$B$4="Chapter Hunt"),CHOOSE(ArtifactsInput!$N$27+1,20,24,28,32,36,40),0)/100)))))/Skills!H3,1)))/Inputs!$B$43),G2095*Q2095))*IF(Inputs!$B$38="pvp",1,(1+(Inputs!$B$21+Skills!Q3+(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6">
      <c r="A2096">
        <f>Skills!A4</f>
        <v/>
      </c>
      <c r="B2096">
        <f>Skills!B4</f>
        <v/>
      </c>
      <c r="C2096">
        <f>Inputs!$B$3&gt;=40</f>
        <v/>
      </c>
      <c r="D2096">
        <f>IF(Skills!C4=1,60+Inputs!$B$25+Inputs!$B$29,IF(Skills!C4=2,90+Inputs!$B$26+Inputs!$B$29,IF(Skills!C4=3,120+Inputs!$B$27+Inputs!$B$29,MAX(0,(Inputs!$B$3-100)*3)+Inputs!$B$28+Inputs!$B$29)))</f>
        <v/>
      </c>
      <c r="E2096">
        <f>INDEX(FactorTable!$B$2:$Y$301, MATCH(ROUND(MIN(300,MAX(1,D2096)),0), FactorTable!$A$2:$A$301,0), Skills!M4+1)</f>
        <v/>
      </c>
      <c r="F2096">
        <f>IF(Skills!N4=TRUE,(Skills!L4/10)*(E2096/1000),Skills!L4/10)+Skills!O4</f>
        <v/>
      </c>
      <c r="G2096">
        <f>Skills!G4*IF(Skills!H4&gt;0,Skills!I4/Skills!H4,1)</f>
        <v/>
      </c>
      <c r="H2096">
        <f>1-(1-Skills!J4/100)^Skills!K4</f>
        <v/>
      </c>
      <c r="I2096" t="inlineStr">
        <is>
          <t>1</t>
        </is>
      </c>
      <c r="J2096">
        <f>((Inputs!$B$6*(1+Inputs!$B$7/100))+(((Inputs!$B$12*(1+Inputs!$B$13/100))-(Inputs!$B$12*(1+Inputs!$B$13/100)))+0.25*(Inputs!$B$14-Inputs!$B$14))*(1+Inputs!$B$7/100))*(F2096/100)</f>
        <v/>
      </c>
      <c r="K2096">
        <f>J2096*(1+((Inputs!$B$12*(1+Inputs!$B$13/100))*0.01+Inputs!$B$14*0.0025)/100)*(1+Inputs!$B$15/100)*(1+Inputs!$B$16/100)*(5000/(6000+Inputs!$B$42*(1-(100*(1-(1-(Inputs!$B$19+0)/100)*(1-CHOOSE(ArtifactsInput!$N$40+1,5,6,7,8,9,10)/100)^(ArtifactsInput!$M$40-ArtifactsInput!$M$40)))/100)))*(1+(Inputs!$B$24+((C2118=TRUE)*(F2118-Calc!F26))+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2108=TRUE,F2108,0)/100)*(1+(IF(Skills!A4="EIGHT_LEGS_EASTON",Inputs!$B$17+((C2115=TRUE)*(F2115-Calc!F23))+((C2119=TRUE)*(F2119-Calc!F27))+(((IF(AND(ArtifactsInput!$M$42,((Inputs!$B$9+((C2111=TRUE)*(F2111-Calc!F19))+B2122+(ArtifactsInput!$M$24-ArtifactsInput!$M$24)*CHOOSE(ArtifactsInput!$N$24+1,10,12,14,16,18,20)+IF(ArtifactsInput!$M$10,CHOOSE(ArtifactsInput!$N$10+1,15,18,21,24,27,30)*(IF(Inputs!$B$38="pvp",MIN(15,15)/15,IF(AND(Inputs!$B$38&lt;&gt;"pvp",Inputs!$B$43&gt;0),MIN(15,Inputs!$B$43)/(Inputs!$B$43),0))),0)))&gt;=100),MIN(100,((Inputs!$B$9+((C2111=TRUE)*(F2111-Calc!F19))+B2122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2111=TRUE)*(F2111-Calc!F19))+B2122+(ArtifactsInput!$M$24-ArtifactsInput!$M$24)*CHOOSE(ArtifactsInput!$N$24+1,10,12,14,16,18,20)+IF(ArtifactsInput!$M$10,CHOOSE(ArtifactsInput!$N$10+1,15,18,21,24,27,30)*(IF(Inputs!$B$38="pvp",MIN(15,15)/15,IF(AND(Inputs!$B$38&lt;&gt;"pvp",Inputs!$B$43&gt;0),MIN(15,Inputs!$B$43)/(Inputs!$B$43),0))),0)))&gt;=100),CHOOSE(ArtifactsInput!$N$42+1,40,48,56,64,72,80),0))))/100)*((1+(((C2109=TRUE)*F2109)+((C2116=TRUE)*(F2116-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2096)</f>
        <v/>
      </c>
      <c r="L2096">
        <f>K2096*(MIN(Inputs!$B$22+((C2114=TRUE)*(F2114-Calc!F22)),(Inputs!$B$23+0+(IF(ArtifactsInput!$M$15,CHOOSE(ArtifactsInput!$N$15+1,25,30,35,40,45,50)/100*(Inputs!$B$11-Inputs!$B$11),0))))/100+(Inputs!$B$23+0+(IF(ArtifactsInput!$M$15,CHOOSE(ArtifactsInput!$N$15+1,25,30,35,40,45,50)/100*(Inputs!$B$11-Inputs!$B$11),0)))/100)/2</f>
        <v/>
      </c>
      <c r="M2096">
        <f>L2096*(1+(Inputs!$B$10+((C2117=TRUE)*(F2117-Calc!F25))+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6">
        <f>L2096*(1-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2096*(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6">
        <f>(1-Summary!$B$11)*T2096+Summary!$B$11*V2096</f>
        <v/>
      </c>
      <c r="P2096">
        <f>IF(B2132=0,0,O2096/B2132)</f>
        <v/>
      </c>
      <c r="Q2096">
        <f>IFERROR(1/(IF(Inputs!$B$38="pvp",15,MAX(0.1,Skills!D4-IF(Skills!E4=TRUE,Inputs!$B$32,0)))*(1-IF(AND(ArtifactsInput!$M$27,Inputs!$B$4="Chapter Hunt"),CHOOSE(ArtifactsInput!$N$27+1,20,24,28,32,36,40),0)/100)),0)</f>
        <v/>
      </c>
      <c r="R2096">
        <f>IF(AND(Inputs!$B$38&lt;&gt;"pvp",Inputs!$B$43&gt;0),IF(MAX(0,Inputs!$B$43-B2129)&lt;=0,0,(INT(MAX(0,Inputs!$B$43-B2129)/(IF(Inputs!$B$38="pvp",15,MAX(0.1,Skills!D4-IF(Skills!E4=TRUE,Inputs!$B$32,0)))*(1-IF(AND(ArtifactsInput!$M$27,Inputs!$B$4="Chapter Hunt"),CHOOSE(ArtifactsInput!$N$27+1,20,24,28,32,36,40),0)/100)))+1)),0)</f>
        <v/>
      </c>
      <c r="S2096">
        <f>IFERROR(O2096/N2096,0)</f>
        <v/>
      </c>
      <c r="T2096">
        <f>IF(C2096,(H2096*N2096*IF(AND(Inputs!$B$38&lt;&gt;"pvp",Inputs!$B$43&gt;0),((Skills!G4*((R2096-1)*IF(Skills!H4&gt;0,Skills!I4/Skills!H4,1)+IF(Skills!H4&gt;0,MIN(Skills!I4,MAX(0,MAX(0,Inputs!$B$43-B2129)-((R2096-1)*(IF(Inputs!$B$38="pvp",15,MAX(0.1,Skills!D4-IF(Skills!E4=TRUE,Inputs!$B$32,0)))*(1-IF(AND(ArtifactsInput!$M$27,Inputs!$B$4="Chapter Hunt"),CHOOSE(ArtifactsInput!$N$27+1,20,24,28,32,36,40),0)/100)))))/Skills!H4,1)))/Inputs!$B$43),G2096*Q2096)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2096*(1-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2096*(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2096*(1-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2096*(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6">
        <f>290*U2095/1000</f>
        <v/>
      </c>
      <c r="V2096">
        <f>IF(C2096,(H2096*N2096*IF(AND(Inputs!$B$38&lt;&gt;"pvp",Inputs!$B$43&gt;0),((Skills!G4*((R2096-1)*IF(Skills!H4&gt;0,Skills!I4/Skills!H4,1)+IF(Skills!H4&gt;0,MIN(Skills!I4,MAX(0,MAX(0,Inputs!$B$43-B2129)-((R2096-1)*(IF(Inputs!$B$38="pvp",15,MAX(0.1,Skills!D4-IF(Skills!E4=TRUE,Inputs!$B$32,0)))*(1-IF(AND(ArtifactsInput!$M$27,Inputs!$B$4="Chapter Hunt"),CHOOSE(ArtifactsInput!$N$27+1,20,24,28,32,36,40),0)/100)))))/Skills!H4,1)))/Inputs!$B$43),G2096*Q2096))*IF(Inputs!$B$38="pvp",1,(1+(Inputs!$B$21+Skills!Q4+(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7">
      <c r="A2097">
        <f>Skills!A5</f>
        <v/>
      </c>
      <c r="B2097">
        <f>Skills!B5</f>
        <v/>
      </c>
      <c r="C2097">
        <f>Inputs!$B$3&gt;=45</f>
        <v/>
      </c>
      <c r="D2097">
        <f>IF(Skills!C5=1,60+Inputs!$B$25+Inputs!$B$29,IF(Skills!C5=2,90+Inputs!$B$26+Inputs!$B$29,IF(Skills!C5=3,120+Inputs!$B$27+Inputs!$B$29,MAX(0,(Inputs!$B$3-100)*3)+Inputs!$B$28+Inputs!$B$29)))</f>
        <v/>
      </c>
      <c r="E2097">
        <f>INDEX(FactorTable!$B$2:$Y$301, MATCH(ROUND(MIN(300,MAX(1,D2097)),0), FactorTable!$A$2:$A$301,0), Skills!M5+1)</f>
        <v/>
      </c>
      <c r="F2097">
        <f>IF(Skills!N5=TRUE,(Skills!L5/10)*(E2097/1000),Skills!L5/10)+Skills!O5</f>
        <v/>
      </c>
      <c r="G2097">
        <f>Skills!G5*IF(Skills!H5&gt;0,Skills!I5/Skills!H5,1)</f>
        <v/>
      </c>
      <c r="H2097">
        <f>1-(1-Skills!J5/100)^Skills!K5</f>
        <v/>
      </c>
      <c r="I2097" t="inlineStr">
        <is>
          <t>1</t>
        </is>
      </c>
      <c r="J2097">
        <f>((Inputs!$B$6*(1+Inputs!$B$7/100))+(((Inputs!$B$12*(1+Inputs!$B$13/100))-(Inputs!$B$12*(1+Inputs!$B$13/100)))+0.25*(Inputs!$B$14-Inputs!$B$14))*(1+Inputs!$B$7/100))*(F2097/100)</f>
        <v/>
      </c>
      <c r="K2097">
        <f>J2097*(1+((Inputs!$B$12*(1+Inputs!$B$13/100))*0.01+Inputs!$B$14*0.0025)/100)*(1+Inputs!$B$15/100)*(1+Inputs!$B$16/100)*(5000/(6000+Inputs!$B$42*(1-(100*(1-(1-(Inputs!$B$19+0)/100)*(1-CHOOSE(ArtifactsInput!$N$40+1,5,6,7,8,9,10)/100)^(ArtifactsInput!$M$40-ArtifactsInput!$M$40)))/100)))*(1+(Inputs!$B$24+((C2118=TRUE)*(F2118-Calc!F26))+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2108=TRUE,F2108,0)/100)*(1+(IF(Skills!A5="EIGHT_LEGS_EASTON",Inputs!$B$17+((C2115=TRUE)*(F2115-Calc!F23))+((C2119=TRUE)*(F2119-Calc!F27))+(((IF(AND(ArtifactsInput!$M$42,((Inputs!$B$9+((C2111=TRUE)*(F2111-Calc!F19))+B2122+(ArtifactsInput!$M$24-ArtifactsInput!$M$24)*CHOOSE(ArtifactsInput!$N$24+1,10,12,14,16,18,20)+IF(ArtifactsInput!$M$10,CHOOSE(ArtifactsInput!$N$10+1,15,18,21,24,27,30)*(IF(Inputs!$B$38="pvp",MIN(15,15)/15,IF(AND(Inputs!$B$38&lt;&gt;"pvp",Inputs!$B$43&gt;0),MIN(15,Inputs!$B$43)/(Inputs!$B$43),0))),0)))&gt;=100),MIN(100,((Inputs!$B$9+((C2111=TRUE)*(F2111-Calc!F19))+B2122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2111=TRUE)*(F2111-Calc!F19))+B2122+(ArtifactsInput!$M$24-ArtifactsInput!$M$24)*CHOOSE(ArtifactsInput!$N$24+1,10,12,14,16,18,20)+IF(ArtifactsInput!$M$10,CHOOSE(ArtifactsInput!$N$10+1,15,18,21,24,27,30)*(IF(Inputs!$B$38="pvp",MIN(15,15)/15,IF(AND(Inputs!$B$38&lt;&gt;"pvp",Inputs!$B$43&gt;0),MIN(15,Inputs!$B$43)/(Inputs!$B$43),0))),0)))&gt;=100),CHOOSE(ArtifactsInput!$N$42+1,40,48,56,64,72,80),0))))/100)*((1+(((C2109=TRUE)*F2109)+((C2116=TRUE)*(F2116-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2097)</f>
        <v/>
      </c>
      <c r="L2097">
        <f>K2097*(MIN(Inputs!$B$22+((C2114=TRUE)*(F2114-Calc!F22)),(Inputs!$B$23+0+(IF(ArtifactsInput!$M$15,CHOOSE(ArtifactsInput!$N$15+1,25,30,35,40,45,50)/100*(Inputs!$B$11-Inputs!$B$11),0))))/100+(Inputs!$B$23+0+(IF(ArtifactsInput!$M$15,CHOOSE(ArtifactsInput!$N$15+1,25,30,35,40,45,50)/100*(Inputs!$B$11-Inputs!$B$11),0)))/100)/2</f>
        <v/>
      </c>
      <c r="M2097">
        <f>L2097*(1+(Inputs!$B$10+((C2117=TRUE)*(F2117-Calc!F25))+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7">
        <f>L2097*(1-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2097*(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7">
        <f>(1-Summary!$B$11)*T2097+Summary!$B$11*V2097</f>
        <v/>
      </c>
      <c r="P2097">
        <f>IF(B2132=0,0,O2097/B2132)</f>
        <v/>
      </c>
      <c r="Q2097">
        <f>IFERROR(1/(IF(Inputs!$B$38="pvp",15,MAX(0.1,Skills!D5-IF(Skills!E5=TRUE,Inputs!$B$32,0)))*(1-IF(AND(ArtifactsInput!$M$27,Inputs!$B$4="Chapter Hunt"),CHOOSE(ArtifactsInput!$N$27+1,20,24,28,32,36,40),0)/100)),0)</f>
        <v/>
      </c>
      <c r="R2097">
        <f>IF(AND(Inputs!$B$38&lt;&gt;"pvp",Inputs!$B$43&gt;0),IF(MAX(0,Inputs!$B$43-B2129)&lt;=0,0,(INT(MAX(0,Inputs!$B$43-B2129)/(IF(Inputs!$B$38="pvp",15,MAX(0.1,Skills!D5-IF(Skills!E5=TRUE,Inputs!$B$32,0)))*(1-IF(AND(ArtifactsInput!$M$27,Inputs!$B$4="Chapter Hunt"),CHOOSE(ArtifactsInput!$N$27+1,20,24,28,32,36,40),0)/100)))+1)),0)</f>
        <v/>
      </c>
      <c r="S2097">
        <f>IFERROR(O2097/N2097,0)</f>
        <v/>
      </c>
      <c r="T2097">
        <f>IF(C2097,(H2097*N2097*IF(AND(Inputs!$B$38&lt;&gt;"pvp",Inputs!$B$43&gt;0),((Skills!G5*((R2097-1)*IF(Skills!H5&gt;0,Skills!I5/Skills!H5,1)+IF(Skills!H5&gt;0,MIN(Skills!I5,MAX(0,MAX(0,Inputs!$B$43-B2129)-((R2097-1)*(IF(Inputs!$B$38="pvp",15,MAX(0.1,Skills!D5-IF(Skills!E5=TRUE,Inputs!$B$32,0)))*(1-IF(AND(ArtifactsInput!$M$27,Inputs!$B$4="Chapter Hunt"),CHOOSE(ArtifactsInput!$N$27+1,20,24,28,32,36,40),0)/100)))))/Skills!H5,1)))/Inputs!$B$43),G2097*Q2097)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2097*(1-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2097*(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2097*(1-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2097*(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7">
        <f>IF(C2097,(H2097*N2097*IF(AND(Inputs!$B$38&lt;&gt;"pvp",Inputs!$B$43&gt;0),((Skills!G5*((R2097-1)*IF(Skills!H5&gt;0,Skills!I5/Skills!H5,1)+IF(Skills!H5&gt;0,MIN(Skills!I5,MAX(0,MAX(0,Inputs!$B$43-B2129)-((R2097-1)*(IF(Inputs!$B$38="pvp",15,MAX(0.1,Skills!D5-IF(Skills!E5=TRUE,Inputs!$B$32,0)))*(1-IF(AND(ArtifactsInput!$M$27,Inputs!$B$4="Chapter Hunt"),CHOOSE(ArtifactsInput!$N$27+1,20,24,28,32,36,40),0)/100)))))/Skills!H5,1)))/Inputs!$B$43),G2097*Q2097))*IF(Inputs!$B$38="pvp",1,(1+(Inputs!$B$21+Skills!Q5+(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8">
      <c r="A2098">
        <f>Skills!A6</f>
        <v/>
      </c>
      <c r="B2098">
        <f>Skills!B6</f>
        <v/>
      </c>
      <c r="C2098">
        <f>Inputs!$B$3&gt;=63</f>
        <v/>
      </c>
      <c r="D2098">
        <f>IF(Skills!C6=1,60+Inputs!$B$25+Inputs!$B$29,IF(Skills!C6=2,90+Inputs!$B$26+Inputs!$B$29,IF(Skills!C6=3,120+Inputs!$B$27+Inputs!$B$29,MAX(0,(Inputs!$B$3-100)*3)+Inputs!$B$28+Inputs!$B$29)))</f>
        <v/>
      </c>
      <c r="E2098">
        <f>INDEX(FactorTable!$B$2:$Y$301, MATCH(ROUND(MIN(300,MAX(1,D2098)),0), FactorTable!$A$2:$A$301,0), Skills!M6+1)</f>
        <v/>
      </c>
      <c r="F2098">
        <f>IF(Skills!N6=TRUE,(Skills!L6/10)*(E2098/1000),Skills!L6/10)+Skills!O6</f>
        <v/>
      </c>
      <c r="G2098">
        <f>Skills!G6*IF(Skills!H6&gt;0,Skills!I6/Skills!H6,1)</f>
        <v/>
      </c>
      <c r="H2098">
        <f>1-(1-Skills!J6/100)^Skills!K6</f>
        <v/>
      </c>
      <c r="I2098" t="inlineStr">
        <is>
          <t>1</t>
        </is>
      </c>
      <c r="J2098">
        <f>((Inputs!$B$6*(1+Inputs!$B$7/100))+(((Inputs!$B$12*(1+Inputs!$B$13/100))-(Inputs!$B$12*(1+Inputs!$B$13/100)))+0.25*(Inputs!$B$14-Inputs!$B$14))*(1+Inputs!$B$7/100))*(F2098/100)</f>
        <v/>
      </c>
      <c r="K2098">
        <f>J2098*(1+((Inputs!$B$12*(1+Inputs!$B$13/100))*0.01+Inputs!$B$14*0.0025)/100)*(1+Inputs!$B$15/100)*(1+Inputs!$B$16/100)*(5000/(6000+Inputs!$B$42*(1-(100*(1-(1-(Inputs!$B$19+0)/100)*(1-CHOOSE(ArtifactsInput!$N$40+1,5,6,7,8,9,10)/100)^(ArtifactsInput!$M$40-ArtifactsInput!$M$40)))/100)))*(1+(Inputs!$B$24+((C2118=TRUE)*(F2118-Calc!F26))+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2107=TRUE,F2107,0)/100)*(1+(IF(Skills!A6="EIGHT_LEGS_EASTON",Inputs!$B$17+((C2115=TRUE)*(F2115-Calc!F23))+((C2119=TRUE)*(F2119-Calc!F27))+(((IF(AND(ArtifactsInput!$M$42,((Inputs!$B$9+((C2111=TRUE)*(F2111-Calc!F19))+B2122+(ArtifactsInput!$M$24-ArtifactsInput!$M$24)*CHOOSE(ArtifactsInput!$N$24+1,10,12,14,16,18,20)+IF(ArtifactsInput!$M$10,CHOOSE(ArtifactsInput!$N$10+1,15,18,21,24,27,30)*(IF(Inputs!$B$38="pvp",MIN(15,15)/15,IF(AND(Inputs!$B$38&lt;&gt;"pvp",Inputs!$B$43&gt;0),MIN(15,Inputs!$B$43)/(Inputs!$B$43),0))),0)))&gt;=100),MIN(100,((Inputs!$B$9+((C2111=TRUE)*(F2111-Calc!F19))+B2122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2111=TRUE)*(F2111-Calc!F19))+B2122+(ArtifactsInput!$M$24-ArtifactsInput!$M$24)*CHOOSE(ArtifactsInput!$N$24+1,10,12,14,16,18,20)+IF(ArtifactsInput!$M$10,CHOOSE(ArtifactsInput!$N$10+1,15,18,21,24,27,30)*(IF(Inputs!$B$38="pvp",MIN(15,15)/15,IF(AND(Inputs!$B$38&lt;&gt;"pvp",Inputs!$B$43&gt;0),MIN(15,Inputs!$B$43)/(Inputs!$B$43),0))),0)))&gt;=100),CHOOSE(ArtifactsInput!$N$42+1,40,48,56,64,72,80),0))))/100)*((1+(((C2109=TRUE)*F2109)+((C2116=TRUE)*(F2116-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2098)</f>
        <v/>
      </c>
      <c r="L2098">
        <f>K2098*(MIN(Inputs!$B$22+((C2114=TRUE)*(F2114-Calc!F22)),(Inputs!$B$23+0+(IF(ArtifactsInput!$M$15,CHOOSE(ArtifactsInput!$N$15+1,25,30,35,40,45,50)/100*(Inputs!$B$11-Inputs!$B$11),0))))/100+(Inputs!$B$23+0+(IF(ArtifactsInput!$M$15,CHOOSE(ArtifactsInput!$N$15+1,25,30,35,40,45,50)/100*(Inputs!$B$11-Inputs!$B$11),0)))/100)/2</f>
        <v/>
      </c>
      <c r="M2098">
        <f>L2098*(1+(Inputs!$B$10+((C2117=TRUE)*(F2117-Calc!F25))+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8">
        <f>L2098*(1-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(1-Summary!$B$11)*T2098+Summary!$B$11*V2098</f>
        <v/>
      </c>
      <c r="P2098">
        <f>IF(B2132=0,0,O2098/B2132)</f>
        <v/>
      </c>
      <c r="Q2098">
        <f>IFERROR(1/(IF(Inputs!$B$38="pvp",15,MAX(0.1,Skills!D6-IF(Skills!E6=TRUE,Inputs!$B$32,0)))*(1-IF(AND(ArtifactsInput!$M$27,Inputs!$B$4="Chapter Hunt"),CHOOSE(ArtifactsInput!$N$27+1,20,24,28,32,36,40),0)/100)),0)</f>
        <v/>
      </c>
      <c r="R2098">
        <f>IF(AND(Inputs!$B$38&lt;&gt;"pvp",Inputs!$B$43&gt;0),IF(MAX(0,Inputs!$B$43-B2129)&lt;=0,0,(INT(MAX(0,Inputs!$B$43-B2129)/(IF(Inputs!$B$38="pvp",15,MAX(0.1,Skills!D6-IF(Skills!E6=TRUE,Inputs!$B$32,0)))*(1-IF(AND(ArtifactsInput!$M$27,Inputs!$B$4="Chapter Hunt"),CHOOSE(ArtifactsInput!$N$27+1,20,24,28,32,36,40),0)/100)))+1)),0)</f>
        <v/>
      </c>
      <c r="S2098">
        <f>IFERROR(O2098/N2098,0)</f>
        <v/>
      </c>
      <c r="T2098">
        <f>IF(C2098,(H2098*N2098*IF(AND(Inputs!$B$38&lt;&gt;"pvp",Inputs!$B$43&gt;0),((Skills!G6*((R2098-1)*IF(Skills!H6&gt;0,Skills!I6/Skills!H6,1)+IF(Skills!H6&gt;0,MIN(Skills!I6,MAX(0,MAX(0,Inputs!$B$43-B2129)-((R2098-1)*(IF(Inputs!$B$38="pvp",15,MAX(0.1,Skills!D6-IF(Skills!E6=TRUE,Inputs!$B$32,0)))*(1-IF(AND(ArtifactsInput!$M$27,Inputs!$B$4="Chapter Hunt"),CHOOSE(ArtifactsInput!$N$27+1,20,24,28,32,36,40),0)/100)))))/Skills!H6,1)))/Inputs!$B$43),G2098*Q2098)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2098*(1-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8">
        <f>IF(C2098,(H2098*N2098*IF(AND(Inputs!$B$38&lt;&gt;"pvp",Inputs!$B$43&gt;0),((Skills!G6*((R2098-1)*IF(Skills!H6&gt;0,Skills!I6/Skills!H6,1)+IF(Skills!H6&gt;0,MIN(Skills!I6,MAX(0,MAX(0,Inputs!$B$43-B2129)-((R2098-1)*(IF(Inputs!$B$38="pvp",15,MAX(0.1,Skills!D6-IF(Skills!E6=TRUE,Inputs!$B$32,0)))*(1-IF(AND(ArtifactsInput!$M$27,Inputs!$B$4="Chapter Hunt"),CHOOSE(ArtifactsInput!$N$27+1,20,24,28,32,36,40),0)/100)))))/Skills!H6,1)))/Inputs!$B$43),G2098*Q2098))*IF(Inputs!$B$38="pvp",1,(1+(Inputs!$B$21+Skills!Q6+(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Skills!A7</f>
        <v/>
      </c>
      <c r="B2099">
        <f>Skills!B7</f>
        <v/>
      </c>
      <c r="C2099">
        <f>Inputs!$B$3&gt;=66</f>
        <v/>
      </c>
      <c r="D2099">
        <f>IF(Skills!C7=1,60+Inputs!$B$25+Inputs!$B$29,IF(Skills!C7=2,90+Inputs!$B$26+Inputs!$B$29,IF(Skills!C7=3,120+Inputs!$B$27+Inputs!$B$29,MAX(0,(Inputs!$B$3-100)*3)+Inputs!$B$28+Inputs!$B$29)))</f>
        <v/>
      </c>
      <c r="E2099">
        <f>INDEX(FactorTable!$B$2:$Y$301, MATCH(ROUND(MIN(300,MAX(1,D2099)),0), FactorTable!$A$2:$A$301,0), Skills!M7+1)</f>
        <v/>
      </c>
      <c r="F2099">
        <f>IF(Skills!N7=TRUE,(Skills!L7/10)*(E2099/1000),Skills!L7/10)+Skills!O7</f>
        <v/>
      </c>
      <c r="G2099">
        <f>Skills!G7*IF(Skills!H7&gt;0,Skills!I7/Skills!H7,1)</f>
        <v/>
      </c>
      <c r="H2099">
        <f>1-(1-Skills!J7/100)^Skills!K7</f>
        <v/>
      </c>
      <c r="I2099" t="inlineStr">
        <is>
          <t>1</t>
        </is>
      </c>
      <c r="J2099">
        <f>((Inputs!$B$6*(1+Inputs!$B$7/100))+(((Inputs!$B$12*(1+Inputs!$B$13/100))-(Inputs!$B$12*(1+Inputs!$B$13/100)))+0.25*(Inputs!$B$14-Inputs!$B$14))*(1+Inputs!$B$7/100))*(F2099/100)</f>
        <v/>
      </c>
      <c r="K2099">
        <f>J2099*(1+((Inputs!$B$12*(1+Inputs!$B$13/100))*0.01+Inputs!$B$14*0.0025)/100)*(1+Inputs!$B$15/100)*(1+Inputs!$B$16/100)*(5000/(6000+Inputs!$B$42*(1-(100*(1-(1-(Inputs!$B$19+0)/100)*(1-CHOOSE(ArtifactsInput!$N$40+1,5,6,7,8,9,10)/100)^(ArtifactsInput!$M$40-ArtifactsInput!$M$40)))/100)))*(1+(Inputs!$B$24+((C2118=TRUE)*(F2118-Calc!F26))+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2107=TRUE,F2107,0)/100)*(1+(IF(Skills!A7="EIGHT_LEGS_EASTON",Inputs!$B$17+((C2115=TRUE)*(F2115-Calc!F23))+((C2119=TRUE)*(F2119-Calc!F27))+(((IF(AND(ArtifactsInput!$M$42,((Inputs!$B$9+((C2111=TRUE)*(F2111-Calc!F19))+B2122+(ArtifactsInput!$M$24-ArtifactsInput!$M$24)*CHOOSE(ArtifactsInput!$N$24+1,10,12,14,16,18,20)+IF(ArtifactsInput!$M$10,CHOOSE(ArtifactsInput!$N$10+1,15,18,21,24,27,30)*(IF(Inputs!$B$38="pvp",MIN(15,15)/15,IF(AND(Inputs!$B$38&lt;&gt;"pvp",Inputs!$B$43&gt;0),MIN(15,Inputs!$B$43)/(Inputs!$B$43),0))),0)))&gt;=100),MIN(100,((Inputs!$B$9+((C2111=TRUE)*(F2111-Calc!F19))+B2122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2111=TRUE)*(F2111-Calc!F19))+B2122+(ArtifactsInput!$M$24-ArtifactsInput!$M$24)*CHOOSE(ArtifactsInput!$N$24+1,10,12,14,16,18,20)+IF(ArtifactsInput!$M$10,CHOOSE(ArtifactsInput!$N$10+1,15,18,21,24,27,30)*(IF(Inputs!$B$38="pvp",MIN(15,15)/15,IF(AND(Inputs!$B$38&lt;&gt;"pvp",Inputs!$B$43&gt;0),MIN(15,Inputs!$B$43)/(Inputs!$B$43),0))),0)))&gt;=100),CHOOSE(ArtifactsInput!$N$42+1,40,48,56,64,72,80),0))))/100)*((1+(((C2109=TRUE)*F2109)+((C2116=TRUE)*(F2116-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2099)</f>
        <v/>
      </c>
      <c r="L2099">
        <f>K2099*(MIN(Inputs!$B$22+((C2114=TRUE)*(F2114-Calc!F22)),(Inputs!$B$23+0+(IF(ArtifactsInput!$M$15,CHOOSE(ArtifactsInput!$N$15+1,25,30,35,40,45,50)/100*(Inputs!$B$11-Inputs!$B$11),0))))/100+(Inputs!$B$23+0+(IF(ArtifactsInput!$M$15,CHOOSE(ArtifactsInput!$N$15+1,25,30,35,40,45,50)/100*(Inputs!$B$11-Inputs!$B$11),0)))/100)/2</f>
        <v/>
      </c>
      <c r="M2099">
        <f>L2099*(1+(Inputs!$B$10+((C2117=TRUE)*(F2117-Calc!F25))+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9">
        <f>L2099*(1-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2099*(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9">
        <f>(1-Summary!$B$11)*T2099+Summary!$B$11*V2099</f>
        <v/>
      </c>
      <c r="P2099">
        <f>IF(B2132=0,0,O2099/B2132)</f>
        <v/>
      </c>
      <c r="Q2099">
        <f>IFERROR(1/(IF(Inputs!$B$38="pvp",15,MAX(0.1,Skills!D7-IF(Skills!E7=TRUE,Inputs!$B$32,0)))*(1-IF(AND(ArtifactsInput!$M$27,Inputs!$B$4="Chapter Hunt"),CHOOSE(ArtifactsInput!$N$27+1,20,24,28,32,36,40),0)/100)),0)</f>
        <v/>
      </c>
      <c r="R2099">
        <f>IF(AND(Inputs!$B$38&lt;&gt;"pvp",Inputs!$B$43&gt;0),IF(MAX(0,Inputs!$B$43-B2129)&lt;=0,0,(INT(MAX(0,Inputs!$B$43-B2129)/(IF(Inputs!$B$38="pvp",15,MAX(0.1,Skills!D7-IF(Skills!E7=TRUE,Inputs!$B$32,0)))*(1-IF(AND(ArtifactsInput!$M$27,Inputs!$B$4="Chapter Hunt"),CHOOSE(ArtifactsInput!$N$27+1,20,24,28,32,36,40),0)/100)))+1)),0)</f>
        <v/>
      </c>
      <c r="S2099">
        <f>IFERROR(O2099/N2099,0)</f>
        <v/>
      </c>
      <c r="T2099">
        <f>IF(C2099,(H2099*N2099*IF(AND(Inputs!$B$38&lt;&gt;"pvp",Inputs!$B$43&gt;0),((Skills!G7*((R2099-1)*IF(Skills!H7&gt;0,Skills!I7/Skills!H7,1)+IF(Skills!H7&gt;0,MIN(Skills!I7,MAX(0,MAX(0,Inputs!$B$43-B2129)-((R2099-1)*(IF(Inputs!$B$38="pvp",15,MAX(0.1,Skills!D7-IF(Skills!E7=TRUE,Inputs!$B$32,0)))*(1-IF(AND(ArtifactsInput!$M$27,Inputs!$B$4="Chapter Hunt"),CHOOSE(ArtifactsInput!$N$27+1,20,24,28,32,36,40),0)/100)))))/Skills!H7,1)))/Inputs!$B$43),G2099*Q2099)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2099*(1-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2099*(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2099*(1-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2099*(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9">
        <f>IF(C2099,(H2099*N2099*IF(AND(Inputs!$B$38&lt;&gt;"pvp",Inputs!$B$43&gt;0),((Skills!G7*((R2099-1)*IF(Skills!H7&gt;0,Skills!I7/Skills!H7,1)+IF(Skills!H7&gt;0,MIN(Skills!I7,MAX(0,MAX(0,Inputs!$B$43-B2129)-((R2099-1)*(IF(Inputs!$B$38="pvp",15,MAX(0.1,Skills!D7-IF(Skills!E7=TRUE,Inputs!$B$32,0)))*(1-IF(AND(ArtifactsInput!$M$27,Inputs!$B$4="Chapter Hunt"),CHOOSE(ArtifactsInput!$N$27+1,20,24,28,32,36,40),0)/100)))))/Skills!H7,1)))/Inputs!$B$43),G2099*Q2099))*IF(Inputs!$B$38="pvp",1,(1+(Inputs!$B$21+Skills!Q7+(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0">
      <c r="A2100">
        <f>Skills!A8</f>
        <v/>
      </c>
      <c r="B2100">
        <f>Skills!B8</f>
        <v/>
      </c>
      <c r="C2100">
        <f>Inputs!$B$3&gt;=100</f>
        <v/>
      </c>
      <c r="D2100">
        <f>IF(Skills!C8=1,60+Inputs!$B$25+Inputs!$B$29,IF(Skills!C8=2,90+Inputs!$B$26+Inputs!$B$29,IF(Skills!C8=3,120+Inputs!$B$27+Inputs!$B$29,MAX(0,(Inputs!$B$3-100)*3)+Inputs!$B$28+Inputs!$B$29)))</f>
        <v/>
      </c>
      <c r="E2100">
        <f>INDEX(FactorTable!$B$2:$Y$301, MATCH(ROUND(MIN(300,MAX(1,D2100)),0), FactorTable!$A$2:$A$301,0), Skills!M8+1)</f>
        <v/>
      </c>
      <c r="F2100">
        <f>IF(Skills!N8=TRUE,(Skills!L8/10)*(E2100/1000),Skills!L8/10)+Skills!O8</f>
        <v/>
      </c>
      <c r="G2100">
        <f>Skills!G8*IF(Skills!H8&gt;0,Skills!I8/Skills!H8,1)</f>
        <v/>
      </c>
      <c r="H2100">
        <f>1-(1-Skills!J8/100)^Skills!K8</f>
        <v/>
      </c>
      <c r="I2100" t="inlineStr">
        <is>
          <t>1</t>
        </is>
      </c>
      <c r="J2100">
        <f>((Inputs!$B$6*(1+Inputs!$B$7/100))+(((Inputs!$B$12*(1+Inputs!$B$13/100))-(Inputs!$B$12*(1+Inputs!$B$13/100)))+0.25*(Inputs!$B$14-Inputs!$B$14))*(1+Inputs!$B$7/100))*(F2100/100)</f>
        <v/>
      </c>
      <c r="K2100">
        <f>J2100*(1+((Inputs!$B$12*(1+Inputs!$B$13/100))*0.01+Inputs!$B$14*0.0025)/100)*(1+Inputs!$B$15/100)*(1+Inputs!$B$16/100)*(5000/(6000+Inputs!$B$42*(1-(100*(1-(1-(Inputs!$B$19+0)/100)*(1-CHOOSE(ArtifactsInput!$N$40+1,5,6,7,8,9,10)/100)^(ArtifactsInput!$M$40-ArtifactsInput!$M$40)))/100)))*(1+(Inputs!$B$24+((C2118=TRUE)*(F2118-Calc!F26))+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2115=TRUE)*(F2115-Calc!F23))+((C2119=TRUE)*(F2119-Calc!F27))+(((IF(AND(ArtifactsInput!$M$42,((Inputs!$B$9+((C2111=TRUE)*(F2111-Calc!F19))+B2122+(ArtifactsInput!$M$24-ArtifactsInput!$M$24)*CHOOSE(ArtifactsInput!$N$24+1,10,12,14,16,18,20)+IF(ArtifactsInput!$M$10,CHOOSE(ArtifactsInput!$N$10+1,15,18,21,24,27,30)*(IF(Inputs!$B$38="pvp",MIN(15,15)/15,IF(AND(Inputs!$B$38&lt;&gt;"pvp",Inputs!$B$43&gt;0),MIN(15,Inputs!$B$43)/(Inputs!$B$43),0))),0)))&gt;=100),MIN(100,((Inputs!$B$9+((C2111=TRUE)*(F2111-Calc!F19))+B2122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2111=TRUE)*(F2111-Calc!F19))+B2122+(ArtifactsInput!$M$24-ArtifactsInput!$M$24)*CHOOSE(ArtifactsInput!$N$24+1,10,12,14,16,18,20)+IF(ArtifactsInput!$M$10,CHOOSE(ArtifactsInput!$N$10+1,15,18,21,24,27,30)*(IF(Inputs!$B$38="pvp",MIN(15,15)/15,IF(AND(Inputs!$B$38&lt;&gt;"pvp",Inputs!$B$43&gt;0),MIN(15,Inputs!$B$43)/(Inputs!$B$43),0))),0)))&gt;=100),CHOOSE(ArtifactsInput!$N$42+1,40,48,56,64,72,80),0))))/100)*((1+(((C2109=TRUE)*F2109)+((C2116=TRUE)*(F2116-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2100)</f>
        <v/>
      </c>
      <c r="L2100">
        <f>K2100*(MIN(Inputs!$B$22+((C2114=TRUE)*(F2114-Calc!F22)),(Inputs!$B$23+0+(IF(ArtifactsInput!$M$15,CHOOSE(ArtifactsInput!$N$15+1,25,30,35,40,45,50)/100*(Inputs!$B$11-Inputs!$B$11),0))))/100+(Inputs!$B$23+0+(IF(ArtifactsInput!$M$15,CHOOSE(ArtifactsInput!$N$15+1,25,30,35,40,45,50)/100*(Inputs!$B$11-Inputs!$B$11),0)))/100)/2</f>
        <v/>
      </c>
      <c r="M2100">
        <f>L2100*(1+(Inputs!$B$10+((C2117=TRUE)*(F2117-Calc!F25))+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0">
        <f>L2100*(1-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2100*(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0">
        <f>(1-Summary!$B$11)*T2100+Summary!$B$11*V2100</f>
        <v/>
      </c>
      <c r="P2100">
        <f>IF(B2132=0,0,O2100/B2132)</f>
        <v/>
      </c>
      <c r="Q2100">
        <f>IFERROR(1/(IF(Inputs!$B$38="pvp",15,MAX(0.1,Skills!D8-IF(Skills!E8=TRUE,Inputs!$B$32,0)))*(1-IF(AND(ArtifactsInput!$M$27,Inputs!$B$4="Chapter Hunt"),CHOOSE(ArtifactsInput!$N$27+1,20,24,28,32,36,40),0)/100)),0)</f>
        <v/>
      </c>
      <c r="R2100">
        <f>IF(AND(Inputs!$B$38&lt;&gt;"pvp",Inputs!$B$43&gt;0),IF(MAX(0,Inputs!$B$43-B2129)&lt;=0,0,(INT(MAX(0,Inputs!$B$43-B2129)/(IF(Inputs!$B$38="pvp",15,MAX(0.1,Skills!D8-IF(Skills!E8=TRUE,Inputs!$B$32,0)))*(1-IF(AND(ArtifactsInput!$M$27,Inputs!$B$4="Chapter Hunt"),CHOOSE(ArtifactsInput!$N$27+1,20,24,28,32,36,40),0)/100)))+1)),0)</f>
        <v/>
      </c>
      <c r="S2100">
        <f>IFERROR(O2100/N2100,0)</f>
        <v/>
      </c>
      <c r="T2100">
        <f>IF(C2100,(H2100*N2100*IF(AND(Inputs!$B$38&lt;&gt;"pvp",Inputs!$B$43&gt;0),((Skills!G8*((R2100-1)*IF(Skills!H8&gt;0,Skills!I8/Skills!H8,1)+IF(Skills!H8&gt;0,MIN(Skills!I8,MAX(0,MAX(0,Inputs!$B$43-B2129)-((R2100-1)*(IF(Inputs!$B$38="pvp",15,MAX(0.1,Skills!D8-IF(Skills!E8=TRUE,Inputs!$B$32,0)))*(1-IF(AND(ArtifactsInput!$M$27,Inputs!$B$4="Chapter Hunt"),CHOOSE(ArtifactsInput!$N$27+1,20,24,28,32,36,40),0)/100)))))/Skills!H8,1)))/Inputs!$B$43),G2100*Q2100)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2100*(1-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2100*(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2100*(1-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2100*(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0">
        <f>IF(C2100,(H2100*N2100*IF(AND(Inputs!$B$38&lt;&gt;"pvp",Inputs!$B$43&gt;0),((Skills!G8*((R2100-1)*IF(Skills!H8&gt;0,Skills!I8/Skills!H8,1)+IF(Skills!H8&gt;0,MIN(Skills!I8,MAX(0,MAX(0,Inputs!$B$43-B2129)-((R2100-1)*(IF(Inputs!$B$38="pvp",15,MAX(0.1,Skills!D8-IF(Skills!E8=TRUE,Inputs!$B$32,0)))*(1-IF(AND(ArtifactsInput!$M$27,Inputs!$B$4="Chapter Hunt"),CHOOSE(ArtifactsInput!$N$27+1,20,24,28,32,36,40),0)/100)))))/Skills!H8,1)))/Inputs!$B$43),G2100*Q2100))*IF(Inputs!$B$38="pvp",1,(1+(Inputs!$B$21+Skills!Q8+(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1">
      <c r="A2101">
        <f>Skills!A9</f>
        <v/>
      </c>
      <c r="B2101">
        <f>Skills!B9</f>
        <v/>
      </c>
      <c r="C2101">
        <f>Inputs!$B$3&gt;=103</f>
        <v/>
      </c>
      <c r="D2101">
        <f>IF(Skills!C9=1,60+Inputs!$B$25+Inputs!$B$29,IF(Skills!C9=2,90+Inputs!$B$26+Inputs!$B$29,IF(Skills!C9=3,120+Inputs!$B$27+Inputs!$B$29,MAX(0,(Inputs!$B$3-100)*3)+Inputs!$B$28+Inputs!$B$29)))</f>
        <v/>
      </c>
      <c r="E2101">
        <f>INDEX(FactorTable!$B$2:$Y$301, MATCH(ROUND(MIN(300,MAX(1,D2101)),0), FactorTable!$A$2:$A$301,0), Skills!M9+1)</f>
        <v/>
      </c>
      <c r="F2101">
        <f>IF(Skills!N9=TRUE,(Skills!L9/10)*(E2101/1000),Skills!L9/10)+Skills!O9</f>
        <v/>
      </c>
      <c r="G2101">
        <f>Skills!G9*IF(Skills!H9&gt;0,Skills!I9/Skills!H9,1)</f>
        <v/>
      </c>
      <c r="H2101">
        <f>1-(1-Skills!J9/100)^Skills!K9</f>
        <v/>
      </c>
      <c r="I2101" t="inlineStr">
        <is>
          <t>1</t>
        </is>
      </c>
      <c r="J2101">
        <f>((Inputs!$B$6*(1+Inputs!$B$7/100))+(((Inputs!$B$12*(1+Inputs!$B$13/100))-(Inputs!$B$12*(1+Inputs!$B$13/100)))+0.25*(Inputs!$B$14-Inputs!$B$14))*(1+Inputs!$B$7/100))*(F2101/100)</f>
        <v/>
      </c>
      <c r="K2101">
        <f>J2101*(1+((Inputs!$B$12*(1+Inputs!$B$13/100))*0.01+Inputs!$B$14*0.0025)/100)*(1+Inputs!$B$15/100)*(1+Inputs!$B$16/100)*(5000/(6000+Inputs!$B$42*(1-(100*(1-(1-(Inputs!$B$19+0)/100)*(1-CHOOSE(ArtifactsInput!$N$40+1,5,6,7,8,9,10)/100)^(ArtifactsInput!$M$40-ArtifactsInput!$M$40)))/100)))*(1+(Inputs!$B$24+((C2118=TRUE)*(F2118-Calc!F26))+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2115=TRUE)*(F2115-Calc!F23))+((C2119=TRUE)*(F2119-Calc!F27))+(((IF(AND(ArtifactsInput!$M$42,((Inputs!$B$9+((C2111=TRUE)*(F2111-Calc!F19))+B2122+(ArtifactsInput!$M$24-ArtifactsInput!$M$24)*CHOOSE(ArtifactsInput!$N$24+1,10,12,14,16,18,20)+IF(ArtifactsInput!$M$10,CHOOSE(ArtifactsInput!$N$10+1,15,18,21,24,27,30)*(IF(Inputs!$B$38="pvp",MIN(15,15)/15,IF(AND(Inputs!$B$38&lt;&gt;"pvp",Inputs!$B$43&gt;0),MIN(15,Inputs!$B$43)/(Inputs!$B$43),0))),0)))&gt;=100),MIN(100,((Inputs!$B$9+((C2111=TRUE)*(F2111-Calc!F19))+B2122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2111=TRUE)*(F2111-Calc!F19))+B2122+(ArtifactsInput!$M$24-ArtifactsInput!$M$24)*CHOOSE(ArtifactsInput!$N$24+1,10,12,14,16,18,20)+IF(ArtifactsInput!$M$10,CHOOSE(ArtifactsInput!$N$10+1,15,18,21,24,27,30)*(IF(Inputs!$B$38="pvp",MIN(15,15)/15,IF(AND(Inputs!$B$38&lt;&gt;"pvp",Inputs!$B$43&gt;0),MIN(15,Inputs!$B$43)/(Inputs!$B$43),0))),0)))&gt;=100),CHOOSE(ArtifactsInput!$N$42+1,40,48,56,64,72,80),0))))/100)*((1+(((C2109=TRUE)*F2109)+((C2116=TRUE)*(F2116-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2101)</f>
        <v/>
      </c>
      <c r="L2101">
        <f>K2101*(MIN(Inputs!$B$22+((C2114=TRUE)*(F2114-Calc!F22)),(Inputs!$B$23+0+(IF(ArtifactsInput!$M$15,CHOOSE(ArtifactsInput!$N$15+1,25,30,35,40,45,50)/100*(Inputs!$B$11-Inputs!$B$11),0))))/100+(Inputs!$B$23+0+(IF(ArtifactsInput!$M$15,CHOOSE(ArtifactsInput!$N$15+1,25,30,35,40,45,50)/100*(Inputs!$B$11-Inputs!$B$11),0)))/100)/2</f>
        <v/>
      </c>
      <c r="M2101">
        <f>L2101*(1+(Inputs!$B$10+((C2117=TRUE)*(F2117-Calc!F25))+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1">
        <f>L2101*(1-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2101*(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1">
        <f>(1-Summary!$B$11)*T2101+Summary!$B$11*V2101</f>
        <v/>
      </c>
      <c r="P2101">
        <f>IF(B2132=0,0,O2101/B2132)</f>
        <v/>
      </c>
      <c r="Q2101">
        <f>IFERROR(1/(IF(Inputs!$B$38="pvp",15,MAX(0.1,Skills!D9-IF(Skills!E9=TRUE,Inputs!$B$32,0)))*(1-IF(AND(ArtifactsInput!$M$27,Inputs!$B$4="Chapter Hunt"),CHOOSE(ArtifactsInput!$N$27+1,20,24,28,32,36,40),0)/100)),0)</f>
        <v/>
      </c>
      <c r="R2101">
        <f>IF(AND(Inputs!$B$38&lt;&gt;"pvp",Inputs!$B$43&gt;0),IF(MAX(0,Inputs!$B$43-B2129)&lt;=0,0,(INT(MAX(0,Inputs!$B$43-B2129)/(IF(Inputs!$B$38="pvp",15,MAX(0.1,Skills!D9-IF(Skills!E9=TRUE,Inputs!$B$32,0)))*(1-IF(AND(ArtifactsInput!$M$27,Inputs!$B$4="Chapter Hunt"),CHOOSE(ArtifactsInput!$N$27+1,20,24,28,32,36,40),0)/100)))+1)),0)</f>
        <v/>
      </c>
      <c r="S2101">
        <f>IFERROR(O2101/N2101,0)</f>
        <v/>
      </c>
      <c r="T2101">
        <f>IF(C2101,(H2101*N2101*IF(AND(Inputs!$B$38&lt;&gt;"pvp",Inputs!$B$43&gt;0),((Skills!G9*((R2101-1)*IF(Skills!H9&gt;0,Skills!I9/Skills!H9,1)+IF(Skills!H9&gt;0,MIN(Skills!I9,MAX(0,MAX(0,Inputs!$B$43-B2129)-((R2101-1)*(IF(Inputs!$B$38="pvp",15,MAX(0.1,Skills!D9-IF(Skills!E9=TRUE,Inputs!$B$32,0)))*(1-IF(AND(ArtifactsInput!$M$27,Inputs!$B$4="Chapter Hunt"),CHOOSE(ArtifactsInput!$N$27+1,20,24,28,32,36,40),0)/100)))))/Skills!H9,1)))/Inputs!$B$43),G2101*Q2101)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2101*(1-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1">
        <f>IF(C2101,(H2101*N2101*IF(AND(Inputs!$B$38&lt;&gt;"pvp",Inputs!$B$43&gt;0),((Skills!G9*((R2101-1)*IF(Skills!H9&gt;0,Skills!I9/Skills!H9,1)+IF(Skills!H9&gt;0,MIN(Skills!I9,MAX(0,MAX(0,Inputs!$B$43-B2129)-((R2101-1)*(IF(Inputs!$B$38="pvp",15,MAX(0.1,Skills!D9-IF(Skills!E9=TRUE,Inputs!$B$32,0)))*(1-IF(AND(ArtifactsInput!$M$27,Inputs!$B$4="Chapter Hunt"),CHOOSE(ArtifactsInput!$N$27+1,20,24,28,32,36,40),0)/100)))))/Skills!H9,1)))/Inputs!$B$43),G2101*Q2101))*IF(Inputs!$B$38="pvp",1,(1+(Inputs!$B$21+Skills!Q9+(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2">
      <c r="A2102">
        <f>Skills!A10</f>
        <v/>
      </c>
      <c r="B2102">
        <f>Skills!B10</f>
        <v/>
      </c>
      <c r="C2102">
        <f>Inputs!$B$3&gt;=113</f>
        <v/>
      </c>
      <c r="D2102">
        <f>IF(Skills!C10=1,60+Inputs!$B$25+Inputs!$B$29,IF(Skills!C10=2,90+Inputs!$B$26+Inputs!$B$29,IF(Skills!C10=3,120+Inputs!$B$27+Inputs!$B$29,MAX(0,(Inputs!$B$3-100)*3)+Inputs!$B$28+Inputs!$B$29)))</f>
        <v/>
      </c>
      <c r="E2102">
        <f>INDEX(FactorTable!$B$2:$Y$301, MATCH(ROUND(MIN(300,MAX(1,D2102)),0), FactorTable!$A$2:$A$301,0), Skills!M10+1)</f>
        <v/>
      </c>
      <c r="F2102">
        <f>IF(Skills!N10=TRUE,(Skills!L10/10)*(E2102/1000),Skills!L10/10)+Skills!O10</f>
        <v/>
      </c>
      <c r="G2102">
        <f>Skills!G10*IF(Skills!H10&gt;0,Skills!I10/Skills!H10,1)</f>
        <v/>
      </c>
      <c r="H2102">
        <f>1-(1-Skills!J10/100)^Skills!K10</f>
        <v/>
      </c>
      <c r="I2102" t="inlineStr">
        <is>
          <t>1</t>
        </is>
      </c>
      <c r="J2102">
        <f>((Inputs!$B$6*(1+Inputs!$B$7/100))+(((Inputs!$B$12*(1+Inputs!$B$13/100))-(Inputs!$B$12*(1+Inputs!$B$13/100)))+0.25*(Inputs!$B$14-Inputs!$B$14))*(1+Inputs!$B$7/100))*(F2102/100)</f>
        <v/>
      </c>
      <c r="K2102">
        <f>J2102*(1+((Inputs!$B$12*(1+Inputs!$B$13/100))*0.01+Inputs!$B$14*0.0025)/100)*(1+Inputs!$B$15/100)*(1+Inputs!$B$16/100)*(5000/(6000+Inputs!$B$42*(1-(100*(1-(1-(Inputs!$B$19+0)/100)*(1-CHOOSE(ArtifactsInput!$N$40+1,5,6,7,8,9,10)/100)^(ArtifactsInput!$M$40-ArtifactsInput!$M$40)))/100)))*(1+(Inputs!$B$24+((C2118=TRUE)*(F2118-Calc!F26))+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2115=TRUE)*(F2115-Calc!F23))+((C2119=TRUE)*(F2119-Calc!F27))+(((IF(AND(ArtifactsInput!$M$42,((Inputs!$B$9+((C2111=TRUE)*(F2111-Calc!F19))+B2122+(ArtifactsInput!$M$24-ArtifactsInput!$M$24)*CHOOSE(ArtifactsInput!$N$24+1,10,12,14,16,18,20)+IF(ArtifactsInput!$M$10,CHOOSE(ArtifactsInput!$N$10+1,15,18,21,24,27,30)*(IF(Inputs!$B$38="pvp",MIN(15,15)/15,IF(AND(Inputs!$B$38&lt;&gt;"pvp",Inputs!$B$43&gt;0),MIN(15,Inputs!$B$43)/(Inputs!$B$43),0))),0)))&gt;=100),MIN(100,((Inputs!$B$9+((C2111=TRUE)*(F2111-Calc!F19))+B2122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2111=TRUE)*(F2111-Calc!F19))+B2122+(ArtifactsInput!$M$24-ArtifactsInput!$M$24)*CHOOSE(ArtifactsInput!$N$24+1,10,12,14,16,18,20)+IF(ArtifactsInput!$M$10,CHOOSE(ArtifactsInput!$N$10+1,15,18,21,24,27,30)*(IF(Inputs!$B$38="pvp",MIN(15,15)/15,IF(AND(Inputs!$B$38&lt;&gt;"pvp",Inputs!$B$43&gt;0),MIN(15,Inputs!$B$43)/(Inputs!$B$43),0))),0)))&gt;=100),CHOOSE(ArtifactsInput!$N$42+1,40,48,56,64,72,80),0))))/100)*((1+(((C2109=TRUE)*F2109)+((C2116=TRUE)*(F2116-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2102)</f>
        <v/>
      </c>
      <c r="L2102">
        <f>K2102*(MIN(Inputs!$B$22+((C2114=TRUE)*(F2114-Calc!F22)),(Inputs!$B$23+0+(IF(ArtifactsInput!$M$15,CHOOSE(ArtifactsInput!$N$15+1,25,30,35,40,45,50)/100*(Inputs!$B$11-Inputs!$B$11),0))))/100+(Inputs!$B$23+0+(IF(ArtifactsInput!$M$15,CHOOSE(ArtifactsInput!$N$15+1,25,30,35,40,45,50)/100*(Inputs!$B$11-Inputs!$B$11),0)))/100)/2</f>
        <v/>
      </c>
      <c r="M2102">
        <f>L2102*(1+(Inputs!$B$10+((C2117=TRUE)*(F2117-Calc!F25))+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2">
        <f>L2102*(1-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2102*(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2">
        <f>(1-Summary!$B$11)*T2102+Summary!$B$11*V2102</f>
        <v/>
      </c>
      <c r="P2102">
        <f>IF(B2132=0,0,O2102/B2132)</f>
        <v/>
      </c>
      <c r="Q2102">
        <f>IFERROR(1/(IF(Inputs!$B$38="pvp",15,MAX(0.1,Skills!D10-IF(Skills!E10=TRUE,Inputs!$B$32,0)))*(1-IF(AND(ArtifactsInput!$M$27,Inputs!$B$4="Chapter Hunt"),CHOOSE(ArtifactsInput!$N$27+1,20,24,28,32,36,40),0)/100)),0)</f>
        <v/>
      </c>
      <c r="R2102">
        <f>IF(AND(Inputs!$B$38&lt;&gt;"pvp",Inputs!$B$43&gt;0),IF(MAX(0,Inputs!$B$43-B2129)&lt;=0,0,(INT(MAX(0,Inputs!$B$43-B2129)/(IF(Inputs!$B$38="pvp",15,MAX(0.1,Skills!D10-IF(Skills!E10=TRUE,Inputs!$B$32,0)))*(1-IF(AND(ArtifactsInput!$M$27,Inputs!$B$4="Chapter Hunt"),CHOOSE(ArtifactsInput!$N$27+1,20,24,28,32,36,40),0)/100)))+1)),0)</f>
        <v/>
      </c>
      <c r="S2102">
        <f>IFERROR(O2102/N2102,0)</f>
        <v/>
      </c>
      <c r="T2102">
        <f>IF(C2102,(H2102*N2102*IF(AND(Inputs!$B$38&lt;&gt;"pvp",Inputs!$B$43&gt;0),((Skills!G10*((R2102-1)*IF(Skills!H10&gt;0,Skills!I10/Skills!H10,1)+IF(Skills!H10&gt;0,MIN(Skills!I10,MAX(0,MAX(0,Inputs!$B$43-B2129)-((R2102-1)*(IF(Inputs!$B$38="pvp",15,MAX(0.1,Skills!D10-IF(Skills!E10=TRUE,Inputs!$B$32,0)))*(1-IF(AND(ArtifactsInput!$M$27,Inputs!$B$4="Chapter Hunt"),CHOOSE(ArtifactsInput!$N$27+1,20,24,28,32,36,40),0)/100)))))/Skills!H10,1)))/Inputs!$B$43),G2102*Q2102)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2102*(1-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2102*(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2102*(1-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2102*(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2">
        <f>IF(C2102,(H2102*N2102*IF(AND(Inputs!$B$38&lt;&gt;"pvp",Inputs!$B$43&gt;0),((Skills!G10*((R2102-1)*IF(Skills!H10&gt;0,Skills!I10/Skills!H10,1)+IF(Skills!H10&gt;0,MIN(Skills!I10,MAX(0,MAX(0,Inputs!$B$43-B2129)-((R2102-1)*(IF(Inputs!$B$38="pvp",15,MAX(0.1,Skills!D10-IF(Skills!E10=TRUE,Inputs!$B$32,0)))*(1-IF(AND(ArtifactsInput!$M$27,Inputs!$B$4="Chapter Hunt"),CHOOSE(ArtifactsInput!$N$27+1,20,24,28,32,36,40),0)/100)))))/Skills!H10,1)))/Inputs!$B$43),G2102*Q2102))*IF(Inputs!$B$38="pvp",1,(1+(Inputs!$B$21+Skills!Q10+(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3">
      <c r="A2103">
        <f>Skills!A11</f>
        <v/>
      </c>
      <c r="B2103">
        <f>Skills!B11</f>
        <v/>
      </c>
      <c r="C2103">
        <f>Inputs!$B$3&gt;=107</f>
        <v/>
      </c>
      <c r="D2103">
        <f>IF(Skills!C11=1,60+Inputs!$B$25+Inputs!$B$29,IF(Skills!C11=2,90+Inputs!$B$26+Inputs!$B$29,IF(Skills!C11=3,120+Inputs!$B$27+Inputs!$B$29,MAX(0,(Inputs!$B$3-100)*3)+Inputs!$B$28+Inputs!$B$29)))</f>
        <v/>
      </c>
      <c r="E2103">
        <f>INDEX(FactorTable!$B$2:$Y$301, MATCH(ROUND(MIN(300,MAX(1,D2103)),0), FactorTable!$A$2:$A$301,0), Skills!M11+1)</f>
        <v/>
      </c>
      <c r="F2103">
        <f>IF(Skills!N11=TRUE,(Skills!L11/10)*(E2103/1000),Skills!L11/10)+Skills!O11</f>
        <v/>
      </c>
      <c r="G2103">
        <f>Skills!G11*IF(Skills!H11&gt;0,Skills!I11/Skills!H11,1)</f>
        <v/>
      </c>
      <c r="H2103">
        <f>1-(1-Skills!J11/100)^Skills!K11</f>
        <v/>
      </c>
      <c r="I2103" t="inlineStr">
        <is>
          <t>1</t>
        </is>
      </c>
      <c r="J2103">
        <f>((Inputs!$B$6*(1+Inputs!$B$7/100))+(((Inputs!$B$12*(1+Inputs!$B$13/100))-(Inputs!$B$12*(1+Inputs!$B$13/100)))+0.25*(Inputs!$B$14-Inputs!$B$14))*(1+Inputs!$B$7/100))*(F2103/100)</f>
        <v/>
      </c>
      <c r="K2103">
        <f>J2103*(1+((Inputs!$B$12*(1+Inputs!$B$13/100))*0.01+Inputs!$B$14*0.0025)/100)*(1+Inputs!$B$15/100)*(1+Inputs!$B$16/100)*(5000/(6000+Inputs!$B$42*(1-(100*(1-(1-(Inputs!$B$19+0)/100)*(1-CHOOSE(ArtifactsInput!$N$40+1,5,6,7,8,9,10)/100)^(ArtifactsInput!$M$40-ArtifactsInput!$M$40)))/100)))*(1+(Inputs!$B$24+((C2118=TRUE)*(F2118-Calc!F26))+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2115=TRUE)*(F2115-Calc!F23))+((C2119=TRUE)*(F2119-Calc!F27))+(((IF(AND(ArtifactsInput!$M$42,((Inputs!$B$9+((C2111=TRUE)*(F2111-Calc!F19))+B2122+(ArtifactsInput!$M$24-ArtifactsInput!$M$24)*CHOOSE(ArtifactsInput!$N$24+1,10,12,14,16,18,20)+IF(ArtifactsInput!$M$10,CHOOSE(ArtifactsInput!$N$10+1,15,18,21,24,27,30)*(IF(Inputs!$B$38="pvp",MIN(15,15)/15,IF(AND(Inputs!$B$38&lt;&gt;"pvp",Inputs!$B$43&gt;0),MIN(15,Inputs!$B$43)/(Inputs!$B$43),0))),0)))&gt;=100),MIN(100,((Inputs!$B$9+((C2111=TRUE)*(F2111-Calc!F19))+B2122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2111=TRUE)*(F2111-Calc!F19))+B2122+(ArtifactsInput!$M$24-ArtifactsInput!$M$24)*CHOOSE(ArtifactsInput!$N$24+1,10,12,14,16,18,20)+IF(ArtifactsInput!$M$10,CHOOSE(ArtifactsInput!$N$10+1,15,18,21,24,27,30)*(IF(Inputs!$B$38="pvp",MIN(15,15)/15,IF(AND(Inputs!$B$38&lt;&gt;"pvp",Inputs!$B$43&gt;0),MIN(15,Inputs!$B$43)/(Inputs!$B$43),0))),0)))&gt;=100),CHOOSE(ArtifactsInput!$N$42+1,40,48,56,64,72,80),0))))/100)*((1+(((C2109=TRUE)*F2109)+((C2116=TRUE)*(F2116-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2103)</f>
        <v/>
      </c>
      <c r="L2103">
        <f>K2103*(MIN(Inputs!$B$22+((C2114=TRUE)*(F2114-Calc!F22)),(Inputs!$B$23+0+(IF(ArtifactsInput!$M$15,CHOOSE(ArtifactsInput!$N$15+1,25,30,35,40,45,50)/100*(Inputs!$B$11-Inputs!$B$11),0))))/100+(Inputs!$B$23+0+(IF(ArtifactsInput!$M$15,CHOOSE(ArtifactsInput!$N$15+1,25,30,35,40,45,50)/100*(Inputs!$B$11-Inputs!$B$11),0)))/100)/2</f>
        <v/>
      </c>
      <c r="M2103">
        <f>L2103*(1+(Inputs!$B$10+((C2117=TRUE)*(F2117-Calc!F25))+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3">
        <f>L2103*(1-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2103*(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3">
        <f>(1-Summary!$B$11)*T2103+Summary!$B$11*V2103</f>
        <v/>
      </c>
      <c r="P2103">
        <f>IF(B2132=0,0,O2103/B2132)</f>
        <v/>
      </c>
      <c r="Q2103">
        <f>IFERROR(1/(IF(Inputs!$B$38="pvp",15,MAX(0.1,Skills!D11-IF(Skills!E11=TRUE,Inputs!$B$32,0)))*(1-IF(AND(ArtifactsInput!$M$27,Inputs!$B$4="Chapter Hunt"),CHOOSE(ArtifactsInput!$N$27+1,20,24,28,32,36,40),0)/100)),0)</f>
        <v/>
      </c>
      <c r="R2103">
        <f>IF(AND(Inputs!$B$38&lt;&gt;"pvp",Inputs!$B$43&gt;0),IF(MAX(0,Inputs!$B$43-B2129)&lt;=0,0,(INT(MAX(0,Inputs!$B$43-B2129)/(IF(Inputs!$B$38="pvp",15,MAX(0.1,Skills!D11-IF(Skills!E11=TRUE,Inputs!$B$32,0)))*(1-IF(AND(ArtifactsInput!$M$27,Inputs!$B$4="Chapter Hunt"),CHOOSE(ArtifactsInput!$N$27+1,20,24,28,32,36,40),0)/100)))+1)),0)</f>
        <v/>
      </c>
      <c r="S2103">
        <f>IFERROR(O2103/N2103,0)</f>
        <v/>
      </c>
      <c r="T2103">
        <f>IF(C2103,(H2103*N2103*IF(AND(Inputs!$B$38&lt;&gt;"pvp",Inputs!$B$43&gt;0),((Skills!G11*((R2103-1)*IF(Skills!H11&gt;0,Skills!I11/Skills!H11,1)+IF(Skills!H11&gt;0,MIN(Skills!I11,MAX(0,MAX(0,Inputs!$B$43-B2129)-((R2103-1)*(IF(Inputs!$B$38="pvp",15,MAX(0.1,Skills!D11-IF(Skills!E11=TRUE,Inputs!$B$32,0)))*(1-IF(AND(ArtifactsInput!$M$27,Inputs!$B$4="Chapter Hunt"),CHOOSE(ArtifactsInput!$N$27+1,20,24,28,32,36,40),0)/100)))))/Skills!H11,1)))/Inputs!$B$43),G2103*Q2103)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2103*(1-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2103*(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2103*(1-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2103*(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3">
        <f>IF(C2103,(H2103*N2103*IF(AND(Inputs!$B$38&lt;&gt;"pvp",Inputs!$B$43&gt;0),((Skills!G11*((R2103-1)*IF(Skills!H11&gt;0,Skills!I11/Skills!H11,1)+IF(Skills!H11&gt;0,MIN(Skills!I11,MAX(0,MAX(0,Inputs!$B$43-B2129)-((R2103-1)*(IF(Inputs!$B$38="pvp",15,MAX(0.1,Skills!D11-IF(Skills!E11=TRUE,Inputs!$B$32,0)))*(1-IF(AND(ArtifactsInput!$M$27,Inputs!$B$4="Chapter Hunt"),CHOOSE(ArtifactsInput!$N$27+1,20,24,28,32,36,40),0)/100)))))/Skills!H11,1)))/Inputs!$B$43),G2103*Q2103))*IF(Inputs!$B$38="pvp",1,(1+(Inputs!$B$21+Skills!Q11+(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4">
      <c r="A2104">
        <f>Skills!A12</f>
        <v/>
      </c>
      <c r="B2104">
        <f>Skills!B12</f>
        <v/>
      </c>
      <c r="C2104">
        <f>Inputs!$B$3&gt;=110</f>
        <v/>
      </c>
      <c r="D2104">
        <f>IF(Skills!C12=1,60+Inputs!$B$25+Inputs!$B$29,IF(Skills!C12=2,90+Inputs!$B$26+Inputs!$B$29,IF(Skills!C12=3,120+Inputs!$B$27+Inputs!$B$29,MAX(0,(Inputs!$B$3-100)*3)+Inputs!$B$28+Inputs!$B$29)))</f>
        <v/>
      </c>
      <c r="E2104">
        <f>INDEX(FactorTable!$B$2:$Y$301, MATCH(ROUND(MIN(300,MAX(1,D2104)),0), FactorTable!$A$2:$A$301,0), Skills!M12+1)</f>
        <v/>
      </c>
      <c r="F2104">
        <f>IF(Skills!N12=TRUE,(Skills!L12/10)*(E2104/1000),Skills!L12/10)+Skills!O12</f>
        <v/>
      </c>
      <c r="G2104">
        <f>Skills!G12*IF(Skills!H12&gt;0,Skills!I12/Skills!H12,1)</f>
        <v/>
      </c>
      <c r="H2104">
        <f>1-(1-Skills!J12/100)^Skills!K12</f>
        <v/>
      </c>
      <c r="I2104" t="inlineStr">
        <is>
          <t>1</t>
        </is>
      </c>
      <c r="J2104">
        <f>((Inputs!$B$6*(1+Inputs!$B$7/100))+(((Inputs!$B$12*(1+Inputs!$B$13/100))-(Inputs!$B$12*(1+Inputs!$B$13/100)))+0.25*(Inputs!$B$14-Inputs!$B$14))*(1+Inputs!$B$7/100))*(F2104/100)</f>
        <v/>
      </c>
      <c r="K2104">
        <f>J2104*(1+((Inputs!$B$12*(1+Inputs!$B$13/100))*0.01+Inputs!$B$14*0.0025)/100)*(1+Inputs!$B$15/100)*(1+Inputs!$B$16/100)*(5000/(6000+Inputs!$B$42*(1-(100*(1-(1-(Inputs!$B$19+0)/100)*(1-CHOOSE(ArtifactsInput!$N$40+1,5,6,7,8,9,10)/100)^(ArtifactsInput!$M$40-ArtifactsInput!$M$40)))/100)))*(1+(Inputs!$B$24+((C2118=TRUE)*(F2118-Calc!F26))+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2115=TRUE)*(F2115-Calc!F23))+((C2119=TRUE)*(F2119-Calc!F27))+(((IF(AND(ArtifactsInput!$M$42,((Inputs!$B$9+((C2111=TRUE)*(F2111-Calc!F19))+B2122+(ArtifactsInput!$M$24-ArtifactsInput!$M$24)*CHOOSE(ArtifactsInput!$N$24+1,10,12,14,16,18,20)+IF(ArtifactsInput!$M$10,CHOOSE(ArtifactsInput!$N$10+1,15,18,21,24,27,30)*(IF(Inputs!$B$38="pvp",MIN(15,15)/15,IF(AND(Inputs!$B$38&lt;&gt;"pvp",Inputs!$B$43&gt;0),MIN(15,Inputs!$B$43)/(Inputs!$B$43),0))),0)))&gt;=100),MIN(100,((Inputs!$B$9+((C2111=TRUE)*(F2111-Calc!F19))+B2122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2111=TRUE)*(F2111-Calc!F19))+B2122+(ArtifactsInput!$M$24-ArtifactsInput!$M$24)*CHOOSE(ArtifactsInput!$N$24+1,10,12,14,16,18,20)+IF(ArtifactsInput!$M$10,CHOOSE(ArtifactsInput!$N$10+1,15,18,21,24,27,30)*(IF(Inputs!$B$38="pvp",MIN(15,15)/15,IF(AND(Inputs!$B$38&lt;&gt;"pvp",Inputs!$B$43&gt;0),MIN(15,Inputs!$B$43)/(Inputs!$B$43),0))),0)))&gt;=100),CHOOSE(ArtifactsInput!$N$42+1,40,48,56,64,72,80),0))))/100)*((1+(((C2109=TRUE)*F2109)+((C2116=TRUE)*(F2116-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2104)</f>
        <v/>
      </c>
      <c r="L2104">
        <f>K2104*(MIN(Inputs!$B$22+((C2114=TRUE)*(F2114-Calc!F22)),(Inputs!$B$23+0+(IF(ArtifactsInput!$M$15,CHOOSE(ArtifactsInput!$N$15+1,25,30,35,40,45,50)/100*(Inputs!$B$11-Inputs!$B$11),0))))/100+(Inputs!$B$23+0+(IF(ArtifactsInput!$M$15,CHOOSE(ArtifactsInput!$N$15+1,25,30,35,40,45,50)/100*(Inputs!$B$11-Inputs!$B$11),0)))/100)/2</f>
        <v/>
      </c>
      <c r="M2104">
        <f>L2104*(1+(Inputs!$B$10+((C2117=TRUE)*(F2117-Calc!F25))+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4">
        <f>L2104*(1-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2104*(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4">
        <f>(1-Summary!$B$11)*T2104+Summary!$B$11*V2104</f>
        <v/>
      </c>
      <c r="P2104">
        <f>IF(B2132=0,0,O2104/B2132)</f>
        <v/>
      </c>
      <c r="Q2104">
        <f>IFERROR(1/(IF(Inputs!$B$38="pvp",15,MAX(0.1,Skills!D12-IF(Skills!E12=TRUE,Inputs!$B$32,0)))*(1-IF(AND(ArtifactsInput!$M$27,Inputs!$B$4="Chapter Hunt"),CHOOSE(ArtifactsInput!$N$27+1,20,24,28,32,36,40),0)/100)),0)</f>
        <v/>
      </c>
      <c r="R2104">
        <f>IF(AND(Inputs!$B$38&lt;&gt;"pvp",Inputs!$B$43&gt;0),IF(MAX(0,Inputs!$B$43-B2129)&lt;=0,0,(INT(MAX(0,Inputs!$B$43-B2129)/(IF(Inputs!$B$38="pvp",15,MAX(0.1,Skills!D12-IF(Skills!E12=TRUE,Inputs!$B$32,0)))*(1-IF(AND(ArtifactsInput!$M$27,Inputs!$B$4="Chapter Hunt"),CHOOSE(ArtifactsInput!$N$27+1,20,24,28,32,36,40),0)/100)))+1)),0)</f>
        <v/>
      </c>
      <c r="S2104">
        <f>IFERROR(O2104/N2104,0)</f>
        <v/>
      </c>
      <c r="T2104">
        <f>IF(C2104,(H2104*N2104*IF(AND(Inputs!$B$38&lt;&gt;"pvp",Inputs!$B$43&gt;0),((Skills!G12*((R2104-1)*IF(Skills!H12&gt;0,Skills!I12/Skills!H12,1)+IF(Skills!H12&gt;0,MIN(Skills!I12,MAX(0,MAX(0,Inputs!$B$43-B2129)-((R2104-1)*(IF(Inputs!$B$38="pvp",15,MAX(0.1,Skills!D12-IF(Skills!E12=TRUE,Inputs!$B$32,0)))*(1-IF(AND(ArtifactsInput!$M$27,Inputs!$B$4="Chapter Hunt"),CHOOSE(ArtifactsInput!$N$27+1,20,24,28,32,36,40),0)/100)))))/Skills!H12,1)))/Inputs!$B$43),G2104*Q2104)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2104*(1-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2104*(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2104*(1-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2104*(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4">
        <f>IF(C2104,(H2104*N2104*IF(AND(Inputs!$B$38&lt;&gt;"pvp",Inputs!$B$43&gt;0),((Skills!G12*((R2104-1)*IF(Skills!H12&gt;0,Skills!I12/Skills!H12,1)+IF(Skills!H12&gt;0,MIN(Skills!I12,MAX(0,MAX(0,Inputs!$B$43-B2129)-((R2104-1)*(IF(Inputs!$B$38="pvp",15,MAX(0.1,Skills!D12-IF(Skills!E12=TRUE,Inputs!$B$32,0)))*(1-IF(AND(ArtifactsInput!$M$27,Inputs!$B$4="Chapter Hunt"),CHOOSE(ArtifactsInput!$N$27+1,20,24,28,32,36,40),0)/100)))))/Skills!H12,1)))/Inputs!$B$43),G2104*Q2104))*IF(Inputs!$B$38="pvp",1,(1+(Inputs!$B$21+Skills!Q12+(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5">
      <c r="A2105">
        <f>Skills!A13</f>
        <v/>
      </c>
      <c r="B2105">
        <f>Skills!B13</f>
        <v/>
      </c>
      <c r="C2105">
        <f>Inputs!$B$3&gt;=110</f>
        <v/>
      </c>
      <c r="D2105">
        <f>IF(Skills!C13=1,60+Inputs!$B$25+Inputs!$B$29,IF(Skills!C13=2,90+Inputs!$B$26+Inputs!$B$29,IF(Skills!C13=3,120+Inputs!$B$27+Inputs!$B$29,MAX(0,(Inputs!$B$3-100)*3)+Inputs!$B$28+Inputs!$B$29)))</f>
        <v/>
      </c>
      <c r="E2105">
        <f>INDEX(FactorTable!$B$2:$Y$301, MATCH(ROUND(MIN(300,MAX(1,D2105)),0), FactorTable!$A$2:$A$301,0), Skills!M13+1)</f>
        <v/>
      </c>
      <c r="F2105">
        <f>IF(Skills!N13=TRUE,(Skills!L13/10)*(E2105/1000),Skills!L13/10)+Skills!O13</f>
        <v/>
      </c>
      <c r="G2105">
        <f>Skills!G13*IF(Skills!H13&gt;0,Skills!I13/Skills!H13,1)</f>
        <v/>
      </c>
      <c r="H2105">
        <f>1-(1-Skills!J13/100)^Skills!K13</f>
        <v/>
      </c>
      <c r="I2105" t="inlineStr">
        <is>
          <t>1</t>
        </is>
      </c>
      <c r="J2105">
        <f>((Inputs!$B$6*(1+Inputs!$B$7/100))+(((Inputs!$B$12*(1+Inputs!$B$13/100))-(Inputs!$B$12*(1+Inputs!$B$13/100)))+0.25*(Inputs!$B$14-Inputs!$B$14))*(1+Inputs!$B$7/100))*(F2105/100)</f>
        <v/>
      </c>
      <c r="K2105">
        <f>J2105*(1+((Inputs!$B$12*(1+Inputs!$B$13/100))*0.01+Inputs!$B$14*0.0025)/100)*(1+Inputs!$B$15/100)*(1+Inputs!$B$16/100)*(5000/(6000+Inputs!$B$42*(1-(100*(1-(1-(Inputs!$B$19+0)/100)*(1-CHOOSE(ArtifactsInput!$N$40+1,5,6,7,8,9,10)/100)^(ArtifactsInput!$M$40-ArtifactsInput!$M$40)))/100)))*(1+(Inputs!$B$24+((C2118=TRUE)*(F2118-Calc!F26))+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2115=TRUE)*(F2115-Calc!F23))+((C2119=TRUE)*(F2119-Calc!F27))+(((IF(AND(ArtifactsInput!$M$42,((Inputs!$B$9+((C2111=TRUE)*(F2111-Calc!F19))+B2122+(ArtifactsInput!$M$24-ArtifactsInput!$M$24)*CHOOSE(ArtifactsInput!$N$24+1,10,12,14,16,18,20)+IF(ArtifactsInput!$M$10,CHOOSE(ArtifactsInput!$N$10+1,15,18,21,24,27,30)*(IF(Inputs!$B$38="pvp",MIN(15,15)/15,IF(AND(Inputs!$B$38&lt;&gt;"pvp",Inputs!$B$43&gt;0),MIN(15,Inputs!$B$43)/(Inputs!$B$43),0))),0)))&gt;=100),MIN(100,((Inputs!$B$9+((C2111=TRUE)*(F2111-Calc!F19))+B2122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2111=TRUE)*(F2111-Calc!F19))+B2122+(ArtifactsInput!$M$24-ArtifactsInput!$M$24)*CHOOSE(ArtifactsInput!$N$24+1,10,12,14,16,18,20)+IF(ArtifactsInput!$M$10,CHOOSE(ArtifactsInput!$N$10+1,15,18,21,24,27,30)*(IF(Inputs!$B$38="pvp",MIN(15,15)/15,IF(AND(Inputs!$B$38&lt;&gt;"pvp",Inputs!$B$43&gt;0),MIN(15,Inputs!$B$43)/(Inputs!$B$43),0))),0)))&gt;=100),CHOOSE(ArtifactsInput!$N$42+1,40,48,56,64,72,80),0))))/100)*((1+(((C2109=TRUE)*F2109)+((C2116=TRUE)*(F2116-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2105)</f>
        <v/>
      </c>
      <c r="L2105">
        <f>K2105*(MIN(Inputs!$B$22+((C2114=TRUE)*(F2114-Calc!F22)),(Inputs!$B$23+0+(IF(ArtifactsInput!$M$15,CHOOSE(ArtifactsInput!$N$15+1,25,30,35,40,45,50)/100*(Inputs!$B$11-Inputs!$B$11),0))))/100+(Inputs!$B$23+0+(IF(ArtifactsInput!$M$15,CHOOSE(ArtifactsInput!$N$15+1,25,30,35,40,45,50)/100*(Inputs!$B$11-Inputs!$B$11),0)))/100)/2</f>
        <v/>
      </c>
      <c r="M2105">
        <f>L2105*(1+(Inputs!$B$10+((C2117=TRUE)*(F2117-Calc!F25))+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5">
        <f>L2105*(1-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2105*(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5">
        <f>(1-Summary!$B$11)*T2105+Summary!$B$11*V2105</f>
        <v/>
      </c>
      <c r="P2105">
        <f>IF(B2132=0,0,O2105/B2132)</f>
        <v/>
      </c>
      <c r="Q2105">
        <f>IFERROR(1/(IF(Inputs!$B$38="pvp",15,MAX(0.1,Skills!D13-IF(Skills!E13=TRUE,Inputs!$B$32,0)))*(1-IF(AND(ArtifactsInput!$M$27,Inputs!$B$4="Chapter Hunt"),CHOOSE(ArtifactsInput!$N$27+1,20,24,28,32,36,40),0)/100)),0)</f>
        <v/>
      </c>
      <c r="R2105">
        <f>IF(AND(Inputs!$B$38&lt;&gt;"pvp",Inputs!$B$43&gt;0),IF(MAX(0,Inputs!$B$43-B2129)&lt;=0,0,(INT(MAX(0,Inputs!$B$43-B2129)/(IF(Inputs!$B$38="pvp",15,MAX(0.1,Skills!D13-IF(Skills!E13=TRUE,Inputs!$B$32,0)))*(1-IF(AND(ArtifactsInput!$M$27,Inputs!$B$4="Chapter Hunt"),CHOOSE(ArtifactsInput!$N$27+1,20,24,28,32,36,40),0)/100)))+1)),0)</f>
        <v/>
      </c>
      <c r="S2105">
        <f>IFERROR(O2105/N2105,0)</f>
        <v/>
      </c>
      <c r="T2105">
        <f>IF(C2105,(H2105*N2105*IF(AND(Inputs!$B$38&lt;&gt;"pvp",Inputs!$B$43&gt;0),((Skills!G13*((R2105-1)*IF(Skills!H13&gt;0,Skills!I13/Skills!H13,1)+IF(Skills!H13&gt;0,MIN(Skills!I13,MAX(0,MAX(0,Inputs!$B$43-B2129)-((R2105-1)*(IF(Inputs!$B$38="pvp",15,MAX(0.1,Skills!D13-IF(Skills!E13=TRUE,Inputs!$B$32,0)))*(1-IF(AND(ArtifactsInput!$M$27,Inputs!$B$4="Chapter Hunt"),CHOOSE(ArtifactsInput!$N$27+1,20,24,28,32,36,40),0)/100)))))/Skills!H13,1)))/Inputs!$B$43),G2105*Q2105))*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2105*(1-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2105*(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2105*(1-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2105*(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5">
        <f>IF(C2105,(H2105*N2105*IF(AND(Inputs!$B$38&lt;&gt;"pvp",Inputs!$B$43&gt;0),((Skills!G13*((R2105-1)*IF(Skills!H13&gt;0,Skills!I13/Skills!H13,1)+IF(Skills!H13&gt;0,MIN(Skills!I13,MAX(0,MAX(0,Inputs!$B$43-B2129)-((R2105-1)*(IF(Inputs!$B$38="pvp",15,MAX(0.1,Skills!D13-IF(Skills!E13=TRUE,Inputs!$B$32,0)))*(1-IF(AND(ArtifactsInput!$M$27,Inputs!$B$4="Chapter Hunt"),CHOOSE(ArtifactsInput!$N$27+1,20,24,28,32,36,40),0)/100)))))/Skills!H13,1)))/Inputs!$B$43),G2105*Q2105))*IF(Inputs!$B$38="pvp",1,(1+(Inputs!$B$21+Skills!Q13+(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6">
      <c r="A2106">
        <f>Skills!A14</f>
        <v/>
      </c>
      <c r="B2106">
        <f>Skills!B14</f>
        <v/>
      </c>
      <c r="C2106">
        <f>Inputs!$B$3&gt;=125</f>
        <v/>
      </c>
      <c r="D2106">
        <f>IF(Skills!C14=1,60+Inputs!$B$25+Inputs!$B$29,IF(Skills!C14=2,90+Inputs!$B$26+Inputs!$B$29,IF(Skills!C14=3,120+Inputs!$B$27+Inputs!$B$29,MAX(0,(Inputs!$B$3-100)*3)+Inputs!$B$28+Inputs!$B$29)))</f>
        <v/>
      </c>
      <c r="E2106">
        <f>INDEX(FactorTable!$B$2:$Y$301, MATCH(ROUND(MIN(300,MAX(1,D2106)),0), FactorTable!$A$2:$A$301,0), Skills!M14+1)</f>
        <v/>
      </c>
      <c r="F2106">
        <f>IF(Skills!N14=TRUE,(Skills!L14/10)*(E2106/1000),Skills!L14/10)+Skills!O14</f>
        <v/>
      </c>
      <c r="G2106">
        <f>Skills!G14*IF(Skills!H14&gt;0,Skills!I14/Skills!H14,1)</f>
        <v/>
      </c>
      <c r="H2106">
        <f>1-(1-Skills!J14/100)^Skills!K14</f>
        <v/>
      </c>
      <c r="I2106" t="inlineStr">
        <is>
          <t>1</t>
        </is>
      </c>
      <c r="J2106">
        <f>((Inputs!$B$6*(1+Inputs!$B$7/100))+(((Inputs!$B$12*(1+Inputs!$B$13/100))-(Inputs!$B$12*(1+Inputs!$B$13/100)))+0.25*(Inputs!$B$14-Inputs!$B$14))*(1+Inputs!$B$7/100))*(F2106/100)</f>
        <v/>
      </c>
      <c r="K2106">
        <f>J2106*(1+((Inputs!$B$12*(1+Inputs!$B$13/100))*0.01+Inputs!$B$14*0.0025)/100)*(1+Inputs!$B$15/100)*(1+Inputs!$B$16/100)*(5000/(6000+Inputs!$B$42*(1-(100*(1-(1-(Inputs!$B$19+0)/100)*(1-CHOOSE(ArtifactsInput!$N$40+1,5,6,7,8,9,10)/100)^(ArtifactsInput!$M$40-ArtifactsInput!$M$40)))/100)))*(1+(Inputs!$B$24+((C2118=TRUE)*(F2118-Calc!F26))+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2115=TRUE)*(F2115-Calc!F23))+((C2119=TRUE)*(F2119-Calc!F27))+(((IF(AND(ArtifactsInput!$M$42,((Inputs!$B$9+((C2111=TRUE)*(F2111-Calc!F19))+B2122+(ArtifactsInput!$M$24-ArtifactsInput!$M$24)*CHOOSE(ArtifactsInput!$N$24+1,10,12,14,16,18,20)+IF(ArtifactsInput!$M$10,CHOOSE(ArtifactsInput!$N$10+1,15,18,21,24,27,30)*(IF(Inputs!$B$38="pvp",MIN(15,15)/15,IF(AND(Inputs!$B$38&lt;&gt;"pvp",Inputs!$B$43&gt;0),MIN(15,Inputs!$B$43)/(Inputs!$B$43),0))),0)))&gt;=100),MIN(100,((Inputs!$B$9+((C2111=TRUE)*(F2111-Calc!F19))+B2122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2111=TRUE)*(F2111-Calc!F19))+B2122+(ArtifactsInput!$M$24-ArtifactsInput!$M$24)*CHOOSE(ArtifactsInput!$N$24+1,10,12,14,16,18,20)+IF(ArtifactsInput!$M$10,CHOOSE(ArtifactsInput!$N$10+1,15,18,21,24,27,30)*(IF(Inputs!$B$38="pvp",MIN(15,15)/15,IF(AND(Inputs!$B$38&lt;&gt;"pvp",Inputs!$B$43&gt;0),MIN(15,Inputs!$B$43)/(Inputs!$B$43),0))),0)))&gt;=100),CHOOSE(ArtifactsInput!$N$42+1,40,48,56,64,72,80),0))))/100)*((1+(((C2109=TRUE)*F2109)+((C2116=TRUE)*(F2116-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2106)</f>
        <v/>
      </c>
      <c r="L2106">
        <f>K2106*(MIN(Inputs!$B$22+((C2114=TRUE)*(F2114-Calc!F22)),(Inputs!$B$23+0+(IF(ArtifactsInput!$M$15,CHOOSE(ArtifactsInput!$N$15+1,25,30,35,40,45,50)/100*(Inputs!$B$11-Inputs!$B$11),0))))/100+(Inputs!$B$23+0+(IF(ArtifactsInput!$M$15,CHOOSE(ArtifactsInput!$N$15+1,25,30,35,40,45,50)/100*(Inputs!$B$11-Inputs!$B$11),0)))/100)/2</f>
        <v/>
      </c>
      <c r="M2106">
        <f>L2106*(1+(Inputs!$B$10+((C2117=TRUE)*(F2117-Calc!F25))+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6">
        <f>L2106*(1-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2106*(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6">
        <f>(1-Summary!$B$11)*T2106+Summary!$B$11*V2106</f>
        <v/>
      </c>
      <c r="P2106">
        <f>IF(B2132=0,0,O2106/B2132)</f>
        <v/>
      </c>
      <c r="Q2106" t="n">
        <v>0</v>
      </c>
      <c r="R2106" t="n">
        <v>0</v>
      </c>
      <c r="S2106">
        <f>IFERROR(O2106/N2106,0)</f>
        <v/>
      </c>
      <c r="T2106">
        <f>IF(C2106,(H2106*N2106*(B2126+IF(AND(Inputs!$B$38&lt;&gt;"pvp",Inputs!$B$43&gt;0),((Skills!G8*((R2100-1)*IF(Skills!H8&gt;0,Skills!I8/Skills!H8,1)+IF(Skills!H8&gt;0,MIN(Skills!I8,MAX(0,MAX(0,Inputs!$B$43-B2129)-((R2100-1)*(IF(Inputs!$B$38="pvp",15,MAX(0.1,Skills!D8-IF(Skills!E8=TRUE,Inputs!$B$32,0)))*(1-IF(AND(ArtifactsInput!$M$27,Inputs!$B$4="Chapter Hunt"),CHOOSE(ArtifactsInput!$N$27+1,20,24,28,32,36,40),0)/100)))))/Skills!H8,1)))/Inputs!$B$43),G2100*Q2100)+IF(AND(Inputs!$B$38&lt;&gt;"pvp",Inputs!$B$43&gt;0),((Skills!G11*((R2103-1)*IF(Skills!H11&gt;0,Skills!I11/Skills!H11,1)+IF(Skills!H11&gt;0,MIN(Skills!I11,MAX(0,MAX(0,Inputs!$B$43-B2129)-((R2103-1)*(IF(Inputs!$B$38="pvp",15,MAX(0.1,Skills!D11-IF(Skills!E11=TRUE,Inputs!$B$32,0)))*(1-IF(AND(ArtifactsInput!$M$27,Inputs!$B$4="Chapter Hunt"),CHOOSE(ArtifactsInput!$N$27+1,20,24,28,32,36,40),0)/100)))))/Skills!H11,1)))/Inputs!$B$43),G2103*Q2103)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2106*(1-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2106*(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2106*(1-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2106*(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6">
        <f>IF(C2106,(H2106*N2106*(B2126+IF(AND(Inputs!$B$38&lt;&gt;"pvp",Inputs!$B$43&gt;0),((Skills!G8*((R2100-1)*IF(Skills!H8&gt;0,Skills!I8/Skills!H8,1)+IF(Skills!H8&gt;0,MIN(Skills!I8,MAX(0,MAX(0,Inputs!$B$43-B2129)-((R2100-1)*(IF(Inputs!$B$38="pvp",15,MAX(0.1,Skills!D8-IF(Skills!E8=TRUE,Inputs!$B$32,0)))*(1-IF(AND(ArtifactsInput!$M$27,Inputs!$B$4="Chapter Hunt"),CHOOSE(ArtifactsInput!$N$27+1,20,24,28,32,36,40),0)/100)))))/Skills!H8,1)))/Inputs!$B$43),G2100*Q2100)+IF(AND(Inputs!$B$38&lt;&gt;"pvp",Inputs!$B$43&gt;0),((Skills!G11*((R2103-1)*IF(Skills!H11&gt;0,Skills!I11/Skills!H11,1)+IF(Skills!H11&gt;0,MIN(Skills!I11,MAX(0,MAX(0,Inputs!$B$43-B2129)-((R2103-1)*(IF(Inputs!$B$38="pvp",15,MAX(0.1,Skills!D11-IF(Skills!E11=TRUE,Inputs!$B$32,0)))*(1-IF(AND(ArtifactsInput!$M$27,Inputs!$B$4="Chapter Hunt"),CHOOSE(ArtifactsInput!$N$27+1,20,24,28,32,36,40),0)/100)))))/Skills!H11,1)))/Inputs!$B$43),G2103*Q2103)))*IF(Inputs!$B$38="pvp",1,(1+(Inputs!$B$21+Skills!Q14+(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7">
      <c r="A2107">
        <f>Skills!A15</f>
        <v/>
      </c>
      <c r="B2107">
        <f>Skills!B15</f>
        <v/>
      </c>
      <c r="C2107">
        <f>Inputs!$B$3&gt;=100</f>
        <v/>
      </c>
      <c r="D2107">
        <f>IF(Skills!C15=1,60+Inputs!$B$25+Inputs!$B$29,IF(Skills!C15=2,90+Inputs!$B$26+Inputs!$B$29,IF(Skills!C15=3,120+Inputs!$B$27+Inputs!$B$29,MAX(0,(Inputs!$B$3-100)*3)+Inputs!$B$28+Inputs!$B$29)))</f>
        <v/>
      </c>
      <c r="E2107">
        <f>INDEX(FactorTable!$B$2:$Y$301, MATCH(ROUND(MIN(300,MAX(1,D2107)),0), FactorTable!$A$2:$A$301,0), Skills!M15+1)</f>
        <v/>
      </c>
      <c r="F2107">
        <f>IF(Skills!N15=TRUE,(Skills!L15/10)*(E2107/1000),Skills!L15/10)+Skills!O15</f>
        <v/>
      </c>
      <c r="G2107" t="inlineStr"/>
      <c r="H2107" t="inlineStr"/>
      <c r="I2107" t="inlineStr">
        <is>
          <t>1</t>
        </is>
      </c>
      <c r="J2107" t="inlineStr"/>
      <c r="K2107" t="inlineStr"/>
      <c r="L2107" t="inlineStr"/>
      <c r="M2107" t="inlineStr"/>
      <c r="N2107" t="inlineStr"/>
      <c r="O2107" t="inlineStr"/>
      <c r="P2107" t="inlineStr"/>
      <c r="Q2107" t="inlineStr"/>
      <c r="R2107" t="inlineStr"/>
      <c r="S2107" t="inlineStr"/>
    </row>
    <row r="2108">
      <c r="A2108">
        <f>Skills!A16</f>
        <v/>
      </c>
      <c r="B2108">
        <f>Skills!B16</f>
        <v/>
      </c>
      <c r="C2108">
        <f>Inputs!$B$3&gt;=120</f>
        <v/>
      </c>
      <c r="D2108">
        <f>IF(Skills!C16=1,60+Inputs!$B$25+Inputs!$B$29,IF(Skills!C16=2,90+Inputs!$B$26+Inputs!$B$29,IF(Skills!C16=3,120+Inputs!$B$27+Inputs!$B$29,MAX(0,(Inputs!$B$3-100)*3)+Inputs!$B$28+Inputs!$B$29)))</f>
        <v/>
      </c>
      <c r="E2108">
        <f>INDEX(FactorTable!$B$2:$Y$301, MATCH(ROUND(MIN(300,MAX(1,D2108)),0), FactorTable!$A$2:$A$301,0), Skills!M16+1)</f>
        <v/>
      </c>
      <c r="F2108">
        <f>IF(Skills!N16=TRUE,(Skills!L16/10)*(E2108/1000),Skills!L16/10)+Skills!O16</f>
        <v/>
      </c>
      <c r="G2108" t="inlineStr"/>
      <c r="H2108" t="inlineStr"/>
      <c r="I2108" t="inlineStr">
        <is>
          <t>1</t>
        </is>
      </c>
      <c r="J2108" t="inlineStr"/>
      <c r="K2108" t="inlineStr"/>
      <c r="L2108" t="inlineStr"/>
      <c r="M2108" t="inlineStr"/>
      <c r="N2108" t="inlineStr"/>
      <c r="O2108" t="inlineStr"/>
      <c r="P2108" t="inlineStr"/>
      <c r="Q2108" t="inlineStr"/>
      <c r="R2108" t="inlineStr"/>
      <c r="S2108" t="inlineStr"/>
    </row>
    <row r="2109">
      <c r="A2109">
        <f>Skills!A17</f>
        <v/>
      </c>
      <c r="B2109">
        <f>Skills!B17</f>
        <v/>
      </c>
      <c r="C2109">
        <f>Inputs!$B$3&gt;=66</f>
        <v/>
      </c>
      <c r="D2109">
        <f>IF(Skills!C17=1,60+Inputs!$B$25+Inputs!$B$29,IF(Skills!C17=2,90+Inputs!$B$26+Inputs!$B$29,IF(Skills!C17=3,120+Inputs!$B$27+Inputs!$B$29,MAX(0,(Inputs!$B$3-100)*3)+Inputs!$B$28+Inputs!$B$29)))</f>
        <v/>
      </c>
      <c r="E2109">
        <f>INDEX(FactorTable!$B$2:$Y$301, MATCH(ROUND(MIN(300,MAX(1,D2109)),0), FactorTable!$A$2:$A$301,0), Skills!M17+1)</f>
        <v/>
      </c>
      <c r="F2109">
        <f>IF(Skills!N17=TRUE,(Skills!L17/10)*(E2109/1000),Skills!L17/10)+Skills!O17</f>
        <v/>
      </c>
      <c r="G2109">
        <f>Skills!G17*IF(Skills!H17&gt;0,Skills!I17/Skills!H17,1)</f>
        <v/>
      </c>
      <c r="H2109">
        <f>1-(1-Skills!J17/100)^Skills!K17</f>
        <v/>
      </c>
      <c r="I2109" t="inlineStr">
        <is>
          <t>1</t>
        </is>
      </c>
      <c r="J2109" t="inlineStr"/>
      <c r="K2109" t="inlineStr"/>
      <c r="L2109" t="inlineStr"/>
      <c r="M2109" t="inlineStr"/>
      <c r="N2109" t="inlineStr"/>
      <c r="O2109">
        <f>(1-Summary!$B$11)*T2109+Summary!$B$11*V2109</f>
        <v/>
      </c>
      <c r="P2109">
        <f>IF(B2132=0,0,O2109/B2132)</f>
        <v/>
      </c>
      <c r="Q2109" t="n">
        <v>0</v>
      </c>
      <c r="R2109" t="n">
        <v>0</v>
      </c>
      <c r="S2109">
        <f>IFERROR(O2109/N2109,0)</f>
        <v/>
      </c>
      <c r="T2109" t="n">
        <v>0</v>
      </c>
      <c r="V2109" t="n">
        <v>0</v>
      </c>
    </row>
    <row r="2110">
      <c r="A2110">
        <f>Skills!A18</f>
        <v/>
      </c>
      <c r="B2110">
        <f>Skills!B18</f>
        <v/>
      </c>
      <c r="C2110">
        <f>Inputs!$B$3&gt;=115</f>
        <v/>
      </c>
      <c r="D2110">
        <f>IF(Skills!C18=1,60+Inputs!$B$25+Inputs!$B$29,IF(Skills!C18=2,90+Inputs!$B$26+Inputs!$B$29,IF(Skills!C18=3,120+Inputs!$B$27+Inputs!$B$29,MAX(0,(Inputs!$B$3-100)*3)+Inputs!$B$28+Inputs!$B$29)))</f>
        <v/>
      </c>
      <c r="E2110">
        <f>INDEX(FactorTable!$B$2:$Y$301, MATCH(ROUND(MIN(300,MAX(1,D2110)),0), FactorTable!$A$2:$A$301,0), Skills!M18+1)</f>
        <v/>
      </c>
      <c r="F2110">
        <f>IF(Skills!N18=TRUE,(Skills!L18/10)*(E2110/1000),Skills!L18/10)+Skills!O18</f>
        <v/>
      </c>
      <c r="G2110">
        <f>Skills!G18*IF(Skills!H18&gt;0,Skills!I18/Skills!H18,1)</f>
        <v/>
      </c>
      <c r="H2110">
        <f>1-(1-Skills!J18/100)^Skills!K18</f>
        <v/>
      </c>
      <c r="I2110" t="inlineStr">
        <is>
          <t>1</t>
        </is>
      </c>
      <c r="J2110" t="inlineStr"/>
      <c r="K2110" t="inlineStr"/>
      <c r="L2110" t="inlineStr"/>
      <c r="M2110" t="inlineStr"/>
      <c r="N2110" t="inlineStr"/>
      <c r="O2110">
        <f>(1-Summary!$B$11)*T2110+Summary!$B$11*V2110</f>
        <v/>
      </c>
      <c r="P2110">
        <f>IF(B2132=0,0,O2110/B2132)</f>
        <v/>
      </c>
      <c r="Q2110" t="n">
        <v>0</v>
      </c>
      <c r="R2110" t="n">
        <v>0</v>
      </c>
      <c r="S2110">
        <f>IFERROR(O2110/N2110,0)</f>
        <v/>
      </c>
      <c r="T2110" t="n">
        <v>0</v>
      </c>
      <c r="V2110" t="n">
        <v>0</v>
      </c>
    </row>
    <row r="2111">
      <c r="A2111">
        <f>Skills!A19</f>
        <v/>
      </c>
      <c r="B2111">
        <f>Skills!B19</f>
        <v/>
      </c>
      <c r="C2111">
        <f>Inputs!$B$3&gt;=15</f>
        <v/>
      </c>
      <c r="D2111">
        <f>IF(Skills!C19=1,60+Inputs!$B$25+Inputs!$B$29,IF(Skills!C19=2,90+Inputs!$B$26+Inputs!$B$29,IF(Skills!C19=3,120+Inputs!$B$27+Inputs!$B$29,MAX(0,(Inputs!$B$3-100)*3)+Inputs!$B$28+Inputs!$B$29)))</f>
        <v/>
      </c>
      <c r="E2111">
        <f>INDEX(FactorTable!$B$2:$Y$301, MATCH(ROUND(MIN(300,MAX(1,D2111)),0), FactorTable!$A$2:$A$301,0), Skills!M19+1)</f>
        <v/>
      </c>
      <c r="F2111">
        <f>IF(Skills!N19=TRUE,(Skills!L19/10)*(E2111/1000),Skills!L19/10)+Skills!O19</f>
        <v/>
      </c>
      <c r="G2111">
        <f>Skills!G19*IF(Skills!H19&gt;0,Skills!I19/Skills!H19,1)</f>
        <v/>
      </c>
      <c r="H2111">
        <f>1-(1-Skills!J19/100)^Skills!K19</f>
        <v/>
      </c>
      <c r="I2111" t="inlineStr">
        <is>
          <t>1</t>
        </is>
      </c>
      <c r="J2111" t="inlineStr"/>
      <c r="K2111" t="inlineStr"/>
      <c r="L2111" t="inlineStr"/>
      <c r="M2111" t="inlineStr"/>
      <c r="N2111" t="inlineStr"/>
      <c r="O2111">
        <f>(1-Summary!$B$11)*T2111+Summary!$B$11*V2111</f>
        <v/>
      </c>
      <c r="P2111">
        <f>IF(B2132=0,0,O2111/B2132)</f>
        <v/>
      </c>
      <c r="Q2111" t="n">
        <v>0</v>
      </c>
      <c r="R2111" t="n">
        <v>0</v>
      </c>
      <c r="S2111">
        <f>IFERROR(O2111/N2111,0)</f>
        <v/>
      </c>
      <c r="T2111" t="n">
        <v>0</v>
      </c>
      <c r="V2111" t="n">
        <v>0</v>
      </c>
    </row>
    <row r="2112">
      <c r="A2112">
        <f>Skills!A20</f>
        <v/>
      </c>
      <c r="B2112">
        <f>Skills!B20</f>
        <v/>
      </c>
      <c r="C2112">
        <f>Inputs!$B$3&gt;=10</f>
        <v/>
      </c>
      <c r="D2112">
        <f>IF(Skills!C20=1,60+Inputs!$B$25+Inputs!$B$29,IF(Skills!C20=2,90+Inputs!$B$26+Inputs!$B$29,IF(Skills!C20=3,120+Inputs!$B$27+Inputs!$B$29,MAX(0,(Inputs!$B$3-100)*3)+Inputs!$B$28+Inputs!$B$29)))</f>
        <v/>
      </c>
      <c r="E2112">
        <f>INDEX(FactorTable!$B$2:$Y$301, MATCH(ROUND(MIN(300,MAX(1,D2112)),0), FactorTable!$A$2:$A$301,0), Skills!M20+1)</f>
        <v/>
      </c>
      <c r="F2112">
        <f>IF(Skills!N20=TRUE,(Skills!L20/10)*(E2112/1000),Skills!L20/10)+Skills!O20</f>
        <v/>
      </c>
      <c r="G2112">
        <f>Skills!G20*IF(Skills!H20&gt;0,Skills!I20/Skills!H20,1)</f>
        <v/>
      </c>
      <c r="H2112">
        <f>1-(1-Skills!J20/100)^Skills!K20</f>
        <v/>
      </c>
      <c r="I2112" t="inlineStr">
        <is>
          <t>1</t>
        </is>
      </c>
      <c r="J2112" t="inlineStr"/>
      <c r="K2112" t="inlineStr"/>
      <c r="L2112" t="inlineStr"/>
      <c r="M2112" t="inlineStr"/>
      <c r="N2112" t="inlineStr"/>
      <c r="O2112">
        <f>(1-Summary!$B$11)*T2112+Summary!$B$11*V2112</f>
        <v/>
      </c>
      <c r="P2112">
        <f>IF(B2132=0,0,O2112/B2132)</f>
        <v/>
      </c>
      <c r="Q2112" t="n">
        <v>0</v>
      </c>
      <c r="R2112" t="n">
        <v>0</v>
      </c>
      <c r="S2112">
        <f>IFERROR(O2112/N2112,0)</f>
        <v/>
      </c>
      <c r="T2112" t="n">
        <v>0</v>
      </c>
      <c r="V2112" t="n">
        <v>0</v>
      </c>
    </row>
    <row r="2113">
      <c r="A2113">
        <f>Skills!A21</f>
        <v/>
      </c>
      <c r="B2113">
        <f>Skills!B21</f>
        <v/>
      </c>
      <c r="C2113">
        <f>Inputs!$B$3&gt;=33</f>
        <v/>
      </c>
      <c r="D2113">
        <f>IF(Skills!C21=1,60+Inputs!$B$25+Inputs!$B$29,IF(Skills!C21=2,90+Inputs!$B$26+Inputs!$B$29,IF(Skills!C21=3,120+Inputs!$B$27+Inputs!$B$29,MAX(0,(Inputs!$B$3-100)*3)+Inputs!$B$28+Inputs!$B$29)))</f>
        <v/>
      </c>
      <c r="E2113">
        <f>INDEX(FactorTable!$B$2:$Y$301, MATCH(ROUND(MIN(300,MAX(1,D2113)),0), FactorTable!$A$2:$A$301,0), Skills!M21+1)</f>
        <v/>
      </c>
      <c r="F2113">
        <f>IF(Skills!N21=TRUE,(Skills!L21/10)*(E2113/1000),Skills!L21/10)+Skills!O21</f>
        <v/>
      </c>
      <c r="G2113">
        <f>Skills!G21*IF(Skills!H21&gt;0,Skills!I21/Skills!H21,1)</f>
        <v/>
      </c>
      <c r="H2113">
        <f>1-(1-Skills!J21/100)^Skills!K21</f>
        <v/>
      </c>
      <c r="I2113" t="inlineStr">
        <is>
          <t>1</t>
        </is>
      </c>
      <c r="J2113" t="inlineStr"/>
      <c r="K2113" t="inlineStr"/>
      <c r="L2113" t="inlineStr"/>
      <c r="M2113" t="inlineStr"/>
      <c r="N2113" t="inlineStr"/>
      <c r="O2113">
        <f>(1-Summary!$B$11)*T2113+Summary!$B$11*V2113</f>
        <v/>
      </c>
      <c r="P2113">
        <f>IF(B2132=0,0,O2113/B2132)</f>
        <v/>
      </c>
      <c r="Q2113" t="n">
        <v>0</v>
      </c>
      <c r="R2113" t="n">
        <v>0</v>
      </c>
      <c r="S2113">
        <f>IFERROR(O2113/N2113,0)</f>
        <v/>
      </c>
      <c r="T2113" t="n">
        <v>0</v>
      </c>
      <c r="V2113" t="n">
        <v>0</v>
      </c>
    </row>
    <row r="2114">
      <c r="A2114">
        <f>Skills!A22</f>
        <v/>
      </c>
      <c r="B2114">
        <f>Skills!B22</f>
        <v/>
      </c>
      <c r="C2114">
        <f>Inputs!$B$3&gt;=43</f>
        <v/>
      </c>
      <c r="D2114">
        <f>IF(Skills!C22=1,60+Inputs!$B$25+Inputs!$B$29,IF(Skills!C22=2,90+Inputs!$B$26+Inputs!$B$29,IF(Skills!C22=3,120+Inputs!$B$27+Inputs!$B$29,MAX(0,(Inputs!$B$3-100)*3)+Inputs!$B$28+Inputs!$B$29)))</f>
        <v/>
      </c>
      <c r="E2114">
        <f>INDEX(FactorTable!$B$2:$Y$301, MATCH(ROUND(MIN(300,MAX(1,D2114)),0), FactorTable!$A$2:$A$301,0), Skills!M22+1)</f>
        <v/>
      </c>
      <c r="F2114">
        <f>IF(Skills!N22=TRUE,(Skills!L22/10)*(E2114/1000),Skills!L22/10)+Skills!O22</f>
        <v/>
      </c>
      <c r="G2114">
        <f>Skills!G22*IF(Skills!H22&gt;0,Skills!I22/Skills!H22,1)</f>
        <v/>
      </c>
      <c r="H2114">
        <f>1-(1-Skills!J22/100)^Skills!K22</f>
        <v/>
      </c>
      <c r="I2114" t="inlineStr">
        <is>
          <t>1</t>
        </is>
      </c>
      <c r="J2114" t="inlineStr"/>
      <c r="K2114" t="inlineStr"/>
      <c r="L2114" t="inlineStr"/>
      <c r="M2114" t="inlineStr"/>
      <c r="N2114" t="inlineStr"/>
      <c r="O2114">
        <f>(1-Summary!$B$11)*T2114+Summary!$B$11*V2114</f>
        <v/>
      </c>
      <c r="P2114">
        <f>IF(B2132=0,0,O2114/B2132)</f>
        <v/>
      </c>
      <c r="Q2114" t="n">
        <v>0</v>
      </c>
      <c r="R2114" t="n">
        <v>0</v>
      </c>
      <c r="S2114">
        <f>IFERROR(O2114/N2114,0)</f>
        <v/>
      </c>
      <c r="T2114" t="n">
        <v>0</v>
      </c>
      <c r="V2114" t="n">
        <v>0</v>
      </c>
    </row>
    <row r="2115">
      <c r="A2115">
        <f>Skills!A23</f>
        <v/>
      </c>
      <c r="B2115">
        <f>Skills!B23</f>
        <v/>
      </c>
      <c r="C2115">
        <f>Inputs!$B$3&gt;=38</f>
        <v/>
      </c>
      <c r="D2115">
        <f>IF(Skills!C23=1,60+Inputs!$B$25+Inputs!$B$29,IF(Skills!C23=2,90+Inputs!$B$26+Inputs!$B$29,IF(Skills!C23=3,120+Inputs!$B$27+Inputs!$B$29,MAX(0,(Inputs!$B$3-100)*3)+Inputs!$B$28+Inputs!$B$29)))</f>
        <v/>
      </c>
      <c r="E2115">
        <f>INDEX(FactorTable!$B$2:$Y$301, MATCH(ROUND(MIN(300,MAX(1,D2115)),0), FactorTable!$A$2:$A$301,0), Skills!M23+1)</f>
        <v/>
      </c>
      <c r="F2115">
        <f>IF(Skills!N23=TRUE,(Skills!L23/10)*(E2115/1000),Skills!L23/10)+Skills!O23</f>
        <v/>
      </c>
      <c r="G2115">
        <f>Skills!G23*IF(Skills!H23&gt;0,Skills!I23/Skills!H23,1)</f>
        <v/>
      </c>
      <c r="H2115">
        <f>1-(1-Skills!J23/100)^Skills!K23</f>
        <v/>
      </c>
      <c r="I2115" t="inlineStr">
        <is>
          <t>1</t>
        </is>
      </c>
      <c r="J2115" t="inlineStr"/>
      <c r="K2115" t="inlineStr"/>
      <c r="L2115" t="inlineStr"/>
      <c r="M2115" t="inlineStr"/>
      <c r="N2115" t="inlineStr"/>
      <c r="O2115">
        <f>(1-Summary!$B$11)*T2115+Summary!$B$11*V2115</f>
        <v/>
      </c>
      <c r="P2115">
        <f>IF(B2132=0,0,O2115/B2132)</f>
        <v/>
      </c>
      <c r="Q2115" t="n">
        <v>0</v>
      </c>
      <c r="R2115" t="n">
        <v>0</v>
      </c>
      <c r="S2115">
        <f>IFERROR(O2115/N2115,0)</f>
        <v/>
      </c>
      <c r="T2115" t="n">
        <v>0</v>
      </c>
      <c r="V2115" t="n">
        <v>0</v>
      </c>
    </row>
    <row r="2116">
      <c r="A2116">
        <f>Skills!A24</f>
        <v/>
      </c>
      <c r="B2116">
        <f>Skills!B24</f>
        <v/>
      </c>
      <c r="C2116">
        <f>Inputs!$B$3&gt;=40</f>
        <v/>
      </c>
      <c r="D2116">
        <f>IF(Skills!C24=1,60+Inputs!$B$25+Inputs!$B$29,IF(Skills!C24=2,90+Inputs!$B$26+Inputs!$B$29,IF(Skills!C24=3,120+Inputs!$B$27+Inputs!$B$29,MAX(0,(Inputs!$B$3-100)*3)+Inputs!$B$28+Inputs!$B$29)))</f>
        <v/>
      </c>
      <c r="E2116">
        <f>INDEX(FactorTable!$B$2:$Y$301, MATCH(ROUND(MIN(300,MAX(1,D2116)),0), FactorTable!$A$2:$A$301,0), Skills!M24+1)</f>
        <v/>
      </c>
      <c r="F2116">
        <f>IF(Skills!N24=TRUE,(Skills!L24/10)*(E2116/1000),Skills!L24/10)+Skills!O24</f>
        <v/>
      </c>
      <c r="G2116">
        <f>Skills!G24*IF(Skills!H24&gt;0,Skills!I24/Skills!H24,1)</f>
        <v/>
      </c>
      <c r="H2116">
        <f>1-(1-Skills!J24/100)^Skills!K24</f>
        <v/>
      </c>
      <c r="I2116" t="inlineStr">
        <is>
          <t>1</t>
        </is>
      </c>
      <c r="J2116" t="inlineStr"/>
      <c r="K2116" t="inlineStr"/>
      <c r="L2116" t="inlineStr"/>
      <c r="M2116" t="inlineStr"/>
      <c r="N2116" t="inlineStr"/>
      <c r="O2116">
        <f>(1-Summary!$B$11)*T2116+Summary!$B$11*V2116</f>
        <v/>
      </c>
      <c r="P2116">
        <f>IF(B2132=0,0,O2116/B2132)</f>
        <v/>
      </c>
      <c r="Q2116" t="n">
        <v>0</v>
      </c>
      <c r="R2116" t="n">
        <v>0</v>
      </c>
      <c r="S2116">
        <f>IFERROR(O2116/N2116,0)</f>
        <v/>
      </c>
      <c r="T2116" t="n">
        <v>0</v>
      </c>
      <c r="V2116" t="n">
        <v>0</v>
      </c>
    </row>
    <row r="2117">
      <c r="A2117">
        <f>Skills!A25</f>
        <v/>
      </c>
      <c r="B2117">
        <f>Skills!B25</f>
        <v/>
      </c>
      <c r="C2117">
        <f>Inputs!$B$3&gt;=72</f>
        <v/>
      </c>
      <c r="D2117">
        <f>IF(Skills!C25=1,60+Inputs!$B$25+Inputs!$B$29,IF(Skills!C25=2,90+Inputs!$B$26+Inputs!$B$29,IF(Skills!C25=3,120+Inputs!$B$27+Inputs!$B$29,MAX(0,(Inputs!$B$3-100)*3)+Inputs!$B$28+Inputs!$B$29)))</f>
        <v/>
      </c>
      <c r="E2117">
        <f>INDEX(FactorTable!$B$2:$Y$301, MATCH(ROUND(MIN(300,MAX(1,D2117)),0), FactorTable!$A$2:$A$301,0), Skills!M25+1)</f>
        <v/>
      </c>
      <c r="F2117">
        <f>IF(Skills!N25=TRUE,(Skills!L25/10)*(E2117/1000),Skills!L25/10)+Skills!O25</f>
        <v/>
      </c>
      <c r="G2117">
        <f>Skills!G25*IF(Skills!H25&gt;0,Skills!I25/Skills!H25,1)</f>
        <v/>
      </c>
      <c r="H2117">
        <f>1-(1-Skills!J25/100)^Skills!K25</f>
        <v/>
      </c>
      <c r="I2117" t="inlineStr">
        <is>
          <t>1</t>
        </is>
      </c>
      <c r="J2117" t="inlineStr"/>
      <c r="K2117" t="inlineStr"/>
      <c r="L2117" t="inlineStr"/>
      <c r="M2117" t="inlineStr"/>
      <c r="N2117" t="inlineStr"/>
      <c r="O2117">
        <f>(1-Summary!$B$11)*T2117+Summary!$B$11*V2117</f>
        <v/>
      </c>
      <c r="P2117">
        <f>IF(B2132=0,0,O2117/B2132)</f>
        <v/>
      </c>
      <c r="Q2117" t="n">
        <v>0</v>
      </c>
      <c r="R2117" t="n">
        <v>0</v>
      </c>
      <c r="S2117">
        <f>IFERROR(O2117/N2117,0)</f>
        <v/>
      </c>
      <c r="T2117" t="n">
        <v>0</v>
      </c>
      <c r="V2117" t="n">
        <v>0</v>
      </c>
    </row>
    <row r="2118">
      <c r="A2118">
        <f>Skills!A26</f>
        <v/>
      </c>
      <c r="B2118">
        <f>Skills!B26</f>
        <v/>
      </c>
      <c r="C2118">
        <f>Inputs!$B$3&gt;=75</f>
        <v/>
      </c>
      <c r="D2118">
        <f>IF(Skills!C26=1,60+Inputs!$B$25+Inputs!$B$29,IF(Skills!C26=2,90+Inputs!$B$26+Inputs!$B$29,IF(Skills!C26=3,120+Inputs!$B$27+Inputs!$B$29,MAX(0,(Inputs!$B$3-100)*3)+Inputs!$B$28+Inputs!$B$29)))</f>
        <v/>
      </c>
      <c r="E2118">
        <f>INDEX(FactorTable!$B$2:$Y$301, MATCH(ROUND(MIN(300,MAX(1,D2118)),0), FactorTable!$A$2:$A$301,0), Skills!M26+1)</f>
        <v/>
      </c>
      <c r="F2118">
        <f>IF(Skills!N26=TRUE,(Skills!L26/10)*(E2118/1000),Skills!L26/10)+Skills!O26</f>
        <v/>
      </c>
      <c r="G2118">
        <f>Skills!G26*IF(Skills!H26&gt;0,Skills!I26/Skills!H26,1)</f>
        <v/>
      </c>
      <c r="H2118">
        <f>1-(1-Skills!J26/100)^Skills!K26</f>
        <v/>
      </c>
      <c r="I2118" t="inlineStr">
        <is>
          <t>1</t>
        </is>
      </c>
      <c r="J2118" t="inlineStr"/>
      <c r="K2118" t="inlineStr"/>
      <c r="L2118" t="inlineStr"/>
      <c r="M2118" t="inlineStr"/>
      <c r="N2118" t="inlineStr"/>
      <c r="O2118">
        <f>(1-Summary!$B$11)*T2118+Summary!$B$11*V2118</f>
        <v/>
      </c>
      <c r="P2118">
        <f>IF(B2132=0,0,O2118/B2132)</f>
        <v/>
      </c>
      <c r="Q2118" t="n">
        <v>0</v>
      </c>
      <c r="R2118" t="n">
        <v>0</v>
      </c>
      <c r="S2118">
        <f>IFERROR(O2118/N2118,0)</f>
        <v/>
      </c>
      <c r="T2118" t="n">
        <v>0</v>
      </c>
      <c r="V2118" t="n">
        <v>0</v>
      </c>
    </row>
    <row r="2119">
      <c r="A2119">
        <f>Skills!A27</f>
        <v/>
      </c>
      <c r="B2119">
        <f>Skills!B27</f>
        <v/>
      </c>
      <c r="C2119">
        <f>Inputs!$B$3&gt;=117</f>
        <v/>
      </c>
      <c r="D2119">
        <f>IF(Skills!C27=1,60+Inputs!$B$25+Inputs!$B$29,IF(Skills!C27=2,90+Inputs!$B$26+Inputs!$B$29,IF(Skills!C27=3,120+Inputs!$B$27+Inputs!$B$29,MAX(0,(Inputs!$B$3-100)*3)+Inputs!$B$28+Inputs!$B$29)))</f>
        <v/>
      </c>
      <c r="E2119">
        <f>INDEX(FactorTable!$B$2:$Y$301, MATCH(ROUND(MIN(300,MAX(1,D2119)),0), FactorTable!$A$2:$A$301,0), Skills!M27+1)</f>
        <v/>
      </c>
      <c r="F2119">
        <f>IF(Skills!N27=TRUE,(Skills!L27/10)*(E2119/1000),Skills!L27/10)+Skills!O27</f>
        <v/>
      </c>
      <c r="G2119">
        <f>Skills!G27*IF(Skills!H27&gt;0,Skills!I27/Skills!H27,1)</f>
        <v/>
      </c>
      <c r="H2119">
        <f>1-(1-Skills!J27/100)^Skills!K27</f>
        <v/>
      </c>
      <c r="I2119" t="inlineStr">
        <is>
          <t>1</t>
        </is>
      </c>
      <c r="J2119" t="inlineStr"/>
      <c r="K2119" t="inlineStr"/>
      <c r="L2119" t="inlineStr"/>
      <c r="M2119" t="inlineStr"/>
      <c r="N2119" t="inlineStr"/>
      <c r="O2119">
        <f>(1-Summary!$B$11)*T2119+Summary!$B$11*V2119</f>
        <v/>
      </c>
      <c r="P2119">
        <f>IF(B2132=0,0,O2119/B2132)</f>
        <v/>
      </c>
      <c r="Q2119" t="n">
        <v>0</v>
      </c>
      <c r="R2119" t="n">
        <v>0</v>
      </c>
      <c r="S2119">
        <f>IFERROR(O2119/N2119,0)</f>
        <v/>
      </c>
      <c r="T2119" t="n">
        <v>0</v>
      </c>
      <c r="V2119" t="n">
        <v>0</v>
      </c>
    </row>
    <row r="2121">
      <c r="A2121" t="inlineStr">
        <is>
          <t>Attack% Bucket Multiplier</t>
        </is>
      </c>
      <c r="B2121">
        <f>(1+(((C2109=TRUE)*F2109)+((C2116=TRUE)*(F2116-Calc!F24))+(IF(ArtifactsInput!$M$21,CHOOSE(ArtifactsInput!$N$21+1,25,30,35,40,45,50)*(IF(OR(Inputs!$B$4="Chapter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22">
      <c r="A2122" t="inlineStr">
        <is>
          <t>Global Crit Rate Bonus %</t>
        </is>
      </c>
      <c r="B2122" t="n">
        <v>0</v>
      </c>
    </row>
    <row r="2123">
      <c r="A2123" t="inlineStr">
        <is>
          <t>Attack Speed Buff Bonus % (unused)</t>
        </is>
      </c>
      <c r="B2123" t="n">
        <v>0</v>
      </c>
    </row>
    <row r="2124">
      <c r="A2124" t="inlineStr">
        <is>
          <t>Actions Per Second</t>
        </is>
      </c>
      <c r="B2124">
        <f>1+MIN(150,150*(1-(1-(Inputs!$B$11+((C2112=TRUE)*(F2112-Calc!F20))+((C2113=TRUE)*(F2113-Calc!F21)))/150)*(1-B2123/150)))/100</f>
        <v/>
      </c>
    </row>
    <row r="2125">
      <c r="A2125" t="inlineStr">
        <is>
          <t>Skill + Buff Cast Rate</t>
        </is>
      </c>
      <c r="B2125">
        <f>IF(AND(Inputs!$B$38&lt;&gt;"pvp",Inputs!$B$43&gt;0),SUMPRODUCT((Skills!E2:E27=TRUE)*(C2094:C2119=TRUE)*R2094:R2119*Skills!F2:F27)/Inputs!$B$43,SUMPRODUCT((Skills!E2:E27=TRUE)*(C2094:C2119=TRUE)*Q2094:Q2119*Skills!F2:F27))</f>
        <v/>
      </c>
    </row>
    <row r="2126">
      <c r="A2126" t="inlineStr">
        <is>
          <t>Eight-Legs Easton Casts Per Second</t>
        </is>
      </c>
      <c r="B2126">
        <f>MAX(0,B2124-B2125)</f>
        <v/>
      </c>
    </row>
    <row r="2127">
      <c r="A2127" t="inlineStr">
        <is>
          <t>Global Critical Damage Bonus % (unused)</t>
        </is>
      </c>
      <c r="B2127" t="n">
        <v>0</v>
      </c>
    </row>
    <row r="2128">
      <c r="A2128" t="inlineStr">
        <is>
          <t>Global Final Damage Bonus % (Jolly Roger only)</t>
        </is>
      </c>
      <c r="B2128">
        <f>((C2110=TRUE)*F2110)</f>
        <v/>
      </c>
    </row>
    <row r="2129">
      <c r="A2129" t="inlineStr">
        <is>
          <t>Buff-Casting Startup Delay (s, fixed-duration only)</t>
        </is>
      </c>
      <c r="B2129">
        <f>IF(AND(Inputs!$B$38&lt;&gt;"pvp",Inputs!$B$43&gt;0),SUMPRODUCT((Skills!T2:T27&gt;0)*(Skills!E2:E27=TRUE)*(C2094:C2119=TRUE))/B2124,0)</f>
        <v/>
      </c>
    </row>
    <row r="2130">
      <c r="A2130" t="inlineStr">
        <is>
          <t>Boss-Only Total DPS (this block's swept value)</t>
        </is>
      </c>
      <c r="B2130">
        <f>SUM(T2094:T2119)</f>
        <v/>
      </c>
    </row>
    <row r="2131">
      <c r="A2131" t="inlineStr">
        <is>
          <t>Normal-Only Total DPS (this block's swept value)</t>
        </is>
      </c>
      <c r="B2131">
        <f>SUM(V2094:V2119)</f>
        <v/>
      </c>
    </row>
    <row r="2132">
      <c r="A2132" s="6" t="inlineStr">
        <is>
          <t>TOTAL DPS</t>
        </is>
      </c>
      <c r="B2132" s="6">
        <f>SUM(O2094:O2119)</f>
        <v/>
      </c>
    </row>
    <row r="2135">
      <c r="A2135" s="6" t="inlineStr">
        <is>
          <t>Stat: Soul Pouch (Equip)</t>
        </is>
      </c>
    </row>
    <row r="2136">
      <c r="A2136" s="5" t="inlineStr">
        <is>
          <t>Key</t>
        </is>
      </c>
      <c r="B2136" s="5" t="inlineStr">
        <is>
          <t>Name</t>
        </is>
      </c>
      <c r="C2136" s="5" t="inlineStr">
        <is>
          <t>Unlocked</t>
        </is>
      </c>
      <c r="D2136" s="5" t="inlineStr">
        <is>
          <t>InputLevel</t>
        </is>
      </c>
      <c r="E2136" s="5" t="inlineStr">
        <is>
          <t>Factor</t>
        </is>
      </c>
      <c r="F2136" s="5" t="inlineStr">
        <is>
          <t>CoefficientPercent</t>
        </is>
      </c>
      <c r="G2136" s="5" t="inlineStr">
        <is>
          <t>EffectiveHits</t>
        </is>
      </c>
      <c r="H2136" s="5" t="inlineStr">
        <is>
          <t>ProcProbability</t>
        </is>
      </c>
      <c r="I2136" s="5" t="inlineStr">
        <is>
          <t>MapleHeroMultiplier</t>
        </is>
      </c>
      <c r="J2136" s="5" t="inlineStr">
        <is>
          <t>BaseDamage</t>
        </is>
      </c>
      <c r="K2136" s="5" t="inlineStr">
        <is>
          <t>BaseHitDamage</t>
        </is>
      </c>
      <c r="L2136" s="5" t="inlineStr">
        <is>
          <t>NonCritAvg</t>
        </is>
      </c>
      <c r="M2136" s="5" t="inlineStr">
        <is>
          <t>CritAvg</t>
        </is>
      </c>
      <c r="N2136" s="5" t="inlineStr">
        <is>
          <t>ExpectedDamage(perHit)</t>
        </is>
      </c>
      <c r="O2136" s="5" t="inlineStr">
        <is>
          <t>DPS</t>
        </is>
      </c>
      <c r="P2136" s="5" t="inlineStr">
        <is>
          <t>% of Total</t>
        </is>
      </c>
      <c r="Q2136" s="5" t="inlineStr">
        <is>
          <t>InvCooldown</t>
        </is>
      </c>
      <c r="R2136" s="5" t="inlineStr">
        <is>
          <t>CastsInFight</t>
        </is>
      </c>
      <c r="S2136" s="5" t="inlineStr">
        <is>
          <t>HitRate(perSec)</t>
        </is>
      </c>
      <c r="U2136" t="inlineStr">
        <is>
          <t>helpers</t>
        </is>
      </c>
    </row>
    <row r="2137">
      <c r="A2137">
        <f>Skills!A2</f>
        <v/>
      </c>
      <c r="B2137">
        <f>Skills!B2</f>
        <v/>
      </c>
      <c r="C2137">
        <f>Inputs!$B$3&gt;=100</f>
        <v/>
      </c>
      <c r="D2137" t="inlineStr"/>
      <c r="E2137" t="inlineStr"/>
      <c r="F2137">
        <f>U2139+Skills!O2</f>
        <v/>
      </c>
      <c r="G2137">
        <f>Skills!G2*IF(Skills!H2&gt;0,Skills!I2/Skills!H2,1)</f>
        <v/>
      </c>
      <c r="H2137">
        <f>1-(1-Skills!J2/100)^Skills!K2</f>
        <v/>
      </c>
      <c r="I2137" t="inlineStr">
        <is>
          <t>1</t>
        </is>
      </c>
      <c r="J2137">
        <f>((Inputs!$B$6*(1+Inputs!$B$7/100))+(((Inputs!$B$12*(1+Inputs!$B$13/100))-(Inputs!$B$12*(1+Inputs!$B$13/100)))+0.25*(Inputs!$B$14-Inputs!$B$14))*(1+Inputs!$B$7/100))*(F2137/100)</f>
        <v/>
      </c>
      <c r="K2137">
        <f>J2137*(1+((Inputs!$B$12*(1+Inputs!$B$13/100))*0.01+Inputs!$B$14*0.0025)/100)*(1+Inputs!$B$15/100)*(1+Inputs!$B$16/100)*(5000/(6000+Inputs!$B$42*(1-(100*(1-(1-(Inputs!$B$19+0)/100)*(1-CHOOSE(ArtifactsInput!$N$40+1,5,6,7,8,9,10)/100)^(ArtifactsInput!$M$40-ArtifactsInput!$M$40)))/100)))*(1+(Inputs!$B$24+((C2161=TRUE)*(F2161-Calc!F26))+B2171)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2158=TRUE)*(F2158-Calc!F23))+((C2162=TRUE)*(F2162-Calc!F27))+(((IF(AND(ArtifactsInput!$M$42,((Inputs!$B$9+((C2154=TRUE)*(F2154-Calc!F19))+B2165+(ArtifactsInput!$M$24-ArtifactsInput!$M$24)*CHOOSE(ArtifactsInput!$N$24+1,10,12,14,16,18,20)+IF(ArtifactsInput!$M$10,CHOOSE(ArtifactsInput!$N$10+1,15,18,21,24,27,30)*(IF(Inputs!$B$38="pvp",MIN(15,15)/15,IF(AND(Inputs!$B$38&lt;&gt;"pvp",Inputs!$B$43&gt;0),MIN(15,Inputs!$B$43)/(Inputs!$B$43),0))),0)))&gt;=100),MIN(100,((Inputs!$B$9+((C2154=TRUE)*(F2154-Calc!F19))+B2165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19))+B2165+(ArtifactsInput!$M$24-ArtifactsInput!$M$24)*CHOOSE(ArtifactsInput!$N$24+1,10,12,14,16,18,20)+IF(ArtifactsInput!$M$10,CHOOSE(ArtifactsInput!$N$10+1,15,18,21,24,27,30)*(IF(Inputs!$B$38="pvp",MIN(15,15)/15,IF(AND(Inputs!$B$38&lt;&gt;"pvp",Inputs!$B$43&gt;0),MIN(15,Inputs!$B$43)/(Inputs!$B$43),0))),0)))&gt;=100),CHOOSE(ArtifactsInput!$N$42+1,40,48,56,64,72,80),0))))/100)*((1+(((C2152=TRUE)*F2152)+((C2159=TRUE)*(F2159-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2137)</f>
        <v/>
      </c>
      <c r="L2137">
        <f>K2137*(MIN(Inputs!$B$22+((C2157=TRUE)*(F2157-Calc!F22)),(Inputs!$B$23+0+(IF(ArtifactsInput!$M$15,CHOOSE(ArtifactsInput!$N$15+1,25,30,35,40,45,50)/100*(Inputs!$B$11-Inputs!$B$11),0))))/100+(Inputs!$B$23+0+(IF(ArtifactsInput!$M$15,CHOOSE(ArtifactsInput!$N$15+1,25,30,35,40,45,50)/100*(Inputs!$B$11-Inputs!$B$11),0)))/100)/2</f>
        <v/>
      </c>
      <c r="M2137">
        <f>L2137*(1+(Inputs!$B$10+((C2160=TRUE)*(F2160-Calc!F25))+B2170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7">
        <f>L2137*(1-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2137*(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7">
        <f>(1-Summary!$B$11)*T2137+Summary!$B$11*V2137</f>
        <v/>
      </c>
      <c r="P2137">
        <f>IF(B2175=0,0,O2137/B2175)</f>
        <v/>
      </c>
      <c r="Q2137" t="n">
        <v>0</v>
      </c>
      <c r="R2137" t="n">
        <v>0</v>
      </c>
      <c r="S2137">
        <f>IFERROR(O2137/N2137,0)</f>
        <v/>
      </c>
      <c r="T2137">
        <f>IF(C2137,(Skills!G2*N2137*B2169)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2137*(1-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2137*(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2137*(1-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2137*(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37">
        <f>MAX(0,(Inputs!$B$3-100)*3)+Inputs!$B$28+Inputs!$B$29</f>
        <v/>
      </c>
      <c r="V2137">
        <f>IF(C2137,(Skills!G2*N2137*B2169)*IF(Inputs!$B$38="pvp",1,(1+(Inputs!$B$21+Skills!Q2+(IF(ArtifactsInput!$M$33,CHOOSE(ArtifactsInput!$N$33+1,30,36,42,48,54,60),0))+(IF(AND(ArtifactsInput!$M$35,Inputs!$B$4&lt;&gt;"Chapter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8">
      <c r="A2138">
        <f>Skills!A3</f>
        <v/>
      </c>
      <c r="B2138">
        <f>Skills!B3</f>
        <v/>
      </c>
      <c r="C2138">
        <f>Inputs!$B$3&gt;=35</f>
        <v/>
      </c>
      <c r="D2138">
        <f>IF(Skills!C3=1,60+Inputs!$B$25+Inputs!$B$29,IF(Skills!C3=2,90+Inputs!$B$26+Inputs!$B$29,IF(Skills!C3=3,120+Inputs!$B$27+Inputs!$B$29,MAX(0,(Inputs!$B$3-100)*3)+Inputs!$B$28+Inputs!$B$29)))</f>
        <v/>
      </c>
      <c r="E2138">
        <f>INDEX(FactorTable!$B$2:$Y$301, MATCH(ROUND(MIN(300,MAX(1,D2138)),0), FactorTable!$A$2:$A$301,0), Skills!M3+1)</f>
        <v/>
      </c>
      <c r="F2138">
        <f>IF(Skills!N3=TRUE,(Skills!L3/10)*(E2138/1000),Skills!L3/10)+Skills!O3</f>
        <v/>
      </c>
      <c r="G2138">
        <f>Skills!G3*IF(Skills!H3&gt;0,Skills!I3/Skills!H3,1)</f>
        <v/>
      </c>
      <c r="H2138">
        <f>1-(1-Skills!J3/100)^Skills!K3</f>
        <v/>
      </c>
      <c r="I2138" t="inlineStr">
        <is>
          <t>1</t>
        </is>
      </c>
      <c r="J2138">
        <f>((Inputs!$B$6*(1+Inputs!$B$7/100))+(((Inputs!$B$12*(1+Inputs!$B$13/100))-(Inputs!$B$12*(1+Inputs!$B$13/100)))+0.25*(Inputs!$B$14-Inputs!$B$14))*(1+Inputs!$B$7/100))*(F2138/100)</f>
        <v/>
      </c>
      <c r="K2138">
        <f>J2138*(1+((Inputs!$B$12*(1+Inputs!$B$13/100))*0.01+Inputs!$B$14*0.0025)/100)*(1+Inputs!$B$15/100)*(1+Inputs!$B$16/100)*(5000/(6000+Inputs!$B$42*(1-(100*(1-(1-(Inputs!$B$19+0)/100)*(1-CHOOSE(ArtifactsInput!$N$40+1,5,6,7,8,9,10)/100)^(ArtifactsInput!$M$40-ArtifactsInput!$M$40)))/100)))*(1+(Inputs!$B$24+((C2161=TRUE)*(F2161-Calc!F26))+B2171)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2150=TRUE,F2150,0)/100)*(1+(IF(Skills!A3="EIGHT_LEGS_EASTON",Inputs!$B$17+((C2158=TRUE)*(F2158-Calc!F23))+((C2162=TRUE)*(F2162-Calc!F27))+(((IF(AND(ArtifactsInput!$M$42,((Inputs!$B$9+((C2154=TRUE)*(F2154-Calc!F19))+B2165+(ArtifactsInput!$M$24-ArtifactsInput!$M$24)*CHOOSE(ArtifactsInput!$N$24+1,10,12,14,16,18,20)+IF(ArtifactsInput!$M$10,CHOOSE(ArtifactsInput!$N$10+1,15,18,21,24,27,30)*(IF(Inputs!$B$38="pvp",MIN(15,15)/15,IF(AND(Inputs!$B$38&lt;&gt;"pvp",Inputs!$B$43&gt;0),MIN(15,Inputs!$B$43)/(Inputs!$B$43),0))),0)))&gt;=100),MIN(100,((Inputs!$B$9+((C2154=TRUE)*(F2154-Calc!F19))+B2165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19))+B2165+(ArtifactsInput!$M$24-ArtifactsInput!$M$24)*CHOOSE(ArtifactsInput!$N$24+1,10,12,14,16,18,20)+IF(ArtifactsInput!$M$10,CHOOSE(ArtifactsInput!$N$10+1,15,18,21,24,27,30)*(IF(Inputs!$B$38="pvp",MIN(15,15)/15,IF(AND(Inputs!$B$38&lt;&gt;"pvp",Inputs!$B$43&gt;0),MIN(15,Inputs!$B$43)/(Inputs!$B$43),0))),0)))&gt;=100),CHOOSE(ArtifactsInput!$N$42+1,40,48,56,64,72,80),0))))/100)*((1+(((C2152=TRUE)*F2152)+((C2159=TRUE)*(F2159-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2138)</f>
        <v/>
      </c>
      <c r="L2138">
        <f>K2138*(MIN(Inputs!$B$22+((C2157=TRUE)*(F2157-Calc!F22)),(Inputs!$B$23+0+(IF(ArtifactsInput!$M$15,CHOOSE(ArtifactsInput!$N$15+1,25,30,35,40,45,50)/100*(Inputs!$B$11-Inputs!$B$11),0))))/100+(Inputs!$B$23+0+(IF(ArtifactsInput!$M$15,CHOOSE(ArtifactsInput!$N$15+1,25,30,35,40,45,50)/100*(Inputs!$B$11-Inputs!$B$11),0)))/100)/2</f>
        <v/>
      </c>
      <c r="M2138">
        <f>L2138*(1+(Inputs!$B$10+((C2160=TRUE)*(F2160-Calc!F25))+B2170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8">
        <f>L2138*(1-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2138*(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8">
        <f>(1-Summary!$B$11)*T2138+Summary!$B$11*V2138</f>
        <v/>
      </c>
      <c r="P2138">
        <f>IF(B2175=0,0,O2138/B2175)</f>
        <v/>
      </c>
      <c r="Q2138">
        <f>IFERROR(1/(IF(Inputs!$B$38="pvp",15,MAX(0.1,Skills!D3-IF(Skills!E3=TRUE,Inputs!$B$32,0)))*(1-IF(AND(ArtifactsInput!$M$27,Inputs!$B$4="Chapter Hunt"),CHOOSE(ArtifactsInput!$N$27+1,20,24,28,32,36,40),0)/100)),0)</f>
        <v/>
      </c>
      <c r="R2138">
        <f>IF(AND(Inputs!$B$38&lt;&gt;"pvp",Inputs!$B$43&gt;0),IF(MAX(0,Inputs!$B$43-B2172)&lt;=0,0,(INT(MAX(0,Inputs!$B$43-B2172)/(IF(Inputs!$B$38="pvp",15,MAX(0.1,Skills!D3-IF(Skills!E3=TRUE,Inputs!$B$32,0)))*(1-IF(AND(ArtifactsInput!$M$27,Inputs!$B$4="Chapter Hunt"),CHOOSE(ArtifactsInput!$N$27+1,20,24,28,32,36,40),0)/100)))+1)),0)</f>
        <v/>
      </c>
      <c r="S2138">
        <f>IFERROR(O2138/N2138,0)</f>
        <v/>
      </c>
      <c r="T2138">
        <f>IF(C2138,(H2138*N2138*IF(AND(Inputs!$B$38&lt;&gt;"pvp",Inputs!$B$43&gt;0),((Skills!G3*((R2138-1)*IF(Skills!H3&gt;0,Skills!I3/Skills!H3,1)+IF(Skills!H3&gt;0,MIN(Skills!I3,MAX(0,MAX(0,Inputs!$B$43-B2172)-((R2138-1)*(IF(Inputs!$B$38="pvp",15,MAX(0.1,Skills!D3-IF(Skills!E3=TRUE,Inputs!$B$32,0)))*(1-IF(AND(ArtifactsInput!$M$27,Inputs!$B$4="Chapter Hunt"),CHOOSE(ArtifactsInput!$N$27+1,20,24,28,32,36,40),0)/100)))))/Skills!H3,1)))/Inputs!$B$43),G2138*Q2138)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2138*(1-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2138*(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2138*(1-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2138*(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38">
        <f>INDEX(FactorTable!$B$2:$Y$301, MATCH(ROUND(MIN(300,MAX(1,U2137)),0), FactorTable!$A$2:$A$301,0), 22)</f>
        <v/>
      </c>
      <c r="V2138">
        <f>IF(C2138,(H2138*N2138*IF(AND(Inputs!$B$38&lt;&gt;"pvp",Inputs!$B$43&gt;0),((Skills!G3*((R2138-1)*IF(Skills!H3&gt;0,Skills!I3/Skills!H3,1)+IF(Skills!H3&gt;0,MIN(Skills!I3,MAX(0,MAX(0,Inputs!$B$43-B2172)-((R2138-1)*(IF(Inputs!$B$38="pvp",15,MAX(0.1,Skills!D3-IF(Skills!E3=TRUE,Inputs!$B$32,0)))*(1-IF(AND(ArtifactsInput!$M$27,Inputs!$B$4="Chapter Hunt"),CHOOSE(ArtifactsInput!$N$27+1,20,24,28,32,36,40),0)/100)))))/Skills!H3,1)))/Inputs!$B$43),G2138*Q2138))*IF(Inputs!$B$38="pvp",1,(1+(Inputs!$B$21+Skills!Q3+(IF(ArtifactsInput!$M$33,CHOOSE(ArtifactsInput!$N$33+1,30,36,42,48,54,60)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9">
      <c r="A2139">
        <f>Skills!A4</f>
        <v/>
      </c>
      <c r="B2139">
        <f>Skills!B4</f>
        <v/>
      </c>
      <c r="C2139">
        <f>Inputs!$B$3&gt;=40</f>
        <v/>
      </c>
      <c r="D2139">
        <f>IF(Skills!C4=1,60+Inputs!$B$25+Inputs!$B$29,IF(Skills!C4=2,90+Inputs!$B$26+Inputs!$B$29,IF(Skills!C4=3,120+Inputs!$B$27+Inputs!$B$29,MAX(0,(Inputs!$B$3-100)*3)+Inputs!$B$28+Inputs!$B$29)))</f>
        <v/>
      </c>
      <c r="E2139">
        <f>INDEX(FactorTable!$B$2:$Y$301, MATCH(ROUND(MIN(300,MAX(1,D2139)),0), FactorTable!$A$2:$A$301,0), Skills!M4+1)</f>
        <v/>
      </c>
      <c r="F2139">
        <f>IF(Skills!N4=TRUE,(Skills!L4/10)*(E2139/1000),Skills!L4/10)+Skills!O4</f>
        <v/>
      </c>
      <c r="G2139">
        <f>Skills!G4*IF(Skills!H4&gt;0,Skills!I4/Skills!H4,1)</f>
        <v/>
      </c>
      <c r="H2139">
        <f>1-(1-Skills!J4/100)^Skills!K4</f>
        <v/>
      </c>
      <c r="I2139" t="inlineStr">
        <is>
          <t>1</t>
        </is>
      </c>
      <c r="J2139">
        <f>((Inputs!$B$6*(1+Inputs!$B$7/100))+(((Inputs!$B$12*(1+Inputs!$B$13/100))-(Inputs!$B$12*(1+Inputs!$B$13/100)))+0.25*(Inputs!$B$14-Inputs!$B$14))*(1+Inputs!$B$7/100))*(F2139/100)</f>
        <v/>
      </c>
      <c r="K2139">
        <f>J2139*(1+((Inputs!$B$12*(1+Inputs!$B$13/100))*0.01+Inputs!$B$14*0.0025)/100)*(1+Inputs!$B$15/100)*(1+Inputs!$B$16/100)*(5000/(6000+Inputs!$B$42*(1-(100*(1-(1-(Inputs!$B$19+0)/100)*(1-CHOOSE(ArtifactsInput!$N$40+1,5,6,7,8,9,10)/100)^(ArtifactsInput!$M$40-ArtifactsInput!$M$40)))/100)))*(1+(Inputs!$B$24+((C2161=TRUE)*(F2161-Calc!F26))+B2171)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2151=TRUE,F2151,0)/100)*(1+(IF(Skills!A4="EIGHT_LEGS_EASTON",Inputs!$B$17+((C2158=TRUE)*(F2158-Calc!F23))+((C2162=TRUE)*(F2162-Calc!F27))+(((IF(AND(ArtifactsInput!$M$42,((Inputs!$B$9+((C2154=TRUE)*(F2154-Calc!F19))+B2165+(ArtifactsInput!$M$24-ArtifactsInput!$M$24)*CHOOSE(ArtifactsInput!$N$24+1,10,12,14,16,18,20)+IF(ArtifactsInput!$M$10,CHOOSE(ArtifactsInput!$N$10+1,15,18,21,24,27,30)*(IF(Inputs!$B$38="pvp",MIN(15,15)/15,IF(AND(Inputs!$B$38&lt;&gt;"pvp",Inputs!$B$43&gt;0),MIN(15,Inputs!$B$43)/(Inputs!$B$43),0))),0)))&gt;=100),MIN(100,((Inputs!$B$9+((C2154=TRUE)*(F2154-Calc!F19))+B2165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19))+B2165+(ArtifactsInput!$M$24-ArtifactsInput!$M$24)*CHOOSE(ArtifactsInput!$N$24+1,10,12,14,16,18,20)+IF(ArtifactsInput!$M$10,CHOOSE(ArtifactsInput!$N$10+1,15,18,21,24,27,30)*(IF(Inputs!$B$38="pvp",MIN(15,15)/15,IF(AND(Inputs!$B$38&lt;&gt;"pvp",Inputs!$B$43&gt;0),MIN(15,Inputs!$B$43)/(Inputs!$B$43),0))),0)))&gt;=100),CHOOSE(ArtifactsInput!$N$42+1,40,48,56,64,72,80),0))))/100)*((1+(((C2152=TRUE)*F2152)+((C2159=TRUE)*(F2159-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2139)</f>
        <v/>
      </c>
      <c r="L2139">
        <f>K2139*(MIN(Inputs!$B$22+((C2157=TRUE)*(F2157-Calc!F22)),(Inputs!$B$23+0+(IF(ArtifactsInput!$M$15,CHOOSE(ArtifactsInput!$N$15+1,25,30,35,40,45,50)/100*(Inputs!$B$11-Inputs!$B$11),0))))/100+(Inputs!$B$23+0+(IF(ArtifactsInput!$M$15,CHOOSE(ArtifactsInput!$N$15+1,25,30,35,40,45,50)/100*(Inputs!$B$11-Inputs!$B$11),0)))/100)/2</f>
        <v/>
      </c>
      <c r="M2139">
        <f>L2139*(1+(Inputs!$B$10+((C2160=TRUE)*(F2160-Calc!F25))+B2170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9">
        <f>L2139*(1-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2139*(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9">
        <f>(1-Summary!$B$11)*T2139+Summary!$B$11*V2139</f>
        <v/>
      </c>
      <c r="P2139">
        <f>IF(B2175=0,0,O2139/B2175)</f>
        <v/>
      </c>
      <c r="Q2139">
        <f>IFERROR(1/(IF(Inputs!$B$38="pvp",15,MAX(0.1,Skills!D4-IF(Skills!E4=TRUE,Inputs!$B$32,0)))*(1-IF(AND(ArtifactsInput!$M$27,Inputs!$B$4="Chapter Hunt"),CHOOSE(ArtifactsInput!$N$27+1,20,24,28,32,36,40),0)/100)),0)</f>
        <v/>
      </c>
      <c r="R2139">
        <f>IF(AND(Inputs!$B$38&lt;&gt;"pvp",Inputs!$B$43&gt;0),IF(MAX(0,Inputs!$B$43-B2172)&lt;=0,0,(INT(MAX(0,Inputs!$B$43-B2172)/(IF(Inputs!$B$38="pvp",15,MAX(0.1,Skills!D4-IF(Skills!E4=TRUE,Inputs!$B$32,0)))*(1-IF(AND(ArtifactsInput!$M$27,Inputs!$B$4="Chapter Hunt"),CHOOSE(ArtifactsInput!$N$27+1,20,24,28,32,36,40),0)/100)))+1)),0)</f>
        <v/>
      </c>
      <c r="S2139">
        <f>IFERROR(O2139/N2139,0)</f>
        <v/>
      </c>
      <c r="T2139">
        <f>IF(C2139,(H2139*N2139*IF(AND(Inputs!$B$38&lt;&gt;"pvp",Inputs!$B$43&gt;0),((Skills!G4*((R2139-1)*IF(Skills!H4&gt;0,Skills!I4/Skills!H4,1)+IF(Skills!H4&gt;0,MIN(Skills!I4,MAX(0,MAX(0,Inputs!$B$43-B2172)-((R2139-1)*(IF(Inputs!$B$38="pvp",15,MAX(0.1,Skills!D4-IF(Skills!E4=TRUE,Inputs!$B$32,0)))*(1-IF(AND(ArtifactsInput!$M$27,Inputs!$B$4="Chapter Hunt"),CHOOSE(ArtifactsInput!$N$27+1,20,24,28,32,36,40),0)/100)))))/Skills!H4,1)))/Inputs!$B$43),G2139*Q2139)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2139*(1-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2139*(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2139*(1-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2139*(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39">
        <f>290*U2138/1000</f>
        <v/>
      </c>
      <c r="V2139">
        <f>IF(C2139,(H2139*N2139*IF(AND(Inputs!$B$38&lt;&gt;"pvp",Inputs!$B$43&gt;0),((Skills!G4*((R2139-1)*IF(Skills!H4&gt;0,Skills!I4/Skills!H4,1)+IF(Skills!H4&gt;0,MIN(Skills!I4,MAX(0,MAX(0,Inputs!$B$43-B2172)-((R2139-1)*(IF(Inputs!$B$38="pvp",15,MAX(0.1,Skills!D4-IF(Skills!E4=TRUE,Inputs!$B$32,0)))*(1-IF(AND(ArtifactsInput!$M$27,Inputs!$B$4="Chapter Hunt"),CHOOSE(ArtifactsInput!$N$27+1,20,24,28,32,36,40),0)/100)))))/Skills!H4,1)))/Inputs!$B$43),G2139*Q2139))*IF(Inputs!$B$38="pvp",1,(1+(Inputs!$B$21+Skills!Q4+(IF(ArtifactsInput!$M$33,CHOOSE(ArtifactsInput!$N$33+1,30,36,42,48,54,60)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0">
      <c r="A2140">
        <f>Skills!A5</f>
        <v/>
      </c>
      <c r="B2140">
        <f>Skills!B5</f>
        <v/>
      </c>
      <c r="C2140">
        <f>Inputs!$B$3&gt;=45</f>
        <v/>
      </c>
      <c r="D2140">
        <f>IF(Skills!C5=1,60+Inputs!$B$25+Inputs!$B$29,IF(Skills!C5=2,90+Inputs!$B$26+Inputs!$B$29,IF(Skills!C5=3,120+Inputs!$B$27+Inputs!$B$29,MAX(0,(Inputs!$B$3-100)*3)+Inputs!$B$28+Inputs!$B$29)))</f>
        <v/>
      </c>
      <c r="E2140">
        <f>INDEX(FactorTable!$B$2:$Y$301, MATCH(ROUND(MIN(300,MAX(1,D2140)),0), FactorTable!$A$2:$A$301,0), Skills!M5+1)</f>
        <v/>
      </c>
      <c r="F2140">
        <f>IF(Skills!N5=TRUE,(Skills!L5/10)*(E2140/1000),Skills!L5/10)+Skills!O5</f>
        <v/>
      </c>
      <c r="G2140">
        <f>Skills!G5*IF(Skills!H5&gt;0,Skills!I5/Skills!H5,1)</f>
        <v/>
      </c>
      <c r="H2140">
        <f>1-(1-Skills!J5/100)^Skills!K5</f>
        <v/>
      </c>
      <c r="I2140" t="inlineStr">
        <is>
          <t>1</t>
        </is>
      </c>
      <c r="J2140">
        <f>((Inputs!$B$6*(1+Inputs!$B$7/100))+(((Inputs!$B$12*(1+Inputs!$B$13/100))-(Inputs!$B$12*(1+Inputs!$B$13/100)))+0.25*(Inputs!$B$14-Inputs!$B$14))*(1+Inputs!$B$7/100))*(F2140/100)</f>
        <v/>
      </c>
      <c r="K2140">
        <f>J2140*(1+((Inputs!$B$12*(1+Inputs!$B$13/100))*0.01+Inputs!$B$14*0.0025)/100)*(1+Inputs!$B$15/100)*(1+Inputs!$B$16/100)*(5000/(6000+Inputs!$B$42*(1-(100*(1-(1-(Inputs!$B$19+0)/100)*(1-CHOOSE(ArtifactsInput!$N$40+1,5,6,7,8,9,10)/100)^(ArtifactsInput!$M$40-ArtifactsInput!$M$40)))/100)))*(1+(Inputs!$B$24+((C2161=TRUE)*(F2161-Calc!F26))+B2171)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2151=TRUE,F2151,0)/100)*(1+(IF(Skills!A5="EIGHT_LEGS_EASTON",Inputs!$B$17+((C2158=TRUE)*(F2158-Calc!F23))+((C2162=TRUE)*(F2162-Calc!F27))+(((IF(AND(ArtifactsInput!$M$42,((Inputs!$B$9+((C2154=TRUE)*(F2154-Calc!F19))+B2165+(ArtifactsInput!$M$24-ArtifactsInput!$M$24)*CHOOSE(ArtifactsInput!$N$24+1,10,12,14,16,18,20)+IF(ArtifactsInput!$M$10,CHOOSE(ArtifactsInput!$N$10+1,15,18,21,24,27,30)*(IF(Inputs!$B$38="pvp",MIN(15,15)/15,IF(AND(Inputs!$B$38&lt;&gt;"pvp",Inputs!$B$43&gt;0),MIN(15,Inputs!$B$43)/(Inputs!$B$43),0))),0)))&gt;=100),MIN(100,((Inputs!$B$9+((C2154=TRUE)*(F2154-Calc!F19))+B2165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19))+B2165+(ArtifactsInput!$M$24-ArtifactsInput!$M$24)*CHOOSE(ArtifactsInput!$N$24+1,10,12,14,16,18,20)+IF(ArtifactsInput!$M$10,CHOOSE(ArtifactsInput!$N$10+1,15,18,21,24,27,30)*(IF(Inputs!$B$38="pvp",MIN(15,15)/15,IF(AND(Inputs!$B$38&lt;&gt;"pvp",Inputs!$B$43&gt;0),MIN(15,Inputs!$B$43)/(Inputs!$B$43),0))),0)))&gt;=100),CHOOSE(ArtifactsInput!$N$42+1,40,48,56,64,72,80),0))))/100)*((1+(((C2152=TRUE)*F2152)+((C2159=TRUE)*(F2159-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2140)</f>
        <v/>
      </c>
      <c r="L2140">
        <f>K2140*(MIN(Inputs!$B$22+((C2157=TRUE)*(F2157-Calc!F22)),(Inputs!$B$23+0+(IF(ArtifactsInput!$M$15,CHOOSE(ArtifactsInput!$N$15+1,25,30,35,40,45,50)/100*(Inputs!$B$11-Inputs!$B$11),0))))/100+(Inputs!$B$23+0+(IF(ArtifactsInput!$M$15,CHOOSE(ArtifactsInput!$N$15+1,25,30,35,40,45,50)/100*(Inputs!$B$11-Inputs!$B$11),0)))/100)/2</f>
        <v/>
      </c>
      <c r="M2140">
        <f>L2140*(1+(Inputs!$B$10+((C2160=TRUE)*(F2160-Calc!F25))+B2170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0">
        <f>L2140*(1-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2140*(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0">
        <f>(1-Summary!$B$11)*T2140+Summary!$B$11*V2140</f>
        <v/>
      </c>
      <c r="P2140">
        <f>IF(B2175=0,0,O2140/B2175)</f>
        <v/>
      </c>
      <c r="Q2140">
        <f>IFERROR(1/(IF(Inputs!$B$38="pvp",15,MAX(0.1,Skills!D5-IF(Skills!E5=TRUE,Inputs!$B$32,0)))*(1-IF(AND(ArtifactsInput!$M$27,Inputs!$B$4="Chapter Hunt"),CHOOSE(ArtifactsInput!$N$27+1,20,24,28,32,36,40),0)/100)),0)</f>
        <v/>
      </c>
      <c r="R2140">
        <f>IF(AND(Inputs!$B$38&lt;&gt;"pvp",Inputs!$B$43&gt;0),IF(MAX(0,Inputs!$B$43-B2172)&lt;=0,0,(INT(MAX(0,Inputs!$B$43-B2172)/(IF(Inputs!$B$38="pvp",15,MAX(0.1,Skills!D5-IF(Skills!E5=TRUE,Inputs!$B$32,0)))*(1-IF(AND(ArtifactsInput!$M$27,Inputs!$B$4="Chapter Hunt"),CHOOSE(ArtifactsInput!$N$27+1,20,24,28,32,36,40),0)/100)))+1)),0)</f>
        <v/>
      </c>
      <c r="S2140">
        <f>IFERROR(O2140/N2140,0)</f>
        <v/>
      </c>
      <c r="T2140">
        <f>IF(C2140,(H2140*N2140*IF(AND(Inputs!$B$38&lt;&gt;"pvp",Inputs!$B$43&gt;0),((Skills!G5*((R2140-1)*IF(Skills!H5&gt;0,Skills!I5/Skills!H5,1)+IF(Skills!H5&gt;0,MIN(Skills!I5,MAX(0,MAX(0,Inputs!$B$43-B2172)-((R2140-1)*(IF(Inputs!$B$38="pvp",15,MAX(0.1,Skills!D5-IF(Skills!E5=TRUE,Inputs!$B$32,0)))*(1-IF(AND(ArtifactsInput!$M$27,Inputs!$B$4="Chapter Hunt"),CHOOSE(ArtifactsInput!$N$27+1,20,24,28,32,36,40),0)/100)))))/Skills!H5,1)))/Inputs!$B$43),G2140*Q2140)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2140*(1-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2140*(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2140*(1-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2140*(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0">
        <f>IF(C2140,(H2140*N2140*IF(AND(Inputs!$B$38&lt;&gt;"pvp",Inputs!$B$43&gt;0),((Skills!G5*((R2140-1)*IF(Skills!H5&gt;0,Skills!I5/Skills!H5,1)+IF(Skills!H5&gt;0,MIN(Skills!I5,MAX(0,MAX(0,Inputs!$B$43-B2172)-((R2140-1)*(IF(Inputs!$B$38="pvp",15,MAX(0.1,Skills!D5-IF(Skills!E5=TRUE,Inputs!$B$32,0)))*(1-IF(AND(ArtifactsInput!$M$27,Inputs!$B$4="Chapter Hunt"),CHOOSE(ArtifactsInput!$N$27+1,20,24,28,32,36,40),0)/100)))))/Skills!H5,1)))/Inputs!$B$43),G2140*Q2140))*IF(Inputs!$B$38="pvp",1,(1+(Inputs!$B$21+Skills!Q5+(IF(ArtifactsInput!$M$33,CHOOSE(ArtifactsInput!$N$33+1,30,36,42,48,54,60)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1">
      <c r="A2141">
        <f>Skills!A6</f>
        <v/>
      </c>
      <c r="B2141">
        <f>Skills!B6</f>
        <v/>
      </c>
      <c r="C2141">
        <f>Inputs!$B$3&gt;=63</f>
        <v/>
      </c>
      <c r="D2141">
        <f>IF(Skills!C6=1,60+Inputs!$B$25+Inputs!$B$29,IF(Skills!C6=2,90+Inputs!$B$26+Inputs!$B$29,IF(Skills!C6=3,120+Inputs!$B$27+Inputs!$B$29,MAX(0,(Inputs!$B$3-100)*3)+Inputs!$B$28+Inputs!$B$29)))</f>
        <v/>
      </c>
      <c r="E2141">
        <f>INDEX(FactorTable!$B$2:$Y$301, MATCH(ROUND(MIN(300,MAX(1,D2141)),0), FactorTable!$A$2:$A$301,0), Skills!M6+1)</f>
        <v/>
      </c>
      <c r="F2141">
        <f>IF(Skills!N6=TRUE,(Skills!L6/10)*(E2141/1000),Skills!L6/10)+Skills!O6</f>
        <v/>
      </c>
      <c r="G2141">
        <f>Skills!G6*IF(Skills!H6&gt;0,Skills!I6/Skills!H6,1)</f>
        <v/>
      </c>
      <c r="H2141">
        <f>1-(1-Skills!J6/100)^Skills!K6</f>
        <v/>
      </c>
      <c r="I2141" t="inlineStr">
        <is>
          <t>1</t>
        </is>
      </c>
      <c r="J2141">
        <f>((Inputs!$B$6*(1+Inputs!$B$7/100))+(((Inputs!$B$12*(1+Inputs!$B$13/100))-(Inputs!$B$12*(1+Inputs!$B$13/100)))+0.25*(Inputs!$B$14-Inputs!$B$14))*(1+Inputs!$B$7/100))*(F2141/100)</f>
        <v/>
      </c>
      <c r="K2141">
        <f>J2141*(1+((Inputs!$B$12*(1+Inputs!$B$13/100))*0.01+Inputs!$B$14*0.0025)/100)*(1+Inputs!$B$15/100)*(1+Inputs!$B$16/100)*(5000/(6000+Inputs!$B$42*(1-(100*(1-(1-(Inputs!$B$19+0)/100)*(1-CHOOSE(ArtifactsInput!$N$40+1,5,6,7,8,9,10)/100)^(ArtifactsInput!$M$40-ArtifactsInput!$M$40)))/100)))*(1+(Inputs!$B$24+((C2161=TRUE)*(F2161-Calc!F26))+B2171)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2150=TRUE,F2150,0)/100)*(1+(IF(Skills!A6="EIGHT_LEGS_EASTON",Inputs!$B$17+((C2158=TRUE)*(F2158-Calc!F23))+((C2162=TRUE)*(F2162-Calc!F27))+(((IF(AND(ArtifactsInput!$M$42,((Inputs!$B$9+((C2154=TRUE)*(F2154-Calc!F19))+B2165+(ArtifactsInput!$M$24-ArtifactsInput!$M$24)*CHOOSE(ArtifactsInput!$N$24+1,10,12,14,16,18,20)+IF(ArtifactsInput!$M$10,CHOOSE(ArtifactsInput!$N$10+1,15,18,21,24,27,30)*(IF(Inputs!$B$38="pvp",MIN(15,15)/15,IF(AND(Inputs!$B$38&lt;&gt;"pvp",Inputs!$B$43&gt;0),MIN(15,Inputs!$B$43)/(Inputs!$B$43),0))),0)))&gt;=100),MIN(100,((Inputs!$B$9+((C2154=TRUE)*(F2154-Calc!F19))+B2165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19))+B2165+(ArtifactsInput!$M$24-ArtifactsInput!$M$24)*CHOOSE(ArtifactsInput!$N$24+1,10,12,14,16,18,20)+IF(ArtifactsInput!$M$10,CHOOSE(ArtifactsInput!$N$10+1,15,18,21,24,27,30)*(IF(Inputs!$B$38="pvp",MIN(15,15)/15,IF(AND(Inputs!$B$38&lt;&gt;"pvp",Inputs!$B$43&gt;0),MIN(15,Inputs!$B$43)/(Inputs!$B$43),0))),0)))&gt;=100),CHOOSE(ArtifactsInput!$N$42+1,40,48,56,64,72,80),0))))/100)*((1+(((C2152=TRUE)*F2152)+((C2159=TRUE)*(F2159-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2141)</f>
        <v/>
      </c>
      <c r="L2141">
        <f>K2141*(MIN(Inputs!$B$22+((C2157=TRUE)*(F2157-Calc!F22)),(Inputs!$B$23+0+(IF(ArtifactsInput!$M$15,CHOOSE(ArtifactsInput!$N$15+1,25,30,35,40,45,50)/100*(Inputs!$B$11-Inputs!$B$11),0))))/100+(Inputs!$B$23+0+(IF(ArtifactsInput!$M$15,CHOOSE(ArtifactsInput!$N$15+1,25,30,35,40,45,50)/100*(Inputs!$B$11-Inputs!$B$11),0)))/100)/2</f>
        <v/>
      </c>
      <c r="M2141">
        <f>L2141*(1+(Inputs!$B$10+((C2160=TRUE)*(F2160-Calc!F25))+B2170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1">
        <f>L2141*(1-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2141*(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1">
        <f>(1-Summary!$B$11)*T2141+Summary!$B$11*V2141</f>
        <v/>
      </c>
      <c r="P2141">
        <f>IF(B2175=0,0,O2141/B2175)</f>
        <v/>
      </c>
      <c r="Q2141">
        <f>IFERROR(1/(IF(Inputs!$B$38="pvp",15,MAX(0.1,Skills!D6-IF(Skills!E6=TRUE,Inputs!$B$32,0)))*(1-IF(AND(ArtifactsInput!$M$27,Inputs!$B$4="Chapter Hunt"),CHOOSE(ArtifactsInput!$N$27+1,20,24,28,32,36,40),0)/100)),0)</f>
        <v/>
      </c>
      <c r="R2141">
        <f>IF(AND(Inputs!$B$38&lt;&gt;"pvp",Inputs!$B$43&gt;0),IF(MAX(0,Inputs!$B$43-B2172)&lt;=0,0,(INT(MAX(0,Inputs!$B$43-B2172)/(IF(Inputs!$B$38="pvp",15,MAX(0.1,Skills!D6-IF(Skills!E6=TRUE,Inputs!$B$32,0)))*(1-IF(AND(ArtifactsInput!$M$27,Inputs!$B$4="Chapter Hunt"),CHOOSE(ArtifactsInput!$N$27+1,20,24,28,32,36,40),0)/100)))+1)),0)</f>
        <v/>
      </c>
      <c r="S2141">
        <f>IFERROR(O2141/N2141,0)</f>
        <v/>
      </c>
      <c r="T2141">
        <f>IF(C2141,(H2141*N2141*IF(AND(Inputs!$B$38&lt;&gt;"pvp",Inputs!$B$43&gt;0),((Skills!G6*((R2141-1)*IF(Skills!H6&gt;0,Skills!I6/Skills!H6,1)+IF(Skills!H6&gt;0,MIN(Skills!I6,MAX(0,MAX(0,Inputs!$B$43-B2172)-((R2141-1)*(IF(Inputs!$B$38="pvp",15,MAX(0.1,Skills!D6-IF(Skills!E6=TRUE,Inputs!$B$32,0)))*(1-IF(AND(ArtifactsInput!$M$27,Inputs!$B$4="Chapter Hunt"),CHOOSE(ArtifactsInput!$N$27+1,20,24,28,32,36,40),0)/100)))))/Skills!H6,1)))/Inputs!$B$43),G2141*Q2141)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2141*(1-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1">
        <f>IF(C2141,(H2141*N2141*IF(AND(Inputs!$B$38&lt;&gt;"pvp",Inputs!$B$43&gt;0),((Skills!G6*((R2141-1)*IF(Skills!H6&gt;0,Skills!I6/Skills!H6,1)+IF(Skills!H6&gt;0,MIN(Skills!I6,MAX(0,MAX(0,Inputs!$B$43-B2172)-((R2141-1)*(IF(Inputs!$B$38="pvp",15,MAX(0.1,Skills!D6-IF(Skills!E6=TRUE,Inputs!$B$32,0)))*(1-IF(AND(ArtifactsInput!$M$27,Inputs!$B$4="Chapter Hunt"),CHOOSE(ArtifactsInput!$N$27+1,20,24,28,32,36,40),0)/100)))))/Skills!H6,1)))/Inputs!$B$43),G2141*Q2141))*IF(Inputs!$B$38="pvp",1,(1+(Inputs!$B$21+Skills!Q6+(IF(ArtifactsInput!$M$33,CHOOSE(ArtifactsInput!$N$33+1,30,36,42,48,54,60)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2">
      <c r="A2142">
        <f>Skills!A7</f>
        <v/>
      </c>
      <c r="B2142">
        <f>Skills!B7</f>
        <v/>
      </c>
      <c r="C2142">
        <f>Inputs!$B$3&gt;=66</f>
        <v/>
      </c>
      <c r="D2142">
        <f>IF(Skills!C7=1,60+Inputs!$B$25+Inputs!$B$29,IF(Skills!C7=2,90+Inputs!$B$26+Inputs!$B$29,IF(Skills!C7=3,120+Inputs!$B$27+Inputs!$B$29,MAX(0,(Inputs!$B$3-100)*3)+Inputs!$B$28+Inputs!$B$29)))</f>
        <v/>
      </c>
      <c r="E2142">
        <f>INDEX(FactorTable!$B$2:$Y$301, MATCH(ROUND(MIN(300,MAX(1,D2142)),0), FactorTable!$A$2:$A$301,0), Skills!M7+1)</f>
        <v/>
      </c>
      <c r="F2142">
        <f>IF(Skills!N7=TRUE,(Skills!L7/10)*(E2142/1000),Skills!L7/10)+Skills!O7</f>
        <v/>
      </c>
      <c r="G2142">
        <f>Skills!G7*IF(Skills!H7&gt;0,Skills!I7/Skills!H7,1)</f>
        <v/>
      </c>
      <c r="H2142">
        <f>1-(1-Skills!J7/100)^Skills!K7</f>
        <v/>
      </c>
      <c r="I2142" t="inlineStr">
        <is>
          <t>1</t>
        </is>
      </c>
      <c r="J2142">
        <f>((Inputs!$B$6*(1+Inputs!$B$7/100))+(((Inputs!$B$12*(1+Inputs!$B$13/100))-(Inputs!$B$12*(1+Inputs!$B$13/100)))+0.25*(Inputs!$B$14-Inputs!$B$14))*(1+Inputs!$B$7/100))*(F2142/100)</f>
        <v/>
      </c>
      <c r="K2142">
        <f>J2142*(1+((Inputs!$B$12*(1+Inputs!$B$13/100))*0.01+Inputs!$B$14*0.0025)/100)*(1+Inputs!$B$15/100)*(1+Inputs!$B$16/100)*(5000/(6000+Inputs!$B$42*(1-(100*(1-(1-(Inputs!$B$19+0)/100)*(1-CHOOSE(ArtifactsInput!$N$40+1,5,6,7,8,9,10)/100)^(ArtifactsInput!$M$40-ArtifactsInput!$M$40)))/100)))*(1+(Inputs!$B$24+((C2161=TRUE)*(F2161-Calc!F26))+B2171)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2150=TRUE,F2150,0)/100)*(1+(IF(Skills!A7="EIGHT_LEGS_EASTON",Inputs!$B$17+((C2158=TRUE)*(F2158-Calc!F23))+((C2162=TRUE)*(F2162-Calc!F27))+(((IF(AND(ArtifactsInput!$M$42,((Inputs!$B$9+((C2154=TRUE)*(F2154-Calc!F19))+B2165+(ArtifactsInput!$M$24-ArtifactsInput!$M$24)*CHOOSE(ArtifactsInput!$N$24+1,10,12,14,16,18,20)+IF(ArtifactsInput!$M$10,CHOOSE(ArtifactsInput!$N$10+1,15,18,21,24,27,30)*(IF(Inputs!$B$38="pvp",MIN(15,15)/15,IF(AND(Inputs!$B$38&lt;&gt;"pvp",Inputs!$B$43&gt;0),MIN(15,Inputs!$B$43)/(Inputs!$B$43),0))),0)))&gt;=100),MIN(100,((Inputs!$B$9+((C2154=TRUE)*(F2154-Calc!F19))+B2165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19))+B2165+(ArtifactsInput!$M$24-ArtifactsInput!$M$24)*CHOOSE(ArtifactsInput!$N$24+1,10,12,14,16,18,20)+IF(ArtifactsInput!$M$10,CHOOSE(ArtifactsInput!$N$10+1,15,18,21,24,27,30)*(IF(Inputs!$B$38="pvp",MIN(15,15)/15,IF(AND(Inputs!$B$38&lt;&gt;"pvp",Inputs!$B$43&gt;0),MIN(15,Inputs!$B$43)/(Inputs!$B$43),0))),0)))&gt;=100),CHOOSE(ArtifactsInput!$N$42+1,40,48,56,64,72,80),0))))/100)*((1+(((C2152=TRUE)*F2152)+((C2159=TRUE)*(F2159-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2142)</f>
        <v/>
      </c>
      <c r="L2142">
        <f>K2142*(MIN(Inputs!$B$22+((C2157=TRUE)*(F2157-Calc!F22)),(Inputs!$B$23+0+(IF(ArtifactsInput!$M$15,CHOOSE(ArtifactsInput!$N$15+1,25,30,35,40,45,50)/100*(Inputs!$B$11-Inputs!$B$11),0))))/100+(Inputs!$B$23+0+(IF(ArtifactsInput!$M$15,CHOOSE(ArtifactsInput!$N$15+1,25,30,35,40,45,50)/100*(Inputs!$B$11-Inputs!$B$11),0)))/100)/2</f>
        <v/>
      </c>
      <c r="M2142">
        <f>L2142*(1+(Inputs!$B$10+((C2160=TRUE)*(F2160-Calc!F25))+B2170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2">
        <f>L2142*(1-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2142*(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2">
        <f>(1-Summary!$B$11)*T2142+Summary!$B$11*V2142</f>
        <v/>
      </c>
      <c r="P2142">
        <f>IF(B2175=0,0,O2142/B2175)</f>
        <v/>
      </c>
      <c r="Q2142">
        <f>IFERROR(1/(IF(Inputs!$B$38="pvp",15,MAX(0.1,Skills!D7-IF(Skills!E7=TRUE,Inputs!$B$32,0)))*(1-IF(AND(ArtifactsInput!$M$27,Inputs!$B$4="Chapter Hunt"),CHOOSE(ArtifactsInput!$N$27+1,20,24,28,32,36,40),0)/100)),0)</f>
        <v/>
      </c>
      <c r="R2142">
        <f>IF(AND(Inputs!$B$38&lt;&gt;"pvp",Inputs!$B$43&gt;0),IF(MAX(0,Inputs!$B$43-B2172)&lt;=0,0,(INT(MAX(0,Inputs!$B$43-B2172)/(IF(Inputs!$B$38="pvp",15,MAX(0.1,Skills!D7-IF(Skills!E7=TRUE,Inputs!$B$32,0)))*(1-IF(AND(ArtifactsInput!$M$27,Inputs!$B$4="Chapter Hunt"),CHOOSE(ArtifactsInput!$N$27+1,20,24,28,32,36,40),0)/100)))+1)),0)</f>
        <v/>
      </c>
      <c r="S2142">
        <f>IFERROR(O2142/N2142,0)</f>
        <v/>
      </c>
      <c r="T2142">
        <f>IF(C2142,(H2142*N2142*IF(AND(Inputs!$B$38&lt;&gt;"pvp",Inputs!$B$43&gt;0),((Skills!G7*((R2142-1)*IF(Skills!H7&gt;0,Skills!I7/Skills!H7,1)+IF(Skills!H7&gt;0,MIN(Skills!I7,MAX(0,MAX(0,Inputs!$B$43-B2172)-((R2142-1)*(IF(Inputs!$B$38="pvp",15,MAX(0.1,Skills!D7-IF(Skills!E7=TRUE,Inputs!$B$32,0)))*(1-IF(AND(ArtifactsInput!$M$27,Inputs!$B$4="Chapter Hunt"),CHOOSE(ArtifactsInput!$N$27+1,20,24,28,32,36,40),0)/100)))))/Skills!H7,1)))/Inputs!$B$43),G2142*Q2142)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2142*(1-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2142*(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2142*(1-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2142*(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2">
        <f>IF(C2142,(H2142*N2142*IF(AND(Inputs!$B$38&lt;&gt;"pvp",Inputs!$B$43&gt;0),((Skills!G7*((R2142-1)*IF(Skills!H7&gt;0,Skills!I7/Skills!H7,1)+IF(Skills!H7&gt;0,MIN(Skills!I7,MAX(0,MAX(0,Inputs!$B$43-B2172)-((R2142-1)*(IF(Inputs!$B$38="pvp",15,MAX(0.1,Skills!D7-IF(Skills!E7=TRUE,Inputs!$B$32,0)))*(1-IF(AND(ArtifactsInput!$M$27,Inputs!$B$4="Chapter Hunt"),CHOOSE(ArtifactsInput!$N$27+1,20,24,28,32,36,40),0)/100)))))/Skills!H7,1)))/Inputs!$B$43),G2142*Q2142))*IF(Inputs!$B$38="pvp",1,(1+(Inputs!$B$21+Skills!Q7+(IF(ArtifactsInput!$M$33,CHOOSE(ArtifactsInput!$N$33+1,30,36,42,48,54,60)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3">
      <c r="A2143">
        <f>Skills!A8</f>
        <v/>
      </c>
      <c r="B2143">
        <f>Skills!B8</f>
        <v/>
      </c>
      <c r="C2143">
        <f>Inputs!$B$3&gt;=100</f>
        <v/>
      </c>
      <c r="D2143">
        <f>IF(Skills!C8=1,60+Inputs!$B$25+Inputs!$B$29,IF(Skills!C8=2,90+Inputs!$B$26+Inputs!$B$29,IF(Skills!C8=3,120+Inputs!$B$27+Inputs!$B$29,MAX(0,(Inputs!$B$3-100)*3)+Inputs!$B$28+Inputs!$B$29)))</f>
        <v/>
      </c>
      <c r="E2143">
        <f>INDEX(FactorTable!$B$2:$Y$301, MATCH(ROUND(MIN(300,MAX(1,D2143)),0), FactorTable!$A$2:$A$301,0), Skills!M8+1)</f>
        <v/>
      </c>
      <c r="F2143">
        <f>IF(Skills!N8=TRUE,(Skills!L8/10)*(E2143/1000),Skills!L8/10)+Skills!O8</f>
        <v/>
      </c>
      <c r="G2143">
        <f>Skills!G8*IF(Skills!H8&gt;0,Skills!I8/Skills!H8,1)</f>
        <v/>
      </c>
      <c r="H2143">
        <f>1-(1-Skills!J8/100)^Skills!K8</f>
        <v/>
      </c>
      <c r="I2143" t="inlineStr">
        <is>
          <t>1</t>
        </is>
      </c>
      <c r="J2143">
        <f>((Inputs!$B$6*(1+Inputs!$B$7/100))+(((Inputs!$B$12*(1+Inputs!$B$13/100))-(Inputs!$B$12*(1+Inputs!$B$13/100)))+0.25*(Inputs!$B$14-Inputs!$B$14))*(1+Inputs!$B$7/100))*(F2143/100)</f>
        <v/>
      </c>
      <c r="K2143">
        <f>J2143*(1+((Inputs!$B$12*(1+Inputs!$B$13/100))*0.01+Inputs!$B$14*0.0025)/100)*(1+Inputs!$B$15/100)*(1+Inputs!$B$16/100)*(5000/(6000+Inputs!$B$42*(1-(100*(1-(1-(Inputs!$B$19+0)/100)*(1-CHOOSE(ArtifactsInput!$N$40+1,5,6,7,8,9,10)/100)^(ArtifactsInput!$M$40-ArtifactsInput!$M$40)))/100)))*(1+(Inputs!$B$24+((C2161=TRUE)*(F2161-Calc!F26))+B2171)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2158=TRUE)*(F2158-Calc!F23))+((C2162=TRUE)*(F2162-Calc!F27))+(((IF(AND(ArtifactsInput!$M$42,((Inputs!$B$9+((C2154=TRUE)*(F2154-Calc!F19))+B2165+(ArtifactsInput!$M$24-ArtifactsInput!$M$24)*CHOOSE(ArtifactsInput!$N$24+1,10,12,14,16,18,20)+IF(ArtifactsInput!$M$10,CHOOSE(ArtifactsInput!$N$10+1,15,18,21,24,27,30)*(IF(Inputs!$B$38="pvp",MIN(15,15)/15,IF(AND(Inputs!$B$38&lt;&gt;"pvp",Inputs!$B$43&gt;0),MIN(15,Inputs!$B$43)/(Inputs!$B$43),0))),0)))&gt;=100),MIN(100,((Inputs!$B$9+((C2154=TRUE)*(F2154-Calc!F19))+B2165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19))+B2165+(ArtifactsInput!$M$24-ArtifactsInput!$M$24)*CHOOSE(ArtifactsInput!$N$24+1,10,12,14,16,18,20)+IF(ArtifactsInput!$M$10,CHOOSE(ArtifactsInput!$N$10+1,15,18,21,24,27,30)*(IF(Inputs!$B$38="pvp",MIN(15,15)/15,IF(AND(Inputs!$B$38&lt;&gt;"pvp",Inputs!$B$43&gt;0),MIN(15,Inputs!$B$43)/(Inputs!$B$43),0))),0)))&gt;=100),CHOOSE(ArtifactsInput!$N$42+1,40,48,56,64,72,80),0))))/100)*((1+(((C2152=TRUE)*F2152)+((C2159=TRUE)*(F2159-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2143)</f>
        <v/>
      </c>
      <c r="L2143">
        <f>K2143*(MIN(Inputs!$B$22+((C2157=TRUE)*(F2157-Calc!F22)),(Inputs!$B$23+0+(IF(ArtifactsInput!$M$15,CHOOSE(ArtifactsInput!$N$15+1,25,30,35,40,45,50)/100*(Inputs!$B$11-Inputs!$B$11),0))))/100+(Inputs!$B$23+0+(IF(ArtifactsInput!$M$15,CHOOSE(ArtifactsInput!$N$15+1,25,30,35,40,45,50)/100*(Inputs!$B$11-Inputs!$B$11),0)))/100)/2</f>
        <v/>
      </c>
      <c r="M2143">
        <f>L2143*(1+(Inputs!$B$10+((C2160=TRUE)*(F2160-Calc!F25))+B2170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3">
        <f>L2143*(1-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2143*(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3">
        <f>(1-Summary!$B$11)*T2143+Summary!$B$11*V2143</f>
        <v/>
      </c>
      <c r="P2143">
        <f>IF(B2175=0,0,O2143/B2175)</f>
        <v/>
      </c>
      <c r="Q2143">
        <f>IFERROR(1/(IF(Inputs!$B$38="pvp",15,MAX(0.1,Skills!D8-IF(Skills!E8=TRUE,Inputs!$B$32,0)))*(1-IF(AND(ArtifactsInput!$M$27,Inputs!$B$4="Chapter Hunt"),CHOOSE(ArtifactsInput!$N$27+1,20,24,28,32,36,40),0)/100)),0)</f>
        <v/>
      </c>
      <c r="R2143">
        <f>IF(AND(Inputs!$B$38&lt;&gt;"pvp",Inputs!$B$43&gt;0),IF(MAX(0,Inputs!$B$43-B2172)&lt;=0,0,(INT(MAX(0,Inputs!$B$43-B2172)/(IF(Inputs!$B$38="pvp",15,MAX(0.1,Skills!D8-IF(Skills!E8=TRUE,Inputs!$B$32,0)))*(1-IF(AND(ArtifactsInput!$M$27,Inputs!$B$4="Chapter Hunt"),CHOOSE(ArtifactsInput!$N$27+1,20,24,28,32,36,40),0)/100)))+1)),0)</f>
        <v/>
      </c>
      <c r="S2143">
        <f>IFERROR(O2143/N2143,0)</f>
        <v/>
      </c>
      <c r="T2143">
        <f>IF(C2143,(H2143*N2143*IF(AND(Inputs!$B$38&lt;&gt;"pvp",Inputs!$B$43&gt;0),((Skills!G8*((R2143-1)*IF(Skills!H8&gt;0,Skills!I8/Skills!H8,1)+IF(Skills!H8&gt;0,MIN(Skills!I8,MAX(0,MAX(0,Inputs!$B$43-B2172)-((R2143-1)*(IF(Inputs!$B$38="pvp",15,MAX(0.1,Skills!D8-IF(Skills!E8=TRUE,Inputs!$B$32,0)))*(1-IF(AND(ArtifactsInput!$M$27,Inputs!$B$4="Chapter Hunt"),CHOOSE(ArtifactsInput!$N$27+1,20,24,28,32,36,40),0)/100)))))/Skills!H8,1)))/Inputs!$B$43),G2143*Q2143)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2143*(1-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2143*(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2143*(1-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2143*(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3">
        <f>IF(C2143,(H2143*N2143*IF(AND(Inputs!$B$38&lt;&gt;"pvp",Inputs!$B$43&gt;0),((Skills!G8*((R2143-1)*IF(Skills!H8&gt;0,Skills!I8/Skills!H8,1)+IF(Skills!H8&gt;0,MIN(Skills!I8,MAX(0,MAX(0,Inputs!$B$43-B2172)-((R2143-1)*(IF(Inputs!$B$38="pvp",15,MAX(0.1,Skills!D8-IF(Skills!E8=TRUE,Inputs!$B$32,0)))*(1-IF(AND(ArtifactsInput!$M$27,Inputs!$B$4="Chapter Hunt"),CHOOSE(ArtifactsInput!$N$27+1,20,24,28,32,36,40),0)/100)))))/Skills!H8,1)))/Inputs!$B$43),G2143*Q2143))*IF(Inputs!$B$38="pvp",1,(1+(Inputs!$B$21+Skills!Q8+(IF(ArtifactsInput!$M$33,CHOOSE(ArtifactsInput!$N$33+1,30,36,42,48,54,60)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4">
      <c r="A2144">
        <f>Skills!A9</f>
        <v/>
      </c>
      <c r="B2144">
        <f>Skills!B9</f>
        <v/>
      </c>
      <c r="C2144">
        <f>Inputs!$B$3&gt;=103</f>
        <v/>
      </c>
      <c r="D2144">
        <f>IF(Skills!C9=1,60+Inputs!$B$25+Inputs!$B$29,IF(Skills!C9=2,90+Inputs!$B$26+Inputs!$B$29,IF(Skills!C9=3,120+Inputs!$B$27+Inputs!$B$29,MAX(0,(Inputs!$B$3-100)*3)+Inputs!$B$28+Inputs!$B$29)))</f>
        <v/>
      </c>
      <c r="E2144">
        <f>INDEX(FactorTable!$B$2:$Y$301, MATCH(ROUND(MIN(300,MAX(1,D2144)),0), FactorTable!$A$2:$A$301,0), Skills!M9+1)</f>
        <v/>
      </c>
      <c r="F2144">
        <f>IF(Skills!N9=TRUE,(Skills!L9/10)*(E2144/1000),Skills!L9/10)+Skills!O9</f>
        <v/>
      </c>
      <c r="G2144">
        <f>Skills!G9*IF(Skills!H9&gt;0,Skills!I9/Skills!H9,1)</f>
        <v/>
      </c>
      <c r="H2144">
        <f>1-(1-Skills!J9/100)^Skills!K9</f>
        <v/>
      </c>
      <c r="I2144" t="inlineStr">
        <is>
          <t>1</t>
        </is>
      </c>
      <c r="J2144">
        <f>((Inputs!$B$6*(1+Inputs!$B$7/100))+(((Inputs!$B$12*(1+Inputs!$B$13/100))-(Inputs!$B$12*(1+Inputs!$B$13/100)))+0.25*(Inputs!$B$14-Inputs!$B$14))*(1+Inputs!$B$7/100))*(F2144/100)</f>
        <v/>
      </c>
      <c r="K2144">
        <f>J2144*(1+((Inputs!$B$12*(1+Inputs!$B$13/100))*0.01+Inputs!$B$14*0.0025)/100)*(1+Inputs!$B$15/100)*(1+Inputs!$B$16/100)*(5000/(6000+Inputs!$B$42*(1-(100*(1-(1-(Inputs!$B$19+0)/100)*(1-CHOOSE(ArtifactsInput!$N$40+1,5,6,7,8,9,10)/100)^(ArtifactsInput!$M$40-ArtifactsInput!$M$40)))/100)))*(1+(Inputs!$B$24+((C2161=TRUE)*(F2161-Calc!F26))+B2171)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2158=TRUE)*(F2158-Calc!F23))+((C2162=TRUE)*(F2162-Calc!F27))+(((IF(AND(ArtifactsInput!$M$42,((Inputs!$B$9+((C2154=TRUE)*(F2154-Calc!F19))+B2165+(ArtifactsInput!$M$24-ArtifactsInput!$M$24)*CHOOSE(ArtifactsInput!$N$24+1,10,12,14,16,18,20)+IF(ArtifactsInput!$M$10,CHOOSE(ArtifactsInput!$N$10+1,15,18,21,24,27,30)*(IF(Inputs!$B$38="pvp",MIN(15,15)/15,IF(AND(Inputs!$B$38&lt;&gt;"pvp",Inputs!$B$43&gt;0),MIN(15,Inputs!$B$43)/(Inputs!$B$43),0))),0)))&gt;=100),MIN(100,((Inputs!$B$9+((C2154=TRUE)*(F2154-Calc!F19))+B2165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19))+B2165+(ArtifactsInput!$M$24-ArtifactsInput!$M$24)*CHOOSE(ArtifactsInput!$N$24+1,10,12,14,16,18,20)+IF(ArtifactsInput!$M$10,CHOOSE(ArtifactsInput!$N$10+1,15,18,21,24,27,30)*(IF(Inputs!$B$38="pvp",MIN(15,15)/15,IF(AND(Inputs!$B$38&lt;&gt;"pvp",Inputs!$B$43&gt;0),MIN(15,Inputs!$B$43)/(Inputs!$B$43),0))),0)))&gt;=100),CHOOSE(ArtifactsInput!$N$42+1,40,48,56,64,72,80),0))))/100)*((1+(((C2152=TRUE)*F2152)+((C2159=TRUE)*(F2159-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2144)</f>
        <v/>
      </c>
      <c r="L2144">
        <f>K2144*(MIN(Inputs!$B$22+((C2157=TRUE)*(F2157-Calc!F22)),(Inputs!$B$23+0+(IF(ArtifactsInput!$M$15,CHOOSE(ArtifactsInput!$N$15+1,25,30,35,40,45,50)/100*(Inputs!$B$11-Inputs!$B$11),0))))/100+(Inputs!$B$23+0+(IF(ArtifactsInput!$M$15,CHOOSE(ArtifactsInput!$N$15+1,25,30,35,40,45,50)/100*(Inputs!$B$11-Inputs!$B$11),0)))/100)/2</f>
        <v/>
      </c>
      <c r="M2144">
        <f>L2144*(1+(Inputs!$B$10+((C2160=TRUE)*(F2160-Calc!F25))+B2170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4">
        <f>L2144*(1-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2144*(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4">
        <f>(1-Summary!$B$11)*T2144+Summary!$B$11*V2144</f>
        <v/>
      </c>
      <c r="P2144">
        <f>IF(B2175=0,0,O2144/B2175)</f>
        <v/>
      </c>
      <c r="Q2144">
        <f>IFERROR(1/(IF(Inputs!$B$38="pvp",15,MAX(0.1,Skills!D9-IF(Skills!E9=TRUE,Inputs!$B$32,0)))*(1-IF(AND(ArtifactsInput!$M$27,Inputs!$B$4="Chapter Hunt"),CHOOSE(ArtifactsInput!$N$27+1,20,24,28,32,36,40),0)/100)),0)</f>
        <v/>
      </c>
      <c r="R2144">
        <f>IF(AND(Inputs!$B$38&lt;&gt;"pvp",Inputs!$B$43&gt;0),IF(MAX(0,Inputs!$B$43-B2172)&lt;=0,0,(INT(MAX(0,Inputs!$B$43-B2172)/(IF(Inputs!$B$38="pvp",15,MAX(0.1,Skills!D9-IF(Skills!E9=TRUE,Inputs!$B$32,0)))*(1-IF(AND(ArtifactsInput!$M$27,Inputs!$B$4="Chapter Hunt"),CHOOSE(ArtifactsInput!$N$27+1,20,24,28,32,36,40),0)/100)))+1)),0)</f>
        <v/>
      </c>
      <c r="S2144">
        <f>IFERROR(O2144/N2144,0)</f>
        <v/>
      </c>
      <c r="T2144">
        <f>IF(C2144,(H2144*N2144*IF(AND(Inputs!$B$38&lt;&gt;"pvp",Inputs!$B$43&gt;0),((Skills!G9*((R2144-1)*IF(Skills!H9&gt;0,Skills!I9/Skills!H9,1)+IF(Skills!H9&gt;0,MIN(Skills!I9,MAX(0,MAX(0,Inputs!$B$43-B2172)-((R2144-1)*(IF(Inputs!$B$38="pvp",15,MAX(0.1,Skills!D9-IF(Skills!E9=TRUE,Inputs!$B$32,0)))*(1-IF(AND(ArtifactsInput!$M$27,Inputs!$B$4="Chapter Hunt"),CHOOSE(ArtifactsInput!$N$27+1,20,24,28,32,36,40),0)/100)))))/Skills!H9,1)))/Inputs!$B$43),G2144*Q2144)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2144*(1-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2144*(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2144*(1-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2144*(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4">
        <f>IF(C2144,(H2144*N2144*IF(AND(Inputs!$B$38&lt;&gt;"pvp",Inputs!$B$43&gt;0),((Skills!G9*((R2144-1)*IF(Skills!H9&gt;0,Skills!I9/Skills!H9,1)+IF(Skills!H9&gt;0,MIN(Skills!I9,MAX(0,MAX(0,Inputs!$B$43-B2172)-((R2144-1)*(IF(Inputs!$B$38="pvp",15,MAX(0.1,Skills!D9-IF(Skills!E9=TRUE,Inputs!$B$32,0)))*(1-IF(AND(ArtifactsInput!$M$27,Inputs!$B$4="Chapter Hunt"),CHOOSE(ArtifactsInput!$N$27+1,20,24,28,32,36,40),0)/100)))))/Skills!H9,1)))/Inputs!$B$43),G2144*Q2144))*IF(Inputs!$B$38="pvp",1,(1+(Inputs!$B$21+Skills!Q9+(IF(ArtifactsInput!$M$33,CHOOSE(ArtifactsInput!$N$33+1,30,36,42,48,54,60)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5">
      <c r="A2145">
        <f>Skills!A10</f>
        <v/>
      </c>
      <c r="B2145">
        <f>Skills!B10</f>
        <v/>
      </c>
      <c r="C2145">
        <f>Inputs!$B$3&gt;=113</f>
        <v/>
      </c>
      <c r="D2145">
        <f>IF(Skills!C10=1,60+Inputs!$B$25+Inputs!$B$29,IF(Skills!C10=2,90+Inputs!$B$26+Inputs!$B$29,IF(Skills!C10=3,120+Inputs!$B$27+Inputs!$B$29,MAX(0,(Inputs!$B$3-100)*3)+Inputs!$B$28+Inputs!$B$29)))</f>
        <v/>
      </c>
      <c r="E2145">
        <f>INDEX(FactorTable!$B$2:$Y$301, MATCH(ROUND(MIN(300,MAX(1,D2145)),0), FactorTable!$A$2:$A$301,0), Skills!M10+1)</f>
        <v/>
      </c>
      <c r="F2145">
        <f>IF(Skills!N10=TRUE,(Skills!L10/10)*(E2145/1000),Skills!L10/10)+Skills!O10</f>
        <v/>
      </c>
      <c r="G2145">
        <f>Skills!G10*IF(Skills!H10&gt;0,Skills!I10/Skills!H10,1)</f>
        <v/>
      </c>
      <c r="H2145">
        <f>1-(1-Skills!J10/100)^Skills!K10</f>
        <v/>
      </c>
      <c r="I2145" t="inlineStr">
        <is>
          <t>1</t>
        </is>
      </c>
      <c r="J2145">
        <f>((Inputs!$B$6*(1+Inputs!$B$7/100))+(((Inputs!$B$12*(1+Inputs!$B$13/100))-(Inputs!$B$12*(1+Inputs!$B$13/100)))+0.25*(Inputs!$B$14-Inputs!$B$14))*(1+Inputs!$B$7/100))*(F2145/100)</f>
        <v/>
      </c>
      <c r="K2145">
        <f>J2145*(1+((Inputs!$B$12*(1+Inputs!$B$13/100))*0.01+Inputs!$B$14*0.0025)/100)*(1+Inputs!$B$15/100)*(1+Inputs!$B$16/100)*(5000/(6000+Inputs!$B$42*(1-(100*(1-(1-(Inputs!$B$19+0)/100)*(1-CHOOSE(ArtifactsInput!$N$40+1,5,6,7,8,9,10)/100)^(ArtifactsInput!$M$40-ArtifactsInput!$M$40)))/100)))*(1+(Inputs!$B$24+((C2161=TRUE)*(F2161-Calc!F26))+B2171)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2158=TRUE)*(F2158-Calc!F23))+((C2162=TRUE)*(F2162-Calc!F27))+(((IF(AND(ArtifactsInput!$M$42,((Inputs!$B$9+((C2154=TRUE)*(F2154-Calc!F19))+B2165+(ArtifactsInput!$M$24-ArtifactsInput!$M$24)*CHOOSE(ArtifactsInput!$N$24+1,10,12,14,16,18,20)+IF(ArtifactsInput!$M$10,CHOOSE(ArtifactsInput!$N$10+1,15,18,21,24,27,30)*(IF(Inputs!$B$38="pvp",MIN(15,15)/15,IF(AND(Inputs!$B$38&lt;&gt;"pvp",Inputs!$B$43&gt;0),MIN(15,Inputs!$B$43)/(Inputs!$B$43),0))),0)))&gt;=100),MIN(100,((Inputs!$B$9+((C2154=TRUE)*(F2154-Calc!F19))+B2165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19))+B2165+(ArtifactsInput!$M$24-ArtifactsInput!$M$24)*CHOOSE(ArtifactsInput!$N$24+1,10,12,14,16,18,20)+IF(ArtifactsInput!$M$10,CHOOSE(ArtifactsInput!$N$10+1,15,18,21,24,27,30)*(IF(Inputs!$B$38="pvp",MIN(15,15)/15,IF(AND(Inputs!$B$38&lt;&gt;"pvp",Inputs!$B$43&gt;0),MIN(15,Inputs!$B$43)/(Inputs!$B$43),0))),0)))&gt;=100),CHOOSE(ArtifactsInput!$N$42+1,40,48,56,64,72,80),0))))/100)*((1+(((C2152=TRUE)*F2152)+((C2159=TRUE)*(F2159-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2145)</f>
        <v/>
      </c>
      <c r="L2145">
        <f>K2145*(MIN(Inputs!$B$22+((C2157=TRUE)*(F2157-Calc!F22)),(Inputs!$B$23+0+(IF(ArtifactsInput!$M$15,CHOOSE(ArtifactsInput!$N$15+1,25,30,35,40,45,50)/100*(Inputs!$B$11-Inputs!$B$11),0))))/100+(Inputs!$B$23+0+(IF(ArtifactsInput!$M$15,CHOOSE(ArtifactsInput!$N$15+1,25,30,35,40,45,50)/100*(Inputs!$B$11-Inputs!$B$11),0)))/100)/2</f>
        <v/>
      </c>
      <c r="M2145">
        <f>L2145*(1+(Inputs!$B$10+((C2160=TRUE)*(F2160-Calc!F25))+B2170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5">
        <f>L2145*(1-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2145*(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5">
        <f>(1-Summary!$B$11)*T2145+Summary!$B$11*V2145</f>
        <v/>
      </c>
      <c r="P2145">
        <f>IF(B2175=0,0,O2145/B2175)</f>
        <v/>
      </c>
      <c r="Q2145">
        <f>IFERROR(1/(IF(Inputs!$B$38="pvp",15,MAX(0.1,Skills!D10-IF(Skills!E10=TRUE,Inputs!$B$32,0)))*(1-IF(AND(ArtifactsInput!$M$27,Inputs!$B$4="Chapter Hunt"),CHOOSE(ArtifactsInput!$N$27+1,20,24,28,32,36,40),0)/100)),0)</f>
        <v/>
      </c>
      <c r="R2145">
        <f>IF(AND(Inputs!$B$38&lt;&gt;"pvp",Inputs!$B$43&gt;0),IF(MAX(0,Inputs!$B$43-B2172)&lt;=0,0,(INT(MAX(0,Inputs!$B$43-B2172)/(IF(Inputs!$B$38="pvp",15,MAX(0.1,Skills!D10-IF(Skills!E10=TRUE,Inputs!$B$32,0)))*(1-IF(AND(ArtifactsInput!$M$27,Inputs!$B$4="Chapter Hunt"),CHOOSE(ArtifactsInput!$N$27+1,20,24,28,32,36,40),0)/100)))+1)),0)</f>
        <v/>
      </c>
      <c r="S2145">
        <f>IFERROR(O2145/N2145,0)</f>
        <v/>
      </c>
      <c r="T2145">
        <f>IF(C2145,(H2145*N2145*IF(AND(Inputs!$B$38&lt;&gt;"pvp",Inputs!$B$43&gt;0),((Skills!G10*((R2145-1)*IF(Skills!H10&gt;0,Skills!I10/Skills!H10,1)+IF(Skills!H10&gt;0,MIN(Skills!I10,MAX(0,MAX(0,Inputs!$B$43-B2172)-((R2145-1)*(IF(Inputs!$B$38="pvp",15,MAX(0.1,Skills!D10-IF(Skills!E10=TRUE,Inputs!$B$32,0)))*(1-IF(AND(ArtifactsInput!$M$27,Inputs!$B$4="Chapter Hunt"),CHOOSE(ArtifactsInput!$N$27+1,20,24,28,32,36,40),0)/100)))))/Skills!H10,1)))/Inputs!$B$43),G2145*Q2145)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2145*(1-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2145*(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2145*(1-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2145*(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5">
        <f>IF(C2145,(H2145*N2145*IF(AND(Inputs!$B$38&lt;&gt;"pvp",Inputs!$B$43&gt;0),((Skills!G10*((R2145-1)*IF(Skills!H10&gt;0,Skills!I10/Skills!H10,1)+IF(Skills!H10&gt;0,MIN(Skills!I10,MAX(0,MAX(0,Inputs!$B$43-B2172)-((R2145-1)*(IF(Inputs!$B$38="pvp",15,MAX(0.1,Skills!D10-IF(Skills!E10=TRUE,Inputs!$B$32,0)))*(1-IF(AND(ArtifactsInput!$M$27,Inputs!$B$4="Chapter Hunt"),CHOOSE(ArtifactsInput!$N$27+1,20,24,28,32,36,40),0)/100)))))/Skills!H10,1)))/Inputs!$B$43),G2145*Q2145))*IF(Inputs!$B$38="pvp",1,(1+(Inputs!$B$21+Skills!Q10+(IF(ArtifactsInput!$M$33,CHOOSE(ArtifactsInput!$N$33+1,30,36,42,48,54,60)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6">
      <c r="A2146">
        <f>Skills!A11</f>
        <v/>
      </c>
      <c r="B2146">
        <f>Skills!B11</f>
        <v/>
      </c>
      <c r="C2146">
        <f>Inputs!$B$3&gt;=107</f>
        <v/>
      </c>
      <c r="D2146">
        <f>IF(Skills!C11=1,60+Inputs!$B$25+Inputs!$B$29,IF(Skills!C11=2,90+Inputs!$B$26+Inputs!$B$29,IF(Skills!C11=3,120+Inputs!$B$27+Inputs!$B$29,MAX(0,(Inputs!$B$3-100)*3)+Inputs!$B$28+Inputs!$B$29)))</f>
        <v/>
      </c>
      <c r="E2146">
        <f>INDEX(FactorTable!$B$2:$Y$301, MATCH(ROUND(MIN(300,MAX(1,D2146)),0), FactorTable!$A$2:$A$301,0), Skills!M11+1)</f>
        <v/>
      </c>
      <c r="F2146">
        <f>IF(Skills!N11=TRUE,(Skills!L11/10)*(E2146/1000),Skills!L11/10)+Skills!O11</f>
        <v/>
      </c>
      <c r="G2146">
        <f>Skills!G11*IF(Skills!H11&gt;0,Skills!I11/Skills!H11,1)</f>
        <v/>
      </c>
      <c r="H2146">
        <f>1-(1-Skills!J11/100)^Skills!K11</f>
        <v/>
      </c>
      <c r="I2146" t="inlineStr">
        <is>
          <t>1</t>
        </is>
      </c>
      <c r="J2146">
        <f>((Inputs!$B$6*(1+Inputs!$B$7/100))+(((Inputs!$B$12*(1+Inputs!$B$13/100))-(Inputs!$B$12*(1+Inputs!$B$13/100)))+0.25*(Inputs!$B$14-Inputs!$B$14))*(1+Inputs!$B$7/100))*(F2146/100)</f>
        <v/>
      </c>
      <c r="K2146">
        <f>J2146*(1+((Inputs!$B$12*(1+Inputs!$B$13/100))*0.01+Inputs!$B$14*0.0025)/100)*(1+Inputs!$B$15/100)*(1+Inputs!$B$16/100)*(5000/(6000+Inputs!$B$42*(1-(100*(1-(1-(Inputs!$B$19+0)/100)*(1-CHOOSE(ArtifactsInput!$N$40+1,5,6,7,8,9,10)/100)^(ArtifactsInput!$M$40-ArtifactsInput!$M$40)))/100)))*(1+(Inputs!$B$24+((C2161=TRUE)*(F2161-Calc!F26))+B2171)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2158=TRUE)*(F2158-Calc!F23))+((C2162=TRUE)*(F2162-Calc!F27))+(((IF(AND(ArtifactsInput!$M$42,((Inputs!$B$9+((C2154=TRUE)*(F2154-Calc!F19))+B2165+(ArtifactsInput!$M$24-ArtifactsInput!$M$24)*CHOOSE(ArtifactsInput!$N$24+1,10,12,14,16,18,20)+IF(ArtifactsInput!$M$10,CHOOSE(ArtifactsInput!$N$10+1,15,18,21,24,27,30)*(IF(Inputs!$B$38="pvp",MIN(15,15)/15,IF(AND(Inputs!$B$38&lt;&gt;"pvp",Inputs!$B$43&gt;0),MIN(15,Inputs!$B$43)/(Inputs!$B$43),0))),0)))&gt;=100),MIN(100,((Inputs!$B$9+((C2154=TRUE)*(F2154-Calc!F19))+B2165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19))+B2165+(ArtifactsInput!$M$24-ArtifactsInput!$M$24)*CHOOSE(ArtifactsInput!$N$24+1,10,12,14,16,18,20)+IF(ArtifactsInput!$M$10,CHOOSE(ArtifactsInput!$N$10+1,15,18,21,24,27,30)*(IF(Inputs!$B$38="pvp",MIN(15,15)/15,IF(AND(Inputs!$B$38&lt;&gt;"pvp",Inputs!$B$43&gt;0),MIN(15,Inputs!$B$43)/(Inputs!$B$43),0))),0)))&gt;=100),CHOOSE(ArtifactsInput!$N$42+1,40,48,56,64,72,80),0))))/100)*((1+(((C2152=TRUE)*F2152)+((C2159=TRUE)*(F2159-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2146)</f>
        <v/>
      </c>
      <c r="L2146">
        <f>K2146*(MIN(Inputs!$B$22+((C2157=TRUE)*(F2157-Calc!F22)),(Inputs!$B$23+0+(IF(ArtifactsInput!$M$15,CHOOSE(ArtifactsInput!$N$15+1,25,30,35,40,45,50)/100*(Inputs!$B$11-Inputs!$B$11),0))))/100+(Inputs!$B$23+0+(IF(ArtifactsInput!$M$15,CHOOSE(ArtifactsInput!$N$15+1,25,30,35,40,45,50)/100*(Inputs!$B$11-Inputs!$B$11),0)))/100)/2</f>
        <v/>
      </c>
      <c r="M2146">
        <f>L2146*(1+(Inputs!$B$10+((C2160=TRUE)*(F2160-Calc!F25))+B2170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6">
        <f>L2146*(1-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2146*(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6">
        <f>(1-Summary!$B$11)*T2146+Summary!$B$11*V2146</f>
        <v/>
      </c>
      <c r="P2146">
        <f>IF(B2175=0,0,O2146/B2175)</f>
        <v/>
      </c>
      <c r="Q2146">
        <f>IFERROR(1/(IF(Inputs!$B$38="pvp",15,MAX(0.1,Skills!D11-IF(Skills!E11=TRUE,Inputs!$B$32,0)))*(1-IF(AND(ArtifactsInput!$M$27,Inputs!$B$4="Chapter Hunt"),CHOOSE(ArtifactsInput!$N$27+1,20,24,28,32,36,40),0)/100)),0)</f>
        <v/>
      </c>
      <c r="R2146">
        <f>IF(AND(Inputs!$B$38&lt;&gt;"pvp",Inputs!$B$43&gt;0),IF(MAX(0,Inputs!$B$43-B2172)&lt;=0,0,(INT(MAX(0,Inputs!$B$43-B2172)/(IF(Inputs!$B$38="pvp",15,MAX(0.1,Skills!D11-IF(Skills!E11=TRUE,Inputs!$B$32,0)))*(1-IF(AND(ArtifactsInput!$M$27,Inputs!$B$4="Chapter Hunt"),CHOOSE(ArtifactsInput!$N$27+1,20,24,28,32,36,40),0)/100)))+1)),0)</f>
        <v/>
      </c>
      <c r="S2146">
        <f>IFERROR(O2146/N2146,0)</f>
        <v/>
      </c>
      <c r="T2146">
        <f>IF(C2146,(H2146*N2146*IF(AND(Inputs!$B$38&lt;&gt;"pvp",Inputs!$B$43&gt;0),((Skills!G11*((R2146-1)*IF(Skills!H11&gt;0,Skills!I11/Skills!H11,1)+IF(Skills!H11&gt;0,MIN(Skills!I11,MAX(0,MAX(0,Inputs!$B$43-B2172)-((R2146-1)*(IF(Inputs!$B$38="pvp",15,MAX(0.1,Skills!D11-IF(Skills!E11=TRUE,Inputs!$B$32,0)))*(1-IF(AND(ArtifactsInput!$M$27,Inputs!$B$4="Chapter Hunt"),CHOOSE(ArtifactsInput!$N$27+1,20,24,28,32,36,40),0)/100)))))/Skills!H11,1)))/Inputs!$B$43),G2146*Q2146)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2146*(1-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2146*(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2146*(1-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2146*(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6">
        <f>IF(C2146,(H2146*N2146*IF(AND(Inputs!$B$38&lt;&gt;"pvp",Inputs!$B$43&gt;0),((Skills!G11*((R2146-1)*IF(Skills!H11&gt;0,Skills!I11/Skills!H11,1)+IF(Skills!H11&gt;0,MIN(Skills!I11,MAX(0,MAX(0,Inputs!$B$43-B2172)-((R2146-1)*(IF(Inputs!$B$38="pvp",15,MAX(0.1,Skills!D11-IF(Skills!E11=TRUE,Inputs!$B$32,0)))*(1-IF(AND(ArtifactsInput!$M$27,Inputs!$B$4="Chapter Hunt"),CHOOSE(ArtifactsInput!$N$27+1,20,24,28,32,36,40),0)/100)))))/Skills!H11,1)))/Inputs!$B$43),G2146*Q2146))*IF(Inputs!$B$38="pvp",1,(1+(Inputs!$B$21+Skills!Q11+(IF(ArtifactsInput!$M$33,CHOOSE(ArtifactsInput!$N$33+1,30,36,42,48,54,60)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7">
      <c r="A2147">
        <f>Skills!A12</f>
        <v/>
      </c>
      <c r="B2147">
        <f>Skills!B12</f>
        <v/>
      </c>
      <c r="C2147">
        <f>Inputs!$B$3&gt;=110</f>
        <v/>
      </c>
      <c r="D2147">
        <f>IF(Skills!C12=1,60+Inputs!$B$25+Inputs!$B$29,IF(Skills!C12=2,90+Inputs!$B$26+Inputs!$B$29,IF(Skills!C12=3,120+Inputs!$B$27+Inputs!$B$29,MAX(0,(Inputs!$B$3-100)*3)+Inputs!$B$28+Inputs!$B$29)))</f>
        <v/>
      </c>
      <c r="E2147">
        <f>INDEX(FactorTable!$B$2:$Y$301, MATCH(ROUND(MIN(300,MAX(1,D2147)),0), FactorTable!$A$2:$A$301,0), Skills!M12+1)</f>
        <v/>
      </c>
      <c r="F2147">
        <f>IF(Skills!N12=TRUE,(Skills!L12/10)*(E2147/1000),Skills!L12/10)+Skills!O12</f>
        <v/>
      </c>
      <c r="G2147">
        <f>Skills!G12*IF(Skills!H12&gt;0,Skills!I12/Skills!H12,1)</f>
        <v/>
      </c>
      <c r="H2147">
        <f>1-(1-Skills!J12/100)^Skills!K12</f>
        <v/>
      </c>
      <c r="I2147" t="inlineStr">
        <is>
          <t>1</t>
        </is>
      </c>
      <c r="J2147">
        <f>((Inputs!$B$6*(1+Inputs!$B$7/100))+(((Inputs!$B$12*(1+Inputs!$B$13/100))-(Inputs!$B$12*(1+Inputs!$B$13/100)))+0.25*(Inputs!$B$14-Inputs!$B$14))*(1+Inputs!$B$7/100))*(F2147/100)</f>
        <v/>
      </c>
      <c r="K2147">
        <f>J2147*(1+((Inputs!$B$12*(1+Inputs!$B$13/100))*0.01+Inputs!$B$14*0.0025)/100)*(1+Inputs!$B$15/100)*(1+Inputs!$B$16/100)*(5000/(6000+Inputs!$B$42*(1-(100*(1-(1-(Inputs!$B$19+0)/100)*(1-CHOOSE(ArtifactsInput!$N$40+1,5,6,7,8,9,10)/100)^(ArtifactsInput!$M$40-ArtifactsInput!$M$40)))/100)))*(1+(Inputs!$B$24+((C2161=TRUE)*(F2161-Calc!F26))+B2171)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2158=TRUE)*(F2158-Calc!F23))+((C2162=TRUE)*(F2162-Calc!F27))+(((IF(AND(ArtifactsInput!$M$42,((Inputs!$B$9+((C2154=TRUE)*(F2154-Calc!F19))+B2165+(ArtifactsInput!$M$24-ArtifactsInput!$M$24)*CHOOSE(ArtifactsInput!$N$24+1,10,12,14,16,18,20)+IF(ArtifactsInput!$M$10,CHOOSE(ArtifactsInput!$N$10+1,15,18,21,24,27,30)*(IF(Inputs!$B$38="pvp",MIN(15,15)/15,IF(AND(Inputs!$B$38&lt;&gt;"pvp",Inputs!$B$43&gt;0),MIN(15,Inputs!$B$43)/(Inputs!$B$43),0))),0)))&gt;=100),MIN(100,((Inputs!$B$9+((C2154=TRUE)*(F2154-Calc!F19))+B2165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19))+B2165+(ArtifactsInput!$M$24-ArtifactsInput!$M$24)*CHOOSE(ArtifactsInput!$N$24+1,10,12,14,16,18,20)+IF(ArtifactsInput!$M$10,CHOOSE(ArtifactsInput!$N$10+1,15,18,21,24,27,30)*(IF(Inputs!$B$38="pvp",MIN(15,15)/15,IF(AND(Inputs!$B$38&lt;&gt;"pvp",Inputs!$B$43&gt;0),MIN(15,Inputs!$B$43)/(Inputs!$B$43),0))),0)))&gt;=100),CHOOSE(ArtifactsInput!$N$42+1,40,48,56,64,72,80),0))))/100)*((1+(((C2152=TRUE)*F2152)+((C2159=TRUE)*(F2159-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2147)</f>
        <v/>
      </c>
      <c r="L2147">
        <f>K2147*(MIN(Inputs!$B$22+((C2157=TRUE)*(F2157-Calc!F22)),(Inputs!$B$23+0+(IF(ArtifactsInput!$M$15,CHOOSE(ArtifactsInput!$N$15+1,25,30,35,40,45,50)/100*(Inputs!$B$11-Inputs!$B$11),0))))/100+(Inputs!$B$23+0+(IF(ArtifactsInput!$M$15,CHOOSE(ArtifactsInput!$N$15+1,25,30,35,40,45,50)/100*(Inputs!$B$11-Inputs!$B$11),0)))/100)/2</f>
        <v/>
      </c>
      <c r="M2147">
        <f>L2147*(1+(Inputs!$B$10+((C2160=TRUE)*(F2160-Calc!F25))+B2170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7">
        <f>L2147*(1-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2147*(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7">
        <f>(1-Summary!$B$11)*T2147+Summary!$B$11*V2147</f>
        <v/>
      </c>
      <c r="P2147">
        <f>IF(B2175=0,0,O2147/B2175)</f>
        <v/>
      </c>
      <c r="Q2147">
        <f>IFERROR(1/(IF(Inputs!$B$38="pvp",15,MAX(0.1,Skills!D12-IF(Skills!E12=TRUE,Inputs!$B$32,0)))*(1-IF(AND(ArtifactsInput!$M$27,Inputs!$B$4="Chapter Hunt"),CHOOSE(ArtifactsInput!$N$27+1,20,24,28,32,36,40),0)/100)),0)</f>
        <v/>
      </c>
      <c r="R2147">
        <f>IF(AND(Inputs!$B$38&lt;&gt;"pvp",Inputs!$B$43&gt;0),IF(MAX(0,Inputs!$B$43-B2172)&lt;=0,0,(INT(MAX(0,Inputs!$B$43-B2172)/(IF(Inputs!$B$38="pvp",15,MAX(0.1,Skills!D12-IF(Skills!E12=TRUE,Inputs!$B$32,0)))*(1-IF(AND(ArtifactsInput!$M$27,Inputs!$B$4="Chapter Hunt"),CHOOSE(ArtifactsInput!$N$27+1,20,24,28,32,36,40),0)/100)))+1)),0)</f>
        <v/>
      </c>
      <c r="S2147">
        <f>IFERROR(O2147/N2147,0)</f>
        <v/>
      </c>
      <c r="T2147">
        <f>IF(C2147,(H2147*N2147*IF(AND(Inputs!$B$38&lt;&gt;"pvp",Inputs!$B$43&gt;0),((Skills!G12*((R2147-1)*IF(Skills!H12&gt;0,Skills!I12/Skills!H12,1)+IF(Skills!H12&gt;0,MIN(Skills!I12,MAX(0,MAX(0,Inputs!$B$43-B2172)-((R2147-1)*(IF(Inputs!$B$38="pvp",15,MAX(0.1,Skills!D12-IF(Skills!E12=TRUE,Inputs!$B$32,0)))*(1-IF(AND(ArtifactsInput!$M$27,Inputs!$B$4="Chapter Hunt"),CHOOSE(ArtifactsInput!$N$27+1,20,24,28,32,36,40),0)/100)))))/Skills!H12,1)))/Inputs!$B$43),G2147*Q2147)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2147*(1-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2147*(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2147*(1-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2147*(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7">
        <f>IF(C2147,(H2147*N2147*IF(AND(Inputs!$B$38&lt;&gt;"pvp",Inputs!$B$43&gt;0),((Skills!G12*((R2147-1)*IF(Skills!H12&gt;0,Skills!I12/Skills!H12,1)+IF(Skills!H12&gt;0,MIN(Skills!I12,MAX(0,MAX(0,Inputs!$B$43-B2172)-((R2147-1)*(IF(Inputs!$B$38="pvp",15,MAX(0.1,Skills!D12-IF(Skills!E12=TRUE,Inputs!$B$32,0)))*(1-IF(AND(ArtifactsInput!$M$27,Inputs!$B$4="Chapter Hunt"),CHOOSE(ArtifactsInput!$N$27+1,20,24,28,32,36,40),0)/100)))))/Skills!H12,1)))/Inputs!$B$43),G2147*Q2147))*IF(Inputs!$B$38="pvp",1,(1+(Inputs!$B$21+Skills!Q12+(IF(ArtifactsInput!$M$33,CHOOSE(ArtifactsInput!$N$33+1,30,36,42,48,54,60)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8">
      <c r="A2148">
        <f>Skills!A13</f>
        <v/>
      </c>
      <c r="B2148">
        <f>Skills!B13</f>
        <v/>
      </c>
      <c r="C2148">
        <f>Inputs!$B$3&gt;=110</f>
        <v/>
      </c>
      <c r="D2148">
        <f>IF(Skills!C13=1,60+Inputs!$B$25+Inputs!$B$29,IF(Skills!C13=2,90+Inputs!$B$26+Inputs!$B$29,IF(Skills!C13=3,120+Inputs!$B$27+Inputs!$B$29,MAX(0,(Inputs!$B$3-100)*3)+Inputs!$B$28+Inputs!$B$29)))</f>
        <v/>
      </c>
      <c r="E2148">
        <f>INDEX(FactorTable!$B$2:$Y$301, MATCH(ROUND(MIN(300,MAX(1,D2148)),0), FactorTable!$A$2:$A$301,0), Skills!M13+1)</f>
        <v/>
      </c>
      <c r="F2148">
        <f>IF(Skills!N13=TRUE,(Skills!L13/10)*(E2148/1000),Skills!L13/10)+Skills!O13</f>
        <v/>
      </c>
      <c r="G2148">
        <f>Skills!G13*IF(Skills!H13&gt;0,Skills!I13/Skills!H13,1)</f>
        <v/>
      </c>
      <c r="H2148">
        <f>1-(1-Skills!J13/100)^Skills!K13</f>
        <v/>
      </c>
      <c r="I2148" t="inlineStr">
        <is>
          <t>1</t>
        </is>
      </c>
      <c r="J2148">
        <f>((Inputs!$B$6*(1+Inputs!$B$7/100))+(((Inputs!$B$12*(1+Inputs!$B$13/100))-(Inputs!$B$12*(1+Inputs!$B$13/100)))+0.25*(Inputs!$B$14-Inputs!$B$14))*(1+Inputs!$B$7/100))*(F2148/100)</f>
        <v/>
      </c>
      <c r="K2148">
        <f>J2148*(1+((Inputs!$B$12*(1+Inputs!$B$13/100))*0.01+Inputs!$B$14*0.0025)/100)*(1+Inputs!$B$15/100)*(1+Inputs!$B$16/100)*(5000/(6000+Inputs!$B$42*(1-(100*(1-(1-(Inputs!$B$19+0)/100)*(1-CHOOSE(ArtifactsInput!$N$40+1,5,6,7,8,9,10)/100)^(ArtifactsInput!$M$40-ArtifactsInput!$M$40)))/100)))*(1+(Inputs!$B$24+((C2161=TRUE)*(F2161-Calc!F26))+B2171)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2158=TRUE)*(F2158-Calc!F23))+((C2162=TRUE)*(F2162-Calc!F27))+(((IF(AND(ArtifactsInput!$M$42,((Inputs!$B$9+((C2154=TRUE)*(F2154-Calc!F19))+B2165+(ArtifactsInput!$M$24-ArtifactsInput!$M$24)*CHOOSE(ArtifactsInput!$N$24+1,10,12,14,16,18,20)+IF(ArtifactsInput!$M$10,CHOOSE(ArtifactsInput!$N$10+1,15,18,21,24,27,30)*(IF(Inputs!$B$38="pvp",MIN(15,15)/15,IF(AND(Inputs!$B$38&lt;&gt;"pvp",Inputs!$B$43&gt;0),MIN(15,Inputs!$B$43)/(Inputs!$B$43),0))),0)))&gt;=100),MIN(100,((Inputs!$B$9+((C2154=TRUE)*(F2154-Calc!F19))+B2165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19))+B2165+(ArtifactsInput!$M$24-ArtifactsInput!$M$24)*CHOOSE(ArtifactsInput!$N$24+1,10,12,14,16,18,20)+IF(ArtifactsInput!$M$10,CHOOSE(ArtifactsInput!$N$10+1,15,18,21,24,27,30)*(IF(Inputs!$B$38="pvp",MIN(15,15)/15,IF(AND(Inputs!$B$38&lt;&gt;"pvp",Inputs!$B$43&gt;0),MIN(15,Inputs!$B$43)/(Inputs!$B$43),0))),0)))&gt;=100),CHOOSE(ArtifactsInput!$N$42+1,40,48,56,64,72,80),0))))/100)*((1+(((C2152=TRUE)*F2152)+((C2159=TRUE)*(F2159-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2148)</f>
        <v/>
      </c>
      <c r="L2148">
        <f>K2148*(MIN(Inputs!$B$22+((C2157=TRUE)*(F2157-Calc!F22)),(Inputs!$B$23+0+(IF(ArtifactsInput!$M$15,CHOOSE(ArtifactsInput!$N$15+1,25,30,35,40,45,50)/100*(Inputs!$B$11-Inputs!$B$11),0))))/100+(Inputs!$B$23+0+(IF(ArtifactsInput!$M$15,CHOOSE(ArtifactsInput!$N$15+1,25,30,35,40,45,50)/100*(Inputs!$B$11-Inputs!$B$11),0)))/100)/2</f>
        <v/>
      </c>
      <c r="M2148">
        <f>L2148*(1+(Inputs!$B$10+((C2160=TRUE)*(F2160-Calc!F25))+B2170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8">
        <f>L2148*(1-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2148*(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8">
        <f>(1-Summary!$B$11)*T2148+Summary!$B$11*V2148</f>
        <v/>
      </c>
      <c r="P2148">
        <f>IF(B2175=0,0,O2148/B2175)</f>
        <v/>
      </c>
      <c r="Q2148">
        <f>IFERROR(1/(IF(Inputs!$B$38="pvp",15,MAX(0.1,Skills!D13-IF(Skills!E13=TRUE,Inputs!$B$32,0)))*(1-IF(AND(ArtifactsInput!$M$27,Inputs!$B$4="Chapter Hunt"),CHOOSE(ArtifactsInput!$N$27+1,20,24,28,32,36,40),0)/100)),0)</f>
        <v/>
      </c>
      <c r="R2148">
        <f>IF(AND(Inputs!$B$38&lt;&gt;"pvp",Inputs!$B$43&gt;0),IF(MAX(0,Inputs!$B$43-B2172)&lt;=0,0,(INT(MAX(0,Inputs!$B$43-B2172)/(IF(Inputs!$B$38="pvp",15,MAX(0.1,Skills!D13-IF(Skills!E13=TRUE,Inputs!$B$32,0)))*(1-IF(AND(ArtifactsInput!$M$27,Inputs!$B$4="Chapter Hunt"),CHOOSE(ArtifactsInput!$N$27+1,20,24,28,32,36,40),0)/100)))+1)),0)</f>
        <v/>
      </c>
      <c r="S2148">
        <f>IFERROR(O2148/N2148,0)</f>
        <v/>
      </c>
      <c r="T2148">
        <f>IF(C2148,(H2148*N2148*IF(AND(Inputs!$B$38&lt;&gt;"pvp",Inputs!$B$43&gt;0),((Skills!G13*((R2148-1)*IF(Skills!H13&gt;0,Skills!I13/Skills!H13,1)+IF(Skills!H13&gt;0,MIN(Skills!I13,MAX(0,MAX(0,Inputs!$B$43-B2172)-((R2148-1)*(IF(Inputs!$B$38="pvp",15,MAX(0.1,Skills!D13-IF(Skills!E13=TRUE,Inputs!$B$32,0)))*(1-IF(AND(ArtifactsInput!$M$27,Inputs!$B$4="Chapter Hunt"),CHOOSE(ArtifactsInput!$N$27+1,20,24,28,32,36,40),0)/100)))))/Skills!H13,1)))/Inputs!$B$43),G2148*Q2148)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2148*(1-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2148*(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2148*(1-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2148*(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8">
        <f>IF(C2148,(H2148*N2148*IF(AND(Inputs!$B$38&lt;&gt;"pvp",Inputs!$B$43&gt;0),((Skills!G13*((R2148-1)*IF(Skills!H13&gt;0,Skills!I13/Skills!H13,1)+IF(Skills!H13&gt;0,MIN(Skills!I13,MAX(0,MAX(0,Inputs!$B$43-B2172)-((R2148-1)*(IF(Inputs!$B$38="pvp",15,MAX(0.1,Skills!D13-IF(Skills!E13=TRUE,Inputs!$B$32,0)))*(1-IF(AND(ArtifactsInput!$M$27,Inputs!$B$4="Chapter Hunt"),CHOOSE(ArtifactsInput!$N$27+1,20,24,28,32,36,40),0)/100)))))/Skills!H13,1)))/Inputs!$B$43),G2148*Q2148))*IF(Inputs!$B$38="pvp",1,(1+(Inputs!$B$21+Skills!Q13+(IF(ArtifactsInput!$M$33,CHOOSE(ArtifactsInput!$N$33+1,30,36,42,48,54,60)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9">
      <c r="A2149">
        <f>Skills!A14</f>
        <v/>
      </c>
      <c r="B2149">
        <f>Skills!B14</f>
        <v/>
      </c>
      <c r="C2149">
        <f>Inputs!$B$3&gt;=125</f>
        <v/>
      </c>
      <c r="D2149">
        <f>IF(Skills!C14=1,60+Inputs!$B$25+Inputs!$B$29,IF(Skills!C14=2,90+Inputs!$B$26+Inputs!$B$29,IF(Skills!C14=3,120+Inputs!$B$27+Inputs!$B$29,MAX(0,(Inputs!$B$3-100)*3)+Inputs!$B$28+Inputs!$B$29)))</f>
        <v/>
      </c>
      <c r="E2149">
        <f>INDEX(FactorTable!$B$2:$Y$301, MATCH(ROUND(MIN(300,MAX(1,D2149)),0), FactorTable!$A$2:$A$301,0), Skills!M14+1)</f>
        <v/>
      </c>
      <c r="F2149">
        <f>IF(Skills!N14=TRUE,(Skills!L14/10)*(E2149/1000),Skills!L14/10)+Skills!O14</f>
        <v/>
      </c>
      <c r="G2149">
        <f>Skills!G14*IF(Skills!H14&gt;0,Skills!I14/Skills!H14,1)</f>
        <v/>
      </c>
      <c r="H2149">
        <f>1-(1-Skills!J14/100)^Skills!K14</f>
        <v/>
      </c>
      <c r="I2149" t="inlineStr">
        <is>
          <t>1</t>
        </is>
      </c>
      <c r="J2149">
        <f>((Inputs!$B$6*(1+Inputs!$B$7/100))+(((Inputs!$B$12*(1+Inputs!$B$13/100))-(Inputs!$B$12*(1+Inputs!$B$13/100)))+0.25*(Inputs!$B$14-Inputs!$B$14))*(1+Inputs!$B$7/100))*(F2149/100)</f>
        <v/>
      </c>
      <c r="K2149">
        <f>J2149*(1+((Inputs!$B$12*(1+Inputs!$B$13/100))*0.01+Inputs!$B$14*0.0025)/100)*(1+Inputs!$B$15/100)*(1+Inputs!$B$16/100)*(5000/(6000+Inputs!$B$42*(1-(100*(1-(1-(Inputs!$B$19+0)/100)*(1-CHOOSE(ArtifactsInput!$N$40+1,5,6,7,8,9,10)/100)^(ArtifactsInput!$M$40-ArtifactsInput!$M$40)))/100)))*(1+(Inputs!$B$24+((C2161=TRUE)*(F2161-Calc!F26))+B2171)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2158=TRUE)*(F2158-Calc!F23))+((C2162=TRUE)*(F2162-Calc!F27))+(((IF(AND(ArtifactsInput!$M$42,((Inputs!$B$9+((C2154=TRUE)*(F2154-Calc!F19))+B2165+(ArtifactsInput!$M$24-ArtifactsInput!$M$24)*CHOOSE(ArtifactsInput!$N$24+1,10,12,14,16,18,20)+IF(ArtifactsInput!$M$10,CHOOSE(ArtifactsInput!$N$10+1,15,18,21,24,27,30)*(IF(Inputs!$B$38="pvp",MIN(15,15)/15,IF(AND(Inputs!$B$38&lt;&gt;"pvp",Inputs!$B$43&gt;0),MIN(15,Inputs!$B$43)/(Inputs!$B$43),0))),0)))&gt;=100),MIN(100,((Inputs!$B$9+((C2154=TRUE)*(F2154-Calc!F19))+B2165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19))+B2165+(ArtifactsInput!$M$24-ArtifactsInput!$M$24)*CHOOSE(ArtifactsInput!$N$24+1,10,12,14,16,18,20)+IF(ArtifactsInput!$M$10,CHOOSE(ArtifactsInput!$N$10+1,15,18,21,24,27,30)*(IF(Inputs!$B$38="pvp",MIN(15,15)/15,IF(AND(Inputs!$B$38&lt;&gt;"pvp",Inputs!$B$43&gt;0),MIN(15,Inputs!$B$43)/(Inputs!$B$43),0))),0)))&gt;=100),CHOOSE(ArtifactsInput!$N$42+1,40,48,56,64,72,80),0))))/100)*((1+(((C2152=TRUE)*F2152)+((C2159=TRUE)*(F2159-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2149)</f>
        <v/>
      </c>
      <c r="L2149">
        <f>K2149*(MIN(Inputs!$B$22+((C2157=TRUE)*(F2157-Calc!F22)),(Inputs!$B$23+0+(IF(ArtifactsInput!$M$15,CHOOSE(ArtifactsInput!$N$15+1,25,30,35,40,45,50)/100*(Inputs!$B$11-Inputs!$B$11),0))))/100+(Inputs!$B$23+0+(IF(ArtifactsInput!$M$15,CHOOSE(ArtifactsInput!$N$15+1,25,30,35,40,45,50)/100*(Inputs!$B$11-Inputs!$B$11),0)))/100)/2</f>
        <v/>
      </c>
      <c r="M2149">
        <f>L2149*(1+(Inputs!$B$10+((C2160=TRUE)*(F2160-Calc!F25))+B2170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9">
        <f>L2149*(1-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2149*(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9">
        <f>(1-Summary!$B$11)*T2149+Summary!$B$11*V2149</f>
        <v/>
      </c>
      <c r="P2149">
        <f>IF(B2175=0,0,O2149/B2175)</f>
        <v/>
      </c>
      <c r="Q2149" t="n">
        <v>0</v>
      </c>
      <c r="R2149" t="n">
        <v>0</v>
      </c>
      <c r="S2149">
        <f>IFERROR(O2149/N2149,0)</f>
        <v/>
      </c>
      <c r="T2149">
        <f>IF(C2149,(H2149*N2149*(B2169+IF(AND(Inputs!$B$38&lt;&gt;"pvp",Inputs!$B$43&gt;0),((Skills!G8*((R2143-1)*IF(Skills!H8&gt;0,Skills!I8/Skills!H8,1)+IF(Skills!H8&gt;0,MIN(Skills!I8,MAX(0,MAX(0,Inputs!$B$43-B2172)-((R2143-1)*(IF(Inputs!$B$38="pvp",15,MAX(0.1,Skills!D8-IF(Skills!E8=TRUE,Inputs!$B$32,0)))*(1-IF(AND(ArtifactsInput!$M$27,Inputs!$B$4="Chapter Hunt"),CHOOSE(ArtifactsInput!$N$27+1,20,24,28,32,36,40),0)/100)))))/Skills!H8,1)))/Inputs!$B$43),G2143*Q2143)+IF(AND(Inputs!$B$38&lt;&gt;"pvp",Inputs!$B$43&gt;0),((Skills!G11*((R2146-1)*IF(Skills!H11&gt;0,Skills!I11/Skills!H11,1)+IF(Skills!H11&gt;0,MIN(Skills!I11,MAX(0,MAX(0,Inputs!$B$43-B2172)-((R2146-1)*(IF(Inputs!$B$38="pvp",15,MAX(0.1,Skills!D11-IF(Skills!E11=TRUE,Inputs!$B$32,0)))*(1-IF(AND(ArtifactsInput!$M$27,Inputs!$B$4="Chapter Hunt"),CHOOSE(ArtifactsInput!$N$27+1,20,24,28,32,36,40),0)/100)))))/Skills!H11,1)))/Inputs!$B$43),G2146*Q2146)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2149*(1-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2149*(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2149*(1-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2149*(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9">
        <f>IF(C2149,(H2149*N2149*(B2169+IF(AND(Inputs!$B$38&lt;&gt;"pvp",Inputs!$B$43&gt;0),((Skills!G8*((R2143-1)*IF(Skills!H8&gt;0,Skills!I8/Skills!H8,1)+IF(Skills!H8&gt;0,MIN(Skills!I8,MAX(0,MAX(0,Inputs!$B$43-B2172)-((R2143-1)*(IF(Inputs!$B$38="pvp",15,MAX(0.1,Skills!D8-IF(Skills!E8=TRUE,Inputs!$B$32,0)))*(1-IF(AND(ArtifactsInput!$M$27,Inputs!$B$4="Chapter Hunt"),CHOOSE(ArtifactsInput!$N$27+1,20,24,28,32,36,40),0)/100)))))/Skills!H8,1)))/Inputs!$B$43),G2143*Q2143)+IF(AND(Inputs!$B$38&lt;&gt;"pvp",Inputs!$B$43&gt;0),((Skills!G11*((R2146-1)*IF(Skills!H11&gt;0,Skills!I11/Skills!H11,1)+IF(Skills!H11&gt;0,MIN(Skills!I11,MAX(0,MAX(0,Inputs!$B$43-B2172)-((R2146-1)*(IF(Inputs!$B$38="pvp",15,MAX(0.1,Skills!D11-IF(Skills!E11=TRUE,Inputs!$B$32,0)))*(1-IF(AND(ArtifactsInput!$M$27,Inputs!$B$4="Chapter Hunt"),CHOOSE(ArtifactsInput!$N$27+1,20,24,28,32,36,40),0)/100)))))/Skills!H11,1)))/Inputs!$B$43),G2146*Q2146)))*IF(Inputs!$B$38="pvp",1,(1+(Inputs!$B$21+Skills!Q14+(IF(ArtifactsInput!$M$33,CHOOSE(ArtifactsInput!$N$33+1,30,36,42,48,54,60)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0">
      <c r="A2150">
        <f>Skills!A15</f>
        <v/>
      </c>
      <c r="B2150">
        <f>Skills!B15</f>
        <v/>
      </c>
      <c r="C2150">
        <f>Inputs!$B$3&gt;=100</f>
        <v/>
      </c>
      <c r="D2150">
        <f>IF(Skills!C15=1,60+Inputs!$B$25+Inputs!$B$29,IF(Skills!C15=2,90+Inputs!$B$26+Inputs!$B$29,IF(Skills!C15=3,120+Inputs!$B$27+Inputs!$B$29,MAX(0,(Inputs!$B$3-100)*3)+Inputs!$B$28+Inputs!$B$29)))</f>
        <v/>
      </c>
      <c r="E2150">
        <f>INDEX(FactorTable!$B$2:$Y$301, MATCH(ROUND(MIN(300,MAX(1,D2150)),0), FactorTable!$A$2:$A$301,0), Skills!M15+1)</f>
        <v/>
      </c>
      <c r="F2150">
        <f>IF(Skills!N15=TRUE,(Skills!L15/10)*(E2150/1000),Skills!L15/10)+Skills!O15</f>
        <v/>
      </c>
      <c r="G2150" t="inlineStr"/>
      <c r="H2150" t="inlineStr"/>
      <c r="I2150" t="inlineStr">
        <is>
          <t>1</t>
        </is>
      </c>
      <c r="J2150" t="inlineStr"/>
      <c r="K2150" t="inlineStr"/>
      <c r="L2150" t="inlineStr"/>
      <c r="M2150" t="inlineStr"/>
      <c r="N2150" t="inlineStr"/>
      <c r="O2150" t="inlineStr"/>
      <c r="P2150" t="inlineStr"/>
      <c r="Q2150" t="inlineStr"/>
      <c r="R2150" t="inlineStr"/>
      <c r="S2150" t="inlineStr"/>
    </row>
    <row r="2151">
      <c r="A2151">
        <f>Skills!A16</f>
        <v/>
      </c>
      <c r="B2151">
        <f>Skills!B16</f>
        <v/>
      </c>
      <c r="C2151">
        <f>Inputs!$B$3&gt;=120</f>
        <v/>
      </c>
      <c r="D2151">
        <f>IF(Skills!C16=1,60+Inputs!$B$25+Inputs!$B$29,IF(Skills!C16=2,90+Inputs!$B$26+Inputs!$B$29,IF(Skills!C16=3,120+Inputs!$B$27+Inputs!$B$29,MAX(0,(Inputs!$B$3-100)*3)+Inputs!$B$28+Inputs!$B$29)))</f>
        <v/>
      </c>
      <c r="E2151">
        <f>INDEX(FactorTable!$B$2:$Y$301, MATCH(ROUND(MIN(300,MAX(1,D2151)),0), FactorTable!$A$2:$A$301,0), Skills!M16+1)</f>
        <v/>
      </c>
      <c r="F2151">
        <f>IF(Skills!N16=TRUE,(Skills!L16/10)*(E2151/1000),Skills!L16/10)+Skills!O16</f>
        <v/>
      </c>
      <c r="G2151" t="inlineStr"/>
      <c r="H2151" t="inlineStr"/>
      <c r="I2151" t="inlineStr">
        <is>
          <t>1</t>
        </is>
      </c>
      <c r="J2151" t="inlineStr"/>
      <c r="K2151" t="inlineStr"/>
      <c r="L2151" t="inlineStr"/>
      <c r="M2151" t="inlineStr"/>
      <c r="N2151" t="inlineStr"/>
      <c r="O2151" t="inlineStr"/>
      <c r="P2151" t="inlineStr"/>
      <c r="Q2151" t="inlineStr"/>
      <c r="R2151" t="inlineStr"/>
      <c r="S2151" t="inlineStr"/>
    </row>
    <row r="2152">
      <c r="A2152">
        <f>Skills!A17</f>
        <v/>
      </c>
      <c r="B2152">
        <f>Skills!B17</f>
        <v/>
      </c>
      <c r="C2152">
        <f>Inputs!$B$3&gt;=66</f>
        <v/>
      </c>
      <c r="D2152">
        <f>IF(Skills!C17=1,60+Inputs!$B$25+Inputs!$B$29,IF(Skills!C17=2,90+Inputs!$B$26+Inputs!$B$29,IF(Skills!C17=3,120+Inputs!$B$27+Inputs!$B$29,MAX(0,(Inputs!$B$3-100)*3)+Inputs!$B$28+Inputs!$B$29)))</f>
        <v/>
      </c>
      <c r="E2152">
        <f>INDEX(FactorTable!$B$2:$Y$301, MATCH(ROUND(MIN(300,MAX(1,D2152)),0), FactorTable!$A$2:$A$301,0), Skills!M17+1)</f>
        <v/>
      </c>
      <c r="F2152">
        <f>IF(Skills!N17=TRUE,(Skills!L17/10)*(E2152/1000),Skills!L17/10)+Skills!O17</f>
        <v/>
      </c>
      <c r="G2152">
        <f>Skills!G17*IF(Skills!H17&gt;0,Skills!I17/Skills!H17,1)</f>
        <v/>
      </c>
      <c r="H2152">
        <f>1-(1-Skills!J17/100)^Skills!K17</f>
        <v/>
      </c>
      <c r="I2152" t="inlineStr">
        <is>
          <t>1</t>
        </is>
      </c>
      <c r="J2152" t="inlineStr"/>
      <c r="K2152" t="inlineStr"/>
      <c r="L2152" t="inlineStr"/>
      <c r="M2152" t="inlineStr"/>
      <c r="N2152" t="inlineStr"/>
      <c r="O2152">
        <f>(1-Summary!$B$11)*T2152+Summary!$B$11*V2152</f>
        <v/>
      </c>
      <c r="P2152">
        <f>IF(B2175=0,0,O2152/B2175)</f>
        <v/>
      </c>
      <c r="Q2152" t="n">
        <v>0</v>
      </c>
      <c r="R2152" t="n">
        <v>0</v>
      </c>
      <c r="S2152">
        <f>IFERROR(O2152/N2152,0)</f>
        <v/>
      </c>
      <c r="T2152" t="n">
        <v>0</v>
      </c>
      <c r="V2152" t="n">
        <v>0</v>
      </c>
    </row>
    <row r="2153">
      <c r="A2153">
        <f>Skills!A18</f>
        <v/>
      </c>
      <c r="B2153">
        <f>Skills!B18</f>
        <v/>
      </c>
      <c r="C2153">
        <f>Inputs!$B$3&gt;=115</f>
        <v/>
      </c>
      <c r="D2153">
        <f>IF(Skills!C18=1,60+Inputs!$B$25+Inputs!$B$29,IF(Skills!C18=2,90+Inputs!$B$26+Inputs!$B$29,IF(Skills!C18=3,120+Inputs!$B$27+Inputs!$B$29,MAX(0,(Inputs!$B$3-100)*3)+Inputs!$B$28+Inputs!$B$29)))</f>
        <v/>
      </c>
      <c r="E2153">
        <f>INDEX(FactorTable!$B$2:$Y$301, MATCH(ROUND(MIN(300,MAX(1,D2153)),0), FactorTable!$A$2:$A$301,0), Skills!M18+1)</f>
        <v/>
      </c>
      <c r="F2153">
        <f>IF(Skills!N18=TRUE,(Skills!L18/10)*(E2153/1000),Skills!L18/10)+Skills!O18</f>
        <v/>
      </c>
      <c r="G2153">
        <f>Skills!G18*IF(Skills!H18&gt;0,Skills!I18/Skills!H18,1)</f>
        <v/>
      </c>
      <c r="H2153">
        <f>1-(1-Skills!J18/100)^Skills!K18</f>
        <v/>
      </c>
      <c r="I2153" t="inlineStr">
        <is>
          <t>1</t>
        </is>
      </c>
      <c r="J2153" t="inlineStr"/>
      <c r="K2153" t="inlineStr"/>
      <c r="L2153" t="inlineStr"/>
      <c r="M2153" t="inlineStr"/>
      <c r="N2153" t="inlineStr"/>
      <c r="O2153">
        <f>(1-Summary!$B$11)*T2153+Summary!$B$11*V2153</f>
        <v/>
      </c>
      <c r="P2153">
        <f>IF(B2175=0,0,O2153/B2175)</f>
        <v/>
      </c>
      <c r="Q2153" t="n">
        <v>0</v>
      </c>
      <c r="R2153" t="n">
        <v>0</v>
      </c>
      <c r="S2153">
        <f>IFERROR(O2153/N2153,0)</f>
        <v/>
      </c>
      <c r="T2153" t="n">
        <v>0</v>
      </c>
      <c r="V2153" t="n">
        <v>0</v>
      </c>
    </row>
    <row r="2154">
      <c r="A2154">
        <f>Skills!A19</f>
        <v/>
      </c>
      <c r="B2154">
        <f>Skills!B19</f>
        <v/>
      </c>
      <c r="C2154">
        <f>Inputs!$B$3&gt;=15</f>
        <v/>
      </c>
      <c r="D2154">
        <f>IF(Skills!C19=1,60+Inputs!$B$25+Inputs!$B$29,IF(Skills!C19=2,90+Inputs!$B$26+Inputs!$B$29,IF(Skills!C19=3,120+Inputs!$B$27+Inputs!$B$29,MAX(0,(Inputs!$B$3-100)*3)+Inputs!$B$28+Inputs!$B$29)))</f>
        <v/>
      </c>
      <c r="E2154">
        <f>INDEX(FactorTable!$B$2:$Y$301, MATCH(ROUND(MIN(300,MAX(1,D2154)),0), FactorTable!$A$2:$A$301,0), Skills!M19+1)</f>
        <v/>
      </c>
      <c r="F2154">
        <f>IF(Skills!N19=TRUE,(Skills!L19/10)*(E2154/1000),Skills!L19/10)+Skills!O19</f>
        <v/>
      </c>
      <c r="G2154">
        <f>Skills!G19*IF(Skills!H19&gt;0,Skills!I19/Skills!H19,1)</f>
        <v/>
      </c>
      <c r="H2154">
        <f>1-(1-Skills!J19/100)^Skills!K19</f>
        <v/>
      </c>
      <c r="I2154" t="inlineStr">
        <is>
          <t>1</t>
        </is>
      </c>
      <c r="J2154" t="inlineStr"/>
      <c r="K2154" t="inlineStr"/>
      <c r="L2154" t="inlineStr"/>
      <c r="M2154" t="inlineStr"/>
      <c r="N2154" t="inlineStr"/>
      <c r="O2154">
        <f>(1-Summary!$B$11)*T2154+Summary!$B$11*V2154</f>
        <v/>
      </c>
      <c r="P2154">
        <f>IF(B2175=0,0,O2154/B2175)</f>
        <v/>
      </c>
      <c r="Q2154" t="n">
        <v>0</v>
      </c>
      <c r="R2154" t="n">
        <v>0</v>
      </c>
      <c r="S2154">
        <f>IFERROR(O2154/N2154,0)</f>
        <v/>
      </c>
      <c r="T2154" t="n">
        <v>0</v>
      </c>
      <c r="V2154" t="n">
        <v>0</v>
      </c>
    </row>
    <row r="2155">
      <c r="A2155">
        <f>Skills!A20</f>
        <v/>
      </c>
      <c r="B2155">
        <f>Skills!B20</f>
        <v/>
      </c>
      <c r="C2155">
        <f>Inputs!$B$3&gt;=10</f>
        <v/>
      </c>
      <c r="D2155">
        <f>IF(Skills!C20=1,60+Inputs!$B$25+Inputs!$B$29,IF(Skills!C20=2,90+Inputs!$B$26+Inputs!$B$29,IF(Skills!C20=3,120+Inputs!$B$27+Inputs!$B$29,MAX(0,(Inputs!$B$3-100)*3)+Inputs!$B$28+Inputs!$B$29)))</f>
        <v/>
      </c>
      <c r="E2155">
        <f>INDEX(FactorTable!$B$2:$Y$301, MATCH(ROUND(MIN(300,MAX(1,D2155)),0), FactorTable!$A$2:$A$301,0), Skills!M20+1)</f>
        <v/>
      </c>
      <c r="F2155">
        <f>IF(Skills!N20=TRUE,(Skills!L20/10)*(E2155/1000),Skills!L20/10)+Skills!O20</f>
        <v/>
      </c>
      <c r="G2155">
        <f>Skills!G20*IF(Skills!H20&gt;0,Skills!I20/Skills!H20,1)</f>
        <v/>
      </c>
      <c r="H2155">
        <f>1-(1-Skills!J20/100)^Skills!K20</f>
        <v/>
      </c>
      <c r="I2155" t="inlineStr">
        <is>
          <t>1</t>
        </is>
      </c>
      <c r="J2155" t="inlineStr"/>
      <c r="K2155" t="inlineStr"/>
      <c r="L2155" t="inlineStr"/>
      <c r="M2155" t="inlineStr"/>
      <c r="N2155" t="inlineStr"/>
      <c r="O2155">
        <f>(1-Summary!$B$11)*T2155+Summary!$B$11*V2155</f>
        <v/>
      </c>
      <c r="P2155">
        <f>IF(B2175=0,0,O2155/B2175)</f>
        <v/>
      </c>
      <c r="Q2155" t="n">
        <v>0</v>
      </c>
      <c r="R2155" t="n">
        <v>0</v>
      </c>
      <c r="S2155">
        <f>IFERROR(O2155/N2155,0)</f>
        <v/>
      </c>
      <c r="T2155" t="n">
        <v>0</v>
      </c>
      <c r="V2155" t="n">
        <v>0</v>
      </c>
    </row>
    <row r="2156">
      <c r="A2156">
        <f>Skills!A21</f>
        <v/>
      </c>
      <c r="B2156">
        <f>Skills!B21</f>
        <v/>
      </c>
      <c r="C2156">
        <f>Inputs!$B$3&gt;=33</f>
        <v/>
      </c>
      <c r="D2156">
        <f>IF(Skills!C21=1,60+Inputs!$B$25+Inputs!$B$29,IF(Skills!C21=2,90+Inputs!$B$26+Inputs!$B$29,IF(Skills!C21=3,120+Inputs!$B$27+Inputs!$B$29,MAX(0,(Inputs!$B$3-100)*3)+Inputs!$B$28+Inputs!$B$29)))</f>
        <v/>
      </c>
      <c r="E2156">
        <f>INDEX(FactorTable!$B$2:$Y$301, MATCH(ROUND(MIN(300,MAX(1,D2156)),0), FactorTable!$A$2:$A$301,0), Skills!M21+1)</f>
        <v/>
      </c>
      <c r="F2156">
        <f>IF(Skills!N21=TRUE,(Skills!L21/10)*(E2156/1000),Skills!L21/10)+Skills!O21</f>
        <v/>
      </c>
      <c r="G2156">
        <f>Skills!G21*IF(Skills!H21&gt;0,Skills!I21/Skills!H21,1)</f>
        <v/>
      </c>
      <c r="H2156">
        <f>1-(1-Skills!J21/100)^Skills!K21</f>
        <v/>
      </c>
      <c r="I2156" t="inlineStr">
        <is>
          <t>1</t>
        </is>
      </c>
      <c r="J2156" t="inlineStr"/>
      <c r="K2156" t="inlineStr"/>
      <c r="L2156" t="inlineStr"/>
      <c r="M2156" t="inlineStr"/>
      <c r="N2156" t="inlineStr"/>
      <c r="O2156">
        <f>(1-Summary!$B$11)*T2156+Summary!$B$11*V2156</f>
        <v/>
      </c>
      <c r="P2156">
        <f>IF(B2175=0,0,O2156/B2175)</f>
        <v/>
      </c>
      <c r="Q2156" t="n">
        <v>0</v>
      </c>
      <c r="R2156" t="n">
        <v>0</v>
      </c>
      <c r="S2156">
        <f>IFERROR(O2156/N2156,0)</f>
        <v/>
      </c>
      <c r="T2156" t="n">
        <v>0</v>
      </c>
      <c r="V2156" t="n">
        <v>0</v>
      </c>
    </row>
    <row r="2157">
      <c r="A2157">
        <f>Skills!A22</f>
        <v/>
      </c>
      <c r="B2157">
        <f>Skills!B22</f>
        <v/>
      </c>
      <c r="C2157">
        <f>Inputs!$B$3&gt;=43</f>
        <v/>
      </c>
      <c r="D2157">
        <f>IF(Skills!C22=1,60+Inputs!$B$25+Inputs!$B$29,IF(Skills!C22=2,90+Inputs!$B$26+Inputs!$B$29,IF(Skills!C22=3,120+Inputs!$B$27+Inputs!$B$29,MAX(0,(Inputs!$B$3-100)*3)+Inputs!$B$28+Inputs!$B$29)))</f>
        <v/>
      </c>
      <c r="E2157">
        <f>INDEX(FactorTable!$B$2:$Y$301, MATCH(ROUND(MIN(300,MAX(1,D2157)),0), FactorTable!$A$2:$A$301,0), Skills!M22+1)</f>
        <v/>
      </c>
      <c r="F2157">
        <f>IF(Skills!N22=TRUE,(Skills!L22/10)*(E2157/1000),Skills!L22/10)+Skills!O22</f>
        <v/>
      </c>
      <c r="G2157">
        <f>Skills!G22*IF(Skills!H22&gt;0,Skills!I22/Skills!H22,1)</f>
        <v/>
      </c>
      <c r="H2157">
        <f>1-(1-Skills!J22/100)^Skills!K22</f>
        <v/>
      </c>
      <c r="I2157" t="inlineStr">
        <is>
          <t>1</t>
        </is>
      </c>
      <c r="J2157" t="inlineStr"/>
      <c r="K2157" t="inlineStr"/>
      <c r="L2157" t="inlineStr"/>
      <c r="M2157" t="inlineStr"/>
      <c r="N2157" t="inlineStr"/>
      <c r="O2157">
        <f>(1-Summary!$B$11)*T2157+Summary!$B$11*V2157</f>
        <v/>
      </c>
      <c r="P2157">
        <f>IF(B2175=0,0,O2157/B2175)</f>
        <v/>
      </c>
      <c r="Q2157" t="n">
        <v>0</v>
      </c>
      <c r="R2157" t="n">
        <v>0</v>
      </c>
      <c r="S2157">
        <f>IFERROR(O2157/N2157,0)</f>
        <v/>
      </c>
      <c r="T2157" t="n">
        <v>0</v>
      </c>
      <c r="V2157" t="n">
        <v>0</v>
      </c>
    </row>
    <row r="2158">
      <c r="A2158">
        <f>Skills!A23</f>
        <v/>
      </c>
      <c r="B2158">
        <f>Skills!B23</f>
        <v/>
      </c>
      <c r="C2158">
        <f>Inputs!$B$3&gt;=38</f>
        <v/>
      </c>
      <c r="D2158">
        <f>IF(Skills!C23=1,60+Inputs!$B$25+Inputs!$B$29,IF(Skills!C23=2,90+Inputs!$B$26+Inputs!$B$29,IF(Skills!C23=3,120+Inputs!$B$27+Inputs!$B$29,MAX(0,(Inputs!$B$3-100)*3)+Inputs!$B$28+Inputs!$B$29)))</f>
        <v/>
      </c>
      <c r="E2158">
        <f>INDEX(FactorTable!$B$2:$Y$301, MATCH(ROUND(MIN(300,MAX(1,D2158)),0), FactorTable!$A$2:$A$301,0), Skills!M23+1)</f>
        <v/>
      </c>
      <c r="F2158">
        <f>IF(Skills!N23=TRUE,(Skills!L23/10)*(E2158/1000),Skills!L23/10)+Skills!O23</f>
        <v/>
      </c>
      <c r="G2158">
        <f>Skills!G23*IF(Skills!H23&gt;0,Skills!I23/Skills!H23,1)</f>
        <v/>
      </c>
      <c r="H2158">
        <f>1-(1-Skills!J23/100)^Skills!K23</f>
        <v/>
      </c>
      <c r="I2158" t="inlineStr">
        <is>
          <t>1</t>
        </is>
      </c>
      <c r="J2158" t="inlineStr"/>
      <c r="K2158" t="inlineStr"/>
      <c r="L2158" t="inlineStr"/>
      <c r="M2158" t="inlineStr"/>
      <c r="N2158" t="inlineStr"/>
      <c r="O2158">
        <f>(1-Summary!$B$11)*T2158+Summary!$B$11*V2158</f>
        <v/>
      </c>
      <c r="P2158">
        <f>IF(B2175=0,0,O2158/B2175)</f>
        <v/>
      </c>
      <c r="Q2158" t="n">
        <v>0</v>
      </c>
      <c r="R2158" t="n">
        <v>0</v>
      </c>
      <c r="S2158">
        <f>IFERROR(O2158/N2158,0)</f>
        <v/>
      </c>
      <c r="T2158" t="n">
        <v>0</v>
      </c>
      <c r="V2158" t="n">
        <v>0</v>
      </c>
    </row>
    <row r="2159">
      <c r="A2159">
        <f>Skills!A24</f>
        <v/>
      </c>
      <c r="B2159">
        <f>Skills!B24</f>
        <v/>
      </c>
      <c r="C2159">
        <f>Inputs!$B$3&gt;=40</f>
        <v/>
      </c>
      <c r="D2159">
        <f>IF(Skills!C24=1,60+Inputs!$B$25+Inputs!$B$29,IF(Skills!C24=2,90+Inputs!$B$26+Inputs!$B$29,IF(Skills!C24=3,120+Inputs!$B$27+Inputs!$B$29,MAX(0,(Inputs!$B$3-100)*3)+Inputs!$B$28+Inputs!$B$29)))</f>
        <v/>
      </c>
      <c r="E2159">
        <f>INDEX(FactorTable!$B$2:$Y$301, MATCH(ROUND(MIN(300,MAX(1,D2159)),0), FactorTable!$A$2:$A$301,0), Skills!M24+1)</f>
        <v/>
      </c>
      <c r="F2159">
        <f>IF(Skills!N24=TRUE,(Skills!L24/10)*(E2159/1000),Skills!L24/10)+Skills!O24</f>
        <v/>
      </c>
      <c r="G2159">
        <f>Skills!G24*IF(Skills!H24&gt;0,Skills!I24/Skills!H24,1)</f>
        <v/>
      </c>
      <c r="H2159">
        <f>1-(1-Skills!J24/100)^Skills!K24</f>
        <v/>
      </c>
      <c r="I2159" t="inlineStr">
        <is>
          <t>1</t>
        </is>
      </c>
      <c r="J2159" t="inlineStr"/>
      <c r="K2159" t="inlineStr"/>
      <c r="L2159" t="inlineStr"/>
      <c r="M2159" t="inlineStr"/>
      <c r="N2159" t="inlineStr"/>
      <c r="O2159">
        <f>(1-Summary!$B$11)*T2159+Summary!$B$11*V2159</f>
        <v/>
      </c>
      <c r="P2159">
        <f>IF(B2175=0,0,O2159/B2175)</f>
        <v/>
      </c>
      <c r="Q2159" t="n">
        <v>0</v>
      </c>
      <c r="R2159" t="n">
        <v>0</v>
      </c>
      <c r="S2159">
        <f>IFERROR(O2159/N2159,0)</f>
        <v/>
      </c>
      <c r="T2159" t="n">
        <v>0</v>
      </c>
      <c r="V2159" t="n">
        <v>0</v>
      </c>
    </row>
    <row r="2160">
      <c r="A2160">
        <f>Skills!A25</f>
        <v/>
      </c>
      <c r="B2160">
        <f>Skills!B25</f>
        <v/>
      </c>
      <c r="C2160">
        <f>Inputs!$B$3&gt;=72</f>
        <v/>
      </c>
      <c r="D2160">
        <f>IF(Skills!C25=1,60+Inputs!$B$25+Inputs!$B$29,IF(Skills!C25=2,90+Inputs!$B$26+Inputs!$B$29,IF(Skills!C25=3,120+Inputs!$B$27+Inputs!$B$29,MAX(0,(Inputs!$B$3-100)*3)+Inputs!$B$28+Inputs!$B$29)))</f>
        <v/>
      </c>
      <c r="E2160">
        <f>INDEX(FactorTable!$B$2:$Y$301, MATCH(ROUND(MIN(300,MAX(1,D2160)),0), FactorTable!$A$2:$A$301,0), Skills!M25+1)</f>
        <v/>
      </c>
      <c r="F2160">
        <f>IF(Skills!N25=TRUE,(Skills!L25/10)*(E2160/1000),Skills!L25/10)+Skills!O25</f>
        <v/>
      </c>
      <c r="G2160">
        <f>Skills!G25*IF(Skills!H25&gt;0,Skills!I25/Skills!H25,1)</f>
        <v/>
      </c>
      <c r="H2160">
        <f>1-(1-Skills!J25/100)^Skills!K25</f>
        <v/>
      </c>
      <c r="I2160" t="inlineStr">
        <is>
          <t>1</t>
        </is>
      </c>
      <c r="J2160" t="inlineStr"/>
      <c r="K2160" t="inlineStr"/>
      <c r="L2160" t="inlineStr"/>
      <c r="M2160" t="inlineStr"/>
      <c r="N2160" t="inlineStr"/>
      <c r="O2160">
        <f>(1-Summary!$B$11)*T2160+Summary!$B$11*V2160</f>
        <v/>
      </c>
      <c r="P2160">
        <f>IF(B2175=0,0,O2160/B2175)</f>
        <v/>
      </c>
      <c r="Q2160" t="n">
        <v>0</v>
      </c>
      <c r="R2160" t="n">
        <v>0</v>
      </c>
      <c r="S2160">
        <f>IFERROR(O2160/N2160,0)</f>
        <v/>
      </c>
      <c r="T2160" t="n">
        <v>0</v>
      </c>
      <c r="V2160" t="n">
        <v>0</v>
      </c>
    </row>
    <row r="2161">
      <c r="A2161">
        <f>Skills!A26</f>
        <v/>
      </c>
      <c r="B2161">
        <f>Skills!B26</f>
        <v/>
      </c>
      <c r="C2161">
        <f>Inputs!$B$3&gt;=75</f>
        <v/>
      </c>
      <c r="D2161">
        <f>IF(Skills!C26=1,60+Inputs!$B$25+Inputs!$B$29,IF(Skills!C26=2,90+Inputs!$B$26+Inputs!$B$29,IF(Skills!C26=3,120+Inputs!$B$27+Inputs!$B$29,MAX(0,(Inputs!$B$3-100)*3)+Inputs!$B$28+Inputs!$B$29)))</f>
        <v/>
      </c>
      <c r="E2161">
        <f>INDEX(FactorTable!$B$2:$Y$301, MATCH(ROUND(MIN(300,MAX(1,D2161)),0), FactorTable!$A$2:$A$301,0), Skills!M26+1)</f>
        <v/>
      </c>
      <c r="F2161">
        <f>IF(Skills!N26=TRUE,(Skills!L26/10)*(E2161/1000),Skills!L26/10)+Skills!O26</f>
        <v/>
      </c>
      <c r="G2161">
        <f>Skills!G26*IF(Skills!H26&gt;0,Skills!I26/Skills!H26,1)</f>
        <v/>
      </c>
      <c r="H2161">
        <f>1-(1-Skills!J26/100)^Skills!K26</f>
        <v/>
      </c>
      <c r="I2161" t="inlineStr">
        <is>
          <t>1</t>
        </is>
      </c>
      <c r="J2161" t="inlineStr"/>
      <c r="K2161" t="inlineStr"/>
      <c r="L2161" t="inlineStr"/>
      <c r="M2161" t="inlineStr"/>
      <c r="N2161" t="inlineStr"/>
      <c r="O2161">
        <f>(1-Summary!$B$11)*T2161+Summary!$B$11*V2161</f>
        <v/>
      </c>
      <c r="P2161">
        <f>IF(B2175=0,0,O2161/B2175)</f>
        <v/>
      </c>
      <c r="Q2161" t="n">
        <v>0</v>
      </c>
      <c r="R2161" t="n">
        <v>0</v>
      </c>
      <c r="S2161">
        <f>IFERROR(O2161/N2161,0)</f>
        <v/>
      </c>
      <c r="T2161" t="n">
        <v>0</v>
      </c>
      <c r="V2161" t="n">
        <v>0</v>
      </c>
    </row>
    <row r="2162">
      <c r="A2162">
        <f>Skills!A27</f>
        <v/>
      </c>
      <c r="B2162">
        <f>Skills!B27</f>
        <v/>
      </c>
      <c r="C2162">
        <f>Inputs!$B$3&gt;=117</f>
        <v/>
      </c>
      <c r="D2162">
        <f>IF(Skills!C27=1,60+Inputs!$B$25+Inputs!$B$29,IF(Skills!C27=2,90+Inputs!$B$26+Inputs!$B$29,IF(Skills!C27=3,120+Inputs!$B$27+Inputs!$B$29,MAX(0,(Inputs!$B$3-100)*3)+Inputs!$B$28+Inputs!$B$29)))</f>
        <v/>
      </c>
      <c r="E2162">
        <f>INDEX(FactorTable!$B$2:$Y$301, MATCH(ROUND(MIN(300,MAX(1,D2162)),0), FactorTable!$A$2:$A$301,0), Skills!M27+1)</f>
        <v/>
      </c>
      <c r="F2162">
        <f>IF(Skills!N27=TRUE,(Skills!L27/10)*(E2162/1000),Skills!L27/10)+Skills!O27</f>
        <v/>
      </c>
      <c r="G2162">
        <f>Skills!G27*IF(Skills!H27&gt;0,Skills!I27/Skills!H27,1)</f>
        <v/>
      </c>
      <c r="H2162">
        <f>1-(1-Skills!J27/100)^Skills!K27</f>
        <v/>
      </c>
      <c r="I2162" t="inlineStr">
        <is>
          <t>1</t>
        </is>
      </c>
      <c r="J2162" t="inlineStr"/>
      <c r="K2162" t="inlineStr"/>
      <c r="L2162" t="inlineStr"/>
      <c r="M2162" t="inlineStr"/>
      <c r="N2162" t="inlineStr"/>
      <c r="O2162">
        <f>(1-Summary!$B$11)*T2162+Summary!$B$11*V2162</f>
        <v/>
      </c>
      <c r="P2162">
        <f>IF(B2175=0,0,O2162/B2175)</f>
        <v/>
      </c>
      <c r="Q2162" t="n">
        <v>0</v>
      </c>
      <c r="R2162" t="n">
        <v>0</v>
      </c>
      <c r="S2162">
        <f>IFERROR(O2162/N2162,0)</f>
        <v/>
      </c>
      <c r="T2162" t="n">
        <v>0</v>
      </c>
      <c r="V2162" t="n">
        <v>0</v>
      </c>
    </row>
    <row r="2164">
      <c r="A2164" t="inlineStr">
        <is>
          <t>Attack% Bucket Multiplier</t>
        </is>
      </c>
      <c r="B2164">
        <f>(1+(((C2152=TRUE)*F2152)+((C2159=TRUE)*(F2159-Calc!F24))+(IF(ArtifactsInput!$M$21,CHOOSE(ArtifactsInput!$N$21+1,25,30,35,40,45,50)*(IF(OR(Inputs!$B$4="Chapter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65">
      <c r="A2165" t="inlineStr">
        <is>
          <t>Global Crit Rate Bonus %</t>
        </is>
      </c>
      <c r="B2165" t="n">
        <v>0</v>
      </c>
    </row>
    <row r="2166">
      <c r="A2166" t="inlineStr">
        <is>
          <t>Attack Speed Buff Bonus % (unused)</t>
        </is>
      </c>
      <c r="B2166" t="n">
        <v>0</v>
      </c>
    </row>
    <row r="2167">
      <c r="A2167" t="inlineStr">
        <is>
          <t>Actions Per Second</t>
        </is>
      </c>
      <c r="B2167">
        <f>1+MIN(150,150*(1-(1-(Inputs!$B$11+((C2155=TRUE)*(F2155-Calc!F20))+((C2156=TRUE)*(F2156-Calc!F21)))/150)*(1-B2166/150)))/100</f>
        <v/>
      </c>
    </row>
    <row r="2168">
      <c r="A2168" t="inlineStr">
        <is>
          <t>Skill + Buff Cast Rate</t>
        </is>
      </c>
      <c r="B2168">
        <f>IF(AND(Inputs!$B$38&lt;&gt;"pvp",Inputs!$B$43&gt;0),SUMPRODUCT((Skills!E2:E27=TRUE)*(C2137:C2162=TRUE)*R2137:R2162*Skills!F2:F27)/Inputs!$B$43,SUMPRODUCT((Skills!E2:E27=TRUE)*(C2137:C2162=TRUE)*Q2137:Q2162*Skills!F2:F27))</f>
        <v/>
      </c>
    </row>
    <row r="2169">
      <c r="A2169" t="inlineStr">
        <is>
          <t>Eight-Legs Easton Casts Per Second</t>
        </is>
      </c>
      <c r="B2169">
        <f>MAX(0,B2167-B2168)</f>
        <v/>
      </c>
    </row>
    <row r="2170">
      <c r="A2170" t="inlineStr">
        <is>
          <t>Global Critical Damage Bonus % (unused)</t>
        </is>
      </c>
      <c r="B2170" t="n">
        <v>0</v>
      </c>
    </row>
    <row r="2171">
      <c r="A2171" t="inlineStr">
        <is>
          <t>Global Final Damage Bonus % (Jolly Roger only)</t>
        </is>
      </c>
      <c r="B2171">
        <f>((C2153=TRUE)*F2153)</f>
        <v/>
      </c>
    </row>
    <row r="2172">
      <c r="A2172" t="inlineStr">
        <is>
          <t>Buff-Casting Startup Delay (s, fixed-duration only)</t>
        </is>
      </c>
      <c r="B2172">
        <f>IF(AND(Inputs!$B$38&lt;&gt;"pvp",Inputs!$B$43&gt;0),SUMPRODUCT((Skills!T2:T27&gt;0)*(Skills!E2:E27=TRUE)*(C2137:C2162=TRUE))/B2167,0)</f>
        <v/>
      </c>
    </row>
    <row r="2173">
      <c r="A2173" t="inlineStr">
        <is>
          <t>Boss-Only Total DPS (this block's swept value)</t>
        </is>
      </c>
      <c r="B2173">
        <f>SUM(T2137:T2162)</f>
        <v/>
      </c>
    </row>
    <row r="2174">
      <c r="A2174" t="inlineStr">
        <is>
          <t>Normal-Only Total DPS (this block's swept value)</t>
        </is>
      </c>
      <c r="B2174">
        <f>SUM(V2137:V2162)</f>
        <v/>
      </c>
    </row>
    <row r="2175">
      <c r="A2175" s="6" t="inlineStr">
        <is>
          <t>TOTAL DPS</t>
        </is>
      </c>
      <c r="B2175" s="6">
        <f>SUM(O2137:O2162)</f>
        <v/>
      </c>
    </row>
    <row r="2178">
      <c r="A2178" s="6" t="inlineStr">
        <is>
          <t>Stat: Ancient Text Piece (Equip)</t>
        </is>
      </c>
    </row>
    <row r="2179">
      <c r="A2179" s="5" t="inlineStr">
        <is>
          <t>Key</t>
        </is>
      </c>
      <c r="B2179" s="5" t="inlineStr">
        <is>
          <t>Name</t>
        </is>
      </c>
      <c r="C2179" s="5" t="inlineStr">
        <is>
          <t>Unlocked</t>
        </is>
      </c>
      <c r="D2179" s="5" t="inlineStr">
        <is>
          <t>InputLevel</t>
        </is>
      </c>
      <c r="E2179" s="5" t="inlineStr">
        <is>
          <t>Factor</t>
        </is>
      </c>
      <c r="F2179" s="5" t="inlineStr">
        <is>
          <t>CoefficientPercent</t>
        </is>
      </c>
      <c r="G2179" s="5" t="inlineStr">
        <is>
          <t>EffectiveHits</t>
        </is>
      </c>
      <c r="H2179" s="5" t="inlineStr">
        <is>
          <t>ProcProbability</t>
        </is>
      </c>
      <c r="I2179" s="5" t="inlineStr">
        <is>
          <t>MapleHeroMultiplier</t>
        </is>
      </c>
      <c r="J2179" s="5" t="inlineStr">
        <is>
          <t>BaseDamage</t>
        </is>
      </c>
      <c r="K2179" s="5" t="inlineStr">
        <is>
          <t>BaseHitDamage</t>
        </is>
      </c>
      <c r="L2179" s="5" t="inlineStr">
        <is>
          <t>NonCritAvg</t>
        </is>
      </c>
      <c r="M2179" s="5" t="inlineStr">
        <is>
          <t>CritAvg</t>
        </is>
      </c>
      <c r="N2179" s="5" t="inlineStr">
        <is>
          <t>ExpectedDamage(perHit)</t>
        </is>
      </c>
      <c r="O2179" s="5" t="inlineStr">
        <is>
          <t>DPS</t>
        </is>
      </c>
      <c r="P2179" s="5" t="inlineStr">
        <is>
          <t>% of Total</t>
        </is>
      </c>
      <c r="Q2179" s="5" t="inlineStr">
        <is>
          <t>InvCooldown</t>
        </is>
      </c>
      <c r="R2179" s="5" t="inlineStr">
        <is>
          <t>CastsInFight</t>
        </is>
      </c>
      <c r="S2179" s="5" t="inlineStr">
        <is>
          <t>HitRate(perSec)</t>
        </is>
      </c>
      <c r="U2179" t="inlineStr">
        <is>
          <t>helpers</t>
        </is>
      </c>
    </row>
    <row r="2180">
      <c r="A2180">
        <f>Skills!A2</f>
        <v/>
      </c>
      <c r="B2180">
        <f>Skills!B2</f>
        <v/>
      </c>
      <c r="C2180">
        <f>Inputs!$B$3&gt;=100</f>
        <v/>
      </c>
      <c r="D2180" t="inlineStr"/>
      <c r="E2180" t="inlineStr"/>
      <c r="F2180">
        <f>U2182+Skills!O2</f>
        <v/>
      </c>
      <c r="G2180">
        <f>Skills!G2*IF(Skills!H2&gt;0,Skills!I2/Skills!H2,1)</f>
        <v/>
      </c>
      <c r="H2180">
        <f>1-(1-Skills!J2/100)^Skills!K2</f>
        <v/>
      </c>
      <c r="I2180" t="inlineStr">
        <is>
          <t>1</t>
        </is>
      </c>
      <c r="J2180">
        <f>((Inputs!$B$6*(1+Inputs!$B$7/100))+(((Inputs!$B$12*(1+Inputs!$B$13/100))-(Inputs!$B$12*(1+Inputs!$B$13/100)))+0.25*(Inputs!$B$14-Inputs!$B$14))*(1+Inputs!$B$7/100))*(F2180/100)</f>
        <v/>
      </c>
      <c r="K2180">
        <f>J2180*(1+((Inputs!$B$12*(1+Inputs!$B$13/100))*0.01+Inputs!$B$14*0.0025)/100)*(1+Inputs!$B$15/100)*(1+Inputs!$B$16/100)*(5000/(6000+Inputs!$B$42*(1-(100*(1-(1-(Inputs!$B$19+0)/100)*(1-CHOOSE(ArtifactsInput!$N$40+1,5,6,7,8,9,10)/100)^(ArtifactsInput!$M$40-ArtifactsInput!$M$40)))/100)))*(1+(Inputs!$B$24+((C2204=TRUE)*(F2204-Calc!F26))+B2214)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2201=TRUE)*(F2201-Calc!F23))+((C2205=TRUE)*(F2205-Calc!F27))+(((IF(AND(ArtifactsInput!$M$42,((Inputs!$B$9+((C2197=TRUE)*(F2197-Calc!F19))+B2208+(ArtifactsInput!$M$24-ArtifactsInput!$M$24)*CHOOSE(ArtifactsInput!$N$24+1,10,12,14,16,18,20)+IF(ArtifactsInput!$M$10,CHOOSE(ArtifactsInput!$N$10+1,15,18,21,24,27,30)*(IF(Inputs!$B$38="pvp",MIN(15,15)/15,IF(AND(Inputs!$B$38&lt;&gt;"pvp",Inputs!$B$43&gt;0),MIN(15,Inputs!$B$43)/(Inputs!$B$43),0))),0)))&gt;=100),MIN(100,((Inputs!$B$9+((C2197=TRUE)*(F2197-Calc!F19))+B2208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2197=TRUE)*(F2197-Calc!F19))+B2208+(ArtifactsInput!$M$24-ArtifactsInput!$M$24)*CHOOSE(ArtifactsInput!$N$24+1,10,12,14,16,18,20)+IF(ArtifactsInput!$M$10,CHOOSE(ArtifactsInput!$N$10+1,15,18,21,24,27,30)*(IF(Inputs!$B$38="pvp",MIN(15,15)/15,IF(AND(Inputs!$B$38&lt;&gt;"pvp",Inputs!$B$43&gt;0),MIN(15,Inputs!$B$43)/(Inputs!$B$43),0))),0)))&gt;=100),CHOOSE(ArtifactsInput!$N$42+1,40,48,56,64,72,80),0))))/100)*((1+(((C2195=TRUE)*F2195)+((C2202=TRUE)*(F2202-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2180)</f>
        <v/>
      </c>
      <c r="L2180">
        <f>K2180*(MIN(Inputs!$B$22+((C2200=TRUE)*(F2200-Calc!F22)),(Inputs!$B$23+0+(IF(ArtifactsInput!$M$15,CHOOSE(ArtifactsInput!$N$15+1,25,30,35,40,45,50)/100*(Inputs!$B$11-Inputs!$B$11),0))))/100+(Inputs!$B$23+0+(IF(ArtifactsInput!$M$15,CHOOSE(ArtifactsInput!$N$15+1,25,30,35,40,45,50)/100*(Inputs!$B$11-Inputs!$B$11),0)))/100)/2</f>
        <v/>
      </c>
      <c r="M2180">
        <f>L2180*(1+(Inputs!$B$10+((C2203=TRUE)*(F2203-Calc!F25))+B2213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0">
        <f>L2180*(1-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2180*(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0">
        <f>(1-Summary!$B$11)*T2180+Summary!$B$11*V2180</f>
        <v/>
      </c>
      <c r="P2180">
        <f>IF(B2218=0,0,O2180/B2218)</f>
        <v/>
      </c>
      <c r="Q2180" t="n">
        <v>0</v>
      </c>
      <c r="R2180" t="n">
        <v>0</v>
      </c>
      <c r="S2180">
        <f>IFERROR(O2180/N2180,0)</f>
        <v/>
      </c>
      <c r="T2180">
        <f>IF(C2180,(Skills!G2*N2180*B2212)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2180*(1-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2180*(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2180*(1-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2180*(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0">
        <f>MAX(0,(Inputs!$B$3-100)*3)+Inputs!$B$28+Inputs!$B$29</f>
        <v/>
      </c>
      <c r="V2180">
        <f>IF(C2180,(Skills!G2*N2180*B2212)*IF(Inputs!$B$38="pvp",1,(1+(Inputs!$B$21+Skills!Q2+(IF(ArtifactsInput!$M$33,CHOOSE(ArtifactsInput!$N$33+1,30,36,42,48,54,60),0))+(IF(AND(ArtifactsInput!$M$35,Inputs!$B$4&lt;&gt;"Chapter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1">
      <c r="A2181">
        <f>Skills!A3</f>
        <v/>
      </c>
      <c r="B2181">
        <f>Skills!B3</f>
        <v/>
      </c>
      <c r="C2181">
        <f>Inputs!$B$3&gt;=35</f>
        <v/>
      </c>
      <c r="D2181">
        <f>IF(Skills!C3=1,60+Inputs!$B$25+Inputs!$B$29,IF(Skills!C3=2,90+Inputs!$B$26+Inputs!$B$29,IF(Skills!C3=3,120+Inputs!$B$27+Inputs!$B$29,MAX(0,(Inputs!$B$3-100)*3)+Inputs!$B$28+Inputs!$B$29)))</f>
        <v/>
      </c>
      <c r="E2181">
        <f>INDEX(FactorTable!$B$2:$Y$301, MATCH(ROUND(MIN(300,MAX(1,D2181)),0), FactorTable!$A$2:$A$301,0), Skills!M3+1)</f>
        <v/>
      </c>
      <c r="F2181">
        <f>IF(Skills!N3=TRUE,(Skills!L3/10)*(E2181/1000),Skills!L3/10)+Skills!O3</f>
        <v/>
      </c>
      <c r="G2181">
        <f>Skills!G3*IF(Skills!H3&gt;0,Skills!I3/Skills!H3,1)</f>
        <v/>
      </c>
      <c r="H2181">
        <f>1-(1-Skills!J3/100)^Skills!K3</f>
        <v/>
      </c>
      <c r="I2181" t="inlineStr">
        <is>
          <t>1</t>
        </is>
      </c>
      <c r="J2181">
        <f>((Inputs!$B$6*(1+Inputs!$B$7/100))+(((Inputs!$B$12*(1+Inputs!$B$13/100))-(Inputs!$B$12*(1+Inputs!$B$13/100)))+0.25*(Inputs!$B$14-Inputs!$B$14))*(1+Inputs!$B$7/100))*(F2181/100)</f>
        <v/>
      </c>
      <c r="K2181">
        <f>J2181*(1+((Inputs!$B$12*(1+Inputs!$B$13/100))*0.01+Inputs!$B$14*0.0025)/100)*(1+Inputs!$B$15/100)*(1+Inputs!$B$16/100)*(5000/(6000+Inputs!$B$42*(1-(100*(1-(1-(Inputs!$B$19+0)/100)*(1-CHOOSE(ArtifactsInput!$N$40+1,5,6,7,8,9,10)/100)^(ArtifactsInput!$M$40-ArtifactsInput!$M$40)))/100)))*(1+(Inputs!$B$24+((C2204=TRUE)*(F2204-Calc!F26))+B2214)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2193=TRUE,F2193,0)/100)*(1+(IF(Skills!A3="EIGHT_LEGS_EASTON",Inputs!$B$17+((C2201=TRUE)*(F2201-Calc!F23))+((C2205=TRUE)*(F2205-Calc!F27))+(((IF(AND(ArtifactsInput!$M$42,((Inputs!$B$9+((C2197=TRUE)*(F2197-Calc!F19))+B2208+(ArtifactsInput!$M$24-ArtifactsInput!$M$24)*CHOOSE(ArtifactsInput!$N$24+1,10,12,14,16,18,20)+IF(ArtifactsInput!$M$10,CHOOSE(ArtifactsInput!$N$10+1,15,18,21,24,27,30)*(IF(Inputs!$B$38="pvp",MIN(15,15)/15,IF(AND(Inputs!$B$38&lt;&gt;"pvp",Inputs!$B$43&gt;0),MIN(15,Inputs!$B$43)/(Inputs!$B$43),0))),0)))&gt;=100),MIN(100,((Inputs!$B$9+((C2197=TRUE)*(F2197-Calc!F19))+B2208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2197=TRUE)*(F2197-Calc!F19))+B2208+(ArtifactsInput!$M$24-ArtifactsInput!$M$24)*CHOOSE(ArtifactsInput!$N$24+1,10,12,14,16,18,20)+IF(ArtifactsInput!$M$10,CHOOSE(ArtifactsInput!$N$10+1,15,18,21,24,27,30)*(IF(Inputs!$B$38="pvp",MIN(15,15)/15,IF(AND(Inputs!$B$38&lt;&gt;"pvp",Inputs!$B$43&gt;0),MIN(15,Inputs!$B$43)/(Inputs!$B$43),0))),0)))&gt;=100),CHOOSE(ArtifactsInput!$N$42+1,40,48,56,64,72,80),0))))/100)*((1+(((C2195=TRUE)*F2195)+((C2202=TRUE)*(F2202-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2181)</f>
        <v/>
      </c>
      <c r="L2181">
        <f>K2181*(MIN(Inputs!$B$22+((C2200=TRUE)*(F2200-Calc!F22)),(Inputs!$B$23+0+(IF(ArtifactsInput!$M$15,CHOOSE(ArtifactsInput!$N$15+1,25,30,35,40,45,50)/100*(Inputs!$B$11-Inputs!$B$11),0))))/100+(Inputs!$B$23+0+(IF(ArtifactsInput!$M$15,CHOOSE(ArtifactsInput!$N$15+1,25,30,35,40,45,50)/100*(Inputs!$B$11-Inputs!$B$11),0)))/100)/2</f>
        <v/>
      </c>
      <c r="M2181">
        <f>L2181*(1+(Inputs!$B$10+((C2203=TRUE)*(F2203-Calc!F25))+B2213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1">
        <f>L2181*(1-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1">
        <f>(1-Summary!$B$11)*T2181+Summary!$B$11*V2181</f>
        <v/>
      </c>
      <c r="P2181">
        <f>IF(B2218=0,0,O2181/B2218)</f>
        <v/>
      </c>
      <c r="Q2181">
        <f>IFERROR(1/(IF(Inputs!$B$38="pvp",15,MAX(0.1,Skills!D3-IF(Skills!E3=TRUE,Inputs!$B$32,0)))*(1-IF(AND(ArtifactsInput!$M$27,Inputs!$B$4="Chapter Hunt"),CHOOSE(ArtifactsInput!$N$27+1,20,24,28,32,36,40),0)/100)),0)</f>
        <v/>
      </c>
      <c r="R2181">
        <f>IF(AND(Inputs!$B$38&lt;&gt;"pvp",Inputs!$B$43&gt;0),IF(MAX(0,Inputs!$B$43-B2215)&lt;=0,0,(INT(MAX(0,Inputs!$B$43-B2215)/(IF(Inputs!$B$38="pvp",15,MAX(0.1,Skills!D3-IF(Skills!E3=TRUE,Inputs!$B$32,0)))*(1-IF(AND(ArtifactsInput!$M$27,Inputs!$B$4="Chapter Hunt"),CHOOSE(ArtifactsInput!$N$27+1,20,24,28,32,36,40),0)/100)))+1)),0)</f>
        <v/>
      </c>
      <c r="S2181">
        <f>IFERROR(O2181/N2181,0)</f>
        <v/>
      </c>
      <c r="T2181">
        <f>IF(C2181,(H2181*N2181*IF(AND(Inputs!$B$38&lt;&gt;"pvp",Inputs!$B$43&gt;0),((Skills!G3*((R2181-1)*IF(Skills!H3&gt;0,Skills!I3/Skills!H3,1)+IF(Skills!H3&gt;0,MIN(Skills!I3,MAX(0,MAX(0,Inputs!$B$43-B2215)-((R2181-1)*(IF(Inputs!$B$38="pvp",15,MAX(0.1,Skills!D3-IF(Skills!E3=TRUE,Inputs!$B$32,0)))*(1-IF(AND(ArtifactsInput!$M$27,Inputs!$B$4="Chapter Hunt"),CHOOSE(ArtifactsInput!$N$27+1,20,24,28,32,36,40),0)/100)))))/Skills!H3,1)))/Inputs!$B$43),G2181*Q2181)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2181*(1-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2181*(1-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1">
        <f>INDEX(FactorTable!$B$2:$Y$301, MATCH(ROUND(MIN(300,MAX(1,U2180)),0), FactorTable!$A$2:$A$301,0), 22)</f>
        <v/>
      </c>
      <c r="V2181">
        <f>IF(C2181,(H2181*N2181*IF(AND(Inputs!$B$38&lt;&gt;"pvp",Inputs!$B$43&gt;0),((Skills!G3*((R2181-1)*IF(Skills!H3&gt;0,Skills!I3/Skills!H3,1)+IF(Skills!H3&gt;0,MIN(Skills!I3,MAX(0,MAX(0,Inputs!$B$43-B2215)-((R2181-1)*(IF(Inputs!$B$38="pvp",15,MAX(0.1,Skills!D3-IF(Skills!E3=TRUE,Inputs!$B$32,0)))*(1-IF(AND(ArtifactsInput!$M$27,Inputs!$B$4="Chapter Hunt"),CHOOSE(ArtifactsInput!$N$27+1,20,24,28,32,36,40),0)/100)))))/Skills!H3,1)))/Inputs!$B$43),G2181*Q2181))*IF(Inputs!$B$38="pvp",1,(1+(Inputs!$B$21+Skills!Q3+(IF(ArtifactsInput!$M$33,CHOOSE(ArtifactsInput!$N$33+1,30,36,42,48,54,60)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2">
      <c r="A2182">
        <f>Skills!A4</f>
        <v/>
      </c>
      <c r="B2182">
        <f>Skills!B4</f>
        <v/>
      </c>
      <c r="C2182">
        <f>Inputs!$B$3&gt;=40</f>
        <v/>
      </c>
      <c r="D2182">
        <f>IF(Skills!C4=1,60+Inputs!$B$25+Inputs!$B$29,IF(Skills!C4=2,90+Inputs!$B$26+Inputs!$B$29,IF(Skills!C4=3,120+Inputs!$B$27+Inputs!$B$29,MAX(0,(Inputs!$B$3-100)*3)+Inputs!$B$28+Inputs!$B$29)))</f>
        <v/>
      </c>
      <c r="E2182">
        <f>INDEX(FactorTable!$B$2:$Y$301, MATCH(ROUND(MIN(300,MAX(1,D2182)),0), FactorTable!$A$2:$A$301,0), Skills!M4+1)</f>
        <v/>
      </c>
      <c r="F2182">
        <f>IF(Skills!N4=TRUE,(Skills!L4/10)*(E2182/1000),Skills!L4/10)+Skills!O4</f>
        <v/>
      </c>
      <c r="G2182">
        <f>Skills!G4*IF(Skills!H4&gt;0,Skills!I4/Skills!H4,1)</f>
        <v/>
      </c>
      <c r="H2182">
        <f>1-(1-Skills!J4/100)^Skills!K4</f>
        <v/>
      </c>
      <c r="I2182" t="inlineStr">
        <is>
          <t>1</t>
        </is>
      </c>
      <c r="J2182">
        <f>((Inputs!$B$6*(1+Inputs!$B$7/100))+(((Inputs!$B$12*(1+Inputs!$B$13/100))-(Inputs!$B$12*(1+Inputs!$B$13/100)))+0.25*(Inputs!$B$14-Inputs!$B$14))*(1+Inputs!$B$7/100))*(F2182/100)</f>
        <v/>
      </c>
      <c r="K2182">
        <f>J2182*(1+((Inputs!$B$12*(1+Inputs!$B$13/100))*0.01+Inputs!$B$14*0.0025)/100)*(1+Inputs!$B$15/100)*(1+Inputs!$B$16/100)*(5000/(6000+Inputs!$B$42*(1-(100*(1-(1-(Inputs!$B$19+0)/100)*(1-CHOOSE(ArtifactsInput!$N$40+1,5,6,7,8,9,10)/100)^(ArtifactsInput!$M$40-ArtifactsInput!$M$40)))/100)))*(1+(Inputs!$B$24+((C2204=TRUE)*(F2204-Calc!F26))+B2214)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2194=TRUE,F2194,0)/100)*(1+(IF(Skills!A4="EIGHT_LEGS_EASTON",Inputs!$B$17+((C2201=TRUE)*(F2201-Calc!F23))+((C2205=TRUE)*(F2205-Calc!F27))+(((IF(AND(ArtifactsInput!$M$42,((Inputs!$B$9+((C2197=TRUE)*(F2197-Calc!F19))+B2208+(ArtifactsInput!$M$24-ArtifactsInput!$M$24)*CHOOSE(ArtifactsInput!$N$24+1,10,12,14,16,18,20)+IF(ArtifactsInput!$M$10,CHOOSE(ArtifactsInput!$N$10+1,15,18,21,24,27,30)*(IF(Inputs!$B$38="pvp",MIN(15,15)/15,IF(AND(Inputs!$B$38&lt;&gt;"pvp",Inputs!$B$43&gt;0),MIN(15,Inputs!$B$43)/(Inputs!$B$43),0))),0)))&gt;=100),MIN(100,((Inputs!$B$9+((C2197=TRUE)*(F2197-Calc!F19))+B2208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2197=TRUE)*(F2197-Calc!F19))+B2208+(ArtifactsInput!$M$24-ArtifactsInput!$M$24)*CHOOSE(ArtifactsInput!$N$24+1,10,12,14,16,18,20)+IF(ArtifactsInput!$M$10,CHOOSE(ArtifactsInput!$N$10+1,15,18,21,24,27,30)*(IF(Inputs!$B$38="pvp",MIN(15,15)/15,IF(AND(Inputs!$B$38&lt;&gt;"pvp",Inputs!$B$43&gt;0),MIN(15,Inputs!$B$43)/(Inputs!$B$43),0))),0)))&gt;=100),CHOOSE(ArtifactsInput!$N$42+1,40,48,56,64,72,80),0))))/100)*((1+(((C2195=TRUE)*F2195)+((C2202=TRUE)*(F2202-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2182)</f>
        <v/>
      </c>
      <c r="L2182">
        <f>K2182*(MIN(Inputs!$B$22+((C2200=TRUE)*(F2200-Calc!F22)),(Inputs!$B$23+0+(IF(ArtifactsInput!$M$15,CHOOSE(ArtifactsInput!$N$15+1,25,30,35,40,45,50)/100*(Inputs!$B$11-Inputs!$B$11),0))))/100+(Inputs!$B$23+0+(IF(ArtifactsInput!$M$15,CHOOSE(ArtifactsInput!$N$15+1,25,30,35,40,45,50)/100*(Inputs!$B$11-Inputs!$B$11),0)))/100)/2</f>
        <v/>
      </c>
      <c r="M2182">
        <f>L2182*(1+(Inputs!$B$10+((C2203=TRUE)*(F2203-Calc!F25))+B2213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2">
        <f>L2182*(1-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2182*(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2">
        <f>(1-Summary!$B$11)*T2182+Summary!$B$11*V2182</f>
        <v/>
      </c>
      <c r="P2182">
        <f>IF(B2218=0,0,O2182/B2218)</f>
        <v/>
      </c>
      <c r="Q2182">
        <f>IFERROR(1/(IF(Inputs!$B$38="pvp",15,MAX(0.1,Skills!D4-IF(Skills!E4=TRUE,Inputs!$B$32,0)))*(1-IF(AND(ArtifactsInput!$M$27,Inputs!$B$4="Chapter Hunt"),CHOOSE(ArtifactsInput!$N$27+1,20,24,28,32,36,40),0)/100)),0)</f>
        <v/>
      </c>
      <c r="R2182">
        <f>IF(AND(Inputs!$B$38&lt;&gt;"pvp",Inputs!$B$43&gt;0),IF(MAX(0,Inputs!$B$43-B2215)&lt;=0,0,(INT(MAX(0,Inputs!$B$43-B2215)/(IF(Inputs!$B$38="pvp",15,MAX(0.1,Skills!D4-IF(Skills!E4=TRUE,Inputs!$B$32,0)))*(1-IF(AND(ArtifactsInput!$M$27,Inputs!$B$4="Chapter Hunt"),CHOOSE(ArtifactsInput!$N$27+1,20,24,28,32,36,40),0)/100)))+1)),0)</f>
        <v/>
      </c>
      <c r="S2182">
        <f>IFERROR(O2182/N2182,0)</f>
        <v/>
      </c>
      <c r="T2182">
        <f>IF(C2182,(H2182*N2182*IF(AND(Inputs!$B$38&lt;&gt;"pvp",Inputs!$B$43&gt;0),((Skills!G4*((R2182-1)*IF(Skills!H4&gt;0,Skills!I4/Skills!H4,1)+IF(Skills!H4&gt;0,MIN(Skills!I4,MAX(0,MAX(0,Inputs!$B$43-B2215)-((R2182-1)*(IF(Inputs!$B$38="pvp",15,MAX(0.1,Skills!D4-IF(Skills!E4=TRUE,Inputs!$B$32,0)))*(1-IF(AND(ArtifactsInput!$M$27,Inputs!$B$4="Chapter Hunt"),CHOOSE(ArtifactsInput!$N$27+1,20,24,28,32,36,40),0)/100)))))/Skills!H4,1)))/Inputs!$B$43),G2182*Q2182)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2182*(1-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2182*(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2182*(1-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2182*(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2">
        <f>290*U2181/1000</f>
        <v/>
      </c>
      <c r="V2182">
        <f>IF(C2182,(H2182*N2182*IF(AND(Inputs!$B$38&lt;&gt;"pvp",Inputs!$B$43&gt;0),((Skills!G4*((R2182-1)*IF(Skills!H4&gt;0,Skills!I4/Skills!H4,1)+IF(Skills!H4&gt;0,MIN(Skills!I4,MAX(0,MAX(0,Inputs!$B$43-B2215)-((R2182-1)*(IF(Inputs!$B$38="pvp",15,MAX(0.1,Skills!D4-IF(Skills!E4=TRUE,Inputs!$B$32,0)))*(1-IF(AND(ArtifactsInput!$M$27,Inputs!$B$4="Chapter Hunt"),CHOOSE(ArtifactsInput!$N$27+1,20,24,28,32,36,40),0)/100)))))/Skills!H4,1)))/Inputs!$B$43),G2182*Q2182))*IF(Inputs!$B$38="pvp",1,(1+(Inputs!$B$21+Skills!Q4+(IF(ArtifactsInput!$M$33,CHOOSE(ArtifactsInput!$N$33+1,30,36,42,48,54,60)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3">
      <c r="A2183">
        <f>Skills!A5</f>
        <v/>
      </c>
      <c r="B2183">
        <f>Skills!B5</f>
        <v/>
      </c>
      <c r="C2183">
        <f>Inputs!$B$3&gt;=45</f>
        <v/>
      </c>
      <c r="D2183">
        <f>IF(Skills!C5=1,60+Inputs!$B$25+Inputs!$B$29,IF(Skills!C5=2,90+Inputs!$B$26+Inputs!$B$29,IF(Skills!C5=3,120+Inputs!$B$27+Inputs!$B$29,MAX(0,(Inputs!$B$3-100)*3)+Inputs!$B$28+Inputs!$B$29)))</f>
        <v/>
      </c>
      <c r="E2183">
        <f>INDEX(FactorTable!$B$2:$Y$301, MATCH(ROUND(MIN(300,MAX(1,D2183)),0), FactorTable!$A$2:$A$301,0), Skills!M5+1)</f>
        <v/>
      </c>
      <c r="F2183">
        <f>IF(Skills!N5=TRUE,(Skills!L5/10)*(E2183/1000),Skills!L5/10)+Skills!O5</f>
        <v/>
      </c>
      <c r="G2183">
        <f>Skills!G5*IF(Skills!H5&gt;0,Skills!I5/Skills!H5,1)</f>
        <v/>
      </c>
      <c r="H2183">
        <f>1-(1-Skills!J5/100)^Skills!K5</f>
        <v/>
      </c>
      <c r="I2183" t="inlineStr">
        <is>
          <t>1</t>
        </is>
      </c>
      <c r="J2183">
        <f>((Inputs!$B$6*(1+Inputs!$B$7/100))+(((Inputs!$B$12*(1+Inputs!$B$13/100))-(Inputs!$B$12*(1+Inputs!$B$13/100)))+0.25*(Inputs!$B$14-Inputs!$B$14))*(1+Inputs!$B$7/100))*(F2183/100)</f>
        <v/>
      </c>
      <c r="K2183">
        <f>J2183*(1+((Inputs!$B$12*(1+Inputs!$B$13/100))*0.01+Inputs!$B$14*0.0025)/100)*(1+Inputs!$B$15/100)*(1+Inputs!$B$16/100)*(5000/(6000+Inputs!$B$42*(1-(100*(1-(1-(Inputs!$B$19+0)/100)*(1-CHOOSE(ArtifactsInput!$N$40+1,5,6,7,8,9,10)/100)^(ArtifactsInput!$M$40-ArtifactsInput!$M$40)))/100)))*(1+(Inputs!$B$24+((C2204=TRUE)*(F2204-Calc!F26))+B2214)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2194=TRUE,F2194,0)/100)*(1+(IF(Skills!A5="EIGHT_LEGS_EASTON",Inputs!$B$17+((C2201=TRUE)*(F2201-Calc!F23))+((C2205=TRUE)*(F2205-Calc!F27))+(((IF(AND(ArtifactsInput!$M$42,((Inputs!$B$9+((C2197=TRUE)*(F2197-Calc!F19))+B2208+(ArtifactsInput!$M$24-ArtifactsInput!$M$24)*CHOOSE(ArtifactsInput!$N$24+1,10,12,14,16,18,20)+IF(ArtifactsInput!$M$10,CHOOSE(ArtifactsInput!$N$10+1,15,18,21,24,27,30)*(IF(Inputs!$B$38="pvp",MIN(15,15)/15,IF(AND(Inputs!$B$38&lt;&gt;"pvp",Inputs!$B$43&gt;0),MIN(15,Inputs!$B$43)/(Inputs!$B$43),0))),0)))&gt;=100),MIN(100,((Inputs!$B$9+((C2197=TRUE)*(F2197-Calc!F19))+B2208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2197=TRUE)*(F2197-Calc!F19))+B2208+(ArtifactsInput!$M$24-ArtifactsInput!$M$24)*CHOOSE(ArtifactsInput!$N$24+1,10,12,14,16,18,20)+IF(ArtifactsInput!$M$10,CHOOSE(ArtifactsInput!$N$10+1,15,18,21,24,27,30)*(IF(Inputs!$B$38="pvp",MIN(15,15)/15,IF(AND(Inputs!$B$38&lt;&gt;"pvp",Inputs!$B$43&gt;0),MIN(15,Inputs!$B$43)/(Inputs!$B$43),0))),0)))&gt;=100),CHOOSE(ArtifactsInput!$N$42+1,40,48,56,64,72,80),0))))/100)*((1+(((C2195=TRUE)*F2195)+((C2202=TRUE)*(F2202-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2183)</f>
        <v/>
      </c>
      <c r="L2183">
        <f>K2183*(MIN(Inputs!$B$22+((C2200=TRUE)*(F2200-Calc!F22)),(Inputs!$B$23+0+(IF(ArtifactsInput!$M$15,CHOOSE(ArtifactsInput!$N$15+1,25,30,35,40,45,50)/100*(Inputs!$B$11-Inputs!$B$11),0))))/100+(Inputs!$B$23+0+(IF(ArtifactsInput!$M$15,CHOOSE(ArtifactsInput!$N$15+1,25,30,35,40,45,50)/100*(Inputs!$B$11-Inputs!$B$11),0)))/100)/2</f>
        <v/>
      </c>
      <c r="M2183">
        <f>L2183*(1+(Inputs!$B$10+((C2203=TRUE)*(F2203-Calc!F25))+B2213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3">
        <f>L2183*(1-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2183*(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3">
        <f>(1-Summary!$B$11)*T2183+Summary!$B$11*V2183</f>
        <v/>
      </c>
      <c r="P2183">
        <f>IF(B2218=0,0,O2183/B2218)</f>
        <v/>
      </c>
      <c r="Q2183">
        <f>IFERROR(1/(IF(Inputs!$B$38="pvp",15,MAX(0.1,Skills!D5-IF(Skills!E5=TRUE,Inputs!$B$32,0)))*(1-IF(AND(ArtifactsInput!$M$27,Inputs!$B$4="Chapter Hunt"),CHOOSE(ArtifactsInput!$N$27+1,20,24,28,32,36,40),0)/100)),0)</f>
        <v/>
      </c>
      <c r="R2183">
        <f>IF(AND(Inputs!$B$38&lt;&gt;"pvp",Inputs!$B$43&gt;0),IF(MAX(0,Inputs!$B$43-B2215)&lt;=0,0,(INT(MAX(0,Inputs!$B$43-B2215)/(IF(Inputs!$B$38="pvp",15,MAX(0.1,Skills!D5-IF(Skills!E5=TRUE,Inputs!$B$32,0)))*(1-IF(AND(ArtifactsInput!$M$27,Inputs!$B$4="Chapter Hunt"),CHOOSE(ArtifactsInput!$N$27+1,20,24,28,32,36,40),0)/100)))+1)),0)</f>
        <v/>
      </c>
      <c r="S2183">
        <f>IFERROR(O2183/N2183,0)</f>
        <v/>
      </c>
      <c r="T2183">
        <f>IF(C2183,(H2183*N2183*IF(AND(Inputs!$B$38&lt;&gt;"pvp",Inputs!$B$43&gt;0),((Skills!G5*((R2183-1)*IF(Skills!H5&gt;0,Skills!I5/Skills!H5,1)+IF(Skills!H5&gt;0,MIN(Skills!I5,MAX(0,MAX(0,Inputs!$B$43-B2215)-((R2183-1)*(IF(Inputs!$B$38="pvp",15,MAX(0.1,Skills!D5-IF(Skills!E5=TRUE,Inputs!$B$32,0)))*(1-IF(AND(ArtifactsInput!$M$27,Inputs!$B$4="Chapter Hunt"),CHOOSE(ArtifactsInput!$N$27+1,20,24,28,32,36,40),0)/100)))))/Skills!H5,1)))/Inputs!$B$43),G2183*Q2183)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2183*(1-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2183*(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2183*(1-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2183*(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3">
        <f>IF(C2183,(H2183*N2183*IF(AND(Inputs!$B$38&lt;&gt;"pvp",Inputs!$B$43&gt;0),((Skills!G5*((R2183-1)*IF(Skills!H5&gt;0,Skills!I5/Skills!H5,1)+IF(Skills!H5&gt;0,MIN(Skills!I5,MAX(0,MAX(0,Inputs!$B$43-B2215)-((R2183-1)*(IF(Inputs!$B$38="pvp",15,MAX(0.1,Skills!D5-IF(Skills!E5=TRUE,Inputs!$B$32,0)))*(1-IF(AND(ArtifactsInput!$M$27,Inputs!$B$4="Chapter Hunt"),CHOOSE(ArtifactsInput!$N$27+1,20,24,28,32,36,40),0)/100)))))/Skills!H5,1)))/Inputs!$B$43),G2183*Q2183))*IF(Inputs!$B$38="pvp",1,(1+(Inputs!$B$21+Skills!Q5+(IF(ArtifactsInput!$M$33,CHOOSE(ArtifactsInput!$N$33+1,30,36,42,48,54,60)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4">
      <c r="A2184">
        <f>Skills!A6</f>
        <v/>
      </c>
      <c r="B2184">
        <f>Skills!B6</f>
        <v/>
      </c>
      <c r="C2184">
        <f>Inputs!$B$3&gt;=63</f>
        <v/>
      </c>
      <c r="D2184">
        <f>IF(Skills!C6=1,60+Inputs!$B$25+Inputs!$B$29,IF(Skills!C6=2,90+Inputs!$B$26+Inputs!$B$29,IF(Skills!C6=3,120+Inputs!$B$27+Inputs!$B$29,MAX(0,(Inputs!$B$3-100)*3)+Inputs!$B$28+Inputs!$B$29)))</f>
        <v/>
      </c>
      <c r="E2184">
        <f>INDEX(FactorTable!$B$2:$Y$301, MATCH(ROUND(MIN(300,MAX(1,D2184)),0), FactorTable!$A$2:$A$301,0), Skills!M6+1)</f>
        <v/>
      </c>
      <c r="F2184">
        <f>IF(Skills!N6=TRUE,(Skills!L6/10)*(E2184/1000),Skills!L6/10)+Skills!O6</f>
        <v/>
      </c>
      <c r="G2184">
        <f>Skills!G6*IF(Skills!H6&gt;0,Skills!I6/Skills!H6,1)</f>
        <v/>
      </c>
      <c r="H2184">
        <f>1-(1-Skills!J6/100)^Skills!K6</f>
        <v/>
      </c>
      <c r="I2184" t="inlineStr">
        <is>
          <t>1</t>
        </is>
      </c>
      <c r="J2184">
        <f>((Inputs!$B$6*(1+Inputs!$B$7/100))+(((Inputs!$B$12*(1+Inputs!$B$13/100))-(Inputs!$B$12*(1+Inputs!$B$13/100)))+0.25*(Inputs!$B$14-Inputs!$B$14))*(1+Inputs!$B$7/100))*(F2184/100)</f>
        <v/>
      </c>
      <c r="K2184">
        <f>J2184*(1+((Inputs!$B$12*(1+Inputs!$B$13/100))*0.01+Inputs!$B$14*0.0025)/100)*(1+Inputs!$B$15/100)*(1+Inputs!$B$16/100)*(5000/(6000+Inputs!$B$42*(1-(100*(1-(1-(Inputs!$B$19+0)/100)*(1-CHOOSE(ArtifactsInput!$N$40+1,5,6,7,8,9,10)/100)^(ArtifactsInput!$M$40-ArtifactsInput!$M$40)))/100)))*(1+(Inputs!$B$24+((C2204=TRUE)*(F2204-Calc!F26))+B2214)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2193=TRUE,F2193,0)/100)*(1+(IF(Skills!A6="EIGHT_LEGS_EASTON",Inputs!$B$17+((C2201=TRUE)*(F2201-Calc!F23))+((C2205=TRUE)*(F2205-Calc!F27))+(((IF(AND(ArtifactsInput!$M$42,((Inputs!$B$9+((C2197=TRUE)*(F2197-Calc!F19))+B2208+(ArtifactsInput!$M$24-ArtifactsInput!$M$24)*CHOOSE(ArtifactsInput!$N$24+1,10,12,14,16,18,20)+IF(ArtifactsInput!$M$10,CHOOSE(ArtifactsInput!$N$10+1,15,18,21,24,27,30)*(IF(Inputs!$B$38="pvp",MIN(15,15)/15,IF(AND(Inputs!$B$38&lt;&gt;"pvp",Inputs!$B$43&gt;0),MIN(15,Inputs!$B$43)/(Inputs!$B$43),0))),0)))&gt;=100),MIN(100,((Inputs!$B$9+((C2197=TRUE)*(F2197-Calc!F19))+B2208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2197=TRUE)*(F2197-Calc!F19))+B2208+(ArtifactsInput!$M$24-ArtifactsInput!$M$24)*CHOOSE(ArtifactsInput!$N$24+1,10,12,14,16,18,20)+IF(ArtifactsInput!$M$10,CHOOSE(ArtifactsInput!$N$10+1,15,18,21,24,27,30)*(IF(Inputs!$B$38="pvp",MIN(15,15)/15,IF(AND(Inputs!$B$38&lt;&gt;"pvp",Inputs!$B$43&gt;0),MIN(15,Inputs!$B$43)/(Inputs!$B$43),0))),0)))&gt;=100),CHOOSE(ArtifactsInput!$N$42+1,40,48,56,64,72,80),0))))/100)*((1+(((C2195=TRUE)*F2195)+((C2202=TRUE)*(F2202-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2184)</f>
        <v/>
      </c>
      <c r="L2184">
        <f>K2184*(MIN(Inputs!$B$22+((C2200=TRUE)*(F2200-Calc!F22)),(Inputs!$B$23+0+(IF(ArtifactsInput!$M$15,CHOOSE(ArtifactsInput!$N$15+1,25,30,35,40,45,50)/100*(Inputs!$B$11-Inputs!$B$11),0))))/100+(Inputs!$B$23+0+(IF(ArtifactsInput!$M$15,CHOOSE(ArtifactsInput!$N$15+1,25,30,35,40,45,50)/100*(Inputs!$B$11-Inputs!$B$11),0)))/100)/2</f>
        <v/>
      </c>
      <c r="M2184">
        <f>L2184*(1+(Inputs!$B$10+((C2203=TRUE)*(F2203-Calc!F25))+B2213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4">
        <f>L2184*(1-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2184*(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4">
        <f>(1-Summary!$B$11)*T2184+Summary!$B$11*V2184</f>
        <v/>
      </c>
      <c r="P2184">
        <f>IF(B2218=0,0,O2184/B2218)</f>
        <v/>
      </c>
      <c r="Q2184">
        <f>IFERROR(1/(IF(Inputs!$B$38="pvp",15,MAX(0.1,Skills!D6-IF(Skills!E6=TRUE,Inputs!$B$32,0)))*(1-IF(AND(ArtifactsInput!$M$27,Inputs!$B$4="Chapter Hunt"),CHOOSE(ArtifactsInput!$N$27+1,20,24,28,32,36,40),0)/100)),0)</f>
        <v/>
      </c>
      <c r="R2184">
        <f>IF(AND(Inputs!$B$38&lt;&gt;"pvp",Inputs!$B$43&gt;0),IF(MAX(0,Inputs!$B$43-B2215)&lt;=0,0,(INT(MAX(0,Inputs!$B$43-B2215)/(IF(Inputs!$B$38="pvp",15,MAX(0.1,Skills!D6-IF(Skills!E6=TRUE,Inputs!$B$32,0)))*(1-IF(AND(ArtifactsInput!$M$27,Inputs!$B$4="Chapter Hunt"),CHOOSE(ArtifactsInput!$N$27+1,20,24,28,32,36,40),0)/100)))+1)),0)</f>
        <v/>
      </c>
      <c r="S2184">
        <f>IFERROR(O2184/N2184,0)</f>
        <v/>
      </c>
      <c r="T2184">
        <f>IF(C2184,(H2184*N2184*IF(AND(Inputs!$B$38&lt;&gt;"pvp",Inputs!$B$43&gt;0),((Skills!G6*((R2184-1)*IF(Skills!H6&gt;0,Skills!I6/Skills!H6,1)+IF(Skills!H6&gt;0,MIN(Skills!I6,MAX(0,MAX(0,Inputs!$B$43-B2215)-((R2184-1)*(IF(Inputs!$B$38="pvp",15,MAX(0.1,Skills!D6-IF(Skills!E6=TRUE,Inputs!$B$32,0)))*(1-IF(AND(ArtifactsInput!$M$27,Inputs!$B$4="Chapter Hunt"),CHOOSE(ArtifactsInput!$N$27+1,20,24,28,32,36,40),0)/100)))))/Skills!H6,1)))/Inputs!$B$43),G2184*Q2184)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2184*(1-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2184*(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2184*(1-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2184*(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4">
        <f>IF(C2184,(H2184*N2184*IF(AND(Inputs!$B$38&lt;&gt;"pvp",Inputs!$B$43&gt;0),((Skills!G6*((R2184-1)*IF(Skills!H6&gt;0,Skills!I6/Skills!H6,1)+IF(Skills!H6&gt;0,MIN(Skills!I6,MAX(0,MAX(0,Inputs!$B$43-B2215)-((R2184-1)*(IF(Inputs!$B$38="pvp",15,MAX(0.1,Skills!D6-IF(Skills!E6=TRUE,Inputs!$B$32,0)))*(1-IF(AND(ArtifactsInput!$M$27,Inputs!$B$4="Chapter Hunt"),CHOOSE(ArtifactsInput!$N$27+1,20,24,28,32,36,40),0)/100)))))/Skills!H6,1)))/Inputs!$B$43),G2184*Q2184))*IF(Inputs!$B$38="pvp",1,(1+(Inputs!$B$21+Skills!Q6+(IF(ArtifactsInput!$M$33,CHOOSE(ArtifactsInput!$N$33+1,30,36,42,48,54,60)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5">
      <c r="A2185">
        <f>Skills!A7</f>
        <v/>
      </c>
      <c r="B2185">
        <f>Skills!B7</f>
        <v/>
      </c>
      <c r="C2185">
        <f>Inputs!$B$3&gt;=66</f>
        <v/>
      </c>
      <c r="D2185">
        <f>IF(Skills!C7=1,60+Inputs!$B$25+Inputs!$B$29,IF(Skills!C7=2,90+Inputs!$B$26+Inputs!$B$29,IF(Skills!C7=3,120+Inputs!$B$27+Inputs!$B$29,MAX(0,(Inputs!$B$3-100)*3)+Inputs!$B$28+Inputs!$B$29)))</f>
        <v/>
      </c>
      <c r="E2185">
        <f>INDEX(FactorTable!$B$2:$Y$301, MATCH(ROUND(MIN(300,MAX(1,D2185)),0), FactorTable!$A$2:$A$301,0), Skills!M7+1)</f>
        <v/>
      </c>
      <c r="F2185">
        <f>IF(Skills!N7=TRUE,(Skills!L7/10)*(E2185/1000),Skills!L7/10)+Skills!O7</f>
        <v/>
      </c>
      <c r="G2185">
        <f>Skills!G7*IF(Skills!H7&gt;0,Skills!I7/Skills!H7,1)</f>
        <v/>
      </c>
      <c r="H2185">
        <f>1-(1-Skills!J7/100)^Skills!K7</f>
        <v/>
      </c>
      <c r="I2185" t="inlineStr">
        <is>
          <t>1</t>
        </is>
      </c>
      <c r="J2185">
        <f>((Inputs!$B$6*(1+Inputs!$B$7/100))+(((Inputs!$B$12*(1+Inputs!$B$13/100))-(Inputs!$B$12*(1+Inputs!$B$13/100)))+0.25*(Inputs!$B$14-Inputs!$B$14))*(1+Inputs!$B$7/100))*(F2185/100)</f>
        <v/>
      </c>
      <c r="K2185">
        <f>J2185*(1+((Inputs!$B$12*(1+Inputs!$B$13/100))*0.01+Inputs!$B$14*0.0025)/100)*(1+Inputs!$B$15/100)*(1+Inputs!$B$16/100)*(5000/(6000+Inputs!$B$42*(1-(100*(1-(1-(Inputs!$B$19+0)/100)*(1-CHOOSE(ArtifactsInput!$N$40+1,5,6,7,8,9,10)/100)^(ArtifactsInput!$M$40-ArtifactsInput!$M$40)))/100)))*(1+(Inputs!$B$24+((C2204=TRUE)*(F2204-Calc!F26))+B2214)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2193=TRUE,F2193,0)/100)*(1+(IF(Skills!A7="EIGHT_LEGS_EASTON",Inputs!$B$17+((C2201=TRUE)*(F2201-Calc!F23))+((C2205=TRUE)*(F2205-Calc!F27))+(((IF(AND(ArtifactsInput!$M$42,((Inputs!$B$9+((C2197=TRUE)*(F2197-Calc!F19))+B2208+(ArtifactsInput!$M$24-ArtifactsInput!$M$24)*CHOOSE(ArtifactsInput!$N$24+1,10,12,14,16,18,20)+IF(ArtifactsInput!$M$10,CHOOSE(ArtifactsInput!$N$10+1,15,18,21,24,27,30)*(IF(Inputs!$B$38="pvp",MIN(15,15)/15,IF(AND(Inputs!$B$38&lt;&gt;"pvp",Inputs!$B$43&gt;0),MIN(15,Inputs!$B$43)/(Inputs!$B$43),0))),0)))&gt;=100),MIN(100,((Inputs!$B$9+((C2197=TRUE)*(F2197-Calc!F19))+B2208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2197=TRUE)*(F2197-Calc!F19))+B2208+(ArtifactsInput!$M$24-ArtifactsInput!$M$24)*CHOOSE(ArtifactsInput!$N$24+1,10,12,14,16,18,20)+IF(ArtifactsInput!$M$10,CHOOSE(ArtifactsInput!$N$10+1,15,18,21,24,27,30)*(IF(Inputs!$B$38="pvp",MIN(15,15)/15,IF(AND(Inputs!$B$38&lt;&gt;"pvp",Inputs!$B$43&gt;0),MIN(15,Inputs!$B$43)/(Inputs!$B$43),0))),0)))&gt;=100),CHOOSE(ArtifactsInput!$N$42+1,40,48,56,64,72,80),0))))/100)*((1+(((C2195=TRUE)*F2195)+((C2202=TRUE)*(F2202-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2185)</f>
        <v/>
      </c>
      <c r="L2185">
        <f>K2185*(MIN(Inputs!$B$22+((C2200=TRUE)*(F2200-Calc!F22)),(Inputs!$B$23+0+(IF(ArtifactsInput!$M$15,CHOOSE(ArtifactsInput!$N$15+1,25,30,35,40,45,50)/100*(Inputs!$B$11-Inputs!$B$11),0))))/100+(Inputs!$B$23+0+(IF(ArtifactsInput!$M$15,CHOOSE(ArtifactsInput!$N$15+1,25,30,35,40,45,50)/100*(Inputs!$B$11-Inputs!$B$11),0)))/100)/2</f>
        <v/>
      </c>
      <c r="M2185">
        <f>L2185*(1+(Inputs!$B$10+((C2203=TRUE)*(F2203-Calc!F25))+B2213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5">
        <f>L2185*(1-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2185*(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5">
        <f>(1-Summary!$B$11)*T2185+Summary!$B$11*V2185</f>
        <v/>
      </c>
      <c r="P2185">
        <f>IF(B2218=0,0,O2185/B2218)</f>
        <v/>
      </c>
      <c r="Q2185">
        <f>IFERROR(1/(IF(Inputs!$B$38="pvp",15,MAX(0.1,Skills!D7-IF(Skills!E7=TRUE,Inputs!$B$32,0)))*(1-IF(AND(ArtifactsInput!$M$27,Inputs!$B$4="Chapter Hunt"),CHOOSE(ArtifactsInput!$N$27+1,20,24,28,32,36,40),0)/100)),0)</f>
        <v/>
      </c>
      <c r="R2185">
        <f>IF(AND(Inputs!$B$38&lt;&gt;"pvp",Inputs!$B$43&gt;0),IF(MAX(0,Inputs!$B$43-B2215)&lt;=0,0,(INT(MAX(0,Inputs!$B$43-B2215)/(IF(Inputs!$B$38="pvp",15,MAX(0.1,Skills!D7-IF(Skills!E7=TRUE,Inputs!$B$32,0)))*(1-IF(AND(ArtifactsInput!$M$27,Inputs!$B$4="Chapter Hunt"),CHOOSE(ArtifactsInput!$N$27+1,20,24,28,32,36,40),0)/100)))+1)),0)</f>
        <v/>
      </c>
      <c r="S2185">
        <f>IFERROR(O2185/N2185,0)</f>
        <v/>
      </c>
      <c r="T2185">
        <f>IF(C2185,(H2185*N2185*IF(AND(Inputs!$B$38&lt;&gt;"pvp",Inputs!$B$43&gt;0),((Skills!G7*((R2185-1)*IF(Skills!H7&gt;0,Skills!I7/Skills!H7,1)+IF(Skills!H7&gt;0,MIN(Skills!I7,MAX(0,MAX(0,Inputs!$B$43-B2215)-((R2185-1)*(IF(Inputs!$B$38="pvp",15,MAX(0.1,Skills!D7-IF(Skills!E7=TRUE,Inputs!$B$32,0)))*(1-IF(AND(ArtifactsInput!$M$27,Inputs!$B$4="Chapter Hunt"),CHOOSE(ArtifactsInput!$N$27+1,20,24,28,32,36,40),0)/100)))))/Skills!H7,1)))/Inputs!$B$43),G2185*Q2185)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2185*(1-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2185*(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2185*(1-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2185*(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5">
        <f>IF(C2185,(H2185*N2185*IF(AND(Inputs!$B$38&lt;&gt;"pvp",Inputs!$B$43&gt;0),((Skills!G7*((R2185-1)*IF(Skills!H7&gt;0,Skills!I7/Skills!H7,1)+IF(Skills!H7&gt;0,MIN(Skills!I7,MAX(0,MAX(0,Inputs!$B$43-B2215)-((R2185-1)*(IF(Inputs!$B$38="pvp",15,MAX(0.1,Skills!D7-IF(Skills!E7=TRUE,Inputs!$B$32,0)))*(1-IF(AND(ArtifactsInput!$M$27,Inputs!$B$4="Chapter Hunt"),CHOOSE(ArtifactsInput!$N$27+1,20,24,28,32,36,40),0)/100)))))/Skills!H7,1)))/Inputs!$B$43),G2185*Q2185))*IF(Inputs!$B$38="pvp",1,(1+(Inputs!$B$21+Skills!Q7+(IF(ArtifactsInput!$M$33,CHOOSE(ArtifactsInput!$N$33+1,30,36,42,48,54,60)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6">
      <c r="A2186">
        <f>Skills!A8</f>
        <v/>
      </c>
      <c r="B2186">
        <f>Skills!B8</f>
        <v/>
      </c>
      <c r="C2186">
        <f>Inputs!$B$3&gt;=100</f>
        <v/>
      </c>
      <c r="D2186">
        <f>IF(Skills!C8=1,60+Inputs!$B$25+Inputs!$B$29,IF(Skills!C8=2,90+Inputs!$B$26+Inputs!$B$29,IF(Skills!C8=3,120+Inputs!$B$27+Inputs!$B$29,MAX(0,(Inputs!$B$3-100)*3)+Inputs!$B$28+Inputs!$B$29)))</f>
        <v/>
      </c>
      <c r="E2186">
        <f>INDEX(FactorTable!$B$2:$Y$301, MATCH(ROUND(MIN(300,MAX(1,D2186)),0), FactorTable!$A$2:$A$301,0), Skills!M8+1)</f>
        <v/>
      </c>
      <c r="F2186">
        <f>IF(Skills!N8=TRUE,(Skills!L8/10)*(E2186/1000),Skills!L8/10)+Skills!O8</f>
        <v/>
      </c>
      <c r="G2186">
        <f>Skills!G8*IF(Skills!H8&gt;0,Skills!I8/Skills!H8,1)</f>
        <v/>
      </c>
      <c r="H2186">
        <f>1-(1-Skills!J8/100)^Skills!K8</f>
        <v/>
      </c>
      <c r="I2186" t="inlineStr">
        <is>
          <t>1</t>
        </is>
      </c>
      <c r="J2186">
        <f>((Inputs!$B$6*(1+Inputs!$B$7/100))+(((Inputs!$B$12*(1+Inputs!$B$13/100))-(Inputs!$B$12*(1+Inputs!$B$13/100)))+0.25*(Inputs!$B$14-Inputs!$B$14))*(1+Inputs!$B$7/100))*(F2186/100)</f>
        <v/>
      </c>
      <c r="K2186">
        <f>J2186*(1+((Inputs!$B$12*(1+Inputs!$B$13/100))*0.01+Inputs!$B$14*0.0025)/100)*(1+Inputs!$B$15/100)*(1+Inputs!$B$16/100)*(5000/(6000+Inputs!$B$42*(1-(100*(1-(1-(Inputs!$B$19+0)/100)*(1-CHOOSE(ArtifactsInput!$N$40+1,5,6,7,8,9,10)/100)^(ArtifactsInput!$M$40-ArtifactsInput!$M$40)))/100)))*(1+(Inputs!$B$24+((C2204=TRUE)*(F2204-Calc!F26))+B2214)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2201=TRUE)*(F2201-Calc!F23))+((C2205=TRUE)*(F2205-Calc!F27))+(((IF(AND(ArtifactsInput!$M$42,((Inputs!$B$9+((C2197=TRUE)*(F2197-Calc!F19))+B2208+(ArtifactsInput!$M$24-ArtifactsInput!$M$24)*CHOOSE(ArtifactsInput!$N$24+1,10,12,14,16,18,20)+IF(ArtifactsInput!$M$10,CHOOSE(ArtifactsInput!$N$10+1,15,18,21,24,27,30)*(IF(Inputs!$B$38="pvp",MIN(15,15)/15,IF(AND(Inputs!$B$38&lt;&gt;"pvp",Inputs!$B$43&gt;0),MIN(15,Inputs!$B$43)/(Inputs!$B$43),0))),0)))&gt;=100),MIN(100,((Inputs!$B$9+((C2197=TRUE)*(F2197-Calc!F19))+B2208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2197=TRUE)*(F2197-Calc!F19))+B2208+(ArtifactsInput!$M$24-ArtifactsInput!$M$24)*CHOOSE(ArtifactsInput!$N$24+1,10,12,14,16,18,20)+IF(ArtifactsInput!$M$10,CHOOSE(ArtifactsInput!$N$10+1,15,18,21,24,27,30)*(IF(Inputs!$B$38="pvp",MIN(15,15)/15,IF(AND(Inputs!$B$38&lt;&gt;"pvp",Inputs!$B$43&gt;0),MIN(15,Inputs!$B$43)/(Inputs!$B$43),0))),0)))&gt;=100),CHOOSE(ArtifactsInput!$N$42+1,40,48,56,64,72,80),0))))/100)*((1+(((C2195=TRUE)*F2195)+((C2202=TRUE)*(F2202-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2186)</f>
        <v/>
      </c>
      <c r="L2186">
        <f>K2186*(MIN(Inputs!$B$22+((C2200=TRUE)*(F2200-Calc!F22)),(Inputs!$B$23+0+(IF(ArtifactsInput!$M$15,CHOOSE(ArtifactsInput!$N$15+1,25,30,35,40,45,50)/100*(Inputs!$B$11-Inputs!$B$11),0))))/100+(Inputs!$B$23+0+(IF(ArtifactsInput!$M$15,CHOOSE(ArtifactsInput!$N$15+1,25,30,35,40,45,50)/100*(Inputs!$B$11-Inputs!$B$11),0)))/100)/2</f>
        <v/>
      </c>
      <c r="M2186">
        <f>L2186*(1+(Inputs!$B$10+((C2203=TRUE)*(F2203-Calc!F25))+B2213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6">
        <f>L2186*(1-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2186*(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6">
        <f>(1-Summary!$B$11)*T2186+Summary!$B$11*V2186</f>
        <v/>
      </c>
      <c r="P2186">
        <f>IF(B2218=0,0,O2186/B2218)</f>
        <v/>
      </c>
      <c r="Q2186">
        <f>IFERROR(1/(IF(Inputs!$B$38="pvp",15,MAX(0.1,Skills!D8-IF(Skills!E8=TRUE,Inputs!$B$32,0)))*(1-IF(AND(ArtifactsInput!$M$27,Inputs!$B$4="Chapter Hunt"),CHOOSE(ArtifactsInput!$N$27+1,20,24,28,32,36,40),0)/100)),0)</f>
        <v/>
      </c>
      <c r="R2186">
        <f>IF(AND(Inputs!$B$38&lt;&gt;"pvp",Inputs!$B$43&gt;0),IF(MAX(0,Inputs!$B$43-B2215)&lt;=0,0,(INT(MAX(0,Inputs!$B$43-B2215)/(IF(Inputs!$B$38="pvp",15,MAX(0.1,Skills!D8-IF(Skills!E8=TRUE,Inputs!$B$32,0)))*(1-IF(AND(ArtifactsInput!$M$27,Inputs!$B$4="Chapter Hunt"),CHOOSE(ArtifactsInput!$N$27+1,20,24,28,32,36,40),0)/100)))+1)),0)</f>
        <v/>
      </c>
      <c r="S2186">
        <f>IFERROR(O2186/N2186,0)</f>
        <v/>
      </c>
      <c r="T2186">
        <f>IF(C2186,(H2186*N2186*IF(AND(Inputs!$B$38&lt;&gt;"pvp",Inputs!$B$43&gt;0),((Skills!G8*((R2186-1)*IF(Skills!H8&gt;0,Skills!I8/Skills!H8,1)+IF(Skills!H8&gt;0,MIN(Skills!I8,MAX(0,MAX(0,Inputs!$B$43-B2215)-((R2186-1)*(IF(Inputs!$B$38="pvp",15,MAX(0.1,Skills!D8-IF(Skills!E8=TRUE,Inputs!$B$32,0)))*(1-IF(AND(ArtifactsInput!$M$27,Inputs!$B$4="Chapter Hunt"),CHOOSE(ArtifactsInput!$N$27+1,20,24,28,32,36,40),0)/100)))))/Skills!H8,1)))/Inputs!$B$43),G2186*Q2186)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2186*(1-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2186*(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2186*(1-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2186*(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6">
        <f>IF(C2186,(H2186*N2186*IF(AND(Inputs!$B$38&lt;&gt;"pvp",Inputs!$B$43&gt;0),((Skills!G8*((R2186-1)*IF(Skills!H8&gt;0,Skills!I8/Skills!H8,1)+IF(Skills!H8&gt;0,MIN(Skills!I8,MAX(0,MAX(0,Inputs!$B$43-B2215)-((R2186-1)*(IF(Inputs!$B$38="pvp",15,MAX(0.1,Skills!D8-IF(Skills!E8=TRUE,Inputs!$B$32,0)))*(1-IF(AND(ArtifactsInput!$M$27,Inputs!$B$4="Chapter Hunt"),CHOOSE(ArtifactsInput!$N$27+1,20,24,28,32,36,40),0)/100)))))/Skills!H8,1)))/Inputs!$B$43),G2186*Q2186))*IF(Inputs!$B$38="pvp",1,(1+(Inputs!$B$21+Skills!Q8+(IF(ArtifactsInput!$M$33,CHOOSE(ArtifactsInput!$N$33+1,30,36,42,48,54,60)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7">
      <c r="A2187">
        <f>Skills!A9</f>
        <v/>
      </c>
      <c r="B2187">
        <f>Skills!B9</f>
        <v/>
      </c>
      <c r="C2187">
        <f>Inputs!$B$3&gt;=103</f>
        <v/>
      </c>
      <c r="D2187">
        <f>IF(Skills!C9=1,60+Inputs!$B$25+Inputs!$B$29,IF(Skills!C9=2,90+Inputs!$B$26+Inputs!$B$29,IF(Skills!C9=3,120+Inputs!$B$27+Inputs!$B$29,MAX(0,(Inputs!$B$3-100)*3)+Inputs!$B$28+Inputs!$B$29)))</f>
        <v/>
      </c>
      <c r="E2187">
        <f>INDEX(FactorTable!$B$2:$Y$301, MATCH(ROUND(MIN(300,MAX(1,D2187)),0), FactorTable!$A$2:$A$301,0), Skills!M9+1)</f>
        <v/>
      </c>
      <c r="F2187">
        <f>IF(Skills!N9=TRUE,(Skills!L9/10)*(E2187/1000),Skills!L9/10)+Skills!O9</f>
        <v/>
      </c>
      <c r="G2187">
        <f>Skills!G9*IF(Skills!H9&gt;0,Skills!I9/Skills!H9,1)</f>
        <v/>
      </c>
      <c r="H2187">
        <f>1-(1-Skills!J9/100)^Skills!K9</f>
        <v/>
      </c>
      <c r="I2187" t="inlineStr">
        <is>
          <t>1</t>
        </is>
      </c>
      <c r="J2187">
        <f>((Inputs!$B$6*(1+Inputs!$B$7/100))+(((Inputs!$B$12*(1+Inputs!$B$13/100))-(Inputs!$B$12*(1+Inputs!$B$13/100)))+0.25*(Inputs!$B$14-Inputs!$B$14))*(1+Inputs!$B$7/100))*(F2187/100)</f>
        <v/>
      </c>
      <c r="K2187">
        <f>J2187*(1+((Inputs!$B$12*(1+Inputs!$B$13/100))*0.01+Inputs!$B$14*0.0025)/100)*(1+Inputs!$B$15/100)*(1+Inputs!$B$16/100)*(5000/(6000+Inputs!$B$42*(1-(100*(1-(1-(Inputs!$B$19+0)/100)*(1-CHOOSE(ArtifactsInput!$N$40+1,5,6,7,8,9,10)/100)^(ArtifactsInput!$M$40-ArtifactsInput!$M$40)))/100)))*(1+(Inputs!$B$24+((C2204=TRUE)*(F2204-Calc!F26))+B2214)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2201=TRUE)*(F2201-Calc!F23))+((C2205=TRUE)*(F2205-Calc!F27))+(((IF(AND(ArtifactsInput!$M$42,((Inputs!$B$9+((C2197=TRUE)*(F2197-Calc!F19))+B2208+(ArtifactsInput!$M$24-ArtifactsInput!$M$24)*CHOOSE(ArtifactsInput!$N$24+1,10,12,14,16,18,20)+IF(ArtifactsInput!$M$10,CHOOSE(ArtifactsInput!$N$10+1,15,18,21,24,27,30)*(IF(Inputs!$B$38="pvp",MIN(15,15)/15,IF(AND(Inputs!$B$38&lt;&gt;"pvp",Inputs!$B$43&gt;0),MIN(15,Inputs!$B$43)/(Inputs!$B$43),0))),0)))&gt;=100),MIN(100,((Inputs!$B$9+((C2197=TRUE)*(F2197-Calc!F19))+B2208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2197=TRUE)*(F2197-Calc!F19))+B2208+(ArtifactsInput!$M$24-ArtifactsInput!$M$24)*CHOOSE(ArtifactsInput!$N$24+1,10,12,14,16,18,20)+IF(ArtifactsInput!$M$10,CHOOSE(ArtifactsInput!$N$10+1,15,18,21,24,27,30)*(IF(Inputs!$B$38="pvp",MIN(15,15)/15,IF(AND(Inputs!$B$38&lt;&gt;"pvp",Inputs!$B$43&gt;0),MIN(15,Inputs!$B$43)/(Inputs!$B$43),0))),0)))&gt;=100),CHOOSE(ArtifactsInput!$N$42+1,40,48,56,64,72,80),0))))/100)*((1+(((C2195=TRUE)*F2195)+((C2202=TRUE)*(F2202-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2187)</f>
        <v/>
      </c>
      <c r="L2187">
        <f>K2187*(MIN(Inputs!$B$22+((C2200=TRUE)*(F2200-Calc!F22)),(Inputs!$B$23+0+(IF(ArtifactsInput!$M$15,CHOOSE(ArtifactsInput!$N$15+1,25,30,35,40,45,50)/100*(Inputs!$B$11-Inputs!$B$11),0))))/100+(Inputs!$B$23+0+(IF(ArtifactsInput!$M$15,CHOOSE(ArtifactsInput!$N$15+1,25,30,35,40,45,50)/100*(Inputs!$B$11-Inputs!$B$11),0)))/100)/2</f>
        <v/>
      </c>
      <c r="M2187">
        <f>L2187*(1+(Inputs!$B$10+((C2203=TRUE)*(F2203-Calc!F25))+B2213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7">
        <f>L2187*(1-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2187*(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7">
        <f>(1-Summary!$B$11)*T2187+Summary!$B$11*V2187</f>
        <v/>
      </c>
      <c r="P2187">
        <f>IF(B2218=0,0,O2187/B2218)</f>
        <v/>
      </c>
      <c r="Q2187">
        <f>IFERROR(1/(IF(Inputs!$B$38="pvp",15,MAX(0.1,Skills!D9-IF(Skills!E9=TRUE,Inputs!$B$32,0)))*(1-IF(AND(ArtifactsInput!$M$27,Inputs!$B$4="Chapter Hunt"),CHOOSE(ArtifactsInput!$N$27+1,20,24,28,32,36,40),0)/100)),0)</f>
        <v/>
      </c>
      <c r="R2187">
        <f>IF(AND(Inputs!$B$38&lt;&gt;"pvp",Inputs!$B$43&gt;0),IF(MAX(0,Inputs!$B$43-B2215)&lt;=0,0,(INT(MAX(0,Inputs!$B$43-B2215)/(IF(Inputs!$B$38="pvp",15,MAX(0.1,Skills!D9-IF(Skills!E9=TRUE,Inputs!$B$32,0)))*(1-IF(AND(ArtifactsInput!$M$27,Inputs!$B$4="Chapter Hunt"),CHOOSE(ArtifactsInput!$N$27+1,20,24,28,32,36,40),0)/100)))+1)),0)</f>
        <v/>
      </c>
      <c r="S2187">
        <f>IFERROR(O2187/N2187,0)</f>
        <v/>
      </c>
      <c r="T2187">
        <f>IF(C2187,(H2187*N2187*IF(AND(Inputs!$B$38&lt;&gt;"pvp",Inputs!$B$43&gt;0),((Skills!G9*((R2187-1)*IF(Skills!H9&gt;0,Skills!I9/Skills!H9,1)+IF(Skills!H9&gt;0,MIN(Skills!I9,MAX(0,MAX(0,Inputs!$B$43-B2215)-((R2187-1)*(IF(Inputs!$B$38="pvp",15,MAX(0.1,Skills!D9-IF(Skills!E9=TRUE,Inputs!$B$32,0)))*(1-IF(AND(ArtifactsInput!$M$27,Inputs!$B$4="Chapter Hunt"),CHOOSE(ArtifactsInput!$N$27+1,20,24,28,32,36,40),0)/100)))))/Skills!H9,1)))/Inputs!$B$43),G2187*Q2187)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2187*(1-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2187*(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2187*(1-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2187*(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7">
        <f>IF(C2187,(H2187*N2187*IF(AND(Inputs!$B$38&lt;&gt;"pvp",Inputs!$B$43&gt;0),((Skills!G9*((R2187-1)*IF(Skills!H9&gt;0,Skills!I9/Skills!H9,1)+IF(Skills!H9&gt;0,MIN(Skills!I9,MAX(0,MAX(0,Inputs!$B$43-B2215)-((R2187-1)*(IF(Inputs!$B$38="pvp",15,MAX(0.1,Skills!D9-IF(Skills!E9=TRUE,Inputs!$B$32,0)))*(1-IF(AND(ArtifactsInput!$M$27,Inputs!$B$4="Chapter Hunt"),CHOOSE(ArtifactsInput!$N$27+1,20,24,28,32,36,40),0)/100)))))/Skills!H9,1)))/Inputs!$B$43),G2187*Q2187))*IF(Inputs!$B$38="pvp",1,(1+(Inputs!$B$21+Skills!Q9+(IF(ArtifactsInput!$M$33,CHOOSE(ArtifactsInput!$N$33+1,30,36,42,48,54,60)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8">
      <c r="A2188">
        <f>Skills!A10</f>
        <v/>
      </c>
      <c r="B2188">
        <f>Skills!B10</f>
        <v/>
      </c>
      <c r="C2188">
        <f>Inputs!$B$3&gt;=113</f>
        <v/>
      </c>
      <c r="D2188">
        <f>IF(Skills!C10=1,60+Inputs!$B$25+Inputs!$B$29,IF(Skills!C10=2,90+Inputs!$B$26+Inputs!$B$29,IF(Skills!C10=3,120+Inputs!$B$27+Inputs!$B$29,MAX(0,(Inputs!$B$3-100)*3)+Inputs!$B$28+Inputs!$B$29)))</f>
        <v/>
      </c>
      <c r="E2188">
        <f>INDEX(FactorTable!$B$2:$Y$301, MATCH(ROUND(MIN(300,MAX(1,D2188)),0), FactorTable!$A$2:$A$301,0), Skills!M10+1)</f>
        <v/>
      </c>
      <c r="F2188">
        <f>IF(Skills!N10=TRUE,(Skills!L10/10)*(E2188/1000),Skills!L10/10)+Skills!O10</f>
        <v/>
      </c>
      <c r="G2188">
        <f>Skills!G10*IF(Skills!H10&gt;0,Skills!I10/Skills!H10,1)</f>
        <v/>
      </c>
      <c r="H2188">
        <f>1-(1-Skills!J10/100)^Skills!K10</f>
        <v/>
      </c>
      <c r="I2188" t="inlineStr">
        <is>
          <t>1</t>
        </is>
      </c>
      <c r="J2188">
        <f>((Inputs!$B$6*(1+Inputs!$B$7/100))+(((Inputs!$B$12*(1+Inputs!$B$13/100))-(Inputs!$B$12*(1+Inputs!$B$13/100)))+0.25*(Inputs!$B$14-Inputs!$B$14))*(1+Inputs!$B$7/100))*(F2188/100)</f>
        <v/>
      </c>
      <c r="K2188">
        <f>J2188*(1+((Inputs!$B$12*(1+Inputs!$B$13/100))*0.01+Inputs!$B$14*0.0025)/100)*(1+Inputs!$B$15/100)*(1+Inputs!$B$16/100)*(5000/(6000+Inputs!$B$42*(1-(100*(1-(1-(Inputs!$B$19+0)/100)*(1-CHOOSE(ArtifactsInput!$N$40+1,5,6,7,8,9,10)/100)^(ArtifactsInput!$M$40-ArtifactsInput!$M$40)))/100)))*(1+(Inputs!$B$24+((C2204=TRUE)*(F2204-Calc!F26))+B2214)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2201=TRUE)*(F2201-Calc!F23))+((C2205=TRUE)*(F2205-Calc!F27))+(((IF(AND(ArtifactsInput!$M$42,((Inputs!$B$9+((C2197=TRUE)*(F2197-Calc!F19))+B2208+(ArtifactsInput!$M$24-ArtifactsInput!$M$24)*CHOOSE(ArtifactsInput!$N$24+1,10,12,14,16,18,20)+IF(ArtifactsInput!$M$10,CHOOSE(ArtifactsInput!$N$10+1,15,18,21,24,27,30)*(IF(Inputs!$B$38="pvp",MIN(15,15)/15,IF(AND(Inputs!$B$38&lt;&gt;"pvp",Inputs!$B$43&gt;0),MIN(15,Inputs!$B$43)/(Inputs!$B$43),0))),0)))&gt;=100),MIN(100,((Inputs!$B$9+((C2197=TRUE)*(F2197-Calc!F19))+B2208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2197=TRUE)*(F2197-Calc!F19))+B2208+(ArtifactsInput!$M$24-ArtifactsInput!$M$24)*CHOOSE(ArtifactsInput!$N$24+1,10,12,14,16,18,20)+IF(ArtifactsInput!$M$10,CHOOSE(ArtifactsInput!$N$10+1,15,18,21,24,27,30)*(IF(Inputs!$B$38="pvp",MIN(15,15)/15,IF(AND(Inputs!$B$38&lt;&gt;"pvp",Inputs!$B$43&gt;0),MIN(15,Inputs!$B$43)/(Inputs!$B$43),0))),0)))&gt;=100),CHOOSE(ArtifactsInput!$N$42+1,40,48,56,64,72,80),0))))/100)*((1+(((C2195=TRUE)*F2195)+((C2202=TRUE)*(F2202-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2188)</f>
        <v/>
      </c>
      <c r="L2188">
        <f>K2188*(MIN(Inputs!$B$22+((C2200=TRUE)*(F2200-Calc!F22)),(Inputs!$B$23+0+(IF(ArtifactsInput!$M$15,CHOOSE(ArtifactsInput!$N$15+1,25,30,35,40,45,50)/100*(Inputs!$B$11-Inputs!$B$11),0))))/100+(Inputs!$B$23+0+(IF(ArtifactsInput!$M$15,CHOOSE(ArtifactsInput!$N$15+1,25,30,35,40,45,50)/100*(Inputs!$B$11-Inputs!$B$11),0)))/100)/2</f>
        <v/>
      </c>
      <c r="M2188">
        <f>L2188*(1+(Inputs!$B$10+((C2203=TRUE)*(F2203-Calc!F25))+B2213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8">
        <f>L2188*(1-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2188*(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8">
        <f>(1-Summary!$B$11)*T2188+Summary!$B$11*V2188</f>
        <v/>
      </c>
      <c r="P2188">
        <f>IF(B2218=0,0,O2188/B2218)</f>
        <v/>
      </c>
      <c r="Q2188">
        <f>IFERROR(1/(IF(Inputs!$B$38="pvp",15,MAX(0.1,Skills!D10-IF(Skills!E10=TRUE,Inputs!$B$32,0)))*(1-IF(AND(ArtifactsInput!$M$27,Inputs!$B$4="Chapter Hunt"),CHOOSE(ArtifactsInput!$N$27+1,20,24,28,32,36,40),0)/100)),0)</f>
        <v/>
      </c>
      <c r="R2188">
        <f>IF(AND(Inputs!$B$38&lt;&gt;"pvp",Inputs!$B$43&gt;0),IF(MAX(0,Inputs!$B$43-B2215)&lt;=0,0,(INT(MAX(0,Inputs!$B$43-B2215)/(IF(Inputs!$B$38="pvp",15,MAX(0.1,Skills!D10-IF(Skills!E10=TRUE,Inputs!$B$32,0)))*(1-IF(AND(ArtifactsInput!$M$27,Inputs!$B$4="Chapter Hunt"),CHOOSE(ArtifactsInput!$N$27+1,20,24,28,32,36,40),0)/100)))+1)),0)</f>
        <v/>
      </c>
      <c r="S2188">
        <f>IFERROR(O2188/N2188,0)</f>
        <v/>
      </c>
      <c r="T2188">
        <f>IF(C2188,(H2188*N2188*IF(AND(Inputs!$B$38&lt;&gt;"pvp",Inputs!$B$43&gt;0),((Skills!G10*((R2188-1)*IF(Skills!H10&gt;0,Skills!I10/Skills!H10,1)+IF(Skills!H10&gt;0,MIN(Skills!I10,MAX(0,MAX(0,Inputs!$B$43-B2215)-((R2188-1)*(IF(Inputs!$B$38="pvp",15,MAX(0.1,Skills!D10-IF(Skills!E10=TRUE,Inputs!$B$32,0)))*(1-IF(AND(ArtifactsInput!$M$27,Inputs!$B$4="Chapter Hunt"),CHOOSE(ArtifactsInput!$N$27+1,20,24,28,32,36,40),0)/100)))))/Skills!H10,1)))/Inputs!$B$43),G2188*Q2188)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2188*(1-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2188*(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2188*(1-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2188*(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8">
        <f>IF(C2188,(H2188*N2188*IF(AND(Inputs!$B$38&lt;&gt;"pvp",Inputs!$B$43&gt;0),((Skills!G10*((R2188-1)*IF(Skills!H10&gt;0,Skills!I10/Skills!H10,1)+IF(Skills!H10&gt;0,MIN(Skills!I10,MAX(0,MAX(0,Inputs!$B$43-B2215)-((R2188-1)*(IF(Inputs!$B$38="pvp",15,MAX(0.1,Skills!D10-IF(Skills!E10=TRUE,Inputs!$B$32,0)))*(1-IF(AND(ArtifactsInput!$M$27,Inputs!$B$4="Chapter Hunt"),CHOOSE(ArtifactsInput!$N$27+1,20,24,28,32,36,40),0)/100)))))/Skills!H10,1)))/Inputs!$B$43),G2188*Q2188))*IF(Inputs!$B$38="pvp",1,(1+(Inputs!$B$21+Skills!Q10+(IF(ArtifactsInput!$M$33,CHOOSE(ArtifactsInput!$N$33+1,30,36,42,48,54,60)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9">
      <c r="A2189">
        <f>Skills!A11</f>
        <v/>
      </c>
      <c r="B2189">
        <f>Skills!B11</f>
        <v/>
      </c>
      <c r="C2189">
        <f>Inputs!$B$3&gt;=107</f>
        <v/>
      </c>
      <c r="D2189">
        <f>IF(Skills!C11=1,60+Inputs!$B$25+Inputs!$B$29,IF(Skills!C11=2,90+Inputs!$B$26+Inputs!$B$29,IF(Skills!C11=3,120+Inputs!$B$27+Inputs!$B$29,MAX(0,(Inputs!$B$3-100)*3)+Inputs!$B$28+Inputs!$B$29)))</f>
        <v/>
      </c>
      <c r="E2189">
        <f>INDEX(FactorTable!$B$2:$Y$301, MATCH(ROUND(MIN(300,MAX(1,D2189)),0), FactorTable!$A$2:$A$301,0), Skills!M11+1)</f>
        <v/>
      </c>
      <c r="F2189">
        <f>IF(Skills!N11=TRUE,(Skills!L11/10)*(E2189/1000),Skills!L11/10)+Skills!O11</f>
        <v/>
      </c>
      <c r="G2189">
        <f>Skills!G11*IF(Skills!H11&gt;0,Skills!I11/Skills!H11,1)</f>
        <v/>
      </c>
      <c r="H2189">
        <f>1-(1-Skills!J11/100)^Skills!K11</f>
        <v/>
      </c>
      <c r="I2189" t="inlineStr">
        <is>
          <t>1</t>
        </is>
      </c>
      <c r="J2189">
        <f>((Inputs!$B$6*(1+Inputs!$B$7/100))+(((Inputs!$B$12*(1+Inputs!$B$13/100))-(Inputs!$B$12*(1+Inputs!$B$13/100)))+0.25*(Inputs!$B$14-Inputs!$B$14))*(1+Inputs!$B$7/100))*(F2189/100)</f>
        <v/>
      </c>
      <c r="K2189">
        <f>J2189*(1+((Inputs!$B$12*(1+Inputs!$B$13/100))*0.01+Inputs!$B$14*0.0025)/100)*(1+Inputs!$B$15/100)*(1+Inputs!$B$16/100)*(5000/(6000+Inputs!$B$42*(1-(100*(1-(1-(Inputs!$B$19+0)/100)*(1-CHOOSE(ArtifactsInput!$N$40+1,5,6,7,8,9,10)/100)^(ArtifactsInput!$M$40-ArtifactsInput!$M$40)))/100)))*(1+(Inputs!$B$24+((C2204=TRUE)*(F2204-Calc!F26))+B2214)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2201=TRUE)*(F2201-Calc!F23))+((C2205=TRUE)*(F2205-Calc!F27))+(((IF(AND(ArtifactsInput!$M$42,((Inputs!$B$9+((C2197=TRUE)*(F2197-Calc!F19))+B2208+(ArtifactsInput!$M$24-ArtifactsInput!$M$24)*CHOOSE(ArtifactsInput!$N$24+1,10,12,14,16,18,20)+IF(ArtifactsInput!$M$10,CHOOSE(ArtifactsInput!$N$10+1,15,18,21,24,27,30)*(IF(Inputs!$B$38="pvp",MIN(15,15)/15,IF(AND(Inputs!$B$38&lt;&gt;"pvp",Inputs!$B$43&gt;0),MIN(15,Inputs!$B$43)/(Inputs!$B$43),0))),0)))&gt;=100),MIN(100,((Inputs!$B$9+((C2197=TRUE)*(F2197-Calc!F19))+B2208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2197=TRUE)*(F2197-Calc!F19))+B2208+(ArtifactsInput!$M$24-ArtifactsInput!$M$24)*CHOOSE(ArtifactsInput!$N$24+1,10,12,14,16,18,20)+IF(ArtifactsInput!$M$10,CHOOSE(ArtifactsInput!$N$10+1,15,18,21,24,27,30)*(IF(Inputs!$B$38="pvp",MIN(15,15)/15,IF(AND(Inputs!$B$38&lt;&gt;"pvp",Inputs!$B$43&gt;0),MIN(15,Inputs!$B$43)/(Inputs!$B$43),0))),0)))&gt;=100),CHOOSE(ArtifactsInput!$N$42+1,40,48,56,64,72,80),0))))/100)*((1+(((C2195=TRUE)*F2195)+((C2202=TRUE)*(F2202-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2189)</f>
        <v/>
      </c>
      <c r="L2189">
        <f>K2189*(MIN(Inputs!$B$22+((C2200=TRUE)*(F2200-Calc!F22)),(Inputs!$B$23+0+(IF(ArtifactsInput!$M$15,CHOOSE(ArtifactsInput!$N$15+1,25,30,35,40,45,50)/100*(Inputs!$B$11-Inputs!$B$11),0))))/100+(Inputs!$B$23+0+(IF(ArtifactsInput!$M$15,CHOOSE(ArtifactsInput!$N$15+1,25,30,35,40,45,50)/100*(Inputs!$B$11-Inputs!$B$11),0)))/100)/2</f>
        <v/>
      </c>
      <c r="M2189">
        <f>L2189*(1+(Inputs!$B$10+((C2203=TRUE)*(F2203-Calc!F25))+B2213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9">
        <f>L2189*(1-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2189*(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9">
        <f>(1-Summary!$B$11)*T2189+Summary!$B$11*V2189</f>
        <v/>
      </c>
      <c r="P2189">
        <f>IF(B2218=0,0,O2189/B2218)</f>
        <v/>
      </c>
      <c r="Q2189">
        <f>IFERROR(1/(IF(Inputs!$B$38="pvp",15,MAX(0.1,Skills!D11-IF(Skills!E11=TRUE,Inputs!$B$32,0)))*(1-IF(AND(ArtifactsInput!$M$27,Inputs!$B$4="Chapter Hunt"),CHOOSE(ArtifactsInput!$N$27+1,20,24,28,32,36,40),0)/100)),0)</f>
        <v/>
      </c>
      <c r="R2189">
        <f>IF(AND(Inputs!$B$38&lt;&gt;"pvp",Inputs!$B$43&gt;0),IF(MAX(0,Inputs!$B$43-B2215)&lt;=0,0,(INT(MAX(0,Inputs!$B$43-B2215)/(IF(Inputs!$B$38="pvp",15,MAX(0.1,Skills!D11-IF(Skills!E11=TRUE,Inputs!$B$32,0)))*(1-IF(AND(ArtifactsInput!$M$27,Inputs!$B$4="Chapter Hunt"),CHOOSE(ArtifactsInput!$N$27+1,20,24,28,32,36,40),0)/100)))+1)),0)</f>
        <v/>
      </c>
      <c r="S2189">
        <f>IFERROR(O2189/N2189,0)</f>
        <v/>
      </c>
      <c r="T2189">
        <f>IF(C2189,(H2189*N2189*IF(AND(Inputs!$B$38&lt;&gt;"pvp",Inputs!$B$43&gt;0),((Skills!G11*((R2189-1)*IF(Skills!H11&gt;0,Skills!I11/Skills!H11,1)+IF(Skills!H11&gt;0,MIN(Skills!I11,MAX(0,MAX(0,Inputs!$B$43-B2215)-((R2189-1)*(IF(Inputs!$B$38="pvp",15,MAX(0.1,Skills!D11-IF(Skills!E11=TRUE,Inputs!$B$32,0)))*(1-IF(AND(ArtifactsInput!$M$27,Inputs!$B$4="Chapter Hunt"),CHOOSE(ArtifactsInput!$N$27+1,20,24,28,32,36,40),0)/100)))))/Skills!H11,1)))/Inputs!$B$43),G2189*Q2189)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2189*(1-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2189*(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2189*(1-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2189*(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9">
        <f>IF(C2189,(H2189*N2189*IF(AND(Inputs!$B$38&lt;&gt;"pvp",Inputs!$B$43&gt;0),((Skills!G11*((R2189-1)*IF(Skills!H11&gt;0,Skills!I11/Skills!H11,1)+IF(Skills!H11&gt;0,MIN(Skills!I11,MAX(0,MAX(0,Inputs!$B$43-B2215)-((R2189-1)*(IF(Inputs!$B$38="pvp",15,MAX(0.1,Skills!D11-IF(Skills!E11=TRUE,Inputs!$B$32,0)))*(1-IF(AND(ArtifactsInput!$M$27,Inputs!$B$4="Chapter Hunt"),CHOOSE(ArtifactsInput!$N$27+1,20,24,28,32,36,40),0)/100)))))/Skills!H11,1)))/Inputs!$B$43),G2189*Q2189))*IF(Inputs!$B$38="pvp",1,(1+(Inputs!$B$21+Skills!Q11+(IF(ArtifactsInput!$M$33,CHOOSE(ArtifactsInput!$N$33+1,30,36,42,48,54,60)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0">
      <c r="A2190">
        <f>Skills!A12</f>
        <v/>
      </c>
      <c r="B2190">
        <f>Skills!B12</f>
        <v/>
      </c>
      <c r="C2190">
        <f>Inputs!$B$3&gt;=110</f>
        <v/>
      </c>
      <c r="D2190">
        <f>IF(Skills!C12=1,60+Inputs!$B$25+Inputs!$B$29,IF(Skills!C12=2,90+Inputs!$B$26+Inputs!$B$29,IF(Skills!C12=3,120+Inputs!$B$27+Inputs!$B$29,MAX(0,(Inputs!$B$3-100)*3)+Inputs!$B$28+Inputs!$B$29)))</f>
        <v/>
      </c>
      <c r="E2190">
        <f>INDEX(FactorTable!$B$2:$Y$301, MATCH(ROUND(MIN(300,MAX(1,D2190)),0), FactorTable!$A$2:$A$301,0), Skills!M12+1)</f>
        <v/>
      </c>
      <c r="F2190">
        <f>IF(Skills!N12=TRUE,(Skills!L12/10)*(E2190/1000),Skills!L12/10)+Skills!O12</f>
        <v/>
      </c>
      <c r="G2190">
        <f>Skills!G12*IF(Skills!H12&gt;0,Skills!I12/Skills!H12,1)</f>
        <v/>
      </c>
      <c r="H2190">
        <f>1-(1-Skills!J12/100)^Skills!K12</f>
        <v/>
      </c>
      <c r="I2190" t="inlineStr">
        <is>
          <t>1</t>
        </is>
      </c>
      <c r="J2190">
        <f>((Inputs!$B$6*(1+Inputs!$B$7/100))+(((Inputs!$B$12*(1+Inputs!$B$13/100))-(Inputs!$B$12*(1+Inputs!$B$13/100)))+0.25*(Inputs!$B$14-Inputs!$B$14))*(1+Inputs!$B$7/100))*(F2190/100)</f>
        <v/>
      </c>
      <c r="K2190">
        <f>J2190*(1+((Inputs!$B$12*(1+Inputs!$B$13/100))*0.01+Inputs!$B$14*0.0025)/100)*(1+Inputs!$B$15/100)*(1+Inputs!$B$16/100)*(5000/(6000+Inputs!$B$42*(1-(100*(1-(1-(Inputs!$B$19+0)/100)*(1-CHOOSE(ArtifactsInput!$N$40+1,5,6,7,8,9,10)/100)^(ArtifactsInput!$M$40-ArtifactsInput!$M$40)))/100)))*(1+(Inputs!$B$24+((C2204=TRUE)*(F2204-Calc!F26))+B2214)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2201=TRUE)*(F2201-Calc!F23))+((C2205=TRUE)*(F2205-Calc!F27))+(((IF(AND(ArtifactsInput!$M$42,((Inputs!$B$9+((C2197=TRUE)*(F2197-Calc!F19))+B2208+(ArtifactsInput!$M$24-ArtifactsInput!$M$24)*CHOOSE(ArtifactsInput!$N$24+1,10,12,14,16,18,20)+IF(ArtifactsInput!$M$10,CHOOSE(ArtifactsInput!$N$10+1,15,18,21,24,27,30)*(IF(Inputs!$B$38="pvp",MIN(15,15)/15,IF(AND(Inputs!$B$38&lt;&gt;"pvp",Inputs!$B$43&gt;0),MIN(15,Inputs!$B$43)/(Inputs!$B$43),0))),0)))&gt;=100),MIN(100,((Inputs!$B$9+((C2197=TRUE)*(F2197-Calc!F19))+B2208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2197=TRUE)*(F2197-Calc!F19))+B2208+(ArtifactsInput!$M$24-ArtifactsInput!$M$24)*CHOOSE(ArtifactsInput!$N$24+1,10,12,14,16,18,20)+IF(ArtifactsInput!$M$10,CHOOSE(ArtifactsInput!$N$10+1,15,18,21,24,27,30)*(IF(Inputs!$B$38="pvp",MIN(15,15)/15,IF(AND(Inputs!$B$38&lt;&gt;"pvp",Inputs!$B$43&gt;0),MIN(15,Inputs!$B$43)/(Inputs!$B$43),0))),0)))&gt;=100),CHOOSE(ArtifactsInput!$N$42+1,40,48,56,64,72,80),0))))/100)*((1+(((C2195=TRUE)*F2195)+((C2202=TRUE)*(F2202-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2190)</f>
        <v/>
      </c>
      <c r="L2190">
        <f>K2190*(MIN(Inputs!$B$22+((C2200=TRUE)*(F2200-Calc!F22)),(Inputs!$B$23+0+(IF(ArtifactsInput!$M$15,CHOOSE(ArtifactsInput!$N$15+1,25,30,35,40,45,50)/100*(Inputs!$B$11-Inputs!$B$11),0))))/100+(Inputs!$B$23+0+(IF(ArtifactsInput!$M$15,CHOOSE(ArtifactsInput!$N$15+1,25,30,35,40,45,50)/100*(Inputs!$B$11-Inputs!$B$11),0)))/100)/2</f>
        <v/>
      </c>
      <c r="M2190">
        <f>L2190*(1+(Inputs!$B$10+((C2203=TRUE)*(F2203-Calc!F25))+B2213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0">
        <f>L2190*(1-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2190*(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0">
        <f>(1-Summary!$B$11)*T2190+Summary!$B$11*V2190</f>
        <v/>
      </c>
      <c r="P2190">
        <f>IF(B2218=0,0,O2190/B2218)</f>
        <v/>
      </c>
      <c r="Q2190">
        <f>IFERROR(1/(IF(Inputs!$B$38="pvp",15,MAX(0.1,Skills!D12-IF(Skills!E12=TRUE,Inputs!$B$32,0)))*(1-IF(AND(ArtifactsInput!$M$27,Inputs!$B$4="Chapter Hunt"),CHOOSE(ArtifactsInput!$N$27+1,20,24,28,32,36,40),0)/100)),0)</f>
        <v/>
      </c>
      <c r="R2190">
        <f>IF(AND(Inputs!$B$38&lt;&gt;"pvp",Inputs!$B$43&gt;0),IF(MAX(0,Inputs!$B$43-B2215)&lt;=0,0,(INT(MAX(0,Inputs!$B$43-B2215)/(IF(Inputs!$B$38="pvp",15,MAX(0.1,Skills!D12-IF(Skills!E12=TRUE,Inputs!$B$32,0)))*(1-IF(AND(ArtifactsInput!$M$27,Inputs!$B$4="Chapter Hunt"),CHOOSE(ArtifactsInput!$N$27+1,20,24,28,32,36,40),0)/100)))+1)),0)</f>
        <v/>
      </c>
      <c r="S2190">
        <f>IFERROR(O2190/N2190,0)</f>
        <v/>
      </c>
      <c r="T2190">
        <f>IF(C2190,(H2190*N2190*IF(AND(Inputs!$B$38&lt;&gt;"pvp",Inputs!$B$43&gt;0),((Skills!G12*((R2190-1)*IF(Skills!H12&gt;0,Skills!I12/Skills!H12,1)+IF(Skills!H12&gt;0,MIN(Skills!I12,MAX(0,MAX(0,Inputs!$B$43-B2215)-((R2190-1)*(IF(Inputs!$B$38="pvp",15,MAX(0.1,Skills!D12-IF(Skills!E12=TRUE,Inputs!$B$32,0)))*(1-IF(AND(ArtifactsInput!$M$27,Inputs!$B$4="Chapter Hunt"),CHOOSE(ArtifactsInput!$N$27+1,20,24,28,32,36,40),0)/100)))))/Skills!H12,1)))/Inputs!$B$43),G2190*Q2190)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2190*(1-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2190*(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2190*(1-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2190*(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0">
        <f>IF(C2190,(H2190*N2190*IF(AND(Inputs!$B$38&lt;&gt;"pvp",Inputs!$B$43&gt;0),((Skills!G12*((R2190-1)*IF(Skills!H12&gt;0,Skills!I12/Skills!H12,1)+IF(Skills!H12&gt;0,MIN(Skills!I12,MAX(0,MAX(0,Inputs!$B$43-B2215)-((R2190-1)*(IF(Inputs!$B$38="pvp",15,MAX(0.1,Skills!D12-IF(Skills!E12=TRUE,Inputs!$B$32,0)))*(1-IF(AND(ArtifactsInput!$M$27,Inputs!$B$4="Chapter Hunt"),CHOOSE(ArtifactsInput!$N$27+1,20,24,28,32,36,40),0)/100)))))/Skills!H12,1)))/Inputs!$B$43),G2190*Q2190))*IF(Inputs!$B$38="pvp",1,(1+(Inputs!$B$21+Skills!Q12+(IF(ArtifactsInput!$M$33,CHOOSE(ArtifactsInput!$N$33+1,30,36,42,48,54,60)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1">
      <c r="A2191">
        <f>Skills!A13</f>
        <v/>
      </c>
      <c r="B2191">
        <f>Skills!B13</f>
        <v/>
      </c>
      <c r="C2191">
        <f>Inputs!$B$3&gt;=110</f>
        <v/>
      </c>
      <c r="D2191">
        <f>IF(Skills!C13=1,60+Inputs!$B$25+Inputs!$B$29,IF(Skills!C13=2,90+Inputs!$B$26+Inputs!$B$29,IF(Skills!C13=3,120+Inputs!$B$27+Inputs!$B$29,MAX(0,(Inputs!$B$3-100)*3)+Inputs!$B$28+Inputs!$B$29)))</f>
        <v/>
      </c>
      <c r="E2191">
        <f>INDEX(FactorTable!$B$2:$Y$301, MATCH(ROUND(MIN(300,MAX(1,D2191)),0), FactorTable!$A$2:$A$301,0), Skills!M13+1)</f>
        <v/>
      </c>
      <c r="F2191">
        <f>IF(Skills!N13=TRUE,(Skills!L13/10)*(E2191/1000),Skills!L13/10)+Skills!O13</f>
        <v/>
      </c>
      <c r="G2191">
        <f>Skills!G13*IF(Skills!H13&gt;0,Skills!I13/Skills!H13,1)</f>
        <v/>
      </c>
      <c r="H2191">
        <f>1-(1-Skills!J13/100)^Skills!K13</f>
        <v/>
      </c>
      <c r="I2191" t="inlineStr">
        <is>
          <t>1</t>
        </is>
      </c>
      <c r="J2191">
        <f>((Inputs!$B$6*(1+Inputs!$B$7/100))+(((Inputs!$B$12*(1+Inputs!$B$13/100))-(Inputs!$B$12*(1+Inputs!$B$13/100)))+0.25*(Inputs!$B$14-Inputs!$B$14))*(1+Inputs!$B$7/100))*(F2191/100)</f>
        <v/>
      </c>
      <c r="K2191">
        <f>J2191*(1+((Inputs!$B$12*(1+Inputs!$B$13/100))*0.01+Inputs!$B$14*0.0025)/100)*(1+Inputs!$B$15/100)*(1+Inputs!$B$16/100)*(5000/(6000+Inputs!$B$42*(1-(100*(1-(1-(Inputs!$B$19+0)/100)*(1-CHOOSE(ArtifactsInput!$N$40+1,5,6,7,8,9,10)/100)^(ArtifactsInput!$M$40-ArtifactsInput!$M$40)))/100)))*(1+(Inputs!$B$24+((C2204=TRUE)*(F2204-Calc!F26))+B2214)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2201=TRUE)*(F2201-Calc!F23))+((C2205=TRUE)*(F2205-Calc!F27))+(((IF(AND(ArtifactsInput!$M$42,((Inputs!$B$9+((C2197=TRUE)*(F2197-Calc!F19))+B2208+(ArtifactsInput!$M$24-ArtifactsInput!$M$24)*CHOOSE(ArtifactsInput!$N$24+1,10,12,14,16,18,20)+IF(ArtifactsInput!$M$10,CHOOSE(ArtifactsInput!$N$10+1,15,18,21,24,27,30)*(IF(Inputs!$B$38="pvp",MIN(15,15)/15,IF(AND(Inputs!$B$38&lt;&gt;"pvp",Inputs!$B$43&gt;0),MIN(15,Inputs!$B$43)/(Inputs!$B$43),0))),0)))&gt;=100),MIN(100,((Inputs!$B$9+((C2197=TRUE)*(F2197-Calc!F19))+B2208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2197=TRUE)*(F2197-Calc!F19))+B2208+(ArtifactsInput!$M$24-ArtifactsInput!$M$24)*CHOOSE(ArtifactsInput!$N$24+1,10,12,14,16,18,20)+IF(ArtifactsInput!$M$10,CHOOSE(ArtifactsInput!$N$10+1,15,18,21,24,27,30)*(IF(Inputs!$B$38="pvp",MIN(15,15)/15,IF(AND(Inputs!$B$38&lt;&gt;"pvp",Inputs!$B$43&gt;0),MIN(15,Inputs!$B$43)/(Inputs!$B$43),0))),0)))&gt;=100),CHOOSE(ArtifactsInput!$N$42+1,40,48,56,64,72,80),0))))/100)*((1+(((C2195=TRUE)*F2195)+((C2202=TRUE)*(F2202-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2191)</f>
        <v/>
      </c>
      <c r="L2191">
        <f>K2191*(MIN(Inputs!$B$22+((C2200=TRUE)*(F2200-Calc!F22)),(Inputs!$B$23+0+(IF(ArtifactsInput!$M$15,CHOOSE(ArtifactsInput!$N$15+1,25,30,35,40,45,50)/100*(Inputs!$B$11-Inputs!$B$11),0))))/100+(Inputs!$B$23+0+(IF(ArtifactsInput!$M$15,CHOOSE(ArtifactsInput!$N$15+1,25,30,35,40,45,50)/100*(Inputs!$B$11-Inputs!$B$11),0)))/100)/2</f>
        <v/>
      </c>
      <c r="M2191">
        <f>L2191*(1+(Inputs!$B$10+((C2203=TRUE)*(F2203-Calc!F25))+B2213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1">
        <f>L2191*(1-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1">
        <f>(1-Summary!$B$11)*T2191+Summary!$B$11*V2191</f>
        <v/>
      </c>
      <c r="P2191">
        <f>IF(B2218=0,0,O2191/B2218)</f>
        <v/>
      </c>
      <c r="Q2191">
        <f>IFERROR(1/(IF(Inputs!$B$38="pvp",15,MAX(0.1,Skills!D13-IF(Skills!E13=TRUE,Inputs!$B$32,0)))*(1-IF(AND(ArtifactsInput!$M$27,Inputs!$B$4="Chapter Hunt"),CHOOSE(ArtifactsInput!$N$27+1,20,24,28,32,36,40),0)/100)),0)</f>
        <v/>
      </c>
      <c r="R2191">
        <f>IF(AND(Inputs!$B$38&lt;&gt;"pvp",Inputs!$B$43&gt;0),IF(MAX(0,Inputs!$B$43-B2215)&lt;=0,0,(INT(MAX(0,Inputs!$B$43-B2215)/(IF(Inputs!$B$38="pvp",15,MAX(0.1,Skills!D13-IF(Skills!E13=TRUE,Inputs!$B$32,0)))*(1-IF(AND(ArtifactsInput!$M$27,Inputs!$B$4="Chapter Hunt"),CHOOSE(ArtifactsInput!$N$27+1,20,24,28,32,36,40),0)/100)))+1)),0)</f>
        <v/>
      </c>
      <c r="S2191">
        <f>IFERROR(O2191/N2191,0)</f>
        <v/>
      </c>
      <c r="T2191">
        <f>IF(C2191,(H2191*N2191*IF(AND(Inputs!$B$38&lt;&gt;"pvp",Inputs!$B$43&gt;0),((Skills!G13*((R2191-1)*IF(Skills!H13&gt;0,Skills!I13/Skills!H13,1)+IF(Skills!H13&gt;0,MIN(Skills!I13,MAX(0,MAX(0,Inputs!$B$43-B2215)-((R2191-1)*(IF(Inputs!$B$38="pvp",15,MAX(0.1,Skills!D13-IF(Skills!E13=TRUE,Inputs!$B$32,0)))*(1-IF(AND(ArtifactsInput!$M$27,Inputs!$B$4="Chapter Hunt"),CHOOSE(ArtifactsInput!$N$27+1,20,24,28,32,36,40),0)/100)))))/Skills!H13,1)))/Inputs!$B$43),G2191*Q2191))*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2191*(1-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2191*(1-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1">
        <f>IF(C2191,(H2191*N2191*IF(AND(Inputs!$B$38&lt;&gt;"pvp",Inputs!$B$43&gt;0),((Skills!G13*((R2191-1)*IF(Skills!H13&gt;0,Skills!I13/Skills!H13,1)+IF(Skills!H13&gt;0,MIN(Skills!I13,MAX(0,MAX(0,Inputs!$B$43-B2215)-((R2191-1)*(IF(Inputs!$B$38="pvp",15,MAX(0.1,Skills!D13-IF(Skills!E13=TRUE,Inputs!$B$32,0)))*(1-IF(AND(ArtifactsInput!$M$27,Inputs!$B$4="Chapter Hunt"),CHOOSE(ArtifactsInput!$N$27+1,20,24,28,32,36,40),0)/100)))))/Skills!H13,1)))/Inputs!$B$43),G2191*Q2191))*IF(Inputs!$B$38="pvp",1,(1+(Inputs!$B$21+Skills!Q13+(IF(ArtifactsInput!$M$33,CHOOSE(ArtifactsInput!$N$33+1,30,36,42,48,54,60)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2">
      <c r="A2192">
        <f>Skills!A14</f>
        <v/>
      </c>
      <c r="B2192">
        <f>Skills!B14</f>
        <v/>
      </c>
      <c r="C2192">
        <f>Inputs!$B$3&gt;=125</f>
        <v/>
      </c>
      <c r="D2192">
        <f>IF(Skills!C14=1,60+Inputs!$B$25+Inputs!$B$29,IF(Skills!C14=2,90+Inputs!$B$26+Inputs!$B$29,IF(Skills!C14=3,120+Inputs!$B$27+Inputs!$B$29,MAX(0,(Inputs!$B$3-100)*3)+Inputs!$B$28+Inputs!$B$29)))</f>
        <v/>
      </c>
      <c r="E2192">
        <f>INDEX(FactorTable!$B$2:$Y$301, MATCH(ROUND(MIN(300,MAX(1,D2192)),0), FactorTable!$A$2:$A$301,0), Skills!M14+1)</f>
        <v/>
      </c>
      <c r="F2192">
        <f>IF(Skills!N14=TRUE,(Skills!L14/10)*(E2192/1000),Skills!L14/10)+Skills!O14</f>
        <v/>
      </c>
      <c r="G2192">
        <f>Skills!G14*IF(Skills!H14&gt;0,Skills!I14/Skills!H14,1)</f>
        <v/>
      </c>
      <c r="H2192">
        <f>1-(1-Skills!J14/100)^Skills!K14</f>
        <v/>
      </c>
      <c r="I2192" t="inlineStr">
        <is>
          <t>1</t>
        </is>
      </c>
      <c r="J2192">
        <f>((Inputs!$B$6*(1+Inputs!$B$7/100))+(((Inputs!$B$12*(1+Inputs!$B$13/100))-(Inputs!$B$12*(1+Inputs!$B$13/100)))+0.25*(Inputs!$B$14-Inputs!$B$14))*(1+Inputs!$B$7/100))*(F2192/100)</f>
        <v/>
      </c>
      <c r="K2192">
        <f>J2192*(1+((Inputs!$B$12*(1+Inputs!$B$13/100))*0.01+Inputs!$B$14*0.0025)/100)*(1+Inputs!$B$15/100)*(1+Inputs!$B$16/100)*(5000/(6000+Inputs!$B$42*(1-(100*(1-(1-(Inputs!$B$19+0)/100)*(1-CHOOSE(ArtifactsInput!$N$40+1,5,6,7,8,9,10)/100)^(ArtifactsInput!$M$40-ArtifactsInput!$M$40)))/100)))*(1+(Inputs!$B$24+((C2204=TRUE)*(F2204-Calc!F26))+B2214)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2201=TRUE)*(F2201-Calc!F23))+((C2205=TRUE)*(F2205-Calc!F27))+(((IF(AND(ArtifactsInput!$M$42,((Inputs!$B$9+((C2197=TRUE)*(F2197-Calc!F19))+B2208+(ArtifactsInput!$M$24-ArtifactsInput!$M$24)*CHOOSE(ArtifactsInput!$N$24+1,10,12,14,16,18,20)+IF(ArtifactsInput!$M$10,CHOOSE(ArtifactsInput!$N$10+1,15,18,21,24,27,30)*(IF(Inputs!$B$38="pvp",MIN(15,15)/15,IF(AND(Inputs!$B$38&lt;&gt;"pvp",Inputs!$B$43&gt;0),MIN(15,Inputs!$B$43)/(Inputs!$B$43),0))),0)))&gt;=100),MIN(100,((Inputs!$B$9+((C2197=TRUE)*(F2197-Calc!F19))+B2208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2197=TRUE)*(F2197-Calc!F19))+B2208+(ArtifactsInput!$M$24-ArtifactsInput!$M$24)*CHOOSE(ArtifactsInput!$N$24+1,10,12,14,16,18,20)+IF(ArtifactsInput!$M$10,CHOOSE(ArtifactsInput!$N$10+1,15,18,21,24,27,30)*(IF(Inputs!$B$38="pvp",MIN(15,15)/15,IF(AND(Inputs!$B$38&lt;&gt;"pvp",Inputs!$B$43&gt;0),MIN(15,Inputs!$B$43)/(Inputs!$B$43),0))),0)))&gt;=100),CHOOSE(ArtifactsInput!$N$42+1,40,48,56,64,72,80),0))))/100)*((1+(((C2195=TRUE)*F2195)+((C2202=TRUE)*(F2202-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2192)</f>
        <v/>
      </c>
      <c r="L2192">
        <f>K2192*(MIN(Inputs!$B$22+((C2200=TRUE)*(F2200-Calc!F22)),(Inputs!$B$23+0+(IF(ArtifactsInput!$M$15,CHOOSE(ArtifactsInput!$N$15+1,25,30,35,40,45,50)/100*(Inputs!$B$11-Inputs!$B$11),0))))/100+(Inputs!$B$23+0+(IF(ArtifactsInput!$M$15,CHOOSE(ArtifactsInput!$N$15+1,25,30,35,40,45,50)/100*(Inputs!$B$11-Inputs!$B$11),0)))/100)/2</f>
        <v/>
      </c>
      <c r="M2192">
        <f>L2192*(1+(Inputs!$B$10+((C2203=TRUE)*(F2203-Calc!F25))+B2213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2">
        <f>L2192*(1-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2192*(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2">
        <f>(1-Summary!$B$11)*T2192+Summary!$B$11*V2192</f>
        <v/>
      </c>
      <c r="P2192">
        <f>IF(B2218=0,0,O2192/B2218)</f>
        <v/>
      </c>
      <c r="Q2192" t="n">
        <v>0</v>
      </c>
      <c r="R2192" t="n">
        <v>0</v>
      </c>
      <c r="S2192">
        <f>IFERROR(O2192/N2192,0)</f>
        <v/>
      </c>
      <c r="T2192">
        <f>IF(C2192,(H2192*N2192*(B2212+IF(AND(Inputs!$B$38&lt;&gt;"pvp",Inputs!$B$43&gt;0),((Skills!G8*((R2186-1)*IF(Skills!H8&gt;0,Skills!I8/Skills!H8,1)+IF(Skills!H8&gt;0,MIN(Skills!I8,MAX(0,MAX(0,Inputs!$B$43-B2215)-((R2186-1)*(IF(Inputs!$B$38="pvp",15,MAX(0.1,Skills!D8-IF(Skills!E8=TRUE,Inputs!$B$32,0)))*(1-IF(AND(ArtifactsInput!$M$27,Inputs!$B$4="Chapter Hunt"),CHOOSE(ArtifactsInput!$N$27+1,20,24,28,32,36,40),0)/100)))))/Skills!H8,1)))/Inputs!$B$43),G2186*Q2186)+IF(AND(Inputs!$B$38&lt;&gt;"pvp",Inputs!$B$43&gt;0),((Skills!G11*((R2189-1)*IF(Skills!H11&gt;0,Skills!I11/Skills!H11,1)+IF(Skills!H11&gt;0,MIN(Skills!I11,MAX(0,MAX(0,Inputs!$B$43-B2215)-((R2189-1)*(IF(Inputs!$B$38="pvp",15,MAX(0.1,Skills!D11-IF(Skills!E11=TRUE,Inputs!$B$32,0)))*(1-IF(AND(ArtifactsInput!$M$27,Inputs!$B$4="Chapter Hunt"),CHOOSE(ArtifactsInput!$N$27+1,20,24,28,32,36,40),0)/100)))))/Skills!H11,1)))/Inputs!$B$43),G2189*Q2189)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2192*(1-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2192*(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2192*(1-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2192*(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2">
        <f>IF(C2192,(H2192*N2192*(B2212+IF(AND(Inputs!$B$38&lt;&gt;"pvp",Inputs!$B$43&gt;0),((Skills!G8*((R2186-1)*IF(Skills!H8&gt;0,Skills!I8/Skills!H8,1)+IF(Skills!H8&gt;0,MIN(Skills!I8,MAX(0,MAX(0,Inputs!$B$43-B2215)-((R2186-1)*(IF(Inputs!$B$38="pvp",15,MAX(0.1,Skills!D8-IF(Skills!E8=TRUE,Inputs!$B$32,0)))*(1-IF(AND(ArtifactsInput!$M$27,Inputs!$B$4="Chapter Hunt"),CHOOSE(ArtifactsInput!$N$27+1,20,24,28,32,36,40),0)/100)))))/Skills!H8,1)))/Inputs!$B$43),G2186*Q2186)+IF(AND(Inputs!$B$38&lt;&gt;"pvp",Inputs!$B$43&gt;0),((Skills!G11*((R2189-1)*IF(Skills!H11&gt;0,Skills!I11/Skills!H11,1)+IF(Skills!H11&gt;0,MIN(Skills!I11,MAX(0,MAX(0,Inputs!$B$43-B2215)-((R2189-1)*(IF(Inputs!$B$38="pvp",15,MAX(0.1,Skills!D11-IF(Skills!E11=TRUE,Inputs!$B$32,0)))*(1-IF(AND(ArtifactsInput!$M$27,Inputs!$B$4="Chapter Hunt"),CHOOSE(ArtifactsInput!$N$27+1,20,24,28,32,36,40),0)/100)))))/Skills!H11,1)))/Inputs!$B$43),G2189*Q2189)))*IF(Inputs!$B$38="pvp",1,(1+(Inputs!$B$21+Skills!Q14+(IF(ArtifactsInput!$M$33,CHOOSE(ArtifactsInput!$N$33+1,30,36,42,48,54,60)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3">
      <c r="A2193">
        <f>Skills!A15</f>
        <v/>
      </c>
      <c r="B2193">
        <f>Skills!B15</f>
        <v/>
      </c>
      <c r="C2193">
        <f>Inputs!$B$3&gt;=100</f>
        <v/>
      </c>
      <c r="D2193">
        <f>IF(Skills!C15=1,60+Inputs!$B$25+Inputs!$B$29,IF(Skills!C15=2,90+Inputs!$B$26+Inputs!$B$29,IF(Skills!C15=3,120+Inputs!$B$27+Inputs!$B$29,MAX(0,(Inputs!$B$3-100)*3)+Inputs!$B$28+Inputs!$B$29)))</f>
        <v/>
      </c>
      <c r="E2193">
        <f>INDEX(FactorTable!$B$2:$Y$301, MATCH(ROUND(MIN(300,MAX(1,D2193)),0), FactorTable!$A$2:$A$301,0), Skills!M15+1)</f>
        <v/>
      </c>
      <c r="F2193">
        <f>IF(Skills!N15=TRUE,(Skills!L15/10)*(E2193/1000),Skills!L15/10)+Skills!O15</f>
        <v/>
      </c>
      <c r="G2193" t="inlineStr"/>
      <c r="H2193" t="inlineStr"/>
      <c r="I2193" t="inlineStr">
        <is>
          <t>1</t>
        </is>
      </c>
      <c r="J2193" t="inlineStr"/>
      <c r="K2193" t="inlineStr"/>
      <c r="L2193" t="inlineStr"/>
      <c r="M2193" t="inlineStr"/>
      <c r="N2193" t="inlineStr"/>
      <c r="O2193" t="inlineStr"/>
      <c r="P2193" t="inlineStr"/>
      <c r="Q2193" t="inlineStr"/>
      <c r="R2193" t="inlineStr"/>
      <c r="S2193" t="inlineStr"/>
    </row>
    <row r="2194">
      <c r="A2194">
        <f>Skills!A16</f>
        <v/>
      </c>
      <c r="B2194">
        <f>Skills!B16</f>
        <v/>
      </c>
      <c r="C2194">
        <f>Inputs!$B$3&gt;=120</f>
        <v/>
      </c>
      <c r="D2194">
        <f>IF(Skills!C16=1,60+Inputs!$B$25+Inputs!$B$29,IF(Skills!C16=2,90+Inputs!$B$26+Inputs!$B$29,IF(Skills!C16=3,120+Inputs!$B$27+Inputs!$B$29,MAX(0,(Inputs!$B$3-100)*3)+Inputs!$B$28+Inputs!$B$29)))</f>
        <v/>
      </c>
      <c r="E2194">
        <f>INDEX(FactorTable!$B$2:$Y$301, MATCH(ROUND(MIN(300,MAX(1,D2194)),0), FactorTable!$A$2:$A$301,0), Skills!M16+1)</f>
        <v/>
      </c>
      <c r="F2194">
        <f>IF(Skills!N16=TRUE,(Skills!L16/10)*(E2194/1000),Skills!L16/10)+Skills!O16</f>
        <v/>
      </c>
      <c r="G2194" t="inlineStr"/>
      <c r="H2194" t="inlineStr"/>
      <c r="I2194" t="inlineStr">
        <is>
          <t>1</t>
        </is>
      </c>
      <c r="J2194" t="inlineStr"/>
      <c r="K2194" t="inlineStr"/>
      <c r="L2194" t="inlineStr"/>
      <c r="M2194" t="inlineStr"/>
      <c r="N2194" t="inlineStr"/>
      <c r="O2194" t="inlineStr"/>
      <c r="P2194" t="inlineStr"/>
      <c r="Q2194" t="inlineStr"/>
      <c r="R2194" t="inlineStr"/>
      <c r="S2194" t="inlineStr"/>
    </row>
    <row r="2195">
      <c r="A2195">
        <f>Skills!A17</f>
        <v/>
      </c>
      <c r="B2195">
        <f>Skills!B17</f>
        <v/>
      </c>
      <c r="C2195">
        <f>Inputs!$B$3&gt;=66</f>
        <v/>
      </c>
      <c r="D2195">
        <f>IF(Skills!C17=1,60+Inputs!$B$25+Inputs!$B$29,IF(Skills!C17=2,90+Inputs!$B$26+Inputs!$B$29,IF(Skills!C17=3,120+Inputs!$B$27+Inputs!$B$29,MAX(0,(Inputs!$B$3-100)*3)+Inputs!$B$28+Inputs!$B$29)))</f>
        <v/>
      </c>
      <c r="E2195">
        <f>INDEX(FactorTable!$B$2:$Y$301, MATCH(ROUND(MIN(300,MAX(1,D2195)),0), FactorTable!$A$2:$A$301,0), Skills!M17+1)</f>
        <v/>
      </c>
      <c r="F2195">
        <f>IF(Skills!N17=TRUE,(Skills!L17/10)*(E2195/1000),Skills!L17/10)+Skills!O17</f>
        <v/>
      </c>
      <c r="G2195">
        <f>Skills!G17*IF(Skills!H17&gt;0,Skills!I17/Skills!H17,1)</f>
        <v/>
      </c>
      <c r="H2195">
        <f>1-(1-Skills!J17/100)^Skills!K17</f>
        <v/>
      </c>
      <c r="I2195" t="inlineStr">
        <is>
          <t>1</t>
        </is>
      </c>
      <c r="J2195" t="inlineStr"/>
      <c r="K2195" t="inlineStr"/>
      <c r="L2195" t="inlineStr"/>
      <c r="M2195" t="inlineStr"/>
      <c r="N2195" t="inlineStr"/>
      <c r="O2195">
        <f>(1-Summary!$B$11)*T2195+Summary!$B$11*V2195</f>
        <v/>
      </c>
      <c r="P2195">
        <f>IF(B2218=0,0,O2195/B2218)</f>
        <v/>
      </c>
      <c r="Q2195" t="n">
        <v>0</v>
      </c>
      <c r="R2195" t="n">
        <v>0</v>
      </c>
      <c r="S2195">
        <f>IFERROR(O2195/N2195,0)</f>
        <v/>
      </c>
      <c r="T2195" t="n">
        <v>0</v>
      </c>
      <c r="V2195" t="n">
        <v>0</v>
      </c>
    </row>
    <row r="2196">
      <c r="A2196">
        <f>Skills!A18</f>
        <v/>
      </c>
      <c r="B2196">
        <f>Skills!B18</f>
        <v/>
      </c>
      <c r="C2196">
        <f>Inputs!$B$3&gt;=115</f>
        <v/>
      </c>
      <c r="D2196">
        <f>IF(Skills!C18=1,60+Inputs!$B$25+Inputs!$B$29,IF(Skills!C18=2,90+Inputs!$B$26+Inputs!$B$29,IF(Skills!C18=3,120+Inputs!$B$27+Inputs!$B$29,MAX(0,(Inputs!$B$3-100)*3)+Inputs!$B$28+Inputs!$B$29)))</f>
        <v/>
      </c>
      <c r="E2196">
        <f>INDEX(FactorTable!$B$2:$Y$301, MATCH(ROUND(MIN(300,MAX(1,D2196)),0), FactorTable!$A$2:$A$301,0), Skills!M18+1)</f>
        <v/>
      </c>
      <c r="F2196">
        <f>IF(Skills!N18=TRUE,(Skills!L18/10)*(E2196/1000),Skills!L18/10)+Skills!O18</f>
        <v/>
      </c>
      <c r="G2196">
        <f>Skills!G18*IF(Skills!H18&gt;0,Skills!I18/Skills!H18,1)</f>
        <v/>
      </c>
      <c r="H2196">
        <f>1-(1-Skills!J18/100)^Skills!K18</f>
        <v/>
      </c>
      <c r="I2196" t="inlineStr">
        <is>
          <t>1</t>
        </is>
      </c>
      <c r="J2196" t="inlineStr"/>
      <c r="K2196" t="inlineStr"/>
      <c r="L2196" t="inlineStr"/>
      <c r="M2196" t="inlineStr"/>
      <c r="N2196" t="inlineStr"/>
      <c r="O2196">
        <f>(1-Summary!$B$11)*T2196+Summary!$B$11*V2196</f>
        <v/>
      </c>
      <c r="P2196">
        <f>IF(B2218=0,0,O2196/B2218)</f>
        <v/>
      </c>
      <c r="Q2196" t="n">
        <v>0</v>
      </c>
      <c r="R2196" t="n">
        <v>0</v>
      </c>
      <c r="S2196">
        <f>IFERROR(O2196/N2196,0)</f>
        <v/>
      </c>
      <c r="T2196" t="n">
        <v>0</v>
      </c>
      <c r="V2196" t="n">
        <v>0</v>
      </c>
    </row>
    <row r="2197">
      <c r="A2197">
        <f>Skills!A19</f>
        <v/>
      </c>
      <c r="B2197">
        <f>Skills!B19</f>
        <v/>
      </c>
      <c r="C2197">
        <f>Inputs!$B$3&gt;=15</f>
        <v/>
      </c>
      <c r="D2197">
        <f>IF(Skills!C19=1,60+Inputs!$B$25+Inputs!$B$29,IF(Skills!C19=2,90+Inputs!$B$26+Inputs!$B$29,IF(Skills!C19=3,120+Inputs!$B$27+Inputs!$B$29,MAX(0,(Inputs!$B$3-100)*3)+Inputs!$B$28+Inputs!$B$29)))</f>
        <v/>
      </c>
      <c r="E2197">
        <f>INDEX(FactorTable!$B$2:$Y$301, MATCH(ROUND(MIN(300,MAX(1,D2197)),0), FactorTable!$A$2:$A$301,0), Skills!M19+1)</f>
        <v/>
      </c>
      <c r="F2197">
        <f>IF(Skills!N19=TRUE,(Skills!L19/10)*(E2197/1000),Skills!L19/10)+Skills!O19</f>
        <v/>
      </c>
      <c r="G2197">
        <f>Skills!G19*IF(Skills!H19&gt;0,Skills!I19/Skills!H19,1)</f>
        <v/>
      </c>
      <c r="H2197">
        <f>1-(1-Skills!J19/100)^Skills!K19</f>
        <v/>
      </c>
      <c r="I2197" t="inlineStr">
        <is>
          <t>1</t>
        </is>
      </c>
      <c r="J2197" t="inlineStr"/>
      <c r="K2197" t="inlineStr"/>
      <c r="L2197" t="inlineStr"/>
      <c r="M2197" t="inlineStr"/>
      <c r="N2197" t="inlineStr"/>
      <c r="O2197">
        <f>(1-Summary!$B$11)*T2197+Summary!$B$11*V2197</f>
        <v/>
      </c>
      <c r="P2197">
        <f>IF(B2218=0,0,O2197/B2218)</f>
        <v/>
      </c>
      <c r="Q2197" t="n">
        <v>0</v>
      </c>
      <c r="R2197" t="n">
        <v>0</v>
      </c>
      <c r="S2197">
        <f>IFERROR(O2197/N2197,0)</f>
        <v/>
      </c>
      <c r="T2197" t="n">
        <v>0</v>
      </c>
      <c r="V2197" t="n">
        <v>0</v>
      </c>
    </row>
    <row r="2198">
      <c r="A2198">
        <f>Skills!A20</f>
        <v/>
      </c>
      <c r="B2198">
        <f>Skills!B20</f>
        <v/>
      </c>
      <c r="C2198">
        <f>Inputs!$B$3&gt;=10</f>
        <v/>
      </c>
      <c r="D2198">
        <f>IF(Skills!C20=1,60+Inputs!$B$25+Inputs!$B$29,IF(Skills!C20=2,90+Inputs!$B$26+Inputs!$B$29,IF(Skills!C20=3,120+Inputs!$B$27+Inputs!$B$29,MAX(0,(Inputs!$B$3-100)*3)+Inputs!$B$28+Inputs!$B$29)))</f>
        <v/>
      </c>
      <c r="E2198">
        <f>INDEX(FactorTable!$B$2:$Y$301, MATCH(ROUND(MIN(300,MAX(1,D2198)),0), FactorTable!$A$2:$A$301,0), Skills!M20+1)</f>
        <v/>
      </c>
      <c r="F2198">
        <f>IF(Skills!N20=TRUE,(Skills!L20/10)*(E2198/1000),Skills!L20/10)+Skills!O20</f>
        <v/>
      </c>
      <c r="G2198">
        <f>Skills!G20*IF(Skills!H20&gt;0,Skills!I20/Skills!H20,1)</f>
        <v/>
      </c>
      <c r="H2198">
        <f>1-(1-Skills!J20/100)^Skills!K20</f>
        <v/>
      </c>
      <c r="I2198" t="inlineStr">
        <is>
          <t>1</t>
        </is>
      </c>
      <c r="J2198" t="inlineStr"/>
      <c r="K2198" t="inlineStr"/>
      <c r="L2198" t="inlineStr"/>
      <c r="M2198" t="inlineStr"/>
      <c r="N2198" t="inlineStr"/>
      <c r="O2198">
        <f>(1-Summary!$B$11)*T2198+Summary!$B$11*V2198</f>
        <v/>
      </c>
      <c r="P2198">
        <f>IF(B2218=0,0,O2198/B2218)</f>
        <v/>
      </c>
      <c r="Q2198" t="n">
        <v>0</v>
      </c>
      <c r="R2198" t="n">
        <v>0</v>
      </c>
      <c r="S2198">
        <f>IFERROR(O2198/N2198,0)</f>
        <v/>
      </c>
      <c r="T2198" t="n">
        <v>0</v>
      </c>
      <c r="V2198" t="n">
        <v>0</v>
      </c>
    </row>
    <row r="2199">
      <c r="A2199">
        <f>Skills!A21</f>
        <v/>
      </c>
      <c r="B2199">
        <f>Skills!B21</f>
        <v/>
      </c>
      <c r="C2199">
        <f>Inputs!$B$3&gt;=33</f>
        <v/>
      </c>
      <c r="D2199">
        <f>IF(Skills!C21=1,60+Inputs!$B$25+Inputs!$B$29,IF(Skills!C21=2,90+Inputs!$B$26+Inputs!$B$29,IF(Skills!C21=3,120+Inputs!$B$27+Inputs!$B$29,MAX(0,(Inputs!$B$3-100)*3)+Inputs!$B$28+Inputs!$B$29)))</f>
        <v/>
      </c>
      <c r="E2199">
        <f>INDEX(FactorTable!$B$2:$Y$301, MATCH(ROUND(MIN(300,MAX(1,D2199)),0), FactorTable!$A$2:$A$301,0), Skills!M21+1)</f>
        <v/>
      </c>
      <c r="F2199">
        <f>IF(Skills!N21=TRUE,(Skills!L21/10)*(E2199/1000),Skills!L21/10)+Skills!O21</f>
        <v/>
      </c>
      <c r="G2199">
        <f>Skills!G21*IF(Skills!H21&gt;0,Skills!I21/Skills!H21,1)</f>
        <v/>
      </c>
      <c r="H2199">
        <f>1-(1-Skills!J21/100)^Skills!K21</f>
        <v/>
      </c>
      <c r="I2199" t="inlineStr">
        <is>
          <t>1</t>
        </is>
      </c>
      <c r="J2199" t="inlineStr"/>
      <c r="K2199" t="inlineStr"/>
      <c r="L2199" t="inlineStr"/>
      <c r="M2199" t="inlineStr"/>
      <c r="N2199" t="inlineStr"/>
      <c r="O2199">
        <f>(1-Summary!$B$11)*T2199+Summary!$B$11*V2199</f>
        <v/>
      </c>
      <c r="P2199">
        <f>IF(B2218=0,0,O2199/B2218)</f>
        <v/>
      </c>
      <c r="Q2199" t="n">
        <v>0</v>
      </c>
      <c r="R2199" t="n">
        <v>0</v>
      </c>
      <c r="S2199">
        <f>IFERROR(O2199/N2199,0)</f>
        <v/>
      </c>
      <c r="T2199" t="n">
        <v>0</v>
      </c>
      <c r="V2199" t="n">
        <v>0</v>
      </c>
    </row>
    <row r="2200">
      <c r="A2200">
        <f>Skills!A22</f>
        <v/>
      </c>
      <c r="B2200">
        <f>Skills!B22</f>
        <v/>
      </c>
      <c r="C2200">
        <f>Inputs!$B$3&gt;=43</f>
        <v/>
      </c>
      <c r="D2200">
        <f>IF(Skills!C22=1,60+Inputs!$B$25+Inputs!$B$29,IF(Skills!C22=2,90+Inputs!$B$26+Inputs!$B$29,IF(Skills!C22=3,120+Inputs!$B$27+Inputs!$B$29,MAX(0,(Inputs!$B$3-100)*3)+Inputs!$B$28+Inputs!$B$29)))</f>
        <v/>
      </c>
      <c r="E2200">
        <f>INDEX(FactorTable!$B$2:$Y$301, MATCH(ROUND(MIN(300,MAX(1,D2200)),0), FactorTable!$A$2:$A$301,0), Skills!M22+1)</f>
        <v/>
      </c>
      <c r="F2200">
        <f>IF(Skills!N22=TRUE,(Skills!L22/10)*(E2200/1000),Skills!L22/10)+Skills!O22</f>
        <v/>
      </c>
      <c r="G2200">
        <f>Skills!G22*IF(Skills!H22&gt;0,Skills!I22/Skills!H22,1)</f>
        <v/>
      </c>
      <c r="H2200">
        <f>1-(1-Skills!J22/100)^Skills!K22</f>
        <v/>
      </c>
      <c r="I2200" t="inlineStr">
        <is>
          <t>1</t>
        </is>
      </c>
      <c r="J2200" t="inlineStr"/>
      <c r="K2200" t="inlineStr"/>
      <c r="L2200" t="inlineStr"/>
      <c r="M2200" t="inlineStr"/>
      <c r="N2200" t="inlineStr"/>
      <c r="O2200">
        <f>(1-Summary!$B$11)*T2200+Summary!$B$11*V2200</f>
        <v/>
      </c>
      <c r="P2200">
        <f>IF(B2218=0,0,O2200/B2218)</f>
        <v/>
      </c>
      <c r="Q2200" t="n">
        <v>0</v>
      </c>
      <c r="R2200" t="n">
        <v>0</v>
      </c>
      <c r="S2200">
        <f>IFERROR(O2200/N2200,0)</f>
        <v/>
      </c>
      <c r="T2200" t="n">
        <v>0</v>
      </c>
      <c r="V2200" t="n">
        <v>0</v>
      </c>
    </row>
    <row r="2201">
      <c r="A2201">
        <f>Skills!A23</f>
        <v/>
      </c>
      <c r="B2201">
        <f>Skills!B23</f>
        <v/>
      </c>
      <c r="C2201">
        <f>Inputs!$B$3&gt;=38</f>
        <v/>
      </c>
      <c r="D2201">
        <f>IF(Skills!C23=1,60+Inputs!$B$25+Inputs!$B$29,IF(Skills!C23=2,90+Inputs!$B$26+Inputs!$B$29,IF(Skills!C23=3,120+Inputs!$B$27+Inputs!$B$29,MAX(0,(Inputs!$B$3-100)*3)+Inputs!$B$28+Inputs!$B$29)))</f>
        <v/>
      </c>
      <c r="E2201">
        <f>INDEX(FactorTable!$B$2:$Y$301, MATCH(ROUND(MIN(300,MAX(1,D2201)),0), FactorTable!$A$2:$A$301,0), Skills!M23+1)</f>
        <v/>
      </c>
      <c r="F2201">
        <f>IF(Skills!N23=TRUE,(Skills!L23/10)*(E2201/1000),Skills!L23/10)+Skills!O23</f>
        <v/>
      </c>
      <c r="G2201">
        <f>Skills!G23*IF(Skills!H23&gt;0,Skills!I23/Skills!H23,1)</f>
        <v/>
      </c>
      <c r="H2201">
        <f>1-(1-Skills!J23/100)^Skills!K23</f>
        <v/>
      </c>
      <c r="I2201" t="inlineStr">
        <is>
          <t>1</t>
        </is>
      </c>
      <c r="J2201" t="inlineStr"/>
      <c r="K2201" t="inlineStr"/>
      <c r="L2201" t="inlineStr"/>
      <c r="M2201" t="inlineStr"/>
      <c r="N2201" t="inlineStr"/>
      <c r="O2201">
        <f>(1-Summary!$B$11)*T2201+Summary!$B$11*V2201</f>
        <v/>
      </c>
      <c r="P2201">
        <f>IF(B2218=0,0,O2201/B2218)</f>
        <v/>
      </c>
      <c r="Q2201" t="n">
        <v>0</v>
      </c>
      <c r="R2201" t="n">
        <v>0</v>
      </c>
      <c r="S2201">
        <f>IFERROR(O2201/N2201,0)</f>
        <v/>
      </c>
      <c r="T2201" t="n">
        <v>0</v>
      </c>
      <c r="V2201" t="n">
        <v>0</v>
      </c>
    </row>
    <row r="2202">
      <c r="A2202">
        <f>Skills!A24</f>
        <v/>
      </c>
      <c r="B2202">
        <f>Skills!B24</f>
        <v/>
      </c>
      <c r="C2202">
        <f>Inputs!$B$3&gt;=40</f>
        <v/>
      </c>
      <c r="D2202">
        <f>IF(Skills!C24=1,60+Inputs!$B$25+Inputs!$B$29,IF(Skills!C24=2,90+Inputs!$B$26+Inputs!$B$29,IF(Skills!C24=3,120+Inputs!$B$27+Inputs!$B$29,MAX(0,(Inputs!$B$3-100)*3)+Inputs!$B$28+Inputs!$B$29)))</f>
        <v/>
      </c>
      <c r="E2202">
        <f>INDEX(FactorTable!$B$2:$Y$301, MATCH(ROUND(MIN(300,MAX(1,D2202)),0), FactorTable!$A$2:$A$301,0), Skills!M24+1)</f>
        <v/>
      </c>
      <c r="F2202">
        <f>IF(Skills!N24=TRUE,(Skills!L24/10)*(E2202/1000),Skills!L24/10)+Skills!O24</f>
        <v/>
      </c>
      <c r="G2202">
        <f>Skills!G24*IF(Skills!H24&gt;0,Skills!I24/Skills!H24,1)</f>
        <v/>
      </c>
      <c r="H2202">
        <f>1-(1-Skills!J24/100)^Skills!K24</f>
        <v/>
      </c>
      <c r="I2202" t="inlineStr">
        <is>
          <t>1</t>
        </is>
      </c>
      <c r="J2202" t="inlineStr"/>
      <c r="K2202" t="inlineStr"/>
      <c r="L2202" t="inlineStr"/>
      <c r="M2202" t="inlineStr"/>
      <c r="N2202" t="inlineStr"/>
      <c r="O2202">
        <f>(1-Summary!$B$11)*T2202+Summary!$B$11*V2202</f>
        <v/>
      </c>
      <c r="P2202">
        <f>IF(B2218=0,0,O2202/B2218)</f>
        <v/>
      </c>
      <c r="Q2202" t="n">
        <v>0</v>
      </c>
      <c r="R2202" t="n">
        <v>0</v>
      </c>
      <c r="S2202">
        <f>IFERROR(O2202/N2202,0)</f>
        <v/>
      </c>
      <c r="T2202" t="n">
        <v>0</v>
      </c>
      <c r="V2202" t="n">
        <v>0</v>
      </c>
    </row>
    <row r="2203">
      <c r="A2203">
        <f>Skills!A25</f>
        <v/>
      </c>
      <c r="B2203">
        <f>Skills!B25</f>
        <v/>
      </c>
      <c r="C2203">
        <f>Inputs!$B$3&gt;=72</f>
        <v/>
      </c>
      <c r="D2203">
        <f>IF(Skills!C25=1,60+Inputs!$B$25+Inputs!$B$29,IF(Skills!C25=2,90+Inputs!$B$26+Inputs!$B$29,IF(Skills!C25=3,120+Inputs!$B$27+Inputs!$B$29,MAX(0,(Inputs!$B$3-100)*3)+Inputs!$B$28+Inputs!$B$29)))</f>
        <v/>
      </c>
      <c r="E2203">
        <f>INDEX(FactorTable!$B$2:$Y$301, MATCH(ROUND(MIN(300,MAX(1,D2203)),0), FactorTable!$A$2:$A$301,0), Skills!M25+1)</f>
        <v/>
      </c>
      <c r="F2203">
        <f>IF(Skills!N25=TRUE,(Skills!L25/10)*(E2203/1000),Skills!L25/10)+Skills!O25</f>
        <v/>
      </c>
      <c r="G2203">
        <f>Skills!G25*IF(Skills!H25&gt;0,Skills!I25/Skills!H25,1)</f>
        <v/>
      </c>
      <c r="H2203">
        <f>1-(1-Skills!J25/100)^Skills!K25</f>
        <v/>
      </c>
      <c r="I2203" t="inlineStr">
        <is>
          <t>1</t>
        </is>
      </c>
      <c r="J2203" t="inlineStr"/>
      <c r="K2203" t="inlineStr"/>
      <c r="L2203" t="inlineStr"/>
      <c r="M2203" t="inlineStr"/>
      <c r="N2203" t="inlineStr"/>
      <c r="O2203">
        <f>(1-Summary!$B$11)*T2203+Summary!$B$11*V2203</f>
        <v/>
      </c>
      <c r="P2203">
        <f>IF(B2218=0,0,O2203/B2218)</f>
        <v/>
      </c>
      <c r="Q2203" t="n">
        <v>0</v>
      </c>
      <c r="R2203" t="n">
        <v>0</v>
      </c>
      <c r="S2203">
        <f>IFERROR(O2203/N2203,0)</f>
        <v/>
      </c>
      <c r="T2203" t="n">
        <v>0</v>
      </c>
      <c r="V2203" t="n">
        <v>0</v>
      </c>
    </row>
    <row r="2204">
      <c r="A2204">
        <f>Skills!A26</f>
        <v/>
      </c>
      <c r="B2204">
        <f>Skills!B26</f>
        <v/>
      </c>
      <c r="C2204">
        <f>Inputs!$B$3&gt;=75</f>
        <v/>
      </c>
      <c r="D2204">
        <f>IF(Skills!C26=1,60+Inputs!$B$25+Inputs!$B$29,IF(Skills!C26=2,90+Inputs!$B$26+Inputs!$B$29,IF(Skills!C26=3,120+Inputs!$B$27+Inputs!$B$29,MAX(0,(Inputs!$B$3-100)*3)+Inputs!$B$28+Inputs!$B$29)))</f>
        <v/>
      </c>
      <c r="E2204">
        <f>INDEX(FactorTable!$B$2:$Y$301, MATCH(ROUND(MIN(300,MAX(1,D2204)),0), FactorTable!$A$2:$A$301,0), Skills!M26+1)</f>
        <v/>
      </c>
      <c r="F2204">
        <f>IF(Skills!N26=TRUE,(Skills!L26/10)*(E2204/1000),Skills!L26/10)+Skills!O26</f>
        <v/>
      </c>
      <c r="G2204">
        <f>Skills!G26*IF(Skills!H26&gt;0,Skills!I26/Skills!H26,1)</f>
        <v/>
      </c>
      <c r="H2204">
        <f>1-(1-Skills!J26/100)^Skills!K26</f>
        <v/>
      </c>
      <c r="I2204" t="inlineStr">
        <is>
          <t>1</t>
        </is>
      </c>
      <c r="J2204" t="inlineStr"/>
      <c r="K2204" t="inlineStr"/>
      <c r="L2204" t="inlineStr"/>
      <c r="M2204" t="inlineStr"/>
      <c r="N2204" t="inlineStr"/>
      <c r="O2204">
        <f>(1-Summary!$B$11)*T2204+Summary!$B$11*V2204</f>
        <v/>
      </c>
      <c r="P2204">
        <f>IF(B2218=0,0,O2204/B2218)</f>
        <v/>
      </c>
      <c r="Q2204" t="n">
        <v>0</v>
      </c>
      <c r="R2204" t="n">
        <v>0</v>
      </c>
      <c r="S2204">
        <f>IFERROR(O2204/N2204,0)</f>
        <v/>
      </c>
      <c r="T2204" t="n">
        <v>0</v>
      </c>
      <c r="V2204" t="n">
        <v>0</v>
      </c>
    </row>
    <row r="2205">
      <c r="A2205">
        <f>Skills!A27</f>
        <v/>
      </c>
      <c r="B2205">
        <f>Skills!B27</f>
        <v/>
      </c>
      <c r="C2205">
        <f>Inputs!$B$3&gt;=117</f>
        <v/>
      </c>
      <c r="D2205">
        <f>IF(Skills!C27=1,60+Inputs!$B$25+Inputs!$B$29,IF(Skills!C27=2,90+Inputs!$B$26+Inputs!$B$29,IF(Skills!C27=3,120+Inputs!$B$27+Inputs!$B$29,MAX(0,(Inputs!$B$3-100)*3)+Inputs!$B$28+Inputs!$B$29)))</f>
        <v/>
      </c>
      <c r="E2205">
        <f>INDEX(FactorTable!$B$2:$Y$301, MATCH(ROUND(MIN(300,MAX(1,D2205)),0), FactorTable!$A$2:$A$301,0), Skills!M27+1)</f>
        <v/>
      </c>
      <c r="F2205">
        <f>IF(Skills!N27=TRUE,(Skills!L27/10)*(E2205/1000),Skills!L27/10)+Skills!O27</f>
        <v/>
      </c>
      <c r="G2205">
        <f>Skills!G27*IF(Skills!H27&gt;0,Skills!I27/Skills!H27,1)</f>
        <v/>
      </c>
      <c r="H2205">
        <f>1-(1-Skills!J27/100)^Skills!K27</f>
        <v/>
      </c>
      <c r="I2205" t="inlineStr">
        <is>
          <t>1</t>
        </is>
      </c>
      <c r="J2205" t="inlineStr"/>
      <c r="K2205" t="inlineStr"/>
      <c r="L2205" t="inlineStr"/>
      <c r="M2205" t="inlineStr"/>
      <c r="N2205" t="inlineStr"/>
      <c r="O2205">
        <f>(1-Summary!$B$11)*T2205+Summary!$B$11*V2205</f>
        <v/>
      </c>
      <c r="P2205">
        <f>IF(B2218=0,0,O2205/B2218)</f>
        <v/>
      </c>
      <c r="Q2205" t="n">
        <v>0</v>
      </c>
      <c r="R2205" t="n">
        <v>0</v>
      </c>
      <c r="S2205">
        <f>IFERROR(O2205/N2205,0)</f>
        <v/>
      </c>
      <c r="T2205" t="n">
        <v>0</v>
      </c>
      <c r="V2205" t="n">
        <v>0</v>
      </c>
    </row>
    <row r="2207">
      <c r="A2207" t="inlineStr">
        <is>
          <t>Attack% Bucket Multiplier</t>
        </is>
      </c>
      <c r="B2207">
        <f>(1+(((C2195=TRUE)*F2195)+((C2202=TRUE)*(F2202-Calc!F24))+(IF(ArtifactsInput!$M$21,CHOOSE(ArtifactsInput!$N$21+1,25,30,35,40,45,50)*(IF(OR(Inputs!$B$4="Chapter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08">
      <c r="A2208" t="inlineStr">
        <is>
          <t>Global Crit Rate Bonus %</t>
        </is>
      </c>
      <c r="B2208" t="n">
        <v>0</v>
      </c>
    </row>
    <row r="2209">
      <c r="A2209" t="inlineStr">
        <is>
          <t>Attack Speed Buff Bonus % (unused)</t>
        </is>
      </c>
      <c r="B2209" t="n">
        <v>0</v>
      </c>
    </row>
    <row r="2210">
      <c r="A2210" t="inlineStr">
        <is>
          <t>Actions Per Second</t>
        </is>
      </c>
      <c r="B2210">
        <f>1+MIN(150,150*(1-(1-(Inputs!$B$11+((C2198=TRUE)*(F2198-Calc!F20))+((C2199=TRUE)*(F2199-Calc!F21)))/150)*(1-B2209/150)))/100</f>
        <v/>
      </c>
    </row>
    <row r="2211">
      <c r="A2211" t="inlineStr">
        <is>
          <t>Skill + Buff Cast Rate</t>
        </is>
      </c>
      <c r="B2211">
        <f>IF(AND(Inputs!$B$38&lt;&gt;"pvp",Inputs!$B$43&gt;0),SUMPRODUCT((Skills!E2:E27=TRUE)*(C2180:C2205=TRUE)*R2180:R2205*Skills!F2:F27)/Inputs!$B$43,SUMPRODUCT((Skills!E2:E27=TRUE)*(C2180:C2205=TRUE)*Q2180:Q2205*Skills!F2:F27))</f>
        <v/>
      </c>
    </row>
    <row r="2212">
      <c r="A2212" t="inlineStr">
        <is>
          <t>Eight-Legs Easton Casts Per Second</t>
        </is>
      </c>
      <c r="B2212">
        <f>MAX(0,B2210-B2211)</f>
        <v/>
      </c>
    </row>
    <row r="2213">
      <c r="A2213" t="inlineStr">
        <is>
          <t>Global Critical Damage Bonus % (unused)</t>
        </is>
      </c>
      <c r="B2213" t="n">
        <v>0</v>
      </c>
    </row>
    <row r="2214">
      <c r="A2214" t="inlineStr">
        <is>
          <t>Global Final Damage Bonus % (Jolly Roger only)</t>
        </is>
      </c>
      <c r="B2214">
        <f>((C2196=TRUE)*F2196)</f>
        <v/>
      </c>
    </row>
    <row r="2215">
      <c r="A2215" t="inlineStr">
        <is>
          <t>Buff-Casting Startup Delay (s, fixed-duration only)</t>
        </is>
      </c>
      <c r="B2215">
        <f>IF(AND(Inputs!$B$38&lt;&gt;"pvp",Inputs!$B$43&gt;0),SUMPRODUCT((Skills!T2:T27&gt;0)*(Skills!E2:E27=TRUE)*(C2180:C2205=TRUE))/B2210,0)</f>
        <v/>
      </c>
    </row>
    <row r="2216">
      <c r="A2216" t="inlineStr">
        <is>
          <t>Boss-Only Total DPS (this block's swept value)</t>
        </is>
      </c>
      <c r="B2216">
        <f>SUM(T2180:T2205)</f>
        <v/>
      </c>
    </row>
    <row r="2217">
      <c r="A2217" t="inlineStr">
        <is>
          <t>Normal-Only Total DPS (this block's swept value)</t>
        </is>
      </c>
      <c r="B2217">
        <f>SUM(V2180:V2205)</f>
        <v/>
      </c>
    </row>
    <row r="2218">
      <c r="A2218" s="6" t="inlineStr">
        <is>
          <t>TOTAL DPS</t>
        </is>
      </c>
      <c r="B2218" s="6">
        <f>SUM(O2180:O2205)</f>
        <v/>
      </c>
    </row>
    <row r="2221">
      <c r="A2221" s="6" t="inlineStr">
        <is>
          <t>Stat: Icy Soul Rock (Equip)</t>
        </is>
      </c>
    </row>
    <row r="2222">
      <c r="A2222" s="5" t="inlineStr">
        <is>
          <t>Key</t>
        </is>
      </c>
      <c r="B2222" s="5" t="inlineStr">
        <is>
          <t>Name</t>
        </is>
      </c>
      <c r="C2222" s="5" t="inlineStr">
        <is>
          <t>Unlocked</t>
        </is>
      </c>
      <c r="D2222" s="5" t="inlineStr">
        <is>
          <t>InputLevel</t>
        </is>
      </c>
      <c r="E2222" s="5" t="inlineStr">
        <is>
          <t>Factor</t>
        </is>
      </c>
      <c r="F2222" s="5" t="inlineStr">
        <is>
          <t>CoefficientPercent</t>
        </is>
      </c>
      <c r="G2222" s="5" t="inlineStr">
        <is>
          <t>EffectiveHits</t>
        </is>
      </c>
      <c r="H2222" s="5" t="inlineStr">
        <is>
          <t>ProcProbability</t>
        </is>
      </c>
      <c r="I2222" s="5" t="inlineStr">
        <is>
          <t>MapleHeroMultiplier</t>
        </is>
      </c>
      <c r="J2222" s="5" t="inlineStr">
        <is>
          <t>BaseDamage</t>
        </is>
      </c>
      <c r="K2222" s="5" t="inlineStr">
        <is>
          <t>BaseHitDamage</t>
        </is>
      </c>
      <c r="L2222" s="5" t="inlineStr">
        <is>
          <t>NonCritAvg</t>
        </is>
      </c>
      <c r="M2222" s="5" t="inlineStr">
        <is>
          <t>CritAvg</t>
        </is>
      </c>
      <c r="N2222" s="5" t="inlineStr">
        <is>
          <t>ExpectedDamage(perHit)</t>
        </is>
      </c>
      <c r="O2222" s="5" t="inlineStr">
        <is>
          <t>DPS</t>
        </is>
      </c>
      <c r="P2222" s="5" t="inlineStr">
        <is>
          <t>% of Total</t>
        </is>
      </c>
      <c r="Q2222" s="5" t="inlineStr">
        <is>
          <t>InvCooldown</t>
        </is>
      </c>
      <c r="R2222" s="5" t="inlineStr">
        <is>
          <t>CastsInFight</t>
        </is>
      </c>
      <c r="S2222" s="5" t="inlineStr">
        <is>
          <t>HitRate(perSec)</t>
        </is>
      </c>
      <c r="U2222" t="inlineStr">
        <is>
          <t>helpers</t>
        </is>
      </c>
    </row>
    <row r="2223">
      <c r="A2223">
        <f>Skills!A2</f>
        <v/>
      </c>
      <c r="B2223">
        <f>Skills!B2</f>
        <v/>
      </c>
      <c r="C2223">
        <f>Inputs!$B$3&gt;=100</f>
        <v/>
      </c>
      <c r="D2223" t="inlineStr"/>
      <c r="E2223" t="inlineStr"/>
      <c r="F2223">
        <f>U2225+Skills!O2</f>
        <v/>
      </c>
      <c r="G2223">
        <f>Skills!G2*IF(Skills!H2&gt;0,Skills!I2/Skills!H2,1)</f>
        <v/>
      </c>
      <c r="H2223">
        <f>1-(1-Skills!J2/100)^Skills!K2</f>
        <v/>
      </c>
      <c r="I2223" t="inlineStr">
        <is>
          <t>1</t>
        </is>
      </c>
      <c r="J2223">
        <f>((Inputs!$B$6*(1+Inputs!$B$7/100))+(((Inputs!$B$12*(1+Inputs!$B$13/100))-(Inputs!$B$12*(1+Inputs!$B$13/100)))+0.25*(Inputs!$B$14-Inputs!$B$14))*(1+Inputs!$B$7/100))*(F2223/100)</f>
        <v/>
      </c>
      <c r="K2223">
        <f>J2223*(1+((Inputs!$B$12*(1+Inputs!$B$13/100))*0.01+Inputs!$B$14*0.0025)/100)*(1+Inputs!$B$15/100)*(1+Inputs!$B$16/100)*(5000/(6000+Inputs!$B$42*(1-(100*(1-(1-(Inputs!$B$19+0)/100)*(1-CHOOSE(ArtifactsInput!$N$40+1,5,6,7,8,9,10)/100)^(ArtifactsInput!$M$40-ArtifactsInput!$M$40)))/100)))*(1+(Inputs!$B$24+((C2247=TRUE)*(F2247-Calc!F26))+B2257)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2244=TRUE)*(F2244-Calc!F23))+((C2248=TRUE)*(F2248-Calc!F27))+(((IF(AND(ArtifactsInput!$M$42,((Inputs!$B$9+((C2240=TRUE)*(F2240-Calc!F19))+B2251+(ArtifactsInput!$M$24-ArtifactsInput!$M$24)*CHOOSE(ArtifactsInput!$N$24+1,10,12,14,16,18,20)+IF(ArtifactsInput!$M$10,CHOOSE(ArtifactsInput!$N$10+1,15,18,21,24,27,30)*(IF(Inputs!$B$38="pvp",MIN(15,15)/15,IF(AND(Inputs!$B$38&lt;&gt;"pvp",Inputs!$B$43&gt;0),MIN(15,Inputs!$B$43)/(Inputs!$B$43),0))),0)))&gt;=100),MIN(100,((Inputs!$B$9+((C2240=TRUE)*(F2240-Calc!F19))+B2251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2240=TRUE)*(F2240-Calc!F19))+B2251+(ArtifactsInput!$M$24-ArtifactsInput!$M$24)*CHOOSE(ArtifactsInput!$N$24+1,10,12,14,16,18,20)+IF(ArtifactsInput!$M$10,CHOOSE(ArtifactsInput!$N$10+1,15,18,21,24,27,30)*(IF(Inputs!$B$38="pvp",MIN(15,15)/15,IF(AND(Inputs!$B$38&lt;&gt;"pvp",Inputs!$B$43&gt;0),MIN(15,Inputs!$B$43)/(Inputs!$B$43),0))),0)))&gt;=100),CHOOSE(ArtifactsInput!$N$42+1,40,48,56,64,72,80),0))))/100)*((1+(((C2238=TRUE)*F2238)+((C2245=TRUE)*(F2245-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2223)</f>
        <v/>
      </c>
      <c r="L2223">
        <f>K2223*(MIN(Inputs!$B$22+((C2243=TRUE)*(F2243-Calc!F22)),(Inputs!$B$23+0+(IF(ArtifactsInput!$M$15,CHOOSE(ArtifactsInput!$N$15+1,25,30,35,40,45,50)/100*(Inputs!$B$11-Inputs!$B$11),0))))/100+(Inputs!$B$23+0+(IF(ArtifactsInput!$M$15,CHOOSE(ArtifactsInput!$N$15+1,25,30,35,40,45,50)/100*(Inputs!$B$11-Inputs!$B$11),0)))/100)/2</f>
        <v/>
      </c>
      <c r="M2223">
        <f>L2223*(1+(Inputs!$B$10+((C2246=TRUE)*(F2246-Calc!F25))+B2256+(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23">
        <f>L2223*(1-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2223*(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3">
        <f>(1-Summary!$B$11)*T2223+Summary!$B$11*V2223</f>
        <v/>
      </c>
      <c r="P2223">
        <f>IF(B2261=0,0,O2223/B2261)</f>
        <v/>
      </c>
      <c r="Q2223" t="n">
        <v>0</v>
      </c>
      <c r="R2223" t="n">
        <v>0</v>
      </c>
      <c r="S2223">
        <f>IFERROR(O2223/N2223,0)</f>
        <v/>
      </c>
      <c r="T2223">
        <f>IF(C2223,(Skills!G2*N2223*B2255)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2223*(1-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2223*(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2223*(1-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2223*(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23">
        <f>MAX(0,(Inputs!$B$3-100)*3)+Inputs!$B$28+Inputs!$B$29</f>
        <v/>
      </c>
      <c r="V2223">
        <f>IF(C2223,(Skills!G2*N2223*B2255)*IF(Inputs!$B$38="pvp",1,(1+(Inputs!$B$21+Skills!Q2+(IF(ArtifactsInput!$M$33,CHOOSE(ArtifactsInput!$N$33+1,30,36,42,48,54,60),0))+(IF(AND(ArtifactsInput!$M$35,Inputs!$B$4&lt;&gt;"Chapter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4">
      <c r="A2224">
        <f>Skills!A3</f>
        <v/>
      </c>
      <c r="B2224">
        <f>Skills!B3</f>
        <v/>
      </c>
      <c r="C2224">
        <f>Inputs!$B$3&gt;=35</f>
        <v/>
      </c>
      <c r="D2224">
        <f>IF(Skills!C3=1,60+Inputs!$B$25+Inputs!$B$29,IF(Skills!C3=2,90+Inputs!$B$26+Inputs!$B$29,IF(Skills!C3=3,120+Inputs!$B$27+Inputs!$B$29,MAX(0,(Inputs!$B$3-100)*3)+Inputs!$B$28+Inputs!$B$29)))</f>
        <v/>
      </c>
      <c r="E2224">
        <f>INDEX(FactorTable!$B$2:$Y$301, MATCH(ROUND(MIN(300,MAX(1,D2224)),0), FactorTable!$A$2:$A$301,0), Skills!M3+1)</f>
        <v/>
      </c>
      <c r="F2224">
        <f>IF(Skills!N3=TRUE,(Skills!L3/10)*(E2224/1000),Skills!L3/10)+Skills!O3</f>
        <v/>
      </c>
      <c r="G2224">
        <f>Skills!G3*IF(Skills!H3&gt;0,Skills!I3/Skills!H3,1)</f>
        <v/>
      </c>
      <c r="H2224">
        <f>1-(1-Skills!J3/100)^Skills!K3</f>
        <v/>
      </c>
      <c r="I2224" t="inlineStr">
        <is>
          <t>1</t>
        </is>
      </c>
      <c r="J2224">
        <f>((Inputs!$B$6*(1+Inputs!$B$7/100))+(((Inputs!$B$12*(1+Inputs!$B$13/100))-(Inputs!$B$12*(1+Inputs!$B$13/100)))+0.25*(Inputs!$B$14-Inputs!$B$14))*(1+Inputs!$B$7/100))*(F2224/100)</f>
        <v/>
      </c>
      <c r="K2224">
        <f>J2224*(1+((Inputs!$B$12*(1+Inputs!$B$13/100))*0.01+Inputs!$B$14*0.0025)/100)*(1+Inputs!$B$15/100)*(1+Inputs!$B$16/100)*(5000/(6000+Inputs!$B$42*(1-(100*(1-(1-(Inputs!$B$19+0)/100)*(1-CHOOSE(ArtifactsInput!$N$40+1,5,6,7,8,9,10)/100)^(ArtifactsInput!$M$40-ArtifactsInput!$M$40)))/100)))*(1+(Inputs!$B$24+((C2247=TRUE)*(F2247-Calc!F26))+B2257)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2236=TRUE,F2236,0)/100)*(1+(IF(Skills!A3="EIGHT_LEGS_EASTON",Inputs!$B$17+((C2244=TRUE)*(F2244-Calc!F23))+((C2248=TRUE)*(F2248-Calc!F27))+(((IF(AND(ArtifactsInput!$M$42,((Inputs!$B$9+((C2240=TRUE)*(F2240-Calc!F19))+B2251+(ArtifactsInput!$M$24-ArtifactsInput!$M$24)*CHOOSE(ArtifactsInput!$N$24+1,10,12,14,16,18,20)+IF(ArtifactsInput!$M$10,CHOOSE(ArtifactsInput!$N$10+1,15,18,21,24,27,30)*(IF(Inputs!$B$38="pvp",MIN(15,15)/15,IF(AND(Inputs!$B$38&lt;&gt;"pvp",Inputs!$B$43&gt;0),MIN(15,Inputs!$B$43)/(Inputs!$B$43),0))),0)))&gt;=100),MIN(100,((Inputs!$B$9+((C2240=TRUE)*(F2240-Calc!F19))+B2251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2240=TRUE)*(F2240-Calc!F19))+B2251+(ArtifactsInput!$M$24-ArtifactsInput!$M$24)*CHOOSE(ArtifactsInput!$N$24+1,10,12,14,16,18,20)+IF(ArtifactsInput!$M$10,CHOOSE(ArtifactsInput!$N$10+1,15,18,21,24,27,30)*(IF(Inputs!$B$38="pvp",MIN(15,15)/15,IF(AND(Inputs!$B$38&lt;&gt;"pvp",Inputs!$B$43&gt;0),MIN(15,Inputs!$B$43)/(Inputs!$B$43),0))),0)))&gt;=100),CHOOSE(ArtifactsInput!$N$42+1,40,48,56,64,72,80),0))))/100)*((1+(((C2238=TRUE)*F2238)+((C2245=TRUE)*(F2245-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2224)</f>
        <v/>
      </c>
      <c r="L2224">
        <f>K2224*(MIN(Inputs!$B$22+((C2243=TRUE)*(F2243-Calc!F22)),(Inputs!$B$23+0+(IF(ArtifactsInput!$M$15,CHOOSE(ArtifactsInput!$N$15+1,25,30,35,40,45,50)/100*(Inputs!$B$11-Inputs!$B$11),0))))/100+(Inputs!$B$23+0+(IF(ArtifactsInput!$M$15,CHOOSE(ArtifactsInput!$N$15+1,25,30,35,40,45,50)/100*(Inputs!$B$11-Inputs!$B$11),0)))/100)/2</f>
        <v/>
      </c>
      <c r="M2224">
        <f>L2224*(1+(Inputs!$B$10+((C2246=TRUE)*(F2246-Calc!F25))+B2256+(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24">
        <f>L2224*(1-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2224*(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4">
        <f>(1-Summary!$B$11)*T2224+Summary!$B$11*V2224</f>
        <v/>
      </c>
      <c r="P2224">
        <f>IF(B2261=0,0,O2224/B2261)</f>
        <v/>
      </c>
      <c r="Q2224">
        <f>IFERROR(1/(IF(Inputs!$B$38="pvp",15,MAX(0.1,Skills!D3-IF(Skills!E3=TRUE,Inputs!$B$32,0)))*(1-IF(AND(ArtifactsInput!$M$27,Inputs!$B$4="Chapter Hunt"),CHOOSE(ArtifactsInput!$N$27+1,20,24,28,32,36,40),0)/100)),0)</f>
        <v/>
      </c>
      <c r="R2224">
        <f>IF(AND(Inputs!$B$38&lt;&gt;"pvp",Inputs!$B$43&gt;0),IF(MAX(0,Inputs!$B$43-B2258)&lt;=0,0,(INT(MAX(0,Inputs!$B$43-B2258)/(IF(Inputs!$B$38="pvp",15,MAX(0.1,Skills!D3-IF(Skills!E3=TRUE,Inputs!$B$32,0)))*(1-IF(AND(ArtifactsInput!$M$27,Inputs!$B$4="Chapter Hunt"),CHOOSE(ArtifactsInput!$N$27+1,20,24,28,32,36,40),0)/100)))+1)),0)</f>
        <v/>
      </c>
      <c r="S2224">
        <f>IFERROR(O2224/N2224,0)</f>
        <v/>
      </c>
      <c r="T2224">
        <f>IF(C2224,(H2224*N2224*IF(AND(Inputs!$B$38&lt;&gt;"pvp",Inputs!$B$43&gt;0),((Skills!G3*((R2224-1)*IF(Skills!H3&gt;0,Skills!I3/Skills!H3,1)+IF(Skills!H3&gt;0,MIN(Skills!I3,MAX(0,MAX(0,Inputs!$B$43-B2258)-((R2224-1)*(IF(Inputs!$B$38="pvp",15,MAX(0.1,Skills!D3-IF(Skills!E3=TRUE,Inputs!$B$32,0)))*(1-IF(AND(ArtifactsInput!$M$27,Inputs!$B$4="Chapter Hunt"),CHOOSE(ArtifactsInput!$N$27+1,20,24,28,32,36,40),0)/100)))))/Skills!H3,1)))/Inputs!$B$43),G2224*Q2224)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2224*(1-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2224*(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2224*(1-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2224*(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24">
        <f>INDEX(FactorTable!$B$2:$Y$301, MATCH(ROUND(MIN(300,MAX(1,U2223)),0), FactorTable!$A$2:$A$301,0), 22)</f>
        <v/>
      </c>
      <c r="V2224">
        <f>IF(C2224,(H2224*N2224*IF(AND(Inputs!$B$38&lt;&gt;"pvp",Inputs!$B$43&gt;0),((Skills!G3*((R2224-1)*IF(Skills!H3&gt;0,Skills!I3/Skills!H3,1)+IF(Skills!H3&gt;0,MIN(Skills!I3,MAX(0,MAX(0,Inputs!$B$43-B2258)-((R2224-1)*(IF(Inputs!$B$38="pvp",15,MAX(0.1,Skills!D3-IF(Skills!E3=TRUE,Inputs!$B$32,0)))*(1-IF(AND(ArtifactsInput!$M$27,Inputs!$B$4="Chapter Hunt"),CHOOSE(ArtifactsInput!$N$27+1,20,24,28,32,36,40),0)/100)))))/Skills!H3,1)))/Inputs!$B$43),G2224*Q2224))*IF(Inputs!$B$38="pvp",1,(1+(Inputs!$B$21+Skills!Q3+(IF(ArtifactsInput!$M$33,CHOOSE(ArtifactsInput!$N$33+1,30,36,42,48,54,60)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5">
      <c r="A2225">
        <f>Skills!A4</f>
        <v/>
      </c>
      <c r="B2225">
        <f>Skills!B4</f>
        <v/>
      </c>
      <c r="C2225">
        <f>Inputs!$B$3&gt;=40</f>
        <v/>
      </c>
      <c r="D2225">
        <f>IF(Skills!C4=1,60+Inputs!$B$25+Inputs!$B$29,IF(Skills!C4=2,90+Inputs!$B$26+Inputs!$B$29,IF(Skills!C4=3,120+Inputs!$B$27+Inputs!$B$29,MAX(0,(Inputs!$B$3-100)*3)+Inputs!$B$28+Inputs!$B$29)))</f>
        <v/>
      </c>
      <c r="E2225">
        <f>INDEX(FactorTable!$B$2:$Y$301, MATCH(ROUND(MIN(300,MAX(1,D2225)),0), FactorTable!$A$2:$A$301,0), Skills!M4+1)</f>
        <v/>
      </c>
      <c r="F2225">
        <f>IF(Skills!N4=TRUE,(Skills!L4/10)*(E2225/1000),Skills!L4/10)+Skills!O4</f>
        <v/>
      </c>
      <c r="G2225">
        <f>Skills!G4*IF(Skills!H4&gt;0,Skills!I4/Skills!H4,1)</f>
        <v/>
      </c>
      <c r="H2225">
        <f>1-(1-Skills!J4/100)^Skills!K4</f>
        <v/>
      </c>
      <c r="I2225" t="inlineStr">
        <is>
          <t>1</t>
        </is>
      </c>
      <c r="J2225">
        <f>((Inputs!$B$6*(1+Inputs!$B$7/100))+(((Inputs!$B$12*(1+Inputs!$B$13/100))-(Inputs!$B$12*(1+Inputs!$B$13/100)))+0.25*(Inputs!$B$14-Inputs!$B$14))*(1+Inputs!$B$7/100))*(F2225/100)</f>
        <v/>
      </c>
      <c r="K2225">
        <f>J2225*(1+((Inputs!$B$12*(1+Inputs!$B$13/100))*0.01+Inputs!$B$14*0.0025)/100)*(1+Inputs!$B$15/100)*(1+Inputs!$B$16/100)*(5000/(6000+Inputs!$B$42*(1-(100*(1-(1-(Inputs!$B$19+0)/100)*(1-CHOOSE(ArtifactsInput!$N$40+1,5,6,7,8,9,10)/100)^(ArtifactsInput!$M$40-ArtifactsInput!$M$40)))/100)))*(1+(Inputs!$B$24+((C2247=TRUE)*(F2247-Calc!F26))+B2257)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2237=TRUE,F2237,0)/100)*(1+(IF(Skills!A4="EIGHT_LEGS_EASTON",Inputs!$B$17+((C2244=TRUE)*(F2244-Calc!F23))+((C2248=TRUE)*(F2248-Calc!F27))+(((IF(AND(ArtifactsInput!$M$42,((Inputs!$B$9+((C2240=TRUE)*(F2240-Calc!F19))+B2251+(ArtifactsInput!$M$24-ArtifactsInput!$M$24)*CHOOSE(ArtifactsInput!$N$24+1,10,12,14,16,18,20)+IF(ArtifactsInput!$M$10,CHOOSE(ArtifactsInput!$N$10+1,15,18,21,24,27,30)*(IF(Inputs!$B$38="pvp",MIN(15,15)/15,IF(AND(Inputs!$B$38&lt;&gt;"pvp",Inputs!$B$43&gt;0),MIN(15,Inputs!$B$43)/(Inputs!$B$43),0))),0)))&gt;=100),MIN(100,((Inputs!$B$9+((C2240=TRUE)*(F2240-Calc!F19))+B2251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2240=TRUE)*(F2240-Calc!F19))+B2251+(ArtifactsInput!$M$24-ArtifactsInput!$M$24)*CHOOSE(ArtifactsInput!$N$24+1,10,12,14,16,18,20)+IF(ArtifactsInput!$M$10,CHOOSE(ArtifactsInput!$N$10+1,15,18,21,24,27,30)*(IF(Inputs!$B$38="pvp",MIN(15,15)/15,IF(AND(Inputs!$B$38&lt;&gt;"pvp",Inputs!$B$43&gt;0),MIN(15,Inputs!$B$43)/(Inputs!$B$43),0))),0)))&gt;=100),CHOOSE(ArtifactsInput!$N$42+1,40,48,56,64,72,80),0))))/100)*((1+(((C2238=TRUE)*F2238)+((C2245=TRUE)*(F2245-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2225)</f>
        <v/>
      </c>
      <c r="L2225">
        <f>K2225*(MIN(Inputs!$B$22+((C2243=TRUE)*(F2243-Calc!F22)),(Inputs!$B$23+0+(IF(ArtifactsInput!$M$15,CHOOSE(ArtifactsInput!$N$15+1,25,30,35,40,45,50)/100*(Inputs!$B$11-Inputs!$B$11),0))))/100+(Inputs!$B$23+0+(IF(ArtifactsInput!$M$15,CHOOSE(ArtifactsInput!$N$15+1,25,30,35,40,45,50)/100*(Inputs!$B$11-Inputs!$B$11),0)))/100)/2</f>
        <v/>
      </c>
      <c r="M2225">
        <f>L2225*(1+(Inputs!$B$10+((C2246=TRUE)*(F2246-Calc!F25))+B2256+(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25">
        <f>L2225*(1-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2225*(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5">
        <f>(1-Summary!$B$11)*T2225+Summary!$B$11*V2225</f>
        <v/>
      </c>
      <c r="P2225">
        <f>IF(B2261=0,0,O2225/B2261)</f>
        <v/>
      </c>
      <c r="Q2225">
        <f>IFERROR(1/(IF(Inputs!$B$38="pvp",15,MAX(0.1,Skills!D4-IF(Skills!E4=TRUE,Inputs!$B$32,0)))*(1-IF(AND(ArtifactsInput!$M$27,Inputs!$B$4="Chapter Hunt"),CHOOSE(ArtifactsInput!$N$27+1,20,24,28,32,36,40),0)/100)),0)</f>
        <v/>
      </c>
      <c r="R2225">
        <f>IF(AND(Inputs!$B$38&lt;&gt;"pvp",Inputs!$B$43&gt;0),IF(MAX(0,Inputs!$B$43-B2258)&lt;=0,0,(INT(MAX(0,Inputs!$B$43-B2258)/(IF(Inputs!$B$38="pvp",15,MAX(0.1,Skills!D4-IF(Skills!E4=TRUE,Inputs!$B$32,0)))*(1-IF(AND(ArtifactsInput!$M$27,Inputs!$B$4="Chapter Hunt"),CHOOSE(ArtifactsInput!$N$27+1,20,24,28,32,36,40),0)/100)))+1)),0)</f>
        <v/>
      </c>
      <c r="S2225">
        <f>IFERROR(O2225/N2225,0)</f>
        <v/>
      </c>
      <c r="T2225">
        <f>IF(C2225,(H2225*N2225*IF(AND(Inputs!$B$38&lt;&gt;"pvp",Inputs!$B$43&gt;0),((Skills!G4*((R2225-1)*IF(Skills!H4&gt;0,Skills!I4/Skills!H4,1)+IF(Skills!H4&gt;0,MIN(Skills!I4,MAX(0,MAX(0,Inputs!$B$43-B2258)-((R2225-1)*(IF(Inputs!$B$38="pvp",15,MAX(0.1,Skills!D4-IF(Skills!E4=TRUE,Inputs!$B$32,0)))*(1-IF(AND(ArtifactsInput!$M$27,Inputs!$B$4="Chapter Hunt"),CHOOSE(ArtifactsInput!$N$27+1,20,24,28,32,36,40),0)/100)))))/Skills!H4,1)))/Inputs!$B$43),G2225*Q2225)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2225*(1-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2225*(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2225*(1-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2225*(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25">
        <f>290*U2224/1000</f>
        <v/>
      </c>
      <c r="V2225">
        <f>IF(C2225,(H2225*N2225*IF(AND(Inputs!$B$38&lt;&gt;"pvp",Inputs!$B$43&gt;0),((Skills!G4*((R2225-1)*IF(Skills!H4&gt;0,Skills!I4/Skills!H4,1)+IF(Skills!H4&gt;0,MIN(Skills!I4,MAX(0,MAX(0,Inputs!$B$43-B2258)-((R2225-1)*(IF(Inputs!$B$38="pvp",15,MAX(0.1,Skills!D4-IF(Skills!E4=TRUE,Inputs!$B$32,0)))*(1-IF(AND(ArtifactsInput!$M$27,Inputs!$B$4="Chapter Hunt"),CHOOSE(ArtifactsInput!$N$27+1,20,24,28,32,36,40),0)/100)))))/Skills!H4,1)))/Inputs!$B$43),G2225*Q2225))*IF(Inputs!$B$38="pvp",1,(1+(Inputs!$B$21+Skills!Q4+(IF(ArtifactsInput!$M$33,CHOOSE(ArtifactsInput!$N$33+1,30,36,42,48,54,60)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6">
      <c r="A2226">
        <f>Skills!A5</f>
        <v/>
      </c>
      <c r="B2226">
        <f>Skills!B5</f>
        <v/>
      </c>
      <c r="C2226">
        <f>Inputs!$B$3&gt;=45</f>
        <v/>
      </c>
      <c r="D2226">
        <f>IF(Skills!C5=1,60+Inputs!$B$25+Inputs!$B$29,IF(Skills!C5=2,90+Inputs!$B$26+Inputs!$B$29,IF(Skills!C5=3,120+Inputs!$B$27+Inputs!$B$29,MAX(0,(Inputs!$B$3-100)*3)+Inputs!$B$28+Inputs!$B$29)))</f>
        <v/>
      </c>
      <c r="E2226">
        <f>INDEX(FactorTable!$B$2:$Y$301, MATCH(ROUND(MIN(300,MAX(1,D2226)),0), FactorTable!$A$2:$A$301,0), Skills!M5+1)</f>
        <v/>
      </c>
      <c r="F2226">
        <f>IF(Skills!N5=TRUE,(Skills!L5/10)*(E2226/1000),Skills!L5/10)+Skills!O5</f>
        <v/>
      </c>
      <c r="G2226">
        <f>Skills!G5*IF(Skills!H5&gt;0,Skills!I5/Skills!H5,1)</f>
        <v/>
      </c>
      <c r="H2226">
        <f>1-(1-Skills!J5/100)^Skills!K5</f>
        <v/>
      </c>
      <c r="I2226" t="inlineStr">
        <is>
          <t>1</t>
        </is>
      </c>
      <c r="J2226">
        <f>((Inputs!$B$6*(1+Inputs!$B$7/100))+(((Inputs!$B$12*(1+Inputs!$B$13/100))-(Inputs!$B$12*(1+Inputs!$B$13/100)))+0.25*(Inputs!$B$14-Inputs!$B$14))*(1+Inputs!$B$7/100))*(F2226/100)</f>
        <v/>
      </c>
      <c r="K2226">
        <f>J2226*(1+((Inputs!$B$12*(1+Inputs!$B$13/100))*0.01+Inputs!$B$14*0.0025)/100)*(1+Inputs!$B$15/100)*(1+Inputs!$B$16/100)*(5000/(6000+Inputs!$B$42*(1-(100*(1-(1-(Inputs!$B$19+0)/100)*(1-CHOOSE(ArtifactsInput!$N$40+1,5,6,7,8,9,10)/100)^(ArtifactsInput!$M$40-ArtifactsInput!$M$40)))/100)))*(1+(Inputs!$B$24+((C2247=TRUE)*(F2247-Calc!F26))+B2257)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2237=TRUE,F2237,0)/100)*(1+(IF(Skills!A5="EIGHT_LEGS_EASTON",Inputs!$B$17+((C2244=TRUE)*(F2244-Calc!F23))+((C2248=TRUE)*(F2248-Calc!F27))+(((IF(AND(ArtifactsInput!$M$42,((Inputs!$B$9+((C2240=TRUE)*(F2240-Calc!F19))+B2251+(ArtifactsInput!$M$24-ArtifactsInput!$M$24)*CHOOSE(ArtifactsInput!$N$24+1,10,12,14,16,18,20)+IF(ArtifactsInput!$M$10,CHOOSE(ArtifactsInput!$N$10+1,15,18,21,24,27,30)*(IF(Inputs!$B$38="pvp",MIN(15,15)/15,IF(AND(Inputs!$B$38&lt;&gt;"pvp",Inputs!$B$43&gt;0),MIN(15,Inputs!$B$43)/(Inputs!$B$43),0))),0)))&gt;=100),MIN(100,((Inputs!$B$9+((C2240=TRUE)*(F2240-Calc!F19))+B2251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2240=TRUE)*(F2240-Calc!F19))+B2251+(ArtifactsInput!$M$24-ArtifactsInput!$M$24)*CHOOSE(ArtifactsInput!$N$24+1,10,12,14,16,18,20)+IF(ArtifactsInput!$M$10,CHOOSE(ArtifactsInput!$N$10+1,15,18,21,24,27,30)*(IF(Inputs!$B$38="pvp",MIN(15,15)/15,IF(AND(Inputs!$B$38&lt;&gt;"pvp",Inputs!$B$43&gt;0),MIN(15,Inputs!$B$43)/(Inputs!$B$43),0))),0)))&gt;=100),CHOOSE(ArtifactsInput!$N$42+1,40,48,56,64,72,80),0))))/100)*((1+(((C2238=TRUE)*F2238)+((C2245=TRUE)*(F2245-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2226)</f>
        <v/>
      </c>
      <c r="L2226">
        <f>K2226*(MIN(Inputs!$B$22+((C2243=TRUE)*(F2243-Calc!F22)),(Inputs!$B$23+0+(IF(ArtifactsInput!$M$15,CHOOSE(ArtifactsInput!$N$15+1,25,30,35,40,45,50)/100*(Inputs!$B$11-Inputs!$B$11),0))))/100+(Inputs!$B$23+0+(IF(ArtifactsInput!$M$15,CHOOSE(ArtifactsInput!$N$15+1,25,30,35,40,45,50)/100*(Inputs!$B$11-Inputs!$B$11),0)))/100)/2</f>
        <v/>
      </c>
      <c r="M2226">
        <f>L2226*(1+(Inputs!$B$10+((C2246=TRUE)*(F2246-Calc!F25))+B2256+(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26">
        <f>L2226*(1-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2226*(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6">
        <f>(1-Summary!$B$11)*T2226+Summary!$B$11*V2226</f>
        <v/>
      </c>
      <c r="P2226">
        <f>IF(B2261=0,0,O2226/B2261)</f>
        <v/>
      </c>
      <c r="Q2226">
        <f>IFERROR(1/(IF(Inputs!$B$38="pvp",15,MAX(0.1,Skills!D5-IF(Skills!E5=TRUE,Inputs!$B$32,0)))*(1-IF(AND(ArtifactsInput!$M$27,Inputs!$B$4="Chapter Hunt"),CHOOSE(ArtifactsInput!$N$27+1,20,24,28,32,36,40),0)/100)),0)</f>
        <v/>
      </c>
      <c r="R2226">
        <f>IF(AND(Inputs!$B$38&lt;&gt;"pvp",Inputs!$B$43&gt;0),IF(MAX(0,Inputs!$B$43-B2258)&lt;=0,0,(INT(MAX(0,Inputs!$B$43-B2258)/(IF(Inputs!$B$38="pvp",15,MAX(0.1,Skills!D5-IF(Skills!E5=TRUE,Inputs!$B$32,0)))*(1-IF(AND(ArtifactsInput!$M$27,Inputs!$B$4="Chapter Hunt"),CHOOSE(ArtifactsInput!$N$27+1,20,24,28,32,36,40),0)/100)))+1)),0)</f>
        <v/>
      </c>
      <c r="S2226">
        <f>IFERROR(O2226/N2226,0)</f>
        <v/>
      </c>
      <c r="T2226">
        <f>IF(C2226,(H2226*N2226*IF(AND(Inputs!$B$38&lt;&gt;"pvp",Inputs!$B$43&gt;0),((Skills!G5*((R2226-1)*IF(Skills!H5&gt;0,Skills!I5/Skills!H5,1)+IF(Skills!H5&gt;0,MIN(Skills!I5,MAX(0,MAX(0,Inputs!$B$43-B2258)-((R2226-1)*(IF(Inputs!$B$38="pvp",15,MAX(0.1,Skills!D5-IF(Skills!E5=TRUE,Inputs!$B$32,0)))*(1-IF(AND(ArtifactsInput!$M$27,Inputs!$B$4="Chapter Hunt"),CHOOSE(ArtifactsInput!$N$27+1,20,24,28,32,36,40),0)/100)))))/Skills!H5,1)))/Inputs!$B$43),G2226*Q2226)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2226*(1-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2226*(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2226*(1-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2226*(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6">
        <f>IF(C2226,(H2226*N2226*IF(AND(Inputs!$B$38&lt;&gt;"pvp",Inputs!$B$43&gt;0),((Skills!G5*((R2226-1)*IF(Skills!H5&gt;0,Skills!I5/Skills!H5,1)+IF(Skills!H5&gt;0,MIN(Skills!I5,MAX(0,MAX(0,Inputs!$B$43-B2258)-((R2226-1)*(IF(Inputs!$B$38="pvp",15,MAX(0.1,Skills!D5-IF(Skills!E5=TRUE,Inputs!$B$32,0)))*(1-IF(AND(ArtifactsInput!$M$27,Inputs!$B$4="Chapter Hunt"),CHOOSE(ArtifactsInput!$N$27+1,20,24,28,32,36,40),0)/100)))))/Skills!H5,1)))/Inputs!$B$43),G2226*Q2226))*IF(Inputs!$B$38="pvp",1,(1+(Inputs!$B$21+Skills!Q5+(IF(ArtifactsInput!$M$33,CHOOSE(ArtifactsInput!$N$33+1,30,36,42,48,54,60)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7">
      <c r="A2227">
        <f>Skills!A6</f>
        <v/>
      </c>
      <c r="B2227">
        <f>Skills!B6</f>
        <v/>
      </c>
      <c r="C2227">
        <f>Inputs!$B$3&gt;=63</f>
        <v/>
      </c>
      <c r="D2227">
        <f>IF(Skills!C6=1,60+Inputs!$B$25+Inputs!$B$29,IF(Skills!C6=2,90+Inputs!$B$26+Inputs!$B$29,IF(Skills!C6=3,120+Inputs!$B$27+Inputs!$B$29,MAX(0,(Inputs!$B$3-100)*3)+Inputs!$B$28+Inputs!$B$29)))</f>
        <v/>
      </c>
      <c r="E2227">
        <f>INDEX(FactorTable!$B$2:$Y$301, MATCH(ROUND(MIN(300,MAX(1,D2227)),0), FactorTable!$A$2:$A$301,0), Skills!M6+1)</f>
        <v/>
      </c>
      <c r="F2227">
        <f>IF(Skills!N6=TRUE,(Skills!L6/10)*(E2227/1000),Skills!L6/10)+Skills!O6</f>
        <v/>
      </c>
      <c r="G2227">
        <f>Skills!G6*IF(Skills!H6&gt;0,Skills!I6/Skills!H6,1)</f>
        <v/>
      </c>
      <c r="H2227">
        <f>1-(1-Skills!J6/100)^Skills!K6</f>
        <v/>
      </c>
      <c r="I2227" t="inlineStr">
        <is>
          <t>1</t>
        </is>
      </c>
      <c r="J2227">
        <f>((Inputs!$B$6*(1+Inputs!$B$7/100))+(((Inputs!$B$12*(1+Inputs!$B$13/100))-(Inputs!$B$12*(1+Inputs!$B$13/100)))+0.25*(Inputs!$B$14-Inputs!$B$14))*(1+Inputs!$B$7/100))*(F2227/100)</f>
        <v/>
      </c>
      <c r="K2227">
        <f>J2227*(1+((Inputs!$B$12*(1+Inputs!$B$13/100))*0.01+Inputs!$B$14*0.0025)/100)*(1+Inputs!$B$15/100)*(1+Inputs!$B$16/100)*(5000/(6000+Inputs!$B$42*(1-(100*(1-(1-(Inputs!$B$19+0)/100)*(1-CHOOSE(ArtifactsInput!$N$40+1,5,6,7,8,9,10)/100)^(ArtifactsInput!$M$40-ArtifactsInput!$M$40)))/100)))*(1+(Inputs!$B$24+((C2247=TRUE)*(F2247-Calc!F26))+B2257)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2236=TRUE,F2236,0)/100)*(1+(IF(Skills!A6="EIGHT_LEGS_EASTON",Inputs!$B$17+((C2244=TRUE)*(F2244-Calc!F23))+((C2248=TRUE)*(F2248-Calc!F27))+(((IF(AND(ArtifactsInput!$M$42,((Inputs!$B$9+((C2240=TRUE)*(F2240-Calc!F19))+B2251+(ArtifactsInput!$M$24-ArtifactsInput!$M$24)*CHOOSE(ArtifactsInput!$N$24+1,10,12,14,16,18,20)+IF(ArtifactsInput!$M$10,CHOOSE(ArtifactsInput!$N$10+1,15,18,21,24,27,30)*(IF(Inputs!$B$38="pvp",MIN(15,15)/15,IF(AND(Inputs!$B$38&lt;&gt;"pvp",Inputs!$B$43&gt;0),MIN(15,Inputs!$B$43)/(Inputs!$B$43),0))),0)))&gt;=100),MIN(100,((Inputs!$B$9+((C2240=TRUE)*(F2240-Calc!F19))+B2251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2240=TRUE)*(F2240-Calc!F19))+B2251+(ArtifactsInput!$M$24-ArtifactsInput!$M$24)*CHOOSE(ArtifactsInput!$N$24+1,10,12,14,16,18,20)+IF(ArtifactsInput!$M$10,CHOOSE(ArtifactsInput!$N$10+1,15,18,21,24,27,30)*(IF(Inputs!$B$38="pvp",MIN(15,15)/15,IF(AND(Inputs!$B$38&lt;&gt;"pvp",Inputs!$B$43&gt;0),MIN(15,Inputs!$B$43)/(Inputs!$B$43),0))),0)))&gt;=100),CHOOSE(ArtifactsInput!$N$42+1,40,48,56,64,72,80),0))))/100)*((1+(((C2238=TRUE)*F2238)+((C2245=TRUE)*(F2245-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2227)</f>
        <v/>
      </c>
      <c r="L2227">
        <f>K2227*(MIN(Inputs!$B$22+((C2243=TRUE)*(F2243-Calc!F22)),(Inputs!$B$23+0+(IF(ArtifactsInput!$M$15,CHOOSE(ArtifactsInput!$N$15+1,25,30,35,40,45,50)/100*(Inputs!$B$11-Inputs!$B$11),0))))/100+(Inputs!$B$23+0+(IF(ArtifactsInput!$M$15,CHOOSE(ArtifactsInput!$N$15+1,25,30,35,40,45,50)/100*(Inputs!$B$11-Inputs!$B$11),0)))/100)/2</f>
        <v/>
      </c>
      <c r="M2227">
        <f>L2227*(1+(Inputs!$B$10+((C2246=TRUE)*(F2246-Calc!F25))+B2256+(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27">
        <f>L2227*(1-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2227*(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7">
        <f>(1-Summary!$B$11)*T2227+Summary!$B$11*V2227</f>
        <v/>
      </c>
      <c r="P2227">
        <f>IF(B2261=0,0,O2227/B2261)</f>
        <v/>
      </c>
      <c r="Q2227">
        <f>IFERROR(1/(IF(Inputs!$B$38="pvp",15,MAX(0.1,Skills!D6-IF(Skills!E6=TRUE,Inputs!$B$32,0)))*(1-IF(AND(ArtifactsInput!$M$27,Inputs!$B$4="Chapter Hunt"),CHOOSE(ArtifactsInput!$N$27+1,20,24,28,32,36,40),0)/100)),0)</f>
        <v/>
      </c>
      <c r="R2227">
        <f>IF(AND(Inputs!$B$38&lt;&gt;"pvp",Inputs!$B$43&gt;0),IF(MAX(0,Inputs!$B$43-B2258)&lt;=0,0,(INT(MAX(0,Inputs!$B$43-B2258)/(IF(Inputs!$B$38="pvp",15,MAX(0.1,Skills!D6-IF(Skills!E6=TRUE,Inputs!$B$32,0)))*(1-IF(AND(ArtifactsInput!$M$27,Inputs!$B$4="Chapter Hunt"),CHOOSE(ArtifactsInput!$N$27+1,20,24,28,32,36,40),0)/100)))+1)),0)</f>
        <v/>
      </c>
      <c r="S2227">
        <f>IFERROR(O2227/N2227,0)</f>
        <v/>
      </c>
      <c r="T2227">
        <f>IF(C2227,(H2227*N2227*IF(AND(Inputs!$B$38&lt;&gt;"pvp",Inputs!$B$43&gt;0),((Skills!G6*((R2227-1)*IF(Skills!H6&gt;0,Skills!I6/Skills!H6,1)+IF(Skills!H6&gt;0,MIN(Skills!I6,MAX(0,MAX(0,Inputs!$B$43-B2258)-((R2227-1)*(IF(Inputs!$B$38="pvp",15,MAX(0.1,Skills!D6-IF(Skills!E6=TRUE,Inputs!$B$32,0)))*(1-IF(AND(ArtifactsInput!$M$27,Inputs!$B$4="Chapter Hunt"),CHOOSE(ArtifactsInput!$N$27+1,20,24,28,32,36,40),0)/100)))))/Skills!H6,1)))/Inputs!$B$43),G2227*Q2227)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2227*(1-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2227*(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2227*(1-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2227*(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7">
        <f>IF(C2227,(H2227*N2227*IF(AND(Inputs!$B$38&lt;&gt;"pvp",Inputs!$B$43&gt;0),((Skills!G6*((R2227-1)*IF(Skills!H6&gt;0,Skills!I6/Skills!H6,1)+IF(Skills!H6&gt;0,MIN(Skills!I6,MAX(0,MAX(0,Inputs!$B$43-B2258)-((R2227-1)*(IF(Inputs!$B$38="pvp",15,MAX(0.1,Skills!D6-IF(Skills!E6=TRUE,Inputs!$B$32,0)))*(1-IF(AND(ArtifactsInput!$M$27,Inputs!$B$4="Chapter Hunt"),CHOOSE(ArtifactsInput!$N$27+1,20,24,28,32,36,40),0)/100)))))/Skills!H6,1)))/Inputs!$B$43),G2227*Q2227))*IF(Inputs!$B$38="pvp",1,(1+(Inputs!$B$21+Skills!Q6+(IF(ArtifactsInput!$M$33,CHOOSE(ArtifactsInput!$N$33+1,30,36,42,48,54,60)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8">
      <c r="A2228">
        <f>Skills!A7</f>
        <v/>
      </c>
      <c r="B2228">
        <f>Skills!B7</f>
        <v/>
      </c>
      <c r="C2228">
        <f>Inputs!$B$3&gt;=66</f>
        <v/>
      </c>
      <c r="D2228">
        <f>IF(Skills!C7=1,60+Inputs!$B$25+Inputs!$B$29,IF(Skills!C7=2,90+Inputs!$B$26+Inputs!$B$29,IF(Skills!C7=3,120+Inputs!$B$27+Inputs!$B$29,MAX(0,(Inputs!$B$3-100)*3)+Inputs!$B$28+Inputs!$B$29)))</f>
        <v/>
      </c>
      <c r="E2228">
        <f>INDEX(FactorTable!$B$2:$Y$301, MATCH(ROUND(MIN(300,MAX(1,D2228)),0), FactorTable!$A$2:$A$301,0), Skills!M7+1)</f>
        <v/>
      </c>
      <c r="F2228">
        <f>IF(Skills!N7=TRUE,(Skills!L7/10)*(E2228/1000),Skills!L7/10)+Skills!O7</f>
        <v/>
      </c>
      <c r="G2228">
        <f>Skills!G7*IF(Skills!H7&gt;0,Skills!I7/Skills!H7,1)</f>
        <v/>
      </c>
      <c r="H2228">
        <f>1-(1-Skills!J7/100)^Skills!K7</f>
        <v/>
      </c>
      <c r="I2228" t="inlineStr">
        <is>
          <t>1</t>
        </is>
      </c>
      <c r="J2228">
        <f>((Inputs!$B$6*(1+Inputs!$B$7/100))+(((Inputs!$B$12*(1+Inputs!$B$13/100))-(Inputs!$B$12*(1+Inputs!$B$13/100)))+0.25*(Inputs!$B$14-Inputs!$B$14))*(1+Inputs!$B$7/100))*(F2228/100)</f>
        <v/>
      </c>
      <c r="K2228">
        <f>J2228*(1+((Inputs!$B$12*(1+Inputs!$B$13/100))*0.01+Inputs!$B$14*0.0025)/100)*(1+Inputs!$B$15/100)*(1+Inputs!$B$16/100)*(5000/(6000+Inputs!$B$42*(1-(100*(1-(1-(Inputs!$B$19+0)/100)*(1-CHOOSE(ArtifactsInput!$N$40+1,5,6,7,8,9,10)/100)^(ArtifactsInput!$M$40-ArtifactsInput!$M$40)))/100)))*(1+(Inputs!$B$24+((C2247=TRUE)*(F2247-Calc!F26))+B2257)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2236=TRUE,F2236,0)/100)*(1+(IF(Skills!A7="EIGHT_LEGS_EASTON",Inputs!$B$17+((C2244=TRUE)*(F2244-Calc!F23))+((C2248=TRUE)*(F2248-Calc!F27))+(((IF(AND(ArtifactsInput!$M$42,((Inputs!$B$9+((C2240=TRUE)*(F2240-Calc!F19))+B2251+(ArtifactsInput!$M$24-ArtifactsInput!$M$24)*CHOOSE(ArtifactsInput!$N$24+1,10,12,14,16,18,20)+IF(ArtifactsInput!$M$10,CHOOSE(ArtifactsInput!$N$10+1,15,18,21,24,27,30)*(IF(Inputs!$B$38="pvp",MIN(15,15)/15,IF(AND(Inputs!$B$38&lt;&gt;"pvp",Inputs!$B$43&gt;0),MIN(15,Inputs!$B$43)/(Inputs!$B$43),0))),0)))&gt;=100),MIN(100,((Inputs!$B$9+((C2240=TRUE)*(F2240-Calc!F19))+B2251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2240=TRUE)*(F2240-Calc!F19))+B2251+(ArtifactsInput!$M$24-ArtifactsInput!$M$24)*CHOOSE(ArtifactsInput!$N$24+1,10,12,14,16,18,20)+IF(ArtifactsInput!$M$10,CHOOSE(ArtifactsInput!$N$10+1,15,18,21,24,27,30)*(IF(Inputs!$B$38="pvp",MIN(15,15)/15,IF(AND(Inputs!$B$38&lt;&gt;"pvp",Inputs!$B$43&gt;0),MIN(15,Inputs!$B$43)/(Inputs!$B$43),0))),0)))&gt;=100),CHOOSE(ArtifactsInput!$N$42+1,40,48,56,64,72,80),0))))/100)*((1+(((C2238=TRUE)*F2238)+((C2245=TRUE)*(F2245-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2228)</f>
        <v/>
      </c>
      <c r="L2228">
        <f>K2228*(MIN(Inputs!$B$22+((C2243=TRUE)*(F2243-Calc!F22)),(Inputs!$B$23+0+(IF(ArtifactsInput!$M$15,CHOOSE(ArtifactsInput!$N$15+1,25,30,35,40,45,50)/100*(Inputs!$B$11-Inputs!$B$11),0))))/100+(Inputs!$B$23+0+(IF(ArtifactsInput!$M$15,CHOOSE(ArtifactsInput!$N$15+1,25,30,35,40,45,50)/100*(Inputs!$B$11-Inputs!$B$11),0)))/100)/2</f>
        <v/>
      </c>
      <c r="M2228">
        <f>L2228*(1+(Inputs!$B$10+((C2246=TRUE)*(F2246-Calc!F25))+B2256+(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28">
        <f>L2228*(1-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2228*(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8">
        <f>(1-Summary!$B$11)*T2228+Summary!$B$11*V2228</f>
        <v/>
      </c>
      <c r="P2228">
        <f>IF(B2261=0,0,O2228/B2261)</f>
        <v/>
      </c>
      <c r="Q2228">
        <f>IFERROR(1/(IF(Inputs!$B$38="pvp",15,MAX(0.1,Skills!D7-IF(Skills!E7=TRUE,Inputs!$B$32,0)))*(1-IF(AND(ArtifactsInput!$M$27,Inputs!$B$4="Chapter Hunt"),CHOOSE(ArtifactsInput!$N$27+1,20,24,28,32,36,40),0)/100)),0)</f>
        <v/>
      </c>
      <c r="R2228">
        <f>IF(AND(Inputs!$B$38&lt;&gt;"pvp",Inputs!$B$43&gt;0),IF(MAX(0,Inputs!$B$43-B2258)&lt;=0,0,(INT(MAX(0,Inputs!$B$43-B2258)/(IF(Inputs!$B$38="pvp",15,MAX(0.1,Skills!D7-IF(Skills!E7=TRUE,Inputs!$B$32,0)))*(1-IF(AND(ArtifactsInput!$M$27,Inputs!$B$4="Chapter Hunt"),CHOOSE(ArtifactsInput!$N$27+1,20,24,28,32,36,40),0)/100)))+1)),0)</f>
        <v/>
      </c>
      <c r="S2228">
        <f>IFERROR(O2228/N2228,0)</f>
        <v/>
      </c>
      <c r="T2228">
        <f>IF(C2228,(H2228*N2228*IF(AND(Inputs!$B$38&lt;&gt;"pvp",Inputs!$B$43&gt;0),((Skills!G7*((R2228-1)*IF(Skills!H7&gt;0,Skills!I7/Skills!H7,1)+IF(Skills!H7&gt;0,MIN(Skills!I7,MAX(0,MAX(0,Inputs!$B$43-B2258)-((R2228-1)*(IF(Inputs!$B$38="pvp",15,MAX(0.1,Skills!D7-IF(Skills!E7=TRUE,Inputs!$B$32,0)))*(1-IF(AND(ArtifactsInput!$M$27,Inputs!$B$4="Chapter Hunt"),CHOOSE(ArtifactsInput!$N$27+1,20,24,28,32,36,40),0)/100)))))/Skills!H7,1)))/Inputs!$B$43),G2228*Q2228)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2228*(1-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2228*(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2228*(1-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2228*(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8">
        <f>IF(C2228,(H2228*N2228*IF(AND(Inputs!$B$38&lt;&gt;"pvp",Inputs!$B$43&gt;0),((Skills!G7*((R2228-1)*IF(Skills!H7&gt;0,Skills!I7/Skills!H7,1)+IF(Skills!H7&gt;0,MIN(Skills!I7,MAX(0,MAX(0,Inputs!$B$43-B2258)-((R2228-1)*(IF(Inputs!$B$38="pvp",15,MAX(0.1,Skills!D7-IF(Skills!E7=TRUE,Inputs!$B$32,0)))*(1-IF(AND(ArtifactsInput!$M$27,Inputs!$B$4="Chapter Hunt"),CHOOSE(ArtifactsInput!$N$27+1,20,24,28,32,36,40),0)/100)))))/Skills!H7,1)))/Inputs!$B$43),G2228*Q2228))*IF(Inputs!$B$38="pvp",1,(1+(Inputs!$B$21+Skills!Q7+(IF(ArtifactsInput!$M$33,CHOOSE(ArtifactsInput!$N$33+1,30,36,42,48,54,60)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9">
      <c r="A2229">
        <f>Skills!A8</f>
        <v/>
      </c>
      <c r="B2229">
        <f>Skills!B8</f>
        <v/>
      </c>
      <c r="C2229">
        <f>Inputs!$B$3&gt;=100</f>
        <v/>
      </c>
      <c r="D2229">
        <f>IF(Skills!C8=1,60+Inputs!$B$25+Inputs!$B$29,IF(Skills!C8=2,90+Inputs!$B$26+Inputs!$B$29,IF(Skills!C8=3,120+Inputs!$B$27+Inputs!$B$29,MAX(0,(Inputs!$B$3-100)*3)+Inputs!$B$28+Inputs!$B$29)))</f>
        <v/>
      </c>
      <c r="E2229">
        <f>INDEX(FactorTable!$B$2:$Y$301, MATCH(ROUND(MIN(300,MAX(1,D2229)),0), FactorTable!$A$2:$A$301,0), Skills!M8+1)</f>
        <v/>
      </c>
      <c r="F2229">
        <f>IF(Skills!N8=TRUE,(Skills!L8/10)*(E2229/1000),Skills!L8/10)+Skills!O8</f>
        <v/>
      </c>
      <c r="G2229">
        <f>Skills!G8*IF(Skills!H8&gt;0,Skills!I8/Skills!H8,1)</f>
        <v/>
      </c>
      <c r="H2229">
        <f>1-(1-Skills!J8/100)^Skills!K8</f>
        <v/>
      </c>
      <c r="I2229" t="inlineStr">
        <is>
          <t>1</t>
        </is>
      </c>
      <c r="J2229">
        <f>((Inputs!$B$6*(1+Inputs!$B$7/100))+(((Inputs!$B$12*(1+Inputs!$B$13/100))-(Inputs!$B$12*(1+Inputs!$B$13/100)))+0.25*(Inputs!$B$14-Inputs!$B$14))*(1+Inputs!$B$7/100))*(F2229/100)</f>
        <v/>
      </c>
      <c r="K2229">
        <f>J2229*(1+((Inputs!$B$12*(1+Inputs!$B$13/100))*0.01+Inputs!$B$14*0.0025)/100)*(1+Inputs!$B$15/100)*(1+Inputs!$B$16/100)*(5000/(6000+Inputs!$B$42*(1-(100*(1-(1-(Inputs!$B$19+0)/100)*(1-CHOOSE(ArtifactsInput!$N$40+1,5,6,7,8,9,10)/100)^(ArtifactsInput!$M$40-ArtifactsInput!$M$40)))/100)))*(1+(Inputs!$B$24+((C2247=TRUE)*(F2247-Calc!F26))+B2257)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2244=TRUE)*(F2244-Calc!F23))+((C2248=TRUE)*(F2248-Calc!F27))+(((IF(AND(ArtifactsInput!$M$42,((Inputs!$B$9+((C2240=TRUE)*(F2240-Calc!F19))+B2251+(ArtifactsInput!$M$24-ArtifactsInput!$M$24)*CHOOSE(ArtifactsInput!$N$24+1,10,12,14,16,18,20)+IF(ArtifactsInput!$M$10,CHOOSE(ArtifactsInput!$N$10+1,15,18,21,24,27,30)*(IF(Inputs!$B$38="pvp",MIN(15,15)/15,IF(AND(Inputs!$B$38&lt;&gt;"pvp",Inputs!$B$43&gt;0),MIN(15,Inputs!$B$43)/(Inputs!$B$43),0))),0)))&gt;=100),MIN(100,((Inputs!$B$9+((C2240=TRUE)*(F2240-Calc!F19))+B2251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2240=TRUE)*(F2240-Calc!F19))+B2251+(ArtifactsInput!$M$24-ArtifactsInput!$M$24)*CHOOSE(ArtifactsInput!$N$24+1,10,12,14,16,18,20)+IF(ArtifactsInput!$M$10,CHOOSE(ArtifactsInput!$N$10+1,15,18,21,24,27,30)*(IF(Inputs!$B$38="pvp",MIN(15,15)/15,IF(AND(Inputs!$B$38&lt;&gt;"pvp",Inputs!$B$43&gt;0),MIN(15,Inputs!$B$43)/(Inputs!$B$43),0))),0)))&gt;=100),CHOOSE(ArtifactsInput!$N$42+1,40,48,56,64,72,80),0))))/100)*((1+(((C2238=TRUE)*F2238)+((C2245=TRUE)*(F2245-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2229)</f>
        <v/>
      </c>
      <c r="L2229">
        <f>K2229*(MIN(Inputs!$B$22+((C2243=TRUE)*(F2243-Calc!F22)),(Inputs!$B$23+0+(IF(ArtifactsInput!$M$15,CHOOSE(ArtifactsInput!$N$15+1,25,30,35,40,45,50)/100*(Inputs!$B$11-Inputs!$B$11),0))))/100+(Inputs!$B$23+0+(IF(ArtifactsInput!$M$15,CHOOSE(ArtifactsInput!$N$15+1,25,30,35,40,45,50)/100*(Inputs!$B$11-Inputs!$B$11),0)))/100)/2</f>
        <v/>
      </c>
      <c r="M2229">
        <f>L2229*(1+(Inputs!$B$10+((C2246=TRUE)*(F2246-Calc!F25))+B2256+(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29">
        <f>L2229*(1-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2229*(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9">
        <f>(1-Summary!$B$11)*T2229+Summary!$B$11*V2229</f>
        <v/>
      </c>
      <c r="P2229">
        <f>IF(B2261=0,0,O2229/B2261)</f>
        <v/>
      </c>
      <c r="Q2229">
        <f>IFERROR(1/(IF(Inputs!$B$38="pvp",15,MAX(0.1,Skills!D8-IF(Skills!E8=TRUE,Inputs!$B$32,0)))*(1-IF(AND(ArtifactsInput!$M$27,Inputs!$B$4="Chapter Hunt"),CHOOSE(ArtifactsInput!$N$27+1,20,24,28,32,36,40),0)/100)),0)</f>
        <v/>
      </c>
      <c r="R2229">
        <f>IF(AND(Inputs!$B$38&lt;&gt;"pvp",Inputs!$B$43&gt;0),IF(MAX(0,Inputs!$B$43-B2258)&lt;=0,0,(INT(MAX(0,Inputs!$B$43-B2258)/(IF(Inputs!$B$38="pvp",15,MAX(0.1,Skills!D8-IF(Skills!E8=TRUE,Inputs!$B$32,0)))*(1-IF(AND(ArtifactsInput!$M$27,Inputs!$B$4="Chapter Hunt"),CHOOSE(ArtifactsInput!$N$27+1,20,24,28,32,36,40),0)/100)))+1)),0)</f>
        <v/>
      </c>
      <c r="S2229">
        <f>IFERROR(O2229/N2229,0)</f>
        <v/>
      </c>
      <c r="T2229">
        <f>IF(C2229,(H2229*N2229*IF(AND(Inputs!$B$38&lt;&gt;"pvp",Inputs!$B$43&gt;0),((Skills!G8*((R2229-1)*IF(Skills!H8&gt;0,Skills!I8/Skills!H8,1)+IF(Skills!H8&gt;0,MIN(Skills!I8,MAX(0,MAX(0,Inputs!$B$43-B2258)-((R2229-1)*(IF(Inputs!$B$38="pvp",15,MAX(0.1,Skills!D8-IF(Skills!E8=TRUE,Inputs!$B$32,0)))*(1-IF(AND(ArtifactsInput!$M$27,Inputs!$B$4="Chapter Hunt"),CHOOSE(ArtifactsInput!$N$27+1,20,24,28,32,36,40),0)/100)))))/Skills!H8,1)))/Inputs!$B$43),G2229*Q2229)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2229*(1-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2229*(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2229*(1-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2229*(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9">
        <f>IF(C2229,(H2229*N2229*IF(AND(Inputs!$B$38&lt;&gt;"pvp",Inputs!$B$43&gt;0),((Skills!G8*((R2229-1)*IF(Skills!H8&gt;0,Skills!I8/Skills!H8,1)+IF(Skills!H8&gt;0,MIN(Skills!I8,MAX(0,MAX(0,Inputs!$B$43-B2258)-((R2229-1)*(IF(Inputs!$B$38="pvp",15,MAX(0.1,Skills!D8-IF(Skills!E8=TRUE,Inputs!$B$32,0)))*(1-IF(AND(ArtifactsInput!$M$27,Inputs!$B$4="Chapter Hunt"),CHOOSE(ArtifactsInput!$N$27+1,20,24,28,32,36,40),0)/100)))))/Skills!H8,1)))/Inputs!$B$43),G2229*Q2229))*IF(Inputs!$B$38="pvp",1,(1+(Inputs!$B$21+Skills!Q8+(IF(ArtifactsInput!$M$33,CHOOSE(ArtifactsInput!$N$33+1,30,36,42,48,54,60)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0">
      <c r="A2230">
        <f>Skills!A9</f>
        <v/>
      </c>
      <c r="B2230">
        <f>Skills!B9</f>
        <v/>
      </c>
      <c r="C2230">
        <f>Inputs!$B$3&gt;=103</f>
        <v/>
      </c>
      <c r="D2230">
        <f>IF(Skills!C9=1,60+Inputs!$B$25+Inputs!$B$29,IF(Skills!C9=2,90+Inputs!$B$26+Inputs!$B$29,IF(Skills!C9=3,120+Inputs!$B$27+Inputs!$B$29,MAX(0,(Inputs!$B$3-100)*3)+Inputs!$B$28+Inputs!$B$29)))</f>
        <v/>
      </c>
      <c r="E2230">
        <f>INDEX(FactorTable!$B$2:$Y$301, MATCH(ROUND(MIN(300,MAX(1,D2230)),0), FactorTable!$A$2:$A$301,0), Skills!M9+1)</f>
        <v/>
      </c>
      <c r="F2230">
        <f>IF(Skills!N9=TRUE,(Skills!L9/10)*(E2230/1000),Skills!L9/10)+Skills!O9</f>
        <v/>
      </c>
      <c r="G2230">
        <f>Skills!G9*IF(Skills!H9&gt;0,Skills!I9/Skills!H9,1)</f>
        <v/>
      </c>
      <c r="H2230">
        <f>1-(1-Skills!J9/100)^Skills!K9</f>
        <v/>
      </c>
      <c r="I2230" t="inlineStr">
        <is>
          <t>1</t>
        </is>
      </c>
      <c r="J2230">
        <f>((Inputs!$B$6*(1+Inputs!$B$7/100))+(((Inputs!$B$12*(1+Inputs!$B$13/100))-(Inputs!$B$12*(1+Inputs!$B$13/100)))+0.25*(Inputs!$B$14-Inputs!$B$14))*(1+Inputs!$B$7/100))*(F2230/100)</f>
        <v/>
      </c>
      <c r="K2230">
        <f>J2230*(1+((Inputs!$B$12*(1+Inputs!$B$13/100))*0.01+Inputs!$B$14*0.0025)/100)*(1+Inputs!$B$15/100)*(1+Inputs!$B$16/100)*(5000/(6000+Inputs!$B$42*(1-(100*(1-(1-(Inputs!$B$19+0)/100)*(1-CHOOSE(ArtifactsInput!$N$40+1,5,6,7,8,9,10)/100)^(ArtifactsInput!$M$40-ArtifactsInput!$M$40)))/100)))*(1+(Inputs!$B$24+((C2247=TRUE)*(F2247-Calc!F26))+B2257)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2244=TRUE)*(F2244-Calc!F23))+((C2248=TRUE)*(F2248-Calc!F27))+(((IF(AND(ArtifactsInput!$M$42,((Inputs!$B$9+((C2240=TRUE)*(F2240-Calc!F19))+B2251+(ArtifactsInput!$M$24-ArtifactsInput!$M$24)*CHOOSE(ArtifactsInput!$N$24+1,10,12,14,16,18,20)+IF(ArtifactsInput!$M$10,CHOOSE(ArtifactsInput!$N$10+1,15,18,21,24,27,30)*(IF(Inputs!$B$38="pvp",MIN(15,15)/15,IF(AND(Inputs!$B$38&lt;&gt;"pvp",Inputs!$B$43&gt;0),MIN(15,Inputs!$B$43)/(Inputs!$B$43),0))),0)))&gt;=100),MIN(100,((Inputs!$B$9+((C2240=TRUE)*(F2240-Calc!F19))+B2251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2240=TRUE)*(F2240-Calc!F19))+B2251+(ArtifactsInput!$M$24-ArtifactsInput!$M$24)*CHOOSE(ArtifactsInput!$N$24+1,10,12,14,16,18,20)+IF(ArtifactsInput!$M$10,CHOOSE(ArtifactsInput!$N$10+1,15,18,21,24,27,30)*(IF(Inputs!$B$38="pvp",MIN(15,15)/15,IF(AND(Inputs!$B$38&lt;&gt;"pvp",Inputs!$B$43&gt;0),MIN(15,Inputs!$B$43)/(Inputs!$B$43),0))),0)))&gt;=100),CHOOSE(ArtifactsInput!$N$42+1,40,48,56,64,72,80),0))))/100)*((1+(((C2238=TRUE)*F2238)+((C2245=TRUE)*(F2245-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2230)</f>
        <v/>
      </c>
      <c r="L2230">
        <f>K2230*(MIN(Inputs!$B$22+((C2243=TRUE)*(F2243-Calc!F22)),(Inputs!$B$23+0+(IF(ArtifactsInput!$M$15,CHOOSE(ArtifactsInput!$N$15+1,25,30,35,40,45,50)/100*(Inputs!$B$11-Inputs!$B$11),0))))/100+(Inputs!$B$23+0+(IF(ArtifactsInput!$M$15,CHOOSE(ArtifactsInput!$N$15+1,25,30,35,40,45,50)/100*(Inputs!$B$11-Inputs!$B$11),0)))/100)/2</f>
        <v/>
      </c>
      <c r="M2230">
        <f>L2230*(1+(Inputs!$B$10+((C2246=TRUE)*(F2246-Calc!F25))+B2256+(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0">
        <f>L2230*(1-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2230*(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0">
        <f>(1-Summary!$B$11)*T2230+Summary!$B$11*V2230</f>
        <v/>
      </c>
      <c r="P2230">
        <f>IF(B2261=0,0,O2230/B2261)</f>
        <v/>
      </c>
      <c r="Q2230">
        <f>IFERROR(1/(IF(Inputs!$B$38="pvp",15,MAX(0.1,Skills!D9-IF(Skills!E9=TRUE,Inputs!$B$32,0)))*(1-IF(AND(ArtifactsInput!$M$27,Inputs!$B$4="Chapter Hunt"),CHOOSE(ArtifactsInput!$N$27+1,20,24,28,32,36,40),0)/100)),0)</f>
        <v/>
      </c>
      <c r="R2230">
        <f>IF(AND(Inputs!$B$38&lt;&gt;"pvp",Inputs!$B$43&gt;0),IF(MAX(0,Inputs!$B$43-B2258)&lt;=0,0,(INT(MAX(0,Inputs!$B$43-B2258)/(IF(Inputs!$B$38="pvp",15,MAX(0.1,Skills!D9-IF(Skills!E9=TRUE,Inputs!$B$32,0)))*(1-IF(AND(ArtifactsInput!$M$27,Inputs!$B$4="Chapter Hunt"),CHOOSE(ArtifactsInput!$N$27+1,20,24,28,32,36,40),0)/100)))+1)),0)</f>
        <v/>
      </c>
      <c r="S2230">
        <f>IFERROR(O2230/N2230,0)</f>
        <v/>
      </c>
      <c r="T2230">
        <f>IF(C2230,(H2230*N2230*IF(AND(Inputs!$B$38&lt;&gt;"pvp",Inputs!$B$43&gt;0),((Skills!G9*((R2230-1)*IF(Skills!H9&gt;0,Skills!I9/Skills!H9,1)+IF(Skills!H9&gt;0,MIN(Skills!I9,MAX(0,MAX(0,Inputs!$B$43-B2258)-((R2230-1)*(IF(Inputs!$B$38="pvp",15,MAX(0.1,Skills!D9-IF(Skills!E9=TRUE,Inputs!$B$32,0)))*(1-IF(AND(ArtifactsInput!$M$27,Inputs!$B$4="Chapter Hunt"),CHOOSE(ArtifactsInput!$N$27+1,20,24,28,32,36,40),0)/100)))))/Skills!H9,1)))/Inputs!$B$43),G2230*Q2230)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2230*(1-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2230*(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2230*(1-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2230*(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0">
        <f>IF(C2230,(H2230*N2230*IF(AND(Inputs!$B$38&lt;&gt;"pvp",Inputs!$B$43&gt;0),((Skills!G9*((R2230-1)*IF(Skills!H9&gt;0,Skills!I9/Skills!H9,1)+IF(Skills!H9&gt;0,MIN(Skills!I9,MAX(0,MAX(0,Inputs!$B$43-B2258)-((R2230-1)*(IF(Inputs!$B$38="pvp",15,MAX(0.1,Skills!D9-IF(Skills!E9=TRUE,Inputs!$B$32,0)))*(1-IF(AND(ArtifactsInput!$M$27,Inputs!$B$4="Chapter Hunt"),CHOOSE(ArtifactsInput!$N$27+1,20,24,28,32,36,40),0)/100)))))/Skills!H9,1)))/Inputs!$B$43),G2230*Q2230))*IF(Inputs!$B$38="pvp",1,(1+(Inputs!$B$21+Skills!Q9+(IF(ArtifactsInput!$M$33,CHOOSE(ArtifactsInput!$N$33+1,30,36,42,48,54,60)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1">
      <c r="A2231">
        <f>Skills!A10</f>
        <v/>
      </c>
      <c r="B2231">
        <f>Skills!B10</f>
        <v/>
      </c>
      <c r="C2231">
        <f>Inputs!$B$3&gt;=113</f>
        <v/>
      </c>
      <c r="D2231">
        <f>IF(Skills!C10=1,60+Inputs!$B$25+Inputs!$B$29,IF(Skills!C10=2,90+Inputs!$B$26+Inputs!$B$29,IF(Skills!C10=3,120+Inputs!$B$27+Inputs!$B$29,MAX(0,(Inputs!$B$3-100)*3)+Inputs!$B$28+Inputs!$B$29)))</f>
        <v/>
      </c>
      <c r="E2231">
        <f>INDEX(FactorTable!$B$2:$Y$301, MATCH(ROUND(MIN(300,MAX(1,D2231)),0), FactorTable!$A$2:$A$301,0), Skills!M10+1)</f>
        <v/>
      </c>
      <c r="F2231">
        <f>IF(Skills!N10=TRUE,(Skills!L10/10)*(E2231/1000),Skills!L10/10)+Skills!O10</f>
        <v/>
      </c>
      <c r="G2231">
        <f>Skills!G10*IF(Skills!H10&gt;0,Skills!I10/Skills!H10,1)</f>
        <v/>
      </c>
      <c r="H2231">
        <f>1-(1-Skills!J10/100)^Skills!K10</f>
        <v/>
      </c>
      <c r="I2231" t="inlineStr">
        <is>
          <t>1</t>
        </is>
      </c>
      <c r="J2231">
        <f>((Inputs!$B$6*(1+Inputs!$B$7/100))+(((Inputs!$B$12*(1+Inputs!$B$13/100))-(Inputs!$B$12*(1+Inputs!$B$13/100)))+0.25*(Inputs!$B$14-Inputs!$B$14))*(1+Inputs!$B$7/100))*(F2231/100)</f>
        <v/>
      </c>
      <c r="K2231">
        <f>J2231*(1+((Inputs!$B$12*(1+Inputs!$B$13/100))*0.01+Inputs!$B$14*0.0025)/100)*(1+Inputs!$B$15/100)*(1+Inputs!$B$16/100)*(5000/(6000+Inputs!$B$42*(1-(100*(1-(1-(Inputs!$B$19+0)/100)*(1-CHOOSE(ArtifactsInput!$N$40+1,5,6,7,8,9,10)/100)^(ArtifactsInput!$M$40-ArtifactsInput!$M$40)))/100)))*(1+(Inputs!$B$24+((C2247=TRUE)*(F2247-Calc!F26))+B2257)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2244=TRUE)*(F2244-Calc!F23))+((C2248=TRUE)*(F2248-Calc!F27))+(((IF(AND(ArtifactsInput!$M$42,((Inputs!$B$9+((C2240=TRUE)*(F2240-Calc!F19))+B2251+(ArtifactsInput!$M$24-ArtifactsInput!$M$24)*CHOOSE(ArtifactsInput!$N$24+1,10,12,14,16,18,20)+IF(ArtifactsInput!$M$10,CHOOSE(ArtifactsInput!$N$10+1,15,18,21,24,27,30)*(IF(Inputs!$B$38="pvp",MIN(15,15)/15,IF(AND(Inputs!$B$38&lt;&gt;"pvp",Inputs!$B$43&gt;0),MIN(15,Inputs!$B$43)/(Inputs!$B$43),0))),0)))&gt;=100),MIN(100,((Inputs!$B$9+((C2240=TRUE)*(F2240-Calc!F19))+B2251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2240=TRUE)*(F2240-Calc!F19))+B2251+(ArtifactsInput!$M$24-ArtifactsInput!$M$24)*CHOOSE(ArtifactsInput!$N$24+1,10,12,14,16,18,20)+IF(ArtifactsInput!$M$10,CHOOSE(ArtifactsInput!$N$10+1,15,18,21,24,27,30)*(IF(Inputs!$B$38="pvp",MIN(15,15)/15,IF(AND(Inputs!$B$38&lt;&gt;"pvp",Inputs!$B$43&gt;0),MIN(15,Inputs!$B$43)/(Inputs!$B$43),0))),0)))&gt;=100),CHOOSE(ArtifactsInput!$N$42+1,40,48,56,64,72,80),0))))/100)*((1+(((C2238=TRUE)*F2238)+((C2245=TRUE)*(F2245-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2231)</f>
        <v/>
      </c>
      <c r="L2231">
        <f>K2231*(MIN(Inputs!$B$22+((C2243=TRUE)*(F2243-Calc!F22)),(Inputs!$B$23+0+(IF(ArtifactsInput!$M$15,CHOOSE(ArtifactsInput!$N$15+1,25,30,35,40,45,50)/100*(Inputs!$B$11-Inputs!$B$11),0))))/100+(Inputs!$B$23+0+(IF(ArtifactsInput!$M$15,CHOOSE(ArtifactsInput!$N$15+1,25,30,35,40,45,50)/100*(Inputs!$B$11-Inputs!$B$11),0)))/100)/2</f>
        <v/>
      </c>
      <c r="M2231">
        <f>L2231*(1+(Inputs!$B$10+((C2246=TRUE)*(F2246-Calc!F25))+B2256+(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1">
        <f>L2231*(1-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2231*(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1">
        <f>(1-Summary!$B$11)*T2231+Summary!$B$11*V2231</f>
        <v/>
      </c>
      <c r="P2231">
        <f>IF(B2261=0,0,O2231/B2261)</f>
        <v/>
      </c>
      <c r="Q2231">
        <f>IFERROR(1/(IF(Inputs!$B$38="pvp",15,MAX(0.1,Skills!D10-IF(Skills!E10=TRUE,Inputs!$B$32,0)))*(1-IF(AND(ArtifactsInput!$M$27,Inputs!$B$4="Chapter Hunt"),CHOOSE(ArtifactsInput!$N$27+1,20,24,28,32,36,40),0)/100)),0)</f>
        <v/>
      </c>
      <c r="R2231">
        <f>IF(AND(Inputs!$B$38&lt;&gt;"pvp",Inputs!$B$43&gt;0),IF(MAX(0,Inputs!$B$43-B2258)&lt;=0,0,(INT(MAX(0,Inputs!$B$43-B2258)/(IF(Inputs!$B$38="pvp",15,MAX(0.1,Skills!D10-IF(Skills!E10=TRUE,Inputs!$B$32,0)))*(1-IF(AND(ArtifactsInput!$M$27,Inputs!$B$4="Chapter Hunt"),CHOOSE(ArtifactsInput!$N$27+1,20,24,28,32,36,40),0)/100)))+1)),0)</f>
        <v/>
      </c>
      <c r="S2231">
        <f>IFERROR(O2231/N2231,0)</f>
        <v/>
      </c>
      <c r="T2231">
        <f>IF(C2231,(H2231*N2231*IF(AND(Inputs!$B$38&lt;&gt;"pvp",Inputs!$B$43&gt;0),((Skills!G10*((R2231-1)*IF(Skills!H10&gt;0,Skills!I10/Skills!H10,1)+IF(Skills!H10&gt;0,MIN(Skills!I10,MAX(0,MAX(0,Inputs!$B$43-B2258)-((R2231-1)*(IF(Inputs!$B$38="pvp",15,MAX(0.1,Skills!D10-IF(Skills!E10=TRUE,Inputs!$B$32,0)))*(1-IF(AND(ArtifactsInput!$M$27,Inputs!$B$4="Chapter Hunt"),CHOOSE(ArtifactsInput!$N$27+1,20,24,28,32,36,40),0)/100)))))/Skills!H10,1)))/Inputs!$B$43),G2231*Q2231)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2231*(1-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2231*(1-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1">
        <f>IF(C2231,(H2231*N2231*IF(AND(Inputs!$B$38&lt;&gt;"pvp",Inputs!$B$43&gt;0),((Skills!G10*((R2231-1)*IF(Skills!H10&gt;0,Skills!I10/Skills!H10,1)+IF(Skills!H10&gt;0,MIN(Skills!I10,MAX(0,MAX(0,Inputs!$B$43-B2258)-((R2231-1)*(IF(Inputs!$B$38="pvp",15,MAX(0.1,Skills!D10-IF(Skills!E10=TRUE,Inputs!$B$32,0)))*(1-IF(AND(ArtifactsInput!$M$27,Inputs!$B$4="Chapter Hunt"),CHOOSE(ArtifactsInput!$N$27+1,20,24,28,32,36,40),0)/100)))))/Skills!H10,1)))/Inputs!$B$43),G2231*Q2231))*IF(Inputs!$B$38="pvp",1,(1+(Inputs!$B$21+Skills!Q10+(IF(ArtifactsInput!$M$33,CHOOSE(ArtifactsInput!$N$33+1,30,36,42,48,54,60)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2">
      <c r="A2232">
        <f>Skills!A11</f>
        <v/>
      </c>
      <c r="B2232">
        <f>Skills!B11</f>
        <v/>
      </c>
      <c r="C2232">
        <f>Inputs!$B$3&gt;=107</f>
        <v/>
      </c>
      <c r="D2232">
        <f>IF(Skills!C11=1,60+Inputs!$B$25+Inputs!$B$29,IF(Skills!C11=2,90+Inputs!$B$26+Inputs!$B$29,IF(Skills!C11=3,120+Inputs!$B$27+Inputs!$B$29,MAX(0,(Inputs!$B$3-100)*3)+Inputs!$B$28+Inputs!$B$29)))</f>
        <v/>
      </c>
      <c r="E2232">
        <f>INDEX(FactorTable!$B$2:$Y$301, MATCH(ROUND(MIN(300,MAX(1,D2232)),0), FactorTable!$A$2:$A$301,0), Skills!M11+1)</f>
        <v/>
      </c>
      <c r="F2232">
        <f>IF(Skills!N11=TRUE,(Skills!L11/10)*(E2232/1000),Skills!L11/10)+Skills!O11</f>
        <v/>
      </c>
      <c r="G2232">
        <f>Skills!G11*IF(Skills!H11&gt;0,Skills!I11/Skills!H11,1)</f>
        <v/>
      </c>
      <c r="H2232">
        <f>1-(1-Skills!J11/100)^Skills!K11</f>
        <v/>
      </c>
      <c r="I2232" t="inlineStr">
        <is>
          <t>1</t>
        </is>
      </c>
      <c r="J2232">
        <f>((Inputs!$B$6*(1+Inputs!$B$7/100))+(((Inputs!$B$12*(1+Inputs!$B$13/100))-(Inputs!$B$12*(1+Inputs!$B$13/100)))+0.25*(Inputs!$B$14-Inputs!$B$14))*(1+Inputs!$B$7/100))*(F2232/100)</f>
        <v/>
      </c>
      <c r="K2232">
        <f>J2232*(1+((Inputs!$B$12*(1+Inputs!$B$13/100))*0.01+Inputs!$B$14*0.0025)/100)*(1+Inputs!$B$15/100)*(1+Inputs!$B$16/100)*(5000/(6000+Inputs!$B$42*(1-(100*(1-(1-(Inputs!$B$19+0)/100)*(1-CHOOSE(ArtifactsInput!$N$40+1,5,6,7,8,9,10)/100)^(ArtifactsInput!$M$40-ArtifactsInput!$M$40)))/100)))*(1+(Inputs!$B$24+((C2247=TRUE)*(F2247-Calc!F26))+B2257)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2244=TRUE)*(F2244-Calc!F23))+((C2248=TRUE)*(F2248-Calc!F27))+(((IF(AND(ArtifactsInput!$M$42,((Inputs!$B$9+((C2240=TRUE)*(F2240-Calc!F19))+B2251+(ArtifactsInput!$M$24-ArtifactsInput!$M$24)*CHOOSE(ArtifactsInput!$N$24+1,10,12,14,16,18,20)+IF(ArtifactsInput!$M$10,CHOOSE(ArtifactsInput!$N$10+1,15,18,21,24,27,30)*(IF(Inputs!$B$38="pvp",MIN(15,15)/15,IF(AND(Inputs!$B$38&lt;&gt;"pvp",Inputs!$B$43&gt;0),MIN(15,Inputs!$B$43)/(Inputs!$B$43),0))),0)))&gt;=100),MIN(100,((Inputs!$B$9+((C2240=TRUE)*(F2240-Calc!F19))+B2251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2240=TRUE)*(F2240-Calc!F19))+B2251+(ArtifactsInput!$M$24-ArtifactsInput!$M$24)*CHOOSE(ArtifactsInput!$N$24+1,10,12,14,16,18,20)+IF(ArtifactsInput!$M$10,CHOOSE(ArtifactsInput!$N$10+1,15,18,21,24,27,30)*(IF(Inputs!$B$38="pvp",MIN(15,15)/15,IF(AND(Inputs!$B$38&lt;&gt;"pvp",Inputs!$B$43&gt;0),MIN(15,Inputs!$B$43)/(Inputs!$B$43),0))),0)))&gt;=100),CHOOSE(ArtifactsInput!$N$42+1,40,48,56,64,72,80),0))))/100)*((1+(((C2238=TRUE)*F2238)+((C2245=TRUE)*(F2245-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2232)</f>
        <v/>
      </c>
      <c r="L2232">
        <f>K2232*(MIN(Inputs!$B$22+((C2243=TRUE)*(F2243-Calc!F22)),(Inputs!$B$23+0+(IF(ArtifactsInput!$M$15,CHOOSE(ArtifactsInput!$N$15+1,25,30,35,40,45,50)/100*(Inputs!$B$11-Inputs!$B$11),0))))/100+(Inputs!$B$23+0+(IF(ArtifactsInput!$M$15,CHOOSE(ArtifactsInput!$N$15+1,25,30,35,40,45,50)/100*(Inputs!$B$11-Inputs!$B$11),0)))/100)/2</f>
        <v/>
      </c>
      <c r="M2232">
        <f>L2232*(1+(Inputs!$B$10+((C2246=TRUE)*(F2246-Calc!F25))+B2256+(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2">
        <f>L2232*(1-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2232*(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2">
        <f>(1-Summary!$B$11)*T2232+Summary!$B$11*V2232</f>
        <v/>
      </c>
      <c r="P2232">
        <f>IF(B2261=0,0,O2232/B2261)</f>
        <v/>
      </c>
      <c r="Q2232">
        <f>IFERROR(1/(IF(Inputs!$B$38="pvp",15,MAX(0.1,Skills!D11-IF(Skills!E11=TRUE,Inputs!$B$32,0)))*(1-IF(AND(ArtifactsInput!$M$27,Inputs!$B$4="Chapter Hunt"),CHOOSE(ArtifactsInput!$N$27+1,20,24,28,32,36,40),0)/100)),0)</f>
        <v/>
      </c>
      <c r="R2232">
        <f>IF(AND(Inputs!$B$38&lt;&gt;"pvp",Inputs!$B$43&gt;0),IF(MAX(0,Inputs!$B$43-B2258)&lt;=0,0,(INT(MAX(0,Inputs!$B$43-B2258)/(IF(Inputs!$B$38="pvp",15,MAX(0.1,Skills!D11-IF(Skills!E11=TRUE,Inputs!$B$32,0)))*(1-IF(AND(ArtifactsInput!$M$27,Inputs!$B$4="Chapter Hunt"),CHOOSE(ArtifactsInput!$N$27+1,20,24,28,32,36,40),0)/100)))+1)),0)</f>
        <v/>
      </c>
      <c r="S2232">
        <f>IFERROR(O2232/N2232,0)</f>
        <v/>
      </c>
      <c r="T2232">
        <f>IF(C2232,(H2232*N2232*IF(AND(Inputs!$B$38&lt;&gt;"pvp",Inputs!$B$43&gt;0),((Skills!G11*((R2232-1)*IF(Skills!H11&gt;0,Skills!I11/Skills!H11,1)+IF(Skills!H11&gt;0,MIN(Skills!I11,MAX(0,MAX(0,Inputs!$B$43-B2258)-((R2232-1)*(IF(Inputs!$B$38="pvp",15,MAX(0.1,Skills!D11-IF(Skills!E11=TRUE,Inputs!$B$32,0)))*(1-IF(AND(ArtifactsInput!$M$27,Inputs!$B$4="Chapter Hunt"),CHOOSE(ArtifactsInput!$N$27+1,20,24,28,32,36,40),0)/100)))))/Skills!H11,1)))/Inputs!$B$43),G2232*Q2232)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2232*(1-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2232*(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2232*(1-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2232*(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2">
        <f>IF(C2232,(H2232*N2232*IF(AND(Inputs!$B$38&lt;&gt;"pvp",Inputs!$B$43&gt;0),((Skills!G11*((R2232-1)*IF(Skills!H11&gt;0,Skills!I11/Skills!H11,1)+IF(Skills!H11&gt;0,MIN(Skills!I11,MAX(0,MAX(0,Inputs!$B$43-B2258)-((R2232-1)*(IF(Inputs!$B$38="pvp",15,MAX(0.1,Skills!D11-IF(Skills!E11=TRUE,Inputs!$B$32,0)))*(1-IF(AND(ArtifactsInput!$M$27,Inputs!$B$4="Chapter Hunt"),CHOOSE(ArtifactsInput!$N$27+1,20,24,28,32,36,40),0)/100)))))/Skills!H11,1)))/Inputs!$B$43),G2232*Q2232))*IF(Inputs!$B$38="pvp",1,(1+(Inputs!$B$21+Skills!Q11+(IF(ArtifactsInput!$M$33,CHOOSE(ArtifactsInput!$N$33+1,30,36,42,48,54,60)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3">
      <c r="A2233">
        <f>Skills!A12</f>
        <v/>
      </c>
      <c r="B2233">
        <f>Skills!B12</f>
        <v/>
      </c>
      <c r="C2233">
        <f>Inputs!$B$3&gt;=110</f>
        <v/>
      </c>
      <c r="D2233">
        <f>IF(Skills!C12=1,60+Inputs!$B$25+Inputs!$B$29,IF(Skills!C12=2,90+Inputs!$B$26+Inputs!$B$29,IF(Skills!C12=3,120+Inputs!$B$27+Inputs!$B$29,MAX(0,(Inputs!$B$3-100)*3)+Inputs!$B$28+Inputs!$B$29)))</f>
        <v/>
      </c>
      <c r="E2233">
        <f>INDEX(FactorTable!$B$2:$Y$301, MATCH(ROUND(MIN(300,MAX(1,D2233)),0), FactorTable!$A$2:$A$301,0), Skills!M12+1)</f>
        <v/>
      </c>
      <c r="F2233">
        <f>IF(Skills!N12=TRUE,(Skills!L12/10)*(E2233/1000),Skills!L12/10)+Skills!O12</f>
        <v/>
      </c>
      <c r="G2233">
        <f>Skills!G12*IF(Skills!H12&gt;0,Skills!I12/Skills!H12,1)</f>
        <v/>
      </c>
      <c r="H2233">
        <f>1-(1-Skills!J12/100)^Skills!K12</f>
        <v/>
      </c>
      <c r="I2233" t="inlineStr">
        <is>
          <t>1</t>
        </is>
      </c>
      <c r="J2233">
        <f>((Inputs!$B$6*(1+Inputs!$B$7/100))+(((Inputs!$B$12*(1+Inputs!$B$13/100))-(Inputs!$B$12*(1+Inputs!$B$13/100)))+0.25*(Inputs!$B$14-Inputs!$B$14))*(1+Inputs!$B$7/100))*(F2233/100)</f>
        <v/>
      </c>
      <c r="K2233">
        <f>J2233*(1+((Inputs!$B$12*(1+Inputs!$B$13/100))*0.01+Inputs!$B$14*0.0025)/100)*(1+Inputs!$B$15/100)*(1+Inputs!$B$16/100)*(5000/(6000+Inputs!$B$42*(1-(100*(1-(1-(Inputs!$B$19+0)/100)*(1-CHOOSE(ArtifactsInput!$N$40+1,5,6,7,8,9,10)/100)^(ArtifactsInput!$M$40-ArtifactsInput!$M$40)))/100)))*(1+(Inputs!$B$24+((C2247=TRUE)*(F2247-Calc!F26))+B2257)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2244=TRUE)*(F2244-Calc!F23))+((C2248=TRUE)*(F2248-Calc!F27))+(((IF(AND(ArtifactsInput!$M$42,((Inputs!$B$9+((C2240=TRUE)*(F2240-Calc!F19))+B2251+(ArtifactsInput!$M$24-ArtifactsInput!$M$24)*CHOOSE(ArtifactsInput!$N$24+1,10,12,14,16,18,20)+IF(ArtifactsInput!$M$10,CHOOSE(ArtifactsInput!$N$10+1,15,18,21,24,27,30)*(IF(Inputs!$B$38="pvp",MIN(15,15)/15,IF(AND(Inputs!$B$38&lt;&gt;"pvp",Inputs!$B$43&gt;0),MIN(15,Inputs!$B$43)/(Inputs!$B$43),0))),0)))&gt;=100),MIN(100,((Inputs!$B$9+((C2240=TRUE)*(F2240-Calc!F19))+B2251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2240=TRUE)*(F2240-Calc!F19))+B2251+(ArtifactsInput!$M$24-ArtifactsInput!$M$24)*CHOOSE(ArtifactsInput!$N$24+1,10,12,14,16,18,20)+IF(ArtifactsInput!$M$10,CHOOSE(ArtifactsInput!$N$10+1,15,18,21,24,27,30)*(IF(Inputs!$B$38="pvp",MIN(15,15)/15,IF(AND(Inputs!$B$38&lt;&gt;"pvp",Inputs!$B$43&gt;0),MIN(15,Inputs!$B$43)/(Inputs!$B$43),0))),0)))&gt;=100),CHOOSE(ArtifactsInput!$N$42+1,40,48,56,64,72,80),0))))/100)*((1+(((C2238=TRUE)*F2238)+((C2245=TRUE)*(F2245-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2233)</f>
        <v/>
      </c>
      <c r="L2233">
        <f>K2233*(MIN(Inputs!$B$22+((C2243=TRUE)*(F2243-Calc!F22)),(Inputs!$B$23+0+(IF(ArtifactsInput!$M$15,CHOOSE(ArtifactsInput!$N$15+1,25,30,35,40,45,50)/100*(Inputs!$B$11-Inputs!$B$11),0))))/100+(Inputs!$B$23+0+(IF(ArtifactsInput!$M$15,CHOOSE(ArtifactsInput!$N$15+1,25,30,35,40,45,50)/100*(Inputs!$B$11-Inputs!$B$11),0)))/100)/2</f>
        <v/>
      </c>
      <c r="M2233">
        <f>L2233*(1+(Inputs!$B$10+((C2246=TRUE)*(F2246-Calc!F25))+B2256+(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3">
        <f>L2233*(1-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2233*(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3">
        <f>(1-Summary!$B$11)*T2233+Summary!$B$11*V2233</f>
        <v/>
      </c>
      <c r="P2233">
        <f>IF(B2261=0,0,O2233/B2261)</f>
        <v/>
      </c>
      <c r="Q2233">
        <f>IFERROR(1/(IF(Inputs!$B$38="pvp",15,MAX(0.1,Skills!D12-IF(Skills!E12=TRUE,Inputs!$B$32,0)))*(1-IF(AND(ArtifactsInput!$M$27,Inputs!$B$4="Chapter Hunt"),CHOOSE(ArtifactsInput!$N$27+1,20,24,28,32,36,40),0)/100)),0)</f>
        <v/>
      </c>
      <c r="R2233">
        <f>IF(AND(Inputs!$B$38&lt;&gt;"pvp",Inputs!$B$43&gt;0),IF(MAX(0,Inputs!$B$43-B2258)&lt;=0,0,(INT(MAX(0,Inputs!$B$43-B2258)/(IF(Inputs!$B$38="pvp",15,MAX(0.1,Skills!D12-IF(Skills!E12=TRUE,Inputs!$B$32,0)))*(1-IF(AND(ArtifactsInput!$M$27,Inputs!$B$4="Chapter Hunt"),CHOOSE(ArtifactsInput!$N$27+1,20,24,28,32,36,40),0)/100)))+1)),0)</f>
        <v/>
      </c>
      <c r="S2233">
        <f>IFERROR(O2233/N2233,0)</f>
        <v/>
      </c>
      <c r="T2233">
        <f>IF(C2233,(H2233*N2233*IF(AND(Inputs!$B$38&lt;&gt;"pvp",Inputs!$B$43&gt;0),((Skills!G12*((R2233-1)*IF(Skills!H12&gt;0,Skills!I12/Skills!H12,1)+IF(Skills!H12&gt;0,MIN(Skills!I12,MAX(0,MAX(0,Inputs!$B$43-B2258)-((R2233-1)*(IF(Inputs!$B$38="pvp",15,MAX(0.1,Skills!D12-IF(Skills!E12=TRUE,Inputs!$B$32,0)))*(1-IF(AND(ArtifactsInput!$M$27,Inputs!$B$4="Chapter Hunt"),CHOOSE(ArtifactsInput!$N$27+1,20,24,28,32,36,40),0)/100)))))/Skills!H12,1)))/Inputs!$B$43),G2233*Q2233)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2233*(1-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2233*(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2233*(1-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2233*(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3">
        <f>IF(C2233,(H2233*N2233*IF(AND(Inputs!$B$38&lt;&gt;"pvp",Inputs!$B$43&gt;0),((Skills!G12*((R2233-1)*IF(Skills!H12&gt;0,Skills!I12/Skills!H12,1)+IF(Skills!H12&gt;0,MIN(Skills!I12,MAX(0,MAX(0,Inputs!$B$43-B2258)-((R2233-1)*(IF(Inputs!$B$38="pvp",15,MAX(0.1,Skills!D12-IF(Skills!E12=TRUE,Inputs!$B$32,0)))*(1-IF(AND(ArtifactsInput!$M$27,Inputs!$B$4="Chapter Hunt"),CHOOSE(ArtifactsInput!$N$27+1,20,24,28,32,36,40),0)/100)))))/Skills!H12,1)))/Inputs!$B$43),G2233*Q2233))*IF(Inputs!$B$38="pvp",1,(1+(Inputs!$B$21+Skills!Q12+(IF(ArtifactsInput!$M$33,CHOOSE(ArtifactsInput!$N$33+1,30,36,42,48,54,60)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4">
      <c r="A2234">
        <f>Skills!A13</f>
        <v/>
      </c>
      <c r="B2234">
        <f>Skills!B13</f>
        <v/>
      </c>
      <c r="C2234">
        <f>Inputs!$B$3&gt;=110</f>
        <v/>
      </c>
      <c r="D2234">
        <f>IF(Skills!C13=1,60+Inputs!$B$25+Inputs!$B$29,IF(Skills!C13=2,90+Inputs!$B$26+Inputs!$B$29,IF(Skills!C13=3,120+Inputs!$B$27+Inputs!$B$29,MAX(0,(Inputs!$B$3-100)*3)+Inputs!$B$28+Inputs!$B$29)))</f>
        <v/>
      </c>
      <c r="E2234">
        <f>INDEX(FactorTable!$B$2:$Y$301, MATCH(ROUND(MIN(300,MAX(1,D2234)),0), FactorTable!$A$2:$A$301,0), Skills!M13+1)</f>
        <v/>
      </c>
      <c r="F2234">
        <f>IF(Skills!N13=TRUE,(Skills!L13/10)*(E2234/1000),Skills!L13/10)+Skills!O13</f>
        <v/>
      </c>
      <c r="G2234">
        <f>Skills!G13*IF(Skills!H13&gt;0,Skills!I13/Skills!H13,1)</f>
        <v/>
      </c>
      <c r="H2234">
        <f>1-(1-Skills!J13/100)^Skills!K13</f>
        <v/>
      </c>
      <c r="I2234" t="inlineStr">
        <is>
          <t>1</t>
        </is>
      </c>
      <c r="J2234">
        <f>((Inputs!$B$6*(1+Inputs!$B$7/100))+(((Inputs!$B$12*(1+Inputs!$B$13/100))-(Inputs!$B$12*(1+Inputs!$B$13/100)))+0.25*(Inputs!$B$14-Inputs!$B$14))*(1+Inputs!$B$7/100))*(F2234/100)</f>
        <v/>
      </c>
      <c r="K2234">
        <f>J2234*(1+((Inputs!$B$12*(1+Inputs!$B$13/100))*0.01+Inputs!$B$14*0.0025)/100)*(1+Inputs!$B$15/100)*(1+Inputs!$B$16/100)*(5000/(6000+Inputs!$B$42*(1-(100*(1-(1-(Inputs!$B$19+0)/100)*(1-CHOOSE(ArtifactsInput!$N$40+1,5,6,7,8,9,10)/100)^(ArtifactsInput!$M$40-ArtifactsInput!$M$40)))/100)))*(1+(Inputs!$B$24+((C2247=TRUE)*(F2247-Calc!F26))+B2257)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2244=TRUE)*(F2244-Calc!F23))+((C2248=TRUE)*(F2248-Calc!F27))+(((IF(AND(ArtifactsInput!$M$42,((Inputs!$B$9+((C2240=TRUE)*(F2240-Calc!F19))+B2251+(ArtifactsInput!$M$24-ArtifactsInput!$M$24)*CHOOSE(ArtifactsInput!$N$24+1,10,12,14,16,18,20)+IF(ArtifactsInput!$M$10,CHOOSE(ArtifactsInput!$N$10+1,15,18,21,24,27,30)*(IF(Inputs!$B$38="pvp",MIN(15,15)/15,IF(AND(Inputs!$B$38&lt;&gt;"pvp",Inputs!$B$43&gt;0),MIN(15,Inputs!$B$43)/(Inputs!$B$43),0))),0)))&gt;=100),MIN(100,((Inputs!$B$9+((C2240=TRUE)*(F2240-Calc!F19))+B2251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2240=TRUE)*(F2240-Calc!F19))+B2251+(ArtifactsInput!$M$24-ArtifactsInput!$M$24)*CHOOSE(ArtifactsInput!$N$24+1,10,12,14,16,18,20)+IF(ArtifactsInput!$M$10,CHOOSE(ArtifactsInput!$N$10+1,15,18,21,24,27,30)*(IF(Inputs!$B$38="pvp",MIN(15,15)/15,IF(AND(Inputs!$B$38&lt;&gt;"pvp",Inputs!$B$43&gt;0),MIN(15,Inputs!$B$43)/(Inputs!$B$43),0))),0)))&gt;=100),CHOOSE(ArtifactsInput!$N$42+1,40,48,56,64,72,80),0))))/100)*((1+(((C2238=TRUE)*F2238)+((C2245=TRUE)*(F2245-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2234)</f>
        <v/>
      </c>
      <c r="L2234">
        <f>K2234*(MIN(Inputs!$B$22+((C2243=TRUE)*(F2243-Calc!F22)),(Inputs!$B$23+0+(IF(ArtifactsInput!$M$15,CHOOSE(ArtifactsInput!$N$15+1,25,30,35,40,45,50)/100*(Inputs!$B$11-Inputs!$B$11),0))))/100+(Inputs!$B$23+0+(IF(ArtifactsInput!$M$15,CHOOSE(ArtifactsInput!$N$15+1,25,30,35,40,45,50)/100*(Inputs!$B$11-Inputs!$B$11),0)))/100)/2</f>
        <v/>
      </c>
      <c r="M2234">
        <f>L2234*(1+(Inputs!$B$10+((C2246=TRUE)*(F2246-Calc!F25))+B2256+(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4">
        <f>L2234*(1-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2234*(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4">
        <f>(1-Summary!$B$11)*T2234+Summary!$B$11*V2234</f>
        <v/>
      </c>
      <c r="P2234">
        <f>IF(B2261=0,0,O2234/B2261)</f>
        <v/>
      </c>
      <c r="Q2234">
        <f>IFERROR(1/(IF(Inputs!$B$38="pvp",15,MAX(0.1,Skills!D13-IF(Skills!E13=TRUE,Inputs!$B$32,0)))*(1-IF(AND(ArtifactsInput!$M$27,Inputs!$B$4="Chapter Hunt"),CHOOSE(ArtifactsInput!$N$27+1,20,24,28,32,36,40),0)/100)),0)</f>
        <v/>
      </c>
      <c r="R2234">
        <f>IF(AND(Inputs!$B$38&lt;&gt;"pvp",Inputs!$B$43&gt;0),IF(MAX(0,Inputs!$B$43-B2258)&lt;=0,0,(INT(MAX(0,Inputs!$B$43-B2258)/(IF(Inputs!$B$38="pvp",15,MAX(0.1,Skills!D13-IF(Skills!E13=TRUE,Inputs!$B$32,0)))*(1-IF(AND(ArtifactsInput!$M$27,Inputs!$B$4="Chapter Hunt"),CHOOSE(ArtifactsInput!$N$27+1,20,24,28,32,36,40),0)/100)))+1)),0)</f>
        <v/>
      </c>
      <c r="S2234">
        <f>IFERROR(O2234/N2234,0)</f>
        <v/>
      </c>
      <c r="T2234">
        <f>IF(C2234,(H2234*N2234*IF(AND(Inputs!$B$38&lt;&gt;"pvp",Inputs!$B$43&gt;0),((Skills!G13*((R2234-1)*IF(Skills!H13&gt;0,Skills!I13/Skills!H13,1)+IF(Skills!H13&gt;0,MIN(Skills!I13,MAX(0,MAX(0,Inputs!$B$43-B2258)-((R2234-1)*(IF(Inputs!$B$38="pvp",15,MAX(0.1,Skills!D13-IF(Skills!E13=TRUE,Inputs!$B$32,0)))*(1-IF(AND(ArtifactsInput!$M$27,Inputs!$B$4="Chapter Hunt"),CHOOSE(ArtifactsInput!$N$27+1,20,24,28,32,36,40),0)/100)))))/Skills!H13,1)))/Inputs!$B$43),G2234*Q2234)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2234*(1-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2234*(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2234*(1-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2234*(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4">
        <f>IF(C2234,(H2234*N2234*IF(AND(Inputs!$B$38&lt;&gt;"pvp",Inputs!$B$43&gt;0),((Skills!G13*((R2234-1)*IF(Skills!H13&gt;0,Skills!I13/Skills!H13,1)+IF(Skills!H13&gt;0,MIN(Skills!I13,MAX(0,MAX(0,Inputs!$B$43-B2258)-((R2234-1)*(IF(Inputs!$B$38="pvp",15,MAX(0.1,Skills!D13-IF(Skills!E13=TRUE,Inputs!$B$32,0)))*(1-IF(AND(ArtifactsInput!$M$27,Inputs!$B$4="Chapter Hunt"),CHOOSE(ArtifactsInput!$N$27+1,20,24,28,32,36,40),0)/100)))))/Skills!H13,1)))/Inputs!$B$43),G2234*Q2234))*IF(Inputs!$B$38="pvp",1,(1+(Inputs!$B$21+Skills!Q13+(IF(ArtifactsInput!$M$33,CHOOSE(ArtifactsInput!$N$33+1,30,36,42,48,54,60)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5">
      <c r="A2235">
        <f>Skills!A14</f>
        <v/>
      </c>
      <c r="B2235">
        <f>Skills!B14</f>
        <v/>
      </c>
      <c r="C2235">
        <f>Inputs!$B$3&gt;=125</f>
        <v/>
      </c>
      <c r="D2235">
        <f>IF(Skills!C14=1,60+Inputs!$B$25+Inputs!$B$29,IF(Skills!C14=2,90+Inputs!$B$26+Inputs!$B$29,IF(Skills!C14=3,120+Inputs!$B$27+Inputs!$B$29,MAX(0,(Inputs!$B$3-100)*3)+Inputs!$B$28+Inputs!$B$29)))</f>
        <v/>
      </c>
      <c r="E2235">
        <f>INDEX(FactorTable!$B$2:$Y$301, MATCH(ROUND(MIN(300,MAX(1,D2235)),0), FactorTable!$A$2:$A$301,0), Skills!M14+1)</f>
        <v/>
      </c>
      <c r="F2235">
        <f>IF(Skills!N14=TRUE,(Skills!L14/10)*(E2235/1000),Skills!L14/10)+Skills!O14</f>
        <v/>
      </c>
      <c r="G2235">
        <f>Skills!G14*IF(Skills!H14&gt;0,Skills!I14/Skills!H14,1)</f>
        <v/>
      </c>
      <c r="H2235">
        <f>1-(1-Skills!J14/100)^Skills!K14</f>
        <v/>
      </c>
      <c r="I2235" t="inlineStr">
        <is>
          <t>1</t>
        </is>
      </c>
      <c r="J2235">
        <f>((Inputs!$B$6*(1+Inputs!$B$7/100))+(((Inputs!$B$12*(1+Inputs!$B$13/100))-(Inputs!$B$12*(1+Inputs!$B$13/100)))+0.25*(Inputs!$B$14-Inputs!$B$14))*(1+Inputs!$B$7/100))*(F2235/100)</f>
        <v/>
      </c>
      <c r="K2235">
        <f>J2235*(1+((Inputs!$B$12*(1+Inputs!$B$13/100))*0.01+Inputs!$B$14*0.0025)/100)*(1+Inputs!$B$15/100)*(1+Inputs!$B$16/100)*(5000/(6000+Inputs!$B$42*(1-(100*(1-(1-(Inputs!$B$19+0)/100)*(1-CHOOSE(ArtifactsInput!$N$40+1,5,6,7,8,9,10)/100)^(ArtifactsInput!$M$40-ArtifactsInput!$M$40)))/100)))*(1+(Inputs!$B$24+((C2247=TRUE)*(F2247-Calc!F26))+B2257)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2244=TRUE)*(F2244-Calc!F23))+((C2248=TRUE)*(F2248-Calc!F27))+(((IF(AND(ArtifactsInput!$M$42,((Inputs!$B$9+((C2240=TRUE)*(F2240-Calc!F19))+B2251+(ArtifactsInput!$M$24-ArtifactsInput!$M$24)*CHOOSE(ArtifactsInput!$N$24+1,10,12,14,16,18,20)+IF(ArtifactsInput!$M$10,CHOOSE(ArtifactsInput!$N$10+1,15,18,21,24,27,30)*(IF(Inputs!$B$38="pvp",MIN(15,15)/15,IF(AND(Inputs!$B$38&lt;&gt;"pvp",Inputs!$B$43&gt;0),MIN(15,Inputs!$B$43)/(Inputs!$B$43),0))),0)))&gt;=100),MIN(100,((Inputs!$B$9+((C2240=TRUE)*(F2240-Calc!F19))+B2251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2240=TRUE)*(F2240-Calc!F19))+B2251+(ArtifactsInput!$M$24-ArtifactsInput!$M$24)*CHOOSE(ArtifactsInput!$N$24+1,10,12,14,16,18,20)+IF(ArtifactsInput!$M$10,CHOOSE(ArtifactsInput!$N$10+1,15,18,21,24,27,30)*(IF(Inputs!$B$38="pvp",MIN(15,15)/15,IF(AND(Inputs!$B$38&lt;&gt;"pvp",Inputs!$B$43&gt;0),MIN(15,Inputs!$B$43)/(Inputs!$B$43),0))),0)))&gt;=100),CHOOSE(ArtifactsInput!$N$42+1,40,48,56,64,72,80),0))))/100)*((1+(((C2238=TRUE)*F2238)+((C2245=TRUE)*(F2245-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2235)</f>
        <v/>
      </c>
      <c r="L2235">
        <f>K2235*(MIN(Inputs!$B$22+((C2243=TRUE)*(F2243-Calc!F22)),(Inputs!$B$23+0+(IF(ArtifactsInput!$M$15,CHOOSE(ArtifactsInput!$N$15+1,25,30,35,40,45,50)/100*(Inputs!$B$11-Inputs!$B$11),0))))/100+(Inputs!$B$23+0+(IF(ArtifactsInput!$M$15,CHOOSE(ArtifactsInput!$N$15+1,25,30,35,40,45,50)/100*(Inputs!$B$11-Inputs!$B$11),0)))/100)/2</f>
        <v/>
      </c>
      <c r="M2235">
        <f>L2235*(1+(Inputs!$B$10+((C2246=TRUE)*(F2246-Calc!F25))+B2256+(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5">
        <f>L2235*(1-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2235*(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5">
        <f>(1-Summary!$B$11)*T2235+Summary!$B$11*V2235</f>
        <v/>
      </c>
      <c r="P2235">
        <f>IF(B2261=0,0,O2235/B2261)</f>
        <v/>
      </c>
      <c r="Q2235" t="n">
        <v>0</v>
      </c>
      <c r="R2235" t="n">
        <v>0</v>
      </c>
      <c r="S2235">
        <f>IFERROR(O2235/N2235,0)</f>
        <v/>
      </c>
      <c r="T2235">
        <f>IF(C2235,(H2235*N2235*(B2255+IF(AND(Inputs!$B$38&lt;&gt;"pvp",Inputs!$B$43&gt;0),((Skills!G8*((R2229-1)*IF(Skills!H8&gt;0,Skills!I8/Skills!H8,1)+IF(Skills!H8&gt;0,MIN(Skills!I8,MAX(0,MAX(0,Inputs!$B$43-B2258)-((R2229-1)*(IF(Inputs!$B$38="pvp",15,MAX(0.1,Skills!D8-IF(Skills!E8=TRUE,Inputs!$B$32,0)))*(1-IF(AND(ArtifactsInput!$M$27,Inputs!$B$4="Chapter Hunt"),CHOOSE(ArtifactsInput!$N$27+1,20,24,28,32,36,40),0)/100)))))/Skills!H8,1)))/Inputs!$B$43),G2229*Q2229)+IF(AND(Inputs!$B$38&lt;&gt;"pvp",Inputs!$B$43&gt;0),((Skills!G11*((R2232-1)*IF(Skills!H11&gt;0,Skills!I11/Skills!H11,1)+IF(Skills!H11&gt;0,MIN(Skills!I11,MAX(0,MAX(0,Inputs!$B$43-B2258)-((R2232-1)*(IF(Inputs!$B$38="pvp",15,MAX(0.1,Skills!D11-IF(Skills!E11=TRUE,Inputs!$B$32,0)))*(1-IF(AND(ArtifactsInput!$M$27,Inputs!$B$4="Chapter Hunt"),CHOOSE(ArtifactsInput!$N$27+1,20,24,28,32,36,40),0)/100)))))/Skills!H11,1)))/Inputs!$B$43),G2232*Q2232)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2235*(1-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2235*(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2235*(1-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2235*(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5">
        <f>IF(C2235,(H2235*N2235*(B2255+IF(AND(Inputs!$B$38&lt;&gt;"pvp",Inputs!$B$43&gt;0),((Skills!G8*((R2229-1)*IF(Skills!H8&gt;0,Skills!I8/Skills!H8,1)+IF(Skills!H8&gt;0,MIN(Skills!I8,MAX(0,MAX(0,Inputs!$B$43-B2258)-((R2229-1)*(IF(Inputs!$B$38="pvp",15,MAX(0.1,Skills!D8-IF(Skills!E8=TRUE,Inputs!$B$32,0)))*(1-IF(AND(ArtifactsInput!$M$27,Inputs!$B$4="Chapter Hunt"),CHOOSE(ArtifactsInput!$N$27+1,20,24,28,32,36,40),0)/100)))))/Skills!H8,1)))/Inputs!$B$43),G2229*Q2229)+IF(AND(Inputs!$B$38&lt;&gt;"pvp",Inputs!$B$43&gt;0),((Skills!G11*((R2232-1)*IF(Skills!H11&gt;0,Skills!I11/Skills!H11,1)+IF(Skills!H11&gt;0,MIN(Skills!I11,MAX(0,MAX(0,Inputs!$B$43-B2258)-((R2232-1)*(IF(Inputs!$B$38="pvp",15,MAX(0.1,Skills!D11-IF(Skills!E11=TRUE,Inputs!$B$32,0)))*(1-IF(AND(ArtifactsInput!$M$27,Inputs!$B$4="Chapter Hunt"),CHOOSE(ArtifactsInput!$N$27+1,20,24,28,32,36,40),0)/100)))))/Skills!H11,1)))/Inputs!$B$43),G2232*Q2232)))*IF(Inputs!$B$38="pvp",1,(1+(Inputs!$B$21+Skills!Q14+(IF(ArtifactsInput!$M$33,CHOOSE(ArtifactsInput!$N$33+1,30,36,42,48,54,60)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6">
      <c r="A2236">
        <f>Skills!A15</f>
        <v/>
      </c>
      <c r="B2236">
        <f>Skills!B15</f>
        <v/>
      </c>
      <c r="C2236">
        <f>Inputs!$B$3&gt;=100</f>
        <v/>
      </c>
      <c r="D2236">
        <f>IF(Skills!C15=1,60+Inputs!$B$25+Inputs!$B$29,IF(Skills!C15=2,90+Inputs!$B$26+Inputs!$B$29,IF(Skills!C15=3,120+Inputs!$B$27+Inputs!$B$29,MAX(0,(Inputs!$B$3-100)*3)+Inputs!$B$28+Inputs!$B$29)))</f>
        <v/>
      </c>
      <c r="E2236">
        <f>INDEX(FactorTable!$B$2:$Y$301, MATCH(ROUND(MIN(300,MAX(1,D2236)),0), FactorTable!$A$2:$A$301,0), Skills!M15+1)</f>
        <v/>
      </c>
      <c r="F2236">
        <f>IF(Skills!N15=TRUE,(Skills!L15/10)*(E2236/1000),Skills!L15/10)+Skills!O15</f>
        <v/>
      </c>
      <c r="G2236" t="inlineStr"/>
      <c r="H2236" t="inlineStr"/>
      <c r="I2236" t="inlineStr">
        <is>
          <t>1</t>
        </is>
      </c>
      <c r="J2236" t="inlineStr"/>
      <c r="K2236" t="inlineStr"/>
      <c r="L2236" t="inlineStr"/>
      <c r="M2236" t="inlineStr"/>
      <c r="N2236" t="inlineStr"/>
      <c r="O2236" t="inlineStr"/>
      <c r="P2236" t="inlineStr"/>
      <c r="Q2236" t="inlineStr"/>
      <c r="R2236" t="inlineStr"/>
      <c r="S2236" t="inlineStr"/>
    </row>
    <row r="2237">
      <c r="A2237">
        <f>Skills!A16</f>
        <v/>
      </c>
      <c r="B2237">
        <f>Skills!B16</f>
        <v/>
      </c>
      <c r="C2237">
        <f>Inputs!$B$3&gt;=120</f>
        <v/>
      </c>
      <c r="D2237">
        <f>IF(Skills!C16=1,60+Inputs!$B$25+Inputs!$B$29,IF(Skills!C16=2,90+Inputs!$B$26+Inputs!$B$29,IF(Skills!C16=3,120+Inputs!$B$27+Inputs!$B$29,MAX(0,(Inputs!$B$3-100)*3)+Inputs!$B$28+Inputs!$B$29)))</f>
        <v/>
      </c>
      <c r="E2237">
        <f>INDEX(FactorTable!$B$2:$Y$301, MATCH(ROUND(MIN(300,MAX(1,D2237)),0), FactorTable!$A$2:$A$301,0), Skills!M16+1)</f>
        <v/>
      </c>
      <c r="F2237">
        <f>IF(Skills!N16=TRUE,(Skills!L16/10)*(E2237/1000),Skills!L16/10)+Skills!O16</f>
        <v/>
      </c>
      <c r="G2237" t="inlineStr"/>
      <c r="H2237" t="inlineStr"/>
      <c r="I2237" t="inlineStr">
        <is>
          <t>1</t>
        </is>
      </c>
      <c r="J2237" t="inlineStr"/>
      <c r="K2237" t="inlineStr"/>
      <c r="L2237" t="inlineStr"/>
      <c r="M2237" t="inlineStr"/>
      <c r="N2237" t="inlineStr"/>
      <c r="O2237" t="inlineStr"/>
      <c r="P2237" t="inlineStr"/>
      <c r="Q2237" t="inlineStr"/>
      <c r="R2237" t="inlineStr"/>
      <c r="S2237" t="inlineStr"/>
    </row>
    <row r="2238">
      <c r="A2238">
        <f>Skills!A17</f>
        <v/>
      </c>
      <c r="B2238">
        <f>Skills!B17</f>
        <v/>
      </c>
      <c r="C2238">
        <f>Inputs!$B$3&gt;=66</f>
        <v/>
      </c>
      <c r="D2238">
        <f>IF(Skills!C17=1,60+Inputs!$B$25+Inputs!$B$29,IF(Skills!C17=2,90+Inputs!$B$26+Inputs!$B$29,IF(Skills!C17=3,120+Inputs!$B$27+Inputs!$B$29,MAX(0,(Inputs!$B$3-100)*3)+Inputs!$B$28+Inputs!$B$29)))</f>
        <v/>
      </c>
      <c r="E2238">
        <f>INDEX(FactorTable!$B$2:$Y$301, MATCH(ROUND(MIN(300,MAX(1,D2238)),0), FactorTable!$A$2:$A$301,0), Skills!M17+1)</f>
        <v/>
      </c>
      <c r="F2238">
        <f>IF(Skills!N17=TRUE,(Skills!L17/10)*(E2238/1000),Skills!L17/10)+Skills!O17</f>
        <v/>
      </c>
      <c r="G2238">
        <f>Skills!G17*IF(Skills!H17&gt;0,Skills!I17/Skills!H17,1)</f>
        <v/>
      </c>
      <c r="H2238">
        <f>1-(1-Skills!J17/100)^Skills!K17</f>
        <v/>
      </c>
      <c r="I2238" t="inlineStr">
        <is>
          <t>1</t>
        </is>
      </c>
      <c r="J2238" t="inlineStr"/>
      <c r="K2238" t="inlineStr"/>
      <c r="L2238" t="inlineStr"/>
      <c r="M2238" t="inlineStr"/>
      <c r="N2238" t="inlineStr"/>
      <c r="O2238">
        <f>(1-Summary!$B$11)*T2238+Summary!$B$11*V2238</f>
        <v/>
      </c>
      <c r="P2238">
        <f>IF(B2261=0,0,O2238/B2261)</f>
        <v/>
      </c>
      <c r="Q2238" t="n">
        <v>0</v>
      </c>
      <c r="R2238" t="n">
        <v>0</v>
      </c>
      <c r="S2238">
        <f>IFERROR(O2238/N2238,0)</f>
        <v/>
      </c>
      <c r="T2238" t="n">
        <v>0</v>
      </c>
      <c r="V2238" t="n">
        <v>0</v>
      </c>
    </row>
    <row r="2239">
      <c r="A2239">
        <f>Skills!A18</f>
        <v/>
      </c>
      <c r="B2239">
        <f>Skills!B18</f>
        <v/>
      </c>
      <c r="C2239">
        <f>Inputs!$B$3&gt;=115</f>
        <v/>
      </c>
      <c r="D2239">
        <f>IF(Skills!C18=1,60+Inputs!$B$25+Inputs!$B$29,IF(Skills!C18=2,90+Inputs!$B$26+Inputs!$B$29,IF(Skills!C18=3,120+Inputs!$B$27+Inputs!$B$29,MAX(0,(Inputs!$B$3-100)*3)+Inputs!$B$28+Inputs!$B$29)))</f>
        <v/>
      </c>
      <c r="E2239">
        <f>INDEX(FactorTable!$B$2:$Y$301, MATCH(ROUND(MIN(300,MAX(1,D2239)),0), FactorTable!$A$2:$A$301,0), Skills!M18+1)</f>
        <v/>
      </c>
      <c r="F2239">
        <f>IF(Skills!N18=TRUE,(Skills!L18/10)*(E2239/1000),Skills!L18/10)+Skills!O18</f>
        <v/>
      </c>
      <c r="G2239">
        <f>Skills!G18*IF(Skills!H18&gt;0,Skills!I18/Skills!H18,1)</f>
        <v/>
      </c>
      <c r="H2239">
        <f>1-(1-Skills!J18/100)^Skills!K18</f>
        <v/>
      </c>
      <c r="I2239" t="inlineStr">
        <is>
          <t>1</t>
        </is>
      </c>
      <c r="J2239" t="inlineStr"/>
      <c r="K2239" t="inlineStr"/>
      <c r="L2239" t="inlineStr"/>
      <c r="M2239" t="inlineStr"/>
      <c r="N2239" t="inlineStr"/>
      <c r="O2239">
        <f>(1-Summary!$B$11)*T2239+Summary!$B$11*V2239</f>
        <v/>
      </c>
      <c r="P2239">
        <f>IF(B2261=0,0,O2239/B2261)</f>
        <v/>
      </c>
      <c r="Q2239" t="n">
        <v>0</v>
      </c>
      <c r="R2239" t="n">
        <v>0</v>
      </c>
      <c r="S2239">
        <f>IFERROR(O2239/N2239,0)</f>
        <v/>
      </c>
      <c r="T2239" t="n">
        <v>0</v>
      </c>
      <c r="V2239" t="n">
        <v>0</v>
      </c>
    </row>
    <row r="2240">
      <c r="A2240">
        <f>Skills!A19</f>
        <v/>
      </c>
      <c r="B2240">
        <f>Skills!B19</f>
        <v/>
      </c>
      <c r="C2240">
        <f>Inputs!$B$3&gt;=15</f>
        <v/>
      </c>
      <c r="D2240">
        <f>IF(Skills!C19=1,60+Inputs!$B$25+Inputs!$B$29,IF(Skills!C19=2,90+Inputs!$B$26+Inputs!$B$29,IF(Skills!C19=3,120+Inputs!$B$27+Inputs!$B$29,MAX(0,(Inputs!$B$3-100)*3)+Inputs!$B$28+Inputs!$B$29)))</f>
        <v/>
      </c>
      <c r="E2240">
        <f>INDEX(FactorTable!$B$2:$Y$301, MATCH(ROUND(MIN(300,MAX(1,D2240)),0), FactorTable!$A$2:$A$301,0), Skills!M19+1)</f>
        <v/>
      </c>
      <c r="F2240">
        <f>IF(Skills!N19=TRUE,(Skills!L19/10)*(E2240/1000),Skills!L19/10)+Skills!O19</f>
        <v/>
      </c>
      <c r="G2240">
        <f>Skills!G19*IF(Skills!H19&gt;0,Skills!I19/Skills!H19,1)</f>
        <v/>
      </c>
      <c r="H2240">
        <f>1-(1-Skills!J19/100)^Skills!K19</f>
        <v/>
      </c>
      <c r="I2240" t="inlineStr">
        <is>
          <t>1</t>
        </is>
      </c>
      <c r="J2240" t="inlineStr"/>
      <c r="K2240" t="inlineStr"/>
      <c r="L2240" t="inlineStr"/>
      <c r="M2240" t="inlineStr"/>
      <c r="N2240" t="inlineStr"/>
      <c r="O2240">
        <f>(1-Summary!$B$11)*T2240+Summary!$B$11*V2240</f>
        <v/>
      </c>
      <c r="P2240">
        <f>IF(B2261=0,0,O2240/B2261)</f>
        <v/>
      </c>
      <c r="Q2240" t="n">
        <v>0</v>
      </c>
      <c r="R2240" t="n">
        <v>0</v>
      </c>
      <c r="S2240">
        <f>IFERROR(O2240/N2240,0)</f>
        <v/>
      </c>
      <c r="T2240" t="n">
        <v>0</v>
      </c>
      <c r="V2240" t="n">
        <v>0</v>
      </c>
    </row>
    <row r="2241">
      <c r="A2241">
        <f>Skills!A20</f>
        <v/>
      </c>
      <c r="B2241">
        <f>Skills!B20</f>
        <v/>
      </c>
      <c r="C2241">
        <f>Inputs!$B$3&gt;=10</f>
        <v/>
      </c>
      <c r="D2241">
        <f>IF(Skills!C20=1,60+Inputs!$B$25+Inputs!$B$29,IF(Skills!C20=2,90+Inputs!$B$26+Inputs!$B$29,IF(Skills!C20=3,120+Inputs!$B$27+Inputs!$B$29,MAX(0,(Inputs!$B$3-100)*3)+Inputs!$B$28+Inputs!$B$29)))</f>
        <v/>
      </c>
      <c r="E2241">
        <f>INDEX(FactorTable!$B$2:$Y$301, MATCH(ROUND(MIN(300,MAX(1,D2241)),0), FactorTable!$A$2:$A$301,0), Skills!M20+1)</f>
        <v/>
      </c>
      <c r="F2241">
        <f>IF(Skills!N20=TRUE,(Skills!L20/10)*(E2241/1000),Skills!L20/10)+Skills!O20</f>
        <v/>
      </c>
      <c r="G2241">
        <f>Skills!G20*IF(Skills!H20&gt;0,Skills!I20/Skills!H20,1)</f>
        <v/>
      </c>
      <c r="H2241">
        <f>1-(1-Skills!J20/100)^Skills!K20</f>
        <v/>
      </c>
      <c r="I2241" t="inlineStr">
        <is>
          <t>1</t>
        </is>
      </c>
      <c r="J2241" t="inlineStr"/>
      <c r="K2241" t="inlineStr"/>
      <c r="L2241" t="inlineStr"/>
      <c r="M2241" t="inlineStr"/>
      <c r="N2241" t="inlineStr"/>
      <c r="O2241">
        <f>(1-Summary!$B$11)*T2241+Summary!$B$11*V2241</f>
        <v/>
      </c>
      <c r="P2241">
        <f>IF(B2261=0,0,O2241/B2261)</f>
        <v/>
      </c>
      <c r="Q2241" t="n">
        <v>0</v>
      </c>
      <c r="R2241" t="n">
        <v>0</v>
      </c>
      <c r="S2241">
        <f>IFERROR(O2241/N2241,0)</f>
        <v/>
      </c>
      <c r="T2241" t="n">
        <v>0</v>
      </c>
      <c r="V2241" t="n">
        <v>0</v>
      </c>
    </row>
    <row r="2242">
      <c r="A2242">
        <f>Skills!A21</f>
        <v/>
      </c>
      <c r="B2242">
        <f>Skills!B21</f>
        <v/>
      </c>
      <c r="C2242">
        <f>Inputs!$B$3&gt;=33</f>
        <v/>
      </c>
      <c r="D2242">
        <f>IF(Skills!C21=1,60+Inputs!$B$25+Inputs!$B$29,IF(Skills!C21=2,90+Inputs!$B$26+Inputs!$B$29,IF(Skills!C21=3,120+Inputs!$B$27+Inputs!$B$29,MAX(0,(Inputs!$B$3-100)*3)+Inputs!$B$28+Inputs!$B$29)))</f>
        <v/>
      </c>
      <c r="E2242">
        <f>INDEX(FactorTable!$B$2:$Y$301, MATCH(ROUND(MIN(300,MAX(1,D2242)),0), FactorTable!$A$2:$A$301,0), Skills!M21+1)</f>
        <v/>
      </c>
      <c r="F2242">
        <f>IF(Skills!N21=TRUE,(Skills!L21/10)*(E2242/1000),Skills!L21/10)+Skills!O21</f>
        <v/>
      </c>
      <c r="G2242">
        <f>Skills!G21*IF(Skills!H21&gt;0,Skills!I21/Skills!H21,1)</f>
        <v/>
      </c>
      <c r="H2242">
        <f>1-(1-Skills!J21/100)^Skills!K21</f>
        <v/>
      </c>
      <c r="I2242" t="inlineStr">
        <is>
          <t>1</t>
        </is>
      </c>
      <c r="J2242" t="inlineStr"/>
      <c r="K2242" t="inlineStr"/>
      <c r="L2242" t="inlineStr"/>
      <c r="M2242" t="inlineStr"/>
      <c r="N2242" t="inlineStr"/>
      <c r="O2242">
        <f>(1-Summary!$B$11)*T2242+Summary!$B$11*V2242</f>
        <v/>
      </c>
      <c r="P2242">
        <f>IF(B2261=0,0,O2242/B2261)</f>
        <v/>
      </c>
      <c r="Q2242" t="n">
        <v>0</v>
      </c>
      <c r="R2242" t="n">
        <v>0</v>
      </c>
      <c r="S2242">
        <f>IFERROR(O2242/N2242,0)</f>
        <v/>
      </c>
      <c r="T2242" t="n">
        <v>0</v>
      </c>
      <c r="V2242" t="n">
        <v>0</v>
      </c>
    </row>
    <row r="2243">
      <c r="A2243">
        <f>Skills!A22</f>
        <v/>
      </c>
      <c r="B2243">
        <f>Skills!B22</f>
        <v/>
      </c>
      <c r="C2243">
        <f>Inputs!$B$3&gt;=43</f>
        <v/>
      </c>
      <c r="D2243">
        <f>IF(Skills!C22=1,60+Inputs!$B$25+Inputs!$B$29,IF(Skills!C22=2,90+Inputs!$B$26+Inputs!$B$29,IF(Skills!C22=3,120+Inputs!$B$27+Inputs!$B$29,MAX(0,(Inputs!$B$3-100)*3)+Inputs!$B$28+Inputs!$B$29)))</f>
        <v/>
      </c>
      <c r="E2243">
        <f>INDEX(FactorTable!$B$2:$Y$301, MATCH(ROUND(MIN(300,MAX(1,D2243)),0), FactorTable!$A$2:$A$301,0), Skills!M22+1)</f>
        <v/>
      </c>
      <c r="F2243">
        <f>IF(Skills!N22=TRUE,(Skills!L22/10)*(E2243/1000),Skills!L22/10)+Skills!O22</f>
        <v/>
      </c>
      <c r="G2243">
        <f>Skills!G22*IF(Skills!H22&gt;0,Skills!I22/Skills!H22,1)</f>
        <v/>
      </c>
      <c r="H2243">
        <f>1-(1-Skills!J22/100)^Skills!K22</f>
        <v/>
      </c>
      <c r="I2243" t="inlineStr">
        <is>
          <t>1</t>
        </is>
      </c>
      <c r="J2243" t="inlineStr"/>
      <c r="K2243" t="inlineStr"/>
      <c r="L2243" t="inlineStr"/>
      <c r="M2243" t="inlineStr"/>
      <c r="N2243" t="inlineStr"/>
      <c r="O2243">
        <f>(1-Summary!$B$11)*T2243+Summary!$B$11*V2243</f>
        <v/>
      </c>
      <c r="P2243">
        <f>IF(B2261=0,0,O2243/B2261)</f>
        <v/>
      </c>
      <c r="Q2243" t="n">
        <v>0</v>
      </c>
      <c r="R2243" t="n">
        <v>0</v>
      </c>
      <c r="S2243">
        <f>IFERROR(O2243/N2243,0)</f>
        <v/>
      </c>
      <c r="T2243" t="n">
        <v>0</v>
      </c>
      <c r="V2243" t="n">
        <v>0</v>
      </c>
    </row>
    <row r="2244">
      <c r="A2244">
        <f>Skills!A23</f>
        <v/>
      </c>
      <c r="B2244">
        <f>Skills!B23</f>
        <v/>
      </c>
      <c r="C2244">
        <f>Inputs!$B$3&gt;=38</f>
        <v/>
      </c>
      <c r="D2244">
        <f>IF(Skills!C23=1,60+Inputs!$B$25+Inputs!$B$29,IF(Skills!C23=2,90+Inputs!$B$26+Inputs!$B$29,IF(Skills!C23=3,120+Inputs!$B$27+Inputs!$B$29,MAX(0,(Inputs!$B$3-100)*3)+Inputs!$B$28+Inputs!$B$29)))</f>
        <v/>
      </c>
      <c r="E2244">
        <f>INDEX(FactorTable!$B$2:$Y$301, MATCH(ROUND(MIN(300,MAX(1,D2244)),0), FactorTable!$A$2:$A$301,0), Skills!M23+1)</f>
        <v/>
      </c>
      <c r="F2244">
        <f>IF(Skills!N23=TRUE,(Skills!L23/10)*(E2244/1000),Skills!L23/10)+Skills!O23</f>
        <v/>
      </c>
      <c r="G2244">
        <f>Skills!G23*IF(Skills!H23&gt;0,Skills!I23/Skills!H23,1)</f>
        <v/>
      </c>
      <c r="H2244">
        <f>1-(1-Skills!J23/100)^Skills!K23</f>
        <v/>
      </c>
      <c r="I2244" t="inlineStr">
        <is>
          <t>1</t>
        </is>
      </c>
      <c r="J2244" t="inlineStr"/>
      <c r="K2244" t="inlineStr"/>
      <c r="L2244" t="inlineStr"/>
      <c r="M2244" t="inlineStr"/>
      <c r="N2244" t="inlineStr"/>
      <c r="O2244">
        <f>(1-Summary!$B$11)*T2244+Summary!$B$11*V2244</f>
        <v/>
      </c>
      <c r="P2244">
        <f>IF(B2261=0,0,O2244/B2261)</f>
        <v/>
      </c>
      <c r="Q2244" t="n">
        <v>0</v>
      </c>
      <c r="R2244" t="n">
        <v>0</v>
      </c>
      <c r="S2244">
        <f>IFERROR(O2244/N2244,0)</f>
        <v/>
      </c>
      <c r="T2244" t="n">
        <v>0</v>
      </c>
      <c r="V2244" t="n">
        <v>0</v>
      </c>
    </row>
    <row r="2245">
      <c r="A2245">
        <f>Skills!A24</f>
        <v/>
      </c>
      <c r="B2245">
        <f>Skills!B24</f>
        <v/>
      </c>
      <c r="C2245">
        <f>Inputs!$B$3&gt;=40</f>
        <v/>
      </c>
      <c r="D2245">
        <f>IF(Skills!C24=1,60+Inputs!$B$25+Inputs!$B$29,IF(Skills!C24=2,90+Inputs!$B$26+Inputs!$B$29,IF(Skills!C24=3,120+Inputs!$B$27+Inputs!$B$29,MAX(0,(Inputs!$B$3-100)*3)+Inputs!$B$28+Inputs!$B$29)))</f>
        <v/>
      </c>
      <c r="E2245">
        <f>INDEX(FactorTable!$B$2:$Y$301, MATCH(ROUND(MIN(300,MAX(1,D2245)),0), FactorTable!$A$2:$A$301,0), Skills!M24+1)</f>
        <v/>
      </c>
      <c r="F2245">
        <f>IF(Skills!N24=TRUE,(Skills!L24/10)*(E2245/1000),Skills!L24/10)+Skills!O24</f>
        <v/>
      </c>
      <c r="G2245">
        <f>Skills!G24*IF(Skills!H24&gt;0,Skills!I24/Skills!H24,1)</f>
        <v/>
      </c>
      <c r="H2245">
        <f>1-(1-Skills!J24/100)^Skills!K24</f>
        <v/>
      </c>
      <c r="I2245" t="inlineStr">
        <is>
          <t>1</t>
        </is>
      </c>
      <c r="J2245" t="inlineStr"/>
      <c r="K2245" t="inlineStr"/>
      <c r="L2245" t="inlineStr"/>
      <c r="M2245" t="inlineStr"/>
      <c r="N2245" t="inlineStr"/>
      <c r="O2245">
        <f>(1-Summary!$B$11)*T2245+Summary!$B$11*V2245</f>
        <v/>
      </c>
      <c r="P2245">
        <f>IF(B2261=0,0,O2245/B2261)</f>
        <v/>
      </c>
      <c r="Q2245" t="n">
        <v>0</v>
      </c>
      <c r="R2245" t="n">
        <v>0</v>
      </c>
      <c r="S2245">
        <f>IFERROR(O2245/N2245,0)</f>
        <v/>
      </c>
      <c r="T2245" t="n">
        <v>0</v>
      </c>
      <c r="V2245" t="n">
        <v>0</v>
      </c>
    </row>
    <row r="2246">
      <c r="A2246">
        <f>Skills!A25</f>
        <v/>
      </c>
      <c r="B2246">
        <f>Skills!B25</f>
        <v/>
      </c>
      <c r="C2246">
        <f>Inputs!$B$3&gt;=72</f>
        <v/>
      </c>
      <c r="D2246">
        <f>IF(Skills!C25=1,60+Inputs!$B$25+Inputs!$B$29,IF(Skills!C25=2,90+Inputs!$B$26+Inputs!$B$29,IF(Skills!C25=3,120+Inputs!$B$27+Inputs!$B$29,MAX(0,(Inputs!$B$3-100)*3)+Inputs!$B$28+Inputs!$B$29)))</f>
        <v/>
      </c>
      <c r="E2246">
        <f>INDEX(FactorTable!$B$2:$Y$301, MATCH(ROUND(MIN(300,MAX(1,D2246)),0), FactorTable!$A$2:$A$301,0), Skills!M25+1)</f>
        <v/>
      </c>
      <c r="F2246">
        <f>IF(Skills!N25=TRUE,(Skills!L25/10)*(E2246/1000),Skills!L25/10)+Skills!O25</f>
        <v/>
      </c>
      <c r="G2246">
        <f>Skills!G25*IF(Skills!H25&gt;0,Skills!I25/Skills!H25,1)</f>
        <v/>
      </c>
      <c r="H2246">
        <f>1-(1-Skills!J25/100)^Skills!K25</f>
        <v/>
      </c>
      <c r="I2246" t="inlineStr">
        <is>
          <t>1</t>
        </is>
      </c>
      <c r="J2246" t="inlineStr"/>
      <c r="K2246" t="inlineStr"/>
      <c r="L2246" t="inlineStr"/>
      <c r="M2246" t="inlineStr"/>
      <c r="N2246" t="inlineStr"/>
      <c r="O2246">
        <f>(1-Summary!$B$11)*T2246+Summary!$B$11*V2246</f>
        <v/>
      </c>
      <c r="P2246">
        <f>IF(B2261=0,0,O2246/B2261)</f>
        <v/>
      </c>
      <c r="Q2246" t="n">
        <v>0</v>
      </c>
      <c r="R2246" t="n">
        <v>0</v>
      </c>
      <c r="S2246">
        <f>IFERROR(O2246/N2246,0)</f>
        <v/>
      </c>
      <c r="T2246" t="n">
        <v>0</v>
      </c>
      <c r="V2246" t="n">
        <v>0</v>
      </c>
    </row>
    <row r="2247">
      <c r="A2247">
        <f>Skills!A26</f>
        <v/>
      </c>
      <c r="B2247">
        <f>Skills!B26</f>
        <v/>
      </c>
      <c r="C2247">
        <f>Inputs!$B$3&gt;=75</f>
        <v/>
      </c>
      <c r="D2247">
        <f>IF(Skills!C26=1,60+Inputs!$B$25+Inputs!$B$29,IF(Skills!C26=2,90+Inputs!$B$26+Inputs!$B$29,IF(Skills!C26=3,120+Inputs!$B$27+Inputs!$B$29,MAX(0,(Inputs!$B$3-100)*3)+Inputs!$B$28+Inputs!$B$29)))</f>
        <v/>
      </c>
      <c r="E2247">
        <f>INDEX(FactorTable!$B$2:$Y$301, MATCH(ROUND(MIN(300,MAX(1,D2247)),0), FactorTable!$A$2:$A$301,0), Skills!M26+1)</f>
        <v/>
      </c>
      <c r="F2247">
        <f>IF(Skills!N26=TRUE,(Skills!L26/10)*(E2247/1000),Skills!L26/10)+Skills!O26</f>
        <v/>
      </c>
      <c r="G2247">
        <f>Skills!G26*IF(Skills!H26&gt;0,Skills!I26/Skills!H26,1)</f>
        <v/>
      </c>
      <c r="H2247">
        <f>1-(1-Skills!J26/100)^Skills!K26</f>
        <v/>
      </c>
      <c r="I2247" t="inlineStr">
        <is>
          <t>1</t>
        </is>
      </c>
      <c r="J2247" t="inlineStr"/>
      <c r="K2247" t="inlineStr"/>
      <c r="L2247" t="inlineStr"/>
      <c r="M2247" t="inlineStr"/>
      <c r="N2247" t="inlineStr"/>
      <c r="O2247">
        <f>(1-Summary!$B$11)*T2247+Summary!$B$11*V2247</f>
        <v/>
      </c>
      <c r="P2247">
        <f>IF(B2261=0,0,O2247/B2261)</f>
        <v/>
      </c>
      <c r="Q2247" t="n">
        <v>0</v>
      </c>
      <c r="R2247" t="n">
        <v>0</v>
      </c>
      <c r="S2247">
        <f>IFERROR(O2247/N2247,0)</f>
        <v/>
      </c>
      <c r="T2247" t="n">
        <v>0</v>
      </c>
      <c r="V2247" t="n">
        <v>0</v>
      </c>
    </row>
    <row r="2248">
      <c r="A2248">
        <f>Skills!A27</f>
        <v/>
      </c>
      <c r="B2248">
        <f>Skills!B27</f>
        <v/>
      </c>
      <c r="C2248">
        <f>Inputs!$B$3&gt;=117</f>
        <v/>
      </c>
      <c r="D2248">
        <f>IF(Skills!C27=1,60+Inputs!$B$25+Inputs!$B$29,IF(Skills!C27=2,90+Inputs!$B$26+Inputs!$B$29,IF(Skills!C27=3,120+Inputs!$B$27+Inputs!$B$29,MAX(0,(Inputs!$B$3-100)*3)+Inputs!$B$28+Inputs!$B$29)))</f>
        <v/>
      </c>
      <c r="E2248">
        <f>INDEX(FactorTable!$B$2:$Y$301, MATCH(ROUND(MIN(300,MAX(1,D2248)),0), FactorTable!$A$2:$A$301,0), Skills!M27+1)</f>
        <v/>
      </c>
      <c r="F2248">
        <f>IF(Skills!N27=TRUE,(Skills!L27/10)*(E2248/1000),Skills!L27/10)+Skills!O27</f>
        <v/>
      </c>
      <c r="G2248">
        <f>Skills!G27*IF(Skills!H27&gt;0,Skills!I27/Skills!H27,1)</f>
        <v/>
      </c>
      <c r="H2248">
        <f>1-(1-Skills!J27/100)^Skills!K27</f>
        <v/>
      </c>
      <c r="I2248" t="inlineStr">
        <is>
          <t>1</t>
        </is>
      </c>
      <c r="J2248" t="inlineStr"/>
      <c r="K2248" t="inlineStr"/>
      <c r="L2248" t="inlineStr"/>
      <c r="M2248" t="inlineStr"/>
      <c r="N2248" t="inlineStr"/>
      <c r="O2248">
        <f>(1-Summary!$B$11)*T2248+Summary!$B$11*V2248</f>
        <v/>
      </c>
      <c r="P2248">
        <f>IF(B2261=0,0,O2248/B2261)</f>
        <v/>
      </c>
      <c r="Q2248" t="n">
        <v>0</v>
      </c>
      <c r="R2248" t="n">
        <v>0</v>
      </c>
      <c r="S2248">
        <f>IFERROR(O2248/N2248,0)</f>
        <v/>
      </c>
      <c r="T2248" t="n">
        <v>0</v>
      </c>
      <c r="V2248" t="n">
        <v>0</v>
      </c>
    </row>
    <row r="2250">
      <c r="A2250" t="inlineStr">
        <is>
          <t>Attack% Bucket Multiplier</t>
        </is>
      </c>
      <c r="B2250">
        <f>(1+(((C2238=TRUE)*F2238)+((C2245=TRUE)*(F2245-Calc!F24))+(IF(ArtifactsInput!$M$21,CHOOSE(ArtifactsInput!$N$21+1,25,30,35,40,45,50)*(IF(OR(Inputs!$B$4="Chapter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51">
      <c r="A2251" t="inlineStr">
        <is>
          <t>Global Crit Rate Bonus %</t>
        </is>
      </c>
      <c r="B2251" t="n">
        <v>0</v>
      </c>
    </row>
    <row r="2252">
      <c r="A2252" t="inlineStr">
        <is>
          <t>Attack Speed Buff Bonus % (unused)</t>
        </is>
      </c>
      <c r="B2252" t="n">
        <v>0</v>
      </c>
    </row>
    <row r="2253">
      <c r="A2253" t="inlineStr">
        <is>
          <t>Actions Per Second</t>
        </is>
      </c>
      <c r="B2253">
        <f>1+MIN(150,150*(1-(1-(Inputs!$B$11+((C2241=TRUE)*(F2241-Calc!F20))+((C2242=TRUE)*(F2242-Calc!F21)))/150)*(1-B2252/150)))/100</f>
        <v/>
      </c>
    </row>
    <row r="2254">
      <c r="A2254" t="inlineStr">
        <is>
          <t>Skill + Buff Cast Rate</t>
        </is>
      </c>
      <c r="B2254">
        <f>IF(AND(Inputs!$B$38&lt;&gt;"pvp",Inputs!$B$43&gt;0),SUMPRODUCT((Skills!E2:E27=TRUE)*(C2223:C2248=TRUE)*R2223:R2248*Skills!F2:F27)/Inputs!$B$43,SUMPRODUCT((Skills!E2:E27=TRUE)*(C2223:C2248=TRUE)*Q2223:Q2248*Skills!F2:F27))</f>
        <v/>
      </c>
    </row>
    <row r="2255">
      <c r="A2255" t="inlineStr">
        <is>
          <t>Eight-Legs Easton Casts Per Second</t>
        </is>
      </c>
      <c r="B2255">
        <f>MAX(0,B2253-B2254)</f>
        <v/>
      </c>
    </row>
    <row r="2256">
      <c r="A2256" t="inlineStr">
        <is>
          <t>Global Critical Damage Bonus % (unused)</t>
        </is>
      </c>
      <c r="B2256" t="n">
        <v>0</v>
      </c>
    </row>
    <row r="2257">
      <c r="A2257" t="inlineStr">
        <is>
          <t>Global Final Damage Bonus % (Jolly Roger only)</t>
        </is>
      </c>
      <c r="B2257">
        <f>((C2239=TRUE)*F2239)</f>
        <v/>
      </c>
    </row>
    <row r="2258">
      <c r="A2258" t="inlineStr">
        <is>
          <t>Buff-Casting Startup Delay (s, fixed-duration only)</t>
        </is>
      </c>
      <c r="B2258">
        <f>IF(AND(Inputs!$B$38&lt;&gt;"pvp",Inputs!$B$43&gt;0),SUMPRODUCT((Skills!T2:T27&gt;0)*(Skills!E2:E27=TRUE)*(C2223:C2248=TRUE))/B2253,0)</f>
        <v/>
      </c>
    </row>
    <row r="2259">
      <c r="A2259" t="inlineStr">
        <is>
          <t>Boss-Only Total DPS (this block's swept value)</t>
        </is>
      </c>
      <c r="B2259">
        <f>SUM(T2223:T2248)</f>
        <v/>
      </c>
    </row>
    <row r="2260">
      <c r="A2260" t="inlineStr">
        <is>
          <t>Normal-Only Total DPS (this block's swept value)</t>
        </is>
      </c>
      <c r="B2260">
        <f>SUM(V2223:V2248)</f>
        <v/>
      </c>
    </row>
    <row r="2261">
      <c r="A2261" s="6" t="inlineStr">
        <is>
          <t>TOTAL DPS</t>
        </is>
      </c>
      <c r="B2261" s="6">
        <f>SUM(O2223:O2248)</f>
        <v/>
      </c>
    </row>
    <row r="2264">
      <c r="A2264" s="6" t="inlineStr">
        <is>
          <t>Stat: Flaming Lava (Equip)</t>
        </is>
      </c>
    </row>
    <row r="2265">
      <c r="A2265" s="5" t="inlineStr">
        <is>
          <t>Key</t>
        </is>
      </c>
      <c r="B2265" s="5" t="inlineStr">
        <is>
          <t>Name</t>
        </is>
      </c>
      <c r="C2265" s="5" t="inlineStr">
        <is>
          <t>Unlocked</t>
        </is>
      </c>
      <c r="D2265" s="5" t="inlineStr">
        <is>
          <t>InputLevel</t>
        </is>
      </c>
      <c r="E2265" s="5" t="inlineStr">
        <is>
          <t>Factor</t>
        </is>
      </c>
      <c r="F2265" s="5" t="inlineStr">
        <is>
          <t>CoefficientPercent</t>
        </is>
      </c>
      <c r="G2265" s="5" t="inlineStr">
        <is>
          <t>EffectiveHits</t>
        </is>
      </c>
      <c r="H2265" s="5" t="inlineStr">
        <is>
          <t>ProcProbability</t>
        </is>
      </c>
      <c r="I2265" s="5" t="inlineStr">
        <is>
          <t>MapleHeroMultiplier</t>
        </is>
      </c>
      <c r="J2265" s="5" t="inlineStr">
        <is>
          <t>BaseDamage</t>
        </is>
      </c>
      <c r="K2265" s="5" t="inlineStr">
        <is>
          <t>BaseHitDamage</t>
        </is>
      </c>
      <c r="L2265" s="5" t="inlineStr">
        <is>
          <t>NonCritAvg</t>
        </is>
      </c>
      <c r="M2265" s="5" t="inlineStr">
        <is>
          <t>CritAvg</t>
        </is>
      </c>
      <c r="N2265" s="5" t="inlineStr">
        <is>
          <t>ExpectedDamage(perHit)</t>
        </is>
      </c>
      <c r="O2265" s="5" t="inlineStr">
        <is>
          <t>DPS</t>
        </is>
      </c>
      <c r="P2265" s="5" t="inlineStr">
        <is>
          <t>% of Total</t>
        </is>
      </c>
      <c r="Q2265" s="5" t="inlineStr">
        <is>
          <t>InvCooldown</t>
        </is>
      </c>
      <c r="R2265" s="5" t="inlineStr">
        <is>
          <t>CastsInFight</t>
        </is>
      </c>
      <c r="S2265" s="5" t="inlineStr">
        <is>
          <t>HitRate(perSec)</t>
        </is>
      </c>
      <c r="U2265" t="inlineStr">
        <is>
          <t>helpers</t>
        </is>
      </c>
    </row>
    <row r="2266">
      <c r="A2266">
        <f>Skills!A2</f>
        <v/>
      </c>
      <c r="B2266">
        <f>Skills!B2</f>
        <v/>
      </c>
      <c r="C2266">
        <f>Inputs!$B$3&gt;=100</f>
        <v/>
      </c>
      <c r="D2266" t="inlineStr"/>
      <c r="E2266" t="inlineStr"/>
      <c r="F2266">
        <f>U2268+Skills!O2</f>
        <v/>
      </c>
      <c r="G2266">
        <f>Skills!G2*IF(Skills!H2&gt;0,Skills!I2/Skills!H2,1)</f>
        <v/>
      </c>
      <c r="H2266">
        <f>1-(1-Skills!J2/100)^Skills!K2</f>
        <v/>
      </c>
      <c r="I2266" t="inlineStr">
        <is>
          <t>1</t>
        </is>
      </c>
      <c r="J2266">
        <f>((Inputs!$B$6*(1+Inputs!$B$7/100))+(((Inputs!$B$12*(1+Inputs!$B$13/100))-(Inputs!$B$12*(1+Inputs!$B$13/100)))+0.25*(Inputs!$B$14-Inputs!$B$14))*(1+Inputs!$B$7/100))*(F2266/100)</f>
        <v/>
      </c>
      <c r="K2266">
        <f>J2266*(1+((Inputs!$B$12*(1+Inputs!$B$13/100))*0.01+Inputs!$B$14*0.0025)/100)*(1+Inputs!$B$15/100)*(1+Inputs!$B$16/100)*(5000/(6000+Inputs!$B$42*(1-(100*(1-(1-(Inputs!$B$19+0)/100)*(1-CHOOSE(ArtifactsInput!$N$40+1,5,6,7,8,9,10)/100)^(ArtifactsInput!$M$40-ArtifactsInput!$M$40)))/100)))*(1+(Inputs!$B$24+((C2290=TRUE)*(F2290-Calc!F26))+B2300)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2287=TRUE)*(F2287-Calc!F23))+((C2291=TRUE)*(F2291-Calc!F27))+(((IF(AND(ArtifactsInput!$M$42,((Inputs!$B$9+((C2283=TRUE)*(F2283-Calc!F19))+B2294+(ArtifactsInput!$M$24-ArtifactsInput!$M$24)*CHOOSE(ArtifactsInput!$N$24+1,10,12,14,16,18,20)+IF(ArtifactsInput!$M$10,CHOOSE(ArtifactsInput!$N$10+1,15,18,21,24,27,30)*(IF(Inputs!$B$38="pvp",MIN(15,15)/15,IF(AND(Inputs!$B$38&lt;&gt;"pvp",Inputs!$B$43&gt;0),MIN(15,Inputs!$B$43)/(Inputs!$B$43),0))),0)))&gt;=100),MIN(100,((Inputs!$B$9+((C2283=TRUE)*(F2283-Calc!F19))+B2294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2283=TRUE)*(F2283-Calc!F19))+B2294+(ArtifactsInput!$M$24-ArtifactsInput!$M$24)*CHOOSE(ArtifactsInput!$N$24+1,10,12,14,16,18,20)+IF(ArtifactsInput!$M$10,CHOOSE(ArtifactsInput!$N$10+1,15,18,21,24,27,30)*(IF(Inputs!$B$38="pvp",MIN(15,15)/15,IF(AND(Inputs!$B$38&lt;&gt;"pvp",Inputs!$B$43&gt;0),MIN(15,Inputs!$B$43)/(Inputs!$B$43),0))),0)))&gt;=100),CHOOSE(ArtifactsInput!$N$42+1,40,48,56,64,72,80),0))))/100)*((1+(((C2281=TRUE)*F2281)+((C2288=TRUE)*(F2288-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2266)</f>
        <v/>
      </c>
      <c r="L2266">
        <f>K2266*(MIN(Inputs!$B$22+((C2286=TRUE)*(F2286-Calc!F22)),(Inputs!$B$23+0+(IF(ArtifactsInput!$M$15,CHOOSE(ArtifactsInput!$N$15+1,25,30,35,40,45,50)/100*(Inputs!$B$11-Inputs!$B$11),0))))/100+(Inputs!$B$23+0+(IF(ArtifactsInput!$M$15,CHOOSE(ArtifactsInput!$N$15+1,25,30,35,40,45,50)/100*(Inputs!$B$11-Inputs!$B$11),0)))/100)/2</f>
        <v/>
      </c>
      <c r="M2266">
        <f>L2266*(1+(Inputs!$B$10+((C2289=TRUE)*(F2289-Calc!F25))+B2299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6">
        <f>L2266*(1-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2266*(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6">
        <f>(1-Summary!$B$11)*T2266+Summary!$B$11*V2266</f>
        <v/>
      </c>
      <c r="P2266">
        <f>IF(B2304=0,0,O2266/B2304)</f>
        <v/>
      </c>
      <c r="Q2266" t="n">
        <v>0</v>
      </c>
      <c r="R2266" t="n">
        <v>0</v>
      </c>
      <c r="S2266">
        <f>IFERROR(O2266/N2266,0)</f>
        <v/>
      </c>
      <c r="T2266">
        <f>IF(C2266,(Skills!G2*N2266*B2298)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2266*(1-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2266*(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2266*(1-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2266*(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66">
        <f>MAX(0,(Inputs!$B$3-100)*3)+Inputs!$B$28+Inputs!$B$29</f>
        <v/>
      </c>
      <c r="V2266">
        <f>IF(C2266,(Skills!G2*N2266*B2298)*IF(Inputs!$B$38="pvp",1,(1+(Inputs!$B$21+Skills!Q2+(IF(ArtifactsInput!$M$33,CHOOSE(ArtifactsInput!$N$33+1,30,36,42,48,54,60),0))+(IF(AND(ArtifactsInput!$M$35,Inputs!$B$4&lt;&gt;"Chapter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7">
      <c r="A2267">
        <f>Skills!A3</f>
        <v/>
      </c>
      <c r="B2267">
        <f>Skills!B3</f>
        <v/>
      </c>
      <c r="C2267">
        <f>Inputs!$B$3&gt;=35</f>
        <v/>
      </c>
      <c r="D2267">
        <f>IF(Skills!C3=1,60+Inputs!$B$25+Inputs!$B$29,IF(Skills!C3=2,90+Inputs!$B$26+Inputs!$B$29,IF(Skills!C3=3,120+Inputs!$B$27+Inputs!$B$29,MAX(0,(Inputs!$B$3-100)*3)+Inputs!$B$28+Inputs!$B$29)))</f>
        <v/>
      </c>
      <c r="E2267">
        <f>INDEX(FactorTable!$B$2:$Y$301, MATCH(ROUND(MIN(300,MAX(1,D2267)),0), FactorTable!$A$2:$A$301,0), Skills!M3+1)</f>
        <v/>
      </c>
      <c r="F2267">
        <f>IF(Skills!N3=TRUE,(Skills!L3/10)*(E2267/1000),Skills!L3/10)+Skills!O3</f>
        <v/>
      </c>
      <c r="G2267">
        <f>Skills!G3*IF(Skills!H3&gt;0,Skills!I3/Skills!H3,1)</f>
        <v/>
      </c>
      <c r="H2267">
        <f>1-(1-Skills!J3/100)^Skills!K3</f>
        <v/>
      </c>
      <c r="I2267" t="inlineStr">
        <is>
          <t>1</t>
        </is>
      </c>
      <c r="J2267">
        <f>((Inputs!$B$6*(1+Inputs!$B$7/100))+(((Inputs!$B$12*(1+Inputs!$B$13/100))-(Inputs!$B$12*(1+Inputs!$B$13/100)))+0.25*(Inputs!$B$14-Inputs!$B$14))*(1+Inputs!$B$7/100))*(F2267/100)</f>
        <v/>
      </c>
      <c r="K2267">
        <f>J2267*(1+((Inputs!$B$12*(1+Inputs!$B$13/100))*0.01+Inputs!$B$14*0.0025)/100)*(1+Inputs!$B$15/100)*(1+Inputs!$B$16/100)*(5000/(6000+Inputs!$B$42*(1-(100*(1-(1-(Inputs!$B$19+0)/100)*(1-CHOOSE(ArtifactsInput!$N$40+1,5,6,7,8,9,10)/100)^(ArtifactsInput!$M$40-ArtifactsInput!$M$40)))/100)))*(1+(Inputs!$B$24+((C2290=TRUE)*(F2290-Calc!F26))+B2300)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2279=TRUE,F2279,0)/100)*(1+(IF(Skills!A3="EIGHT_LEGS_EASTON",Inputs!$B$17+((C2287=TRUE)*(F2287-Calc!F23))+((C2291=TRUE)*(F2291-Calc!F27))+(((IF(AND(ArtifactsInput!$M$42,((Inputs!$B$9+((C2283=TRUE)*(F2283-Calc!F19))+B2294+(ArtifactsInput!$M$24-ArtifactsInput!$M$24)*CHOOSE(ArtifactsInput!$N$24+1,10,12,14,16,18,20)+IF(ArtifactsInput!$M$10,CHOOSE(ArtifactsInput!$N$10+1,15,18,21,24,27,30)*(IF(Inputs!$B$38="pvp",MIN(15,15)/15,IF(AND(Inputs!$B$38&lt;&gt;"pvp",Inputs!$B$43&gt;0),MIN(15,Inputs!$B$43)/(Inputs!$B$43),0))),0)))&gt;=100),MIN(100,((Inputs!$B$9+((C2283=TRUE)*(F2283-Calc!F19))+B2294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2283=TRUE)*(F2283-Calc!F19))+B2294+(ArtifactsInput!$M$24-ArtifactsInput!$M$24)*CHOOSE(ArtifactsInput!$N$24+1,10,12,14,16,18,20)+IF(ArtifactsInput!$M$10,CHOOSE(ArtifactsInput!$N$10+1,15,18,21,24,27,30)*(IF(Inputs!$B$38="pvp",MIN(15,15)/15,IF(AND(Inputs!$B$38&lt;&gt;"pvp",Inputs!$B$43&gt;0),MIN(15,Inputs!$B$43)/(Inputs!$B$43),0))),0)))&gt;=100),CHOOSE(ArtifactsInput!$N$42+1,40,48,56,64,72,80),0))))/100)*((1+(((C2281=TRUE)*F2281)+((C2288=TRUE)*(F2288-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2267)</f>
        <v/>
      </c>
      <c r="L2267">
        <f>K2267*(MIN(Inputs!$B$22+((C2286=TRUE)*(F2286-Calc!F22)),(Inputs!$B$23+0+(IF(ArtifactsInput!$M$15,CHOOSE(ArtifactsInput!$N$15+1,25,30,35,40,45,50)/100*(Inputs!$B$11-Inputs!$B$11),0))))/100+(Inputs!$B$23+0+(IF(ArtifactsInput!$M$15,CHOOSE(ArtifactsInput!$N$15+1,25,30,35,40,45,50)/100*(Inputs!$B$11-Inputs!$B$11),0)))/100)/2</f>
        <v/>
      </c>
      <c r="M2267">
        <f>L2267*(1+(Inputs!$B$10+((C2289=TRUE)*(F2289-Calc!F25))+B2299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7">
        <f>L2267*(1-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2267*(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7">
        <f>(1-Summary!$B$11)*T2267+Summary!$B$11*V2267</f>
        <v/>
      </c>
      <c r="P2267">
        <f>IF(B2304=0,0,O2267/B2304)</f>
        <v/>
      </c>
      <c r="Q2267">
        <f>IFERROR(1/(IF(Inputs!$B$38="pvp",15,MAX(0.1,Skills!D3-IF(Skills!E3=TRUE,Inputs!$B$32,0)))*(1-IF(AND(ArtifactsInput!$M$27,Inputs!$B$4="Chapter Hunt"),CHOOSE(ArtifactsInput!$N$27+1,20,24,28,32,36,40),0)/100)),0)</f>
        <v/>
      </c>
      <c r="R2267">
        <f>IF(AND(Inputs!$B$38&lt;&gt;"pvp",Inputs!$B$43&gt;0),IF(MAX(0,Inputs!$B$43-B2301)&lt;=0,0,(INT(MAX(0,Inputs!$B$43-B2301)/(IF(Inputs!$B$38="pvp",15,MAX(0.1,Skills!D3-IF(Skills!E3=TRUE,Inputs!$B$32,0)))*(1-IF(AND(ArtifactsInput!$M$27,Inputs!$B$4="Chapter Hunt"),CHOOSE(ArtifactsInput!$N$27+1,20,24,28,32,36,40),0)/100)))+1)),0)</f>
        <v/>
      </c>
      <c r="S2267">
        <f>IFERROR(O2267/N2267,0)</f>
        <v/>
      </c>
      <c r="T2267">
        <f>IF(C2267,(H2267*N2267*IF(AND(Inputs!$B$38&lt;&gt;"pvp",Inputs!$B$43&gt;0),((Skills!G3*((R2267-1)*IF(Skills!H3&gt;0,Skills!I3/Skills!H3,1)+IF(Skills!H3&gt;0,MIN(Skills!I3,MAX(0,MAX(0,Inputs!$B$43-B2301)-((R2267-1)*(IF(Inputs!$B$38="pvp",15,MAX(0.1,Skills!D3-IF(Skills!E3=TRUE,Inputs!$B$32,0)))*(1-IF(AND(ArtifactsInput!$M$27,Inputs!$B$4="Chapter Hunt"),CHOOSE(ArtifactsInput!$N$27+1,20,24,28,32,36,40),0)/100)))))/Skills!H3,1)))/Inputs!$B$43),G2267*Q2267)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2267*(1-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2267*(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2267*(1-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2267*(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67">
        <f>INDEX(FactorTable!$B$2:$Y$301, MATCH(ROUND(MIN(300,MAX(1,U2266)),0), FactorTable!$A$2:$A$301,0), 22)</f>
        <v/>
      </c>
      <c r="V2267">
        <f>IF(C2267,(H2267*N2267*IF(AND(Inputs!$B$38&lt;&gt;"pvp",Inputs!$B$43&gt;0),((Skills!G3*((R2267-1)*IF(Skills!H3&gt;0,Skills!I3/Skills!H3,1)+IF(Skills!H3&gt;0,MIN(Skills!I3,MAX(0,MAX(0,Inputs!$B$43-B2301)-((R2267-1)*(IF(Inputs!$B$38="pvp",15,MAX(0.1,Skills!D3-IF(Skills!E3=TRUE,Inputs!$B$32,0)))*(1-IF(AND(ArtifactsInput!$M$27,Inputs!$B$4="Chapter Hunt"),CHOOSE(ArtifactsInput!$N$27+1,20,24,28,32,36,40),0)/100)))))/Skills!H3,1)))/Inputs!$B$43),G2267*Q2267))*IF(Inputs!$B$38="pvp",1,(1+(Inputs!$B$21+Skills!Q3+(IF(ArtifactsInput!$M$33,CHOOSE(ArtifactsInput!$N$33+1,30,36,42,48,54,60)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8">
      <c r="A2268">
        <f>Skills!A4</f>
        <v/>
      </c>
      <c r="B2268">
        <f>Skills!B4</f>
        <v/>
      </c>
      <c r="C2268">
        <f>Inputs!$B$3&gt;=40</f>
        <v/>
      </c>
      <c r="D2268">
        <f>IF(Skills!C4=1,60+Inputs!$B$25+Inputs!$B$29,IF(Skills!C4=2,90+Inputs!$B$26+Inputs!$B$29,IF(Skills!C4=3,120+Inputs!$B$27+Inputs!$B$29,MAX(0,(Inputs!$B$3-100)*3)+Inputs!$B$28+Inputs!$B$29)))</f>
        <v/>
      </c>
      <c r="E2268">
        <f>INDEX(FactorTable!$B$2:$Y$301, MATCH(ROUND(MIN(300,MAX(1,D2268)),0), FactorTable!$A$2:$A$301,0), Skills!M4+1)</f>
        <v/>
      </c>
      <c r="F2268">
        <f>IF(Skills!N4=TRUE,(Skills!L4/10)*(E2268/1000),Skills!L4/10)+Skills!O4</f>
        <v/>
      </c>
      <c r="G2268">
        <f>Skills!G4*IF(Skills!H4&gt;0,Skills!I4/Skills!H4,1)</f>
        <v/>
      </c>
      <c r="H2268">
        <f>1-(1-Skills!J4/100)^Skills!K4</f>
        <v/>
      </c>
      <c r="I2268" t="inlineStr">
        <is>
          <t>1</t>
        </is>
      </c>
      <c r="J2268">
        <f>((Inputs!$B$6*(1+Inputs!$B$7/100))+(((Inputs!$B$12*(1+Inputs!$B$13/100))-(Inputs!$B$12*(1+Inputs!$B$13/100)))+0.25*(Inputs!$B$14-Inputs!$B$14))*(1+Inputs!$B$7/100))*(F2268/100)</f>
        <v/>
      </c>
      <c r="K2268">
        <f>J2268*(1+((Inputs!$B$12*(1+Inputs!$B$13/100))*0.01+Inputs!$B$14*0.0025)/100)*(1+Inputs!$B$15/100)*(1+Inputs!$B$16/100)*(5000/(6000+Inputs!$B$42*(1-(100*(1-(1-(Inputs!$B$19+0)/100)*(1-CHOOSE(ArtifactsInput!$N$40+1,5,6,7,8,9,10)/100)^(ArtifactsInput!$M$40-ArtifactsInput!$M$40)))/100)))*(1+(Inputs!$B$24+((C2290=TRUE)*(F2290-Calc!F26))+B2300)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2280=TRUE,F2280,0)/100)*(1+(IF(Skills!A4="EIGHT_LEGS_EASTON",Inputs!$B$17+((C2287=TRUE)*(F2287-Calc!F23))+((C2291=TRUE)*(F2291-Calc!F27))+(((IF(AND(ArtifactsInput!$M$42,((Inputs!$B$9+((C2283=TRUE)*(F2283-Calc!F19))+B2294+(ArtifactsInput!$M$24-ArtifactsInput!$M$24)*CHOOSE(ArtifactsInput!$N$24+1,10,12,14,16,18,20)+IF(ArtifactsInput!$M$10,CHOOSE(ArtifactsInput!$N$10+1,15,18,21,24,27,30)*(IF(Inputs!$B$38="pvp",MIN(15,15)/15,IF(AND(Inputs!$B$38&lt;&gt;"pvp",Inputs!$B$43&gt;0),MIN(15,Inputs!$B$43)/(Inputs!$B$43),0))),0)))&gt;=100),MIN(100,((Inputs!$B$9+((C2283=TRUE)*(F2283-Calc!F19))+B2294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2283=TRUE)*(F2283-Calc!F19))+B2294+(ArtifactsInput!$M$24-ArtifactsInput!$M$24)*CHOOSE(ArtifactsInput!$N$24+1,10,12,14,16,18,20)+IF(ArtifactsInput!$M$10,CHOOSE(ArtifactsInput!$N$10+1,15,18,21,24,27,30)*(IF(Inputs!$B$38="pvp",MIN(15,15)/15,IF(AND(Inputs!$B$38&lt;&gt;"pvp",Inputs!$B$43&gt;0),MIN(15,Inputs!$B$43)/(Inputs!$B$43),0))),0)))&gt;=100),CHOOSE(ArtifactsInput!$N$42+1,40,48,56,64,72,80),0))))/100)*((1+(((C2281=TRUE)*F2281)+((C2288=TRUE)*(F2288-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2268)</f>
        <v/>
      </c>
      <c r="L2268">
        <f>K2268*(MIN(Inputs!$B$22+((C2286=TRUE)*(F2286-Calc!F22)),(Inputs!$B$23+0+(IF(ArtifactsInput!$M$15,CHOOSE(ArtifactsInput!$N$15+1,25,30,35,40,45,50)/100*(Inputs!$B$11-Inputs!$B$11),0))))/100+(Inputs!$B$23+0+(IF(ArtifactsInput!$M$15,CHOOSE(ArtifactsInput!$N$15+1,25,30,35,40,45,50)/100*(Inputs!$B$11-Inputs!$B$11),0)))/100)/2</f>
        <v/>
      </c>
      <c r="M2268">
        <f>L2268*(1+(Inputs!$B$10+((C2289=TRUE)*(F2289-Calc!F25))+B2299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8">
        <f>L2268*(1-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2268*(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8">
        <f>(1-Summary!$B$11)*T2268+Summary!$B$11*V2268</f>
        <v/>
      </c>
      <c r="P2268">
        <f>IF(B2304=0,0,O2268/B2304)</f>
        <v/>
      </c>
      <c r="Q2268">
        <f>IFERROR(1/(IF(Inputs!$B$38="pvp",15,MAX(0.1,Skills!D4-IF(Skills!E4=TRUE,Inputs!$B$32,0)))*(1-IF(AND(ArtifactsInput!$M$27,Inputs!$B$4="Chapter Hunt"),CHOOSE(ArtifactsInput!$N$27+1,20,24,28,32,36,40),0)/100)),0)</f>
        <v/>
      </c>
      <c r="R2268">
        <f>IF(AND(Inputs!$B$38&lt;&gt;"pvp",Inputs!$B$43&gt;0),IF(MAX(0,Inputs!$B$43-B2301)&lt;=0,0,(INT(MAX(0,Inputs!$B$43-B2301)/(IF(Inputs!$B$38="pvp",15,MAX(0.1,Skills!D4-IF(Skills!E4=TRUE,Inputs!$B$32,0)))*(1-IF(AND(ArtifactsInput!$M$27,Inputs!$B$4="Chapter Hunt"),CHOOSE(ArtifactsInput!$N$27+1,20,24,28,32,36,40),0)/100)))+1)),0)</f>
        <v/>
      </c>
      <c r="S2268">
        <f>IFERROR(O2268/N2268,0)</f>
        <v/>
      </c>
      <c r="T2268">
        <f>IF(C2268,(H2268*N2268*IF(AND(Inputs!$B$38&lt;&gt;"pvp",Inputs!$B$43&gt;0),((Skills!G4*((R2268-1)*IF(Skills!H4&gt;0,Skills!I4/Skills!H4,1)+IF(Skills!H4&gt;0,MIN(Skills!I4,MAX(0,MAX(0,Inputs!$B$43-B2301)-((R2268-1)*(IF(Inputs!$B$38="pvp",15,MAX(0.1,Skills!D4-IF(Skills!E4=TRUE,Inputs!$B$32,0)))*(1-IF(AND(ArtifactsInput!$M$27,Inputs!$B$4="Chapter Hunt"),CHOOSE(ArtifactsInput!$N$27+1,20,24,28,32,36,40),0)/100)))))/Skills!H4,1)))/Inputs!$B$43),G2268*Q2268)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2268*(1-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2268*(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2268*(1-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2268*(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68">
        <f>290*U2267/1000</f>
        <v/>
      </c>
      <c r="V2268">
        <f>IF(C2268,(H2268*N2268*IF(AND(Inputs!$B$38&lt;&gt;"pvp",Inputs!$B$43&gt;0),((Skills!G4*((R2268-1)*IF(Skills!H4&gt;0,Skills!I4/Skills!H4,1)+IF(Skills!H4&gt;0,MIN(Skills!I4,MAX(0,MAX(0,Inputs!$B$43-B2301)-((R2268-1)*(IF(Inputs!$B$38="pvp",15,MAX(0.1,Skills!D4-IF(Skills!E4=TRUE,Inputs!$B$32,0)))*(1-IF(AND(ArtifactsInput!$M$27,Inputs!$B$4="Chapter Hunt"),CHOOSE(ArtifactsInput!$N$27+1,20,24,28,32,36,40),0)/100)))))/Skills!H4,1)))/Inputs!$B$43),G2268*Q2268))*IF(Inputs!$B$38="pvp",1,(1+(Inputs!$B$21+Skills!Q4+(IF(ArtifactsInput!$M$33,CHOOSE(ArtifactsInput!$N$33+1,30,36,42,48,54,60)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9">
      <c r="A2269">
        <f>Skills!A5</f>
        <v/>
      </c>
      <c r="B2269">
        <f>Skills!B5</f>
        <v/>
      </c>
      <c r="C2269">
        <f>Inputs!$B$3&gt;=45</f>
        <v/>
      </c>
      <c r="D2269">
        <f>IF(Skills!C5=1,60+Inputs!$B$25+Inputs!$B$29,IF(Skills!C5=2,90+Inputs!$B$26+Inputs!$B$29,IF(Skills!C5=3,120+Inputs!$B$27+Inputs!$B$29,MAX(0,(Inputs!$B$3-100)*3)+Inputs!$B$28+Inputs!$B$29)))</f>
        <v/>
      </c>
      <c r="E2269">
        <f>INDEX(FactorTable!$B$2:$Y$301, MATCH(ROUND(MIN(300,MAX(1,D2269)),0), FactorTable!$A$2:$A$301,0), Skills!M5+1)</f>
        <v/>
      </c>
      <c r="F2269">
        <f>IF(Skills!N5=TRUE,(Skills!L5/10)*(E2269/1000),Skills!L5/10)+Skills!O5</f>
        <v/>
      </c>
      <c r="G2269">
        <f>Skills!G5*IF(Skills!H5&gt;0,Skills!I5/Skills!H5,1)</f>
        <v/>
      </c>
      <c r="H2269">
        <f>1-(1-Skills!J5/100)^Skills!K5</f>
        <v/>
      </c>
      <c r="I2269" t="inlineStr">
        <is>
          <t>1</t>
        </is>
      </c>
      <c r="J2269">
        <f>((Inputs!$B$6*(1+Inputs!$B$7/100))+(((Inputs!$B$12*(1+Inputs!$B$13/100))-(Inputs!$B$12*(1+Inputs!$B$13/100)))+0.25*(Inputs!$B$14-Inputs!$B$14))*(1+Inputs!$B$7/100))*(F2269/100)</f>
        <v/>
      </c>
      <c r="K2269">
        <f>J2269*(1+((Inputs!$B$12*(1+Inputs!$B$13/100))*0.01+Inputs!$B$14*0.0025)/100)*(1+Inputs!$B$15/100)*(1+Inputs!$B$16/100)*(5000/(6000+Inputs!$B$42*(1-(100*(1-(1-(Inputs!$B$19+0)/100)*(1-CHOOSE(ArtifactsInput!$N$40+1,5,6,7,8,9,10)/100)^(ArtifactsInput!$M$40-ArtifactsInput!$M$40)))/100)))*(1+(Inputs!$B$24+((C2290=TRUE)*(F2290-Calc!F26))+B2300)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2280=TRUE,F2280,0)/100)*(1+(IF(Skills!A5="EIGHT_LEGS_EASTON",Inputs!$B$17+((C2287=TRUE)*(F2287-Calc!F23))+((C2291=TRUE)*(F2291-Calc!F27))+(((IF(AND(ArtifactsInput!$M$42,((Inputs!$B$9+((C2283=TRUE)*(F2283-Calc!F19))+B2294+(ArtifactsInput!$M$24-ArtifactsInput!$M$24)*CHOOSE(ArtifactsInput!$N$24+1,10,12,14,16,18,20)+IF(ArtifactsInput!$M$10,CHOOSE(ArtifactsInput!$N$10+1,15,18,21,24,27,30)*(IF(Inputs!$B$38="pvp",MIN(15,15)/15,IF(AND(Inputs!$B$38&lt;&gt;"pvp",Inputs!$B$43&gt;0),MIN(15,Inputs!$B$43)/(Inputs!$B$43),0))),0)))&gt;=100),MIN(100,((Inputs!$B$9+((C2283=TRUE)*(F2283-Calc!F19))+B2294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2283=TRUE)*(F2283-Calc!F19))+B2294+(ArtifactsInput!$M$24-ArtifactsInput!$M$24)*CHOOSE(ArtifactsInput!$N$24+1,10,12,14,16,18,20)+IF(ArtifactsInput!$M$10,CHOOSE(ArtifactsInput!$N$10+1,15,18,21,24,27,30)*(IF(Inputs!$B$38="pvp",MIN(15,15)/15,IF(AND(Inputs!$B$38&lt;&gt;"pvp",Inputs!$B$43&gt;0),MIN(15,Inputs!$B$43)/(Inputs!$B$43),0))),0)))&gt;=100),CHOOSE(ArtifactsInput!$N$42+1,40,48,56,64,72,80),0))))/100)*((1+(((C2281=TRUE)*F2281)+((C2288=TRUE)*(F2288-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2269)</f>
        <v/>
      </c>
      <c r="L2269">
        <f>K2269*(MIN(Inputs!$B$22+((C2286=TRUE)*(F2286-Calc!F22)),(Inputs!$B$23+0+(IF(ArtifactsInput!$M$15,CHOOSE(ArtifactsInput!$N$15+1,25,30,35,40,45,50)/100*(Inputs!$B$11-Inputs!$B$11),0))))/100+(Inputs!$B$23+0+(IF(ArtifactsInput!$M$15,CHOOSE(ArtifactsInput!$N$15+1,25,30,35,40,45,50)/100*(Inputs!$B$11-Inputs!$B$11),0)))/100)/2</f>
        <v/>
      </c>
      <c r="M2269">
        <f>L2269*(1+(Inputs!$B$10+((C2289=TRUE)*(F2289-Calc!F25))+B2299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9">
        <f>L2269*(1-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2269*(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9">
        <f>(1-Summary!$B$11)*T2269+Summary!$B$11*V2269</f>
        <v/>
      </c>
      <c r="P2269">
        <f>IF(B2304=0,0,O2269/B2304)</f>
        <v/>
      </c>
      <c r="Q2269">
        <f>IFERROR(1/(IF(Inputs!$B$38="pvp",15,MAX(0.1,Skills!D5-IF(Skills!E5=TRUE,Inputs!$B$32,0)))*(1-IF(AND(ArtifactsInput!$M$27,Inputs!$B$4="Chapter Hunt"),CHOOSE(ArtifactsInput!$N$27+1,20,24,28,32,36,40),0)/100)),0)</f>
        <v/>
      </c>
      <c r="R2269">
        <f>IF(AND(Inputs!$B$38&lt;&gt;"pvp",Inputs!$B$43&gt;0),IF(MAX(0,Inputs!$B$43-B2301)&lt;=0,0,(INT(MAX(0,Inputs!$B$43-B2301)/(IF(Inputs!$B$38="pvp",15,MAX(0.1,Skills!D5-IF(Skills!E5=TRUE,Inputs!$B$32,0)))*(1-IF(AND(ArtifactsInput!$M$27,Inputs!$B$4="Chapter Hunt"),CHOOSE(ArtifactsInput!$N$27+1,20,24,28,32,36,40),0)/100)))+1)),0)</f>
        <v/>
      </c>
      <c r="S2269">
        <f>IFERROR(O2269/N2269,0)</f>
        <v/>
      </c>
      <c r="T2269">
        <f>IF(C2269,(H2269*N2269*IF(AND(Inputs!$B$38&lt;&gt;"pvp",Inputs!$B$43&gt;0),((Skills!G5*((R2269-1)*IF(Skills!H5&gt;0,Skills!I5/Skills!H5,1)+IF(Skills!H5&gt;0,MIN(Skills!I5,MAX(0,MAX(0,Inputs!$B$43-B2301)-((R2269-1)*(IF(Inputs!$B$38="pvp",15,MAX(0.1,Skills!D5-IF(Skills!E5=TRUE,Inputs!$B$32,0)))*(1-IF(AND(ArtifactsInput!$M$27,Inputs!$B$4="Chapter Hunt"),CHOOSE(ArtifactsInput!$N$27+1,20,24,28,32,36,40),0)/100)))))/Skills!H5,1)))/Inputs!$B$43),G2269*Q2269)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2269*(1-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2269*(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2269*(1-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2269*(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9">
        <f>IF(C2269,(H2269*N2269*IF(AND(Inputs!$B$38&lt;&gt;"pvp",Inputs!$B$43&gt;0),((Skills!G5*((R2269-1)*IF(Skills!H5&gt;0,Skills!I5/Skills!H5,1)+IF(Skills!H5&gt;0,MIN(Skills!I5,MAX(0,MAX(0,Inputs!$B$43-B2301)-((R2269-1)*(IF(Inputs!$B$38="pvp",15,MAX(0.1,Skills!D5-IF(Skills!E5=TRUE,Inputs!$B$32,0)))*(1-IF(AND(ArtifactsInput!$M$27,Inputs!$B$4="Chapter Hunt"),CHOOSE(ArtifactsInput!$N$27+1,20,24,28,32,36,40),0)/100)))))/Skills!H5,1)))/Inputs!$B$43),G2269*Q2269))*IF(Inputs!$B$38="pvp",1,(1+(Inputs!$B$21+Skills!Q5+(IF(ArtifactsInput!$M$33,CHOOSE(ArtifactsInput!$N$33+1,30,36,42,48,54,60)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0">
      <c r="A2270">
        <f>Skills!A6</f>
        <v/>
      </c>
      <c r="B2270">
        <f>Skills!B6</f>
        <v/>
      </c>
      <c r="C2270">
        <f>Inputs!$B$3&gt;=63</f>
        <v/>
      </c>
      <c r="D2270">
        <f>IF(Skills!C6=1,60+Inputs!$B$25+Inputs!$B$29,IF(Skills!C6=2,90+Inputs!$B$26+Inputs!$B$29,IF(Skills!C6=3,120+Inputs!$B$27+Inputs!$B$29,MAX(0,(Inputs!$B$3-100)*3)+Inputs!$B$28+Inputs!$B$29)))</f>
        <v/>
      </c>
      <c r="E2270">
        <f>INDEX(FactorTable!$B$2:$Y$301, MATCH(ROUND(MIN(300,MAX(1,D2270)),0), FactorTable!$A$2:$A$301,0), Skills!M6+1)</f>
        <v/>
      </c>
      <c r="F2270">
        <f>IF(Skills!N6=TRUE,(Skills!L6/10)*(E2270/1000),Skills!L6/10)+Skills!O6</f>
        <v/>
      </c>
      <c r="G2270">
        <f>Skills!G6*IF(Skills!H6&gt;0,Skills!I6/Skills!H6,1)</f>
        <v/>
      </c>
      <c r="H2270">
        <f>1-(1-Skills!J6/100)^Skills!K6</f>
        <v/>
      </c>
      <c r="I2270" t="inlineStr">
        <is>
          <t>1</t>
        </is>
      </c>
      <c r="J2270">
        <f>((Inputs!$B$6*(1+Inputs!$B$7/100))+(((Inputs!$B$12*(1+Inputs!$B$13/100))-(Inputs!$B$12*(1+Inputs!$B$13/100)))+0.25*(Inputs!$B$14-Inputs!$B$14))*(1+Inputs!$B$7/100))*(F2270/100)</f>
        <v/>
      </c>
      <c r="K2270">
        <f>J2270*(1+((Inputs!$B$12*(1+Inputs!$B$13/100))*0.01+Inputs!$B$14*0.0025)/100)*(1+Inputs!$B$15/100)*(1+Inputs!$B$16/100)*(5000/(6000+Inputs!$B$42*(1-(100*(1-(1-(Inputs!$B$19+0)/100)*(1-CHOOSE(ArtifactsInput!$N$40+1,5,6,7,8,9,10)/100)^(ArtifactsInput!$M$40-ArtifactsInput!$M$40)))/100)))*(1+(Inputs!$B$24+((C2290=TRUE)*(F2290-Calc!F26))+B2300)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2279=TRUE,F2279,0)/100)*(1+(IF(Skills!A6="EIGHT_LEGS_EASTON",Inputs!$B$17+((C2287=TRUE)*(F2287-Calc!F23))+((C2291=TRUE)*(F2291-Calc!F27))+(((IF(AND(ArtifactsInput!$M$42,((Inputs!$B$9+((C2283=TRUE)*(F2283-Calc!F19))+B2294+(ArtifactsInput!$M$24-ArtifactsInput!$M$24)*CHOOSE(ArtifactsInput!$N$24+1,10,12,14,16,18,20)+IF(ArtifactsInput!$M$10,CHOOSE(ArtifactsInput!$N$10+1,15,18,21,24,27,30)*(IF(Inputs!$B$38="pvp",MIN(15,15)/15,IF(AND(Inputs!$B$38&lt;&gt;"pvp",Inputs!$B$43&gt;0),MIN(15,Inputs!$B$43)/(Inputs!$B$43),0))),0)))&gt;=100),MIN(100,((Inputs!$B$9+((C2283=TRUE)*(F2283-Calc!F19))+B2294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2283=TRUE)*(F2283-Calc!F19))+B2294+(ArtifactsInput!$M$24-ArtifactsInput!$M$24)*CHOOSE(ArtifactsInput!$N$24+1,10,12,14,16,18,20)+IF(ArtifactsInput!$M$10,CHOOSE(ArtifactsInput!$N$10+1,15,18,21,24,27,30)*(IF(Inputs!$B$38="pvp",MIN(15,15)/15,IF(AND(Inputs!$B$38&lt;&gt;"pvp",Inputs!$B$43&gt;0),MIN(15,Inputs!$B$43)/(Inputs!$B$43),0))),0)))&gt;=100),CHOOSE(ArtifactsInput!$N$42+1,40,48,56,64,72,80),0))))/100)*((1+(((C2281=TRUE)*F2281)+((C2288=TRUE)*(F2288-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2270)</f>
        <v/>
      </c>
      <c r="L2270">
        <f>K2270*(MIN(Inputs!$B$22+((C2286=TRUE)*(F2286-Calc!F22)),(Inputs!$B$23+0+(IF(ArtifactsInput!$M$15,CHOOSE(ArtifactsInput!$N$15+1,25,30,35,40,45,50)/100*(Inputs!$B$11-Inputs!$B$11),0))))/100+(Inputs!$B$23+0+(IF(ArtifactsInput!$M$15,CHOOSE(ArtifactsInput!$N$15+1,25,30,35,40,45,50)/100*(Inputs!$B$11-Inputs!$B$11),0)))/100)/2</f>
        <v/>
      </c>
      <c r="M2270">
        <f>L2270*(1+(Inputs!$B$10+((C2289=TRUE)*(F2289-Calc!F25))+B2299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0">
        <f>L2270*(1-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2270*(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0">
        <f>(1-Summary!$B$11)*T2270+Summary!$B$11*V2270</f>
        <v/>
      </c>
      <c r="P2270">
        <f>IF(B2304=0,0,O2270/B2304)</f>
        <v/>
      </c>
      <c r="Q2270">
        <f>IFERROR(1/(IF(Inputs!$B$38="pvp",15,MAX(0.1,Skills!D6-IF(Skills!E6=TRUE,Inputs!$B$32,0)))*(1-IF(AND(ArtifactsInput!$M$27,Inputs!$B$4="Chapter Hunt"),CHOOSE(ArtifactsInput!$N$27+1,20,24,28,32,36,40),0)/100)),0)</f>
        <v/>
      </c>
      <c r="R2270">
        <f>IF(AND(Inputs!$B$38&lt;&gt;"pvp",Inputs!$B$43&gt;0),IF(MAX(0,Inputs!$B$43-B2301)&lt;=0,0,(INT(MAX(0,Inputs!$B$43-B2301)/(IF(Inputs!$B$38="pvp",15,MAX(0.1,Skills!D6-IF(Skills!E6=TRUE,Inputs!$B$32,0)))*(1-IF(AND(ArtifactsInput!$M$27,Inputs!$B$4="Chapter Hunt"),CHOOSE(ArtifactsInput!$N$27+1,20,24,28,32,36,40),0)/100)))+1)),0)</f>
        <v/>
      </c>
      <c r="S2270">
        <f>IFERROR(O2270/N2270,0)</f>
        <v/>
      </c>
      <c r="T2270">
        <f>IF(C2270,(H2270*N2270*IF(AND(Inputs!$B$38&lt;&gt;"pvp",Inputs!$B$43&gt;0),((Skills!G6*((R2270-1)*IF(Skills!H6&gt;0,Skills!I6/Skills!H6,1)+IF(Skills!H6&gt;0,MIN(Skills!I6,MAX(0,MAX(0,Inputs!$B$43-B2301)-((R2270-1)*(IF(Inputs!$B$38="pvp",15,MAX(0.1,Skills!D6-IF(Skills!E6=TRUE,Inputs!$B$32,0)))*(1-IF(AND(ArtifactsInput!$M$27,Inputs!$B$4="Chapter Hunt"),CHOOSE(ArtifactsInput!$N$27+1,20,24,28,32,36,40),0)/100)))))/Skills!H6,1)))/Inputs!$B$43),G2270*Q2270)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2270*(1-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2270*(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2270*(1-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2270*(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0">
        <f>IF(C2270,(H2270*N2270*IF(AND(Inputs!$B$38&lt;&gt;"pvp",Inputs!$B$43&gt;0),((Skills!G6*((R2270-1)*IF(Skills!H6&gt;0,Skills!I6/Skills!H6,1)+IF(Skills!H6&gt;0,MIN(Skills!I6,MAX(0,MAX(0,Inputs!$B$43-B2301)-((R2270-1)*(IF(Inputs!$B$38="pvp",15,MAX(0.1,Skills!D6-IF(Skills!E6=TRUE,Inputs!$B$32,0)))*(1-IF(AND(ArtifactsInput!$M$27,Inputs!$B$4="Chapter Hunt"),CHOOSE(ArtifactsInput!$N$27+1,20,24,28,32,36,40),0)/100)))))/Skills!H6,1)))/Inputs!$B$43),G2270*Q2270))*IF(Inputs!$B$38="pvp",1,(1+(Inputs!$B$21+Skills!Q6+(IF(ArtifactsInput!$M$33,CHOOSE(ArtifactsInput!$N$33+1,30,36,42,48,54,60)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1">
      <c r="A2271">
        <f>Skills!A7</f>
        <v/>
      </c>
      <c r="B2271">
        <f>Skills!B7</f>
        <v/>
      </c>
      <c r="C2271">
        <f>Inputs!$B$3&gt;=66</f>
        <v/>
      </c>
      <c r="D2271">
        <f>IF(Skills!C7=1,60+Inputs!$B$25+Inputs!$B$29,IF(Skills!C7=2,90+Inputs!$B$26+Inputs!$B$29,IF(Skills!C7=3,120+Inputs!$B$27+Inputs!$B$29,MAX(0,(Inputs!$B$3-100)*3)+Inputs!$B$28+Inputs!$B$29)))</f>
        <v/>
      </c>
      <c r="E2271">
        <f>INDEX(FactorTable!$B$2:$Y$301, MATCH(ROUND(MIN(300,MAX(1,D2271)),0), FactorTable!$A$2:$A$301,0), Skills!M7+1)</f>
        <v/>
      </c>
      <c r="F2271">
        <f>IF(Skills!N7=TRUE,(Skills!L7/10)*(E2271/1000),Skills!L7/10)+Skills!O7</f>
        <v/>
      </c>
      <c r="G2271">
        <f>Skills!G7*IF(Skills!H7&gt;0,Skills!I7/Skills!H7,1)</f>
        <v/>
      </c>
      <c r="H2271">
        <f>1-(1-Skills!J7/100)^Skills!K7</f>
        <v/>
      </c>
      <c r="I2271" t="inlineStr">
        <is>
          <t>1</t>
        </is>
      </c>
      <c r="J2271">
        <f>((Inputs!$B$6*(1+Inputs!$B$7/100))+(((Inputs!$B$12*(1+Inputs!$B$13/100))-(Inputs!$B$12*(1+Inputs!$B$13/100)))+0.25*(Inputs!$B$14-Inputs!$B$14))*(1+Inputs!$B$7/100))*(F2271/100)</f>
        <v/>
      </c>
      <c r="K2271">
        <f>J2271*(1+((Inputs!$B$12*(1+Inputs!$B$13/100))*0.01+Inputs!$B$14*0.0025)/100)*(1+Inputs!$B$15/100)*(1+Inputs!$B$16/100)*(5000/(6000+Inputs!$B$42*(1-(100*(1-(1-(Inputs!$B$19+0)/100)*(1-CHOOSE(ArtifactsInput!$N$40+1,5,6,7,8,9,10)/100)^(ArtifactsInput!$M$40-ArtifactsInput!$M$40)))/100)))*(1+(Inputs!$B$24+((C2290=TRUE)*(F2290-Calc!F26))+B2300)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2279=TRUE,F2279,0)/100)*(1+(IF(Skills!A7="EIGHT_LEGS_EASTON",Inputs!$B$17+((C2287=TRUE)*(F2287-Calc!F23))+((C2291=TRUE)*(F2291-Calc!F27))+(((IF(AND(ArtifactsInput!$M$42,((Inputs!$B$9+((C2283=TRUE)*(F2283-Calc!F19))+B2294+(ArtifactsInput!$M$24-ArtifactsInput!$M$24)*CHOOSE(ArtifactsInput!$N$24+1,10,12,14,16,18,20)+IF(ArtifactsInput!$M$10,CHOOSE(ArtifactsInput!$N$10+1,15,18,21,24,27,30)*(IF(Inputs!$B$38="pvp",MIN(15,15)/15,IF(AND(Inputs!$B$38&lt;&gt;"pvp",Inputs!$B$43&gt;0),MIN(15,Inputs!$B$43)/(Inputs!$B$43),0))),0)))&gt;=100),MIN(100,((Inputs!$B$9+((C2283=TRUE)*(F2283-Calc!F19))+B2294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2283=TRUE)*(F2283-Calc!F19))+B2294+(ArtifactsInput!$M$24-ArtifactsInput!$M$24)*CHOOSE(ArtifactsInput!$N$24+1,10,12,14,16,18,20)+IF(ArtifactsInput!$M$10,CHOOSE(ArtifactsInput!$N$10+1,15,18,21,24,27,30)*(IF(Inputs!$B$38="pvp",MIN(15,15)/15,IF(AND(Inputs!$B$38&lt;&gt;"pvp",Inputs!$B$43&gt;0),MIN(15,Inputs!$B$43)/(Inputs!$B$43),0))),0)))&gt;=100),CHOOSE(ArtifactsInput!$N$42+1,40,48,56,64,72,80),0))))/100)*((1+(((C2281=TRUE)*F2281)+((C2288=TRUE)*(F2288-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2271)</f>
        <v/>
      </c>
      <c r="L2271">
        <f>K2271*(MIN(Inputs!$B$22+((C2286=TRUE)*(F2286-Calc!F22)),(Inputs!$B$23+0+(IF(ArtifactsInput!$M$15,CHOOSE(ArtifactsInput!$N$15+1,25,30,35,40,45,50)/100*(Inputs!$B$11-Inputs!$B$11),0))))/100+(Inputs!$B$23+0+(IF(ArtifactsInput!$M$15,CHOOSE(ArtifactsInput!$N$15+1,25,30,35,40,45,50)/100*(Inputs!$B$11-Inputs!$B$11),0)))/100)/2</f>
        <v/>
      </c>
      <c r="M2271">
        <f>L2271*(1+(Inputs!$B$10+((C2289=TRUE)*(F2289-Calc!F25))+B2299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1">
        <f>L2271*(1-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2271*(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1">
        <f>(1-Summary!$B$11)*T2271+Summary!$B$11*V2271</f>
        <v/>
      </c>
      <c r="P2271">
        <f>IF(B2304=0,0,O2271/B2304)</f>
        <v/>
      </c>
      <c r="Q2271">
        <f>IFERROR(1/(IF(Inputs!$B$38="pvp",15,MAX(0.1,Skills!D7-IF(Skills!E7=TRUE,Inputs!$B$32,0)))*(1-IF(AND(ArtifactsInput!$M$27,Inputs!$B$4="Chapter Hunt"),CHOOSE(ArtifactsInput!$N$27+1,20,24,28,32,36,40),0)/100)),0)</f>
        <v/>
      </c>
      <c r="R2271">
        <f>IF(AND(Inputs!$B$38&lt;&gt;"pvp",Inputs!$B$43&gt;0),IF(MAX(0,Inputs!$B$43-B2301)&lt;=0,0,(INT(MAX(0,Inputs!$B$43-B2301)/(IF(Inputs!$B$38="pvp",15,MAX(0.1,Skills!D7-IF(Skills!E7=TRUE,Inputs!$B$32,0)))*(1-IF(AND(ArtifactsInput!$M$27,Inputs!$B$4="Chapter Hunt"),CHOOSE(ArtifactsInput!$N$27+1,20,24,28,32,36,40),0)/100)))+1)),0)</f>
        <v/>
      </c>
      <c r="S2271">
        <f>IFERROR(O2271/N2271,0)</f>
        <v/>
      </c>
      <c r="T2271">
        <f>IF(C2271,(H2271*N2271*IF(AND(Inputs!$B$38&lt;&gt;"pvp",Inputs!$B$43&gt;0),((Skills!G7*((R2271-1)*IF(Skills!H7&gt;0,Skills!I7/Skills!H7,1)+IF(Skills!H7&gt;0,MIN(Skills!I7,MAX(0,MAX(0,Inputs!$B$43-B2301)-((R2271-1)*(IF(Inputs!$B$38="pvp",15,MAX(0.1,Skills!D7-IF(Skills!E7=TRUE,Inputs!$B$32,0)))*(1-IF(AND(ArtifactsInput!$M$27,Inputs!$B$4="Chapter Hunt"),CHOOSE(ArtifactsInput!$N$27+1,20,24,28,32,36,40),0)/100)))))/Skills!H7,1)))/Inputs!$B$43),G2271*Q2271)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2271*(1-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2271*(1-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1">
        <f>IF(C2271,(H2271*N2271*IF(AND(Inputs!$B$38&lt;&gt;"pvp",Inputs!$B$43&gt;0),((Skills!G7*((R2271-1)*IF(Skills!H7&gt;0,Skills!I7/Skills!H7,1)+IF(Skills!H7&gt;0,MIN(Skills!I7,MAX(0,MAX(0,Inputs!$B$43-B2301)-((R2271-1)*(IF(Inputs!$B$38="pvp",15,MAX(0.1,Skills!D7-IF(Skills!E7=TRUE,Inputs!$B$32,0)))*(1-IF(AND(ArtifactsInput!$M$27,Inputs!$B$4="Chapter Hunt"),CHOOSE(ArtifactsInput!$N$27+1,20,24,28,32,36,40),0)/100)))))/Skills!H7,1)))/Inputs!$B$43),G2271*Q2271))*IF(Inputs!$B$38="pvp",1,(1+(Inputs!$B$21+Skills!Q7+(IF(ArtifactsInput!$M$33,CHOOSE(ArtifactsInput!$N$33+1,30,36,42,48,54,60)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2">
      <c r="A2272">
        <f>Skills!A8</f>
        <v/>
      </c>
      <c r="B2272">
        <f>Skills!B8</f>
        <v/>
      </c>
      <c r="C2272">
        <f>Inputs!$B$3&gt;=100</f>
        <v/>
      </c>
      <c r="D2272">
        <f>IF(Skills!C8=1,60+Inputs!$B$25+Inputs!$B$29,IF(Skills!C8=2,90+Inputs!$B$26+Inputs!$B$29,IF(Skills!C8=3,120+Inputs!$B$27+Inputs!$B$29,MAX(0,(Inputs!$B$3-100)*3)+Inputs!$B$28+Inputs!$B$29)))</f>
        <v/>
      </c>
      <c r="E2272">
        <f>INDEX(FactorTable!$B$2:$Y$301, MATCH(ROUND(MIN(300,MAX(1,D2272)),0), FactorTable!$A$2:$A$301,0), Skills!M8+1)</f>
        <v/>
      </c>
      <c r="F2272">
        <f>IF(Skills!N8=TRUE,(Skills!L8/10)*(E2272/1000),Skills!L8/10)+Skills!O8</f>
        <v/>
      </c>
      <c r="G2272">
        <f>Skills!G8*IF(Skills!H8&gt;0,Skills!I8/Skills!H8,1)</f>
        <v/>
      </c>
      <c r="H2272">
        <f>1-(1-Skills!J8/100)^Skills!K8</f>
        <v/>
      </c>
      <c r="I2272" t="inlineStr">
        <is>
          <t>1</t>
        </is>
      </c>
      <c r="J2272">
        <f>((Inputs!$B$6*(1+Inputs!$B$7/100))+(((Inputs!$B$12*(1+Inputs!$B$13/100))-(Inputs!$B$12*(1+Inputs!$B$13/100)))+0.25*(Inputs!$B$14-Inputs!$B$14))*(1+Inputs!$B$7/100))*(F2272/100)</f>
        <v/>
      </c>
      <c r="K2272">
        <f>J2272*(1+((Inputs!$B$12*(1+Inputs!$B$13/100))*0.01+Inputs!$B$14*0.0025)/100)*(1+Inputs!$B$15/100)*(1+Inputs!$B$16/100)*(5000/(6000+Inputs!$B$42*(1-(100*(1-(1-(Inputs!$B$19+0)/100)*(1-CHOOSE(ArtifactsInput!$N$40+1,5,6,7,8,9,10)/100)^(ArtifactsInput!$M$40-ArtifactsInput!$M$40)))/100)))*(1+(Inputs!$B$24+((C2290=TRUE)*(F2290-Calc!F26))+B2300)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2287=TRUE)*(F2287-Calc!F23))+((C2291=TRUE)*(F2291-Calc!F27))+(((IF(AND(ArtifactsInput!$M$42,((Inputs!$B$9+((C2283=TRUE)*(F2283-Calc!F19))+B2294+(ArtifactsInput!$M$24-ArtifactsInput!$M$24)*CHOOSE(ArtifactsInput!$N$24+1,10,12,14,16,18,20)+IF(ArtifactsInput!$M$10,CHOOSE(ArtifactsInput!$N$10+1,15,18,21,24,27,30)*(IF(Inputs!$B$38="pvp",MIN(15,15)/15,IF(AND(Inputs!$B$38&lt;&gt;"pvp",Inputs!$B$43&gt;0),MIN(15,Inputs!$B$43)/(Inputs!$B$43),0))),0)))&gt;=100),MIN(100,((Inputs!$B$9+((C2283=TRUE)*(F2283-Calc!F19))+B2294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2283=TRUE)*(F2283-Calc!F19))+B2294+(ArtifactsInput!$M$24-ArtifactsInput!$M$24)*CHOOSE(ArtifactsInput!$N$24+1,10,12,14,16,18,20)+IF(ArtifactsInput!$M$10,CHOOSE(ArtifactsInput!$N$10+1,15,18,21,24,27,30)*(IF(Inputs!$B$38="pvp",MIN(15,15)/15,IF(AND(Inputs!$B$38&lt;&gt;"pvp",Inputs!$B$43&gt;0),MIN(15,Inputs!$B$43)/(Inputs!$B$43),0))),0)))&gt;=100),CHOOSE(ArtifactsInput!$N$42+1,40,48,56,64,72,80),0))))/100)*((1+(((C2281=TRUE)*F2281)+((C2288=TRUE)*(F2288-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2272)</f>
        <v/>
      </c>
      <c r="L2272">
        <f>K2272*(MIN(Inputs!$B$22+((C2286=TRUE)*(F2286-Calc!F22)),(Inputs!$B$23+0+(IF(ArtifactsInput!$M$15,CHOOSE(ArtifactsInput!$N$15+1,25,30,35,40,45,50)/100*(Inputs!$B$11-Inputs!$B$11),0))))/100+(Inputs!$B$23+0+(IF(ArtifactsInput!$M$15,CHOOSE(ArtifactsInput!$N$15+1,25,30,35,40,45,50)/100*(Inputs!$B$11-Inputs!$B$11),0)))/100)/2</f>
        <v/>
      </c>
      <c r="M2272">
        <f>L2272*(1+(Inputs!$B$10+((C2289=TRUE)*(F2289-Calc!F25))+B2299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2">
        <f>L2272*(1-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2272*(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2">
        <f>(1-Summary!$B$11)*T2272+Summary!$B$11*V2272</f>
        <v/>
      </c>
      <c r="P2272">
        <f>IF(B2304=0,0,O2272/B2304)</f>
        <v/>
      </c>
      <c r="Q2272">
        <f>IFERROR(1/(IF(Inputs!$B$38="pvp",15,MAX(0.1,Skills!D8-IF(Skills!E8=TRUE,Inputs!$B$32,0)))*(1-IF(AND(ArtifactsInput!$M$27,Inputs!$B$4="Chapter Hunt"),CHOOSE(ArtifactsInput!$N$27+1,20,24,28,32,36,40),0)/100)),0)</f>
        <v/>
      </c>
      <c r="R2272">
        <f>IF(AND(Inputs!$B$38&lt;&gt;"pvp",Inputs!$B$43&gt;0),IF(MAX(0,Inputs!$B$43-B2301)&lt;=0,0,(INT(MAX(0,Inputs!$B$43-B2301)/(IF(Inputs!$B$38="pvp",15,MAX(0.1,Skills!D8-IF(Skills!E8=TRUE,Inputs!$B$32,0)))*(1-IF(AND(ArtifactsInput!$M$27,Inputs!$B$4="Chapter Hunt"),CHOOSE(ArtifactsInput!$N$27+1,20,24,28,32,36,40),0)/100)))+1)),0)</f>
        <v/>
      </c>
      <c r="S2272">
        <f>IFERROR(O2272/N2272,0)</f>
        <v/>
      </c>
      <c r="T2272">
        <f>IF(C2272,(H2272*N2272*IF(AND(Inputs!$B$38&lt;&gt;"pvp",Inputs!$B$43&gt;0),((Skills!G8*((R2272-1)*IF(Skills!H8&gt;0,Skills!I8/Skills!H8,1)+IF(Skills!H8&gt;0,MIN(Skills!I8,MAX(0,MAX(0,Inputs!$B$43-B2301)-((R2272-1)*(IF(Inputs!$B$38="pvp",15,MAX(0.1,Skills!D8-IF(Skills!E8=TRUE,Inputs!$B$32,0)))*(1-IF(AND(ArtifactsInput!$M$27,Inputs!$B$4="Chapter Hunt"),CHOOSE(ArtifactsInput!$N$27+1,20,24,28,32,36,40),0)/100)))))/Skills!H8,1)))/Inputs!$B$43),G2272*Q2272)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2272*(1-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2272*(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2272*(1-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2272*(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2">
        <f>IF(C2272,(H2272*N2272*IF(AND(Inputs!$B$38&lt;&gt;"pvp",Inputs!$B$43&gt;0),((Skills!G8*((R2272-1)*IF(Skills!H8&gt;0,Skills!I8/Skills!H8,1)+IF(Skills!H8&gt;0,MIN(Skills!I8,MAX(0,MAX(0,Inputs!$B$43-B2301)-((R2272-1)*(IF(Inputs!$B$38="pvp",15,MAX(0.1,Skills!D8-IF(Skills!E8=TRUE,Inputs!$B$32,0)))*(1-IF(AND(ArtifactsInput!$M$27,Inputs!$B$4="Chapter Hunt"),CHOOSE(ArtifactsInput!$N$27+1,20,24,28,32,36,40),0)/100)))))/Skills!H8,1)))/Inputs!$B$43),G2272*Q2272))*IF(Inputs!$B$38="pvp",1,(1+(Inputs!$B$21+Skills!Q8+(IF(ArtifactsInput!$M$33,CHOOSE(ArtifactsInput!$N$33+1,30,36,42,48,54,60)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3">
      <c r="A2273">
        <f>Skills!A9</f>
        <v/>
      </c>
      <c r="B2273">
        <f>Skills!B9</f>
        <v/>
      </c>
      <c r="C2273">
        <f>Inputs!$B$3&gt;=103</f>
        <v/>
      </c>
      <c r="D2273">
        <f>IF(Skills!C9=1,60+Inputs!$B$25+Inputs!$B$29,IF(Skills!C9=2,90+Inputs!$B$26+Inputs!$B$29,IF(Skills!C9=3,120+Inputs!$B$27+Inputs!$B$29,MAX(0,(Inputs!$B$3-100)*3)+Inputs!$B$28+Inputs!$B$29)))</f>
        <v/>
      </c>
      <c r="E2273">
        <f>INDEX(FactorTable!$B$2:$Y$301, MATCH(ROUND(MIN(300,MAX(1,D2273)),0), FactorTable!$A$2:$A$301,0), Skills!M9+1)</f>
        <v/>
      </c>
      <c r="F2273">
        <f>IF(Skills!N9=TRUE,(Skills!L9/10)*(E2273/1000),Skills!L9/10)+Skills!O9</f>
        <v/>
      </c>
      <c r="G2273">
        <f>Skills!G9*IF(Skills!H9&gt;0,Skills!I9/Skills!H9,1)</f>
        <v/>
      </c>
      <c r="H2273">
        <f>1-(1-Skills!J9/100)^Skills!K9</f>
        <v/>
      </c>
      <c r="I2273" t="inlineStr">
        <is>
          <t>1</t>
        </is>
      </c>
      <c r="J2273">
        <f>((Inputs!$B$6*(1+Inputs!$B$7/100))+(((Inputs!$B$12*(1+Inputs!$B$13/100))-(Inputs!$B$12*(1+Inputs!$B$13/100)))+0.25*(Inputs!$B$14-Inputs!$B$14))*(1+Inputs!$B$7/100))*(F2273/100)</f>
        <v/>
      </c>
      <c r="K2273">
        <f>J2273*(1+((Inputs!$B$12*(1+Inputs!$B$13/100))*0.01+Inputs!$B$14*0.0025)/100)*(1+Inputs!$B$15/100)*(1+Inputs!$B$16/100)*(5000/(6000+Inputs!$B$42*(1-(100*(1-(1-(Inputs!$B$19+0)/100)*(1-CHOOSE(ArtifactsInput!$N$40+1,5,6,7,8,9,10)/100)^(ArtifactsInput!$M$40-ArtifactsInput!$M$40)))/100)))*(1+(Inputs!$B$24+((C2290=TRUE)*(F2290-Calc!F26))+B2300)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2287=TRUE)*(F2287-Calc!F23))+((C2291=TRUE)*(F2291-Calc!F27))+(((IF(AND(ArtifactsInput!$M$42,((Inputs!$B$9+((C2283=TRUE)*(F2283-Calc!F19))+B2294+(ArtifactsInput!$M$24-ArtifactsInput!$M$24)*CHOOSE(ArtifactsInput!$N$24+1,10,12,14,16,18,20)+IF(ArtifactsInput!$M$10,CHOOSE(ArtifactsInput!$N$10+1,15,18,21,24,27,30)*(IF(Inputs!$B$38="pvp",MIN(15,15)/15,IF(AND(Inputs!$B$38&lt;&gt;"pvp",Inputs!$B$43&gt;0),MIN(15,Inputs!$B$43)/(Inputs!$B$43),0))),0)))&gt;=100),MIN(100,((Inputs!$B$9+((C2283=TRUE)*(F2283-Calc!F19))+B2294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2283=TRUE)*(F2283-Calc!F19))+B2294+(ArtifactsInput!$M$24-ArtifactsInput!$M$24)*CHOOSE(ArtifactsInput!$N$24+1,10,12,14,16,18,20)+IF(ArtifactsInput!$M$10,CHOOSE(ArtifactsInput!$N$10+1,15,18,21,24,27,30)*(IF(Inputs!$B$38="pvp",MIN(15,15)/15,IF(AND(Inputs!$B$38&lt;&gt;"pvp",Inputs!$B$43&gt;0),MIN(15,Inputs!$B$43)/(Inputs!$B$43),0))),0)))&gt;=100),CHOOSE(ArtifactsInput!$N$42+1,40,48,56,64,72,80),0))))/100)*((1+(((C2281=TRUE)*F2281)+((C2288=TRUE)*(F2288-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2273)</f>
        <v/>
      </c>
      <c r="L2273">
        <f>K2273*(MIN(Inputs!$B$22+((C2286=TRUE)*(F2286-Calc!F22)),(Inputs!$B$23+0+(IF(ArtifactsInput!$M$15,CHOOSE(ArtifactsInput!$N$15+1,25,30,35,40,45,50)/100*(Inputs!$B$11-Inputs!$B$11),0))))/100+(Inputs!$B$23+0+(IF(ArtifactsInput!$M$15,CHOOSE(ArtifactsInput!$N$15+1,25,30,35,40,45,50)/100*(Inputs!$B$11-Inputs!$B$11),0)))/100)/2</f>
        <v/>
      </c>
      <c r="M2273">
        <f>L2273*(1+(Inputs!$B$10+((C2289=TRUE)*(F2289-Calc!F25))+B2299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3">
        <f>L2273*(1-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2273*(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3">
        <f>(1-Summary!$B$11)*T2273+Summary!$B$11*V2273</f>
        <v/>
      </c>
      <c r="P2273">
        <f>IF(B2304=0,0,O2273/B2304)</f>
        <v/>
      </c>
      <c r="Q2273">
        <f>IFERROR(1/(IF(Inputs!$B$38="pvp",15,MAX(0.1,Skills!D9-IF(Skills!E9=TRUE,Inputs!$B$32,0)))*(1-IF(AND(ArtifactsInput!$M$27,Inputs!$B$4="Chapter Hunt"),CHOOSE(ArtifactsInput!$N$27+1,20,24,28,32,36,40),0)/100)),0)</f>
        <v/>
      </c>
      <c r="R2273">
        <f>IF(AND(Inputs!$B$38&lt;&gt;"pvp",Inputs!$B$43&gt;0),IF(MAX(0,Inputs!$B$43-B2301)&lt;=0,0,(INT(MAX(0,Inputs!$B$43-B2301)/(IF(Inputs!$B$38="pvp",15,MAX(0.1,Skills!D9-IF(Skills!E9=TRUE,Inputs!$B$32,0)))*(1-IF(AND(ArtifactsInput!$M$27,Inputs!$B$4="Chapter Hunt"),CHOOSE(ArtifactsInput!$N$27+1,20,24,28,32,36,40),0)/100)))+1)),0)</f>
        <v/>
      </c>
      <c r="S2273">
        <f>IFERROR(O2273/N2273,0)</f>
        <v/>
      </c>
      <c r="T2273">
        <f>IF(C2273,(H2273*N2273*IF(AND(Inputs!$B$38&lt;&gt;"pvp",Inputs!$B$43&gt;0),((Skills!G9*((R2273-1)*IF(Skills!H9&gt;0,Skills!I9/Skills!H9,1)+IF(Skills!H9&gt;0,MIN(Skills!I9,MAX(0,MAX(0,Inputs!$B$43-B2301)-((R2273-1)*(IF(Inputs!$B$38="pvp",15,MAX(0.1,Skills!D9-IF(Skills!E9=TRUE,Inputs!$B$32,0)))*(1-IF(AND(ArtifactsInput!$M$27,Inputs!$B$4="Chapter Hunt"),CHOOSE(ArtifactsInput!$N$27+1,20,24,28,32,36,40),0)/100)))))/Skills!H9,1)))/Inputs!$B$43),G2273*Q2273)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2273*(1-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2273*(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2273*(1-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2273*(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3">
        <f>IF(C2273,(H2273*N2273*IF(AND(Inputs!$B$38&lt;&gt;"pvp",Inputs!$B$43&gt;0),((Skills!G9*((R2273-1)*IF(Skills!H9&gt;0,Skills!I9/Skills!H9,1)+IF(Skills!H9&gt;0,MIN(Skills!I9,MAX(0,MAX(0,Inputs!$B$43-B2301)-((R2273-1)*(IF(Inputs!$B$38="pvp",15,MAX(0.1,Skills!D9-IF(Skills!E9=TRUE,Inputs!$B$32,0)))*(1-IF(AND(ArtifactsInput!$M$27,Inputs!$B$4="Chapter Hunt"),CHOOSE(ArtifactsInput!$N$27+1,20,24,28,32,36,40),0)/100)))))/Skills!H9,1)))/Inputs!$B$43),G2273*Q2273))*IF(Inputs!$B$38="pvp",1,(1+(Inputs!$B$21+Skills!Q9+(IF(ArtifactsInput!$M$33,CHOOSE(ArtifactsInput!$N$33+1,30,36,42,48,54,60)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4">
      <c r="A2274">
        <f>Skills!A10</f>
        <v/>
      </c>
      <c r="B2274">
        <f>Skills!B10</f>
        <v/>
      </c>
      <c r="C2274">
        <f>Inputs!$B$3&gt;=113</f>
        <v/>
      </c>
      <c r="D2274">
        <f>IF(Skills!C10=1,60+Inputs!$B$25+Inputs!$B$29,IF(Skills!C10=2,90+Inputs!$B$26+Inputs!$B$29,IF(Skills!C10=3,120+Inputs!$B$27+Inputs!$B$29,MAX(0,(Inputs!$B$3-100)*3)+Inputs!$B$28+Inputs!$B$29)))</f>
        <v/>
      </c>
      <c r="E2274">
        <f>INDEX(FactorTable!$B$2:$Y$301, MATCH(ROUND(MIN(300,MAX(1,D2274)),0), FactorTable!$A$2:$A$301,0), Skills!M10+1)</f>
        <v/>
      </c>
      <c r="F2274">
        <f>IF(Skills!N10=TRUE,(Skills!L10/10)*(E2274/1000),Skills!L10/10)+Skills!O10</f>
        <v/>
      </c>
      <c r="G2274">
        <f>Skills!G10*IF(Skills!H10&gt;0,Skills!I10/Skills!H10,1)</f>
        <v/>
      </c>
      <c r="H2274">
        <f>1-(1-Skills!J10/100)^Skills!K10</f>
        <v/>
      </c>
      <c r="I2274" t="inlineStr">
        <is>
          <t>1</t>
        </is>
      </c>
      <c r="J2274">
        <f>((Inputs!$B$6*(1+Inputs!$B$7/100))+(((Inputs!$B$12*(1+Inputs!$B$13/100))-(Inputs!$B$12*(1+Inputs!$B$13/100)))+0.25*(Inputs!$B$14-Inputs!$B$14))*(1+Inputs!$B$7/100))*(F2274/100)</f>
        <v/>
      </c>
      <c r="K2274">
        <f>J2274*(1+((Inputs!$B$12*(1+Inputs!$B$13/100))*0.01+Inputs!$B$14*0.0025)/100)*(1+Inputs!$B$15/100)*(1+Inputs!$B$16/100)*(5000/(6000+Inputs!$B$42*(1-(100*(1-(1-(Inputs!$B$19+0)/100)*(1-CHOOSE(ArtifactsInput!$N$40+1,5,6,7,8,9,10)/100)^(ArtifactsInput!$M$40-ArtifactsInput!$M$40)))/100)))*(1+(Inputs!$B$24+((C2290=TRUE)*(F2290-Calc!F26))+B2300)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2287=TRUE)*(F2287-Calc!F23))+((C2291=TRUE)*(F2291-Calc!F27))+(((IF(AND(ArtifactsInput!$M$42,((Inputs!$B$9+((C2283=TRUE)*(F2283-Calc!F19))+B2294+(ArtifactsInput!$M$24-ArtifactsInput!$M$24)*CHOOSE(ArtifactsInput!$N$24+1,10,12,14,16,18,20)+IF(ArtifactsInput!$M$10,CHOOSE(ArtifactsInput!$N$10+1,15,18,21,24,27,30)*(IF(Inputs!$B$38="pvp",MIN(15,15)/15,IF(AND(Inputs!$B$38&lt;&gt;"pvp",Inputs!$B$43&gt;0),MIN(15,Inputs!$B$43)/(Inputs!$B$43),0))),0)))&gt;=100),MIN(100,((Inputs!$B$9+((C2283=TRUE)*(F2283-Calc!F19))+B2294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2283=TRUE)*(F2283-Calc!F19))+B2294+(ArtifactsInput!$M$24-ArtifactsInput!$M$24)*CHOOSE(ArtifactsInput!$N$24+1,10,12,14,16,18,20)+IF(ArtifactsInput!$M$10,CHOOSE(ArtifactsInput!$N$10+1,15,18,21,24,27,30)*(IF(Inputs!$B$38="pvp",MIN(15,15)/15,IF(AND(Inputs!$B$38&lt;&gt;"pvp",Inputs!$B$43&gt;0),MIN(15,Inputs!$B$43)/(Inputs!$B$43),0))),0)))&gt;=100),CHOOSE(ArtifactsInput!$N$42+1,40,48,56,64,72,80),0))))/100)*((1+(((C2281=TRUE)*F2281)+((C2288=TRUE)*(F2288-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2274)</f>
        <v/>
      </c>
      <c r="L2274">
        <f>K2274*(MIN(Inputs!$B$22+((C2286=TRUE)*(F2286-Calc!F22)),(Inputs!$B$23+0+(IF(ArtifactsInput!$M$15,CHOOSE(ArtifactsInput!$N$15+1,25,30,35,40,45,50)/100*(Inputs!$B$11-Inputs!$B$11),0))))/100+(Inputs!$B$23+0+(IF(ArtifactsInput!$M$15,CHOOSE(ArtifactsInput!$N$15+1,25,30,35,40,45,50)/100*(Inputs!$B$11-Inputs!$B$11),0)))/100)/2</f>
        <v/>
      </c>
      <c r="M2274">
        <f>L2274*(1+(Inputs!$B$10+((C2289=TRUE)*(F2289-Calc!F25))+B2299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4">
        <f>L2274*(1-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2274*(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4">
        <f>(1-Summary!$B$11)*T2274+Summary!$B$11*V2274</f>
        <v/>
      </c>
      <c r="P2274">
        <f>IF(B2304=0,0,O2274/B2304)</f>
        <v/>
      </c>
      <c r="Q2274">
        <f>IFERROR(1/(IF(Inputs!$B$38="pvp",15,MAX(0.1,Skills!D10-IF(Skills!E10=TRUE,Inputs!$B$32,0)))*(1-IF(AND(ArtifactsInput!$M$27,Inputs!$B$4="Chapter Hunt"),CHOOSE(ArtifactsInput!$N$27+1,20,24,28,32,36,40),0)/100)),0)</f>
        <v/>
      </c>
      <c r="R2274">
        <f>IF(AND(Inputs!$B$38&lt;&gt;"pvp",Inputs!$B$43&gt;0),IF(MAX(0,Inputs!$B$43-B2301)&lt;=0,0,(INT(MAX(0,Inputs!$B$43-B2301)/(IF(Inputs!$B$38="pvp",15,MAX(0.1,Skills!D10-IF(Skills!E10=TRUE,Inputs!$B$32,0)))*(1-IF(AND(ArtifactsInput!$M$27,Inputs!$B$4="Chapter Hunt"),CHOOSE(ArtifactsInput!$N$27+1,20,24,28,32,36,40),0)/100)))+1)),0)</f>
        <v/>
      </c>
      <c r="S2274">
        <f>IFERROR(O2274/N2274,0)</f>
        <v/>
      </c>
      <c r="T2274">
        <f>IF(C2274,(H2274*N2274*IF(AND(Inputs!$B$38&lt;&gt;"pvp",Inputs!$B$43&gt;0),((Skills!G10*((R2274-1)*IF(Skills!H10&gt;0,Skills!I10/Skills!H10,1)+IF(Skills!H10&gt;0,MIN(Skills!I10,MAX(0,MAX(0,Inputs!$B$43-B2301)-((R2274-1)*(IF(Inputs!$B$38="pvp",15,MAX(0.1,Skills!D10-IF(Skills!E10=TRUE,Inputs!$B$32,0)))*(1-IF(AND(ArtifactsInput!$M$27,Inputs!$B$4="Chapter Hunt"),CHOOSE(ArtifactsInput!$N$27+1,20,24,28,32,36,40),0)/100)))))/Skills!H10,1)))/Inputs!$B$43),G2274*Q2274)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2274*(1-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2274*(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2274*(1-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2274*(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4">
        <f>IF(C2274,(H2274*N2274*IF(AND(Inputs!$B$38&lt;&gt;"pvp",Inputs!$B$43&gt;0),((Skills!G10*((R2274-1)*IF(Skills!H10&gt;0,Skills!I10/Skills!H10,1)+IF(Skills!H10&gt;0,MIN(Skills!I10,MAX(0,MAX(0,Inputs!$B$43-B2301)-((R2274-1)*(IF(Inputs!$B$38="pvp",15,MAX(0.1,Skills!D10-IF(Skills!E10=TRUE,Inputs!$B$32,0)))*(1-IF(AND(ArtifactsInput!$M$27,Inputs!$B$4="Chapter Hunt"),CHOOSE(ArtifactsInput!$N$27+1,20,24,28,32,36,40),0)/100)))))/Skills!H10,1)))/Inputs!$B$43),G2274*Q2274))*IF(Inputs!$B$38="pvp",1,(1+(Inputs!$B$21+Skills!Q10+(IF(ArtifactsInput!$M$33,CHOOSE(ArtifactsInput!$N$33+1,30,36,42,48,54,60)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5">
      <c r="A2275">
        <f>Skills!A11</f>
        <v/>
      </c>
      <c r="B2275">
        <f>Skills!B11</f>
        <v/>
      </c>
      <c r="C2275">
        <f>Inputs!$B$3&gt;=107</f>
        <v/>
      </c>
      <c r="D2275">
        <f>IF(Skills!C11=1,60+Inputs!$B$25+Inputs!$B$29,IF(Skills!C11=2,90+Inputs!$B$26+Inputs!$B$29,IF(Skills!C11=3,120+Inputs!$B$27+Inputs!$B$29,MAX(0,(Inputs!$B$3-100)*3)+Inputs!$B$28+Inputs!$B$29)))</f>
        <v/>
      </c>
      <c r="E2275">
        <f>INDEX(FactorTable!$B$2:$Y$301, MATCH(ROUND(MIN(300,MAX(1,D2275)),0), FactorTable!$A$2:$A$301,0), Skills!M11+1)</f>
        <v/>
      </c>
      <c r="F2275">
        <f>IF(Skills!N11=TRUE,(Skills!L11/10)*(E2275/1000),Skills!L11/10)+Skills!O11</f>
        <v/>
      </c>
      <c r="G2275">
        <f>Skills!G11*IF(Skills!H11&gt;0,Skills!I11/Skills!H11,1)</f>
        <v/>
      </c>
      <c r="H2275">
        <f>1-(1-Skills!J11/100)^Skills!K11</f>
        <v/>
      </c>
      <c r="I2275" t="inlineStr">
        <is>
          <t>1</t>
        </is>
      </c>
      <c r="J2275">
        <f>((Inputs!$B$6*(1+Inputs!$B$7/100))+(((Inputs!$B$12*(1+Inputs!$B$13/100))-(Inputs!$B$12*(1+Inputs!$B$13/100)))+0.25*(Inputs!$B$14-Inputs!$B$14))*(1+Inputs!$B$7/100))*(F2275/100)</f>
        <v/>
      </c>
      <c r="K2275">
        <f>J2275*(1+((Inputs!$B$12*(1+Inputs!$B$13/100))*0.01+Inputs!$B$14*0.0025)/100)*(1+Inputs!$B$15/100)*(1+Inputs!$B$16/100)*(5000/(6000+Inputs!$B$42*(1-(100*(1-(1-(Inputs!$B$19+0)/100)*(1-CHOOSE(ArtifactsInput!$N$40+1,5,6,7,8,9,10)/100)^(ArtifactsInput!$M$40-ArtifactsInput!$M$40)))/100)))*(1+(Inputs!$B$24+((C2290=TRUE)*(F2290-Calc!F26))+B2300)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2287=TRUE)*(F2287-Calc!F23))+((C2291=TRUE)*(F2291-Calc!F27))+(((IF(AND(ArtifactsInput!$M$42,((Inputs!$B$9+((C2283=TRUE)*(F2283-Calc!F19))+B2294+(ArtifactsInput!$M$24-ArtifactsInput!$M$24)*CHOOSE(ArtifactsInput!$N$24+1,10,12,14,16,18,20)+IF(ArtifactsInput!$M$10,CHOOSE(ArtifactsInput!$N$10+1,15,18,21,24,27,30)*(IF(Inputs!$B$38="pvp",MIN(15,15)/15,IF(AND(Inputs!$B$38&lt;&gt;"pvp",Inputs!$B$43&gt;0),MIN(15,Inputs!$B$43)/(Inputs!$B$43),0))),0)))&gt;=100),MIN(100,((Inputs!$B$9+((C2283=TRUE)*(F2283-Calc!F19))+B2294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2283=TRUE)*(F2283-Calc!F19))+B2294+(ArtifactsInput!$M$24-ArtifactsInput!$M$24)*CHOOSE(ArtifactsInput!$N$24+1,10,12,14,16,18,20)+IF(ArtifactsInput!$M$10,CHOOSE(ArtifactsInput!$N$10+1,15,18,21,24,27,30)*(IF(Inputs!$B$38="pvp",MIN(15,15)/15,IF(AND(Inputs!$B$38&lt;&gt;"pvp",Inputs!$B$43&gt;0),MIN(15,Inputs!$B$43)/(Inputs!$B$43),0))),0)))&gt;=100),CHOOSE(ArtifactsInput!$N$42+1,40,48,56,64,72,80),0))))/100)*((1+(((C2281=TRUE)*F2281)+((C2288=TRUE)*(F2288-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2275)</f>
        <v/>
      </c>
      <c r="L2275">
        <f>K2275*(MIN(Inputs!$B$22+((C2286=TRUE)*(F2286-Calc!F22)),(Inputs!$B$23+0+(IF(ArtifactsInput!$M$15,CHOOSE(ArtifactsInput!$N$15+1,25,30,35,40,45,50)/100*(Inputs!$B$11-Inputs!$B$11),0))))/100+(Inputs!$B$23+0+(IF(ArtifactsInput!$M$15,CHOOSE(ArtifactsInput!$N$15+1,25,30,35,40,45,50)/100*(Inputs!$B$11-Inputs!$B$11),0)))/100)/2</f>
        <v/>
      </c>
      <c r="M2275">
        <f>L2275*(1+(Inputs!$B$10+((C2289=TRUE)*(F2289-Calc!F25))+B2299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5">
        <f>L2275*(1-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2275*(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5">
        <f>(1-Summary!$B$11)*T2275+Summary!$B$11*V2275</f>
        <v/>
      </c>
      <c r="P2275">
        <f>IF(B2304=0,0,O2275/B2304)</f>
        <v/>
      </c>
      <c r="Q2275">
        <f>IFERROR(1/(IF(Inputs!$B$38="pvp",15,MAX(0.1,Skills!D11-IF(Skills!E11=TRUE,Inputs!$B$32,0)))*(1-IF(AND(ArtifactsInput!$M$27,Inputs!$B$4="Chapter Hunt"),CHOOSE(ArtifactsInput!$N$27+1,20,24,28,32,36,40),0)/100)),0)</f>
        <v/>
      </c>
      <c r="R2275">
        <f>IF(AND(Inputs!$B$38&lt;&gt;"pvp",Inputs!$B$43&gt;0),IF(MAX(0,Inputs!$B$43-B2301)&lt;=0,0,(INT(MAX(0,Inputs!$B$43-B2301)/(IF(Inputs!$B$38="pvp",15,MAX(0.1,Skills!D11-IF(Skills!E11=TRUE,Inputs!$B$32,0)))*(1-IF(AND(ArtifactsInput!$M$27,Inputs!$B$4="Chapter Hunt"),CHOOSE(ArtifactsInput!$N$27+1,20,24,28,32,36,40),0)/100)))+1)),0)</f>
        <v/>
      </c>
      <c r="S2275">
        <f>IFERROR(O2275/N2275,0)</f>
        <v/>
      </c>
      <c r="T2275">
        <f>IF(C2275,(H2275*N2275*IF(AND(Inputs!$B$38&lt;&gt;"pvp",Inputs!$B$43&gt;0),((Skills!G11*((R2275-1)*IF(Skills!H11&gt;0,Skills!I11/Skills!H11,1)+IF(Skills!H11&gt;0,MIN(Skills!I11,MAX(0,MAX(0,Inputs!$B$43-B2301)-((R2275-1)*(IF(Inputs!$B$38="pvp",15,MAX(0.1,Skills!D11-IF(Skills!E11=TRUE,Inputs!$B$32,0)))*(1-IF(AND(ArtifactsInput!$M$27,Inputs!$B$4="Chapter Hunt"),CHOOSE(ArtifactsInput!$N$27+1,20,24,28,32,36,40),0)/100)))))/Skills!H11,1)))/Inputs!$B$43),G2275*Q2275)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2275*(1-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2275*(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2275*(1-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2275*(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5">
        <f>IF(C2275,(H2275*N2275*IF(AND(Inputs!$B$38&lt;&gt;"pvp",Inputs!$B$43&gt;0),((Skills!G11*((R2275-1)*IF(Skills!H11&gt;0,Skills!I11/Skills!H11,1)+IF(Skills!H11&gt;0,MIN(Skills!I11,MAX(0,MAX(0,Inputs!$B$43-B2301)-((R2275-1)*(IF(Inputs!$B$38="pvp",15,MAX(0.1,Skills!D11-IF(Skills!E11=TRUE,Inputs!$B$32,0)))*(1-IF(AND(ArtifactsInput!$M$27,Inputs!$B$4="Chapter Hunt"),CHOOSE(ArtifactsInput!$N$27+1,20,24,28,32,36,40),0)/100)))))/Skills!H11,1)))/Inputs!$B$43),G2275*Q2275))*IF(Inputs!$B$38="pvp",1,(1+(Inputs!$B$21+Skills!Q11+(IF(ArtifactsInput!$M$33,CHOOSE(ArtifactsInput!$N$33+1,30,36,42,48,54,60)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6">
      <c r="A2276">
        <f>Skills!A12</f>
        <v/>
      </c>
      <c r="B2276">
        <f>Skills!B12</f>
        <v/>
      </c>
      <c r="C2276">
        <f>Inputs!$B$3&gt;=110</f>
        <v/>
      </c>
      <c r="D2276">
        <f>IF(Skills!C12=1,60+Inputs!$B$25+Inputs!$B$29,IF(Skills!C12=2,90+Inputs!$B$26+Inputs!$B$29,IF(Skills!C12=3,120+Inputs!$B$27+Inputs!$B$29,MAX(0,(Inputs!$B$3-100)*3)+Inputs!$B$28+Inputs!$B$29)))</f>
        <v/>
      </c>
      <c r="E2276">
        <f>INDEX(FactorTable!$B$2:$Y$301, MATCH(ROUND(MIN(300,MAX(1,D2276)),0), FactorTable!$A$2:$A$301,0), Skills!M12+1)</f>
        <v/>
      </c>
      <c r="F2276">
        <f>IF(Skills!N12=TRUE,(Skills!L12/10)*(E2276/1000),Skills!L12/10)+Skills!O12</f>
        <v/>
      </c>
      <c r="G2276">
        <f>Skills!G12*IF(Skills!H12&gt;0,Skills!I12/Skills!H12,1)</f>
        <v/>
      </c>
      <c r="H2276">
        <f>1-(1-Skills!J12/100)^Skills!K12</f>
        <v/>
      </c>
      <c r="I2276" t="inlineStr">
        <is>
          <t>1</t>
        </is>
      </c>
      <c r="J2276">
        <f>((Inputs!$B$6*(1+Inputs!$B$7/100))+(((Inputs!$B$12*(1+Inputs!$B$13/100))-(Inputs!$B$12*(1+Inputs!$B$13/100)))+0.25*(Inputs!$B$14-Inputs!$B$14))*(1+Inputs!$B$7/100))*(F2276/100)</f>
        <v/>
      </c>
      <c r="K2276">
        <f>J2276*(1+((Inputs!$B$12*(1+Inputs!$B$13/100))*0.01+Inputs!$B$14*0.0025)/100)*(1+Inputs!$B$15/100)*(1+Inputs!$B$16/100)*(5000/(6000+Inputs!$B$42*(1-(100*(1-(1-(Inputs!$B$19+0)/100)*(1-CHOOSE(ArtifactsInput!$N$40+1,5,6,7,8,9,10)/100)^(ArtifactsInput!$M$40-ArtifactsInput!$M$40)))/100)))*(1+(Inputs!$B$24+((C2290=TRUE)*(F2290-Calc!F26))+B2300)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2287=TRUE)*(F2287-Calc!F23))+((C2291=TRUE)*(F2291-Calc!F27))+(((IF(AND(ArtifactsInput!$M$42,((Inputs!$B$9+((C2283=TRUE)*(F2283-Calc!F19))+B2294+(ArtifactsInput!$M$24-ArtifactsInput!$M$24)*CHOOSE(ArtifactsInput!$N$24+1,10,12,14,16,18,20)+IF(ArtifactsInput!$M$10,CHOOSE(ArtifactsInput!$N$10+1,15,18,21,24,27,30)*(IF(Inputs!$B$38="pvp",MIN(15,15)/15,IF(AND(Inputs!$B$38&lt;&gt;"pvp",Inputs!$B$43&gt;0),MIN(15,Inputs!$B$43)/(Inputs!$B$43),0))),0)))&gt;=100),MIN(100,((Inputs!$B$9+((C2283=TRUE)*(F2283-Calc!F19))+B2294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2283=TRUE)*(F2283-Calc!F19))+B2294+(ArtifactsInput!$M$24-ArtifactsInput!$M$24)*CHOOSE(ArtifactsInput!$N$24+1,10,12,14,16,18,20)+IF(ArtifactsInput!$M$10,CHOOSE(ArtifactsInput!$N$10+1,15,18,21,24,27,30)*(IF(Inputs!$B$38="pvp",MIN(15,15)/15,IF(AND(Inputs!$B$38&lt;&gt;"pvp",Inputs!$B$43&gt;0),MIN(15,Inputs!$B$43)/(Inputs!$B$43),0))),0)))&gt;=100),CHOOSE(ArtifactsInput!$N$42+1,40,48,56,64,72,80),0))))/100)*((1+(((C2281=TRUE)*F2281)+((C2288=TRUE)*(F2288-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2276)</f>
        <v/>
      </c>
      <c r="L2276">
        <f>K2276*(MIN(Inputs!$B$22+((C2286=TRUE)*(F2286-Calc!F22)),(Inputs!$B$23+0+(IF(ArtifactsInput!$M$15,CHOOSE(ArtifactsInput!$N$15+1,25,30,35,40,45,50)/100*(Inputs!$B$11-Inputs!$B$11),0))))/100+(Inputs!$B$23+0+(IF(ArtifactsInput!$M$15,CHOOSE(ArtifactsInput!$N$15+1,25,30,35,40,45,50)/100*(Inputs!$B$11-Inputs!$B$11),0)))/100)/2</f>
        <v/>
      </c>
      <c r="M2276">
        <f>L2276*(1+(Inputs!$B$10+((C2289=TRUE)*(F2289-Calc!F25))+B2299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6">
        <f>L2276*(1-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2276*(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6">
        <f>(1-Summary!$B$11)*T2276+Summary!$B$11*V2276</f>
        <v/>
      </c>
      <c r="P2276">
        <f>IF(B2304=0,0,O2276/B2304)</f>
        <v/>
      </c>
      <c r="Q2276">
        <f>IFERROR(1/(IF(Inputs!$B$38="pvp",15,MAX(0.1,Skills!D12-IF(Skills!E12=TRUE,Inputs!$B$32,0)))*(1-IF(AND(ArtifactsInput!$M$27,Inputs!$B$4="Chapter Hunt"),CHOOSE(ArtifactsInput!$N$27+1,20,24,28,32,36,40),0)/100)),0)</f>
        <v/>
      </c>
      <c r="R2276">
        <f>IF(AND(Inputs!$B$38&lt;&gt;"pvp",Inputs!$B$43&gt;0),IF(MAX(0,Inputs!$B$43-B2301)&lt;=0,0,(INT(MAX(0,Inputs!$B$43-B2301)/(IF(Inputs!$B$38="pvp",15,MAX(0.1,Skills!D12-IF(Skills!E12=TRUE,Inputs!$B$32,0)))*(1-IF(AND(ArtifactsInput!$M$27,Inputs!$B$4="Chapter Hunt"),CHOOSE(ArtifactsInput!$N$27+1,20,24,28,32,36,40),0)/100)))+1)),0)</f>
        <v/>
      </c>
      <c r="S2276">
        <f>IFERROR(O2276/N2276,0)</f>
        <v/>
      </c>
      <c r="T2276">
        <f>IF(C2276,(H2276*N2276*IF(AND(Inputs!$B$38&lt;&gt;"pvp",Inputs!$B$43&gt;0),((Skills!G12*((R2276-1)*IF(Skills!H12&gt;0,Skills!I12/Skills!H12,1)+IF(Skills!H12&gt;0,MIN(Skills!I12,MAX(0,MAX(0,Inputs!$B$43-B2301)-((R2276-1)*(IF(Inputs!$B$38="pvp",15,MAX(0.1,Skills!D12-IF(Skills!E12=TRUE,Inputs!$B$32,0)))*(1-IF(AND(ArtifactsInput!$M$27,Inputs!$B$4="Chapter Hunt"),CHOOSE(ArtifactsInput!$N$27+1,20,24,28,32,36,40),0)/100)))))/Skills!H12,1)))/Inputs!$B$43),G2276*Q2276)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2276*(1-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2276*(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2276*(1-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2276*(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6">
        <f>IF(C2276,(H2276*N2276*IF(AND(Inputs!$B$38&lt;&gt;"pvp",Inputs!$B$43&gt;0),((Skills!G12*((R2276-1)*IF(Skills!H12&gt;0,Skills!I12/Skills!H12,1)+IF(Skills!H12&gt;0,MIN(Skills!I12,MAX(0,MAX(0,Inputs!$B$43-B2301)-((R2276-1)*(IF(Inputs!$B$38="pvp",15,MAX(0.1,Skills!D12-IF(Skills!E12=TRUE,Inputs!$B$32,0)))*(1-IF(AND(ArtifactsInput!$M$27,Inputs!$B$4="Chapter Hunt"),CHOOSE(ArtifactsInput!$N$27+1,20,24,28,32,36,40),0)/100)))))/Skills!H12,1)))/Inputs!$B$43),G2276*Q2276))*IF(Inputs!$B$38="pvp",1,(1+(Inputs!$B$21+Skills!Q12+(IF(ArtifactsInput!$M$33,CHOOSE(ArtifactsInput!$N$33+1,30,36,42,48,54,60)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7">
      <c r="A2277">
        <f>Skills!A13</f>
        <v/>
      </c>
      <c r="B2277">
        <f>Skills!B13</f>
        <v/>
      </c>
      <c r="C2277">
        <f>Inputs!$B$3&gt;=110</f>
        <v/>
      </c>
      <c r="D2277">
        <f>IF(Skills!C13=1,60+Inputs!$B$25+Inputs!$B$29,IF(Skills!C13=2,90+Inputs!$B$26+Inputs!$B$29,IF(Skills!C13=3,120+Inputs!$B$27+Inputs!$B$29,MAX(0,(Inputs!$B$3-100)*3)+Inputs!$B$28+Inputs!$B$29)))</f>
        <v/>
      </c>
      <c r="E2277">
        <f>INDEX(FactorTable!$B$2:$Y$301, MATCH(ROUND(MIN(300,MAX(1,D2277)),0), FactorTable!$A$2:$A$301,0), Skills!M13+1)</f>
        <v/>
      </c>
      <c r="F2277">
        <f>IF(Skills!N13=TRUE,(Skills!L13/10)*(E2277/1000),Skills!L13/10)+Skills!O13</f>
        <v/>
      </c>
      <c r="G2277">
        <f>Skills!G13*IF(Skills!H13&gt;0,Skills!I13/Skills!H13,1)</f>
        <v/>
      </c>
      <c r="H2277">
        <f>1-(1-Skills!J13/100)^Skills!K13</f>
        <v/>
      </c>
      <c r="I2277" t="inlineStr">
        <is>
          <t>1</t>
        </is>
      </c>
      <c r="J2277">
        <f>((Inputs!$B$6*(1+Inputs!$B$7/100))+(((Inputs!$B$12*(1+Inputs!$B$13/100))-(Inputs!$B$12*(1+Inputs!$B$13/100)))+0.25*(Inputs!$B$14-Inputs!$B$14))*(1+Inputs!$B$7/100))*(F2277/100)</f>
        <v/>
      </c>
      <c r="K2277">
        <f>J2277*(1+((Inputs!$B$12*(1+Inputs!$B$13/100))*0.01+Inputs!$B$14*0.0025)/100)*(1+Inputs!$B$15/100)*(1+Inputs!$B$16/100)*(5000/(6000+Inputs!$B$42*(1-(100*(1-(1-(Inputs!$B$19+0)/100)*(1-CHOOSE(ArtifactsInput!$N$40+1,5,6,7,8,9,10)/100)^(ArtifactsInput!$M$40-ArtifactsInput!$M$40)))/100)))*(1+(Inputs!$B$24+((C2290=TRUE)*(F2290-Calc!F26))+B2300)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2287=TRUE)*(F2287-Calc!F23))+((C2291=TRUE)*(F2291-Calc!F27))+(((IF(AND(ArtifactsInput!$M$42,((Inputs!$B$9+((C2283=TRUE)*(F2283-Calc!F19))+B2294+(ArtifactsInput!$M$24-ArtifactsInput!$M$24)*CHOOSE(ArtifactsInput!$N$24+1,10,12,14,16,18,20)+IF(ArtifactsInput!$M$10,CHOOSE(ArtifactsInput!$N$10+1,15,18,21,24,27,30)*(IF(Inputs!$B$38="pvp",MIN(15,15)/15,IF(AND(Inputs!$B$38&lt;&gt;"pvp",Inputs!$B$43&gt;0),MIN(15,Inputs!$B$43)/(Inputs!$B$43),0))),0)))&gt;=100),MIN(100,((Inputs!$B$9+((C2283=TRUE)*(F2283-Calc!F19))+B2294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2283=TRUE)*(F2283-Calc!F19))+B2294+(ArtifactsInput!$M$24-ArtifactsInput!$M$24)*CHOOSE(ArtifactsInput!$N$24+1,10,12,14,16,18,20)+IF(ArtifactsInput!$M$10,CHOOSE(ArtifactsInput!$N$10+1,15,18,21,24,27,30)*(IF(Inputs!$B$38="pvp",MIN(15,15)/15,IF(AND(Inputs!$B$38&lt;&gt;"pvp",Inputs!$B$43&gt;0),MIN(15,Inputs!$B$43)/(Inputs!$B$43),0))),0)))&gt;=100),CHOOSE(ArtifactsInput!$N$42+1,40,48,56,64,72,80),0))))/100)*((1+(((C2281=TRUE)*F2281)+((C2288=TRUE)*(F2288-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2277)</f>
        <v/>
      </c>
      <c r="L2277">
        <f>K2277*(MIN(Inputs!$B$22+((C2286=TRUE)*(F2286-Calc!F22)),(Inputs!$B$23+0+(IF(ArtifactsInput!$M$15,CHOOSE(ArtifactsInput!$N$15+1,25,30,35,40,45,50)/100*(Inputs!$B$11-Inputs!$B$11),0))))/100+(Inputs!$B$23+0+(IF(ArtifactsInput!$M$15,CHOOSE(ArtifactsInput!$N$15+1,25,30,35,40,45,50)/100*(Inputs!$B$11-Inputs!$B$11),0)))/100)/2</f>
        <v/>
      </c>
      <c r="M2277">
        <f>L2277*(1+(Inputs!$B$10+((C2289=TRUE)*(F2289-Calc!F25))+B2299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7">
        <f>L2277*(1-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2277*(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7">
        <f>(1-Summary!$B$11)*T2277+Summary!$B$11*V2277</f>
        <v/>
      </c>
      <c r="P2277">
        <f>IF(B2304=0,0,O2277/B2304)</f>
        <v/>
      </c>
      <c r="Q2277">
        <f>IFERROR(1/(IF(Inputs!$B$38="pvp",15,MAX(0.1,Skills!D13-IF(Skills!E13=TRUE,Inputs!$B$32,0)))*(1-IF(AND(ArtifactsInput!$M$27,Inputs!$B$4="Chapter Hunt"),CHOOSE(ArtifactsInput!$N$27+1,20,24,28,32,36,40),0)/100)),0)</f>
        <v/>
      </c>
      <c r="R2277">
        <f>IF(AND(Inputs!$B$38&lt;&gt;"pvp",Inputs!$B$43&gt;0),IF(MAX(0,Inputs!$B$43-B2301)&lt;=0,0,(INT(MAX(0,Inputs!$B$43-B2301)/(IF(Inputs!$B$38="pvp",15,MAX(0.1,Skills!D13-IF(Skills!E13=TRUE,Inputs!$B$32,0)))*(1-IF(AND(ArtifactsInput!$M$27,Inputs!$B$4="Chapter Hunt"),CHOOSE(ArtifactsInput!$N$27+1,20,24,28,32,36,40),0)/100)))+1)),0)</f>
        <v/>
      </c>
      <c r="S2277">
        <f>IFERROR(O2277/N2277,0)</f>
        <v/>
      </c>
      <c r="T2277">
        <f>IF(C2277,(H2277*N2277*IF(AND(Inputs!$B$38&lt;&gt;"pvp",Inputs!$B$43&gt;0),((Skills!G13*((R2277-1)*IF(Skills!H13&gt;0,Skills!I13/Skills!H13,1)+IF(Skills!H13&gt;0,MIN(Skills!I13,MAX(0,MAX(0,Inputs!$B$43-B2301)-((R2277-1)*(IF(Inputs!$B$38="pvp",15,MAX(0.1,Skills!D13-IF(Skills!E13=TRUE,Inputs!$B$32,0)))*(1-IF(AND(ArtifactsInput!$M$27,Inputs!$B$4="Chapter Hunt"),CHOOSE(ArtifactsInput!$N$27+1,20,24,28,32,36,40),0)/100)))))/Skills!H13,1)))/Inputs!$B$43),G2277*Q2277))*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2277*(1-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2277*(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2277*(1-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2277*(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7">
        <f>IF(C2277,(H2277*N2277*IF(AND(Inputs!$B$38&lt;&gt;"pvp",Inputs!$B$43&gt;0),((Skills!G13*((R2277-1)*IF(Skills!H13&gt;0,Skills!I13/Skills!H13,1)+IF(Skills!H13&gt;0,MIN(Skills!I13,MAX(0,MAX(0,Inputs!$B$43-B2301)-((R2277-1)*(IF(Inputs!$B$38="pvp",15,MAX(0.1,Skills!D13-IF(Skills!E13=TRUE,Inputs!$B$32,0)))*(1-IF(AND(ArtifactsInput!$M$27,Inputs!$B$4="Chapter Hunt"),CHOOSE(ArtifactsInput!$N$27+1,20,24,28,32,36,40),0)/100)))))/Skills!H13,1)))/Inputs!$B$43),G2277*Q2277))*IF(Inputs!$B$38="pvp",1,(1+(Inputs!$B$21+Skills!Q13+(IF(ArtifactsInput!$M$33,CHOOSE(ArtifactsInput!$N$33+1,30,36,42,48,54,60)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8">
      <c r="A2278">
        <f>Skills!A14</f>
        <v/>
      </c>
      <c r="B2278">
        <f>Skills!B14</f>
        <v/>
      </c>
      <c r="C2278">
        <f>Inputs!$B$3&gt;=125</f>
        <v/>
      </c>
      <c r="D2278">
        <f>IF(Skills!C14=1,60+Inputs!$B$25+Inputs!$B$29,IF(Skills!C14=2,90+Inputs!$B$26+Inputs!$B$29,IF(Skills!C14=3,120+Inputs!$B$27+Inputs!$B$29,MAX(0,(Inputs!$B$3-100)*3)+Inputs!$B$28+Inputs!$B$29)))</f>
        <v/>
      </c>
      <c r="E2278">
        <f>INDEX(FactorTable!$B$2:$Y$301, MATCH(ROUND(MIN(300,MAX(1,D2278)),0), FactorTable!$A$2:$A$301,0), Skills!M14+1)</f>
        <v/>
      </c>
      <c r="F2278">
        <f>IF(Skills!N14=TRUE,(Skills!L14/10)*(E2278/1000),Skills!L14/10)+Skills!O14</f>
        <v/>
      </c>
      <c r="G2278">
        <f>Skills!G14*IF(Skills!H14&gt;0,Skills!I14/Skills!H14,1)</f>
        <v/>
      </c>
      <c r="H2278">
        <f>1-(1-Skills!J14/100)^Skills!K14</f>
        <v/>
      </c>
      <c r="I2278" t="inlineStr">
        <is>
          <t>1</t>
        </is>
      </c>
      <c r="J2278">
        <f>((Inputs!$B$6*(1+Inputs!$B$7/100))+(((Inputs!$B$12*(1+Inputs!$B$13/100))-(Inputs!$B$12*(1+Inputs!$B$13/100)))+0.25*(Inputs!$B$14-Inputs!$B$14))*(1+Inputs!$B$7/100))*(F2278/100)</f>
        <v/>
      </c>
      <c r="K2278">
        <f>J2278*(1+((Inputs!$B$12*(1+Inputs!$B$13/100))*0.01+Inputs!$B$14*0.0025)/100)*(1+Inputs!$B$15/100)*(1+Inputs!$B$16/100)*(5000/(6000+Inputs!$B$42*(1-(100*(1-(1-(Inputs!$B$19+0)/100)*(1-CHOOSE(ArtifactsInput!$N$40+1,5,6,7,8,9,10)/100)^(ArtifactsInput!$M$40-ArtifactsInput!$M$40)))/100)))*(1+(Inputs!$B$24+((C2290=TRUE)*(F2290-Calc!F26))+B2300)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2287=TRUE)*(F2287-Calc!F23))+((C2291=TRUE)*(F2291-Calc!F27))+(((IF(AND(ArtifactsInput!$M$42,((Inputs!$B$9+((C2283=TRUE)*(F2283-Calc!F19))+B2294+(ArtifactsInput!$M$24-ArtifactsInput!$M$24)*CHOOSE(ArtifactsInput!$N$24+1,10,12,14,16,18,20)+IF(ArtifactsInput!$M$10,CHOOSE(ArtifactsInput!$N$10+1,15,18,21,24,27,30)*(IF(Inputs!$B$38="pvp",MIN(15,15)/15,IF(AND(Inputs!$B$38&lt;&gt;"pvp",Inputs!$B$43&gt;0),MIN(15,Inputs!$B$43)/(Inputs!$B$43),0))),0)))&gt;=100),MIN(100,((Inputs!$B$9+((C2283=TRUE)*(F2283-Calc!F19))+B2294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2283=TRUE)*(F2283-Calc!F19))+B2294+(ArtifactsInput!$M$24-ArtifactsInput!$M$24)*CHOOSE(ArtifactsInput!$N$24+1,10,12,14,16,18,20)+IF(ArtifactsInput!$M$10,CHOOSE(ArtifactsInput!$N$10+1,15,18,21,24,27,30)*(IF(Inputs!$B$38="pvp",MIN(15,15)/15,IF(AND(Inputs!$B$38&lt;&gt;"pvp",Inputs!$B$43&gt;0),MIN(15,Inputs!$B$43)/(Inputs!$B$43),0))),0)))&gt;=100),CHOOSE(ArtifactsInput!$N$42+1,40,48,56,64,72,80),0))))/100)*((1+(((C2281=TRUE)*F2281)+((C2288=TRUE)*(F2288-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2278)</f>
        <v/>
      </c>
      <c r="L2278">
        <f>K2278*(MIN(Inputs!$B$22+((C2286=TRUE)*(F2286-Calc!F22)),(Inputs!$B$23+0+(IF(ArtifactsInput!$M$15,CHOOSE(ArtifactsInput!$N$15+1,25,30,35,40,45,50)/100*(Inputs!$B$11-Inputs!$B$11),0))))/100+(Inputs!$B$23+0+(IF(ArtifactsInput!$M$15,CHOOSE(ArtifactsInput!$N$15+1,25,30,35,40,45,50)/100*(Inputs!$B$11-Inputs!$B$11),0)))/100)/2</f>
        <v/>
      </c>
      <c r="M2278">
        <f>L2278*(1+(Inputs!$B$10+((C2289=TRUE)*(F2289-Calc!F25))+B2299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8">
        <f>L2278*(1-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2278*(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8">
        <f>(1-Summary!$B$11)*T2278+Summary!$B$11*V2278</f>
        <v/>
      </c>
      <c r="P2278">
        <f>IF(B2304=0,0,O2278/B2304)</f>
        <v/>
      </c>
      <c r="Q2278" t="n">
        <v>0</v>
      </c>
      <c r="R2278" t="n">
        <v>0</v>
      </c>
      <c r="S2278">
        <f>IFERROR(O2278/N2278,0)</f>
        <v/>
      </c>
      <c r="T2278">
        <f>IF(C2278,(H2278*N2278*(B2298+IF(AND(Inputs!$B$38&lt;&gt;"pvp",Inputs!$B$43&gt;0),((Skills!G8*((R2272-1)*IF(Skills!H8&gt;0,Skills!I8/Skills!H8,1)+IF(Skills!H8&gt;0,MIN(Skills!I8,MAX(0,MAX(0,Inputs!$B$43-B2301)-((R2272-1)*(IF(Inputs!$B$38="pvp",15,MAX(0.1,Skills!D8-IF(Skills!E8=TRUE,Inputs!$B$32,0)))*(1-IF(AND(ArtifactsInput!$M$27,Inputs!$B$4="Chapter Hunt"),CHOOSE(ArtifactsInput!$N$27+1,20,24,28,32,36,40),0)/100)))))/Skills!H8,1)))/Inputs!$B$43),G2272*Q2272)+IF(AND(Inputs!$B$38&lt;&gt;"pvp",Inputs!$B$43&gt;0),((Skills!G11*((R2275-1)*IF(Skills!H11&gt;0,Skills!I11/Skills!H11,1)+IF(Skills!H11&gt;0,MIN(Skills!I11,MAX(0,MAX(0,Inputs!$B$43-B2301)-((R2275-1)*(IF(Inputs!$B$38="pvp",15,MAX(0.1,Skills!D11-IF(Skills!E11=TRUE,Inputs!$B$32,0)))*(1-IF(AND(ArtifactsInput!$M$27,Inputs!$B$4="Chapter Hunt"),CHOOSE(ArtifactsInput!$N$27+1,20,24,28,32,36,40),0)/100)))))/Skills!H11,1)))/Inputs!$B$43),G2275*Q2275)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2278*(1-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2278*(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2278*(1-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2278*(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8">
        <f>IF(C2278,(H2278*N2278*(B2298+IF(AND(Inputs!$B$38&lt;&gt;"pvp",Inputs!$B$43&gt;0),((Skills!G8*((R2272-1)*IF(Skills!H8&gt;0,Skills!I8/Skills!H8,1)+IF(Skills!H8&gt;0,MIN(Skills!I8,MAX(0,MAX(0,Inputs!$B$43-B2301)-((R2272-1)*(IF(Inputs!$B$38="pvp",15,MAX(0.1,Skills!D8-IF(Skills!E8=TRUE,Inputs!$B$32,0)))*(1-IF(AND(ArtifactsInput!$M$27,Inputs!$B$4="Chapter Hunt"),CHOOSE(ArtifactsInput!$N$27+1,20,24,28,32,36,40),0)/100)))))/Skills!H8,1)))/Inputs!$B$43),G2272*Q2272)+IF(AND(Inputs!$B$38&lt;&gt;"pvp",Inputs!$B$43&gt;0),((Skills!G11*((R2275-1)*IF(Skills!H11&gt;0,Skills!I11/Skills!H11,1)+IF(Skills!H11&gt;0,MIN(Skills!I11,MAX(0,MAX(0,Inputs!$B$43-B2301)-((R2275-1)*(IF(Inputs!$B$38="pvp",15,MAX(0.1,Skills!D11-IF(Skills!E11=TRUE,Inputs!$B$32,0)))*(1-IF(AND(ArtifactsInput!$M$27,Inputs!$B$4="Chapter Hunt"),CHOOSE(ArtifactsInput!$N$27+1,20,24,28,32,36,40),0)/100)))))/Skills!H11,1)))/Inputs!$B$43),G2275*Q2275)))*IF(Inputs!$B$38="pvp",1,(1+(Inputs!$B$21+Skills!Q14+(IF(ArtifactsInput!$M$33,CHOOSE(ArtifactsInput!$N$33+1,30,36,42,48,54,60)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9">
      <c r="A2279">
        <f>Skills!A15</f>
        <v/>
      </c>
      <c r="B2279">
        <f>Skills!B15</f>
        <v/>
      </c>
      <c r="C2279">
        <f>Inputs!$B$3&gt;=100</f>
        <v/>
      </c>
      <c r="D2279">
        <f>IF(Skills!C15=1,60+Inputs!$B$25+Inputs!$B$29,IF(Skills!C15=2,90+Inputs!$B$26+Inputs!$B$29,IF(Skills!C15=3,120+Inputs!$B$27+Inputs!$B$29,MAX(0,(Inputs!$B$3-100)*3)+Inputs!$B$28+Inputs!$B$29)))</f>
        <v/>
      </c>
      <c r="E2279">
        <f>INDEX(FactorTable!$B$2:$Y$301, MATCH(ROUND(MIN(300,MAX(1,D2279)),0), FactorTable!$A$2:$A$301,0), Skills!M15+1)</f>
        <v/>
      </c>
      <c r="F2279">
        <f>IF(Skills!N15=TRUE,(Skills!L15/10)*(E2279/1000),Skills!L15/10)+Skills!O15</f>
        <v/>
      </c>
      <c r="G2279" t="inlineStr"/>
      <c r="H2279" t="inlineStr"/>
      <c r="I2279" t="inlineStr">
        <is>
          <t>1</t>
        </is>
      </c>
      <c r="J2279" t="inlineStr"/>
      <c r="K2279" t="inlineStr"/>
      <c r="L2279" t="inlineStr"/>
      <c r="M2279" t="inlineStr"/>
      <c r="N2279" t="inlineStr"/>
      <c r="O2279" t="inlineStr"/>
      <c r="P2279" t="inlineStr"/>
      <c r="Q2279" t="inlineStr"/>
      <c r="R2279" t="inlineStr"/>
      <c r="S2279" t="inlineStr"/>
    </row>
    <row r="2280">
      <c r="A2280">
        <f>Skills!A16</f>
        <v/>
      </c>
      <c r="B2280">
        <f>Skills!B16</f>
        <v/>
      </c>
      <c r="C2280">
        <f>Inputs!$B$3&gt;=120</f>
        <v/>
      </c>
      <c r="D2280">
        <f>IF(Skills!C16=1,60+Inputs!$B$25+Inputs!$B$29,IF(Skills!C16=2,90+Inputs!$B$26+Inputs!$B$29,IF(Skills!C16=3,120+Inputs!$B$27+Inputs!$B$29,MAX(0,(Inputs!$B$3-100)*3)+Inputs!$B$28+Inputs!$B$29)))</f>
        <v/>
      </c>
      <c r="E2280">
        <f>INDEX(FactorTable!$B$2:$Y$301, MATCH(ROUND(MIN(300,MAX(1,D2280)),0), FactorTable!$A$2:$A$301,0), Skills!M16+1)</f>
        <v/>
      </c>
      <c r="F2280">
        <f>IF(Skills!N16=TRUE,(Skills!L16/10)*(E2280/1000),Skills!L16/10)+Skills!O16</f>
        <v/>
      </c>
      <c r="G2280" t="inlineStr"/>
      <c r="H2280" t="inlineStr"/>
      <c r="I2280" t="inlineStr">
        <is>
          <t>1</t>
        </is>
      </c>
      <c r="J2280" t="inlineStr"/>
      <c r="K2280" t="inlineStr"/>
      <c r="L2280" t="inlineStr"/>
      <c r="M2280" t="inlineStr"/>
      <c r="N2280" t="inlineStr"/>
      <c r="O2280" t="inlineStr"/>
      <c r="P2280" t="inlineStr"/>
      <c r="Q2280" t="inlineStr"/>
      <c r="R2280" t="inlineStr"/>
      <c r="S2280" t="inlineStr"/>
    </row>
    <row r="2281">
      <c r="A2281">
        <f>Skills!A17</f>
        <v/>
      </c>
      <c r="B2281">
        <f>Skills!B17</f>
        <v/>
      </c>
      <c r="C2281">
        <f>Inputs!$B$3&gt;=66</f>
        <v/>
      </c>
      <c r="D2281">
        <f>IF(Skills!C17=1,60+Inputs!$B$25+Inputs!$B$29,IF(Skills!C17=2,90+Inputs!$B$26+Inputs!$B$29,IF(Skills!C17=3,120+Inputs!$B$27+Inputs!$B$29,MAX(0,(Inputs!$B$3-100)*3)+Inputs!$B$28+Inputs!$B$29)))</f>
        <v/>
      </c>
      <c r="E2281">
        <f>INDEX(FactorTable!$B$2:$Y$301, MATCH(ROUND(MIN(300,MAX(1,D2281)),0), FactorTable!$A$2:$A$301,0), Skills!M17+1)</f>
        <v/>
      </c>
      <c r="F2281">
        <f>IF(Skills!N17=TRUE,(Skills!L17/10)*(E2281/1000),Skills!L17/10)+Skills!O17</f>
        <v/>
      </c>
      <c r="G2281">
        <f>Skills!G17*IF(Skills!H17&gt;0,Skills!I17/Skills!H17,1)</f>
        <v/>
      </c>
      <c r="H2281">
        <f>1-(1-Skills!J17/100)^Skills!K17</f>
        <v/>
      </c>
      <c r="I2281" t="inlineStr">
        <is>
          <t>1</t>
        </is>
      </c>
      <c r="J2281" t="inlineStr"/>
      <c r="K2281" t="inlineStr"/>
      <c r="L2281" t="inlineStr"/>
      <c r="M2281" t="inlineStr"/>
      <c r="N2281" t="inlineStr"/>
      <c r="O2281">
        <f>(1-Summary!$B$11)*T2281+Summary!$B$11*V2281</f>
        <v/>
      </c>
      <c r="P2281">
        <f>IF(B2304=0,0,O2281/B2304)</f>
        <v/>
      </c>
      <c r="Q2281" t="n">
        <v>0</v>
      </c>
      <c r="R2281" t="n">
        <v>0</v>
      </c>
      <c r="S2281">
        <f>IFERROR(O2281/N2281,0)</f>
        <v/>
      </c>
      <c r="T2281" t="n">
        <v>0</v>
      </c>
      <c r="V2281" t="n">
        <v>0</v>
      </c>
    </row>
    <row r="2282">
      <c r="A2282">
        <f>Skills!A18</f>
        <v/>
      </c>
      <c r="B2282">
        <f>Skills!B18</f>
        <v/>
      </c>
      <c r="C2282">
        <f>Inputs!$B$3&gt;=115</f>
        <v/>
      </c>
      <c r="D2282">
        <f>IF(Skills!C18=1,60+Inputs!$B$25+Inputs!$B$29,IF(Skills!C18=2,90+Inputs!$B$26+Inputs!$B$29,IF(Skills!C18=3,120+Inputs!$B$27+Inputs!$B$29,MAX(0,(Inputs!$B$3-100)*3)+Inputs!$B$28+Inputs!$B$29)))</f>
        <v/>
      </c>
      <c r="E2282">
        <f>INDEX(FactorTable!$B$2:$Y$301, MATCH(ROUND(MIN(300,MAX(1,D2282)),0), FactorTable!$A$2:$A$301,0), Skills!M18+1)</f>
        <v/>
      </c>
      <c r="F2282">
        <f>IF(Skills!N18=TRUE,(Skills!L18/10)*(E2282/1000),Skills!L18/10)+Skills!O18</f>
        <v/>
      </c>
      <c r="G2282">
        <f>Skills!G18*IF(Skills!H18&gt;0,Skills!I18/Skills!H18,1)</f>
        <v/>
      </c>
      <c r="H2282">
        <f>1-(1-Skills!J18/100)^Skills!K18</f>
        <v/>
      </c>
      <c r="I2282" t="inlineStr">
        <is>
          <t>1</t>
        </is>
      </c>
      <c r="J2282" t="inlineStr"/>
      <c r="K2282" t="inlineStr"/>
      <c r="L2282" t="inlineStr"/>
      <c r="M2282" t="inlineStr"/>
      <c r="N2282" t="inlineStr"/>
      <c r="O2282">
        <f>(1-Summary!$B$11)*T2282+Summary!$B$11*V2282</f>
        <v/>
      </c>
      <c r="P2282">
        <f>IF(B2304=0,0,O2282/B2304)</f>
        <v/>
      </c>
      <c r="Q2282" t="n">
        <v>0</v>
      </c>
      <c r="R2282" t="n">
        <v>0</v>
      </c>
      <c r="S2282">
        <f>IFERROR(O2282/N2282,0)</f>
        <v/>
      </c>
      <c r="T2282" t="n">
        <v>0</v>
      </c>
      <c r="V2282" t="n">
        <v>0</v>
      </c>
    </row>
    <row r="2283">
      <c r="A2283">
        <f>Skills!A19</f>
        <v/>
      </c>
      <c r="B2283">
        <f>Skills!B19</f>
        <v/>
      </c>
      <c r="C2283">
        <f>Inputs!$B$3&gt;=15</f>
        <v/>
      </c>
      <c r="D2283">
        <f>IF(Skills!C19=1,60+Inputs!$B$25+Inputs!$B$29,IF(Skills!C19=2,90+Inputs!$B$26+Inputs!$B$29,IF(Skills!C19=3,120+Inputs!$B$27+Inputs!$B$29,MAX(0,(Inputs!$B$3-100)*3)+Inputs!$B$28+Inputs!$B$29)))</f>
        <v/>
      </c>
      <c r="E2283">
        <f>INDEX(FactorTable!$B$2:$Y$301, MATCH(ROUND(MIN(300,MAX(1,D2283)),0), FactorTable!$A$2:$A$301,0), Skills!M19+1)</f>
        <v/>
      </c>
      <c r="F2283">
        <f>IF(Skills!N19=TRUE,(Skills!L19/10)*(E2283/1000),Skills!L19/10)+Skills!O19</f>
        <v/>
      </c>
      <c r="G2283">
        <f>Skills!G19*IF(Skills!H19&gt;0,Skills!I19/Skills!H19,1)</f>
        <v/>
      </c>
      <c r="H2283">
        <f>1-(1-Skills!J19/100)^Skills!K19</f>
        <v/>
      </c>
      <c r="I2283" t="inlineStr">
        <is>
          <t>1</t>
        </is>
      </c>
      <c r="J2283" t="inlineStr"/>
      <c r="K2283" t="inlineStr"/>
      <c r="L2283" t="inlineStr"/>
      <c r="M2283" t="inlineStr"/>
      <c r="N2283" t="inlineStr"/>
      <c r="O2283">
        <f>(1-Summary!$B$11)*T2283+Summary!$B$11*V2283</f>
        <v/>
      </c>
      <c r="P2283">
        <f>IF(B2304=0,0,O2283/B2304)</f>
        <v/>
      </c>
      <c r="Q2283" t="n">
        <v>0</v>
      </c>
      <c r="R2283" t="n">
        <v>0</v>
      </c>
      <c r="S2283">
        <f>IFERROR(O2283/N2283,0)</f>
        <v/>
      </c>
      <c r="T2283" t="n">
        <v>0</v>
      </c>
      <c r="V2283" t="n">
        <v>0</v>
      </c>
    </row>
    <row r="2284">
      <c r="A2284">
        <f>Skills!A20</f>
        <v/>
      </c>
      <c r="B2284">
        <f>Skills!B20</f>
        <v/>
      </c>
      <c r="C2284">
        <f>Inputs!$B$3&gt;=10</f>
        <v/>
      </c>
      <c r="D2284">
        <f>IF(Skills!C20=1,60+Inputs!$B$25+Inputs!$B$29,IF(Skills!C20=2,90+Inputs!$B$26+Inputs!$B$29,IF(Skills!C20=3,120+Inputs!$B$27+Inputs!$B$29,MAX(0,(Inputs!$B$3-100)*3)+Inputs!$B$28+Inputs!$B$29)))</f>
        <v/>
      </c>
      <c r="E2284">
        <f>INDEX(FactorTable!$B$2:$Y$301, MATCH(ROUND(MIN(300,MAX(1,D2284)),0), FactorTable!$A$2:$A$301,0), Skills!M20+1)</f>
        <v/>
      </c>
      <c r="F2284">
        <f>IF(Skills!N20=TRUE,(Skills!L20/10)*(E2284/1000),Skills!L20/10)+Skills!O20</f>
        <v/>
      </c>
      <c r="G2284">
        <f>Skills!G20*IF(Skills!H20&gt;0,Skills!I20/Skills!H20,1)</f>
        <v/>
      </c>
      <c r="H2284">
        <f>1-(1-Skills!J20/100)^Skills!K20</f>
        <v/>
      </c>
      <c r="I2284" t="inlineStr">
        <is>
          <t>1</t>
        </is>
      </c>
      <c r="J2284" t="inlineStr"/>
      <c r="K2284" t="inlineStr"/>
      <c r="L2284" t="inlineStr"/>
      <c r="M2284" t="inlineStr"/>
      <c r="N2284" t="inlineStr"/>
      <c r="O2284">
        <f>(1-Summary!$B$11)*T2284+Summary!$B$11*V2284</f>
        <v/>
      </c>
      <c r="P2284">
        <f>IF(B2304=0,0,O2284/B2304)</f>
        <v/>
      </c>
      <c r="Q2284" t="n">
        <v>0</v>
      </c>
      <c r="R2284" t="n">
        <v>0</v>
      </c>
      <c r="S2284">
        <f>IFERROR(O2284/N2284,0)</f>
        <v/>
      </c>
      <c r="T2284" t="n">
        <v>0</v>
      </c>
      <c r="V2284" t="n">
        <v>0</v>
      </c>
    </row>
    <row r="2285">
      <c r="A2285">
        <f>Skills!A21</f>
        <v/>
      </c>
      <c r="B2285">
        <f>Skills!B21</f>
        <v/>
      </c>
      <c r="C2285">
        <f>Inputs!$B$3&gt;=33</f>
        <v/>
      </c>
      <c r="D2285">
        <f>IF(Skills!C21=1,60+Inputs!$B$25+Inputs!$B$29,IF(Skills!C21=2,90+Inputs!$B$26+Inputs!$B$29,IF(Skills!C21=3,120+Inputs!$B$27+Inputs!$B$29,MAX(0,(Inputs!$B$3-100)*3)+Inputs!$B$28+Inputs!$B$29)))</f>
        <v/>
      </c>
      <c r="E2285">
        <f>INDEX(FactorTable!$B$2:$Y$301, MATCH(ROUND(MIN(300,MAX(1,D2285)),0), FactorTable!$A$2:$A$301,0), Skills!M21+1)</f>
        <v/>
      </c>
      <c r="F2285">
        <f>IF(Skills!N21=TRUE,(Skills!L21/10)*(E2285/1000),Skills!L21/10)+Skills!O21</f>
        <v/>
      </c>
      <c r="G2285">
        <f>Skills!G21*IF(Skills!H21&gt;0,Skills!I21/Skills!H21,1)</f>
        <v/>
      </c>
      <c r="H2285">
        <f>1-(1-Skills!J21/100)^Skills!K21</f>
        <v/>
      </c>
      <c r="I2285" t="inlineStr">
        <is>
          <t>1</t>
        </is>
      </c>
      <c r="J2285" t="inlineStr"/>
      <c r="K2285" t="inlineStr"/>
      <c r="L2285" t="inlineStr"/>
      <c r="M2285" t="inlineStr"/>
      <c r="N2285" t="inlineStr"/>
      <c r="O2285">
        <f>(1-Summary!$B$11)*T2285+Summary!$B$11*V2285</f>
        <v/>
      </c>
      <c r="P2285">
        <f>IF(B2304=0,0,O2285/B2304)</f>
        <v/>
      </c>
      <c r="Q2285" t="n">
        <v>0</v>
      </c>
      <c r="R2285" t="n">
        <v>0</v>
      </c>
      <c r="S2285">
        <f>IFERROR(O2285/N2285,0)</f>
        <v/>
      </c>
      <c r="T2285" t="n">
        <v>0</v>
      </c>
      <c r="V2285" t="n">
        <v>0</v>
      </c>
    </row>
    <row r="2286">
      <c r="A2286">
        <f>Skills!A22</f>
        <v/>
      </c>
      <c r="B2286">
        <f>Skills!B22</f>
        <v/>
      </c>
      <c r="C2286">
        <f>Inputs!$B$3&gt;=43</f>
        <v/>
      </c>
      <c r="D2286">
        <f>IF(Skills!C22=1,60+Inputs!$B$25+Inputs!$B$29,IF(Skills!C22=2,90+Inputs!$B$26+Inputs!$B$29,IF(Skills!C22=3,120+Inputs!$B$27+Inputs!$B$29,MAX(0,(Inputs!$B$3-100)*3)+Inputs!$B$28+Inputs!$B$29)))</f>
        <v/>
      </c>
      <c r="E2286">
        <f>INDEX(FactorTable!$B$2:$Y$301, MATCH(ROUND(MIN(300,MAX(1,D2286)),0), FactorTable!$A$2:$A$301,0), Skills!M22+1)</f>
        <v/>
      </c>
      <c r="F2286">
        <f>IF(Skills!N22=TRUE,(Skills!L22/10)*(E2286/1000),Skills!L22/10)+Skills!O22</f>
        <v/>
      </c>
      <c r="G2286">
        <f>Skills!G22*IF(Skills!H22&gt;0,Skills!I22/Skills!H22,1)</f>
        <v/>
      </c>
      <c r="H2286">
        <f>1-(1-Skills!J22/100)^Skills!K22</f>
        <v/>
      </c>
      <c r="I2286" t="inlineStr">
        <is>
          <t>1</t>
        </is>
      </c>
      <c r="J2286" t="inlineStr"/>
      <c r="K2286" t="inlineStr"/>
      <c r="L2286" t="inlineStr"/>
      <c r="M2286" t="inlineStr"/>
      <c r="N2286" t="inlineStr"/>
      <c r="O2286">
        <f>(1-Summary!$B$11)*T2286+Summary!$B$11*V2286</f>
        <v/>
      </c>
      <c r="P2286">
        <f>IF(B2304=0,0,O2286/B2304)</f>
        <v/>
      </c>
      <c r="Q2286" t="n">
        <v>0</v>
      </c>
      <c r="R2286" t="n">
        <v>0</v>
      </c>
      <c r="S2286">
        <f>IFERROR(O2286/N2286,0)</f>
        <v/>
      </c>
      <c r="T2286" t="n">
        <v>0</v>
      </c>
      <c r="V2286" t="n">
        <v>0</v>
      </c>
    </row>
    <row r="2287">
      <c r="A2287">
        <f>Skills!A23</f>
        <v/>
      </c>
      <c r="B2287">
        <f>Skills!B23</f>
        <v/>
      </c>
      <c r="C2287">
        <f>Inputs!$B$3&gt;=38</f>
        <v/>
      </c>
      <c r="D2287">
        <f>IF(Skills!C23=1,60+Inputs!$B$25+Inputs!$B$29,IF(Skills!C23=2,90+Inputs!$B$26+Inputs!$B$29,IF(Skills!C23=3,120+Inputs!$B$27+Inputs!$B$29,MAX(0,(Inputs!$B$3-100)*3)+Inputs!$B$28+Inputs!$B$29)))</f>
        <v/>
      </c>
      <c r="E2287">
        <f>INDEX(FactorTable!$B$2:$Y$301, MATCH(ROUND(MIN(300,MAX(1,D2287)),0), FactorTable!$A$2:$A$301,0), Skills!M23+1)</f>
        <v/>
      </c>
      <c r="F2287">
        <f>IF(Skills!N23=TRUE,(Skills!L23/10)*(E2287/1000),Skills!L23/10)+Skills!O23</f>
        <v/>
      </c>
      <c r="G2287">
        <f>Skills!G23*IF(Skills!H23&gt;0,Skills!I23/Skills!H23,1)</f>
        <v/>
      </c>
      <c r="H2287">
        <f>1-(1-Skills!J23/100)^Skills!K23</f>
        <v/>
      </c>
      <c r="I2287" t="inlineStr">
        <is>
          <t>1</t>
        </is>
      </c>
      <c r="J2287" t="inlineStr"/>
      <c r="K2287" t="inlineStr"/>
      <c r="L2287" t="inlineStr"/>
      <c r="M2287" t="inlineStr"/>
      <c r="N2287" t="inlineStr"/>
      <c r="O2287">
        <f>(1-Summary!$B$11)*T2287+Summary!$B$11*V2287</f>
        <v/>
      </c>
      <c r="P2287">
        <f>IF(B2304=0,0,O2287/B2304)</f>
        <v/>
      </c>
      <c r="Q2287" t="n">
        <v>0</v>
      </c>
      <c r="R2287" t="n">
        <v>0</v>
      </c>
      <c r="S2287">
        <f>IFERROR(O2287/N2287,0)</f>
        <v/>
      </c>
      <c r="T2287" t="n">
        <v>0</v>
      </c>
      <c r="V2287" t="n">
        <v>0</v>
      </c>
    </row>
    <row r="2288">
      <c r="A2288">
        <f>Skills!A24</f>
        <v/>
      </c>
      <c r="B2288">
        <f>Skills!B24</f>
        <v/>
      </c>
      <c r="C2288">
        <f>Inputs!$B$3&gt;=40</f>
        <v/>
      </c>
      <c r="D2288">
        <f>IF(Skills!C24=1,60+Inputs!$B$25+Inputs!$B$29,IF(Skills!C24=2,90+Inputs!$B$26+Inputs!$B$29,IF(Skills!C24=3,120+Inputs!$B$27+Inputs!$B$29,MAX(0,(Inputs!$B$3-100)*3)+Inputs!$B$28+Inputs!$B$29)))</f>
        <v/>
      </c>
      <c r="E2288">
        <f>INDEX(FactorTable!$B$2:$Y$301, MATCH(ROUND(MIN(300,MAX(1,D2288)),0), FactorTable!$A$2:$A$301,0), Skills!M24+1)</f>
        <v/>
      </c>
      <c r="F2288">
        <f>IF(Skills!N24=TRUE,(Skills!L24/10)*(E2288/1000),Skills!L24/10)+Skills!O24</f>
        <v/>
      </c>
      <c r="G2288">
        <f>Skills!G24*IF(Skills!H24&gt;0,Skills!I24/Skills!H24,1)</f>
        <v/>
      </c>
      <c r="H2288">
        <f>1-(1-Skills!J24/100)^Skills!K24</f>
        <v/>
      </c>
      <c r="I2288" t="inlineStr">
        <is>
          <t>1</t>
        </is>
      </c>
      <c r="J2288" t="inlineStr"/>
      <c r="K2288" t="inlineStr"/>
      <c r="L2288" t="inlineStr"/>
      <c r="M2288" t="inlineStr"/>
      <c r="N2288" t="inlineStr"/>
      <c r="O2288">
        <f>(1-Summary!$B$11)*T2288+Summary!$B$11*V2288</f>
        <v/>
      </c>
      <c r="P2288">
        <f>IF(B2304=0,0,O2288/B2304)</f>
        <v/>
      </c>
      <c r="Q2288" t="n">
        <v>0</v>
      </c>
      <c r="R2288" t="n">
        <v>0</v>
      </c>
      <c r="S2288">
        <f>IFERROR(O2288/N2288,0)</f>
        <v/>
      </c>
      <c r="T2288" t="n">
        <v>0</v>
      </c>
      <c r="V2288" t="n">
        <v>0</v>
      </c>
    </row>
    <row r="2289">
      <c r="A2289">
        <f>Skills!A25</f>
        <v/>
      </c>
      <c r="B2289">
        <f>Skills!B25</f>
        <v/>
      </c>
      <c r="C2289">
        <f>Inputs!$B$3&gt;=72</f>
        <v/>
      </c>
      <c r="D2289">
        <f>IF(Skills!C25=1,60+Inputs!$B$25+Inputs!$B$29,IF(Skills!C25=2,90+Inputs!$B$26+Inputs!$B$29,IF(Skills!C25=3,120+Inputs!$B$27+Inputs!$B$29,MAX(0,(Inputs!$B$3-100)*3)+Inputs!$B$28+Inputs!$B$29)))</f>
        <v/>
      </c>
      <c r="E2289">
        <f>INDEX(FactorTable!$B$2:$Y$301, MATCH(ROUND(MIN(300,MAX(1,D2289)),0), FactorTable!$A$2:$A$301,0), Skills!M25+1)</f>
        <v/>
      </c>
      <c r="F2289">
        <f>IF(Skills!N25=TRUE,(Skills!L25/10)*(E2289/1000),Skills!L25/10)+Skills!O25</f>
        <v/>
      </c>
      <c r="G2289">
        <f>Skills!G25*IF(Skills!H25&gt;0,Skills!I25/Skills!H25,1)</f>
        <v/>
      </c>
      <c r="H2289">
        <f>1-(1-Skills!J25/100)^Skills!K25</f>
        <v/>
      </c>
      <c r="I2289" t="inlineStr">
        <is>
          <t>1</t>
        </is>
      </c>
      <c r="J2289" t="inlineStr"/>
      <c r="K2289" t="inlineStr"/>
      <c r="L2289" t="inlineStr"/>
      <c r="M2289" t="inlineStr"/>
      <c r="N2289" t="inlineStr"/>
      <c r="O2289">
        <f>(1-Summary!$B$11)*T2289+Summary!$B$11*V2289</f>
        <v/>
      </c>
      <c r="P2289">
        <f>IF(B2304=0,0,O2289/B2304)</f>
        <v/>
      </c>
      <c r="Q2289" t="n">
        <v>0</v>
      </c>
      <c r="R2289" t="n">
        <v>0</v>
      </c>
      <c r="S2289">
        <f>IFERROR(O2289/N2289,0)</f>
        <v/>
      </c>
      <c r="T2289" t="n">
        <v>0</v>
      </c>
      <c r="V2289" t="n">
        <v>0</v>
      </c>
    </row>
    <row r="2290">
      <c r="A2290">
        <f>Skills!A26</f>
        <v/>
      </c>
      <c r="B2290">
        <f>Skills!B26</f>
        <v/>
      </c>
      <c r="C2290">
        <f>Inputs!$B$3&gt;=75</f>
        <v/>
      </c>
      <c r="D2290">
        <f>IF(Skills!C26=1,60+Inputs!$B$25+Inputs!$B$29,IF(Skills!C26=2,90+Inputs!$B$26+Inputs!$B$29,IF(Skills!C26=3,120+Inputs!$B$27+Inputs!$B$29,MAX(0,(Inputs!$B$3-100)*3)+Inputs!$B$28+Inputs!$B$29)))</f>
        <v/>
      </c>
      <c r="E2290">
        <f>INDEX(FactorTable!$B$2:$Y$301, MATCH(ROUND(MIN(300,MAX(1,D2290)),0), FactorTable!$A$2:$A$301,0), Skills!M26+1)</f>
        <v/>
      </c>
      <c r="F2290">
        <f>IF(Skills!N26=TRUE,(Skills!L26/10)*(E2290/1000),Skills!L26/10)+Skills!O26</f>
        <v/>
      </c>
      <c r="G2290">
        <f>Skills!G26*IF(Skills!H26&gt;0,Skills!I26/Skills!H26,1)</f>
        <v/>
      </c>
      <c r="H2290">
        <f>1-(1-Skills!J26/100)^Skills!K26</f>
        <v/>
      </c>
      <c r="I2290" t="inlineStr">
        <is>
          <t>1</t>
        </is>
      </c>
      <c r="J2290" t="inlineStr"/>
      <c r="K2290" t="inlineStr"/>
      <c r="L2290" t="inlineStr"/>
      <c r="M2290" t="inlineStr"/>
      <c r="N2290" t="inlineStr"/>
      <c r="O2290">
        <f>(1-Summary!$B$11)*T2290+Summary!$B$11*V2290</f>
        <v/>
      </c>
      <c r="P2290">
        <f>IF(B2304=0,0,O2290/B2304)</f>
        <v/>
      </c>
      <c r="Q2290" t="n">
        <v>0</v>
      </c>
      <c r="R2290" t="n">
        <v>0</v>
      </c>
      <c r="S2290">
        <f>IFERROR(O2290/N2290,0)</f>
        <v/>
      </c>
      <c r="T2290" t="n">
        <v>0</v>
      </c>
      <c r="V2290" t="n">
        <v>0</v>
      </c>
    </row>
    <row r="2291">
      <c r="A2291">
        <f>Skills!A27</f>
        <v/>
      </c>
      <c r="B2291">
        <f>Skills!B27</f>
        <v/>
      </c>
      <c r="C2291">
        <f>Inputs!$B$3&gt;=117</f>
        <v/>
      </c>
      <c r="D2291">
        <f>IF(Skills!C27=1,60+Inputs!$B$25+Inputs!$B$29,IF(Skills!C27=2,90+Inputs!$B$26+Inputs!$B$29,IF(Skills!C27=3,120+Inputs!$B$27+Inputs!$B$29,MAX(0,(Inputs!$B$3-100)*3)+Inputs!$B$28+Inputs!$B$29)))</f>
        <v/>
      </c>
      <c r="E2291">
        <f>INDEX(FactorTable!$B$2:$Y$301, MATCH(ROUND(MIN(300,MAX(1,D2291)),0), FactorTable!$A$2:$A$301,0), Skills!M27+1)</f>
        <v/>
      </c>
      <c r="F2291">
        <f>IF(Skills!N27=TRUE,(Skills!L27/10)*(E2291/1000),Skills!L27/10)+Skills!O27</f>
        <v/>
      </c>
      <c r="G2291">
        <f>Skills!G27*IF(Skills!H27&gt;0,Skills!I27/Skills!H27,1)</f>
        <v/>
      </c>
      <c r="H2291">
        <f>1-(1-Skills!J27/100)^Skills!K27</f>
        <v/>
      </c>
      <c r="I2291" t="inlineStr">
        <is>
          <t>1</t>
        </is>
      </c>
      <c r="J2291" t="inlineStr"/>
      <c r="K2291" t="inlineStr"/>
      <c r="L2291" t="inlineStr"/>
      <c r="M2291" t="inlineStr"/>
      <c r="N2291" t="inlineStr"/>
      <c r="O2291">
        <f>(1-Summary!$B$11)*T2291+Summary!$B$11*V2291</f>
        <v/>
      </c>
      <c r="P2291">
        <f>IF(B2304=0,0,O2291/B2304)</f>
        <v/>
      </c>
      <c r="Q2291" t="n">
        <v>0</v>
      </c>
      <c r="R2291" t="n">
        <v>0</v>
      </c>
      <c r="S2291">
        <f>IFERROR(O2291/N2291,0)</f>
        <v/>
      </c>
      <c r="T2291" t="n">
        <v>0</v>
      </c>
      <c r="V2291" t="n">
        <v>0</v>
      </c>
    </row>
    <row r="2293">
      <c r="A2293" t="inlineStr">
        <is>
          <t>Attack% Bucket Multiplier</t>
        </is>
      </c>
      <c r="B2293">
        <f>(1+(((C2281=TRUE)*F2281)+((C2288=TRUE)*(F2288-Calc!F24))+(IF(ArtifactsInput!$M$21,CHOOSE(ArtifactsInput!$N$21+1,25,30,35,40,45,50)*(IF(OR(Inputs!$B$4="Chapter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94">
      <c r="A2294" t="inlineStr">
        <is>
          <t>Global Crit Rate Bonus %</t>
        </is>
      </c>
      <c r="B2294" t="n">
        <v>0</v>
      </c>
    </row>
    <row r="2295">
      <c r="A2295" t="inlineStr">
        <is>
          <t>Attack Speed Buff Bonus % (unused)</t>
        </is>
      </c>
      <c r="B2295" t="n">
        <v>0</v>
      </c>
    </row>
    <row r="2296">
      <c r="A2296" t="inlineStr">
        <is>
          <t>Actions Per Second</t>
        </is>
      </c>
      <c r="B2296">
        <f>1+MIN(150,150*(1-(1-(Inputs!$B$11+((C2284=TRUE)*(F2284-Calc!F20))+((C2285=TRUE)*(F2285-Calc!F21)))/150)*(1-B2295/150)))/100</f>
        <v/>
      </c>
    </row>
    <row r="2297">
      <c r="A2297" t="inlineStr">
        <is>
          <t>Skill + Buff Cast Rate</t>
        </is>
      </c>
      <c r="B2297">
        <f>IF(AND(Inputs!$B$38&lt;&gt;"pvp",Inputs!$B$43&gt;0),SUMPRODUCT((Skills!E2:E27=TRUE)*(C2266:C2291=TRUE)*R2266:R2291*Skills!F2:F27)/Inputs!$B$43,SUMPRODUCT((Skills!E2:E27=TRUE)*(C2266:C2291=TRUE)*Q2266:Q2291*Skills!F2:F27))</f>
        <v/>
      </c>
    </row>
    <row r="2298">
      <c r="A2298" t="inlineStr">
        <is>
          <t>Eight-Legs Easton Casts Per Second</t>
        </is>
      </c>
      <c r="B2298">
        <f>MAX(0,B2296-B2297)</f>
        <v/>
      </c>
    </row>
    <row r="2299">
      <c r="A2299" t="inlineStr">
        <is>
          <t>Global Critical Damage Bonus % (unused)</t>
        </is>
      </c>
      <c r="B2299" t="n">
        <v>0</v>
      </c>
    </row>
    <row r="2300">
      <c r="A2300" t="inlineStr">
        <is>
          <t>Global Final Damage Bonus % (Jolly Roger only)</t>
        </is>
      </c>
      <c r="B2300">
        <f>((C2282=TRUE)*F2282)</f>
        <v/>
      </c>
    </row>
    <row r="2301">
      <c r="A2301" t="inlineStr">
        <is>
          <t>Buff-Casting Startup Delay (s, fixed-duration only)</t>
        </is>
      </c>
      <c r="B2301">
        <f>IF(AND(Inputs!$B$38&lt;&gt;"pvp",Inputs!$B$43&gt;0),SUMPRODUCT((Skills!T2:T27&gt;0)*(Skills!E2:E27=TRUE)*(C2266:C2291=TRUE))/B2296,0)</f>
        <v/>
      </c>
    </row>
    <row r="2302">
      <c r="A2302" t="inlineStr">
        <is>
          <t>Boss-Only Total DPS (this block's swept value)</t>
        </is>
      </c>
      <c r="B2302">
        <f>SUM(T2266:T2291)</f>
        <v/>
      </c>
    </row>
    <row r="2303">
      <c r="A2303" t="inlineStr">
        <is>
          <t>Normal-Only Total DPS (this block's swept value)</t>
        </is>
      </c>
      <c r="B2303">
        <f>SUM(V2266:V2291)</f>
        <v/>
      </c>
    </row>
    <row r="2304">
      <c r="A2304" s="6" t="inlineStr">
        <is>
          <t>TOTAL DPS</t>
        </is>
      </c>
      <c r="B2304" s="6">
        <f>SUM(O2266:O2291)</f>
        <v/>
      </c>
    </row>
    <row r="2307">
      <c r="A2307" s="6" t="inlineStr">
        <is>
          <t>Stat: Sayram's Necklace (Equip)</t>
        </is>
      </c>
    </row>
    <row r="2308">
      <c r="A2308" s="5" t="inlineStr">
        <is>
          <t>Key</t>
        </is>
      </c>
      <c r="B2308" s="5" t="inlineStr">
        <is>
          <t>Name</t>
        </is>
      </c>
      <c r="C2308" s="5" t="inlineStr">
        <is>
          <t>Unlocked</t>
        </is>
      </c>
      <c r="D2308" s="5" t="inlineStr">
        <is>
          <t>InputLevel</t>
        </is>
      </c>
      <c r="E2308" s="5" t="inlineStr">
        <is>
          <t>Factor</t>
        </is>
      </c>
      <c r="F2308" s="5" t="inlineStr">
        <is>
          <t>CoefficientPercent</t>
        </is>
      </c>
      <c r="G2308" s="5" t="inlineStr">
        <is>
          <t>EffectiveHits</t>
        </is>
      </c>
      <c r="H2308" s="5" t="inlineStr">
        <is>
          <t>ProcProbability</t>
        </is>
      </c>
      <c r="I2308" s="5" t="inlineStr">
        <is>
          <t>MapleHeroMultiplier</t>
        </is>
      </c>
      <c r="J2308" s="5" t="inlineStr">
        <is>
          <t>BaseDamage</t>
        </is>
      </c>
      <c r="K2308" s="5" t="inlineStr">
        <is>
          <t>BaseHitDamage</t>
        </is>
      </c>
      <c r="L2308" s="5" t="inlineStr">
        <is>
          <t>NonCritAvg</t>
        </is>
      </c>
      <c r="M2308" s="5" t="inlineStr">
        <is>
          <t>CritAvg</t>
        </is>
      </c>
      <c r="N2308" s="5" t="inlineStr">
        <is>
          <t>ExpectedDamage(perHit)</t>
        </is>
      </c>
      <c r="O2308" s="5" t="inlineStr">
        <is>
          <t>DPS</t>
        </is>
      </c>
      <c r="P2308" s="5" t="inlineStr">
        <is>
          <t>% of Total</t>
        </is>
      </c>
      <c r="Q2308" s="5" t="inlineStr">
        <is>
          <t>InvCooldown</t>
        </is>
      </c>
      <c r="R2308" s="5" t="inlineStr">
        <is>
          <t>CastsInFight</t>
        </is>
      </c>
      <c r="S2308" s="5" t="inlineStr">
        <is>
          <t>HitRate(perSec)</t>
        </is>
      </c>
      <c r="U2308" t="inlineStr">
        <is>
          <t>helpers</t>
        </is>
      </c>
    </row>
    <row r="2309">
      <c r="A2309">
        <f>Skills!A2</f>
        <v/>
      </c>
      <c r="B2309">
        <f>Skills!B2</f>
        <v/>
      </c>
      <c r="C2309">
        <f>Inputs!$B$3&gt;=100</f>
        <v/>
      </c>
      <c r="D2309" t="inlineStr"/>
      <c r="E2309" t="inlineStr"/>
      <c r="F2309">
        <f>U2311+Skills!O2</f>
        <v/>
      </c>
      <c r="G2309">
        <f>Skills!G2*IF(Skills!H2&gt;0,Skills!I2/Skills!H2,1)</f>
        <v/>
      </c>
      <c r="H2309">
        <f>1-(1-Skills!J2/100)^Skills!K2</f>
        <v/>
      </c>
      <c r="I2309" t="inlineStr">
        <is>
          <t>1</t>
        </is>
      </c>
      <c r="J2309">
        <f>((Inputs!$B$6*(1+Inputs!$B$7/100))+(((Inputs!$B$12*(1+Inputs!$B$13/100))-(Inputs!$B$12*(1+Inputs!$B$13/100)))+0.25*(Inputs!$B$14-Inputs!$B$14))*(1+Inputs!$B$7/100))*(F2309/100)</f>
        <v/>
      </c>
      <c r="K2309">
        <f>J2309*(1+((Inputs!$B$12*(1+Inputs!$B$13/100))*0.01+Inputs!$B$14*0.0025)/100)*(1+Inputs!$B$15/100)*(1+Inputs!$B$16/100)*(5000/(6000+Inputs!$B$42*(1-(100*(1-(1-(Inputs!$B$19+0)/100)*(1-CHOOSE(ArtifactsInput!$N$40+1,5,6,7,8,9,10)/100)^(ArtifactsInput!$M$40-ArtifactsInput!$M$40)))/100)))*(1+(Inputs!$B$24+((C2333=TRUE)*(F2333-Calc!F26))+B2343)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2330=TRUE)*(F2330-Calc!F23))+((C2334=TRUE)*(F2334-Calc!F27))+(((IF(AND(ArtifactsInput!$M$42,((Inputs!$B$9+((C2326=TRUE)*(F2326-Calc!F19))+B2337+(ArtifactsInput!$M$24-ArtifactsInput!$M$24)*CHOOSE(ArtifactsInput!$N$24+1,10,12,14,16,18,20)+IF(ArtifactsInput!$M$10,CHOOSE(ArtifactsInput!$N$10+1,15,18,21,24,27,30)*(IF(Inputs!$B$38="pvp",MIN(15,15)/15,IF(AND(Inputs!$B$38&lt;&gt;"pvp",Inputs!$B$43&gt;0),MIN(15,Inputs!$B$43)/(Inputs!$B$43),0))),0)))&gt;=100),MIN(100,((Inputs!$B$9+((C2326=TRUE)*(F2326-Calc!F19))+B2337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2326=TRUE)*(F2326-Calc!F19))+B2337+(ArtifactsInput!$M$24-ArtifactsInput!$M$24)*CHOOSE(ArtifactsInput!$N$24+1,10,12,14,16,18,20)+IF(ArtifactsInput!$M$10,CHOOSE(ArtifactsInput!$N$10+1,15,18,21,24,27,30)*(IF(Inputs!$B$38="pvp",MIN(15,15)/15,IF(AND(Inputs!$B$38&lt;&gt;"pvp",Inputs!$B$43&gt;0),MIN(15,Inputs!$B$43)/(Inputs!$B$43),0))),0)))&gt;=100),CHOOSE(ArtifactsInput!$N$42+1,40,48,56,64,72,80),0))))/100)*((1+(((C2324=TRUE)*F2324)+((C2331=TRUE)*(F2331-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2309)</f>
        <v/>
      </c>
      <c r="L2309">
        <f>K2309*(MIN(Inputs!$B$22+((C2329=TRUE)*(F2329-Calc!F22)),(Inputs!$B$23+0+(IF(ArtifactsInput!$M$15,CHOOSE(ArtifactsInput!$N$15+1,25,30,35,40,45,50)/100*(Inputs!$B$11-Inputs!$B$11),0))))/100+(Inputs!$B$23+0+(IF(ArtifactsInput!$M$15,CHOOSE(ArtifactsInput!$N$15+1,25,30,35,40,45,50)/100*(Inputs!$B$11-Inputs!$B$11),0)))/100)/2</f>
        <v/>
      </c>
      <c r="M2309">
        <f>L2309*(1+(Inputs!$B$10+((C2332=TRUE)*(F2332-Calc!F25))+B2342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9">
        <f>L2309*(1-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2309*(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9">
        <f>(1-Summary!$B$11)*T2309+Summary!$B$11*V2309</f>
        <v/>
      </c>
      <c r="P2309">
        <f>IF(B2347=0,0,O2309/B2347)</f>
        <v/>
      </c>
      <c r="Q2309" t="n">
        <v>0</v>
      </c>
      <c r="R2309" t="n">
        <v>0</v>
      </c>
      <c r="S2309">
        <f>IFERROR(O2309/N2309,0)</f>
        <v/>
      </c>
      <c r="T2309">
        <f>IF(C2309,(Skills!G2*N2309*B2341)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2309*(1-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2309*(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2309*(1-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2309*(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09">
        <f>MAX(0,(Inputs!$B$3-100)*3)+Inputs!$B$28+Inputs!$B$29</f>
        <v/>
      </c>
      <c r="V2309">
        <f>IF(C2309,(Skills!G2*N2309*B2341)*IF(Inputs!$B$38="pvp",1,(1+(Inputs!$B$21+Skills!Q2+(IF(IF(ArtifactsInput!$M$33,FALSE,TRUE),CHOOSE(ArtifactsInput!$N$33+1,30,36,42,48,54,60),0))+(IF(AND(ArtifactsInput!$M$35,Inputs!$B$4&lt;&gt;"Chapter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0">
      <c r="A2310">
        <f>Skills!A3</f>
        <v/>
      </c>
      <c r="B2310">
        <f>Skills!B3</f>
        <v/>
      </c>
      <c r="C2310">
        <f>Inputs!$B$3&gt;=35</f>
        <v/>
      </c>
      <c r="D2310">
        <f>IF(Skills!C3=1,60+Inputs!$B$25+Inputs!$B$29,IF(Skills!C3=2,90+Inputs!$B$26+Inputs!$B$29,IF(Skills!C3=3,120+Inputs!$B$27+Inputs!$B$29,MAX(0,(Inputs!$B$3-100)*3)+Inputs!$B$28+Inputs!$B$29)))</f>
        <v/>
      </c>
      <c r="E2310">
        <f>INDEX(FactorTable!$B$2:$Y$301, MATCH(ROUND(MIN(300,MAX(1,D2310)),0), FactorTable!$A$2:$A$301,0), Skills!M3+1)</f>
        <v/>
      </c>
      <c r="F2310">
        <f>IF(Skills!N3=TRUE,(Skills!L3/10)*(E2310/1000),Skills!L3/10)+Skills!O3</f>
        <v/>
      </c>
      <c r="G2310">
        <f>Skills!G3*IF(Skills!H3&gt;0,Skills!I3/Skills!H3,1)</f>
        <v/>
      </c>
      <c r="H2310">
        <f>1-(1-Skills!J3/100)^Skills!K3</f>
        <v/>
      </c>
      <c r="I2310" t="inlineStr">
        <is>
          <t>1</t>
        </is>
      </c>
      <c r="J2310">
        <f>((Inputs!$B$6*(1+Inputs!$B$7/100))+(((Inputs!$B$12*(1+Inputs!$B$13/100))-(Inputs!$B$12*(1+Inputs!$B$13/100)))+0.25*(Inputs!$B$14-Inputs!$B$14))*(1+Inputs!$B$7/100))*(F2310/100)</f>
        <v/>
      </c>
      <c r="K2310">
        <f>J2310*(1+((Inputs!$B$12*(1+Inputs!$B$13/100))*0.01+Inputs!$B$14*0.0025)/100)*(1+Inputs!$B$15/100)*(1+Inputs!$B$16/100)*(5000/(6000+Inputs!$B$42*(1-(100*(1-(1-(Inputs!$B$19+0)/100)*(1-CHOOSE(ArtifactsInput!$N$40+1,5,6,7,8,9,10)/100)^(ArtifactsInput!$M$40-ArtifactsInput!$M$40)))/100)))*(1+(Inputs!$B$24+((C2333=TRUE)*(F2333-Calc!F26))+B2343)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2322=TRUE,F2322,0)/100)*(1+(IF(Skills!A3="EIGHT_LEGS_EASTON",Inputs!$B$17+((C2330=TRUE)*(F2330-Calc!F23))+((C2334=TRUE)*(F2334-Calc!F27))+(((IF(AND(ArtifactsInput!$M$42,((Inputs!$B$9+((C2326=TRUE)*(F2326-Calc!F19))+B2337+(ArtifactsInput!$M$24-ArtifactsInput!$M$24)*CHOOSE(ArtifactsInput!$N$24+1,10,12,14,16,18,20)+IF(ArtifactsInput!$M$10,CHOOSE(ArtifactsInput!$N$10+1,15,18,21,24,27,30)*(IF(Inputs!$B$38="pvp",MIN(15,15)/15,IF(AND(Inputs!$B$38&lt;&gt;"pvp",Inputs!$B$43&gt;0),MIN(15,Inputs!$B$43)/(Inputs!$B$43),0))),0)))&gt;=100),MIN(100,((Inputs!$B$9+((C2326=TRUE)*(F2326-Calc!F19))+B2337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2326=TRUE)*(F2326-Calc!F19))+B2337+(ArtifactsInput!$M$24-ArtifactsInput!$M$24)*CHOOSE(ArtifactsInput!$N$24+1,10,12,14,16,18,20)+IF(ArtifactsInput!$M$10,CHOOSE(ArtifactsInput!$N$10+1,15,18,21,24,27,30)*(IF(Inputs!$B$38="pvp",MIN(15,15)/15,IF(AND(Inputs!$B$38&lt;&gt;"pvp",Inputs!$B$43&gt;0),MIN(15,Inputs!$B$43)/(Inputs!$B$43),0))),0)))&gt;=100),CHOOSE(ArtifactsInput!$N$42+1,40,48,56,64,72,80),0))))/100)*((1+(((C2324=TRUE)*F2324)+((C2331=TRUE)*(F2331-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2310)</f>
        <v/>
      </c>
      <c r="L2310">
        <f>K2310*(MIN(Inputs!$B$22+((C2329=TRUE)*(F2329-Calc!F22)),(Inputs!$B$23+0+(IF(ArtifactsInput!$M$15,CHOOSE(ArtifactsInput!$N$15+1,25,30,35,40,45,50)/100*(Inputs!$B$11-Inputs!$B$11),0))))/100+(Inputs!$B$23+0+(IF(ArtifactsInput!$M$15,CHOOSE(ArtifactsInput!$N$15+1,25,30,35,40,45,50)/100*(Inputs!$B$11-Inputs!$B$11),0)))/100)/2</f>
        <v/>
      </c>
      <c r="M2310">
        <f>L2310*(1+(Inputs!$B$10+((C2332=TRUE)*(F2332-Calc!F25))+B2342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0">
        <f>L2310*(1-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2310*(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0">
        <f>(1-Summary!$B$11)*T2310+Summary!$B$11*V2310</f>
        <v/>
      </c>
      <c r="P2310">
        <f>IF(B2347=0,0,O2310/B2347)</f>
        <v/>
      </c>
      <c r="Q2310">
        <f>IFERROR(1/(IF(Inputs!$B$38="pvp",15,MAX(0.1,Skills!D3-IF(Skills!E3=TRUE,Inputs!$B$32,0)))*(1-IF(AND(ArtifactsInput!$M$27,Inputs!$B$4="Chapter Hunt"),CHOOSE(ArtifactsInput!$N$27+1,20,24,28,32,36,40),0)/100)),0)</f>
        <v/>
      </c>
      <c r="R2310">
        <f>IF(AND(Inputs!$B$38&lt;&gt;"pvp",Inputs!$B$43&gt;0),IF(MAX(0,Inputs!$B$43-B2344)&lt;=0,0,(INT(MAX(0,Inputs!$B$43-B2344)/(IF(Inputs!$B$38="pvp",15,MAX(0.1,Skills!D3-IF(Skills!E3=TRUE,Inputs!$B$32,0)))*(1-IF(AND(ArtifactsInput!$M$27,Inputs!$B$4="Chapter Hunt"),CHOOSE(ArtifactsInput!$N$27+1,20,24,28,32,36,40),0)/100)))+1)),0)</f>
        <v/>
      </c>
      <c r="S2310">
        <f>IFERROR(O2310/N2310,0)</f>
        <v/>
      </c>
      <c r="T2310">
        <f>IF(C2310,(H2310*N2310*IF(AND(Inputs!$B$38&lt;&gt;"pvp",Inputs!$B$43&gt;0),((Skills!G3*((R2310-1)*IF(Skills!H3&gt;0,Skills!I3/Skills!H3,1)+IF(Skills!H3&gt;0,MIN(Skills!I3,MAX(0,MAX(0,Inputs!$B$43-B2344)-((R2310-1)*(IF(Inputs!$B$38="pvp",15,MAX(0.1,Skills!D3-IF(Skills!E3=TRUE,Inputs!$B$32,0)))*(1-IF(AND(ArtifactsInput!$M$27,Inputs!$B$4="Chapter Hunt"),CHOOSE(ArtifactsInput!$N$27+1,20,24,28,32,36,40),0)/100)))))/Skills!H3,1)))/Inputs!$B$43),G2310*Q2310)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2310*(1-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2310*(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2310*(1-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2310*(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0">
        <f>INDEX(FactorTable!$B$2:$Y$301, MATCH(ROUND(MIN(300,MAX(1,U2309)),0), FactorTable!$A$2:$A$301,0), 22)</f>
        <v/>
      </c>
      <c r="V2310">
        <f>IF(C2310,(H2310*N2310*IF(AND(Inputs!$B$38&lt;&gt;"pvp",Inputs!$B$43&gt;0),((Skills!G3*((R2310-1)*IF(Skills!H3&gt;0,Skills!I3/Skills!H3,1)+IF(Skills!H3&gt;0,MIN(Skills!I3,MAX(0,MAX(0,Inputs!$B$43-B2344)-((R2310-1)*(IF(Inputs!$B$38="pvp",15,MAX(0.1,Skills!D3-IF(Skills!E3=TRUE,Inputs!$B$32,0)))*(1-IF(AND(ArtifactsInput!$M$27,Inputs!$B$4="Chapter Hunt"),CHOOSE(ArtifactsInput!$N$27+1,20,24,28,32,36,40),0)/100)))))/Skills!H3,1)))/Inputs!$B$43),G2310*Q2310))*IF(Inputs!$B$38="pvp",1,(1+(Inputs!$B$21+Skills!Q3+(IF(IF(ArtifactsInput!$M$33,FALSE,TRUE),CHOOSE(ArtifactsInput!$N$33+1,30,36,42,48,54,60)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1">
      <c r="A2311">
        <f>Skills!A4</f>
        <v/>
      </c>
      <c r="B2311">
        <f>Skills!B4</f>
        <v/>
      </c>
      <c r="C2311">
        <f>Inputs!$B$3&gt;=40</f>
        <v/>
      </c>
      <c r="D2311">
        <f>IF(Skills!C4=1,60+Inputs!$B$25+Inputs!$B$29,IF(Skills!C4=2,90+Inputs!$B$26+Inputs!$B$29,IF(Skills!C4=3,120+Inputs!$B$27+Inputs!$B$29,MAX(0,(Inputs!$B$3-100)*3)+Inputs!$B$28+Inputs!$B$29)))</f>
        <v/>
      </c>
      <c r="E2311">
        <f>INDEX(FactorTable!$B$2:$Y$301, MATCH(ROUND(MIN(300,MAX(1,D2311)),0), FactorTable!$A$2:$A$301,0), Skills!M4+1)</f>
        <v/>
      </c>
      <c r="F2311">
        <f>IF(Skills!N4=TRUE,(Skills!L4/10)*(E2311/1000),Skills!L4/10)+Skills!O4</f>
        <v/>
      </c>
      <c r="G2311">
        <f>Skills!G4*IF(Skills!H4&gt;0,Skills!I4/Skills!H4,1)</f>
        <v/>
      </c>
      <c r="H2311">
        <f>1-(1-Skills!J4/100)^Skills!K4</f>
        <v/>
      </c>
      <c r="I2311" t="inlineStr">
        <is>
          <t>1</t>
        </is>
      </c>
      <c r="J2311">
        <f>((Inputs!$B$6*(1+Inputs!$B$7/100))+(((Inputs!$B$12*(1+Inputs!$B$13/100))-(Inputs!$B$12*(1+Inputs!$B$13/100)))+0.25*(Inputs!$B$14-Inputs!$B$14))*(1+Inputs!$B$7/100))*(F2311/100)</f>
        <v/>
      </c>
      <c r="K2311">
        <f>J2311*(1+((Inputs!$B$12*(1+Inputs!$B$13/100))*0.01+Inputs!$B$14*0.0025)/100)*(1+Inputs!$B$15/100)*(1+Inputs!$B$16/100)*(5000/(6000+Inputs!$B$42*(1-(100*(1-(1-(Inputs!$B$19+0)/100)*(1-CHOOSE(ArtifactsInput!$N$40+1,5,6,7,8,9,10)/100)^(ArtifactsInput!$M$40-ArtifactsInput!$M$40)))/100)))*(1+(Inputs!$B$24+((C2333=TRUE)*(F2333-Calc!F26))+B2343)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2323=TRUE,F2323,0)/100)*(1+(IF(Skills!A4="EIGHT_LEGS_EASTON",Inputs!$B$17+((C2330=TRUE)*(F2330-Calc!F23))+((C2334=TRUE)*(F2334-Calc!F27))+(((IF(AND(ArtifactsInput!$M$42,((Inputs!$B$9+((C2326=TRUE)*(F2326-Calc!F19))+B2337+(ArtifactsInput!$M$24-ArtifactsInput!$M$24)*CHOOSE(ArtifactsInput!$N$24+1,10,12,14,16,18,20)+IF(ArtifactsInput!$M$10,CHOOSE(ArtifactsInput!$N$10+1,15,18,21,24,27,30)*(IF(Inputs!$B$38="pvp",MIN(15,15)/15,IF(AND(Inputs!$B$38&lt;&gt;"pvp",Inputs!$B$43&gt;0),MIN(15,Inputs!$B$43)/(Inputs!$B$43),0))),0)))&gt;=100),MIN(100,((Inputs!$B$9+((C2326=TRUE)*(F2326-Calc!F19))+B2337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2326=TRUE)*(F2326-Calc!F19))+B2337+(ArtifactsInput!$M$24-ArtifactsInput!$M$24)*CHOOSE(ArtifactsInput!$N$24+1,10,12,14,16,18,20)+IF(ArtifactsInput!$M$10,CHOOSE(ArtifactsInput!$N$10+1,15,18,21,24,27,30)*(IF(Inputs!$B$38="pvp",MIN(15,15)/15,IF(AND(Inputs!$B$38&lt;&gt;"pvp",Inputs!$B$43&gt;0),MIN(15,Inputs!$B$43)/(Inputs!$B$43),0))),0)))&gt;=100),CHOOSE(ArtifactsInput!$N$42+1,40,48,56,64,72,80),0))))/100)*((1+(((C2324=TRUE)*F2324)+((C2331=TRUE)*(F2331-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2311)</f>
        <v/>
      </c>
      <c r="L2311">
        <f>K2311*(MIN(Inputs!$B$22+((C2329=TRUE)*(F2329-Calc!F22)),(Inputs!$B$23+0+(IF(ArtifactsInput!$M$15,CHOOSE(ArtifactsInput!$N$15+1,25,30,35,40,45,50)/100*(Inputs!$B$11-Inputs!$B$11),0))))/100+(Inputs!$B$23+0+(IF(ArtifactsInput!$M$15,CHOOSE(ArtifactsInput!$N$15+1,25,30,35,40,45,50)/100*(Inputs!$B$11-Inputs!$B$11),0)))/100)/2</f>
        <v/>
      </c>
      <c r="M2311">
        <f>L2311*(1+(Inputs!$B$10+((C2332=TRUE)*(F2332-Calc!F25))+B2342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1">
        <f>L2311*(1-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1">
        <f>(1-Summary!$B$11)*T2311+Summary!$B$11*V2311</f>
        <v/>
      </c>
      <c r="P2311">
        <f>IF(B2347=0,0,O2311/B2347)</f>
        <v/>
      </c>
      <c r="Q2311">
        <f>IFERROR(1/(IF(Inputs!$B$38="pvp",15,MAX(0.1,Skills!D4-IF(Skills!E4=TRUE,Inputs!$B$32,0)))*(1-IF(AND(ArtifactsInput!$M$27,Inputs!$B$4="Chapter Hunt"),CHOOSE(ArtifactsInput!$N$27+1,20,24,28,32,36,40),0)/100)),0)</f>
        <v/>
      </c>
      <c r="R2311">
        <f>IF(AND(Inputs!$B$38&lt;&gt;"pvp",Inputs!$B$43&gt;0),IF(MAX(0,Inputs!$B$43-B2344)&lt;=0,0,(INT(MAX(0,Inputs!$B$43-B2344)/(IF(Inputs!$B$38="pvp",15,MAX(0.1,Skills!D4-IF(Skills!E4=TRUE,Inputs!$B$32,0)))*(1-IF(AND(ArtifactsInput!$M$27,Inputs!$B$4="Chapter Hunt"),CHOOSE(ArtifactsInput!$N$27+1,20,24,28,32,36,40),0)/100)))+1)),0)</f>
        <v/>
      </c>
      <c r="S2311">
        <f>IFERROR(O2311/N2311,0)</f>
        <v/>
      </c>
      <c r="T2311">
        <f>IF(C2311,(H2311*N2311*IF(AND(Inputs!$B$38&lt;&gt;"pvp",Inputs!$B$43&gt;0),((Skills!G4*((R2311-1)*IF(Skills!H4&gt;0,Skills!I4/Skills!H4,1)+IF(Skills!H4&gt;0,MIN(Skills!I4,MAX(0,MAX(0,Inputs!$B$43-B2344)-((R2311-1)*(IF(Inputs!$B$38="pvp",15,MAX(0.1,Skills!D4-IF(Skills!E4=TRUE,Inputs!$B$32,0)))*(1-IF(AND(ArtifactsInput!$M$27,Inputs!$B$4="Chapter Hunt"),CHOOSE(ArtifactsInput!$N$27+1,20,24,28,32,36,40),0)/100)))))/Skills!H4,1)))/Inputs!$B$43),G2311*Q2311)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2311*(1-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2311*(1-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1">
        <f>290*U2310/1000</f>
        <v/>
      </c>
      <c r="V2311">
        <f>IF(C2311,(H2311*N2311*IF(AND(Inputs!$B$38&lt;&gt;"pvp",Inputs!$B$43&gt;0),((Skills!G4*((R2311-1)*IF(Skills!H4&gt;0,Skills!I4/Skills!H4,1)+IF(Skills!H4&gt;0,MIN(Skills!I4,MAX(0,MAX(0,Inputs!$B$43-B2344)-((R2311-1)*(IF(Inputs!$B$38="pvp",15,MAX(0.1,Skills!D4-IF(Skills!E4=TRUE,Inputs!$B$32,0)))*(1-IF(AND(ArtifactsInput!$M$27,Inputs!$B$4="Chapter Hunt"),CHOOSE(ArtifactsInput!$N$27+1,20,24,28,32,36,40),0)/100)))))/Skills!H4,1)))/Inputs!$B$43),G2311*Q2311))*IF(Inputs!$B$38="pvp",1,(1+(Inputs!$B$21+Skills!Q4+(IF(IF(ArtifactsInput!$M$33,FALSE,TRUE),CHOOSE(ArtifactsInput!$N$33+1,30,36,42,48,54,60)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2">
      <c r="A2312">
        <f>Skills!A5</f>
        <v/>
      </c>
      <c r="B2312">
        <f>Skills!B5</f>
        <v/>
      </c>
      <c r="C2312">
        <f>Inputs!$B$3&gt;=45</f>
        <v/>
      </c>
      <c r="D2312">
        <f>IF(Skills!C5=1,60+Inputs!$B$25+Inputs!$B$29,IF(Skills!C5=2,90+Inputs!$B$26+Inputs!$B$29,IF(Skills!C5=3,120+Inputs!$B$27+Inputs!$B$29,MAX(0,(Inputs!$B$3-100)*3)+Inputs!$B$28+Inputs!$B$29)))</f>
        <v/>
      </c>
      <c r="E2312">
        <f>INDEX(FactorTable!$B$2:$Y$301, MATCH(ROUND(MIN(300,MAX(1,D2312)),0), FactorTable!$A$2:$A$301,0), Skills!M5+1)</f>
        <v/>
      </c>
      <c r="F2312">
        <f>IF(Skills!N5=TRUE,(Skills!L5/10)*(E2312/1000),Skills!L5/10)+Skills!O5</f>
        <v/>
      </c>
      <c r="G2312">
        <f>Skills!G5*IF(Skills!H5&gt;0,Skills!I5/Skills!H5,1)</f>
        <v/>
      </c>
      <c r="H2312">
        <f>1-(1-Skills!J5/100)^Skills!K5</f>
        <v/>
      </c>
      <c r="I2312" t="inlineStr">
        <is>
          <t>1</t>
        </is>
      </c>
      <c r="J2312">
        <f>((Inputs!$B$6*(1+Inputs!$B$7/100))+(((Inputs!$B$12*(1+Inputs!$B$13/100))-(Inputs!$B$12*(1+Inputs!$B$13/100)))+0.25*(Inputs!$B$14-Inputs!$B$14))*(1+Inputs!$B$7/100))*(F2312/100)</f>
        <v/>
      </c>
      <c r="K2312">
        <f>J2312*(1+((Inputs!$B$12*(1+Inputs!$B$13/100))*0.01+Inputs!$B$14*0.0025)/100)*(1+Inputs!$B$15/100)*(1+Inputs!$B$16/100)*(5000/(6000+Inputs!$B$42*(1-(100*(1-(1-(Inputs!$B$19+0)/100)*(1-CHOOSE(ArtifactsInput!$N$40+1,5,6,7,8,9,10)/100)^(ArtifactsInput!$M$40-ArtifactsInput!$M$40)))/100)))*(1+(Inputs!$B$24+((C2333=TRUE)*(F2333-Calc!F26))+B2343)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2323=TRUE,F2323,0)/100)*(1+(IF(Skills!A5="EIGHT_LEGS_EASTON",Inputs!$B$17+((C2330=TRUE)*(F2330-Calc!F23))+((C2334=TRUE)*(F2334-Calc!F27))+(((IF(AND(ArtifactsInput!$M$42,((Inputs!$B$9+((C2326=TRUE)*(F2326-Calc!F19))+B2337+(ArtifactsInput!$M$24-ArtifactsInput!$M$24)*CHOOSE(ArtifactsInput!$N$24+1,10,12,14,16,18,20)+IF(ArtifactsInput!$M$10,CHOOSE(ArtifactsInput!$N$10+1,15,18,21,24,27,30)*(IF(Inputs!$B$38="pvp",MIN(15,15)/15,IF(AND(Inputs!$B$38&lt;&gt;"pvp",Inputs!$B$43&gt;0),MIN(15,Inputs!$B$43)/(Inputs!$B$43),0))),0)))&gt;=100),MIN(100,((Inputs!$B$9+((C2326=TRUE)*(F2326-Calc!F19))+B2337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2326=TRUE)*(F2326-Calc!F19))+B2337+(ArtifactsInput!$M$24-ArtifactsInput!$M$24)*CHOOSE(ArtifactsInput!$N$24+1,10,12,14,16,18,20)+IF(ArtifactsInput!$M$10,CHOOSE(ArtifactsInput!$N$10+1,15,18,21,24,27,30)*(IF(Inputs!$B$38="pvp",MIN(15,15)/15,IF(AND(Inputs!$B$38&lt;&gt;"pvp",Inputs!$B$43&gt;0),MIN(15,Inputs!$B$43)/(Inputs!$B$43),0))),0)))&gt;=100),CHOOSE(ArtifactsInput!$N$42+1,40,48,56,64,72,80),0))))/100)*((1+(((C2324=TRUE)*F2324)+((C2331=TRUE)*(F2331-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2312)</f>
        <v/>
      </c>
      <c r="L2312">
        <f>K2312*(MIN(Inputs!$B$22+((C2329=TRUE)*(F2329-Calc!F22)),(Inputs!$B$23+0+(IF(ArtifactsInput!$M$15,CHOOSE(ArtifactsInput!$N$15+1,25,30,35,40,45,50)/100*(Inputs!$B$11-Inputs!$B$11),0))))/100+(Inputs!$B$23+0+(IF(ArtifactsInput!$M$15,CHOOSE(ArtifactsInput!$N$15+1,25,30,35,40,45,50)/100*(Inputs!$B$11-Inputs!$B$11),0)))/100)/2</f>
        <v/>
      </c>
      <c r="M2312">
        <f>L2312*(1+(Inputs!$B$10+((C2332=TRUE)*(F2332-Calc!F25))+B2342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2">
        <f>L2312*(1-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2312*(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2">
        <f>(1-Summary!$B$11)*T2312+Summary!$B$11*V2312</f>
        <v/>
      </c>
      <c r="P2312">
        <f>IF(B2347=0,0,O2312/B2347)</f>
        <v/>
      </c>
      <c r="Q2312">
        <f>IFERROR(1/(IF(Inputs!$B$38="pvp",15,MAX(0.1,Skills!D5-IF(Skills!E5=TRUE,Inputs!$B$32,0)))*(1-IF(AND(ArtifactsInput!$M$27,Inputs!$B$4="Chapter Hunt"),CHOOSE(ArtifactsInput!$N$27+1,20,24,28,32,36,40),0)/100)),0)</f>
        <v/>
      </c>
      <c r="R2312">
        <f>IF(AND(Inputs!$B$38&lt;&gt;"pvp",Inputs!$B$43&gt;0),IF(MAX(0,Inputs!$B$43-B2344)&lt;=0,0,(INT(MAX(0,Inputs!$B$43-B2344)/(IF(Inputs!$B$38="pvp",15,MAX(0.1,Skills!D5-IF(Skills!E5=TRUE,Inputs!$B$32,0)))*(1-IF(AND(ArtifactsInput!$M$27,Inputs!$B$4="Chapter Hunt"),CHOOSE(ArtifactsInput!$N$27+1,20,24,28,32,36,40),0)/100)))+1)),0)</f>
        <v/>
      </c>
      <c r="S2312">
        <f>IFERROR(O2312/N2312,0)</f>
        <v/>
      </c>
      <c r="T2312">
        <f>IF(C2312,(H2312*N2312*IF(AND(Inputs!$B$38&lt;&gt;"pvp",Inputs!$B$43&gt;0),((Skills!G5*((R2312-1)*IF(Skills!H5&gt;0,Skills!I5/Skills!H5,1)+IF(Skills!H5&gt;0,MIN(Skills!I5,MAX(0,MAX(0,Inputs!$B$43-B2344)-((R2312-1)*(IF(Inputs!$B$38="pvp",15,MAX(0.1,Skills!D5-IF(Skills!E5=TRUE,Inputs!$B$32,0)))*(1-IF(AND(ArtifactsInput!$M$27,Inputs!$B$4="Chapter Hunt"),CHOOSE(ArtifactsInput!$N$27+1,20,24,28,32,36,40),0)/100)))))/Skills!H5,1)))/Inputs!$B$43),G2312*Q2312)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2312*(1-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2312*(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2312*(1-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2312*(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2">
        <f>IF(C2312,(H2312*N2312*IF(AND(Inputs!$B$38&lt;&gt;"pvp",Inputs!$B$43&gt;0),((Skills!G5*((R2312-1)*IF(Skills!H5&gt;0,Skills!I5/Skills!H5,1)+IF(Skills!H5&gt;0,MIN(Skills!I5,MAX(0,MAX(0,Inputs!$B$43-B2344)-((R2312-1)*(IF(Inputs!$B$38="pvp",15,MAX(0.1,Skills!D5-IF(Skills!E5=TRUE,Inputs!$B$32,0)))*(1-IF(AND(ArtifactsInput!$M$27,Inputs!$B$4="Chapter Hunt"),CHOOSE(ArtifactsInput!$N$27+1,20,24,28,32,36,40),0)/100)))))/Skills!H5,1)))/Inputs!$B$43),G2312*Q2312))*IF(Inputs!$B$38="pvp",1,(1+(Inputs!$B$21+Skills!Q5+(IF(IF(ArtifactsInput!$M$33,FALSE,TRUE),CHOOSE(ArtifactsInput!$N$33+1,30,36,42,48,54,60)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3">
      <c r="A2313">
        <f>Skills!A6</f>
        <v/>
      </c>
      <c r="B2313">
        <f>Skills!B6</f>
        <v/>
      </c>
      <c r="C2313">
        <f>Inputs!$B$3&gt;=63</f>
        <v/>
      </c>
      <c r="D2313">
        <f>IF(Skills!C6=1,60+Inputs!$B$25+Inputs!$B$29,IF(Skills!C6=2,90+Inputs!$B$26+Inputs!$B$29,IF(Skills!C6=3,120+Inputs!$B$27+Inputs!$B$29,MAX(0,(Inputs!$B$3-100)*3)+Inputs!$B$28+Inputs!$B$29)))</f>
        <v/>
      </c>
      <c r="E2313">
        <f>INDEX(FactorTable!$B$2:$Y$301, MATCH(ROUND(MIN(300,MAX(1,D2313)),0), FactorTable!$A$2:$A$301,0), Skills!M6+1)</f>
        <v/>
      </c>
      <c r="F2313">
        <f>IF(Skills!N6=TRUE,(Skills!L6/10)*(E2313/1000),Skills!L6/10)+Skills!O6</f>
        <v/>
      </c>
      <c r="G2313">
        <f>Skills!G6*IF(Skills!H6&gt;0,Skills!I6/Skills!H6,1)</f>
        <v/>
      </c>
      <c r="H2313">
        <f>1-(1-Skills!J6/100)^Skills!K6</f>
        <v/>
      </c>
      <c r="I2313" t="inlineStr">
        <is>
          <t>1</t>
        </is>
      </c>
      <c r="J2313">
        <f>((Inputs!$B$6*(1+Inputs!$B$7/100))+(((Inputs!$B$12*(1+Inputs!$B$13/100))-(Inputs!$B$12*(1+Inputs!$B$13/100)))+0.25*(Inputs!$B$14-Inputs!$B$14))*(1+Inputs!$B$7/100))*(F2313/100)</f>
        <v/>
      </c>
      <c r="K2313">
        <f>J2313*(1+((Inputs!$B$12*(1+Inputs!$B$13/100))*0.01+Inputs!$B$14*0.0025)/100)*(1+Inputs!$B$15/100)*(1+Inputs!$B$16/100)*(5000/(6000+Inputs!$B$42*(1-(100*(1-(1-(Inputs!$B$19+0)/100)*(1-CHOOSE(ArtifactsInput!$N$40+1,5,6,7,8,9,10)/100)^(ArtifactsInput!$M$40-ArtifactsInput!$M$40)))/100)))*(1+(Inputs!$B$24+((C2333=TRUE)*(F2333-Calc!F26))+B2343)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2322=TRUE,F2322,0)/100)*(1+(IF(Skills!A6="EIGHT_LEGS_EASTON",Inputs!$B$17+((C2330=TRUE)*(F2330-Calc!F23))+((C2334=TRUE)*(F2334-Calc!F27))+(((IF(AND(ArtifactsInput!$M$42,((Inputs!$B$9+((C2326=TRUE)*(F2326-Calc!F19))+B2337+(ArtifactsInput!$M$24-ArtifactsInput!$M$24)*CHOOSE(ArtifactsInput!$N$24+1,10,12,14,16,18,20)+IF(ArtifactsInput!$M$10,CHOOSE(ArtifactsInput!$N$10+1,15,18,21,24,27,30)*(IF(Inputs!$B$38="pvp",MIN(15,15)/15,IF(AND(Inputs!$B$38&lt;&gt;"pvp",Inputs!$B$43&gt;0),MIN(15,Inputs!$B$43)/(Inputs!$B$43),0))),0)))&gt;=100),MIN(100,((Inputs!$B$9+((C2326=TRUE)*(F2326-Calc!F19))+B2337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2326=TRUE)*(F2326-Calc!F19))+B2337+(ArtifactsInput!$M$24-ArtifactsInput!$M$24)*CHOOSE(ArtifactsInput!$N$24+1,10,12,14,16,18,20)+IF(ArtifactsInput!$M$10,CHOOSE(ArtifactsInput!$N$10+1,15,18,21,24,27,30)*(IF(Inputs!$B$38="pvp",MIN(15,15)/15,IF(AND(Inputs!$B$38&lt;&gt;"pvp",Inputs!$B$43&gt;0),MIN(15,Inputs!$B$43)/(Inputs!$B$43),0))),0)))&gt;=100),CHOOSE(ArtifactsInput!$N$42+1,40,48,56,64,72,80),0))))/100)*((1+(((C2324=TRUE)*F2324)+((C2331=TRUE)*(F2331-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2313)</f>
        <v/>
      </c>
      <c r="L2313">
        <f>K2313*(MIN(Inputs!$B$22+((C2329=TRUE)*(F2329-Calc!F22)),(Inputs!$B$23+0+(IF(ArtifactsInput!$M$15,CHOOSE(ArtifactsInput!$N$15+1,25,30,35,40,45,50)/100*(Inputs!$B$11-Inputs!$B$11),0))))/100+(Inputs!$B$23+0+(IF(ArtifactsInput!$M$15,CHOOSE(ArtifactsInput!$N$15+1,25,30,35,40,45,50)/100*(Inputs!$B$11-Inputs!$B$11),0)))/100)/2</f>
        <v/>
      </c>
      <c r="M2313">
        <f>L2313*(1+(Inputs!$B$10+((C2332=TRUE)*(F2332-Calc!F25))+B2342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3">
        <f>L2313*(1-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2313*(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3">
        <f>(1-Summary!$B$11)*T2313+Summary!$B$11*V2313</f>
        <v/>
      </c>
      <c r="P2313">
        <f>IF(B2347=0,0,O2313/B2347)</f>
        <v/>
      </c>
      <c r="Q2313">
        <f>IFERROR(1/(IF(Inputs!$B$38="pvp",15,MAX(0.1,Skills!D6-IF(Skills!E6=TRUE,Inputs!$B$32,0)))*(1-IF(AND(ArtifactsInput!$M$27,Inputs!$B$4="Chapter Hunt"),CHOOSE(ArtifactsInput!$N$27+1,20,24,28,32,36,40),0)/100)),0)</f>
        <v/>
      </c>
      <c r="R2313">
        <f>IF(AND(Inputs!$B$38&lt;&gt;"pvp",Inputs!$B$43&gt;0),IF(MAX(0,Inputs!$B$43-B2344)&lt;=0,0,(INT(MAX(0,Inputs!$B$43-B2344)/(IF(Inputs!$B$38="pvp",15,MAX(0.1,Skills!D6-IF(Skills!E6=TRUE,Inputs!$B$32,0)))*(1-IF(AND(ArtifactsInput!$M$27,Inputs!$B$4="Chapter Hunt"),CHOOSE(ArtifactsInput!$N$27+1,20,24,28,32,36,40),0)/100)))+1)),0)</f>
        <v/>
      </c>
      <c r="S2313">
        <f>IFERROR(O2313/N2313,0)</f>
        <v/>
      </c>
      <c r="T2313">
        <f>IF(C2313,(H2313*N2313*IF(AND(Inputs!$B$38&lt;&gt;"pvp",Inputs!$B$43&gt;0),((Skills!G6*((R2313-1)*IF(Skills!H6&gt;0,Skills!I6/Skills!H6,1)+IF(Skills!H6&gt;0,MIN(Skills!I6,MAX(0,MAX(0,Inputs!$B$43-B2344)-((R2313-1)*(IF(Inputs!$B$38="pvp",15,MAX(0.1,Skills!D6-IF(Skills!E6=TRUE,Inputs!$B$32,0)))*(1-IF(AND(ArtifactsInput!$M$27,Inputs!$B$4="Chapter Hunt"),CHOOSE(ArtifactsInput!$N$27+1,20,24,28,32,36,40),0)/100)))))/Skills!H6,1)))/Inputs!$B$43),G2313*Q2313)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2313*(1-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2313*(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2313*(1-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2313*(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3">
        <f>IF(C2313,(H2313*N2313*IF(AND(Inputs!$B$38&lt;&gt;"pvp",Inputs!$B$43&gt;0),((Skills!G6*((R2313-1)*IF(Skills!H6&gt;0,Skills!I6/Skills!H6,1)+IF(Skills!H6&gt;0,MIN(Skills!I6,MAX(0,MAX(0,Inputs!$B$43-B2344)-((R2313-1)*(IF(Inputs!$B$38="pvp",15,MAX(0.1,Skills!D6-IF(Skills!E6=TRUE,Inputs!$B$32,0)))*(1-IF(AND(ArtifactsInput!$M$27,Inputs!$B$4="Chapter Hunt"),CHOOSE(ArtifactsInput!$N$27+1,20,24,28,32,36,40),0)/100)))))/Skills!H6,1)))/Inputs!$B$43),G2313*Q2313))*IF(Inputs!$B$38="pvp",1,(1+(Inputs!$B$21+Skills!Q6+(IF(IF(ArtifactsInput!$M$33,FALSE,TRUE),CHOOSE(ArtifactsInput!$N$33+1,30,36,42,48,54,60)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4">
      <c r="A2314">
        <f>Skills!A7</f>
        <v/>
      </c>
      <c r="B2314">
        <f>Skills!B7</f>
        <v/>
      </c>
      <c r="C2314">
        <f>Inputs!$B$3&gt;=66</f>
        <v/>
      </c>
      <c r="D2314">
        <f>IF(Skills!C7=1,60+Inputs!$B$25+Inputs!$B$29,IF(Skills!C7=2,90+Inputs!$B$26+Inputs!$B$29,IF(Skills!C7=3,120+Inputs!$B$27+Inputs!$B$29,MAX(0,(Inputs!$B$3-100)*3)+Inputs!$B$28+Inputs!$B$29)))</f>
        <v/>
      </c>
      <c r="E2314">
        <f>INDEX(FactorTable!$B$2:$Y$301, MATCH(ROUND(MIN(300,MAX(1,D2314)),0), FactorTable!$A$2:$A$301,0), Skills!M7+1)</f>
        <v/>
      </c>
      <c r="F2314">
        <f>IF(Skills!N7=TRUE,(Skills!L7/10)*(E2314/1000),Skills!L7/10)+Skills!O7</f>
        <v/>
      </c>
      <c r="G2314">
        <f>Skills!G7*IF(Skills!H7&gt;0,Skills!I7/Skills!H7,1)</f>
        <v/>
      </c>
      <c r="H2314">
        <f>1-(1-Skills!J7/100)^Skills!K7</f>
        <v/>
      </c>
      <c r="I2314" t="inlineStr">
        <is>
          <t>1</t>
        </is>
      </c>
      <c r="J2314">
        <f>((Inputs!$B$6*(1+Inputs!$B$7/100))+(((Inputs!$B$12*(1+Inputs!$B$13/100))-(Inputs!$B$12*(1+Inputs!$B$13/100)))+0.25*(Inputs!$B$14-Inputs!$B$14))*(1+Inputs!$B$7/100))*(F2314/100)</f>
        <v/>
      </c>
      <c r="K2314">
        <f>J2314*(1+((Inputs!$B$12*(1+Inputs!$B$13/100))*0.01+Inputs!$B$14*0.0025)/100)*(1+Inputs!$B$15/100)*(1+Inputs!$B$16/100)*(5000/(6000+Inputs!$B$42*(1-(100*(1-(1-(Inputs!$B$19+0)/100)*(1-CHOOSE(ArtifactsInput!$N$40+1,5,6,7,8,9,10)/100)^(ArtifactsInput!$M$40-ArtifactsInput!$M$40)))/100)))*(1+(Inputs!$B$24+((C2333=TRUE)*(F2333-Calc!F26))+B2343)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2322=TRUE,F2322,0)/100)*(1+(IF(Skills!A7="EIGHT_LEGS_EASTON",Inputs!$B$17+((C2330=TRUE)*(F2330-Calc!F23))+((C2334=TRUE)*(F2334-Calc!F27))+(((IF(AND(ArtifactsInput!$M$42,((Inputs!$B$9+((C2326=TRUE)*(F2326-Calc!F19))+B2337+(ArtifactsInput!$M$24-ArtifactsInput!$M$24)*CHOOSE(ArtifactsInput!$N$24+1,10,12,14,16,18,20)+IF(ArtifactsInput!$M$10,CHOOSE(ArtifactsInput!$N$10+1,15,18,21,24,27,30)*(IF(Inputs!$B$38="pvp",MIN(15,15)/15,IF(AND(Inputs!$B$38&lt;&gt;"pvp",Inputs!$B$43&gt;0),MIN(15,Inputs!$B$43)/(Inputs!$B$43),0))),0)))&gt;=100),MIN(100,((Inputs!$B$9+((C2326=TRUE)*(F2326-Calc!F19))+B2337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2326=TRUE)*(F2326-Calc!F19))+B2337+(ArtifactsInput!$M$24-ArtifactsInput!$M$24)*CHOOSE(ArtifactsInput!$N$24+1,10,12,14,16,18,20)+IF(ArtifactsInput!$M$10,CHOOSE(ArtifactsInput!$N$10+1,15,18,21,24,27,30)*(IF(Inputs!$B$38="pvp",MIN(15,15)/15,IF(AND(Inputs!$B$38&lt;&gt;"pvp",Inputs!$B$43&gt;0),MIN(15,Inputs!$B$43)/(Inputs!$B$43),0))),0)))&gt;=100),CHOOSE(ArtifactsInput!$N$42+1,40,48,56,64,72,80),0))))/100)*((1+(((C2324=TRUE)*F2324)+((C2331=TRUE)*(F2331-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2314)</f>
        <v/>
      </c>
      <c r="L2314">
        <f>K2314*(MIN(Inputs!$B$22+((C2329=TRUE)*(F2329-Calc!F22)),(Inputs!$B$23+0+(IF(ArtifactsInput!$M$15,CHOOSE(ArtifactsInput!$N$15+1,25,30,35,40,45,50)/100*(Inputs!$B$11-Inputs!$B$11),0))))/100+(Inputs!$B$23+0+(IF(ArtifactsInput!$M$15,CHOOSE(ArtifactsInput!$N$15+1,25,30,35,40,45,50)/100*(Inputs!$B$11-Inputs!$B$11),0)))/100)/2</f>
        <v/>
      </c>
      <c r="M2314">
        <f>L2314*(1+(Inputs!$B$10+((C2332=TRUE)*(F2332-Calc!F25))+B2342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4">
        <f>L2314*(1-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2314*(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4">
        <f>(1-Summary!$B$11)*T2314+Summary!$B$11*V2314</f>
        <v/>
      </c>
      <c r="P2314">
        <f>IF(B2347=0,0,O2314/B2347)</f>
        <v/>
      </c>
      <c r="Q2314">
        <f>IFERROR(1/(IF(Inputs!$B$38="pvp",15,MAX(0.1,Skills!D7-IF(Skills!E7=TRUE,Inputs!$B$32,0)))*(1-IF(AND(ArtifactsInput!$M$27,Inputs!$B$4="Chapter Hunt"),CHOOSE(ArtifactsInput!$N$27+1,20,24,28,32,36,40),0)/100)),0)</f>
        <v/>
      </c>
      <c r="R2314">
        <f>IF(AND(Inputs!$B$38&lt;&gt;"pvp",Inputs!$B$43&gt;0),IF(MAX(0,Inputs!$B$43-B2344)&lt;=0,0,(INT(MAX(0,Inputs!$B$43-B2344)/(IF(Inputs!$B$38="pvp",15,MAX(0.1,Skills!D7-IF(Skills!E7=TRUE,Inputs!$B$32,0)))*(1-IF(AND(ArtifactsInput!$M$27,Inputs!$B$4="Chapter Hunt"),CHOOSE(ArtifactsInput!$N$27+1,20,24,28,32,36,40),0)/100)))+1)),0)</f>
        <v/>
      </c>
      <c r="S2314">
        <f>IFERROR(O2314/N2314,0)</f>
        <v/>
      </c>
      <c r="T2314">
        <f>IF(C2314,(H2314*N2314*IF(AND(Inputs!$B$38&lt;&gt;"pvp",Inputs!$B$43&gt;0),((Skills!G7*((R2314-1)*IF(Skills!H7&gt;0,Skills!I7/Skills!H7,1)+IF(Skills!H7&gt;0,MIN(Skills!I7,MAX(0,MAX(0,Inputs!$B$43-B2344)-((R2314-1)*(IF(Inputs!$B$38="pvp",15,MAX(0.1,Skills!D7-IF(Skills!E7=TRUE,Inputs!$B$32,0)))*(1-IF(AND(ArtifactsInput!$M$27,Inputs!$B$4="Chapter Hunt"),CHOOSE(ArtifactsInput!$N$27+1,20,24,28,32,36,40),0)/100)))))/Skills!H7,1)))/Inputs!$B$43),G2314*Q2314)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2314*(1-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2314*(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2314*(1-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2314*(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4">
        <f>IF(C2314,(H2314*N2314*IF(AND(Inputs!$B$38&lt;&gt;"pvp",Inputs!$B$43&gt;0),((Skills!G7*((R2314-1)*IF(Skills!H7&gt;0,Skills!I7/Skills!H7,1)+IF(Skills!H7&gt;0,MIN(Skills!I7,MAX(0,MAX(0,Inputs!$B$43-B2344)-((R2314-1)*(IF(Inputs!$B$38="pvp",15,MAX(0.1,Skills!D7-IF(Skills!E7=TRUE,Inputs!$B$32,0)))*(1-IF(AND(ArtifactsInput!$M$27,Inputs!$B$4="Chapter Hunt"),CHOOSE(ArtifactsInput!$N$27+1,20,24,28,32,36,40),0)/100)))))/Skills!H7,1)))/Inputs!$B$43),G2314*Q2314))*IF(Inputs!$B$38="pvp",1,(1+(Inputs!$B$21+Skills!Q7+(IF(IF(ArtifactsInput!$M$33,FALSE,TRUE),CHOOSE(ArtifactsInput!$N$33+1,30,36,42,48,54,60)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5">
      <c r="A2315">
        <f>Skills!A8</f>
        <v/>
      </c>
      <c r="B2315">
        <f>Skills!B8</f>
        <v/>
      </c>
      <c r="C2315">
        <f>Inputs!$B$3&gt;=100</f>
        <v/>
      </c>
      <c r="D2315">
        <f>IF(Skills!C8=1,60+Inputs!$B$25+Inputs!$B$29,IF(Skills!C8=2,90+Inputs!$B$26+Inputs!$B$29,IF(Skills!C8=3,120+Inputs!$B$27+Inputs!$B$29,MAX(0,(Inputs!$B$3-100)*3)+Inputs!$B$28+Inputs!$B$29)))</f>
        <v/>
      </c>
      <c r="E2315">
        <f>INDEX(FactorTable!$B$2:$Y$301, MATCH(ROUND(MIN(300,MAX(1,D2315)),0), FactorTable!$A$2:$A$301,0), Skills!M8+1)</f>
        <v/>
      </c>
      <c r="F2315">
        <f>IF(Skills!N8=TRUE,(Skills!L8/10)*(E2315/1000),Skills!L8/10)+Skills!O8</f>
        <v/>
      </c>
      <c r="G2315">
        <f>Skills!G8*IF(Skills!H8&gt;0,Skills!I8/Skills!H8,1)</f>
        <v/>
      </c>
      <c r="H2315">
        <f>1-(1-Skills!J8/100)^Skills!K8</f>
        <v/>
      </c>
      <c r="I2315" t="inlineStr">
        <is>
          <t>1</t>
        </is>
      </c>
      <c r="J2315">
        <f>((Inputs!$B$6*(1+Inputs!$B$7/100))+(((Inputs!$B$12*(1+Inputs!$B$13/100))-(Inputs!$B$12*(1+Inputs!$B$13/100)))+0.25*(Inputs!$B$14-Inputs!$B$14))*(1+Inputs!$B$7/100))*(F2315/100)</f>
        <v/>
      </c>
      <c r="K2315">
        <f>J2315*(1+((Inputs!$B$12*(1+Inputs!$B$13/100))*0.01+Inputs!$B$14*0.0025)/100)*(1+Inputs!$B$15/100)*(1+Inputs!$B$16/100)*(5000/(6000+Inputs!$B$42*(1-(100*(1-(1-(Inputs!$B$19+0)/100)*(1-CHOOSE(ArtifactsInput!$N$40+1,5,6,7,8,9,10)/100)^(ArtifactsInput!$M$40-ArtifactsInput!$M$40)))/100)))*(1+(Inputs!$B$24+((C2333=TRUE)*(F2333-Calc!F26))+B2343)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2330=TRUE)*(F2330-Calc!F23))+((C2334=TRUE)*(F2334-Calc!F27))+(((IF(AND(ArtifactsInput!$M$42,((Inputs!$B$9+((C2326=TRUE)*(F2326-Calc!F19))+B2337+(ArtifactsInput!$M$24-ArtifactsInput!$M$24)*CHOOSE(ArtifactsInput!$N$24+1,10,12,14,16,18,20)+IF(ArtifactsInput!$M$10,CHOOSE(ArtifactsInput!$N$10+1,15,18,21,24,27,30)*(IF(Inputs!$B$38="pvp",MIN(15,15)/15,IF(AND(Inputs!$B$38&lt;&gt;"pvp",Inputs!$B$43&gt;0),MIN(15,Inputs!$B$43)/(Inputs!$B$43),0))),0)))&gt;=100),MIN(100,((Inputs!$B$9+((C2326=TRUE)*(F2326-Calc!F19))+B2337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2326=TRUE)*(F2326-Calc!F19))+B2337+(ArtifactsInput!$M$24-ArtifactsInput!$M$24)*CHOOSE(ArtifactsInput!$N$24+1,10,12,14,16,18,20)+IF(ArtifactsInput!$M$10,CHOOSE(ArtifactsInput!$N$10+1,15,18,21,24,27,30)*(IF(Inputs!$B$38="pvp",MIN(15,15)/15,IF(AND(Inputs!$B$38&lt;&gt;"pvp",Inputs!$B$43&gt;0),MIN(15,Inputs!$B$43)/(Inputs!$B$43),0))),0)))&gt;=100),CHOOSE(ArtifactsInput!$N$42+1,40,48,56,64,72,80),0))))/100)*((1+(((C2324=TRUE)*F2324)+((C2331=TRUE)*(F2331-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2315)</f>
        <v/>
      </c>
      <c r="L2315">
        <f>K2315*(MIN(Inputs!$B$22+((C2329=TRUE)*(F2329-Calc!F22)),(Inputs!$B$23+0+(IF(ArtifactsInput!$M$15,CHOOSE(ArtifactsInput!$N$15+1,25,30,35,40,45,50)/100*(Inputs!$B$11-Inputs!$B$11),0))))/100+(Inputs!$B$23+0+(IF(ArtifactsInput!$M$15,CHOOSE(ArtifactsInput!$N$15+1,25,30,35,40,45,50)/100*(Inputs!$B$11-Inputs!$B$11),0)))/100)/2</f>
        <v/>
      </c>
      <c r="M2315">
        <f>L2315*(1+(Inputs!$B$10+((C2332=TRUE)*(F2332-Calc!F25))+B2342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5">
        <f>L2315*(1-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2315*(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5">
        <f>(1-Summary!$B$11)*T2315+Summary!$B$11*V2315</f>
        <v/>
      </c>
      <c r="P2315">
        <f>IF(B2347=0,0,O2315/B2347)</f>
        <v/>
      </c>
      <c r="Q2315">
        <f>IFERROR(1/(IF(Inputs!$B$38="pvp",15,MAX(0.1,Skills!D8-IF(Skills!E8=TRUE,Inputs!$B$32,0)))*(1-IF(AND(ArtifactsInput!$M$27,Inputs!$B$4="Chapter Hunt"),CHOOSE(ArtifactsInput!$N$27+1,20,24,28,32,36,40),0)/100)),0)</f>
        <v/>
      </c>
      <c r="R2315">
        <f>IF(AND(Inputs!$B$38&lt;&gt;"pvp",Inputs!$B$43&gt;0),IF(MAX(0,Inputs!$B$43-B2344)&lt;=0,0,(INT(MAX(0,Inputs!$B$43-B2344)/(IF(Inputs!$B$38="pvp",15,MAX(0.1,Skills!D8-IF(Skills!E8=TRUE,Inputs!$B$32,0)))*(1-IF(AND(ArtifactsInput!$M$27,Inputs!$B$4="Chapter Hunt"),CHOOSE(ArtifactsInput!$N$27+1,20,24,28,32,36,40),0)/100)))+1)),0)</f>
        <v/>
      </c>
      <c r="S2315">
        <f>IFERROR(O2315/N2315,0)</f>
        <v/>
      </c>
      <c r="T2315">
        <f>IF(C2315,(H2315*N2315*IF(AND(Inputs!$B$38&lt;&gt;"pvp",Inputs!$B$43&gt;0),((Skills!G8*((R2315-1)*IF(Skills!H8&gt;0,Skills!I8/Skills!H8,1)+IF(Skills!H8&gt;0,MIN(Skills!I8,MAX(0,MAX(0,Inputs!$B$43-B2344)-((R2315-1)*(IF(Inputs!$B$38="pvp",15,MAX(0.1,Skills!D8-IF(Skills!E8=TRUE,Inputs!$B$32,0)))*(1-IF(AND(ArtifactsInput!$M$27,Inputs!$B$4="Chapter Hunt"),CHOOSE(ArtifactsInput!$N$27+1,20,24,28,32,36,40),0)/100)))))/Skills!H8,1)))/Inputs!$B$43),G2315*Q2315)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2315*(1-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2315*(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2315*(1-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2315*(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5">
        <f>IF(C2315,(H2315*N2315*IF(AND(Inputs!$B$38&lt;&gt;"pvp",Inputs!$B$43&gt;0),((Skills!G8*((R2315-1)*IF(Skills!H8&gt;0,Skills!I8/Skills!H8,1)+IF(Skills!H8&gt;0,MIN(Skills!I8,MAX(0,MAX(0,Inputs!$B$43-B2344)-((R2315-1)*(IF(Inputs!$B$38="pvp",15,MAX(0.1,Skills!D8-IF(Skills!E8=TRUE,Inputs!$B$32,0)))*(1-IF(AND(ArtifactsInput!$M$27,Inputs!$B$4="Chapter Hunt"),CHOOSE(ArtifactsInput!$N$27+1,20,24,28,32,36,40),0)/100)))))/Skills!H8,1)))/Inputs!$B$43),G2315*Q2315))*IF(Inputs!$B$38="pvp",1,(1+(Inputs!$B$21+Skills!Q8+(IF(IF(ArtifactsInput!$M$33,FALSE,TRUE),CHOOSE(ArtifactsInput!$N$33+1,30,36,42,48,54,60)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6">
      <c r="A2316">
        <f>Skills!A9</f>
        <v/>
      </c>
      <c r="B2316">
        <f>Skills!B9</f>
        <v/>
      </c>
      <c r="C2316">
        <f>Inputs!$B$3&gt;=103</f>
        <v/>
      </c>
      <c r="D2316">
        <f>IF(Skills!C9=1,60+Inputs!$B$25+Inputs!$B$29,IF(Skills!C9=2,90+Inputs!$B$26+Inputs!$B$29,IF(Skills!C9=3,120+Inputs!$B$27+Inputs!$B$29,MAX(0,(Inputs!$B$3-100)*3)+Inputs!$B$28+Inputs!$B$29)))</f>
        <v/>
      </c>
      <c r="E2316">
        <f>INDEX(FactorTable!$B$2:$Y$301, MATCH(ROUND(MIN(300,MAX(1,D2316)),0), FactorTable!$A$2:$A$301,0), Skills!M9+1)</f>
        <v/>
      </c>
      <c r="F2316">
        <f>IF(Skills!N9=TRUE,(Skills!L9/10)*(E2316/1000),Skills!L9/10)+Skills!O9</f>
        <v/>
      </c>
      <c r="G2316">
        <f>Skills!G9*IF(Skills!H9&gt;0,Skills!I9/Skills!H9,1)</f>
        <v/>
      </c>
      <c r="H2316">
        <f>1-(1-Skills!J9/100)^Skills!K9</f>
        <v/>
      </c>
      <c r="I2316" t="inlineStr">
        <is>
          <t>1</t>
        </is>
      </c>
      <c r="J2316">
        <f>((Inputs!$B$6*(1+Inputs!$B$7/100))+(((Inputs!$B$12*(1+Inputs!$B$13/100))-(Inputs!$B$12*(1+Inputs!$B$13/100)))+0.25*(Inputs!$B$14-Inputs!$B$14))*(1+Inputs!$B$7/100))*(F2316/100)</f>
        <v/>
      </c>
      <c r="K2316">
        <f>J2316*(1+((Inputs!$B$12*(1+Inputs!$B$13/100))*0.01+Inputs!$B$14*0.0025)/100)*(1+Inputs!$B$15/100)*(1+Inputs!$B$16/100)*(5000/(6000+Inputs!$B$42*(1-(100*(1-(1-(Inputs!$B$19+0)/100)*(1-CHOOSE(ArtifactsInput!$N$40+1,5,6,7,8,9,10)/100)^(ArtifactsInput!$M$40-ArtifactsInput!$M$40)))/100)))*(1+(Inputs!$B$24+((C2333=TRUE)*(F2333-Calc!F26))+B2343)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2330=TRUE)*(F2330-Calc!F23))+((C2334=TRUE)*(F2334-Calc!F27))+(((IF(AND(ArtifactsInput!$M$42,((Inputs!$B$9+((C2326=TRUE)*(F2326-Calc!F19))+B2337+(ArtifactsInput!$M$24-ArtifactsInput!$M$24)*CHOOSE(ArtifactsInput!$N$24+1,10,12,14,16,18,20)+IF(ArtifactsInput!$M$10,CHOOSE(ArtifactsInput!$N$10+1,15,18,21,24,27,30)*(IF(Inputs!$B$38="pvp",MIN(15,15)/15,IF(AND(Inputs!$B$38&lt;&gt;"pvp",Inputs!$B$43&gt;0),MIN(15,Inputs!$B$43)/(Inputs!$B$43),0))),0)))&gt;=100),MIN(100,((Inputs!$B$9+((C2326=TRUE)*(F2326-Calc!F19))+B2337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2326=TRUE)*(F2326-Calc!F19))+B2337+(ArtifactsInput!$M$24-ArtifactsInput!$M$24)*CHOOSE(ArtifactsInput!$N$24+1,10,12,14,16,18,20)+IF(ArtifactsInput!$M$10,CHOOSE(ArtifactsInput!$N$10+1,15,18,21,24,27,30)*(IF(Inputs!$B$38="pvp",MIN(15,15)/15,IF(AND(Inputs!$B$38&lt;&gt;"pvp",Inputs!$B$43&gt;0),MIN(15,Inputs!$B$43)/(Inputs!$B$43),0))),0)))&gt;=100),CHOOSE(ArtifactsInput!$N$42+1,40,48,56,64,72,80),0))))/100)*((1+(((C2324=TRUE)*F2324)+((C2331=TRUE)*(F2331-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2316)</f>
        <v/>
      </c>
      <c r="L2316">
        <f>K2316*(MIN(Inputs!$B$22+((C2329=TRUE)*(F2329-Calc!F22)),(Inputs!$B$23+0+(IF(ArtifactsInput!$M$15,CHOOSE(ArtifactsInput!$N$15+1,25,30,35,40,45,50)/100*(Inputs!$B$11-Inputs!$B$11),0))))/100+(Inputs!$B$23+0+(IF(ArtifactsInput!$M$15,CHOOSE(ArtifactsInput!$N$15+1,25,30,35,40,45,50)/100*(Inputs!$B$11-Inputs!$B$11),0)))/100)/2</f>
        <v/>
      </c>
      <c r="M2316">
        <f>L2316*(1+(Inputs!$B$10+((C2332=TRUE)*(F2332-Calc!F25))+B2342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6">
        <f>L2316*(1-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2316*(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6">
        <f>(1-Summary!$B$11)*T2316+Summary!$B$11*V2316</f>
        <v/>
      </c>
      <c r="P2316">
        <f>IF(B2347=0,0,O2316/B2347)</f>
        <v/>
      </c>
      <c r="Q2316">
        <f>IFERROR(1/(IF(Inputs!$B$38="pvp",15,MAX(0.1,Skills!D9-IF(Skills!E9=TRUE,Inputs!$B$32,0)))*(1-IF(AND(ArtifactsInput!$M$27,Inputs!$B$4="Chapter Hunt"),CHOOSE(ArtifactsInput!$N$27+1,20,24,28,32,36,40),0)/100)),0)</f>
        <v/>
      </c>
      <c r="R2316">
        <f>IF(AND(Inputs!$B$38&lt;&gt;"pvp",Inputs!$B$43&gt;0),IF(MAX(0,Inputs!$B$43-B2344)&lt;=0,0,(INT(MAX(0,Inputs!$B$43-B2344)/(IF(Inputs!$B$38="pvp",15,MAX(0.1,Skills!D9-IF(Skills!E9=TRUE,Inputs!$B$32,0)))*(1-IF(AND(ArtifactsInput!$M$27,Inputs!$B$4="Chapter Hunt"),CHOOSE(ArtifactsInput!$N$27+1,20,24,28,32,36,40),0)/100)))+1)),0)</f>
        <v/>
      </c>
      <c r="S2316">
        <f>IFERROR(O2316/N2316,0)</f>
        <v/>
      </c>
      <c r="T2316">
        <f>IF(C2316,(H2316*N2316*IF(AND(Inputs!$B$38&lt;&gt;"pvp",Inputs!$B$43&gt;0),((Skills!G9*((R2316-1)*IF(Skills!H9&gt;0,Skills!I9/Skills!H9,1)+IF(Skills!H9&gt;0,MIN(Skills!I9,MAX(0,MAX(0,Inputs!$B$43-B2344)-((R2316-1)*(IF(Inputs!$B$38="pvp",15,MAX(0.1,Skills!D9-IF(Skills!E9=TRUE,Inputs!$B$32,0)))*(1-IF(AND(ArtifactsInput!$M$27,Inputs!$B$4="Chapter Hunt"),CHOOSE(ArtifactsInput!$N$27+1,20,24,28,32,36,40),0)/100)))))/Skills!H9,1)))/Inputs!$B$43),G2316*Q2316)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2316*(1-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2316*(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2316*(1-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2316*(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6">
        <f>IF(C2316,(H2316*N2316*IF(AND(Inputs!$B$38&lt;&gt;"pvp",Inputs!$B$43&gt;0),((Skills!G9*((R2316-1)*IF(Skills!H9&gt;0,Skills!I9/Skills!H9,1)+IF(Skills!H9&gt;0,MIN(Skills!I9,MAX(0,MAX(0,Inputs!$B$43-B2344)-((R2316-1)*(IF(Inputs!$B$38="pvp",15,MAX(0.1,Skills!D9-IF(Skills!E9=TRUE,Inputs!$B$32,0)))*(1-IF(AND(ArtifactsInput!$M$27,Inputs!$B$4="Chapter Hunt"),CHOOSE(ArtifactsInput!$N$27+1,20,24,28,32,36,40),0)/100)))))/Skills!H9,1)))/Inputs!$B$43),G2316*Q2316))*IF(Inputs!$B$38="pvp",1,(1+(Inputs!$B$21+Skills!Q9+(IF(IF(ArtifactsInput!$M$33,FALSE,TRUE),CHOOSE(ArtifactsInput!$N$33+1,30,36,42,48,54,60)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7">
      <c r="A2317">
        <f>Skills!A10</f>
        <v/>
      </c>
      <c r="B2317">
        <f>Skills!B10</f>
        <v/>
      </c>
      <c r="C2317">
        <f>Inputs!$B$3&gt;=113</f>
        <v/>
      </c>
      <c r="D2317">
        <f>IF(Skills!C10=1,60+Inputs!$B$25+Inputs!$B$29,IF(Skills!C10=2,90+Inputs!$B$26+Inputs!$B$29,IF(Skills!C10=3,120+Inputs!$B$27+Inputs!$B$29,MAX(0,(Inputs!$B$3-100)*3)+Inputs!$B$28+Inputs!$B$29)))</f>
        <v/>
      </c>
      <c r="E2317">
        <f>INDEX(FactorTable!$B$2:$Y$301, MATCH(ROUND(MIN(300,MAX(1,D2317)),0), FactorTable!$A$2:$A$301,0), Skills!M10+1)</f>
        <v/>
      </c>
      <c r="F2317">
        <f>IF(Skills!N10=TRUE,(Skills!L10/10)*(E2317/1000),Skills!L10/10)+Skills!O10</f>
        <v/>
      </c>
      <c r="G2317">
        <f>Skills!G10*IF(Skills!H10&gt;0,Skills!I10/Skills!H10,1)</f>
        <v/>
      </c>
      <c r="H2317">
        <f>1-(1-Skills!J10/100)^Skills!K10</f>
        <v/>
      </c>
      <c r="I2317" t="inlineStr">
        <is>
          <t>1</t>
        </is>
      </c>
      <c r="J2317">
        <f>((Inputs!$B$6*(1+Inputs!$B$7/100))+(((Inputs!$B$12*(1+Inputs!$B$13/100))-(Inputs!$B$12*(1+Inputs!$B$13/100)))+0.25*(Inputs!$B$14-Inputs!$B$14))*(1+Inputs!$B$7/100))*(F2317/100)</f>
        <v/>
      </c>
      <c r="K2317">
        <f>J2317*(1+((Inputs!$B$12*(1+Inputs!$B$13/100))*0.01+Inputs!$B$14*0.0025)/100)*(1+Inputs!$B$15/100)*(1+Inputs!$B$16/100)*(5000/(6000+Inputs!$B$42*(1-(100*(1-(1-(Inputs!$B$19+0)/100)*(1-CHOOSE(ArtifactsInput!$N$40+1,5,6,7,8,9,10)/100)^(ArtifactsInput!$M$40-ArtifactsInput!$M$40)))/100)))*(1+(Inputs!$B$24+((C2333=TRUE)*(F2333-Calc!F26))+B2343)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2330=TRUE)*(F2330-Calc!F23))+((C2334=TRUE)*(F2334-Calc!F27))+(((IF(AND(ArtifactsInput!$M$42,((Inputs!$B$9+((C2326=TRUE)*(F2326-Calc!F19))+B2337+(ArtifactsInput!$M$24-ArtifactsInput!$M$24)*CHOOSE(ArtifactsInput!$N$24+1,10,12,14,16,18,20)+IF(ArtifactsInput!$M$10,CHOOSE(ArtifactsInput!$N$10+1,15,18,21,24,27,30)*(IF(Inputs!$B$38="pvp",MIN(15,15)/15,IF(AND(Inputs!$B$38&lt;&gt;"pvp",Inputs!$B$43&gt;0),MIN(15,Inputs!$B$43)/(Inputs!$B$43),0))),0)))&gt;=100),MIN(100,((Inputs!$B$9+((C2326=TRUE)*(F2326-Calc!F19))+B2337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2326=TRUE)*(F2326-Calc!F19))+B2337+(ArtifactsInput!$M$24-ArtifactsInput!$M$24)*CHOOSE(ArtifactsInput!$N$24+1,10,12,14,16,18,20)+IF(ArtifactsInput!$M$10,CHOOSE(ArtifactsInput!$N$10+1,15,18,21,24,27,30)*(IF(Inputs!$B$38="pvp",MIN(15,15)/15,IF(AND(Inputs!$B$38&lt;&gt;"pvp",Inputs!$B$43&gt;0),MIN(15,Inputs!$B$43)/(Inputs!$B$43),0))),0)))&gt;=100),CHOOSE(ArtifactsInput!$N$42+1,40,48,56,64,72,80),0))))/100)*((1+(((C2324=TRUE)*F2324)+((C2331=TRUE)*(F2331-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2317)</f>
        <v/>
      </c>
      <c r="L2317">
        <f>K2317*(MIN(Inputs!$B$22+((C2329=TRUE)*(F2329-Calc!F22)),(Inputs!$B$23+0+(IF(ArtifactsInput!$M$15,CHOOSE(ArtifactsInput!$N$15+1,25,30,35,40,45,50)/100*(Inputs!$B$11-Inputs!$B$11),0))))/100+(Inputs!$B$23+0+(IF(ArtifactsInput!$M$15,CHOOSE(ArtifactsInput!$N$15+1,25,30,35,40,45,50)/100*(Inputs!$B$11-Inputs!$B$11),0)))/100)/2</f>
        <v/>
      </c>
      <c r="M2317">
        <f>L2317*(1+(Inputs!$B$10+((C2332=TRUE)*(F2332-Calc!F25))+B2342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7">
        <f>L2317*(1-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2317*(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7">
        <f>(1-Summary!$B$11)*T2317+Summary!$B$11*V2317</f>
        <v/>
      </c>
      <c r="P2317">
        <f>IF(B2347=0,0,O2317/B2347)</f>
        <v/>
      </c>
      <c r="Q2317">
        <f>IFERROR(1/(IF(Inputs!$B$38="pvp",15,MAX(0.1,Skills!D10-IF(Skills!E10=TRUE,Inputs!$B$32,0)))*(1-IF(AND(ArtifactsInput!$M$27,Inputs!$B$4="Chapter Hunt"),CHOOSE(ArtifactsInput!$N$27+1,20,24,28,32,36,40),0)/100)),0)</f>
        <v/>
      </c>
      <c r="R2317">
        <f>IF(AND(Inputs!$B$38&lt;&gt;"pvp",Inputs!$B$43&gt;0),IF(MAX(0,Inputs!$B$43-B2344)&lt;=0,0,(INT(MAX(0,Inputs!$B$43-B2344)/(IF(Inputs!$B$38="pvp",15,MAX(0.1,Skills!D10-IF(Skills!E10=TRUE,Inputs!$B$32,0)))*(1-IF(AND(ArtifactsInput!$M$27,Inputs!$B$4="Chapter Hunt"),CHOOSE(ArtifactsInput!$N$27+1,20,24,28,32,36,40),0)/100)))+1)),0)</f>
        <v/>
      </c>
      <c r="S2317">
        <f>IFERROR(O2317/N2317,0)</f>
        <v/>
      </c>
      <c r="T2317">
        <f>IF(C2317,(H2317*N2317*IF(AND(Inputs!$B$38&lt;&gt;"pvp",Inputs!$B$43&gt;0),((Skills!G10*((R2317-1)*IF(Skills!H10&gt;0,Skills!I10/Skills!H10,1)+IF(Skills!H10&gt;0,MIN(Skills!I10,MAX(0,MAX(0,Inputs!$B$43-B2344)-((R2317-1)*(IF(Inputs!$B$38="pvp",15,MAX(0.1,Skills!D10-IF(Skills!E10=TRUE,Inputs!$B$32,0)))*(1-IF(AND(ArtifactsInput!$M$27,Inputs!$B$4="Chapter Hunt"),CHOOSE(ArtifactsInput!$N$27+1,20,24,28,32,36,40),0)/100)))))/Skills!H10,1)))/Inputs!$B$43),G2317*Q2317)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2317*(1-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2317*(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2317*(1-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2317*(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7">
        <f>IF(C2317,(H2317*N2317*IF(AND(Inputs!$B$38&lt;&gt;"pvp",Inputs!$B$43&gt;0),((Skills!G10*((R2317-1)*IF(Skills!H10&gt;0,Skills!I10/Skills!H10,1)+IF(Skills!H10&gt;0,MIN(Skills!I10,MAX(0,MAX(0,Inputs!$B$43-B2344)-((R2317-1)*(IF(Inputs!$B$38="pvp",15,MAX(0.1,Skills!D10-IF(Skills!E10=TRUE,Inputs!$B$32,0)))*(1-IF(AND(ArtifactsInput!$M$27,Inputs!$B$4="Chapter Hunt"),CHOOSE(ArtifactsInput!$N$27+1,20,24,28,32,36,40),0)/100)))))/Skills!H10,1)))/Inputs!$B$43),G2317*Q2317))*IF(Inputs!$B$38="pvp",1,(1+(Inputs!$B$21+Skills!Q10+(IF(IF(ArtifactsInput!$M$33,FALSE,TRUE),CHOOSE(ArtifactsInput!$N$33+1,30,36,42,48,54,60)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8">
      <c r="A2318">
        <f>Skills!A11</f>
        <v/>
      </c>
      <c r="B2318">
        <f>Skills!B11</f>
        <v/>
      </c>
      <c r="C2318">
        <f>Inputs!$B$3&gt;=107</f>
        <v/>
      </c>
      <c r="D2318">
        <f>IF(Skills!C11=1,60+Inputs!$B$25+Inputs!$B$29,IF(Skills!C11=2,90+Inputs!$B$26+Inputs!$B$29,IF(Skills!C11=3,120+Inputs!$B$27+Inputs!$B$29,MAX(0,(Inputs!$B$3-100)*3)+Inputs!$B$28+Inputs!$B$29)))</f>
        <v/>
      </c>
      <c r="E2318">
        <f>INDEX(FactorTable!$B$2:$Y$301, MATCH(ROUND(MIN(300,MAX(1,D2318)),0), FactorTable!$A$2:$A$301,0), Skills!M11+1)</f>
        <v/>
      </c>
      <c r="F2318">
        <f>IF(Skills!N11=TRUE,(Skills!L11/10)*(E2318/1000),Skills!L11/10)+Skills!O11</f>
        <v/>
      </c>
      <c r="G2318">
        <f>Skills!G11*IF(Skills!H11&gt;0,Skills!I11/Skills!H11,1)</f>
        <v/>
      </c>
      <c r="H2318">
        <f>1-(1-Skills!J11/100)^Skills!K11</f>
        <v/>
      </c>
      <c r="I2318" t="inlineStr">
        <is>
          <t>1</t>
        </is>
      </c>
      <c r="J2318">
        <f>((Inputs!$B$6*(1+Inputs!$B$7/100))+(((Inputs!$B$12*(1+Inputs!$B$13/100))-(Inputs!$B$12*(1+Inputs!$B$13/100)))+0.25*(Inputs!$B$14-Inputs!$B$14))*(1+Inputs!$B$7/100))*(F2318/100)</f>
        <v/>
      </c>
      <c r="K2318">
        <f>J2318*(1+((Inputs!$B$12*(1+Inputs!$B$13/100))*0.01+Inputs!$B$14*0.0025)/100)*(1+Inputs!$B$15/100)*(1+Inputs!$B$16/100)*(5000/(6000+Inputs!$B$42*(1-(100*(1-(1-(Inputs!$B$19+0)/100)*(1-CHOOSE(ArtifactsInput!$N$40+1,5,6,7,8,9,10)/100)^(ArtifactsInput!$M$40-ArtifactsInput!$M$40)))/100)))*(1+(Inputs!$B$24+((C2333=TRUE)*(F2333-Calc!F26))+B2343)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2330=TRUE)*(F2330-Calc!F23))+((C2334=TRUE)*(F2334-Calc!F27))+(((IF(AND(ArtifactsInput!$M$42,((Inputs!$B$9+((C2326=TRUE)*(F2326-Calc!F19))+B2337+(ArtifactsInput!$M$24-ArtifactsInput!$M$24)*CHOOSE(ArtifactsInput!$N$24+1,10,12,14,16,18,20)+IF(ArtifactsInput!$M$10,CHOOSE(ArtifactsInput!$N$10+1,15,18,21,24,27,30)*(IF(Inputs!$B$38="pvp",MIN(15,15)/15,IF(AND(Inputs!$B$38&lt;&gt;"pvp",Inputs!$B$43&gt;0),MIN(15,Inputs!$B$43)/(Inputs!$B$43),0))),0)))&gt;=100),MIN(100,((Inputs!$B$9+((C2326=TRUE)*(F2326-Calc!F19))+B2337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2326=TRUE)*(F2326-Calc!F19))+B2337+(ArtifactsInput!$M$24-ArtifactsInput!$M$24)*CHOOSE(ArtifactsInput!$N$24+1,10,12,14,16,18,20)+IF(ArtifactsInput!$M$10,CHOOSE(ArtifactsInput!$N$10+1,15,18,21,24,27,30)*(IF(Inputs!$B$38="pvp",MIN(15,15)/15,IF(AND(Inputs!$B$38&lt;&gt;"pvp",Inputs!$B$43&gt;0),MIN(15,Inputs!$B$43)/(Inputs!$B$43),0))),0)))&gt;=100),CHOOSE(ArtifactsInput!$N$42+1,40,48,56,64,72,80),0))))/100)*((1+(((C2324=TRUE)*F2324)+((C2331=TRUE)*(F2331-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2318)</f>
        <v/>
      </c>
      <c r="L2318">
        <f>K2318*(MIN(Inputs!$B$22+((C2329=TRUE)*(F2329-Calc!F22)),(Inputs!$B$23+0+(IF(ArtifactsInput!$M$15,CHOOSE(ArtifactsInput!$N$15+1,25,30,35,40,45,50)/100*(Inputs!$B$11-Inputs!$B$11),0))))/100+(Inputs!$B$23+0+(IF(ArtifactsInput!$M$15,CHOOSE(ArtifactsInput!$N$15+1,25,30,35,40,45,50)/100*(Inputs!$B$11-Inputs!$B$11),0)))/100)/2</f>
        <v/>
      </c>
      <c r="M2318">
        <f>L2318*(1+(Inputs!$B$10+((C2332=TRUE)*(F2332-Calc!F25))+B2342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8">
        <f>L2318*(1-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2318*(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8">
        <f>(1-Summary!$B$11)*T2318+Summary!$B$11*V2318</f>
        <v/>
      </c>
      <c r="P2318">
        <f>IF(B2347=0,0,O2318/B2347)</f>
        <v/>
      </c>
      <c r="Q2318">
        <f>IFERROR(1/(IF(Inputs!$B$38="pvp",15,MAX(0.1,Skills!D11-IF(Skills!E11=TRUE,Inputs!$B$32,0)))*(1-IF(AND(ArtifactsInput!$M$27,Inputs!$B$4="Chapter Hunt"),CHOOSE(ArtifactsInput!$N$27+1,20,24,28,32,36,40),0)/100)),0)</f>
        <v/>
      </c>
      <c r="R2318">
        <f>IF(AND(Inputs!$B$38&lt;&gt;"pvp",Inputs!$B$43&gt;0),IF(MAX(0,Inputs!$B$43-B2344)&lt;=0,0,(INT(MAX(0,Inputs!$B$43-B2344)/(IF(Inputs!$B$38="pvp",15,MAX(0.1,Skills!D11-IF(Skills!E11=TRUE,Inputs!$B$32,0)))*(1-IF(AND(ArtifactsInput!$M$27,Inputs!$B$4="Chapter Hunt"),CHOOSE(ArtifactsInput!$N$27+1,20,24,28,32,36,40),0)/100)))+1)),0)</f>
        <v/>
      </c>
      <c r="S2318">
        <f>IFERROR(O2318/N2318,0)</f>
        <v/>
      </c>
      <c r="T2318">
        <f>IF(C2318,(H2318*N2318*IF(AND(Inputs!$B$38&lt;&gt;"pvp",Inputs!$B$43&gt;0),((Skills!G11*((R2318-1)*IF(Skills!H11&gt;0,Skills!I11/Skills!H11,1)+IF(Skills!H11&gt;0,MIN(Skills!I11,MAX(0,MAX(0,Inputs!$B$43-B2344)-((R2318-1)*(IF(Inputs!$B$38="pvp",15,MAX(0.1,Skills!D11-IF(Skills!E11=TRUE,Inputs!$B$32,0)))*(1-IF(AND(ArtifactsInput!$M$27,Inputs!$B$4="Chapter Hunt"),CHOOSE(ArtifactsInput!$N$27+1,20,24,28,32,36,40),0)/100)))))/Skills!H11,1)))/Inputs!$B$43),G2318*Q2318)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2318*(1-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2318*(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2318*(1-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2318*(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8">
        <f>IF(C2318,(H2318*N2318*IF(AND(Inputs!$B$38&lt;&gt;"pvp",Inputs!$B$43&gt;0),((Skills!G11*((R2318-1)*IF(Skills!H11&gt;0,Skills!I11/Skills!H11,1)+IF(Skills!H11&gt;0,MIN(Skills!I11,MAX(0,MAX(0,Inputs!$B$43-B2344)-((R2318-1)*(IF(Inputs!$B$38="pvp",15,MAX(0.1,Skills!D11-IF(Skills!E11=TRUE,Inputs!$B$32,0)))*(1-IF(AND(ArtifactsInput!$M$27,Inputs!$B$4="Chapter Hunt"),CHOOSE(ArtifactsInput!$N$27+1,20,24,28,32,36,40),0)/100)))))/Skills!H11,1)))/Inputs!$B$43),G2318*Q2318))*IF(Inputs!$B$38="pvp",1,(1+(Inputs!$B$21+Skills!Q11+(IF(IF(ArtifactsInput!$M$33,FALSE,TRUE),CHOOSE(ArtifactsInput!$N$33+1,30,36,42,48,54,60)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9">
      <c r="A2319">
        <f>Skills!A12</f>
        <v/>
      </c>
      <c r="B2319">
        <f>Skills!B12</f>
        <v/>
      </c>
      <c r="C2319">
        <f>Inputs!$B$3&gt;=110</f>
        <v/>
      </c>
      <c r="D2319">
        <f>IF(Skills!C12=1,60+Inputs!$B$25+Inputs!$B$29,IF(Skills!C12=2,90+Inputs!$B$26+Inputs!$B$29,IF(Skills!C12=3,120+Inputs!$B$27+Inputs!$B$29,MAX(0,(Inputs!$B$3-100)*3)+Inputs!$B$28+Inputs!$B$29)))</f>
        <v/>
      </c>
      <c r="E2319">
        <f>INDEX(FactorTable!$B$2:$Y$301, MATCH(ROUND(MIN(300,MAX(1,D2319)),0), FactorTable!$A$2:$A$301,0), Skills!M12+1)</f>
        <v/>
      </c>
      <c r="F2319">
        <f>IF(Skills!N12=TRUE,(Skills!L12/10)*(E2319/1000),Skills!L12/10)+Skills!O12</f>
        <v/>
      </c>
      <c r="G2319">
        <f>Skills!G12*IF(Skills!H12&gt;0,Skills!I12/Skills!H12,1)</f>
        <v/>
      </c>
      <c r="H2319">
        <f>1-(1-Skills!J12/100)^Skills!K12</f>
        <v/>
      </c>
      <c r="I2319" t="inlineStr">
        <is>
          <t>1</t>
        </is>
      </c>
      <c r="J2319">
        <f>((Inputs!$B$6*(1+Inputs!$B$7/100))+(((Inputs!$B$12*(1+Inputs!$B$13/100))-(Inputs!$B$12*(1+Inputs!$B$13/100)))+0.25*(Inputs!$B$14-Inputs!$B$14))*(1+Inputs!$B$7/100))*(F2319/100)</f>
        <v/>
      </c>
      <c r="K2319">
        <f>J2319*(1+((Inputs!$B$12*(1+Inputs!$B$13/100))*0.01+Inputs!$B$14*0.0025)/100)*(1+Inputs!$B$15/100)*(1+Inputs!$B$16/100)*(5000/(6000+Inputs!$B$42*(1-(100*(1-(1-(Inputs!$B$19+0)/100)*(1-CHOOSE(ArtifactsInput!$N$40+1,5,6,7,8,9,10)/100)^(ArtifactsInput!$M$40-ArtifactsInput!$M$40)))/100)))*(1+(Inputs!$B$24+((C2333=TRUE)*(F2333-Calc!F26))+B2343)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2330=TRUE)*(F2330-Calc!F23))+((C2334=TRUE)*(F2334-Calc!F27))+(((IF(AND(ArtifactsInput!$M$42,((Inputs!$B$9+((C2326=TRUE)*(F2326-Calc!F19))+B2337+(ArtifactsInput!$M$24-ArtifactsInput!$M$24)*CHOOSE(ArtifactsInput!$N$24+1,10,12,14,16,18,20)+IF(ArtifactsInput!$M$10,CHOOSE(ArtifactsInput!$N$10+1,15,18,21,24,27,30)*(IF(Inputs!$B$38="pvp",MIN(15,15)/15,IF(AND(Inputs!$B$38&lt;&gt;"pvp",Inputs!$B$43&gt;0),MIN(15,Inputs!$B$43)/(Inputs!$B$43),0))),0)))&gt;=100),MIN(100,((Inputs!$B$9+((C2326=TRUE)*(F2326-Calc!F19))+B2337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2326=TRUE)*(F2326-Calc!F19))+B2337+(ArtifactsInput!$M$24-ArtifactsInput!$M$24)*CHOOSE(ArtifactsInput!$N$24+1,10,12,14,16,18,20)+IF(ArtifactsInput!$M$10,CHOOSE(ArtifactsInput!$N$10+1,15,18,21,24,27,30)*(IF(Inputs!$B$38="pvp",MIN(15,15)/15,IF(AND(Inputs!$B$38&lt;&gt;"pvp",Inputs!$B$43&gt;0),MIN(15,Inputs!$B$43)/(Inputs!$B$43),0))),0)))&gt;=100),CHOOSE(ArtifactsInput!$N$42+1,40,48,56,64,72,80),0))))/100)*((1+(((C2324=TRUE)*F2324)+((C2331=TRUE)*(F2331-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2319)</f>
        <v/>
      </c>
      <c r="L2319">
        <f>K2319*(MIN(Inputs!$B$22+((C2329=TRUE)*(F2329-Calc!F22)),(Inputs!$B$23+0+(IF(ArtifactsInput!$M$15,CHOOSE(ArtifactsInput!$N$15+1,25,30,35,40,45,50)/100*(Inputs!$B$11-Inputs!$B$11),0))))/100+(Inputs!$B$23+0+(IF(ArtifactsInput!$M$15,CHOOSE(ArtifactsInput!$N$15+1,25,30,35,40,45,50)/100*(Inputs!$B$11-Inputs!$B$11),0)))/100)/2</f>
        <v/>
      </c>
      <c r="M2319">
        <f>L2319*(1+(Inputs!$B$10+((C2332=TRUE)*(F2332-Calc!F25))+B2342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9">
        <f>L2319*(1-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2319*(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9">
        <f>(1-Summary!$B$11)*T2319+Summary!$B$11*V2319</f>
        <v/>
      </c>
      <c r="P2319">
        <f>IF(B2347=0,0,O2319/B2347)</f>
        <v/>
      </c>
      <c r="Q2319">
        <f>IFERROR(1/(IF(Inputs!$B$38="pvp",15,MAX(0.1,Skills!D12-IF(Skills!E12=TRUE,Inputs!$B$32,0)))*(1-IF(AND(ArtifactsInput!$M$27,Inputs!$B$4="Chapter Hunt"),CHOOSE(ArtifactsInput!$N$27+1,20,24,28,32,36,40),0)/100)),0)</f>
        <v/>
      </c>
      <c r="R2319">
        <f>IF(AND(Inputs!$B$38&lt;&gt;"pvp",Inputs!$B$43&gt;0),IF(MAX(0,Inputs!$B$43-B2344)&lt;=0,0,(INT(MAX(0,Inputs!$B$43-B2344)/(IF(Inputs!$B$38="pvp",15,MAX(0.1,Skills!D12-IF(Skills!E12=TRUE,Inputs!$B$32,0)))*(1-IF(AND(ArtifactsInput!$M$27,Inputs!$B$4="Chapter Hunt"),CHOOSE(ArtifactsInput!$N$27+1,20,24,28,32,36,40),0)/100)))+1)),0)</f>
        <v/>
      </c>
      <c r="S2319">
        <f>IFERROR(O2319/N2319,0)</f>
        <v/>
      </c>
      <c r="T2319">
        <f>IF(C2319,(H2319*N2319*IF(AND(Inputs!$B$38&lt;&gt;"pvp",Inputs!$B$43&gt;0),((Skills!G12*((R2319-1)*IF(Skills!H12&gt;0,Skills!I12/Skills!H12,1)+IF(Skills!H12&gt;0,MIN(Skills!I12,MAX(0,MAX(0,Inputs!$B$43-B2344)-((R2319-1)*(IF(Inputs!$B$38="pvp",15,MAX(0.1,Skills!D12-IF(Skills!E12=TRUE,Inputs!$B$32,0)))*(1-IF(AND(ArtifactsInput!$M$27,Inputs!$B$4="Chapter Hunt"),CHOOSE(ArtifactsInput!$N$27+1,20,24,28,32,36,40),0)/100)))))/Skills!H12,1)))/Inputs!$B$43),G2319*Q2319)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2319*(1-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2319*(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2319*(1-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2319*(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9">
        <f>IF(C2319,(H2319*N2319*IF(AND(Inputs!$B$38&lt;&gt;"pvp",Inputs!$B$43&gt;0),((Skills!G12*((R2319-1)*IF(Skills!H12&gt;0,Skills!I12/Skills!H12,1)+IF(Skills!H12&gt;0,MIN(Skills!I12,MAX(0,MAX(0,Inputs!$B$43-B2344)-((R2319-1)*(IF(Inputs!$B$38="pvp",15,MAX(0.1,Skills!D12-IF(Skills!E12=TRUE,Inputs!$B$32,0)))*(1-IF(AND(ArtifactsInput!$M$27,Inputs!$B$4="Chapter Hunt"),CHOOSE(ArtifactsInput!$N$27+1,20,24,28,32,36,40),0)/100)))))/Skills!H12,1)))/Inputs!$B$43),G2319*Q2319))*IF(Inputs!$B$38="pvp",1,(1+(Inputs!$B$21+Skills!Q12+(IF(IF(ArtifactsInput!$M$33,FALSE,TRUE),CHOOSE(ArtifactsInput!$N$33+1,30,36,42,48,54,60)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0">
      <c r="A2320">
        <f>Skills!A13</f>
        <v/>
      </c>
      <c r="B2320">
        <f>Skills!B13</f>
        <v/>
      </c>
      <c r="C2320">
        <f>Inputs!$B$3&gt;=110</f>
        <v/>
      </c>
      <c r="D2320">
        <f>IF(Skills!C13=1,60+Inputs!$B$25+Inputs!$B$29,IF(Skills!C13=2,90+Inputs!$B$26+Inputs!$B$29,IF(Skills!C13=3,120+Inputs!$B$27+Inputs!$B$29,MAX(0,(Inputs!$B$3-100)*3)+Inputs!$B$28+Inputs!$B$29)))</f>
        <v/>
      </c>
      <c r="E2320">
        <f>INDEX(FactorTable!$B$2:$Y$301, MATCH(ROUND(MIN(300,MAX(1,D2320)),0), FactorTable!$A$2:$A$301,0), Skills!M13+1)</f>
        <v/>
      </c>
      <c r="F2320">
        <f>IF(Skills!N13=TRUE,(Skills!L13/10)*(E2320/1000),Skills!L13/10)+Skills!O13</f>
        <v/>
      </c>
      <c r="G2320">
        <f>Skills!G13*IF(Skills!H13&gt;0,Skills!I13/Skills!H13,1)</f>
        <v/>
      </c>
      <c r="H2320">
        <f>1-(1-Skills!J13/100)^Skills!K13</f>
        <v/>
      </c>
      <c r="I2320" t="inlineStr">
        <is>
          <t>1</t>
        </is>
      </c>
      <c r="J2320">
        <f>((Inputs!$B$6*(1+Inputs!$B$7/100))+(((Inputs!$B$12*(1+Inputs!$B$13/100))-(Inputs!$B$12*(1+Inputs!$B$13/100)))+0.25*(Inputs!$B$14-Inputs!$B$14))*(1+Inputs!$B$7/100))*(F2320/100)</f>
        <v/>
      </c>
      <c r="K2320">
        <f>J2320*(1+((Inputs!$B$12*(1+Inputs!$B$13/100))*0.01+Inputs!$B$14*0.0025)/100)*(1+Inputs!$B$15/100)*(1+Inputs!$B$16/100)*(5000/(6000+Inputs!$B$42*(1-(100*(1-(1-(Inputs!$B$19+0)/100)*(1-CHOOSE(ArtifactsInput!$N$40+1,5,6,7,8,9,10)/100)^(ArtifactsInput!$M$40-ArtifactsInput!$M$40)))/100)))*(1+(Inputs!$B$24+((C2333=TRUE)*(F2333-Calc!F26))+B2343)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2330=TRUE)*(F2330-Calc!F23))+((C2334=TRUE)*(F2334-Calc!F27))+(((IF(AND(ArtifactsInput!$M$42,((Inputs!$B$9+((C2326=TRUE)*(F2326-Calc!F19))+B2337+(ArtifactsInput!$M$24-ArtifactsInput!$M$24)*CHOOSE(ArtifactsInput!$N$24+1,10,12,14,16,18,20)+IF(ArtifactsInput!$M$10,CHOOSE(ArtifactsInput!$N$10+1,15,18,21,24,27,30)*(IF(Inputs!$B$38="pvp",MIN(15,15)/15,IF(AND(Inputs!$B$38&lt;&gt;"pvp",Inputs!$B$43&gt;0),MIN(15,Inputs!$B$43)/(Inputs!$B$43),0))),0)))&gt;=100),MIN(100,((Inputs!$B$9+((C2326=TRUE)*(F2326-Calc!F19))+B2337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2326=TRUE)*(F2326-Calc!F19))+B2337+(ArtifactsInput!$M$24-ArtifactsInput!$M$24)*CHOOSE(ArtifactsInput!$N$24+1,10,12,14,16,18,20)+IF(ArtifactsInput!$M$10,CHOOSE(ArtifactsInput!$N$10+1,15,18,21,24,27,30)*(IF(Inputs!$B$38="pvp",MIN(15,15)/15,IF(AND(Inputs!$B$38&lt;&gt;"pvp",Inputs!$B$43&gt;0),MIN(15,Inputs!$B$43)/(Inputs!$B$43),0))),0)))&gt;=100),CHOOSE(ArtifactsInput!$N$42+1,40,48,56,64,72,80),0))))/100)*((1+(((C2324=TRUE)*F2324)+((C2331=TRUE)*(F2331-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2320)</f>
        <v/>
      </c>
      <c r="L2320">
        <f>K2320*(MIN(Inputs!$B$22+((C2329=TRUE)*(F2329-Calc!F22)),(Inputs!$B$23+0+(IF(ArtifactsInput!$M$15,CHOOSE(ArtifactsInput!$N$15+1,25,30,35,40,45,50)/100*(Inputs!$B$11-Inputs!$B$11),0))))/100+(Inputs!$B$23+0+(IF(ArtifactsInput!$M$15,CHOOSE(ArtifactsInput!$N$15+1,25,30,35,40,45,50)/100*(Inputs!$B$11-Inputs!$B$11),0)))/100)/2</f>
        <v/>
      </c>
      <c r="M2320">
        <f>L2320*(1+(Inputs!$B$10+((C2332=TRUE)*(F2332-Calc!F25))+B2342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0">
        <f>L2320*(1-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2320*(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0">
        <f>(1-Summary!$B$11)*T2320+Summary!$B$11*V2320</f>
        <v/>
      </c>
      <c r="P2320">
        <f>IF(B2347=0,0,O2320/B2347)</f>
        <v/>
      </c>
      <c r="Q2320">
        <f>IFERROR(1/(IF(Inputs!$B$38="pvp",15,MAX(0.1,Skills!D13-IF(Skills!E13=TRUE,Inputs!$B$32,0)))*(1-IF(AND(ArtifactsInput!$M$27,Inputs!$B$4="Chapter Hunt"),CHOOSE(ArtifactsInput!$N$27+1,20,24,28,32,36,40),0)/100)),0)</f>
        <v/>
      </c>
      <c r="R2320">
        <f>IF(AND(Inputs!$B$38&lt;&gt;"pvp",Inputs!$B$43&gt;0),IF(MAX(0,Inputs!$B$43-B2344)&lt;=0,0,(INT(MAX(0,Inputs!$B$43-B2344)/(IF(Inputs!$B$38="pvp",15,MAX(0.1,Skills!D13-IF(Skills!E13=TRUE,Inputs!$B$32,0)))*(1-IF(AND(ArtifactsInput!$M$27,Inputs!$B$4="Chapter Hunt"),CHOOSE(ArtifactsInput!$N$27+1,20,24,28,32,36,40),0)/100)))+1)),0)</f>
        <v/>
      </c>
      <c r="S2320">
        <f>IFERROR(O2320/N2320,0)</f>
        <v/>
      </c>
      <c r="T2320">
        <f>IF(C2320,(H2320*N2320*IF(AND(Inputs!$B$38&lt;&gt;"pvp",Inputs!$B$43&gt;0),((Skills!G13*((R2320-1)*IF(Skills!H13&gt;0,Skills!I13/Skills!H13,1)+IF(Skills!H13&gt;0,MIN(Skills!I13,MAX(0,MAX(0,Inputs!$B$43-B2344)-((R2320-1)*(IF(Inputs!$B$38="pvp",15,MAX(0.1,Skills!D13-IF(Skills!E13=TRUE,Inputs!$B$32,0)))*(1-IF(AND(ArtifactsInput!$M$27,Inputs!$B$4="Chapter Hunt"),CHOOSE(ArtifactsInput!$N$27+1,20,24,28,32,36,40),0)/100)))))/Skills!H13,1)))/Inputs!$B$43),G2320*Q2320)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2320*(1-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2320*(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2320*(1-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2320*(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0">
        <f>IF(C2320,(H2320*N2320*IF(AND(Inputs!$B$38&lt;&gt;"pvp",Inputs!$B$43&gt;0),((Skills!G13*((R2320-1)*IF(Skills!H13&gt;0,Skills!I13/Skills!H13,1)+IF(Skills!H13&gt;0,MIN(Skills!I13,MAX(0,MAX(0,Inputs!$B$43-B2344)-((R2320-1)*(IF(Inputs!$B$38="pvp",15,MAX(0.1,Skills!D13-IF(Skills!E13=TRUE,Inputs!$B$32,0)))*(1-IF(AND(ArtifactsInput!$M$27,Inputs!$B$4="Chapter Hunt"),CHOOSE(ArtifactsInput!$N$27+1,20,24,28,32,36,40),0)/100)))))/Skills!H13,1)))/Inputs!$B$43),G2320*Q2320))*IF(Inputs!$B$38="pvp",1,(1+(Inputs!$B$21+Skills!Q13+(IF(IF(ArtifactsInput!$M$33,FALSE,TRUE),CHOOSE(ArtifactsInput!$N$33+1,30,36,42,48,54,60)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1">
      <c r="A2321">
        <f>Skills!A14</f>
        <v/>
      </c>
      <c r="B2321">
        <f>Skills!B14</f>
        <v/>
      </c>
      <c r="C2321">
        <f>Inputs!$B$3&gt;=125</f>
        <v/>
      </c>
      <c r="D2321">
        <f>IF(Skills!C14=1,60+Inputs!$B$25+Inputs!$B$29,IF(Skills!C14=2,90+Inputs!$B$26+Inputs!$B$29,IF(Skills!C14=3,120+Inputs!$B$27+Inputs!$B$29,MAX(0,(Inputs!$B$3-100)*3)+Inputs!$B$28+Inputs!$B$29)))</f>
        <v/>
      </c>
      <c r="E2321">
        <f>INDEX(FactorTable!$B$2:$Y$301, MATCH(ROUND(MIN(300,MAX(1,D2321)),0), FactorTable!$A$2:$A$301,0), Skills!M14+1)</f>
        <v/>
      </c>
      <c r="F2321">
        <f>IF(Skills!N14=TRUE,(Skills!L14/10)*(E2321/1000),Skills!L14/10)+Skills!O14</f>
        <v/>
      </c>
      <c r="G2321">
        <f>Skills!G14*IF(Skills!H14&gt;0,Skills!I14/Skills!H14,1)</f>
        <v/>
      </c>
      <c r="H2321">
        <f>1-(1-Skills!J14/100)^Skills!K14</f>
        <v/>
      </c>
      <c r="I2321" t="inlineStr">
        <is>
          <t>1</t>
        </is>
      </c>
      <c r="J2321">
        <f>((Inputs!$B$6*(1+Inputs!$B$7/100))+(((Inputs!$B$12*(1+Inputs!$B$13/100))-(Inputs!$B$12*(1+Inputs!$B$13/100)))+0.25*(Inputs!$B$14-Inputs!$B$14))*(1+Inputs!$B$7/100))*(F2321/100)</f>
        <v/>
      </c>
      <c r="K2321">
        <f>J2321*(1+((Inputs!$B$12*(1+Inputs!$B$13/100))*0.01+Inputs!$B$14*0.0025)/100)*(1+Inputs!$B$15/100)*(1+Inputs!$B$16/100)*(5000/(6000+Inputs!$B$42*(1-(100*(1-(1-(Inputs!$B$19+0)/100)*(1-CHOOSE(ArtifactsInput!$N$40+1,5,6,7,8,9,10)/100)^(ArtifactsInput!$M$40-ArtifactsInput!$M$40)))/100)))*(1+(Inputs!$B$24+((C2333=TRUE)*(F2333-Calc!F26))+B2343)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2330=TRUE)*(F2330-Calc!F23))+((C2334=TRUE)*(F2334-Calc!F27))+(((IF(AND(ArtifactsInput!$M$42,((Inputs!$B$9+((C2326=TRUE)*(F2326-Calc!F19))+B2337+(ArtifactsInput!$M$24-ArtifactsInput!$M$24)*CHOOSE(ArtifactsInput!$N$24+1,10,12,14,16,18,20)+IF(ArtifactsInput!$M$10,CHOOSE(ArtifactsInput!$N$10+1,15,18,21,24,27,30)*(IF(Inputs!$B$38="pvp",MIN(15,15)/15,IF(AND(Inputs!$B$38&lt;&gt;"pvp",Inputs!$B$43&gt;0),MIN(15,Inputs!$B$43)/(Inputs!$B$43),0))),0)))&gt;=100),MIN(100,((Inputs!$B$9+((C2326=TRUE)*(F2326-Calc!F19))+B2337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2326=TRUE)*(F2326-Calc!F19))+B2337+(ArtifactsInput!$M$24-ArtifactsInput!$M$24)*CHOOSE(ArtifactsInput!$N$24+1,10,12,14,16,18,20)+IF(ArtifactsInput!$M$10,CHOOSE(ArtifactsInput!$N$10+1,15,18,21,24,27,30)*(IF(Inputs!$B$38="pvp",MIN(15,15)/15,IF(AND(Inputs!$B$38&lt;&gt;"pvp",Inputs!$B$43&gt;0),MIN(15,Inputs!$B$43)/(Inputs!$B$43),0))),0)))&gt;=100),CHOOSE(ArtifactsInput!$N$42+1,40,48,56,64,72,80),0))))/100)*((1+(((C2324=TRUE)*F2324)+((C2331=TRUE)*(F2331-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2321)</f>
        <v/>
      </c>
      <c r="L2321">
        <f>K2321*(MIN(Inputs!$B$22+((C2329=TRUE)*(F2329-Calc!F22)),(Inputs!$B$23+0+(IF(ArtifactsInput!$M$15,CHOOSE(ArtifactsInput!$N$15+1,25,30,35,40,45,50)/100*(Inputs!$B$11-Inputs!$B$11),0))))/100+(Inputs!$B$23+0+(IF(ArtifactsInput!$M$15,CHOOSE(ArtifactsInput!$N$15+1,25,30,35,40,45,50)/100*(Inputs!$B$11-Inputs!$B$11),0)))/100)/2</f>
        <v/>
      </c>
      <c r="M2321">
        <f>L2321*(1+(Inputs!$B$10+((C2332=TRUE)*(F2332-Calc!F25))+B2342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1">
        <f>L2321*(1-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1">
        <f>(1-Summary!$B$11)*T2321+Summary!$B$11*V2321</f>
        <v/>
      </c>
      <c r="P2321">
        <f>IF(B2347=0,0,O2321/B2347)</f>
        <v/>
      </c>
      <c r="Q2321" t="n">
        <v>0</v>
      </c>
      <c r="R2321" t="n">
        <v>0</v>
      </c>
      <c r="S2321">
        <f>IFERROR(O2321/N2321,0)</f>
        <v/>
      </c>
      <c r="T2321">
        <f>IF(C2321,(H2321*N2321*(B2341+IF(AND(Inputs!$B$38&lt;&gt;"pvp",Inputs!$B$43&gt;0),((Skills!G8*((R2315-1)*IF(Skills!H8&gt;0,Skills!I8/Skills!H8,1)+IF(Skills!H8&gt;0,MIN(Skills!I8,MAX(0,MAX(0,Inputs!$B$43-B2344)-((R2315-1)*(IF(Inputs!$B$38="pvp",15,MAX(0.1,Skills!D8-IF(Skills!E8=TRUE,Inputs!$B$32,0)))*(1-IF(AND(ArtifactsInput!$M$27,Inputs!$B$4="Chapter Hunt"),CHOOSE(ArtifactsInput!$N$27+1,20,24,28,32,36,40),0)/100)))))/Skills!H8,1)))/Inputs!$B$43),G2315*Q2315)+IF(AND(Inputs!$B$38&lt;&gt;"pvp",Inputs!$B$43&gt;0),((Skills!G11*((R2318-1)*IF(Skills!H11&gt;0,Skills!I11/Skills!H11,1)+IF(Skills!H11&gt;0,MIN(Skills!I11,MAX(0,MAX(0,Inputs!$B$43-B2344)-((R2318-1)*(IF(Inputs!$B$38="pvp",15,MAX(0.1,Skills!D11-IF(Skills!E11=TRUE,Inputs!$B$32,0)))*(1-IF(AND(ArtifactsInput!$M$27,Inputs!$B$4="Chapter Hunt"),CHOOSE(ArtifactsInput!$N$27+1,20,24,28,32,36,40),0)/100)))))/Skills!H11,1)))/Inputs!$B$43),G2318*Q2318)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2321*(1-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2321*(1-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1">
        <f>IF(C2321,(H2321*N2321*(B2341+IF(AND(Inputs!$B$38&lt;&gt;"pvp",Inputs!$B$43&gt;0),((Skills!G8*((R2315-1)*IF(Skills!H8&gt;0,Skills!I8/Skills!H8,1)+IF(Skills!H8&gt;0,MIN(Skills!I8,MAX(0,MAX(0,Inputs!$B$43-B2344)-((R2315-1)*(IF(Inputs!$B$38="pvp",15,MAX(0.1,Skills!D8-IF(Skills!E8=TRUE,Inputs!$B$32,0)))*(1-IF(AND(ArtifactsInput!$M$27,Inputs!$B$4="Chapter Hunt"),CHOOSE(ArtifactsInput!$N$27+1,20,24,28,32,36,40),0)/100)))))/Skills!H8,1)))/Inputs!$B$43),G2315*Q2315)+IF(AND(Inputs!$B$38&lt;&gt;"pvp",Inputs!$B$43&gt;0),((Skills!G11*((R2318-1)*IF(Skills!H11&gt;0,Skills!I11/Skills!H11,1)+IF(Skills!H11&gt;0,MIN(Skills!I11,MAX(0,MAX(0,Inputs!$B$43-B2344)-((R2318-1)*(IF(Inputs!$B$38="pvp",15,MAX(0.1,Skills!D11-IF(Skills!E11=TRUE,Inputs!$B$32,0)))*(1-IF(AND(ArtifactsInput!$M$27,Inputs!$B$4="Chapter Hunt"),CHOOSE(ArtifactsInput!$N$27+1,20,24,28,32,36,40),0)/100)))))/Skills!H11,1)))/Inputs!$B$43),G2318*Q2318)))*IF(Inputs!$B$38="pvp",1,(1+(Inputs!$B$21+Skills!Q14+(IF(IF(ArtifactsInput!$M$33,FALSE,TRUE),CHOOSE(ArtifactsInput!$N$33+1,30,36,42,48,54,60)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2">
      <c r="A2322">
        <f>Skills!A15</f>
        <v/>
      </c>
      <c r="B2322">
        <f>Skills!B15</f>
        <v/>
      </c>
      <c r="C2322">
        <f>Inputs!$B$3&gt;=100</f>
        <v/>
      </c>
      <c r="D2322">
        <f>IF(Skills!C15=1,60+Inputs!$B$25+Inputs!$B$29,IF(Skills!C15=2,90+Inputs!$B$26+Inputs!$B$29,IF(Skills!C15=3,120+Inputs!$B$27+Inputs!$B$29,MAX(0,(Inputs!$B$3-100)*3)+Inputs!$B$28+Inputs!$B$29)))</f>
        <v/>
      </c>
      <c r="E2322">
        <f>INDEX(FactorTable!$B$2:$Y$301, MATCH(ROUND(MIN(300,MAX(1,D2322)),0), FactorTable!$A$2:$A$301,0), Skills!M15+1)</f>
        <v/>
      </c>
      <c r="F2322">
        <f>IF(Skills!N15=TRUE,(Skills!L15/10)*(E2322/1000),Skills!L15/10)+Skills!O15</f>
        <v/>
      </c>
      <c r="G2322" t="inlineStr"/>
      <c r="H2322" t="inlineStr"/>
      <c r="I2322" t="inlineStr">
        <is>
          <t>1</t>
        </is>
      </c>
      <c r="J2322" t="inlineStr"/>
      <c r="K2322" t="inlineStr"/>
      <c r="L2322" t="inlineStr"/>
      <c r="M2322" t="inlineStr"/>
      <c r="N2322" t="inlineStr"/>
      <c r="O2322" t="inlineStr"/>
      <c r="P2322" t="inlineStr"/>
      <c r="Q2322" t="inlineStr"/>
      <c r="R2322" t="inlineStr"/>
      <c r="S2322" t="inlineStr"/>
    </row>
    <row r="2323">
      <c r="A2323">
        <f>Skills!A16</f>
        <v/>
      </c>
      <c r="B2323">
        <f>Skills!B16</f>
        <v/>
      </c>
      <c r="C2323">
        <f>Inputs!$B$3&gt;=120</f>
        <v/>
      </c>
      <c r="D2323">
        <f>IF(Skills!C16=1,60+Inputs!$B$25+Inputs!$B$29,IF(Skills!C16=2,90+Inputs!$B$26+Inputs!$B$29,IF(Skills!C16=3,120+Inputs!$B$27+Inputs!$B$29,MAX(0,(Inputs!$B$3-100)*3)+Inputs!$B$28+Inputs!$B$29)))</f>
        <v/>
      </c>
      <c r="E2323">
        <f>INDEX(FactorTable!$B$2:$Y$301, MATCH(ROUND(MIN(300,MAX(1,D2323)),0), FactorTable!$A$2:$A$301,0), Skills!M16+1)</f>
        <v/>
      </c>
      <c r="F2323">
        <f>IF(Skills!N16=TRUE,(Skills!L16/10)*(E2323/1000),Skills!L16/10)+Skills!O16</f>
        <v/>
      </c>
      <c r="G2323" t="inlineStr"/>
      <c r="H2323" t="inlineStr"/>
      <c r="I2323" t="inlineStr">
        <is>
          <t>1</t>
        </is>
      </c>
      <c r="J2323" t="inlineStr"/>
      <c r="K2323" t="inlineStr"/>
      <c r="L2323" t="inlineStr"/>
      <c r="M2323" t="inlineStr"/>
      <c r="N2323" t="inlineStr"/>
      <c r="O2323" t="inlineStr"/>
      <c r="P2323" t="inlineStr"/>
      <c r="Q2323" t="inlineStr"/>
      <c r="R2323" t="inlineStr"/>
      <c r="S2323" t="inlineStr"/>
    </row>
    <row r="2324">
      <c r="A2324">
        <f>Skills!A17</f>
        <v/>
      </c>
      <c r="B2324">
        <f>Skills!B17</f>
        <v/>
      </c>
      <c r="C2324">
        <f>Inputs!$B$3&gt;=66</f>
        <v/>
      </c>
      <c r="D2324">
        <f>IF(Skills!C17=1,60+Inputs!$B$25+Inputs!$B$29,IF(Skills!C17=2,90+Inputs!$B$26+Inputs!$B$29,IF(Skills!C17=3,120+Inputs!$B$27+Inputs!$B$29,MAX(0,(Inputs!$B$3-100)*3)+Inputs!$B$28+Inputs!$B$29)))</f>
        <v/>
      </c>
      <c r="E2324">
        <f>INDEX(FactorTable!$B$2:$Y$301, MATCH(ROUND(MIN(300,MAX(1,D2324)),0), FactorTable!$A$2:$A$301,0), Skills!M17+1)</f>
        <v/>
      </c>
      <c r="F2324">
        <f>IF(Skills!N17=TRUE,(Skills!L17/10)*(E2324/1000),Skills!L17/10)+Skills!O17</f>
        <v/>
      </c>
      <c r="G2324">
        <f>Skills!G17*IF(Skills!H17&gt;0,Skills!I17/Skills!H17,1)</f>
        <v/>
      </c>
      <c r="H2324">
        <f>1-(1-Skills!J17/100)^Skills!K17</f>
        <v/>
      </c>
      <c r="I2324" t="inlineStr">
        <is>
          <t>1</t>
        </is>
      </c>
      <c r="J2324" t="inlineStr"/>
      <c r="K2324" t="inlineStr"/>
      <c r="L2324" t="inlineStr"/>
      <c r="M2324" t="inlineStr"/>
      <c r="N2324" t="inlineStr"/>
      <c r="O2324">
        <f>(1-Summary!$B$11)*T2324+Summary!$B$11*V2324</f>
        <v/>
      </c>
      <c r="P2324">
        <f>IF(B2347=0,0,O2324/B2347)</f>
        <v/>
      </c>
      <c r="Q2324" t="n">
        <v>0</v>
      </c>
      <c r="R2324" t="n">
        <v>0</v>
      </c>
      <c r="S2324">
        <f>IFERROR(O2324/N2324,0)</f>
        <v/>
      </c>
      <c r="T2324" t="n">
        <v>0</v>
      </c>
      <c r="V2324" t="n">
        <v>0</v>
      </c>
    </row>
    <row r="2325">
      <c r="A2325">
        <f>Skills!A18</f>
        <v/>
      </c>
      <c r="B2325">
        <f>Skills!B18</f>
        <v/>
      </c>
      <c r="C2325">
        <f>Inputs!$B$3&gt;=115</f>
        <v/>
      </c>
      <c r="D2325">
        <f>IF(Skills!C18=1,60+Inputs!$B$25+Inputs!$B$29,IF(Skills!C18=2,90+Inputs!$B$26+Inputs!$B$29,IF(Skills!C18=3,120+Inputs!$B$27+Inputs!$B$29,MAX(0,(Inputs!$B$3-100)*3)+Inputs!$B$28+Inputs!$B$29)))</f>
        <v/>
      </c>
      <c r="E2325">
        <f>INDEX(FactorTable!$B$2:$Y$301, MATCH(ROUND(MIN(300,MAX(1,D2325)),0), FactorTable!$A$2:$A$301,0), Skills!M18+1)</f>
        <v/>
      </c>
      <c r="F2325">
        <f>IF(Skills!N18=TRUE,(Skills!L18/10)*(E2325/1000),Skills!L18/10)+Skills!O18</f>
        <v/>
      </c>
      <c r="G2325">
        <f>Skills!G18*IF(Skills!H18&gt;0,Skills!I18/Skills!H18,1)</f>
        <v/>
      </c>
      <c r="H2325">
        <f>1-(1-Skills!J18/100)^Skills!K18</f>
        <v/>
      </c>
      <c r="I2325" t="inlineStr">
        <is>
          <t>1</t>
        </is>
      </c>
      <c r="J2325" t="inlineStr"/>
      <c r="K2325" t="inlineStr"/>
      <c r="L2325" t="inlineStr"/>
      <c r="M2325" t="inlineStr"/>
      <c r="N2325" t="inlineStr"/>
      <c r="O2325">
        <f>(1-Summary!$B$11)*T2325+Summary!$B$11*V2325</f>
        <v/>
      </c>
      <c r="P2325">
        <f>IF(B2347=0,0,O2325/B2347)</f>
        <v/>
      </c>
      <c r="Q2325" t="n">
        <v>0</v>
      </c>
      <c r="R2325" t="n">
        <v>0</v>
      </c>
      <c r="S2325">
        <f>IFERROR(O2325/N2325,0)</f>
        <v/>
      </c>
      <c r="T2325" t="n">
        <v>0</v>
      </c>
      <c r="V2325" t="n">
        <v>0</v>
      </c>
    </row>
    <row r="2326">
      <c r="A2326">
        <f>Skills!A19</f>
        <v/>
      </c>
      <c r="B2326">
        <f>Skills!B19</f>
        <v/>
      </c>
      <c r="C2326">
        <f>Inputs!$B$3&gt;=15</f>
        <v/>
      </c>
      <c r="D2326">
        <f>IF(Skills!C19=1,60+Inputs!$B$25+Inputs!$B$29,IF(Skills!C19=2,90+Inputs!$B$26+Inputs!$B$29,IF(Skills!C19=3,120+Inputs!$B$27+Inputs!$B$29,MAX(0,(Inputs!$B$3-100)*3)+Inputs!$B$28+Inputs!$B$29)))</f>
        <v/>
      </c>
      <c r="E2326">
        <f>INDEX(FactorTable!$B$2:$Y$301, MATCH(ROUND(MIN(300,MAX(1,D2326)),0), FactorTable!$A$2:$A$301,0), Skills!M19+1)</f>
        <v/>
      </c>
      <c r="F2326">
        <f>IF(Skills!N19=TRUE,(Skills!L19/10)*(E2326/1000),Skills!L19/10)+Skills!O19</f>
        <v/>
      </c>
      <c r="G2326">
        <f>Skills!G19*IF(Skills!H19&gt;0,Skills!I19/Skills!H19,1)</f>
        <v/>
      </c>
      <c r="H2326">
        <f>1-(1-Skills!J19/100)^Skills!K19</f>
        <v/>
      </c>
      <c r="I2326" t="inlineStr">
        <is>
          <t>1</t>
        </is>
      </c>
      <c r="J2326" t="inlineStr"/>
      <c r="K2326" t="inlineStr"/>
      <c r="L2326" t="inlineStr"/>
      <c r="M2326" t="inlineStr"/>
      <c r="N2326" t="inlineStr"/>
      <c r="O2326">
        <f>(1-Summary!$B$11)*T2326+Summary!$B$11*V2326</f>
        <v/>
      </c>
      <c r="P2326">
        <f>IF(B2347=0,0,O2326/B2347)</f>
        <v/>
      </c>
      <c r="Q2326" t="n">
        <v>0</v>
      </c>
      <c r="R2326" t="n">
        <v>0</v>
      </c>
      <c r="S2326">
        <f>IFERROR(O2326/N2326,0)</f>
        <v/>
      </c>
      <c r="T2326" t="n">
        <v>0</v>
      </c>
      <c r="V2326" t="n">
        <v>0</v>
      </c>
    </row>
    <row r="2327">
      <c r="A2327">
        <f>Skills!A20</f>
        <v/>
      </c>
      <c r="B2327">
        <f>Skills!B20</f>
        <v/>
      </c>
      <c r="C2327">
        <f>Inputs!$B$3&gt;=10</f>
        <v/>
      </c>
      <c r="D2327">
        <f>IF(Skills!C20=1,60+Inputs!$B$25+Inputs!$B$29,IF(Skills!C20=2,90+Inputs!$B$26+Inputs!$B$29,IF(Skills!C20=3,120+Inputs!$B$27+Inputs!$B$29,MAX(0,(Inputs!$B$3-100)*3)+Inputs!$B$28+Inputs!$B$29)))</f>
        <v/>
      </c>
      <c r="E2327">
        <f>INDEX(FactorTable!$B$2:$Y$301, MATCH(ROUND(MIN(300,MAX(1,D2327)),0), FactorTable!$A$2:$A$301,0), Skills!M20+1)</f>
        <v/>
      </c>
      <c r="F2327">
        <f>IF(Skills!N20=TRUE,(Skills!L20/10)*(E2327/1000),Skills!L20/10)+Skills!O20</f>
        <v/>
      </c>
      <c r="G2327">
        <f>Skills!G20*IF(Skills!H20&gt;0,Skills!I20/Skills!H20,1)</f>
        <v/>
      </c>
      <c r="H2327">
        <f>1-(1-Skills!J20/100)^Skills!K20</f>
        <v/>
      </c>
      <c r="I2327" t="inlineStr">
        <is>
          <t>1</t>
        </is>
      </c>
      <c r="J2327" t="inlineStr"/>
      <c r="K2327" t="inlineStr"/>
      <c r="L2327" t="inlineStr"/>
      <c r="M2327" t="inlineStr"/>
      <c r="N2327" t="inlineStr"/>
      <c r="O2327">
        <f>(1-Summary!$B$11)*T2327+Summary!$B$11*V2327</f>
        <v/>
      </c>
      <c r="P2327">
        <f>IF(B2347=0,0,O2327/B2347)</f>
        <v/>
      </c>
      <c r="Q2327" t="n">
        <v>0</v>
      </c>
      <c r="R2327" t="n">
        <v>0</v>
      </c>
      <c r="S2327">
        <f>IFERROR(O2327/N2327,0)</f>
        <v/>
      </c>
      <c r="T2327" t="n">
        <v>0</v>
      </c>
      <c r="V2327" t="n">
        <v>0</v>
      </c>
    </row>
    <row r="2328">
      <c r="A2328">
        <f>Skills!A21</f>
        <v/>
      </c>
      <c r="B2328">
        <f>Skills!B21</f>
        <v/>
      </c>
      <c r="C2328">
        <f>Inputs!$B$3&gt;=33</f>
        <v/>
      </c>
      <c r="D2328">
        <f>IF(Skills!C21=1,60+Inputs!$B$25+Inputs!$B$29,IF(Skills!C21=2,90+Inputs!$B$26+Inputs!$B$29,IF(Skills!C21=3,120+Inputs!$B$27+Inputs!$B$29,MAX(0,(Inputs!$B$3-100)*3)+Inputs!$B$28+Inputs!$B$29)))</f>
        <v/>
      </c>
      <c r="E2328">
        <f>INDEX(FactorTable!$B$2:$Y$301, MATCH(ROUND(MIN(300,MAX(1,D2328)),0), FactorTable!$A$2:$A$301,0), Skills!M21+1)</f>
        <v/>
      </c>
      <c r="F2328">
        <f>IF(Skills!N21=TRUE,(Skills!L21/10)*(E2328/1000),Skills!L21/10)+Skills!O21</f>
        <v/>
      </c>
      <c r="G2328">
        <f>Skills!G21*IF(Skills!H21&gt;0,Skills!I21/Skills!H21,1)</f>
        <v/>
      </c>
      <c r="H2328">
        <f>1-(1-Skills!J21/100)^Skills!K21</f>
        <v/>
      </c>
      <c r="I2328" t="inlineStr">
        <is>
          <t>1</t>
        </is>
      </c>
      <c r="J2328" t="inlineStr"/>
      <c r="K2328" t="inlineStr"/>
      <c r="L2328" t="inlineStr"/>
      <c r="M2328" t="inlineStr"/>
      <c r="N2328" t="inlineStr"/>
      <c r="O2328">
        <f>(1-Summary!$B$11)*T2328+Summary!$B$11*V2328</f>
        <v/>
      </c>
      <c r="P2328">
        <f>IF(B2347=0,0,O2328/B2347)</f>
        <v/>
      </c>
      <c r="Q2328" t="n">
        <v>0</v>
      </c>
      <c r="R2328" t="n">
        <v>0</v>
      </c>
      <c r="S2328">
        <f>IFERROR(O2328/N2328,0)</f>
        <v/>
      </c>
      <c r="T2328" t="n">
        <v>0</v>
      </c>
      <c r="V2328" t="n">
        <v>0</v>
      </c>
    </row>
    <row r="2329">
      <c r="A2329">
        <f>Skills!A22</f>
        <v/>
      </c>
      <c r="B2329">
        <f>Skills!B22</f>
        <v/>
      </c>
      <c r="C2329">
        <f>Inputs!$B$3&gt;=43</f>
        <v/>
      </c>
      <c r="D2329">
        <f>IF(Skills!C22=1,60+Inputs!$B$25+Inputs!$B$29,IF(Skills!C22=2,90+Inputs!$B$26+Inputs!$B$29,IF(Skills!C22=3,120+Inputs!$B$27+Inputs!$B$29,MAX(0,(Inputs!$B$3-100)*3)+Inputs!$B$28+Inputs!$B$29)))</f>
        <v/>
      </c>
      <c r="E2329">
        <f>INDEX(FactorTable!$B$2:$Y$301, MATCH(ROUND(MIN(300,MAX(1,D2329)),0), FactorTable!$A$2:$A$301,0), Skills!M22+1)</f>
        <v/>
      </c>
      <c r="F2329">
        <f>IF(Skills!N22=TRUE,(Skills!L22/10)*(E2329/1000),Skills!L22/10)+Skills!O22</f>
        <v/>
      </c>
      <c r="G2329">
        <f>Skills!G22*IF(Skills!H22&gt;0,Skills!I22/Skills!H22,1)</f>
        <v/>
      </c>
      <c r="H2329">
        <f>1-(1-Skills!J22/100)^Skills!K22</f>
        <v/>
      </c>
      <c r="I2329" t="inlineStr">
        <is>
          <t>1</t>
        </is>
      </c>
      <c r="J2329" t="inlineStr"/>
      <c r="K2329" t="inlineStr"/>
      <c r="L2329" t="inlineStr"/>
      <c r="M2329" t="inlineStr"/>
      <c r="N2329" t="inlineStr"/>
      <c r="O2329">
        <f>(1-Summary!$B$11)*T2329+Summary!$B$11*V2329</f>
        <v/>
      </c>
      <c r="P2329">
        <f>IF(B2347=0,0,O2329/B2347)</f>
        <v/>
      </c>
      <c r="Q2329" t="n">
        <v>0</v>
      </c>
      <c r="R2329" t="n">
        <v>0</v>
      </c>
      <c r="S2329">
        <f>IFERROR(O2329/N2329,0)</f>
        <v/>
      </c>
      <c r="T2329" t="n">
        <v>0</v>
      </c>
      <c r="V2329" t="n">
        <v>0</v>
      </c>
    </row>
    <row r="2330">
      <c r="A2330">
        <f>Skills!A23</f>
        <v/>
      </c>
      <c r="B2330">
        <f>Skills!B23</f>
        <v/>
      </c>
      <c r="C2330">
        <f>Inputs!$B$3&gt;=38</f>
        <v/>
      </c>
      <c r="D2330">
        <f>IF(Skills!C23=1,60+Inputs!$B$25+Inputs!$B$29,IF(Skills!C23=2,90+Inputs!$B$26+Inputs!$B$29,IF(Skills!C23=3,120+Inputs!$B$27+Inputs!$B$29,MAX(0,(Inputs!$B$3-100)*3)+Inputs!$B$28+Inputs!$B$29)))</f>
        <v/>
      </c>
      <c r="E2330">
        <f>INDEX(FactorTable!$B$2:$Y$301, MATCH(ROUND(MIN(300,MAX(1,D2330)),0), FactorTable!$A$2:$A$301,0), Skills!M23+1)</f>
        <v/>
      </c>
      <c r="F2330">
        <f>IF(Skills!N23=TRUE,(Skills!L23/10)*(E2330/1000),Skills!L23/10)+Skills!O23</f>
        <v/>
      </c>
      <c r="G2330">
        <f>Skills!G23*IF(Skills!H23&gt;0,Skills!I23/Skills!H23,1)</f>
        <v/>
      </c>
      <c r="H2330">
        <f>1-(1-Skills!J23/100)^Skills!K23</f>
        <v/>
      </c>
      <c r="I2330" t="inlineStr">
        <is>
          <t>1</t>
        </is>
      </c>
      <c r="J2330" t="inlineStr"/>
      <c r="K2330" t="inlineStr"/>
      <c r="L2330" t="inlineStr"/>
      <c r="M2330" t="inlineStr"/>
      <c r="N2330" t="inlineStr"/>
      <c r="O2330">
        <f>(1-Summary!$B$11)*T2330+Summary!$B$11*V2330</f>
        <v/>
      </c>
      <c r="P2330">
        <f>IF(B2347=0,0,O2330/B2347)</f>
        <v/>
      </c>
      <c r="Q2330" t="n">
        <v>0</v>
      </c>
      <c r="R2330" t="n">
        <v>0</v>
      </c>
      <c r="S2330">
        <f>IFERROR(O2330/N2330,0)</f>
        <v/>
      </c>
      <c r="T2330" t="n">
        <v>0</v>
      </c>
      <c r="V2330" t="n">
        <v>0</v>
      </c>
    </row>
    <row r="2331">
      <c r="A2331">
        <f>Skills!A24</f>
        <v/>
      </c>
      <c r="B2331">
        <f>Skills!B24</f>
        <v/>
      </c>
      <c r="C2331">
        <f>Inputs!$B$3&gt;=40</f>
        <v/>
      </c>
      <c r="D2331">
        <f>IF(Skills!C24=1,60+Inputs!$B$25+Inputs!$B$29,IF(Skills!C24=2,90+Inputs!$B$26+Inputs!$B$29,IF(Skills!C24=3,120+Inputs!$B$27+Inputs!$B$29,MAX(0,(Inputs!$B$3-100)*3)+Inputs!$B$28+Inputs!$B$29)))</f>
        <v/>
      </c>
      <c r="E2331">
        <f>INDEX(FactorTable!$B$2:$Y$301, MATCH(ROUND(MIN(300,MAX(1,D2331)),0), FactorTable!$A$2:$A$301,0), Skills!M24+1)</f>
        <v/>
      </c>
      <c r="F2331">
        <f>IF(Skills!N24=TRUE,(Skills!L24/10)*(E2331/1000),Skills!L24/10)+Skills!O24</f>
        <v/>
      </c>
      <c r="G2331">
        <f>Skills!G24*IF(Skills!H24&gt;0,Skills!I24/Skills!H24,1)</f>
        <v/>
      </c>
      <c r="H2331">
        <f>1-(1-Skills!J24/100)^Skills!K24</f>
        <v/>
      </c>
      <c r="I2331" t="inlineStr">
        <is>
          <t>1</t>
        </is>
      </c>
      <c r="J2331" t="inlineStr"/>
      <c r="K2331" t="inlineStr"/>
      <c r="L2331" t="inlineStr"/>
      <c r="M2331" t="inlineStr"/>
      <c r="N2331" t="inlineStr"/>
      <c r="O2331">
        <f>(1-Summary!$B$11)*T2331+Summary!$B$11*V2331</f>
        <v/>
      </c>
      <c r="P2331">
        <f>IF(B2347=0,0,O2331/B2347)</f>
        <v/>
      </c>
      <c r="Q2331" t="n">
        <v>0</v>
      </c>
      <c r="R2331" t="n">
        <v>0</v>
      </c>
      <c r="S2331">
        <f>IFERROR(O2331/N2331,0)</f>
        <v/>
      </c>
      <c r="T2331" t="n">
        <v>0</v>
      </c>
      <c r="V2331" t="n">
        <v>0</v>
      </c>
    </row>
    <row r="2332">
      <c r="A2332">
        <f>Skills!A25</f>
        <v/>
      </c>
      <c r="B2332">
        <f>Skills!B25</f>
        <v/>
      </c>
      <c r="C2332">
        <f>Inputs!$B$3&gt;=72</f>
        <v/>
      </c>
      <c r="D2332">
        <f>IF(Skills!C25=1,60+Inputs!$B$25+Inputs!$B$29,IF(Skills!C25=2,90+Inputs!$B$26+Inputs!$B$29,IF(Skills!C25=3,120+Inputs!$B$27+Inputs!$B$29,MAX(0,(Inputs!$B$3-100)*3)+Inputs!$B$28+Inputs!$B$29)))</f>
        <v/>
      </c>
      <c r="E2332">
        <f>INDEX(FactorTable!$B$2:$Y$301, MATCH(ROUND(MIN(300,MAX(1,D2332)),0), FactorTable!$A$2:$A$301,0), Skills!M25+1)</f>
        <v/>
      </c>
      <c r="F2332">
        <f>IF(Skills!N25=TRUE,(Skills!L25/10)*(E2332/1000),Skills!L25/10)+Skills!O25</f>
        <v/>
      </c>
      <c r="G2332">
        <f>Skills!G25*IF(Skills!H25&gt;0,Skills!I25/Skills!H25,1)</f>
        <v/>
      </c>
      <c r="H2332">
        <f>1-(1-Skills!J25/100)^Skills!K25</f>
        <v/>
      </c>
      <c r="I2332" t="inlineStr">
        <is>
          <t>1</t>
        </is>
      </c>
      <c r="J2332" t="inlineStr"/>
      <c r="K2332" t="inlineStr"/>
      <c r="L2332" t="inlineStr"/>
      <c r="M2332" t="inlineStr"/>
      <c r="N2332" t="inlineStr"/>
      <c r="O2332">
        <f>(1-Summary!$B$11)*T2332+Summary!$B$11*V2332</f>
        <v/>
      </c>
      <c r="P2332">
        <f>IF(B2347=0,0,O2332/B2347)</f>
        <v/>
      </c>
      <c r="Q2332" t="n">
        <v>0</v>
      </c>
      <c r="R2332" t="n">
        <v>0</v>
      </c>
      <c r="S2332">
        <f>IFERROR(O2332/N2332,0)</f>
        <v/>
      </c>
      <c r="T2332" t="n">
        <v>0</v>
      </c>
      <c r="V2332" t="n">
        <v>0</v>
      </c>
    </row>
    <row r="2333">
      <c r="A2333">
        <f>Skills!A26</f>
        <v/>
      </c>
      <c r="B2333">
        <f>Skills!B26</f>
        <v/>
      </c>
      <c r="C2333">
        <f>Inputs!$B$3&gt;=75</f>
        <v/>
      </c>
      <c r="D2333">
        <f>IF(Skills!C26=1,60+Inputs!$B$25+Inputs!$B$29,IF(Skills!C26=2,90+Inputs!$B$26+Inputs!$B$29,IF(Skills!C26=3,120+Inputs!$B$27+Inputs!$B$29,MAX(0,(Inputs!$B$3-100)*3)+Inputs!$B$28+Inputs!$B$29)))</f>
        <v/>
      </c>
      <c r="E2333">
        <f>INDEX(FactorTable!$B$2:$Y$301, MATCH(ROUND(MIN(300,MAX(1,D2333)),0), FactorTable!$A$2:$A$301,0), Skills!M26+1)</f>
        <v/>
      </c>
      <c r="F2333">
        <f>IF(Skills!N26=TRUE,(Skills!L26/10)*(E2333/1000),Skills!L26/10)+Skills!O26</f>
        <v/>
      </c>
      <c r="G2333">
        <f>Skills!G26*IF(Skills!H26&gt;0,Skills!I26/Skills!H26,1)</f>
        <v/>
      </c>
      <c r="H2333">
        <f>1-(1-Skills!J26/100)^Skills!K26</f>
        <v/>
      </c>
      <c r="I2333" t="inlineStr">
        <is>
          <t>1</t>
        </is>
      </c>
      <c r="J2333" t="inlineStr"/>
      <c r="K2333" t="inlineStr"/>
      <c r="L2333" t="inlineStr"/>
      <c r="M2333" t="inlineStr"/>
      <c r="N2333" t="inlineStr"/>
      <c r="O2333">
        <f>(1-Summary!$B$11)*T2333+Summary!$B$11*V2333</f>
        <v/>
      </c>
      <c r="P2333">
        <f>IF(B2347=0,0,O2333/B2347)</f>
        <v/>
      </c>
      <c r="Q2333" t="n">
        <v>0</v>
      </c>
      <c r="R2333" t="n">
        <v>0</v>
      </c>
      <c r="S2333">
        <f>IFERROR(O2333/N2333,0)</f>
        <v/>
      </c>
      <c r="T2333" t="n">
        <v>0</v>
      </c>
      <c r="V2333" t="n">
        <v>0</v>
      </c>
    </row>
    <row r="2334">
      <c r="A2334">
        <f>Skills!A27</f>
        <v/>
      </c>
      <c r="B2334">
        <f>Skills!B27</f>
        <v/>
      </c>
      <c r="C2334">
        <f>Inputs!$B$3&gt;=117</f>
        <v/>
      </c>
      <c r="D2334">
        <f>IF(Skills!C27=1,60+Inputs!$B$25+Inputs!$B$29,IF(Skills!C27=2,90+Inputs!$B$26+Inputs!$B$29,IF(Skills!C27=3,120+Inputs!$B$27+Inputs!$B$29,MAX(0,(Inputs!$B$3-100)*3)+Inputs!$B$28+Inputs!$B$29)))</f>
        <v/>
      </c>
      <c r="E2334">
        <f>INDEX(FactorTable!$B$2:$Y$301, MATCH(ROUND(MIN(300,MAX(1,D2334)),0), FactorTable!$A$2:$A$301,0), Skills!M27+1)</f>
        <v/>
      </c>
      <c r="F2334">
        <f>IF(Skills!N27=TRUE,(Skills!L27/10)*(E2334/1000),Skills!L27/10)+Skills!O27</f>
        <v/>
      </c>
      <c r="G2334">
        <f>Skills!G27*IF(Skills!H27&gt;0,Skills!I27/Skills!H27,1)</f>
        <v/>
      </c>
      <c r="H2334">
        <f>1-(1-Skills!J27/100)^Skills!K27</f>
        <v/>
      </c>
      <c r="I2334" t="inlineStr">
        <is>
          <t>1</t>
        </is>
      </c>
      <c r="J2334" t="inlineStr"/>
      <c r="K2334" t="inlineStr"/>
      <c r="L2334" t="inlineStr"/>
      <c r="M2334" t="inlineStr"/>
      <c r="N2334" t="inlineStr"/>
      <c r="O2334">
        <f>(1-Summary!$B$11)*T2334+Summary!$B$11*V2334</f>
        <v/>
      </c>
      <c r="P2334">
        <f>IF(B2347=0,0,O2334/B2347)</f>
        <v/>
      </c>
      <c r="Q2334" t="n">
        <v>0</v>
      </c>
      <c r="R2334" t="n">
        <v>0</v>
      </c>
      <c r="S2334">
        <f>IFERROR(O2334/N2334,0)</f>
        <v/>
      </c>
      <c r="T2334" t="n">
        <v>0</v>
      </c>
      <c r="V2334" t="n">
        <v>0</v>
      </c>
    </row>
    <row r="2336">
      <c r="A2336" t="inlineStr">
        <is>
          <t>Attack% Bucket Multiplier</t>
        </is>
      </c>
      <c r="B2336">
        <f>(1+(((C2324=TRUE)*F2324)+((C2331=TRUE)*(F2331-Calc!F24))+(IF(ArtifactsInput!$M$21,CHOOSE(ArtifactsInput!$N$21+1,25,30,35,40,45,50)*(IF(OR(Inputs!$B$4="Chapter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37">
      <c r="A2337" t="inlineStr">
        <is>
          <t>Global Crit Rate Bonus %</t>
        </is>
      </c>
      <c r="B2337" t="n">
        <v>0</v>
      </c>
    </row>
    <row r="2338">
      <c r="A2338" t="inlineStr">
        <is>
          <t>Attack Speed Buff Bonus % (unused)</t>
        </is>
      </c>
      <c r="B2338" t="n">
        <v>0</v>
      </c>
    </row>
    <row r="2339">
      <c r="A2339" t="inlineStr">
        <is>
          <t>Actions Per Second</t>
        </is>
      </c>
      <c r="B2339">
        <f>1+MIN(150,150*(1-(1-(Inputs!$B$11+((C2327=TRUE)*(F2327-Calc!F20))+((C2328=TRUE)*(F2328-Calc!F21)))/150)*(1-B2338/150)))/100</f>
        <v/>
      </c>
    </row>
    <row r="2340">
      <c r="A2340" t="inlineStr">
        <is>
          <t>Skill + Buff Cast Rate</t>
        </is>
      </c>
      <c r="B2340">
        <f>IF(AND(Inputs!$B$38&lt;&gt;"pvp",Inputs!$B$43&gt;0),SUMPRODUCT((Skills!E2:E27=TRUE)*(C2309:C2334=TRUE)*R2309:R2334*Skills!F2:F27)/Inputs!$B$43,SUMPRODUCT((Skills!E2:E27=TRUE)*(C2309:C2334=TRUE)*Q2309:Q2334*Skills!F2:F27))</f>
        <v/>
      </c>
    </row>
    <row r="2341">
      <c r="A2341" t="inlineStr">
        <is>
          <t>Eight-Legs Easton Casts Per Second</t>
        </is>
      </c>
      <c r="B2341">
        <f>MAX(0,B2339-B2340)</f>
        <v/>
      </c>
    </row>
    <row r="2342">
      <c r="A2342" t="inlineStr">
        <is>
          <t>Global Critical Damage Bonus % (unused)</t>
        </is>
      </c>
      <c r="B2342" t="n">
        <v>0</v>
      </c>
    </row>
    <row r="2343">
      <c r="A2343" t="inlineStr">
        <is>
          <t>Global Final Damage Bonus % (Jolly Roger only)</t>
        </is>
      </c>
      <c r="B2343">
        <f>((C2325=TRUE)*F2325)</f>
        <v/>
      </c>
    </row>
    <row r="2344">
      <c r="A2344" t="inlineStr">
        <is>
          <t>Buff-Casting Startup Delay (s, fixed-duration only)</t>
        </is>
      </c>
      <c r="B2344">
        <f>IF(AND(Inputs!$B$38&lt;&gt;"pvp",Inputs!$B$43&gt;0),SUMPRODUCT((Skills!T2:T27&gt;0)*(Skills!E2:E27=TRUE)*(C2309:C2334=TRUE))/B2339,0)</f>
        <v/>
      </c>
    </row>
    <row r="2345">
      <c r="A2345" t="inlineStr">
        <is>
          <t>Boss-Only Total DPS (this block's swept value)</t>
        </is>
      </c>
      <c r="B2345">
        <f>SUM(T2309:T2334)</f>
        <v/>
      </c>
    </row>
    <row r="2346">
      <c r="A2346" t="inlineStr">
        <is>
          <t>Normal-Only Total DPS (this block's swept value)</t>
        </is>
      </c>
      <c r="B2346">
        <f>SUM(V2309:V2334)</f>
        <v/>
      </c>
    </row>
    <row r="2347">
      <c r="A2347" s="6" t="inlineStr">
        <is>
          <t>TOTAL DPS</t>
        </is>
      </c>
      <c r="B2347" s="6">
        <f>SUM(O2309:O2334)</f>
        <v/>
      </c>
    </row>
    <row r="2350">
      <c r="A2350" s="6" t="inlineStr">
        <is>
          <t>Stat: Bottle of Emotion (Equip)</t>
        </is>
      </c>
    </row>
    <row r="2351">
      <c r="A2351" s="5" t="inlineStr">
        <is>
          <t>Key</t>
        </is>
      </c>
      <c r="B2351" s="5" t="inlineStr">
        <is>
          <t>Name</t>
        </is>
      </c>
      <c r="C2351" s="5" t="inlineStr">
        <is>
          <t>Unlocked</t>
        </is>
      </c>
      <c r="D2351" s="5" t="inlineStr">
        <is>
          <t>InputLevel</t>
        </is>
      </c>
      <c r="E2351" s="5" t="inlineStr">
        <is>
          <t>Factor</t>
        </is>
      </c>
      <c r="F2351" s="5" t="inlineStr">
        <is>
          <t>CoefficientPercent</t>
        </is>
      </c>
      <c r="G2351" s="5" t="inlineStr">
        <is>
          <t>EffectiveHits</t>
        </is>
      </c>
      <c r="H2351" s="5" t="inlineStr">
        <is>
          <t>ProcProbability</t>
        </is>
      </c>
      <c r="I2351" s="5" t="inlineStr">
        <is>
          <t>MapleHeroMultiplier</t>
        </is>
      </c>
      <c r="J2351" s="5" t="inlineStr">
        <is>
          <t>BaseDamage</t>
        </is>
      </c>
      <c r="K2351" s="5" t="inlineStr">
        <is>
          <t>BaseHitDamage</t>
        </is>
      </c>
      <c r="L2351" s="5" t="inlineStr">
        <is>
          <t>NonCritAvg</t>
        </is>
      </c>
      <c r="M2351" s="5" t="inlineStr">
        <is>
          <t>CritAvg</t>
        </is>
      </c>
      <c r="N2351" s="5" t="inlineStr">
        <is>
          <t>ExpectedDamage(perHit)</t>
        </is>
      </c>
      <c r="O2351" s="5" t="inlineStr">
        <is>
          <t>DPS</t>
        </is>
      </c>
      <c r="P2351" s="5" t="inlineStr">
        <is>
          <t>% of Total</t>
        </is>
      </c>
      <c r="Q2351" s="5" t="inlineStr">
        <is>
          <t>InvCooldown</t>
        </is>
      </c>
      <c r="R2351" s="5" t="inlineStr">
        <is>
          <t>CastsInFight</t>
        </is>
      </c>
      <c r="S2351" s="5" t="inlineStr">
        <is>
          <t>HitRate(perSec)</t>
        </is>
      </c>
      <c r="U2351" t="inlineStr">
        <is>
          <t>helpers</t>
        </is>
      </c>
    </row>
    <row r="2352">
      <c r="A2352">
        <f>Skills!A2</f>
        <v/>
      </c>
      <c r="B2352">
        <f>Skills!B2</f>
        <v/>
      </c>
      <c r="C2352">
        <f>Inputs!$B$3&gt;=100</f>
        <v/>
      </c>
      <c r="D2352" t="inlineStr"/>
      <c r="E2352" t="inlineStr"/>
      <c r="F2352">
        <f>U2354+Skills!O2</f>
        <v/>
      </c>
      <c r="G2352">
        <f>Skills!G2*IF(Skills!H2&gt;0,Skills!I2/Skills!H2,1)</f>
        <v/>
      </c>
      <c r="H2352">
        <f>1-(1-Skills!J2/100)^Skills!K2</f>
        <v/>
      </c>
      <c r="I2352" t="inlineStr">
        <is>
          <t>1</t>
        </is>
      </c>
      <c r="J2352">
        <f>((Inputs!$B$6*(1+Inputs!$B$7/100))+(((Inputs!$B$12*(1+Inputs!$B$13/100))-(Inputs!$B$12*(1+Inputs!$B$13/100)))+0.25*(Inputs!$B$14-Inputs!$B$14))*(1+Inputs!$B$7/100))*(F2352/100)</f>
        <v/>
      </c>
      <c r="K2352">
        <f>J2352*(1+((Inputs!$B$12*(1+Inputs!$B$13/100))*0.01+Inputs!$B$14*0.0025)/100)*(1+Inputs!$B$15/100)*(1+Inputs!$B$16/100)*(5000/(6000+Inputs!$B$42*(1-(100*(1-(1-(Inputs!$B$19+0)/100)*(1-CHOOSE(ArtifactsInput!$N$40+1,5,6,7,8,9,10)/100)^(ArtifactsInput!$M$40-ArtifactsInput!$M$40)))/100)))*(1+(Inputs!$B$24+((C2376=TRUE)*(F2376-Calc!F26))+B2386)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EIGHT_LEGS_EASTON",Inputs!$B$17+((C2373=TRUE)*(F2373-Calc!F23))+((C2377=TRUE)*(F2377-Calc!F27))+(((IF(AND(ArtifactsInput!$M$42,((Inputs!$B$9+((C2369=TRUE)*(F2369-Calc!F19))+B2380+(ArtifactsInput!$M$24-ArtifactsInput!$M$24)*CHOOSE(ArtifactsInput!$N$24+1,10,12,14,16,18,20)+IF(ArtifactsInput!$M$10,CHOOSE(ArtifactsInput!$N$10+1,15,18,21,24,27,30)*(IF(Inputs!$B$38="pvp",MIN(15,15)/15,IF(AND(Inputs!$B$38&lt;&gt;"pvp",Inputs!$B$43&gt;0),MIN(15,Inputs!$B$43)/(Inputs!$B$43),0))),0)))&gt;=100),MIN(100,((Inputs!$B$9+((C2369=TRUE)*(F2369-Calc!F19))+B2380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2369=TRUE)*(F2369-Calc!F19))+B2380+(ArtifactsInput!$M$24-ArtifactsInput!$M$24)*CHOOSE(ArtifactsInput!$N$24+1,10,12,14,16,18,20)+IF(ArtifactsInput!$M$10,CHOOSE(ArtifactsInput!$N$10+1,15,18,21,24,27,30)*(IF(Inputs!$B$38="pvp",MIN(15,15)/15,IF(AND(Inputs!$B$38&lt;&gt;"pvp",Inputs!$B$43&gt;0),MIN(15,Inputs!$B$43)/(Inputs!$B$43),0))),0)))&gt;=100),CHOOSE(ArtifactsInput!$N$42+1,40,48,56,64,72,80),0))))/100)*((1+(((C2367=TRUE)*F2367)+((C2374=TRUE)*(F2374-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2352)</f>
        <v/>
      </c>
      <c r="L2352">
        <f>K2352*(MIN(Inputs!$B$22+((C2372=TRUE)*(F2372-Calc!F22)),(Inputs!$B$23+0+(IF(ArtifactsInput!$M$15,CHOOSE(ArtifactsInput!$N$15+1,25,30,35,40,45,50)/100*(Inputs!$B$11-Inputs!$B$11),0))))/100+(Inputs!$B$23+0+(IF(ArtifactsInput!$M$15,CHOOSE(ArtifactsInput!$N$15+1,25,30,35,40,45,50)/100*(Inputs!$B$11-Inputs!$B$11),0)))/100)/2</f>
        <v/>
      </c>
      <c r="M2352">
        <f>L2352*(1+(Inputs!$B$10+((C2375=TRUE)*(F2375-Calc!F25))+B2385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2">
        <f>L2352*(1-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2352*(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2">
        <f>(1-Summary!$B$11)*T2352+Summary!$B$11*V2352</f>
        <v/>
      </c>
      <c r="P2352">
        <f>IF(B2390=0,0,O2352/B2390)</f>
        <v/>
      </c>
      <c r="Q2352" t="n">
        <v>0</v>
      </c>
      <c r="R2352" t="n">
        <v>0</v>
      </c>
      <c r="S2352">
        <f>IFERROR(O2352/N2352,0)</f>
        <v/>
      </c>
      <c r="T2352">
        <f>IF(C2352,(Skills!G2*N2352*B2384)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2352*(1-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2352*(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2352*(1-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2352*(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2">
        <f>MAX(0,(Inputs!$B$3-100)*3)+Inputs!$B$28+Inputs!$B$29</f>
        <v/>
      </c>
      <c r="V2352">
        <f>IF(C2352,(Skills!G2*N2352*B2384)*IF(Inputs!$B$38="pvp",1,(1+(Inputs!$B$21+Skills!Q2+(IF(ArtifactsInput!$M$33,CHOOSE(ArtifactsInput!$N$33+1,30,36,42,48,54,60),0))+(IF(AND(ArtifactsInput!$M$35,Inputs!$B$4&lt;&gt;"Chapter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3">
      <c r="A2353">
        <f>Skills!A3</f>
        <v/>
      </c>
      <c r="B2353">
        <f>Skills!B3</f>
        <v/>
      </c>
      <c r="C2353">
        <f>Inputs!$B$3&gt;=35</f>
        <v/>
      </c>
      <c r="D2353">
        <f>IF(Skills!C3=1,60+Inputs!$B$25+Inputs!$B$29,IF(Skills!C3=2,90+Inputs!$B$26+Inputs!$B$29,IF(Skills!C3=3,120+Inputs!$B$27+Inputs!$B$29,MAX(0,(Inputs!$B$3-100)*3)+Inputs!$B$28+Inputs!$B$29)))</f>
        <v/>
      </c>
      <c r="E2353">
        <f>INDEX(FactorTable!$B$2:$Y$301, MATCH(ROUND(MIN(300,MAX(1,D2353)),0), FactorTable!$A$2:$A$301,0), Skills!M3+1)</f>
        <v/>
      </c>
      <c r="F2353">
        <f>IF(Skills!N3=TRUE,(Skills!L3/10)*(E2353/1000),Skills!L3/10)+Skills!O3</f>
        <v/>
      </c>
      <c r="G2353">
        <f>Skills!G3*IF(Skills!H3&gt;0,Skills!I3/Skills!H3,1)</f>
        <v/>
      </c>
      <c r="H2353">
        <f>1-(1-Skills!J3/100)^Skills!K3</f>
        <v/>
      </c>
      <c r="I2353" t="inlineStr">
        <is>
          <t>1</t>
        </is>
      </c>
      <c r="J2353">
        <f>((Inputs!$B$6*(1+Inputs!$B$7/100))+(((Inputs!$B$12*(1+Inputs!$B$13/100))-(Inputs!$B$12*(1+Inputs!$B$13/100)))+0.25*(Inputs!$B$14-Inputs!$B$14))*(1+Inputs!$B$7/100))*(F2353/100)</f>
        <v/>
      </c>
      <c r="K2353">
        <f>J2353*(1+((Inputs!$B$12*(1+Inputs!$B$13/100))*0.01+Inputs!$B$14*0.0025)/100)*(1+Inputs!$B$15/100)*(1+Inputs!$B$16/100)*(5000/(6000+Inputs!$B$42*(1-(100*(1-(1-(Inputs!$B$19+0)/100)*(1-CHOOSE(ArtifactsInput!$N$40+1,5,6,7,8,9,10)/100)^(ArtifactsInput!$M$40-ArtifactsInput!$M$40)))/100)))*(1+(Inputs!$B$24+((C2376=TRUE)*(F2376-Calc!F26))+B2386)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2365=TRUE,F2365,0)/100)*(1+(IF(Skills!A3="EIGHT_LEGS_EASTON",Inputs!$B$17+((C2373=TRUE)*(F2373-Calc!F23))+((C2377=TRUE)*(F2377-Calc!F27))+(((IF(AND(ArtifactsInput!$M$42,((Inputs!$B$9+((C2369=TRUE)*(F2369-Calc!F19))+B2380+(ArtifactsInput!$M$24-ArtifactsInput!$M$24)*CHOOSE(ArtifactsInput!$N$24+1,10,12,14,16,18,20)+IF(ArtifactsInput!$M$10,CHOOSE(ArtifactsInput!$N$10+1,15,18,21,24,27,30)*(IF(Inputs!$B$38="pvp",MIN(15,15)/15,IF(AND(Inputs!$B$38&lt;&gt;"pvp",Inputs!$B$43&gt;0),MIN(15,Inputs!$B$43)/(Inputs!$B$43),0))),0)))&gt;=100),MIN(100,((Inputs!$B$9+((C2369=TRUE)*(F2369-Calc!F19))+B2380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2369=TRUE)*(F2369-Calc!F19))+B2380+(ArtifactsInput!$M$24-ArtifactsInput!$M$24)*CHOOSE(ArtifactsInput!$N$24+1,10,12,14,16,18,20)+IF(ArtifactsInput!$M$10,CHOOSE(ArtifactsInput!$N$10+1,15,18,21,24,27,30)*(IF(Inputs!$B$38="pvp",MIN(15,15)/15,IF(AND(Inputs!$B$38&lt;&gt;"pvp",Inputs!$B$43&gt;0),MIN(15,Inputs!$B$43)/(Inputs!$B$43),0))),0)))&gt;=100),CHOOSE(ArtifactsInput!$N$42+1,40,48,56,64,72,80),0))))/100)*((1+(((C2367=TRUE)*F2367)+((C2374=TRUE)*(F2374-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2353)</f>
        <v/>
      </c>
      <c r="L2353">
        <f>K2353*(MIN(Inputs!$B$22+((C2372=TRUE)*(F2372-Calc!F22)),(Inputs!$B$23+0+(IF(ArtifactsInput!$M$15,CHOOSE(ArtifactsInput!$N$15+1,25,30,35,40,45,50)/100*(Inputs!$B$11-Inputs!$B$11),0))))/100+(Inputs!$B$23+0+(IF(ArtifactsInput!$M$15,CHOOSE(ArtifactsInput!$N$15+1,25,30,35,40,45,50)/100*(Inputs!$B$11-Inputs!$B$11),0)))/100)/2</f>
        <v/>
      </c>
      <c r="M2353">
        <f>L2353*(1+(Inputs!$B$10+((C2375=TRUE)*(F2375-Calc!F25))+B2385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3">
        <f>L2353*(1-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2353*(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3">
        <f>(1-Summary!$B$11)*T2353+Summary!$B$11*V2353</f>
        <v/>
      </c>
      <c r="P2353">
        <f>IF(B2390=0,0,O2353/B2390)</f>
        <v/>
      </c>
      <c r="Q2353">
        <f>IFERROR(1/(IF(Inputs!$B$38="pvp",15,MAX(0.1,Skills!D3-IF(Skills!E3=TRUE,Inputs!$B$32,0)))*(1-IF(AND(ArtifactsInput!$M$27,Inputs!$B$4="Chapter Hunt"),CHOOSE(ArtifactsInput!$N$27+1,20,24,28,32,36,40),0)/100)),0)</f>
        <v/>
      </c>
      <c r="R2353">
        <f>IF(AND(Inputs!$B$38&lt;&gt;"pvp",Inputs!$B$43&gt;0),IF(MAX(0,Inputs!$B$43-B2387)&lt;=0,0,(INT(MAX(0,Inputs!$B$43-B2387)/(IF(Inputs!$B$38="pvp",15,MAX(0.1,Skills!D3-IF(Skills!E3=TRUE,Inputs!$B$32,0)))*(1-IF(AND(ArtifactsInput!$M$27,Inputs!$B$4="Chapter Hunt"),CHOOSE(ArtifactsInput!$N$27+1,20,24,28,32,36,40),0)/100)))+1)),0)</f>
        <v/>
      </c>
      <c r="S2353">
        <f>IFERROR(O2353/N2353,0)</f>
        <v/>
      </c>
      <c r="T2353">
        <f>IF(C2353,(H2353*N2353*IF(AND(Inputs!$B$38&lt;&gt;"pvp",Inputs!$B$43&gt;0),((Skills!G3*((R2353-1)*IF(Skills!H3&gt;0,Skills!I3/Skills!H3,1)+IF(Skills!H3&gt;0,MIN(Skills!I3,MAX(0,MAX(0,Inputs!$B$43-B2387)-((R2353-1)*(IF(Inputs!$B$38="pvp",15,MAX(0.1,Skills!D3-IF(Skills!E3=TRUE,Inputs!$B$32,0)))*(1-IF(AND(ArtifactsInput!$M$27,Inputs!$B$4="Chapter Hunt"),CHOOSE(ArtifactsInput!$N$27+1,20,24,28,32,36,40),0)/100)))))/Skills!H3,1)))/Inputs!$B$43),G2353*Q2353)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2353*(1-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2353*(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2353*(1-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2353*(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3">
        <f>INDEX(FactorTable!$B$2:$Y$301, MATCH(ROUND(MIN(300,MAX(1,U2352)),0), FactorTable!$A$2:$A$301,0), 22)</f>
        <v/>
      </c>
      <c r="V2353">
        <f>IF(C2353,(H2353*N2353*IF(AND(Inputs!$B$38&lt;&gt;"pvp",Inputs!$B$43&gt;0),((Skills!G3*((R2353-1)*IF(Skills!H3&gt;0,Skills!I3/Skills!H3,1)+IF(Skills!H3&gt;0,MIN(Skills!I3,MAX(0,MAX(0,Inputs!$B$43-B2387)-((R2353-1)*(IF(Inputs!$B$38="pvp",15,MAX(0.1,Skills!D3-IF(Skills!E3=TRUE,Inputs!$B$32,0)))*(1-IF(AND(ArtifactsInput!$M$27,Inputs!$B$4="Chapter Hunt"),CHOOSE(ArtifactsInput!$N$27+1,20,24,28,32,36,40),0)/100)))))/Skills!H3,1)))/Inputs!$B$43),G2353*Q2353))*IF(Inputs!$B$38="pvp",1,(1+(Inputs!$B$21+Skills!Q3+(IF(ArtifactsInput!$M$33,CHOOSE(ArtifactsInput!$N$33+1,30,36,42,48,54,60)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4">
      <c r="A2354">
        <f>Skills!A4</f>
        <v/>
      </c>
      <c r="B2354">
        <f>Skills!B4</f>
        <v/>
      </c>
      <c r="C2354">
        <f>Inputs!$B$3&gt;=40</f>
        <v/>
      </c>
      <c r="D2354">
        <f>IF(Skills!C4=1,60+Inputs!$B$25+Inputs!$B$29,IF(Skills!C4=2,90+Inputs!$B$26+Inputs!$B$29,IF(Skills!C4=3,120+Inputs!$B$27+Inputs!$B$29,MAX(0,(Inputs!$B$3-100)*3)+Inputs!$B$28+Inputs!$B$29)))</f>
        <v/>
      </c>
      <c r="E2354">
        <f>INDEX(FactorTable!$B$2:$Y$301, MATCH(ROUND(MIN(300,MAX(1,D2354)),0), FactorTable!$A$2:$A$301,0), Skills!M4+1)</f>
        <v/>
      </c>
      <c r="F2354">
        <f>IF(Skills!N4=TRUE,(Skills!L4/10)*(E2354/1000),Skills!L4/10)+Skills!O4</f>
        <v/>
      </c>
      <c r="G2354">
        <f>Skills!G4*IF(Skills!H4&gt;0,Skills!I4/Skills!H4,1)</f>
        <v/>
      </c>
      <c r="H2354">
        <f>1-(1-Skills!J4/100)^Skills!K4</f>
        <v/>
      </c>
      <c r="I2354" t="inlineStr">
        <is>
          <t>1</t>
        </is>
      </c>
      <c r="J2354">
        <f>((Inputs!$B$6*(1+Inputs!$B$7/100))+(((Inputs!$B$12*(1+Inputs!$B$13/100))-(Inputs!$B$12*(1+Inputs!$B$13/100)))+0.25*(Inputs!$B$14-Inputs!$B$14))*(1+Inputs!$B$7/100))*(F2354/100)</f>
        <v/>
      </c>
      <c r="K2354">
        <f>J2354*(1+((Inputs!$B$12*(1+Inputs!$B$13/100))*0.01+Inputs!$B$14*0.0025)/100)*(1+Inputs!$B$15/100)*(1+Inputs!$B$16/100)*(5000/(6000+Inputs!$B$42*(1-(100*(1-(1-(Inputs!$B$19+0)/100)*(1-CHOOSE(ArtifactsInput!$N$40+1,5,6,7,8,9,10)/100)^(ArtifactsInput!$M$40-ArtifactsInput!$M$40)))/100)))*(1+(Inputs!$B$24+((C2376=TRUE)*(F2376-Calc!F26))+B2386)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2366=TRUE,F2366,0)/100)*(1+(IF(Skills!A4="EIGHT_LEGS_EASTON",Inputs!$B$17+((C2373=TRUE)*(F2373-Calc!F23))+((C2377=TRUE)*(F2377-Calc!F27))+(((IF(AND(ArtifactsInput!$M$42,((Inputs!$B$9+((C2369=TRUE)*(F2369-Calc!F19))+B2380+(ArtifactsInput!$M$24-ArtifactsInput!$M$24)*CHOOSE(ArtifactsInput!$N$24+1,10,12,14,16,18,20)+IF(ArtifactsInput!$M$10,CHOOSE(ArtifactsInput!$N$10+1,15,18,21,24,27,30)*(IF(Inputs!$B$38="pvp",MIN(15,15)/15,IF(AND(Inputs!$B$38&lt;&gt;"pvp",Inputs!$B$43&gt;0),MIN(15,Inputs!$B$43)/(Inputs!$B$43),0))),0)))&gt;=100),MIN(100,((Inputs!$B$9+((C2369=TRUE)*(F2369-Calc!F19))+B2380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2369=TRUE)*(F2369-Calc!F19))+B2380+(ArtifactsInput!$M$24-ArtifactsInput!$M$24)*CHOOSE(ArtifactsInput!$N$24+1,10,12,14,16,18,20)+IF(ArtifactsInput!$M$10,CHOOSE(ArtifactsInput!$N$10+1,15,18,21,24,27,30)*(IF(Inputs!$B$38="pvp",MIN(15,15)/15,IF(AND(Inputs!$B$38&lt;&gt;"pvp",Inputs!$B$43&gt;0),MIN(15,Inputs!$B$43)/(Inputs!$B$43),0))),0)))&gt;=100),CHOOSE(ArtifactsInput!$N$42+1,40,48,56,64,72,80),0))))/100)*((1+(((C2367=TRUE)*F2367)+((C2374=TRUE)*(F2374-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2354)</f>
        <v/>
      </c>
      <c r="L2354">
        <f>K2354*(MIN(Inputs!$B$22+((C2372=TRUE)*(F2372-Calc!F22)),(Inputs!$B$23+0+(IF(ArtifactsInput!$M$15,CHOOSE(ArtifactsInput!$N$15+1,25,30,35,40,45,50)/100*(Inputs!$B$11-Inputs!$B$11),0))))/100+(Inputs!$B$23+0+(IF(ArtifactsInput!$M$15,CHOOSE(ArtifactsInput!$N$15+1,25,30,35,40,45,50)/100*(Inputs!$B$11-Inputs!$B$11),0)))/100)/2</f>
        <v/>
      </c>
      <c r="M2354">
        <f>L2354*(1+(Inputs!$B$10+((C2375=TRUE)*(F2375-Calc!F25))+B2385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4">
        <f>L2354*(1-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2354*(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4">
        <f>(1-Summary!$B$11)*T2354+Summary!$B$11*V2354</f>
        <v/>
      </c>
      <c r="P2354">
        <f>IF(B2390=0,0,O2354/B2390)</f>
        <v/>
      </c>
      <c r="Q2354">
        <f>IFERROR(1/(IF(Inputs!$B$38="pvp",15,MAX(0.1,Skills!D4-IF(Skills!E4=TRUE,Inputs!$B$32,0)))*(1-IF(AND(ArtifactsInput!$M$27,Inputs!$B$4="Chapter Hunt"),CHOOSE(ArtifactsInput!$N$27+1,20,24,28,32,36,40),0)/100)),0)</f>
        <v/>
      </c>
      <c r="R2354">
        <f>IF(AND(Inputs!$B$38&lt;&gt;"pvp",Inputs!$B$43&gt;0),IF(MAX(0,Inputs!$B$43-B2387)&lt;=0,0,(INT(MAX(0,Inputs!$B$43-B2387)/(IF(Inputs!$B$38="pvp",15,MAX(0.1,Skills!D4-IF(Skills!E4=TRUE,Inputs!$B$32,0)))*(1-IF(AND(ArtifactsInput!$M$27,Inputs!$B$4="Chapter Hunt"),CHOOSE(ArtifactsInput!$N$27+1,20,24,28,32,36,40),0)/100)))+1)),0)</f>
        <v/>
      </c>
      <c r="S2354">
        <f>IFERROR(O2354/N2354,0)</f>
        <v/>
      </c>
      <c r="T2354">
        <f>IF(C2354,(H2354*N2354*IF(AND(Inputs!$B$38&lt;&gt;"pvp",Inputs!$B$43&gt;0),((Skills!G4*((R2354-1)*IF(Skills!H4&gt;0,Skills!I4/Skills!H4,1)+IF(Skills!H4&gt;0,MIN(Skills!I4,MAX(0,MAX(0,Inputs!$B$43-B2387)-((R2354-1)*(IF(Inputs!$B$38="pvp",15,MAX(0.1,Skills!D4-IF(Skills!E4=TRUE,Inputs!$B$32,0)))*(1-IF(AND(ArtifactsInput!$M$27,Inputs!$B$4="Chapter Hunt"),CHOOSE(ArtifactsInput!$N$27+1,20,24,28,32,36,40),0)/100)))))/Skills!H4,1)))/Inputs!$B$43),G2354*Q2354)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2354*(1-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2354*(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2354*(1-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2354*(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4">
        <f>290*U2353/1000</f>
        <v/>
      </c>
      <c r="V2354">
        <f>IF(C2354,(H2354*N2354*IF(AND(Inputs!$B$38&lt;&gt;"pvp",Inputs!$B$43&gt;0),((Skills!G4*((R2354-1)*IF(Skills!H4&gt;0,Skills!I4/Skills!H4,1)+IF(Skills!H4&gt;0,MIN(Skills!I4,MAX(0,MAX(0,Inputs!$B$43-B2387)-((R2354-1)*(IF(Inputs!$B$38="pvp",15,MAX(0.1,Skills!D4-IF(Skills!E4=TRUE,Inputs!$B$32,0)))*(1-IF(AND(ArtifactsInput!$M$27,Inputs!$B$4="Chapter Hunt"),CHOOSE(ArtifactsInput!$N$27+1,20,24,28,32,36,40),0)/100)))))/Skills!H4,1)))/Inputs!$B$43),G2354*Q2354))*IF(Inputs!$B$38="pvp",1,(1+(Inputs!$B$21+Skills!Q4+(IF(ArtifactsInput!$M$33,CHOOSE(ArtifactsInput!$N$33+1,30,36,42,48,54,60)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5">
      <c r="A2355">
        <f>Skills!A5</f>
        <v/>
      </c>
      <c r="B2355">
        <f>Skills!B5</f>
        <v/>
      </c>
      <c r="C2355">
        <f>Inputs!$B$3&gt;=45</f>
        <v/>
      </c>
      <c r="D2355">
        <f>IF(Skills!C5=1,60+Inputs!$B$25+Inputs!$B$29,IF(Skills!C5=2,90+Inputs!$B$26+Inputs!$B$29,IF(Skills!C5=3,120+Inputs!$B$27+Inputs!$B$29,MAX(0,(Inputs!$B$3-100)*3)+Inputs!$B$28+Inputs!$B$29)))</f>
        <v/>
      </c>
      <c r="E2355">
        <f>INDEX(FactorTable!$B$2:$Y$301, MATCH(ROUND(MIN(300,MAX(1,D2355)),0), FactorTable!$A$2:$A$301,0), Skills!M5+1)</f>
        <v/>
      </c>
      <c r="F2355">
        <f>IF(Skills!N5=TRUE,(Skills!L5/10)*(E2355/1000),Skills!L5/10)+Skills!O5</f>
        <v/>
      </c>
      <c r="G2355">
        <f>Skills!G5*IF(Skills!H5&gt;0,Skills!I5/Skills!H5,1)</f>
        <v/>
      </c>
      <c r="H2355">
        <f>1-(1-Skills!J5/100)^Skills!K5</f>
        <v/>
      </c>
      <c r="I2355" t="inlineStr">
        <is>
          <t>1</t>
        </is>
      </c>
      <c r="J2355">
        <f>((Inputs!$B$6*(1+Inputs!$B$7/100))+(((Inputs!$B$12*(1+Inputs!$B$13/100))-(Inputs!$B$12*(1+Inputs!$B$13/100)))+0.25*(Inputs!$B$14-Inputs!$B$14))*(1+Inputs!$B$7/100))*(F2355/100)</f>
        <v/>
      </c>
      <c r="K2355">
        <f>J2355*(1+((Inputs!$B$12*(1+Inputs!$B$13/100))*0.01+Inputs!$B$14*0.0025)/100)*(1+Inputs!$B$15/100)*(1+Inputs!$B$16/100)*(5000/(6000+Inputs!$B$42*(1-(100*(1-(1-(Inputs!$B$19+0)/100)*(1-CHOOSE(ArtifactsInput!$N$40+1,5,6,7,8,9,10)/100)^(ArtifactsInput!$M$40-ArtifactsInput!$M$40)))/100)))*(1+(Inputs!$B$24+((C2376=TRUE)*(F2376-Calc!F26))+B2386)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+0.4*IF(C2366=TRUE,F2366,0)/100)*(1+(IF(Skills!A5="EIGHT_LEGS_EASTON",Inputs!$B$17+((C2373=TRUE)*(F2373-Calc!F23))+((C2377=TRUE)*(F2377-Calc!F27))+(((IF(AND(ArtifactsInput!$M$42,((Inputs!$B$9+((C2369=TRUE)*(F2369-Calc!F19))+B2380+(ArtifactsInput!$M$24-ArtifactsInput!$M$24)*CHOOSE(ArtifactsInput!$N$24+1,10,12,14,16,18,20)+IF(ArtifactsInput!$M$10,CHOOSE(ArtifactsInput!$N$10+1,15,18,21,24,27,30)*(IF(Inputs!$B$38="pvp",MIN(15,15)/15,IF(AND(Inputs!$B$38&lt;&gt;"pvp",Inputs!$B$43&gt;0),MIN(15,Inputs!$B$43)/(Inputs!$B$43),0))),0)))&gt;=100),MIN(100,((Inputs!$B$9+((C2369=TRUE)*(F2369-Calc!F19))+B2380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2369=TRUE)*(F2369-Calc!F19))+B2380+(ArtifactsInput!$M$24-ArtifactsInput!$M$24)*CHOOSE(ArtifactsInput!$N$24+1,10,12,14,16,18,20)+IF(ArtifactsInput!$M$10,CHOOSE(ArtifactsInput!$N$10+1,15,18,21,24,27,30)*(IF(Inputs!$B$38="pvp",MIN(15,15)/15,IF(AND(Inputs!$B$38&lt;&gt;"pvp",Inputs!$B$43&gt;0),MIN(15,Inputs!$B$43)/(Inputs!$B$43),0))),0)))&gt;=100),CHOOSE(ArtifactsInput!$N$42+1,40,48,56,64,72,80),0))))/100)*((1+(((C2367=TRUE)*F2367)+((C2374=TRUE)*(F2374-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2355)</f>
        <v/>
      </c>
      <c r="L2355">
        <f>K2355*(MIN(Inputs!$B$22+((C2372=TRUE)*(F2372-Calc!F22)),(Inputs!$B$23+0+(IF(ArtifactsInput!$M$15,CHOOSE(ArtifactsInput!$N$15+1,25,30,35,40,45,50)/100*(Inputs!$B$11-Inputs!$B$11),0))))/100+(Inputs!$B$23+0+(IF(ArtifactsInput!$M$15,CHOOSE(ArtifactsInput!$N$15+1,25,30,35,40,45,50)/100*(Inputs!$B$11-Inputs!$B$11),0)))/100)/2</f>
        <v/>
      </c>
      <c r="M2355">
        <f>L2355*(1+(Inputs!$B$10+((C2375=TRUE)*(F2375-Calc!F25))+B2385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5">
        <f>L2355*(1-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2355*(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5">
        <f>(1-Summary!$B$11)*T2355+Summary!$B$11*V2355</f>
        <v/>
      </c>
      <c r="P2355">
        <f>IF(B2390=0,0,O2355/B2390)</f>
        <v/>
      </c>
      <c r="Q2355">
        <f>IFERROR(1/(IF(Inputs!$B$38="pvp",15,MAX(0.1,Skills!D5-IF(Skills!E5=TRUE,Inputs!$B$32,0)))*(1-IF(AND(ArtifactsInput!$M$27,Inputs!$B$4="Chapter Hunt"),CHOOSE(ArtifactsInput!$N$27+1,20,24,28,32,36,40),0)/100)),0)</f>
        <v/>
      </c>
      <c r="R2355">
        <f>IF(AND(Inputs!$B$38&lt;&gt;"pvp",Inputs!$B$43&gt;0),IF(MAX(0,Inputs!$B$43-B2387)&lt;=0,0,(INT(MAX(0,Inputs!$B$43-B2387)/(IF(Inputs!$B$38="pvp",15,MAX(0.1,Skills!D5-IF(Skills!E5=TRUE,Inputs!$B$32,0)))*(1-IF(AND(ArtifactsInput!$M$27,Inputs!$B$4="Chapter Hunt"),CHOOSE(ArtifactsInput!$N$27+1,20,24,28,32,36,40),0)/100)))+1)),0)</f>
        <v/>
      </c>
      <c r="S2355">
        <f>IFERROR(O2355/N2355,0)</f>
        <v/>
      </c>
      <c r="T2355">
        <f>IF(C2355,(H2355*N2355*IF(AND(Inputs!$B$38&lt;&gt;"pvp",Inputs!$B$43&gt;0),((Skills!G5*((R2355-1)*IF(Skills!H5&gt;0,Skills!I5/Skills!H5,1)+IF(Skills!H5&gt;0,MIN(Skills!I5,MAX(0,MAX(0,Inputs!$B$43-B2387)-((R2355-1)*(IF(Inputs!$B$38="pvp",15,MAX(0.1,Skills!D5-IF(Skills!E5=TRUE,Inputs!$B$32,0)))*(1-IF(AND(ArtifactsInput!$M$27,Inputs!$B$4="Chapter Hunt"),CHOOSE(ArtifactsInput!$N$27+1,20,24,28,32,36,40),0)/100)))))/Skills!H5,1)))/Inputs!$B$43),G2355*Q2355)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2355*(1-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2355*(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2355*(1-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2355*(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5">
        <f>IF(C2355,(H2355*N2355*IF(AND(Inputs!$B$38&lt;&gt;"pvp",Inputs!$B$43&gt;0),((Skills!G5*((R2355-1)*IF(Skills!H5&gt;0,Skills!I5/Skills!H5,1)+IF(Skills!H5&gt;0,MIN(Skills!I5,MAX(0,MAX(0,Inputs!$B$43-B2387)-((R2355-1)*(IF(Inputs!$B$38="pvp",15,MAX(0.1,Skills!D5-IF(Skills!E5=TRUE,Inputs!$B$32,0)))*(1-IF(AND(ArtifactsInput!$M$27,Inputs!$B$4="Chapter Hunt"),CHOOSE(ArtifactsInput!$N$27+1,20,24,28,32,36,40),0)/100)))))/Skills!H5,1)))/Inputs!$B$43),G2355*Q2355))*IF(Inputs!$B$38="pvp",1,(1+(Inputs!$B$21+Skills!Q5+(IF(ArtifactsInput!$M$33,CHOOSE(ArtifactsInput!$N$33+1,30,36,42,48,54,60)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6">
      <c r="A2356">
        <f>Skills!A6</f>
        <v/>
      </c>
      <c r="B2356">
        <f>Skills!B6</f>
        <v/>
      </c>
      <c r="C2356">
        <f>Inputs!$B$3&gt;=63</f>
        <v/>
      </c>
      <c r="D2356">
        <f>IF(Skills!C6=1,60+Inputs!$B$25+Inputs!$B$29,IF(Skills!C6=2,90+Inputs!$B$26+Inputs!$B$29,IF(Skills!C6=3,120+Inputs!$B$27+Inputs!$B$29,MAX(0,(Inputs!$B$3-100)*3)+Inputs!$B$28+Inputs!$B$29)))</f>
        <v/>
      </c>
      <c r="E2356">
        <f>INDEX(FactorTable!$B$2:$Y$301, MATCH(ROUND(MIN(300,MAX(1,D2356)),0), FactorTable!$A$2:$A$301,0), Skills!M6+1)</f>
        <v/>
      </c>
      <c r="F2356">
        <f>IF(Skills!N6=TRUE,(Skills!L6/10)*(E2356/1000),Skills!L6/10)+Skills!O6</f>
        <v/>
      </c>
      <c r="G2356">
        <f>Skills!G6*IF(Skills!H6&gt;0,Skills!I6/Skills!H6,1)</f>
        <v/>
      </c>
      <c r="H2356">
        <f>1-(1-Skills!J6/100)^Skills!K6</f>
        <v/>
      </c>
      <c r="I2356" t="inlineStr">
        <is>
          <t>1</t>
        </is>
      </c>
      <c r="J2356">
        <f>((Inputs!$B$6*(1+Inputs!$B$7/100))+(((Inputs!$B$12*(1+Inputs!$B$13/100))-(Inputs!$B$12*(1+Inputs!$B$13/100)))+0.25*(Inputs!$B$14-Inputs!$B$14))*(1+Inputs!$B$7/100))*(F2356/100)</f>
        <v/>
      </c>
      <c r="K2356">
        <f>J2356*(1+((Inputs!$B$12*(1+Inputs!$B$13/100))*0.01+Inputs!$B$14*0.0025)/100)*(1+Inputs!$B$15/100)*(1+Inputs!$B$16/100)*(5000/(6000+Inputs!$B$42*(1-(100*(1-(1-(Inputs!$B$19+0)/100)*(1-CHOOSE(ArtifactsInput!$N$40+1,5,6,7,8,9,10)/100)^(ArtifactsInput!$M$40-ArtifactsInput!$M$40)))/100)))*(1+(Inputs!$B$24+((C2376=TRUE)*(F2376-Calc!F26))+B2386)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+2.0*IF(C2365=TRUE,F2365,0)/100)*(1+(IF(Skills!A6="EIGHT_LEGS_EASTON",Inputs!$B$17+((C2373=TRUE)*(F2373-Calc!F23))+((C2377=TRUE)*(F2377-Calc!F27))+(((IF(AND(ArtifactsInput!$M$42,((Inputs!$B$9+((C2369=TRUE)*(F2369-Calc!F19))+B2380+(ArtifactsInput!$M$24-ArtifactsInput!$M$24)*CHOOSE(ArtifactsInput!$N$24+1,10,12,14,16,18,20)+IF(ArtifactsInput!$M$10,CHOOSE(ArtifactsInput!$N$10+1,15,18,21,24,27,30)*(IF(Inputs!$B$38="pvp",MIN(15,15)/15,IF(AND(Inputs!$B$38&lt;&gt;"pvp",Inputs!$B$43&gt;0),MIN(15,Inputs!$B$43)/(Inputs!$B$43),0))),0)))&gt;=100),MIN(100,((Inputs!$B$9+((C2369=TRUE)*(F2369-Calc!F19))+B2380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2369=TRUE)*(F2369-Calc!F19))+B2380+(ArtifactsInput!$M$24-ArtifactsInput!$M$24)*CHOOSE(ArtifactsInput!$N$24+1,10,12,14,16,18,20)+IF(ArtifactsInput!$M$10,CHOOSE(ArtifactsInput!$N$10+1,15,18,21,24,27,30)*(IF(Inputs!$B$38="pvp",MIN(15,15)/15,IF(AND(Inputs!$B$38&lt;&gt;"pvp",Inputs!$B$43&gt;0),MIN(15,Inputs!$B$43)/(Inputs!$B$43),0))),0)))&gt;=100),CHOOSE(ArtifactsInput!$N$42+1,40,48,56,64,72,80),0))))/100)*((1+(((C2367=TRUE)*F2367)+((C2374=TRUE)*(F2374-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2356)</f>
        <v/>
      </c>
      <c r="L2356">
        <f>K2356*(MIN(Inputs!$B$22+((C2372=TRUE)*(F2372-Calc!F22)),(Inputs!$B$23+0+(IF(ArtifactsInput!$M$15,CHOOSE(ArtifactsInput!$N$15+1,25,30,35,40,45,50)/100*(Inputs!$B$11-Inputs!$B$11),0))))/100+(Inputs!$B$23+0+(IF(ArtifactsInput!$M$15,CHOOSE(ArtifactsInput!$N$15+1,25,30,35,40,45,50)/100*(Inputs!$B$11-Inputs!$B$11),0)))/100)/2</f>
        <v/>
      </c>
      <c r="M2356">
        <f>L2356*(1+(Inputs!$B$10+((C2375=TRUE)*(F2375-Calc!F25))+B2385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6">
        <f>L2356*(1-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2356*(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6">
        <f>(1-Summary!$B$11)*T2356+Summary!$B$11*V2356</f>
        <v/>
      </c>
      <c r="P2356">
        <f>IF(B2390=0,0,O2356/B2390)</f>
        <v/>
      </c>
      <c r="Q2356">
        <f>IFERROR(1/(IF(Inputs!$B$38="pvp",15,MAX(0.1,Skills!D6-IF(Skills!E6=TRUE,Inputs!$B$32,0)))*(1-IF(AND(ArtifactsInput!$M$27,Inputs!$B$4="Chapter Hunt"),CHOOSE(ArtifactsInput!$N$27+1,20,24,28,32,36,40),0)/100)),0)</f>
        <v/>
      </c>
      <c r="R2356">
        <f>IF(AND(Inputs!$B$38&lt;&gt;"pvp",Inputs!$B$43&gt;0),IF(MAX(0,Inputs!$B$43-B2387)&lt;=0,0,(INT(MAX(0,Inputs!$B$43-B2387)/(IF(Inputs!$B$38="pvp",15,MAX(0.1,Skills!D6-IF(Skills!E6=TRUE,Inputs!$B$32,0)))*(1-IF(AND(ArtifactsInput!$M$27,Inputs!$B$4="Chapter Hunt"),CHOOSE(ArtifactsInput!$N$27+1,20,24,28,32,36,40),0)/100)))+1)),0)</f>
        <v/>
      </c>
      <c r="S2356">
        <f>IFERROR(O2356/N2356,0)</f>
        <v/>
      </c>
      <c r="T2356">
        <f>IF(C2356,(H2356*N2356*IF(AND(Inputs!$B$38&lt;&gt;"pvp",Inputs!$B$43&gt;0),((Skills!G6*((R2356-1)*IF(Skills!H6&gt;0,Skills!I6/Skills!H6,1)+IF(Skills!H6&gt;0,MIN(Skills!I6,MAX(0,MAX(0,Inputs!$B$43-B2387)-((R2356-1)*(IF(Inputs!$B$38="pvp",15,MAX(0.1,Skills!D6-IF(Skills!E6=TRUE,Inputs!$B$32,0)))*(1-IF(AND(ArtifactsInput!$M$27,Inputs!$B$4="Chapter Hunt"),CHOOSE(ArtifactsInput!$N$27+1,20,24,28,32,36,40),0)/100)))))/Skills!H6,1)))/Inputs!$B$43),G2356*Q2356)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2356*(1-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2356*(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2356*(1-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2356*(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6">
        <f>IF(C2356,(H2356*N2356*IF(AND(Inputs!$B$38&lt;&gt;"pvp",Inputs!$B$43&gt;0),((Skills!G6*((R2356-1)*IF(Skills!H6&gt;0,Skills!I6/Skills!H6,1)+IF(Skills!H6&gt;0,MIN(Skills!I6,MAX(0,MAX(0,Inputs!$B$43-B2387)-((R2356-1)*(IF(Inputs!$B$38="pvp",15,MAX(0.1,Skills!D6-IF(Skills!E6=TRUE,Inputs!$B$32,0)))*(1-IF(AND(ArtifactsInput!$M$27,Inputs!$B$4="Chapter Hunt"),CHOOSE(ArtifactsInput!$N$27+1,20,24,28,32,36,40),0)/100)))))/Skills!H6,1)))/Inputs!$B$43),G2356*Q2356))*IF(Inputs!$B$38="pvp",1,(1+(Inputs!$B$21+Skills!Q6+(IF(ArtifactsInput!$M$33,CHOOSE(ArtifactsInput!$N$33+1,30,36,42,48,54,60)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7">
      <c r="A2357">
        <f>Skills!A7</f>
        <v/>
      </c>
      <c r="B2357">
        <f>Skills!B7</f>
        <v/>
      </c>
      <c r="C2357">
        <f>Inputs!$B$3&gt;=66</f>
        <v/>
      </c>
      <c r="D2357">
        <f>IF(Skills!C7=1,60+Inputs!$B$25+Inputs!$B$29,IF(Skills!C7=2,90+Inputs!$B$26+Inputs!$B$29,IF(Skills!C7=3,120+Inputs!$B$27+Inputs!$B$29,MAX(0,(Inputs!$B$3-100)*3)+Inputs!$B$28+Inputs!$B$29)))</f>
        <v/>
      </c>
      <c r="E2357">
        <f>INDEX(FactorTable!$B$2:$Y$301, MATCH(ROUND(MIN(300,MAX(1,D2357)),0), FactorTable!$A$2:$A$301,0), Skills!M7+1)</f>
        <v/>
      </c>
      <c r="F2357">
        <f>IF(Skills!N7=TRUE,(Skills!L7/10)*(E2357/1000),Skills!L7/10)+Skills!O7</f>
        <v/>
      </c>
      <c r="G2357">
        <f>Skills!G7*IF(Skills!H7&gt;0,Skills!I7/Skills!H7,1)</f>
        <v/>
      </c>
      <c r="H2357">
        <f>1-(1-Skills!J7/100)^Skills!K7</f>
        <v/>
      </c>
      <c r="I2357" t="inlineStr">
        <is>
          <t>1</t>
        </is>
      </c>
      <c r="J2357">
        <f>((Inputs!$B$6*(1+Inputs!$B$7/100))+(((Inputs!$B$12*(1+Inputs!$B$13/100))-(Inputs!$B$12*(1+Inputs!$B$13/100)))+0.25*(Inputs!$B$14-Inputs!$B$14))*(1+Inputs!$B$7/100))*(F2357/100)</f>
        <v/>
      </c>
      <c r="K2357">
        <f>J2357*(1+((Inputs!$B$12*(1+Inputs!$B$13/100))*0.01+Inputs!$B$14*0.0025)/100)*(1+Inputs!$B$15/100)*(1+Inputs!$B$16/100)*(5000/(6000+Inputs!$B$42*(1-(100*(1-(1-(Inputs!$B$19+0)/100)*(1-CHOOSE(ArtifactsInput!$N$40+1,5,6,7,8,9,10)/100)^(ArtifactsInput!$M$40-ArtifactsInput!$M$40)))/100)))*(1+(Inputs!$B$24+((C2376=TRUE)*(F2376-Calc!F26))+B2386)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2365=TRUE,F2365,0)/100)*(1+(IF(Skills!A7="EIGHT_LEGS_EASTON",Inputs!$B$17+((C2373=TRUE)*(F2373-Calc!F23))+((C2377=TRUE)*(F2377-Calc!F27))+(((IF(AND(ArtifactsInput!$M$42,((Inputs!$B$9+((C2369=TRUE)*(F2369-Calc!F19))+B2380+(ArtifactsInput!$M$24-ArtifactsInput!$M$24)*CHOOSE(ArtifactsInput!$N$24+1,10,12,14,16,18,20)+IF(ArtifactsInput!$M$10,CHOOSE(ArtifactsInput!$N$10+1,15,18,21,24,27,30)*(IF(Inputs!$B$38="pvp",MIN(15,15)/15,IF(AND(Inputs!$B$38&lt;&gt;"pvp",Inputs!$B$43&gt;0),MIN(15,Inputs!$B$43)/(Inputs!$B$43),0))),0)))&gt;=100),MIN(100,((Inputs!$B$9+((C2369=TRUE)*(F2369-Calc!F19))+B2380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2369=TRUE)*(F2369-Calc!F19))+B2380+(ArtifactsInput!$M$24-ArtifactsInput!$M$24)*CHOOSE(ArtifactsInput!$N$24+1,10,12,14,16,18,20)+IF(ArtifactsInput!$M$10,CHOOSE(ArtifactsInput!$N$10+1,15,18,21,24,27,30)*(IF(Inputs!$B$38="pvp",MIN(15,15)/15,IF(AND(Inputs!$B$38&lt;&gt;"pvp",Inputs!$B$43&gt;0),MIN(15,Inputs!$B$43)/(Inputs!$B$43),0))),0)))&gt;=100),CHOOSE(ArtifactsInput!$N$42+1,40,48,56,64,72,80),0))))/100)*((1+(((C2367=TRUE)*F2367)+((C2374=TRUE)*(F2374-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2357)</f>
        <v/>
      </c>
      <c r="L2357">
        <f>K2357*(MIN(Inputs!$B$22+((C2372=TRUE)*(F2372-Calc!F22)),(Inputs!$B$23+0+(IF(ArtifactsInput!$M$15,CHOOSE(ArtifactsInput!$N$15+1,25,30,35,40,45,50)/100*(Inputs!$B$11-Inputs!$B$11),0))))/100+(Inputs!$B$23+0+(IF(ArtifactsInput!$M$15,CHOOSE(ArtifactsInput!$N$15+1,25,30,35,40,45,50)/100*(Inputs!$B$11-Inputs!$B$11),0)))/100)/2</f>
        <v/>
      </c>
      <c r="M2357">
        <f>L2357*(1+(Inputs!$B$10+((C2375=TRUE)*(F2375-Calc!F25))+B2385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7">
        <f>L2357*(1-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2357*(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7">
        <f>(1-Summary!$B$11)*T2357+Summary!$B$11*V2357</f>
        <v/>
      </c>
      <c r="P2357">
        <f>IF(B2390=0,0,O2357/B2390)</f>
        <v/>
      </c>
      <c r="Q2357">
        <f>IFERROR(1/(IF(Inputs!$B$38="pvp",15,MAX(0.1,Skills!D7-IF(Skills!E7=TRUE,Inputs!$B$32,0)))*(1-IF(AND(ArtifactsInput!$M$27,Inputs!$B$4="Chapter Hunt"),CHOOSE(ArtifactsInput!$N$27+1,20,24,28,32,36,40),0)/100)),0)</f>
        <v/>
      </c>
      <c r="R2357">
        <f>IF(AND(Inputs!$B$38&lt;&gt;"pvp",Inputs!$B$43&gt;0),IF(MAX(0,Inputs!$B$43-B2387)&lt;=0,0,(INT(MAX(0,Inputs!$B$43-B2387)/(IF(Inputs!$B$38="pvp",15,MAX(0.1,Skills!D7-IF(Skills!E7=TRUE,Inputs!$B$32,0)))*(1-IF(AND(ArtifactsInput!$M$27,Inputs!$B$4="Chapter Hunt"),CHOOSE(ArtifactsInput!$N$27+1,20,24,28,32,36,40),0)/100)))+1)),0)</f>
        <v/>
      </c>
      <c r="S2357">
        <f>IFERROR(O2357/N2357,0)</f>
        <v/>
      </c>
      <c r="T2357">
        <f>IF(C2357,(H2357*N2357*IF(AND(Inputs!$B$38&lt;&gt;"pvp",Inputs!$B$43&gt;0),((Skills!G7*((R2357-1)*IF(Skills!H7&gt;0,Skills!I7/Skills!H7,1)+IF(Skills!H7&gt;0,MIN(Skills!I7,MAX(0,MAX(0,Inputs!$B$43-B2387)-((R2357-1)*(IF(Inputs!$B$38="pvp",15,MAX(0.1,Skills!D7-IF(Skills!E7=TRUE,Inputs!$B$32,0)))*(1-IF(AND(ArtifactsInput!$M$27,Inputs!$B$4="Chapter Hunt"),CHOOSE(ArtifactsInput!$N$27+1,20,24,28,32,36,40),0)/100)))))/Skills!H7,1)))/Inputs!$B$43),G2357*Q2357)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2357*(1-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2357*(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2357*(1-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2357*(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7">
        <f>IF(C2357,(H2357*N2357*IF(AND(Inputs!$B$38&lt;&gt;"pvp",Inputs!$B$43&gt;0),((Skills!G7*((R2357-1)*IF(Skills!H7&gt;0,Skills!I7/Skills!H7,1)+IF(Skills!H7&gt;0,MIN(Skills!I7,MAX(0,MAX(0,Inputs!$B$43-B2387)-((R2357-1)*(IF(Inputs!$B$38="pvp",15,MAX(0.1,Skills!D7-IF(Skills!E7=TRUE,Inputs!$B$32,0)))*(1-IF(AND(ArtifactsInput!$M$27,Inputs!$B$4="Chapter Hunt"),CHOOSE(ArtifactsInput!$N$27+1,20,24,28,32,36,40),0)/100)))))/Skills!H7,1)))/Inputs!$B$43),G2357*Q2357))*IF(Inputs!$B$38="pvp",1,(1+(Inputs!$B$21+Skills!Q7+(IF(ArtifactsInput!$M$33,CHOOSE(ArtifactsInput!$N$33+1,30,36,42,48,54,60)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8">
      <c r="A2358">
        <f>Skills!A8</f>
        <v/>
      </c>
      <c r="B2358">
        <f>Skills!B8</f>
        <v/>
      </c>
      <c r="C2358">
        <f>Inputs!$B$3&gt;=100</f>
        <v/>
      </c>
      <c r="D2358">
        <f>IF(Skills!C8=1,60+Inputs!$B$25+Inputs!$B$29,IF(Skills!C8=2,90+Inputs!$B$26+Inputs!$B$29,IF(Skills!C8=3,120+Inputs!$B$27+Inputs!$B$29,MAX(0,(Inputs!$B$3-100)*3)+Inputs!$B$28+Inputs!$B$29)))</f>
        <v/>
      </c>
      <c r="E2358">
        <f>INDEX(FactorTable!$B$2:$Y$301, MATCH(ROUND(MIN(300,MAX(1,D2358)),0), FactorTable!$A$2:$A$301,0), Skills!M8+1)</f>
        <v/>
      </c>
      <c r="F2358">
        <f>IF(Skills!N8=TRUE,(Skills!L8/10)*(E2358/1000),Skills!L8/10)+Skills!O8</f>
        <v/>
      </c>
      <c r="G2358">
        <f>Skills!G8*IF(Skills!H8&gt;0,Skills!I8/Skills!H8,1)</f>
        <v/>
      </c>
      <c r="H2358">
        <f>1-(1-Skills!J8/100)^Skills!K8</f>
        <v/>
      </c>
      <c r="I2358" t="inlineStr">
        <is>
          <t>1</t>
        </is>
      </c>
      <c r="J2358">
        <f>((Inputs!$B$6*(1+Inputs!$B$7/100))+(((Inputs!$B$12*(1+Inputs!$B$13/100))-(Inputs!$B$12*(1+Inputs!$B$13/100)))+0.25*(Inputs!$B$14-Inputs!$B$14))*(1+Inputs!$B$7/100))*(F2358/100)</f>
        <v/>
      </c>
      <c r="K2358">
        <f>J2358*(1+((Inputs!$B$12*(1+Inputs!$B$13/100))*0.01+Inputs!$B$14*0.0025)/100)*(1+Inputs!$B$15/100)*(1+Inputs!$B$16/100)*(5000/(6000+Inputs!$B$42*(1-(100*(1-(1-(Inputs!$B$19+0)/100)*(1-CHOOSE(ArtifactsInput!$N$40+1,5,6,7,8,9,10)/100)^(ArtifactsInput!$M$40-ArtifactsInput!$M$40)))/100)))*(1+(Inputs!$B$24+((C2376=TRUE)*(F2376-Calc!F26))+B2386)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EIGHT_LEGS_EASTON",Inputs!$B$17+((C2373=TRUE)*(F2373-Calc!F23))+((C2377=TRUE)*(F2377-Calc!F27))+(((IF(AND(ArtifactsInput!$M$42,((Inputs!$B$9+((C2369=TRUE)*(F2369-Calc!F19))+B2380+(ArtifactsInput!$M$24-ArtifactsInput!$M$24)*CHOOSE(ArtifactsInput!$N$24+1,10,12,14,16,18,20)+IF(ArtifactsInput!$M$10,CHOOSE(ArtifactsInput!$N$10+1,15,18,21,24,27,30)*(IF(Inputs!$B$38="pvp",MIN(15,15)/15,IF(AND(Inputs!$B$38&lt;&gt;"pvp",Inputs!$B$43&gt;0),MIN(15,Inputs!$B$43)/(Inputs!$B$43),0))),0)))&gt;=100),MIN(100,((Inputs!$B$9+((C2369=TRUE)*(F2369-Calc!F19))+B2380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2369=TRUE)*(F2369-Calc!F19))+B2380+(ArtifactsInput!$M$24-ArtifactsInput!$M$24)*CHOOSE(ArtifactsInput!$N$24+1,10,12,14,16,18,20)+IF(ArtifactsInput!$M$10,CHOOSE(ArtifactsInput!$N$10+1,15,18,21,24,27,30)*(IF(Inputs!$B$38="pvp",MIN(15,15)/15,IF(AND(Inputs!$B$38&lt;&gt;"pvp",Inputs!$B$43&gt;0),MIN(15,Inputs!$B$43)/(Inputs!$B$43),0))),0)))&gt;=100),CHOOSE(ArtifactsInput!$N$42+1,40,48,56,64,72,80),0))))/100)*((1+(((C2367=TRUE)*F2367)+((C2374=TRUE)*(F2374-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2358)</f>
        <v/>
      </c>
      <c r="L2358">
        <f>K2358*(MIN(Inputs!$B$22+((C2372=TRUE)*(F2372-Calc!F22)),(Inputs!$B$23+0+(IF(ArtifactsInput!$M$15,CHOOSE(ArtifactsInput!$N$15+1,25,30,35,40,45,50)/100*(Inputs!$B$11-Inputs!$B$11),0))))/100+(Inputs!$B$23+0+(IF(ArtifactsInput!$M$15,CHOOSE(ArtifactsInput!$N$15+1,25,30,35,40,45,50)/100*(Inputs!$B$11-Inputs!$B$11),0)))/100)/2</f>
        <v/>
      </c>
      <c r="M2358">
        <f>L2358*(1+(Inputs!$B$10+((C2375=TRUE)*(F2375-Calc!F25))+B2385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8">
        <f>L2358*(1-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2358*(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8">
        <f>(1-Summary!$B$11)*T2358+Summary!$B$11*V2358</f>
        <v/>
      </c>
      <c r="P2358">
        <f>IF(B2390=0,0,O2358/B2390)</f>
        <v/>
      </c>
      <c r="Q2358">
        <f>IFERROR(1/(IF(Inputs!$B$38="pvp",15,MAX(0.1,Skills!D8-IF(Skills!E8=TRUE,Inputs!$B$32,0)))*(1-IF(AND(ArtifactsInput!$M$27,Inputs!$B$4="Chapter Hunt"),CHOOSE(ArtifactsInput!$N$27+1,20,24,28,32,36,40),0)/100)),0)</f>
        <v/>
      </c>
      <c r="R2358">
        <f>IF(AND(Inputs!$B$38&lt;&gt;"pvp",Inputs!$B$43&gt;0),IF(MAX(0,Inputs!$B$43-B2387)&lt;=0,0,(INT(MAX(0,Inputs!$B$43-B2387)/(IF(Inputs!$B$38="pvp",15,MAX(0.1,Skills!D8-IF(Skills!E8=TRUE,Inputs!$B$32,0)))*(1-IF(AND(ArtifactsInput!$M$27,Inputs!$B$4="Chapter Hunt"),CHOOSE(ArtifactsInput!$N$27+1,20,24,28,32,36,40),0)/100)))+1)),0)</f>
        <v/>
      </c>
      <c r="S2358">
        <f>IFERROR(O2358/N2358,0)</f>
        <v/>
      </c>
      <c r="T2358">
        <f>IF(C2358,(H2358*N2358*IF(AND(Inputs!$B$38&lt;&gt;"pvp",Inputs!$B$43&gt;0),((Skills!G8*((R2358-1)*IF(Skills!H8&gt;0,Skills!I8/Skills!H8,1)+IF(Skills!H8&gt;0,MIN(Skills!I8,MAX(0,MAX(0,Inputs!$B$43-B2387)-((R2358-1)*(IF(Inputs!$B$38="pvp",15,MAX(0.1,Skills!D8-IF(Skills!E8=TRUE,Inputs!$B$32,0)))*(1-IF(AND(ArtifactsInput!$M$27,Inputs!$B$4="Chapter Hunt"),CHOOSE(ArtifactsInput!$N$27+1,20,24,28,32,36,40),0)/100)))))/Skills!H8,1)))/Inputs!$B$43),G2358*Q2358)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2358*(1-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2358*(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2358*(1-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2358*(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8">
        <f>IF(C2358,(H2358*N2358*IF(AND(Inputs!$B$38&lt;&gt;"pvp",Inputs!$B$43&gt;0),((Skills!G8*((R2358-1)*IF(Skills!H8&gt;0,Skills!I8/Skills!H8,1)+IF(Skills!H8&gt;0,MIN(Skills!I8,MAX(0,MAX(0,Inputs!$B$43-B2387)-((R2358-1)*(IF(Inputs!$B$38="pvp",15,MAX(0.1,Skills!D8-IF(Skills!E8=TRUE,Inputs!$B$32,0)))*(1-IF(AND(ArtifactsInput!$M$27,Inputs!$B$4="Chapter Hunt"),CHOOSE(ArtifactsInput!$N$27+1,20,24,28,32,36,40),0)/100)))))/Skills!H8,1)))/Inputs!$B$43),G2358*Q2358))*IF(Inputs!$B$38="pvp",1,(1+(Inputs!$B$21+Skills!Q8+(IF(ArtifactsInput!$M$33,CHOOSE(ArtifactsInput!$N$33+1,30,36,42,48,54,60)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9">
      <c r="A2359">
        <f>Skills!A9</f>
        <v/>
      </c>
      <c r="B2359">
        <f>Skills!B9</f>
        <v/>
      </c>
      <c r="C2359">
        <f>Inputs!$B$3&gt;=103</f>
        <v/>
      </c>
      <c r="D2359">
        <f>IF(Skills!C9=1,60+Inputs!$B$25+Inputs!$B$29,IF(Skills!C9=2,90+Inputs!$B$26+Inputs!$B$29,IF(Skills!C9=3,120+Inputs!$B$27+Inputs!$B$29,MAX(0,(Inputs!$B$3-100)*3)+Inputs!$B$28+Inputs!$B$29)))</f>
        <v/>
      </c>
      <c r="E2359">
        <f>INDEX(FactorTable!$B$2:$Y$301, MATCH(ROUND(MIN(300,MAX(1,D2359)),0), FactorTable!$A$2:$A$301,0), Skills!M9+1)</f>
        <v/>
      </c>
      <c r="F2359">
        <f>IF(Skills!N9=TRUE,(Skills!L9/10)*(E2359/1000),Skills!L9/10)+Skills!O9</f>
        <v/>
      </c>
      <c r="G2359">
        <f>Skills!G9*IF(Skills!H9&gt;0,Skills!I9/Skills!H9,1)</f>
        <v/>
      </c>
      <c r="H2359">
        <f>1-(1-Skills!J9/100)^Skills!K9</f>
        <v/>
      </c>
      <c r="I2359" t="inlineStr">
        <is>
          <t>1</t>
        </is>
      </c>
      <c r="J2359">
        <f>((Inputs!$B$6*(1+Inputs!$B$7/100))+(((Inputs!$B$12*(1+Inputs!$B$13/100))-(Inputs!$B$12*(1+Inputs!$B$13/100)))+0.25*(Inputs!$B$14-Inputs!$B$14))*(1+Inputs!$B$7/100))*(F2359/100)</f>
        <v/>
      </c>
      <c r="K2359">
        <f>J2359*(1+((Inputs!$B$12*(1+Inputs!$B$13/100))*0.01+Inputs!$B$14*0.0025)/100)*(1+Inputs!$B$15/100)*(1+Inputs!$B$16/100)*(5000/(6000+Inputs!$B$42*(1-(100*(1-(1-(Inputs!$B$19+0)/100)*(1-CHOOSE(ArtifactsInput!$N$40+1,5,6,7,8,9,10)/100)^(ArtifactsInput!$M$40-ArtifactsInput!$M$40)))/100)))*(1+(Inputs!$B$24+((C2376=TRUE)*(F2376-Calc!F26))+B2386)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EIGHT_LEGS_EASTON",Inputs!$B$17+((C2373=TRUE)*(F2373-Calc!F23))+((C2377=TRUE)*(F2377-Calc!F27))+(((IF(AND(ArtifactsInput!$M$42,((Inputs!$B$9+((C2369=TRUE)*(F2369-Calc!F19))+B2380+(ArtifactsInput!$M$24-ArtifactsInput!$M$24)*CHOOSE(ArtifactsInput!$N$24+1,10,12,14,16,18,20)+IF(ArtifactsInput!$M$10,CHOOSE(ArtifactsInput!$N$10+1,15,18,21,24,27,30)*(IF(Inputs!$B$38="pvp",MIN(15,15)/15,IF(AND(Inputs!$B$38&lt;&gt;"pvp",Inputs!$B$43&gt;0),MIN(15,Inputs!$B$43)/(Inputs!$B$43),0))),0)))&gt;=100),MIN(100,((Inputs!$B$9+((C2369=TRUE)*(F2369-Calc!F19))+B2380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2369=TRUE)*(F2369-Calc!F19))+B2380+(ArtifactsInput!$M$24-ArtifactsInput!$M$24)*CHOOSE(ArtifactsInput!$N$24+1,10,12,14,16,18,20)+IF(ArtifactsInput!$M$10,CHOOSE(ArtifactsInput!$N$10+1,15,18,21,24,27,30)*(IF(Inputs!$B$38="pvp",MIN(15,15)/15,IF(AND(Inputs!$B$38&lt;&gt;"pvp",Inputs!$B$43&gt;0),MIN(15,Inputs!$B$43)/(Inputs!$B$43),0))),0)))&gt;=100),CHOOSE(ArtifactsInput!$N$42+1,40,48,56,64,72,80),0))))/100)*((1+(((C2367=TRUE)*F2367)+((C2374=TRUE)*(F2374-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2359)</f>
        <v/>
      </c>
      <c r="L2359">
        <f>K2359*(MIN(Inputs!$B$22+((C2372=TRUE)*(F2372-Calc!F22)),(Inputs!$B$23+0+(IF(ArtifactsInput!$M$15,CHOOSE(ArtifactsInput!$N$15+1,25,30,35,40,45,50)/100*(Inputs!$B$11-Inputs!$B$11),0))))/100+(Inputs!$B$23+0+(IF(ArtifactsInput!$M$15,CHOOSE(ArtifactsInput!$N$15+1,25,30,35,40,45,50)/100*(Inputs!$B$11-Inputs!$B$11),0)))/100)/2</f>
        <v/>
      </c>
      <c r="M2359">
        <f>L2359*(1+(Inputs!$B$10+((C2375=TRUE)*(F2375-Calc!F25))+B2385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9">
        <f>L2359*(1-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2359*(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9">
        <f>(1-Summary!$B$11)*T2359+Summary!$B$11*V2359</f>
        <v/>
      </c>
      <c r="P2359">
        <f>IF(B2390=0,0,O2359/B2390)</f>
        <v/>
      </c>
      <c r="Q2359">
        <f>IFERROR(1/(IF(Inputs!$B$38="pvp",15,MAX(0.1,Skills!D9-IF(Skills!E9=TRUE,Inputs!$B$32,0)))*(1-IF(AND(ArtifactsInput!$M$27,Inputs!$B$4="Chapter Hunt"),CHOOSE(ArtifactsInput!$N$27+1,20,24,28,32,36,40),0)/100)),0)</f>
        <v/>
      </c>
      <c r="R2359">
        <f>IF(AND(Inputs!$B$38&lt;&gt;"pvp",Inputs!$B$43&gt;0),IF(MAX(0,Inputs!$B$43-B2387)&lt;=0,0,(INT(MAX(0,Inputs!$B$43-B2387)/(IF(Inputs!$B$38="pvp",15,MAX(0.1,Skills!D9-IF(Skills!E9=TRUE,Inputs!$B$32,0)))*(1-IF(AND(ArtifactsInput!$M$27,Inputs!$B$4="Chapter Hunt"),CHOOSE(ArtifactsInput!$N$27+1,20,24,28,32,36,40),0)/100)))+1)),0)</f>
        <v/>
      </c>
      <c r="S2359">
        <f>IFERROR(O2359/N2359,0)</f>
        <v/>
      </c>
      <c r="T2359">
        <f>IF(C2359,(H2359*N2359*IF(AND(Inputs!$B$38&lt;&gt;"pvp",Inputs!$B$43&gt;0),((Skills!G9*((R2359-1)*IF(Skills!H9&gt;0,Skills!I9/Skills!H9,1)+IF(Skills!H9&gt;0,MIN(Skills!I9,MAX(0,MAX(0,Inputs!$B$43-B2387)-((R2359-1)*(IF(Inputs!$B$38="pvp",15,MAX(0.1,Skills!D9-IF(Skills!E9=TRUE,Inputs!$B$32,0)))*(1-IF(AND(ArtifactsInput!$M$27,Inputs!$B$4="Chapter Hunt"),CHOOSE(ArtifactsInput!$N$27+1,20,24,28,32,36,40),0)/100)))))/Skills!H9,1)))/Inputs!$B$43),G2359*Q2359)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2359*(1-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2359*(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2359*(1-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2359*(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9">
        <f>IF(C2359,(H2359*N2359*IF(AND(Inputs!$B$38&lt;&gt;"pvp",Inputs!$B$43&gt;0),((Skills!G9*((R2359-1)*IF(Skills!H9&gt;0,Skills!I9/Skills!H9,1)+IF(Skills!H9&gt;0,MIN(Skills!I9,MAX(0,MAX(0,Inputs!$B$43-B2387)-((R2359-1)*(IF(Inputs!$B$38="pvp",15,MAX(0.1,Skills!D9-IF(Skills!E9=TRUE,Inputs!$B$32,0)))*(1-IF(AND(ArtifactsInput!$M$27,Inputs!$B$4="Chapter Hunt"),CHOOSE(ArtifactsInput!$N$27+1,20,24,28,32,36,40),0)/100)))))/Skills!H9,1)))/Inputs!$B$43),G2359*Q2359))*IF(Inputs!$B$38="pvp",1,(1+(Inputs!$B$21+Skills!Q9+(IF(ArtifactsInput!$M$33,CHOOSE(ArtifactsInput!$N$33+1,30,36,42,48,54,60)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0">
      <c r="A2360">
        <f>Skills!A10</f>
        <v/>
      </c>
      <c r="B2360">
        <f>Skills!B10</f>
        <v/>
      </c>
      <c r="C2360">
        <f>Inputs!$B$3&gt;=113</f>
        <v/>
      </c>
      <c r="D2360">
        <f>IF(Skills!C10=1,60+Inputs!$B$25+Inputs!$B$29,IF(Skills!C10=2,90+Inputs!$B$26+Inputs!$B$29,IF(Skills!C10=3,120+Inputs!$B$27+Inputs!$B$29,MAX(0,(Inputs!$B$3-100)*3)+Inputs!$B$28+Inputs!$B$29)))</f>
        <v/>
      </c>
      <c r="E2360">
        <f>INDEX(FactorTable!$B$2:$Y$301, MATCH(ROUND(MIN(300,MAX(1,D2360)),0), FactorTable!$A$2:$A$301,0), Skills!M10+1)</f>
        <v/>
      </c>
      <c r="F2360">
        <f>IF(Skills!N10=TRUE,(Skills!L10/10)*(E2360/1000),Skills!L10/10)+Skills!O10</f>
        <v/>
      </c>
      <c r="G2360">
        <f>Skills!G10*IF(Skills!H10&gt;0,Skills!I10/Skills!H10,1)</f>
        <v/>
      </c>
      <c r="H2360">
        <f>1-(1-Skills!J10/100)^Skills!K10</f>
        <v/>
      </c>
      <c r="I2360" t="inlineStr">
        <is>
          <t>1</t>
        </is>
      </c>
      <c r="J2360">
        <f>((Inputs!$B$6*(1+Inputs!$B$7/100))+(((Inputs!$B$12*(1+Inputs!$B$13/100))-(Inputs!$B$12*(1+Inputs!$B$13/100)))+0.25*(Inputs!$B$14-Inputs!$B$14))*(1+Inputs!$B$7/100))*(F2360/100)</f>
        <v/>
      </c>
      <c r="K2360">
        <f>J2360*(1+((Inputs!$B$12*(1+Inputs!$B$13/100))*0.01+Inputs!$B$14*0.0025)/100)*(1+Inputs!$B$15/100)*(1+Inputs!$B$16/100)*(5000/(6000+Inputs!$B$42*(1-(100*(1-(1-(Inputs!$B$19+0)/100)*(1-CHOOSE(ArtifactsInput!$N$40+1,5,6,7,8,9,10)/100)^(ArtifactsInput!$M$40-ArtifactsInput!$M$40)))/100)))*(1+(Inputs!$B$24+((C2376=TRUE)*(F2376-Calc!F26))+B2386)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EIGHT_LEGS_EASTON",Inputs!$B$17+((C2373=TRUE)*(F2373-Calc!F23))+((C2377=TRUE)*(F2377-Calc!F27))+(((IF(AND(ArtifactsInput!$M$42,((Inputs!$B$9+((C2369=TRUE)*(F2369-Calc!F19))+B2380+(ArtifactsInput!$M$24-ArtifactsInput!$M$24)*CHOOSE(ArtifactsInput!$N$24+1,10,12,14,16,18,20)+IF(ArtifactsInput!$M$10,CHOOSE(ArtifactsInput!$N$10+1,15,18,21,24,27,30)*(IF(Inputs!$B$38="pvp",MIN(15,15)/15,IF(AND(Inputs!$B$38&lt;&gt;"pvp",Inputs!$B$43&gt;0),MIN(15,Inputs!$B$43)/(Inputs!$B$43),0))),0)))&gt;=100),MIN(100,((Inputs!$B$9+((C2369=TRUE)*(F2369-Calc!F19))+B2380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2369=TRUE)*(F2369-Calc!F19))+B2380+(ArtifactsInput!$M$24-ArtifactsInput!$M$24)*CHOOSE(ArtifactsInput!$N$24+1,10,12,14,16,18,20)+IF(ArtifactsInput!$M$10,CHOOSE(ArtifactsInput!$N$10+1,15,18,21,24,27,30)*(IF(Inputs!$B$38="pvp",MIN(15,15)/15,IF(AND(Inputs!$B$38&lt;&gt;"pvp",Inputs!$B$43&gt;0),MIN(15,Inputs!$B$43)/(Inputs!$B$43),0))),0)))&gt;=100),CHOOSE(ArtifactsInput!$N$42+1,40,48,56,64,72,80),0))))/100)*((1+(((C2367=TRUE)*F2367)+((C2374=TRUE)*(F2374-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2360)</f>
        <v/>
      </c>
      <c r="L2360">
        <f>K2360*(MIN(Inputs!$B$22+((C2372=TRUE)*(F2372-Calc!F22)),(Inputs!$B$23+0+(IF(ArtifactsInput!$M$15,CHOOSE(ArtifactsInput!$N$15+1,25,30,35,40,45,50)/100*(Inputs!$B$11-Inputs!$B$11),0))))/100+(Inputs!$B$23+0+(IF(ArtifactsInput!$M$15,CHOOSE(ArtifactsInput!$N$15+1,25,30,35,40,45,50)/100*(Inputs!$B$11-Inputs!$B$11),0)))/100)/2</f>
        <v/>
      </c>
      <c r="M2360">
        <f>L2360*(1+(Inputs!$B$10+((C2375=TRUE)*(F2375-Calc!F25))+B2385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0">
        <f>L2360*(1-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2360*(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0">
        <f>(1-Summary!$B$11)*T2360+Summary!$B$11*V2360</f>
        <v/>
      </c>
      <c r="P2360">
        <f>IF(B2390=0,0,O2360/B2390)</f>
        <v/>
      </c>
      <c r="Q2360">
        <f>IFERROR(1/(IF(Inputs!$B$38="pvp",15,MAX(0.1,Skills!D10-IF(Skills!E10=TRUE,Inputs!$B$32,0)))*(1-IF(AND(ArtifactsInput!$M$27,Inputs!$B$4="Chapter Hunt"),CHOOSE(ArtifactsInput!$N$27+1,20,24,28,32,36,40),0)/100)),0)</f>
        <v/>
      </c>
      <c r="R2360">
        <f>IF(AND(Inputs!$B$38&lt;&gt;"pvp",Inputs!$B$43&gt;0),IF(MAX(0,Inputs!$B$43-B2387)&lt;=0,0,(INT(MAX(0,Inputs!$B$43-B2387)/(IF(Inputs!$B$38="pvp",15,MAX(0.1,Skills!D10-IF(Skills!E10=TRUE,Inputs!$B$32,0)))*(1-IF(AND(ArtifactsInput!$M$27,Inputs!$B$4="Chapter Hunt"),CHOOSE(ArtifactsInput!$N$27+1,20,24,28,32,36,40),0)/100)))+1)),0)</f>
        <v/>
      </c>
      <c r="S2360">
        <f>IFERROR(O2360/N2360,0)</f>
        <v/>
      </c>
      <c r="T2360">
        <f>IF(C2360,(H2360*N2360*IF(AND(Inputs!$B$38&lt;&gt;"pvp",Inputs!$B$43&gt;0),((Skills!G10*((R2360-1)*IF(Skills!H10&gt;0,Skills!I10/Skills!H10,1)+IF(Skills!H10&gt;0,MIN(Skills!I10,MAX(0,MAX(0,Inputs!$B$43-B2387)-((R2360-1)*(IF(Inputs!$B$38="pvp",15,MAX(0.1,Skills!D10-IF(Skills!E10=TRUE,Inputs!$B$32,0)))*(1-IF(AND(ArtifactsInput!$M$27,Inputs!$B$4="Chapter Hunt"),CHOOSE(ArtifactsInput!$N$27+1,20,24,28,32,36,40),0)/100)))))/Skills!H10,1)))/Inputs!$B$43),G2360*Q2360)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2360*(1-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2360*(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2360*(1-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2360*(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0">
        <f>IF(C2360,(H2360*N2360*IF(AND(Inputs!$B$38&lt;&gt;"pvp",Inputs!$B$43&gt;0),((Skills!G10*((R2360-1)*IF(Skills!H10&gt;0,Skills!I10/Skills!H10,1)+IF(Skills!H10&gt;0,MIN(Skills!I10,MAX(0,MAX(0,Inputs!$B$43-B2387)-((R2360-1)*(IF(Inputs!$B$38="pvp",15,MAX(0.1,Skills!D10-IF(Skills!E10=TRUE,Inputs!$B$32,0)))*(1-IF(AND(ArtifactsInput!$M$27,Inputs!$B$4="Chapter Hunt"),CHOOSE(ArtifactsInput!$N$27+1,20,24,28,32,36,40),0)/100)))))/Skills!H10,1)))/Inputs!$B$43),G2360*Q2360))*IF(Inputs!$B$38="pvp",1,(1+(Inputs!$B$21+Skills!Q10+(IF(ArtifactsInput!$M$33,CHOOSE(ArtifactsInput!$N$33+1,30,36,42,48,54,60)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1">
      <c r="A2361">
        <f>Skills!A11</f>
        <v/>
      </c>
      <c r="B2361">
        <f>Skills!B11</f>
        <v/>
      </c>
      <c r="C2361">
        <f>Inputs!$B$3&gt;=107</f>
        <v/>
      </c>
      <c r="D2361">
        <f>IF(Skills!C11=1,60+Inputs!$B$25+Inputs!$B$29,IF(Skills!C11=2,90+Inputs!$B$26+Inputs!$B$29,IF(Skills!C11=3,120+Inputs!$B$27+Inputs!$B$29,MAX(0,(Inputs!$B$3-100)*3)+Inputs!$B$28+Inputs!$B$29)))</f>
        <v/>
      </c>
      <c r="E2361">
        <f>INDEX(FactorTable!$B$2:$Y$301, MATCH(ROUND(MIN(300,MAX(1,D2361)),0), FactorTable!$A$2:$A$301,0), Skills!M11+1)</f>
        <v/>
      </c>
      <c r="F2361">
        <f>IF(Skills!N11=TRUE,(Skills!L11/10)*(E2361/1000),Skills!L11/10)+Skills!O11</f>
        <v/>
      </c>
      <c r="G2361">
        <f>Skills!G11*IF(Skills!H11&gt;0,Skills!I11/Skills!H11,1)</f>
        <v/>
      </c>
      <c r="H2361">
        <f>1-(1-Skills!J11/100)^Skills!K11</f>
        <v/>
      </c>
      <c r="I2361" t="inlineStr">
        <is>
          <t>1</t>
        </is>
      </c>
      <c r="J2361">
        <f>((Inputs!$B$6*(1+Inputs!$B$7/100))+(((Inputs!$B$12*(1+Inputs!$B$13/100))-(Inputs!$B$12*(1+Inputs!$B$13/100)))+0.25*(Inputs!$B$14-Inputs!$B$14))*(1+Inputs!$B$7/100))*(F2361/100)</f>
        <v/>
      </c>
      <c r="K2361">
        <f>J2361*(1+((Inputs!$B$12*(1+Inputs!$B$13/100))*0.01+Inputs!$B$14*0.0025)/100)*(1+Inputs!$B$15/100)*(1+Inputs!$B$16/100)*(5000/(6000+Inputs!$B$42*(1-(100*(1-(1-(Inputs!$B$19+0)/100)*(1-CHOOSE(ArtifactsInput!$N$40+1,5,6,7,8,9,10)/100)^(ArtifactsInput!$M$40-ArtifactsInput!$M$40)))/100)))*(1+(Inputs!$B$24+((C2376=TRUE)*(F2376-Calc!F26))+B2386)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11="EIGHT_LEGS_EASTON",Inputs!$B$17+((C2373=TRUE)*(F2373-Calc!F23))+((C2377=TRUE)*(F2377-Calc!F27))+(((IF(AND(ArtifactsInput!$M$42,((Inputs!$B$9+((C2369=TRUE)*(F2369-Calc!F19))+B2380+(ArtifactsInput!$M$24-ArtifactsInput!$M$24)*CHOOSE(ArtifactsInput!$N$24+1,10,12,14,16,18,20)+IF(ArtifactsInput!$M$10,CHOOSE(ArtifactsInput!$N$10+1,15,18,21,24,27,30)*(IF(Inputs!$B$38="pvp",MIN(15,15)/15,IF(AND(Inputs!$B$38&lt;&gt;"pvp",Inputs!$B$43&gt;0),MIN(15,Inputs!$B$43)/(Inputs!$B$43),0))),0)))&gt;=100),MIN(100,((Inputs!$B$9+((C2369=TRUE)*(F2369-Calc!F19))+B2380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2369=TRUE)*(F2369-Calc!F19))+B2380+(ArtifactsInput!$M$24-ArtifactsInput!$M$24)*CHOOSE(ArtifactsInput!$N$24+1,10,12,14,16,18,20)+IF(ArtifactsInput!$M$10,CHOOSE(ArtifactsInput!$N$10+1,15,18,21,24,27,30)*(IF(Inputs!$B$38="pvp",MIN(15,15)/15,IF(AND(Inputs!$B$38&lt;&gt;"pvp",Inputs!$B$43&gt;0),MIN(15,Inputs!$B$43)/(Inputs!$B$43),0))),0)))&gt;=100),CHOOSE(ArtifactsInput!$N$42+1,40,48,56,64,72,80),0))))/100)*((1+(((C2367=TRUE)*F2367)+((C2374=TRUE)*(F2374-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2361)</f>
        <v/>
      </c>
      <c r="L2361">
        <f>K2361*(MIN(Inputs!$B$22+((C2372=TRUE)*(F2372-Calc!F22)),(Inputs!$B$23+0+(IF(ArtifactsInput!$M$15,CHOOSE(ArtifactsInput!$N$15+1,25,30,35,40,45,50)/100*(Inputs!$B$11-Inputs!$B$11),0))))/100+(Inputs!$B$23+0+(IF(ArtifactsInput!$M$15,CHOOSE(ArtifactsInput!$N$15+1,25,30,35,40,45,50)/100*(Inputs!$B$11-Inputs!$B$11),0)))/100)/2</f>
        <v/>
      </c>
      <c r="M2361">
        <f>L2361*(1+(Inputs!$B$10+((C2375=TRUE)*(F2375-Calc!F25))+B2385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1">
        <f>L2361*(1-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2361*(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1">
        <f>(1-Summary!$B$11)*T2361+Summary!$B$11*V2361</f>
        <v/>
      </c>
      <c r="P2361">
        <f>IF(B2390=0,0,O2361/B2390)</f>
        <v/>
      </c>
      <c r="Q2361">
        <f>IFERROR(1/(IF(Inputs!$B$38="pvp",15,MAX(0.1,Skills!D11-IF(Skills!E11=TRUE,Inputs!$B$32,0)))*(1-IF(AND(ArtifactsInput!$M$27,Inputs!$B$4="Chapter Hunt"),CHOOSE(ArtifactsInput!$N$27+1,20,24,28,32,36,40),0)/100)),0)</f>
        <v/>
      </c>
      <c r="R2361">
        <f>IF(AND(Inputs!$B$38&lt;&gt;"pvp",Inputs!$B$43&gt;0),IF(MAX(0,Inputs!$B$43-B2387)&lt;=0,0,(INT(MAX(0,Inputs!$B$43-B2387)/(IF(Inputs!$B$38="pvp",15,MAX(0.1,Skills!D11-IF(Skills!E11=TRUE,Inputs!$B$32,0)))*(1-IF(AND(ArtifactsInput!$M$27,Inputs!$B$4="Chapter Hunt"),CHOOSE(ArtifactsInput!$N$27+1,20,24,28,32,36,40),0)/100)))+1)),0)</f>
        <v/>
      </c>
      <c r="S2361">
        <f>IFERROR(O2361/N2361,0)</f>
        <v/>
      </c>
      <c r="T2361">
        <f>IF(C2361,(H2361*N2361*IF(AND(Inputs!$B$38&lt;&gt;"pvp",Inputs!$B$43&gt;0),((Skills!G11*((R2361-1)*IF(Skills!H11&gt;0,Skills!I11/Skills!H11,1)+IF(Skills!H11&gt;0,MIN(Skills!I11,MAX(0,MAX(0,Inputs!$B$43-B2387)-((R2361-1)*(IF(Inputs!$B$38="pvp",15,MAX(0.1,Skills!D11-IF(Skills!E11=TRUE,Inputs!$B$32,0)))*(1-IF(AND(ArtifactsInput!$M$27,Inputs!$B$4="Chapter Hunt"),CHOOSE(ArtifactsInput!$N$27+1,20,24,28,32,36,40),0)/100)))))/Skills!H11,1)))/Inputs!$B$43),G2361*Q2361)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2361*(1-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1">
        <f>IF(C2361,(H2361*N2361*IF(AND(Inputs!$B$38&lt;&gt;"pvp",Inputs!$B$43&gt;0),((Skills!G11*((R2361-1)*IF(Skills!H11&gt;0,Skills!I11/Skills!H11,1)+IF(Skills!H11&gt;0,MIN(Skills!I11,MAX(0,MAX(0,Inputs!$B$43-B2387)-((R2361-1)*(IF(Inputs!$B$38="pvp",15,MAX(0.1,Skills!D11-IF(Skills!E11=TRUE,Inputs!$B$32,0)))*(1-IF(AND(ArtifactsInput!$M$27,Inputs!$B$4="Chapter Hunt"),CHOOSE(ArtifactsInput!$N$27+1,20,24,28,32,36,40),0)/100)))))/Skills!H11,1)))/Inputs!$B$43),G2361*Q2361))*IF(Inputs!$B$38="pvp",1,(1+(Inputs!$B$21+Skills!Q11+(IF(ArtifactsInput!$M$33,CHOOSE(ArtifactsInput!$N$33+1,30,36,42,48,54,60)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2">
      <c r="A2362">
        <f>Skills!A12</f>
        <v/>
      </c>
      <c r="B2362">
        <f>Skills!B12</f>
        <v/>
      </c>
      <c r="C2362">
        <f>Inputs!$B$3&gt;=110</f>
        <v/>
      </c>
      <c r="D2362">
        <f>IF(Skills!C12=1,60+Inputs!$B$25+Inputs!$B$29,IF(Skills!C12=2,90+Inputs!$B$26+Inputs!$B$29,IF(Skills!C12=3,120+Inputs!$B$27+Inputs!$B$29,MAX(0,(Inputs!$B$3-100)*3)+Inputs!$B$28+Inputs!$B$29)))</f>
        <v/>
      </c>
      <c r="E2362">
        <f>INDEX(FactorTable!$B$2:$Y$301, MATCH(ROUND(MIN(300,MAX(1,D2362)),0), FactorTable!$A$2:$A$301,0), Skills!M12+1)</f>
        <v/>
      </c>
      <c r="F2362">
        <f>IF(Skills!N12=TRUE,(Skills!L12/10)*(E2362/1000),Skills!L12/10)+Skills!O12</f>
        <v/>
      </c>
      <c r="G2362">
        <f>Skills!G12*IF(Skills!H12&gt;0,Skills!I12/Skills!H12,1)</f>
        <v/>
      </c>
      <c r="H2362">
        <f>1-(1-Skills!J12/100)^Skills!K12</f>
        <v/>
      </c>
      <c r="I2362" t="inlineStr">
        <is>
          <t>1</t>
        </is>
      </c>
      <c r="J2362">
        <f>((Inputs!$B$6*(1+Inputs!$B$7/100))+(((Inputs!$B$12*(1+Inputs!$B$13/100))-(Inputs!$B$12*(1+Inputs!$B$13/100)))+0.25*(Inputs!$B$14-Inputs!$B$14))*(1+Inputs!$B$7/100))*(F2362/100)</f>
        <v/>
      </c>
      <c r="K2362">
        <f>J2362*(1+((Inputs!$B$12*(1+Inputs!$B$13/100))*0.01+Inputs!$B$14*0.0025)/100)*(1+Inputs!$B$15/100)*(1+Inputs!$B$16/100)*(5000/(6000+Inputs!$B$42*(1-(100*(1-(1-(Inputs!$B$19+0)/100)*(1-CHOOSE(ArtifactsInput!$N$40+1,5,6,7,8,9,10)/100)^(ArtifactsInput!$M$40-ArtifactsInput!$M$40)))/100)))*(1+(Inputs!$B$24+((C2376=TRUE)*(F2376-Calc!F26))+B2386)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12="EIGHT_LEGS_EASTON",Inputs!$B$17+((C2373=TRUE)*(F2373-Calc!F23))+((C2377=TRUE)*(F2377-Calc!F27))+(((IF(AND(ArtifactsInput!$M$42,((Inputs!$B$9+((C2369=TRUE)*(F2369-Calc!F19))+B2380+(ArtifactsInput!$M$24-ArtifactsInput!$M$24)*CHOOSE(ArtifactsInput!$N$24+1,10,12,14,16,18,20)+IF(ArtifactsInput!$M$10,CHOOSE(ArtifactsInput!$N$10+1,15,18,21,24,27,30)*(IF(Inputs!$B$38="pvp",MIN(15,15)/15,IF(AND(Inputs!$B$38&lt;&gt;"pvp",Inputs!$B$43&gt;0),MIN(15,Inputs!$B$43)/(Inputs!$B$43),0))),0)))&gt;=100),MIN(100,((Inputs!$B$9+((C2369=TRUE)*(F2369-Calc!F19))+B2380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2369=TRUE)*(F2369-Calc!F19))+B2380+(ArtifactsInput!$M$24-ArtifactsInput!$M$24)*CHOOSE(ArtifactsInput!$N$24+1,10,12,14,16,18,20)+IF(ArtifactsInput!$M$10,CHOOSE(ArtifactsInput!$N$10+1,15,18,21,24,27,30)*(IF(Inputs!$B$38="pvp",MIN(15,15)/15,IF(AND(Inputs!$B$38&lt;&gt;"pvp",Inputs!$B$43&gt;0),MIN(15,Inputs!$B$43)/(Inputs!$B$43),0))),0)))&gt;=100),CHOOSE(ArtifactsInput!$N$42+1,40,48,56,64,72,80),0))))/100)*((1+(((C2367=TRUE)*F2367)+((C2374=TRUE)*(F2374-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2362)</f>
        <v/>
      </c>
      <c r="L2362">
        <f>K2362*(MIN(Inputs!$B$22+((C2372=TRUE)*(F2372-Calc!F22)),(Inputs!$B$23+0+(IF(ArtifactsInput!$M$15,CHOOSE(ArtifactsInput!$N$15+1,25,30,35,40,45,50)/100*(Inputs!$B$11-Inputs!$B$11),0))))/100+(Inputs!$B$23+0+(IF(ArtifactsInput!$M$15,CHOOSE(ArtifactsInput!$N$15+1,25,30,35,40,45,50)/100*(Inputs!$B$11-Inputs!$B$11),0)))/100)/2</f>
        <v/>
      </c>
      <c r="M2362">
        <f>L2362*(1+(Inputs!$B$10+((C2375=TRUE)*(F2375-Calc!F25))+B2385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2">
        <f>L2362*(1-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2362*(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2">
        <f>(1-Summary!$B$11)*T2362+Summary!$B$11*V2362</f>
        <v/>
      </c>
      <c r="P2362">
        <f>IF(B2390=0,0,O2362/B2390)</f>
        <v/>
      </c>
      <c r="Q2362">
        <f>IFERROR(1/(IF(Inputs!$B$38="pvp",15,MAX(0.1,Skills!D12-IF(Skills!E12=TRUE,Inputs!$B$32,0)))*(1-IF(AND(ArtifactsInput!$M$27,Inputs!$B$4="Chapter Hunt"),CHOOSE(ArtifactsInput!$N$27+1,20,24,28,32,36,40),0)/100)),0)</f>
        <v/>
      </c>
      <c r="R2362">
        <f>IF(AND(Inputs!$B$38&lt;&gt;"pvp",Inputs!$B$43&gt;0),IF(MAX(0,Inputs!$B$43-B2387)&lt;=0,0,(INT(MAX(0,Inputs!$B$43-B2387)/(IF(Inputs!$B$38="pvp",15,MAX(0.1,Skills!D12-IF(Skills!E12=TRUE,Inputs!$B$32,0)))*(1-IF(AND(ArtifactsInput!$M$27,Inputs!$B$4="Chapter Hunt"),CHOOSE(ArtifactsInput!$N$27+1,20,24,28,32,36,40),0)/100)))+1)),0)</f>
        <v/>
      </c>
      <c r="S2362">
        <f>IFERROR(O2362/N2362,0)</f>
        <v/>
      </c>
      <c r="T2362">
        <f>IF(C2362,(H2362*N2362*IF(AND(Inputs!$B$38&lt;&gt;"pvp",Inputs!$B$43&gt;0),((Skills!G12*((R2362-1)*IF(Skills!H12&gt;0,Skills!I12/Skills!H12,1)+IF(Skills!H12&gt;0,MIN(Skills!I12,MAX(0,MAX(0,Inputs!$B$43-B2387)-((R2362-1)*(IF(Inputs!$B$38="pvp",15,MAX(0.1,Skills!D12-IF(Skills!E12=TRUE,Inputs!$B$32,0)))*(1-IF(AND(ArtifactsInput!$M$27,Inputs!$B$4="Chapter Hunt"),CHOOSE(ArtifactsInput!$N$27+1,20,24,28,32,36,40),0)/100)))))/Skills!H12,1)))/Inputs!$B$43),G2362*Q2362)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2362*(1-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2362*(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2362*(1-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2362*(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2">
        <f>IF(C2362,(H2362*N2362*IF(AND(Inputs!$B$38&lt;&gt;"pvp",Inputs!$B$43&gt;0),((Skills!G12*((R2362-1)*IF(Skills!H12&gt;0,Skills!I12/Skills!H12,1)+IF(Skills!H12&gt;0,MIN(Skills!I12,MAX(0,MAX(0,Inputs!$B$43-B2387)-((R2362-1)*(IF(Inputs!$B$38="pvp",15,MAX(0.1,Skills!D12-IF(Skills!E12=TRUE,Inputs!$B$32,0)))*(1-IF(AND(ArtifactsInput!$M$27,Inputs!$B$4="Chapter Hunt"),CHOOSE(ArtifactsInput!$N$27+1,20,24,28,32,36,40),0)/100)))))/Skills!H12,1)))/Inputs!$B$43),G2362*Q2362))*IF(Inputs!$B$38="pvp",1,(1+(Inputs!$B$21+Skills!Q12+(IF(ArtifactsInput!$M$33,CHOOSE(ArtifactsInput!$N$33+1,30,36,42,48,54,60)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3">
      <c r="A2363">
        <f>Skills!A13</f>
        <v/>
      </c>
      <c r="B2363">
        <f>Skills!B13</f>
        <v/>
      </c>
      <c r="C2363">
        <f>Inputs!$B$3&gt;=110</f>
        <v/>
      </c>
      <c r="D2363">
        <f>IF(Skills!C13=1,60+Inputs!$B$25+Inputs!$B$29,IF(Skills!C13=2,90+Inputs!$B$26+Inputs!$B$29,IF(Skills!C13=3,120+Inputs!$B$27+Inputs!$B$29,MAX(0,(Inputs!$B$3-100)*3)+Inputs!$B$28+Inputs!$B$29)))</f>
        <v/>
      </c>
      <c r="E2363">
        <f>INDEX(FactorTable!$B$2:$Y$301, MATCH(ROUND(MIN(300,MAX(1,D2363)),0), FactorTable!$A$2:$A$301,0), Skills!M13+1)</f>
        <v/>
      </c>
      <c r="F2363">
        <f>IF(Skills!N13=TRUE,(Skills!L13/10)*(E2363/1000),Skills!L13/10)+Skills!O13</f>
        <v/>
      </c>
      <c r="G2363">
        <f>Skills!G13*IF(Skills!H13&gt;0,Skills!I13/Skills!H13,1)</f>
        <v/>
      </c>
      <c r="H2363">
        <f>1-(1-Skills!J13/100)^Skills!K13</f>
        <v/>
      </c>
      <c r="I2363" t="inlineStr">
        <is>
          <t>1</t>
        </is>
      </c>
      <c r="J2363">
        <f>((Inputs!$B$6*(1+Inputs!$B$7/100))+(((Inputs!$B$12*(1+Inputs!$B$13/100))-(Inputs!$B$12*(1+Inputs!$B$13/100)))+0.25*(Inputs!$B$14-Inputs!$B$14))*(1+Inputs!$B$7/100))*(F2363/100)</f>
        <v/>
      </c>
      <c r="K2363">
        <f>J2363*(1+((Inputs!$B$12*(1+Inputs!$B$13/100))*0.01+Inputs!$B$14*0.0025)/100)*(1+Inputs!$B$15/100)*(1+Inputs!$B$16/100)*(5000/(6000+Inputs!$B$42*(1-(100*(1-(1-(Inputs!$B$19+0)/100)*(1-CHOOSE(ArtifactsInput!$N$40+1,5,6,7,8,9,10)/100)^(ArtifactsInput!$M$40-ArtifactsInput!$M$40)))/100)))*(1+(Inputs!$B$24+((C2376=TRUE)*(F2376-Calc!F26))+B2386)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13="EIGHT_LEGS_EASTON",Inputs!$B$17+((C2373=TRUE)*(F2373-Calc!F23))+((C2377=TRUE)*(F2377-Calc!F27))+(((IF(AND(ArtifactsInput!$M$42,((Inputs!$B$9+((C2369=TRUE)*(F2369-Calc!F19))+B2380+(ArtifactsInput!$M$24-ArtifactsInput!$M$24)*CHOOSE(ArtifactsInput!$N$24+1,10,12,14,16,18,20)+IF(ArtifactsInput!$M$10,CHOOSE(ArtifactsInput!$N$10+1,15,18,21,24,27,30)*(IF(Inputs!$B$38="pvp",MIN(15,15)/15,IF(AND(Inputs!$B$38&lt;&gt;"pvp",Inputs!$B$43&gt;0),MIN(15,Inputs!$B$43)/(Inputs!$B$43),0))),0)))&gt;=100),MIN(100,((Inputs!$B$9+((C2369=TRUE)*(F2369-Calc!F19))+B2380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2369=TRUE)*(F2369-Calc!F19))+B2380+(ArtifactsInput!$M$24-ArtifactsInput!$M$24)*CHOOSE(ArtifactsInput!$N$24+1,10,12,14,16,18,20)+IF(ArtifactsInput!$M$10,CHOOSE(ArtifactsInput!$N$10+1,15,18,21,24,27,30)*(IF(Inputs!$B$38="pvp",MIN(15,15)/15,IF(AND(Inputs!$B$38&lt;&gt;"pvp",Inputs!$B$43&gt;0),MIN(15,Inputs!$B$43)/(Inputs!$B$43),0))),0)))&gt;=100),CHOOSE(ArtifactsInput!$N$42+1,40,48,56,64,72,80),0))))/100)*((1+(((C2367=TRUE)*F2367)+((C2374=TRUE)*(F2374-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2363)</f>
        <v/>
      </c>
      <c r="L2363">
        <f>K2363*(MIN(Inputs!$B$22+((C2372=TRUE)*(F2372-Calc!F22)),(Inputs!$B$23+0+(IF(ArtifactsInput!$M$15,CHOOSE(ArtifactsInput!$N$15+1,25,30,35,40,45,50)/100*(Inputs!$B$11-Inputs!$B$11),0))))/100+(Inputs!$B$23+0+(IF(ArtifactsInput!$M$15,CHOOSE(ArtifactsInput!$N$15+1,25,30,35,40,45,50)/100*(Inputs!$B$11-Inputs!$B$11),0)))/100)/2</f>
        <v/>
      </c>
      <c r="M2363">
        <f>L2363*(1+(Inputs!$B$10+((C2375=TRUE)*(F2375-Calc!F25))+B2385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3">
        <f>L2363*(1-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2363*(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3">
        <f>(1-Summary!$B$11)*T2363+Summary!$B$11*V2363</f>
        <v/>
      </c>
      <c r="P2363">
        <f>IF(B2390=0,0,O2363/B2390)</f>
        <v/>
      </c>
      <c r="Q2363">
        <f>IFERROR(1/(IF(Inputs!$B$38="pvp",15,MAX(0.1,Skills!D13-IF(Skills!E13=TRUE,Inputs!$B$32,0)))*(1-IF(AND(ArtifactsInput!$M$27,Inputs!$B$4="Chapter Hunt"),CHOOSE(ArtifactsInput!$N$27+1,20,24,28,32,36,40),0)/100)),0)</f>
        <v/>
      </c>
      <c r="R2363">
        <f>IF(AND(Inputs!$B$38&lt;&gt;"pvp",Inputs!$B$43&gt;0),IF(MAX(0,Inputs!$B$43-B2387)&lt;=0,0,(INT(MAX(0,Inputs!$B$43-B2387)/(IF(Inputs!$B$38="pvp",15,MAX(0.1,Skills!D13-IF(Skills!E13=TRUE,Inputs!$B$32,0)))*(1-IF(AND(ArtifactsInput!$M$27,Inputs!$B$4="Chapter Hunt"),CHOOSE(ArtifactsInput!$N$27+1,20,24,28,32,36,40),0)/100)))+1)),0)</f>
        <v/>
      </c>
      <c r="S2363">
        <f>IFERROR(O2363/N2363,0)</f>
        <v/>
      </c>
      <c r="T2363">
        <f>IF(C2363,(H2363*N2363*IF(AND(Inputs!$B$38&lt;&gt;"pvp",Inputs!$B$43&gt;0),((Skills!G13*((R2363-1)*IF(Skills!H13&gt;0,Skills!I13/Skills!H13,1)+IF(Skills!H13&gt;0,MIN(Skills!I13,MAX(0,MAX(0,Inputs!$B$43-B2387)-((R2363-1)*(IF(Inputs!$B$38="pvp",15,MAX(0.1,Skills!D13-IF(Skills!E13=TRUE,Inputs!$B$32,0)))*(1-IF(AND(ArtifactsInput!$M$27,Inputs!$B$4="Chapter Hunt"),CHOOSE(ArtifactsInput!$N$27+1,20,24,28,32,36,40),0)/100)))))/Skills!H13,1)))/Inputs!$B$43),G2363*Q2363))*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2363*(1-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2363*(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2363*(1-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2363*(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3">
        <f>IF(C2363,(H2363*N2363*IF(AND(Inputs!$B$38&lt;&gt;"pvp",Inputs!$B$43&gt;0),((Skills!G13*((R2363-1)*IF(Skills!H13&gt;0,Skills!I13/Skills!H13,1)+IF(Skills!H13&gt;0,MIN(Skills!I13,MAX(0,MAX(0,Inputs!$B$43-B2387)-((R2363-1)*(IF(Inputs!$B$38="pvp",15,MAX(0.1,Skills!D13-IF(Skills!E13=TRUE,Inputs!$B$32,0)))*(1-IF(AND(ArtifactsInput!$M$27,Inputs!$B$4="Chapter Hunt"),CHOOSE(ArtifactsInput!$N$27+1,20,24,28,32,36,40),0)/100)))))/Skills!H13,1)))/Inputs!$B$43),G2363*Q2363))*IF(Inputs!$B$38="pvp",1,(1+(Inputs!$B$21+Skills!Q13+(IF(ArtifactsInput!$M$33,CHOOSE(ArtifactsInput!$N$33+1,30,36,42,48,54,60)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4">
      <c r="A2364">
        <f>Skills!A14</f>
        <v/>
      </c>
      <c r="B2364">
        <f>Skills!B14</f>
        <v/>
      </c>
      <c r="C2364">
        <f>Inputs!$B$3&gt;=125</f>
        <v/>
      </c>
      <c r="D2364">
        <f>IF(Skills!C14=1,60+Inputs!$B$25+Inputs!$B$29,IF(Skills!C14=2,90+Inputs!$B$26+Inputs!$B$29,IF(Skills!C14=3,120+Inputs!$B$27+Inputs!$B$29,MAX(0,(Inputs!$B$3-100)*3)+Inputs!$B$28+Inputs!$B$29)))</f>
        <v/>
      </c>
      <c r="E2364">
        <f>INDEX(FactorTable!$B$2:$Y$301, MATCH(ROUND(MIN(300,MAX(1,D2364)),0), FactorTable!$A$2:$A$301,0), Skills!M14+1)</f>
        <v/>
      </c>
      <c r="F2364">
        <f>IF(Skills!N14=TRUE,(Skills!L14/10)*(E2364/1000),Skills!L14/10)+Skills!O14</f>
        <v/>
      </c>
      <c r="G2364">
        <f>Skills!G14*IF(Skills!H14&gt;0,Skills!I14/Skills!H14,1)</f>
        <v/>
      </c>
      <c r="H2364">
        <f>1-(1-Skills!J14/100)^Skills!K14</f>
        <v/>
      </c>
      <c r="I2364" t="inlineStr">
        <is>
          <t>1</t>
        </is>
      </c>
      <c r="J2364">
        <f>((Inputs!$B$6*(1+Inputs!$B$7/100))+(((Inputs!$B$12*(1+Inputs!$B$13/100))-(Inputs!$B$12*(1+Inputs!$B$13/100)))+0.25*(Inputs!$B$14-Inputs!$B$14))*(1+Inputs!$B$7/100))*(F2364/100)</f>
        <v/>
      </c>
      <c r="K2364">
        <f>J2364*(1+((Inputs!$B$12*(1+Inputs!$B$13/100))*0.01+Inputs!$B$14*0.0025)/100)*(1+Inputs!$B$15/100)*(1+Inputs!$B$16/100)*(5000/(6000+Inputs!$B$42*(1-(100*(1-(1-(Inputs!$B$19+0)/100)*(1-CHOOSE(ArtifactsInput!$N$40+1,5,6,7,8,9,10)/100)^(ArtifactsInput!$M$40-ArtifactsInput!$M$40)))/100)))*(1+(Inputs!$B$24+((C2376=TRUE)*(F2376-Calc!F26))+B2386)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14="EIGHT_LEGS_EASTON",Inputs!$B$17+((C2373=TRUE)*(F2373-Calc!F23))+((C2377=TRUE)*(F2377-Calc!F27))+(((IF(AND(ArtifactsInput!$M$42,((Inputs!$B$9+((C2369=TRUE)*(F2369-Calc!F19))+B2380+(ArtifactsInput!$M$24-ArtifactsInput!$M$24)*CHOOSE(ArtifactsInput!$N$24+1,10,12,14,16,18,20)+IF(ArtifactsInput!$M$10,CHOOSE(ArtifactsInput!$N$10+1,15,18,21,24,27,30)*(IF(Inputs!$B$38="pvp",MIN(15,15)/15,IF(AND(Inputs!$B$38&lt;&gt;"pvp",Inputs!$B$43&gt;0),MIN(15,Inputs!$B$43)/(Inputs!$B$43),0))),0)))&gt;=100),MIN(100,((Inputs!$B$9+((C2369=TRUE)*(F2369-Calc!F19))+B2380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2369=TRUE)*(F2369-Calc!F19))+B2380+(ArtifactsInput!$M$24-ArtifactsInput!$M$24)*CHOOSE(ArtifactsInput!$N$24+1,10,12,14,16,18,20)+IF(ArtifactsInput!$M$10,CHOOSE(ArtifactsInput!$N$10+1,15,18,21,24,27,30)*(IF(Inputs!$B$38="pvp",MIN(15,15)/15,IF(AND(Inputs!$B$38&lt;&gt;"pvp",Inputs!$B$43&gt;0),MIN(15,Inputs!$B$43)/(Inputs!$B$43),0))),0)))&gt;=100),CHOOSE(ArtifactsInput!$N$42+1,40,48,56,64,72,80),0))))/100)*((1+(((C2367=TRUE)*F2367)+((C2374=TRUE)*(F2374-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2364)</f>
        <v/>
      </c>
      <c r="L2364">
        <f>K2364*(MIN(Inputs!$B$22+((C2372=TRUE)*(F2372-Calc!F22)),(Inputs!$B$23+0+(IF(ArtifactsInput!$M$15,CHOOSE(ArtifactsInput!$N$15+1,25,30,35,40,45,50)/100*(Inputs!$B$11-Inputs!$B$11),0))))/100+(Inputs!$B$23+0+(IF(ArtifactsInput!$M$15,CHOOSE(ArtifactsInput!$N$15+1,25,30,35,40,45,50)/100*(Inputs!$B$11-Inputs!$B$11),0)))/100)/2</f>
        <v/>
      </c>
      <c r="M2364">
        <f>L2364*(1+(Inputs!$B$10+((C2375=TRUE)*(F2375-Calc!F25))+B2385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4">
        <f>L2364*(1-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2364*(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4">
        <f>(1-Summary!$B$11)*T2364+Summary!$B$11*V2364</f>
        <v/>
      </c>
      <c r="P2364">
        <f>IF(B2390=0,0,O2364/B2390)</f>
        <v/>
      </c>
      <c r="Q2364" t="n">
        <v>0</v>
      </c>
      <c r="R2364" t="n">
        <v>0</v>
      </c>
      <c r="S2364">
        <f>IFERROR(O2364/N2364,0)</f>
        <v/>
      </c>
      <c r="T2364">
        <f>IF(C2364,(H2364*N2364*(B2384+IF(AND(Inputs!$B$38&lt;&gt;"pvp",Inputs!$B$43&gt;0),((Skills!G8*((R2358-1)*IF(Skills!H8&gt;0,Skills!I8/Skills!H8,1)+IF(Skills!H8&gt;0,MIN(Skills!I8,MAX(0,MAX(0,Inputs!$B$43-B2387)-((R2358-1)*(IF(Inputs!$B$38="pvp",15,MAX(0.1,Skills!D8-IF(Skills!E8=TRUE,Inputs!$B$32,0)))*(1-IF(AND(ArtifactsInput!$M$27,Inputs!$B$4="Chapter Hunt"),CHOOSE(ArtifactsInput!$N$27+1,20,24,28,32,36,40),0)/100)))))/Skills!H8,1)))/Inputs!$B$43),G2358*Q2358)+IF(AND(Inputs!$B$38&lt;&gt;"pvp",Inputs!$B$43&gt;0),((Skills!G11*((R2361-1)*IF(Skills!H11&gt;0,Skills!I11/Skills!H11,1)+IF(Skills!H11&gt;0,MIN(Skills!I11,MAX(0,MAX(0,Inputs!$B$43-B2387)-((R2361-1)*(IF(Inputs!$B$38="pvp",15,MAX(0.1,Skills!D11-IF(Skills!E11=TRUE,Inputs!$B$32,0)))*(1-IF(AND(ArtifactsInput!$M$27,Inputs!$B$4="Chapter Hunt"),CHOOSE(ArtifactsInput!$N$27+1,20,24,28,32,36,40),0)/100)))))/Skills!H11,1)))/Inputs!$B$43),G2361*Q2361)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2364*(1-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2364*(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2364*(1-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2364*(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4">
        <f>IF(C2364,(H2364*N2364*(B2384+IF(AND(Inputs!$B$38&lt;&gt;"pvp",Inputs!$B$43&gt;0),((Skills!G8*((R2358-1)*IF(Skills!H8&gt;0,Skills!I8/Skills!H8,1)+IF(Skills!H8&gt;0,MIN(Skills!I8,MAX(0,MAX(0,Inputs!$B$43-B2387)-((R2358-1)*(IF(Inputs!$B$38="pvp",15,MAX(0.1,Skills!D8-IF(Skills!E8=TRUE,Inputs!$B$32,0)))*(1-IF(AND(ArtifactsInput!$M$27,Inputs!$B$4="Chapter Hunt"),CHOOSE(ArtifactsInput!$N$27+1,20,24,28,32,36,40),0)/100)))))/Skills!H8,1)))/Inputs!$B$43),G2358*Q2358)+IF(AND(Inputs!$B$38&lt;&gt;"pvp",Inputs!$B$43&gt;0),((Skills!G11*((R2361-1)*IF(Skills!H11&gt;0,Skills!I11/Skills!H11,1)+IF(Skills!H11&gt;0,MIN(Skills!I11,MAX(0,MAX(0,Inputs!$B$43-B2387)-((R2361-1)*(IF(Inputs!$B$38="pvp",15,MAX(0.1,Skills!D11-IF(Skills!E11=TRUE,Inputs!$B$32,0)))*(1-IF(AND(ArtifactsInput!$M$27,Inputs!$B$4="Chapter Hunt"),CHOOSE(ArtifactsInput!$N$27+1,20,24,28,32,36,40),0)/100)))))/Skills!H11,1)))/Inputs!$B$43),G2361*Q2361)))*IF(Inputs!$B$38="pvp",1,(1+(Inputs!$B$21+Skills!Q14+(IF(ArtifactsInput!$M$33,CHOOSE(ArtifactsInput!$N$33+1,30,36,42,48,54,60)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5">
      <c r="A2365">
        <f>Skills!A15</f>
        <v/>
      </c>
      <c r="B2365">
        <f>Skills!B15</f>
        <v/>
      </c>
      <c r="C2365">
        <f>Inputs!$B$3&gt;=100</f>
        <v/>
      </c>
      <c r="D2365">
        <f>IF(Skills!C15=1,60+Inputs!$B$25+Inputs!$B$29,IF(Skills!C15=2,90+Inputs!$B$26+Inputs!$B$29,IF(Skills!C15=3,120+Inputs!$B$27+Inputs!$B$29,MAX(0,(Inputs!$B$3-100)*3)+Inputs!$B$28+Inputs!$B$29)))</f>
        <v/>
      </c>
      <c r="E2365">
        <f>INDEX(FactorTable!$B$2:$Y$301, MATCH(ROUND(MIN(300,MAX(1,D2365)),0), FactorTable!$A$2:$A$301,0), Skills!M15+1)</f>
        <v/>
      </c>
      <c r="F2365">
        <f>IF(Skills!N15=TRUE,(Skills!L15/10)*(E2365/1000),Skills!L15/10)+Skills!O15</f>
        <v/>
      </c>
      <c r="G2365" t="inlineStr"/>
      <c r="H2365" t="inlineStr"/>
      <c r="I2365" t="inlineStr">
        <is>
          <t>1</t>
        </is>
      </c>
      <c r="J2365" t="inlineStr"/>
      <c r="K2365" t="inlineStr"/>
      <c r="L2365" t="inlineStr"/>
      <c r="M2365" t="inlineStr"/>
      <c r="N2365" t="inlineStr"/>
      <c r="O2365" t="inlineStr"/>
      <c r="P2365" t="inlineStr"/>
      <c r="Q2365" t="inlineStr"/>
      <c r="R2365" t="inlineStr"/>
      <c r="S2365" t="inlineStr"/>
    </row>
    <row r="2366">
      <c r="A2366">
        <f>Skills!A16</f>
        <v/>
      </c>
      <c r="B2366">
        <f>Skills!B16</f>
        <v/>
      </c>
      <c r="C2366">
        <f>Inputs!$B$3&gt;=120</f>
        <v/>
      </c>
      <c r="D2366">
        <f>IF(Skills!C16=1,60+Inputs!$B$25+Inputs!$B$29,IF(Skills!C16=2,90+Inputs!$B$26+Inputs!$B$29,IF(Skills!C16=3,120+Inputs!$B$27+Inputs!$B$29,MAX(0,(Inputs!$B$3-100)*3)+Inputs!$B$28+Inputs!$B$29)))</f>
        <v/>
      </c>
      <c r="E2366">
        <f>INDEX(FactorTable!$B$2:$Y$301, MATCH(ROUND(MIN(300,MAX(1,D2366)),0), FactorTable!$A$2:$A$301,0), Skills!M16+1)</f>
        <v/>
      </c>
      <c r="F2366">
        <f>IF(Skills!N16=TRUE,(Skills!L16/10)*(E2366/1000),Skills!L16/10)+Skills!O16</f>
        <v/>
      </c>
      <c r="G2366" t="inlineStr"/>
      <c r="H2366" t="inlineStr"/>
      <c r="I2366" t="inlineStr">
        <is>
          <t>1</t>
        </is>
      </c>
      <c r="J2366" t="inlineStr"/>
      <c r="K2366" t="inlineStr"/>
      <c r="L2366" t="inlineStr"/>
      <c r="M2366" t="inlineStr"/>
      <c r="N2366" t="inlineStr"/>
      <c r="O2366" t="inlineStr"/>
      <c r="P2366" t="inlineStr"/>
      <c r="Q2366" t="inlineStr"/>
      <c r="R2366" t="inlineStr"/>
      <c r="S2366" t="inlineStr"/>
    </row>
    <row r="2367">
      <c r="A2367">
        <f>Skills!A17</f>
        <v/>
      </c>
      <c r="B2367">
        <f>Skills!B17</f>
        <v/>
      </c>
      <c r="C2367">
        <f>Inputs!$B$3&gt;=66</f>
        <v/>
      </c>
      <c r="D2367">
        <f>IF(Skills!C17=1,60+Inputs!$B$25+Inputs!$B$29,IF(Skills!C17=2,90+Inputs!$B$26+Inputs!$B$29,IF(Skills!C17=3,120+Inputs!$B$27+Inputs!$B$29,MAX(0,(Inputs!$B$3-100)*3)+Inputs!$B$28+Inputs!$B$29)))</f>
        <v/>
      </c>
      <c r="E2367">
        <f>INDEX(FactorTable!$B$2:$Y$301, MATCH(ROUND(MIN(300,MAX(1,D2367)),0), FactorTable!$A$2:$A$301,0), Skills!M17+1)</f>
        <v/>
      </c>
      <c r="F2367">
        <f>IF(Skills!N17=TRUE,(Skills!L17/10)*(E2367/1000),Skills!L17/10)+Skills!O17</f>
        <v/>
      </c>
      <c r="G2367">
        <f>Skills!G17*IF(Skills!H17&gt;0,Skills!I17/Skills!H17,1)</f>
        <v/>
      </c>
      <c r="H2367">
        <f>1-(1-Skills!J17/100)^Skills!K17</f>
        <v/>
      </c>
      <c r="I2367" t="inlineStr">
        <is>
          <t>1</t>
        </is>
      </c>
      <c r="J2367" t="inlineStr"/>
      <c r="K2367" t="inlineStr"/>
      <c r="L2367" t="inlineStr"/>
      <c r="M2367" t="inlineStr"/>
      <c r="N2367" t="inlineStr"/>
      <c r="O2367">
        <f>(1-Summary!$B$11)*T2367+Summary!$B$11*V2367</f>
        <v/>
      </c>
      <c r="P2367">
        <f>IF(B2390=0,0,O2367/B2390)</f>
        <v/>
      </c>
      <c r="Q2367" t="n">
        <v>0</v>
      </c>
      <c r="R2367" t="n">
        <v>0</v>
      </c>
      <c r="S2367">
        <f>IFERROR(O2367/N2367,0)</f>
        <v/>
      </c>
      <c r="T2367" t="n">
        <v>0</v>
      </c>
      <c r="V2367" t="n">
        <v>0</v>
      </c>
    </row>
    <row r="2368">
      <c r="A2368">
        <f>Skills!A18</f>
        <v/>
      </c>
      <c r="B2368">
        <f>Skills!B18</f>
        <v/>
      </c>
      <c r="C2368">
        <f>Inputs!$B$3&gt;=115</f>
        <v/>
      </c>
      <c r="D2368">
        <f>IF(Skills!C18=1,60+Inputs!$B$25+Inputs!$B$29,IF(Skills!C18=2,90+Inputs!$B$26+Inputs!$B$29,IF(Skills!C18=3,120+Inputs!$B$27+Inputs!$B$29,MAX(0,(Inputs!$B$3-100)*3)+Inputs!$B$28+Inputs!$B$29)))</f>
        <v/>
      </c>
      <c r="E2368">
        <f>INDEX(FactorTable!$B$2:$Y$301, MATCH(ROUND(MIN(300,MAX(1,D2368)),0), FactorTable!$A$2:$A$301,0), Skills!M18+1)</f>
        <v/>
      </c>
      <c r="F2368">
        <f>IF(Skills!N18=TRUE,(Skills!L18/10)*(E2368/1000),Skills!L18/10)+Skills!O18</f>
        <v/>
      </c>
      <c r="G2368">
        <f>Skills!G18*IF(Skills!H18&gt;0,Skills!I18/Skills!H18,1)</f>
        <v/>
      </c>
      <c r="H2368">
        <f>1-(1-Skills!J18/100)^Skills!K18</f>
        <v/>
      </c>
      <c r="I2368" t="inlineStr">
        <is>
          <t>1</t>
        </is>
      </c>
      <c r="J2368" t="inlineStr"/>
      <c r="K2368" t="inlineStr"/>
      <c r="L2368" t="inlineStr"/>
      <c r="M2368" t="inlineStr"/>
      <c r="N2368" t="inlineStr"/>
      <c r="O2368">
        <f>(1-Summary!$B$11)*T2368+Summary!$B$11*V2368</f>
        <v/>
      </c>
      <c r="P2368">
        <f>IF(B2390=0,0,O2368/B2390)</f>
        <v/>
      </c>
      <c r="Q2368" t="n">
        <v>0</v>
      </c>
      <c r="R2368" t="n">
        <v>0</v>
      </c>
      <c r="S2368">
        <f>IFERROR(O2368/N2368,0)</f>
        <v/>
      </c>
      <c r="T2368" t="n">
        <v>0</v>
      </c>
      <c r="V2368" t="n">
        <v>0</v>
      </c>
    </row>
    <row r="2369">
      <c r="A2369">
        <f>Skills!A19</f>
        <v/>
      </c>
      <c r="B2369">
        <f>Skills!B19</f>
        <v/>
      </c>
      <c r="C2369">
        <f>Inputs!$B$3&gt;=15</f>
        <v/>
      </c>
      <c r="D2369">
        <f>IF(Skills!C19=1,60+Inputs!$B$25+Inputs!$B$29,IF(Skills!C19=2,90+Inputs!$B$26+Inputs!$B$29,IF(Skills!C19=3,120+Inputs!$B$27+Inputs!$B$29,MAX(0,(Inputs!$B$3-100)*3)+Inputs!$B$28+Inputs!$B$29)))</f>
        <v/>
      </c>
      <c r="E2369">
        <f>INDEX(FactorTable!$B$2:$Y$301, MATCH(ROUND(MIN(300,MAX(1,D2369)),0), FactorTable!$A$2:$A$301,0), Skills!M19+1)</f>
        <v/>
      </c>
      <c r="F2369">
        <f>IF(Skills!N19=TRUE,(Skills!L19/10)*(E2369/1000),Skills!L19/10)+Skills!O19</f>
        <v/>
      </c>
      <c r="G2369">
        <f>Skills!G19*IF(Skills!H19&gt;0,Skills!I19/Skills!H19,1)</f>
        <v/>
      </c>
      <c r="H2369">
        <f>1-(1-Skills!J19/100)^Skills!K19</f>
        <v/>
      </c>
      <c r="I2369" t="inlineStr">
        <is>
          <t>1</t>
        </is>
      </c>
      <c r="J2369" t="inlineStr"/>
      <c r="K2369" t="inlineStr"/>
      <c r="L2369" t="inlineStr"/>
      <c r="M2369" t="inlineStr"/>
      <c r="N2369" t="inlineStr"/>
      <c r="O2369">
        <f>(1-Summary!$B$11)*T2369+Summary!$B$11*V2369</f>
        <v/>
      </c>
      <c r="P2369">
        <f>IF(B2390=0,0,O2369/B2390)</f>
        <v/>
      </c>
      <c r="Q2369" t="n">
        <v>0</v>
      </c>
      <c r="R2369" t="n">
        <v>0</v>
      </c>
      <c r="S2369">
        <f>IFERROR(O2369/N2369,0)</f>
        <v/>
      </c>
      <c r="T2369" t="n">
        <v>0</v>
      </c>
      <c r="V2369" t="n">
        <v>0</v>
      </c>
    </row>
    <row r="2370">
      <c r="A2370">
        <f>Skills!A20</f>
        <v/>
      </c>
      <c r="B2370">
        <f>Skills!B20</f>
        <v/>
      </c>
      <c r="C2370">
        <f>Inputs!$B$3&gt;=10</f>
        <v/>
      </c>
      <c r="D2370">
        <f>IF(Skills!C20=1,60+Inputs!$B$25+Inputs!$B$29,IF(Skills!C20=2,90+Inputs!$B$26+Inputs!$B$29,IF(Skills!C20=3,120+Inputs!$B$27+Inputs!$B$29,MAX(0,(Inputs!$B$3-100)*3)+Inputs!$B$28+Inputs!$B$29)))</f>
        <v/>
      </c>
      <c r="E2370">
        <f>INDEX(FactorTable!$B$2:$Y$301, MATCH(ROUND(MIN(300,MAX(1,D2370)),0), FactorTable!$A$2:$A$301,0), Skills!M20+1)</f>
        <v/>
      </c>
      <c r="F2370">
        <f>IF(Skills!N20=TRUE,(Skills!L20/10)*(E2370/1000),Skills!L20/10)+Skills!O20</f>
        <v/>
      </c>
      <c r="G2370">
        <f>Skills!G20*IF(Skills!H20&gt;0,Skills!I20/Skills!H20,1)</f>
        <v/>
      </c>
      <c r="H2370">
        <f>1-(1-Skills!J20/100)^Skills!K20</f>
        <v/>
      </c>
      <c r="I2370" t="inlineStr">
        <is>
          <t>1</t>
        </is>
      </c>
      <c r="J2370" t="inlineStr"/>
      <c r="K2370" t="inlineStr"/>
      <c r="L2370" t="inlineStr"/>
      <c r="M2370" t="inlineStr"/>
      <c r="N2370" t="inlineStr"/>
      <c r="O2370">
        <f>(1-Summary!$B$11)*T2370+Summary!$B$11*V2370</f>
        <v/>
      </c>
      <c r="P2370">
        <f>IF(B2390=0,0,O2370/B2390)</f>
        <v/>
      </c>
      <c r="Q2370" t="n">
        <v>0</v>
      </c>
      <c r="R2370" t="n">
        <v>0</v>
      </c>
      <c r="S2370">
        <f>IFERROR(O2370/N2370,0)</f>
        <v/>
      </c>
      <c r="T2370" t="n">
        <v>0</v>
      </c>
      <c r="V2370" t="n">
        <v>0</v>
      </c>
    </row>
    <row r="2371">
      <c r="A2371">
        <f>Skills!A21</f>
        <v/>
      </c>
      <c r="B2371">
        <f>Skills!B21</f>
        <v/>
      </c>
      <c r="C2371">
        <f>Inputs!$B$3&gt;=33</f>
        <v/>
      </c>
      <c r="D2371">
        <f>IF(Skills!C21=1,60+Inputs!$B$25+Inputs!$B$29,IF(Skills!C21=2,90+Inputs!$B$26+Inputs!$B$29,IF(Skills!C21=3,120+Inputs!$B$27+Inputs!$B$29,MAX(0,(Inputs!$B$3-100)*3)+Inputs!$B$28+Inputs!$B$29)))</f>
        <v/>
      </c>
      <c r="E2371">
        <f>INDEX(FactorTable!$B$2:$Y$301, MATCH(ROUND(MIN(300,MAX(1,D2371)),0), FactorTable!$A$2:$A$301,0), Skills!M21+1)</f>
        <v/>
      </c>
      <c r="F2371">
        <f>IF(Skills!N21=TRUE,(Skills!L21/10)*(E2371/1000),Skills!L21/10)+Skills!O21</f>
        <v/>
      </c>
      <c r="G2371">
        <f>Skills!G21*IF(Skills!H21&gt;0,Skills!I21/Skills!H21,1)</f>
        <v/>
      </c>
      <c r="H2371">
        <f>1-(1-Skills!J21/100)^Skills!K21</f>
        <v/>
      </c>
      <c r="I2371" t="inlineStr">
        <is>
          <t>1</t>
        </is>
      </c>
      <c r="J2371" t="inlineStr"/>
      <c r="K2371" t="inlineStr"/>
      <c r="L2371" t="inlineStr"/>
      <c r="M2371" t="inlineStr"/>
      <c r="N2371" t="inlineStr"/>
      <c r="O2371">
        <f>(1-Summary!$B$11)*T2371+Summary!$B$11*V2371</f>
        <v/>
      </c>
      <c r="P2371">
        <f>IF(B2390=0,0,O2371/B2390)</f>
        <v/>
      </c>
      <c r="Q2371" t="n">
        <v>0</v>
      </c>
      <c r="R2371" t="n">
        <v>0</v>
      </c>
      <c r="S2371">
        <f>IFERROR(O2371/N2371,0)</f>
        <v/>
      </c>
      <c r="T2371" t="n">
        <v>0</v>
      </c>
      <c r="V2371" t="n">
        <v>0</v>
      </c>
    </row>
    <row r="2372">
      <c r="A2372">
        <f>Skills!A22</f>
        <v/>
      </c>
      <c r="B2372">
        <f>Skills!B22</f>
        <v/>
      </c>
      <c r="C2372">
        <f>Inputs!$B$3&gt;=43</f>
        <v/>
      </c>
      <c r="D2372">
        <f>IF(Skills!C22=1,60+Inputs!$B$25+Inputs!$B$29,IF(Skills!C22=2,90+Inputs!$B$26+Inputs!$B$29,IF(Skills!C22=3,120+Inputs!$B$27+Inputs!$B$29,MAX(0,(Inputs!$B$3-100)*3)+Inputs!$B$28+Inputs!$B$29)))</f>
        <v/>
      </c>
      <c r="E2372">
        <f>INDEX(FactorTable!$B$2:$Y$301, MATCH(ROUND(MIN(300,MAX(1,D2372)),0), FactorTable!$A$2:$A$301,0), Skills!M22+1)</f>
        <v/>
      </c>
      <c r="F2372">
        <f>IF(Skills!N22=TRUE,(Skills!L22/10)*(E2372/1000),Skills!L22/10)+Skills!O22</f>
        <v/>
      </c>
      <c r="G2372">
        <f>Skills!G22*IF(Skills!H22&gt;0,Skills!I22/Skills!H22,1)</f>
        <v/>
      </c>
      <c r="H2372">
        <f>1-(1-Skills!J22/100)^Skills!K22</f>
        <v/>
      </c>
      <c r="I2372" t="inlineStr">
        <is>
          <t>1</t>
        </is>
      </c>
      <c r="J2372" t="inlineStr"/>
      <c r="K2372" t="inlineStr"/>
      <c r="L2372" t="inlineStr"/>
      <c r="M2372" t="inlineStr"/>
      <c r="N2372" t="inlineStr"/>
      <c r="O2372">
        <f>(1-Summary!$B$11)*T2372+Summary!$B$11*V2372</f>
        <v/>
      </c>
      <c r="P2372">
        <f>IF(B2390=0,0,O2372/B2390)</f>
        <v/>
      </c>
      <c r="Q2372" t="n">
        <v>0</v>
      </c>
      <c r="R2372" t="n">
        <v>0</v>
      </c>
      <c r="S2372">
        <f>IFERROR(O2372/N2372,0)</f>
        <v/>
      </c>
      <c r="T2372" t="n">
        <v>0</v>
      </c>
      <c r="V2372" t="n">
        <v>0</v>
      </c>
    </row>
    <row r="2373">
      <c r="A2373">
        <f>Skills!A23</f>
        <v/>
      </c>
      <c r="B2373">
        <f>Skills!B23</f>
        <v/>
      </c>
      <c r="C2373">
        <f>Inputs!$B$3&gt;=38</f>
        <v/>
      </c>
      <c r="D2373">
        <f>IF(Skills!C23=1,60+Inputs!$B$25+Inputs!$B$29,IF(Skills!C23=2,90+Inputs!$B$26+Inputs!$B$29,IF(Skills!C23=3,120+Inputs!$B$27+Inputs!$B$29,MAX(0,(Inputs!$B$3-100)*3)+Inputs!$B$28+Inputs!$B$29)))</f>
        <v/>
      </c>
      <c r="E2373">
        <f>INDEX(FactorTable!$B$2:$Y$301, MATCH(ROUND(MIN(300,MAX(1,D2373)),0), FactorTable!$A$2:$A$301,0), Skills!M23+1)</f>
        <v/>
      </c>
      <c r="F2373">
        <f>IF(Skills!N23=TRUE,(Skills!L23/10)*(E2373/1000),Skills!L23/10)+Skills!O23</f>
        <v/>
      </c>
      <c r="G2373">
        <f>Skills!G23*IF(Skills!H23&gt;0,Skills!I23/Skills!H23,1)</f>
        <v/>
      </c>
      <c r="H2373">
        <f>1-(1-Skills!J23/100)^Skills!K23</f>
        <v/>
      </c>
      <c r="I2373" t="inlineStr">
        <is>
          <t>1</t>
        </is>
      </c>
      <c r="J2373" t="inlineStr"/>
      <c r="K2373" t="inlineStr"/>
      <c r="L2373" t="inlineStr"/>
      <c r="M2373" t="inlineStr"/>
      <c r="N2373" t="inlineStr"/>
      <c r="O2373">
        <f>(1-Summary!$B$11)*T2373+Summary!$B$11*V2373</f>
        <v/>
      </c>
      <c r="P2373">
        <f>IF(B2390=0,0,O2373/B2390)</f>
        <v/>
      </c>
      <c r="Q2373" t="n">
        <v>0</v>
      </c>
      <c r="R2373" t="n">
        <v>0</v>
      </c>
      <c r="S2373">
        <f>IFERROR(O2373/N2373,0)</f>
        <v/>
      </c>
      <c r="T2373" t="n">
        <v>0</v>
      </c>
      <c r="V2373" t="n">
        <v>0</v>
      </c>
    </row>
    <row r="2374">
      <c r="A2374">
        <f>Skills!A24</f>
        <v/>
      </c>
      <c r="B2374">
        <f>Skills!B24</f>
        <v/>
      </c>
      <c r="C2374">
        <f>Inputs!$B$3&gt;=40</f>
        <v/>
      </c>
      <c r="D2374">
        <f>IF(Skills!C24=1,60+Inputs!$B$25+Inputs!$B$29,IF(Skills!C24=2,90+Inputs!$B$26+Inputs!$B$29,IF(Skills!C24=3,120+Inputs!$B$27+Inputs!$B$29,MAX(0,(Inputs!$B$3-100)*3)+Inputs!$B$28+Inputs!$B$29)))</f>
        <v/>
      </c>
      <c r="E2374">
        <f>INDEX(FactorTable!$B$2:$Y$301, MATCH(ROUND(MIN(300,MAX(1,D2374)),0), FactorTable!$A$2:$A$301,0), Skills!M24+1)</f>
        <v/>
      </c>
      <c r="F2374">
        <f>IF(Skills!N24=TRUE,(Skills!L24/10)*(E2374/1000),Skills!L24/10)+Skills!O24</f>
        <v/>
      </c>
      <c r="G2374">
        <f>Skills!G24*IF(Skills!H24&gt;0,Skills!I24/Skills!H24,1)</f>
        <v/>
      </c>
      <c r="H2374">
        <f>1-(1-Skills!J24/100)^Skills!K24</f>
        <v/>
      </c>
      <c r="I2374" t="inlineStr">
        <is>
          <t>1</t>
        </is>
      </c>
      <c r="J2374" t="inlineStr"/>
      <c r="K2374" t="inlineStr"/>
      <c r="L2374" t="inlineStr"/>
      <c r="M2374" t="inlineStr"/>
      <c r="N2374" t="inlineStr"/>
      <c r="O2374">
        <f>(1-Summary!$B$11)*T2374+Summary!$B$11*V2374</f>
        <v/>
      </c>
      <c r="P2374">
        <f>IF(B2390=0,0,O2374/B2390)</f>
        <v/>
      </c>
      <c r="Q2374" t="n">
        <v>0</v>
      </c>
      <c r="R2374" t="n">
        <v>0</v>
      </c>
      <c r="S2374">
        <f>IFERROR(O2374/N2374,0)</f>
        <v/>
      </c>
      <c r="T2374" t="n">
        <v>0</v>
      </c>
      <c r="V2374" t="n">
        <v>0</v>
      </c>
    </row>
    <row r="2375">
      <c r="A2375">
        <f>Skills!A25</f>
        <v/>
      </c>
      <c r="B2375">
        <f>Skills!B25</f>
        <v/>
      </c>
      <c r="C2375">
        <f>Inputs!$B$3&gt;=72</f>
        <v/>
      </c>
      <c r="D2375">
        <f>IF(Skills!C25=1,60+Inputs!$B$25+Inputs!$B$29,IF(Skills!C25=2,90+Inputs!$B$26+Inputs!$B$29,IF(Skills!C25=3,120+Inputs!$B$27+Inputs!$B$29,MAX(0,(Inputs!$B$3-100)*3)+Inputs!$B$28+Inputs!$B$29)))</f>
        <v/>
      </c>
      <c r="E2375">
        <f>INDEX(FactorTable!$B$2:$Y$301, MATCH(ROUND(MIN(300,MAX(1,D2375)),0), FactorTable!$A$2:$A$301,0), Skills!M25+1)</f>
        <v/>
      </c>
      <c r="F2375">
        <f>IF(Skills!N25=TRUE,(Skills!L25/10)*(E2375/1000),Skills!L25/10)+Skills!O25</f>
        <v/>
      </c>
      <c r="G2375">
        <f>Skills!G25*IF(Skills!H25&gt;0,Skills!I25/Skills!H25,1)</f>
        <v/>
      </c>
      <c r="H2375">
        <f>1-(1-Skills!J25/100)^Skills!K25</f>
        <v/>
      </c>
      <c r="I2375" t="inlineStr">
        <is>
          <t>1</t>
        </is>
      </c>
      <c r="J2375" t="inlineStr"/>
      <c r="K2375" t="inlineStr"/>
      <c r="L2375" t="inlineStr"/>
      <c r="M2375" t="inlineStr"/>
      <c r="N2375" t="inlineStr"/>
      <c r="O2375">
        <f>(1-Summary!$B$11)*T2375+Summary!$B$11*V2375</f>
        <v/>
      </c>
      <c r="P2375">
        <f>IF(B2390=0,0,O2375/B2390)</f>
        <v/>
      </c>
      <c r="Q2375" t="n">
        <v>0</v>
      </c>
      <c r="R2375" t="n">
        <v>0</v>
      </c>
      <c r="S2375">
        <f>IFERROR(O2375/N2375,0)</f>
        <v/>
      </c>
      <c r="T2375" t="n">
        <v>0</v>
      </c>
      <c r="V2375" t="n">
        <v>0</v>
      </c>
    </row>
    <row r="2376">
      <c r="A2376">
        <f>Skills!A26</f>
        <v/>
      </c>
      <c r="B2376">
        <f>Skills!B26</f>
        <v/>
      </c>
      <c r="C2376">
        <f>Inputs!$B$3&gt;=75</f>
        <v/>
      </c>
      <c r="D2376">
        <f>IF(Skills!C26=1,60+Inputs!$B$25+Inputs!$B$29,IF(Skills!C26=2,90+Inputs!$B$26+Inputs!$B$29,IF(Skills!C26=3,120+Inputs!$B$27+Inputs!$B$29,MAX(0,(Inputs!$B$3-100)*3)+Inputs!$B$28+Inputs!$B$29)))</f>
        <v/>
      </c>
      <c r="E2376">
        <f>INDEX(FactorTable!$B$2:$Y$301, MATCH(ROUND(MIN(300,MAX(1,D2376)),0), FactorTable!$A$2:$A$301,0), Skills!M26+1)</f>
        <v/>
      </c>
      <c r="F2376">
        <f>IF(Skills!N26=TRUE,(Skills!L26/10)*(E2376/1000),Skills!L26/10)+Skills!O26</f>
        <v/>
      </c>
      <c r="G2376">
        <f>Skills!G26*IF(Skills!H26&gt;0,Skills!I26/Skills!H26,1)</f>
        <v/>
      </c>
      <c r="H2376">
        <f>1-(1-Skills!J26/100)^Skills!K26</f>
        <v/>
      </c>
      <c r="I2376" t="inlineStr">
        <is>
          <t>1</t>
        </is>
      </c>
      <c r="J2376" t="inlineStr"/>
      <c r="K2376" t="inlineStr"/>
      <c r="L2376" t="inlineStr"/>
      <c r="M2376" t="inlineStr"/>
      <c r="N2376" t="inlineStr"/>
      <c r="O2376">
        <f>(1-Summary!$B$11)*T2376+Summary!$B$11*V2376</f>
        <v/>
      </c>
      <c r="P2376">
        <f>IF(B2390=0,0,O2376/B2390)</f>
        <v/>
      </c>
      <c r="Q2376" t="n">
        <v>0</v>
      </c>
      <c r="R2376" t="n">
        <v>0</v>
      </c>
      <c r="S2376">
        <f>IFERROR(O2376/N2376,0)</f>
        <v/>
      </c>
      <c r="T2376" t="n">
        <v>0</v>
      </c>
      <c r="V2376" t="n">
        <v>0</v>
      </c>
    </row>
    <row r="2377">
      <c r="A2377">
        <f>Skills!A27</f>
        <v/>
      </c>
      <c r="B2377">
        <f>Skills!B27</f>
        <v/>
      </c>
      <c r="C2377">
        <f>Inputs!$B$3&gt;=117</f>
        <v/>
      </c>
      <c r="D2377">
        <f>IF(Skills!C27=1,60+Inputs!$B$25+Inputs!$B$29,IF(Skills!C27=2,90+Inputs!$B$26+Inputs!$B$29,IF(Skills!C27=3,120+Inputs!$B$27+Inputs!$B$29,MAX(0,(Inputs!$B$3-100)*3)+Inputs!$B$28+Inputs!$B$29)))</f>
        <v/>
      </c>
      <c r="E2377">
        <f>INDEX(FactorTable!$B$2:$Y$301, MATCH(ROUND(MIN(300,MAX(1,D2377)),0), FactorTable!$A$2:$A$301,0), Skills!M27+1)</f>
        <v/>
      </c>
      <c r="F2377">
        <f>IF(Skills!N27=TRUE,(Skills!L27/10)*(E2377/1000),Skills!L27/10)+Skills!O27</f>
        <v/>
      </c>
      <c r="G2377">
        <f>Skills!G27*IF(Skills!H27&gt;0,Skills!I27/Skills!H27,1)</f>
        <v/>
      </c>
      <c r="H2377">
        <f>1-(1-Skills!J27/100)^Skills!K27</f>
        <v/>
      </c>
      <c r="I2377" t="inlineStr">
        <is>
          <t>1</t>
        </is>
      </c>
      <c r="J2377" t="inlineStr"/>
      <c r="K2377" t="inlineStr"/>
      <c r="L2377" t="inlineStr"/>
      <c r="M2377" t="inlineStr"/>
      <c r="N2377" t="inlineStr"/>
      <c r="O2377">
        <f>(1-Summary!$B$11)*T2377+Summary!$B$11*V2377</f>
        <v/>
      </c>
      <c r="P2377">
        <f>IF(B2390=0,0,O2377/B2390)</f>
        <v/>
      </c>
      <c r="Q2377" t="n">
        <v>0</v>
      </c>
      <c r="R2377" t="n">
        <v>0</v>
      </c>
      <c r="S2377">
        <f>IFERROR(O2377/N2377,0)</f>
        <v/>
      </c>
      <c r="T2377" t="n">
        <v>0</v>
      </c>
      <c r="V2377" t="n">
        <v>0</v>
      </c>
    </row>
    <row r="2379">
      <c r="A2379" t="inlineStr">
        <is>
          <t>Attack% Bucket Multiplier</t>
        </is>
      </c>
      <c r="B2379">
        <f>(1+(((C2367=TRUE)*F2367)+((C2374=TRUE)*(F2374-Calc!F24))+(IF(ArtifactsInput!$M$21,CHOOSE(ArtifactsInput!$N$21+1,25,30,35,40,45,50)*(IF(OR(Inputs!$B$4="Chapter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380">
      <c r="A2380" t="inlineStr">
        <is>
          <t>Global Crit Rate Bonus %</t>
        </is>
      </c>
      <c r="B2380" t="n">
        <v>0</v>
      </c>
    </row>
    <row r="2381">
      <c r="A2381" t="inlineStr">
        <is>
          <t>Attack Speed Buff Bonus % (unused)</t>
        </is>
      </c>
      <c r="B2381" t="n">
        <v>0</v>
      </c>
    </row>
    <row r="2382">
      <c r="A2382" t="inlineStr">
        <is>
          <t>Actions Per Second</t>
        </is>
      </c>
      <c r="B2382">
        <f>1+MIN(150,150*(1-(1-(Inputs!$B$11+((C2370=TRUE)*(F2370-Calc!F20))+((C2371=TRUE)*(F2371-Calc!F21)))/150)*(1-B2381/150)))/100</f>
        <v/>
      </c>
    </row>
    <row r="2383">
      <c r="A2383" t="inlineStr">
        <is>
          <t>Skill + Buff Cast Rate</t>
        </is>
      </c>
      <c r="B2383">
        <f>IF(AND(Inputs!$B$38&lt;&gt;"pvp",Inputs!$B$43&gt;0),SUMPRODUCT((Skills!E2:E27=TRUE)*(C2352:C2377=TRUE)*R2352:R2377*Skills!F2:F27)/Inputs!$B$43,SUMPRODUCT((Skills!E2:E27=TRUE)*(C2352:C2377=TRUE)*Q2352:Q2377*Skills!F2:F27))</f>
        <v/>
      </c>
    </row>
    <row r="2384">
      <c r="A2384" t="inlineStr">
        <is>
          <t>Eight-Legs Easton Casts Per Second</t>
        </is>
      </c>
      <c r="B2384">
        <f>MAX(0,B2382-B2383)</f>
        <v/>
      </c>
    </row>
    <row r="2385">
      <c r="A2385" t="inlineStr">
        <is>
          <t>Global Critical Damage Bonus % (unused)</t>
        </is>
      </c>
      <c r="B2385" t="n">
        <v>0</v>
      </c>
    </row>
    <row r="2386">
      <c r="A2386" t="inlineStr">
        <is>
          <t>Global Final Damage Bonus % (Jolly Roger only)</t>
        </is>
      </c>
      <c r="B2386">
        <f>((C2368=TRUE)*F2368)</f>
        <v/>
      </c>
    </row>
    <row r="2387">
      <c r="A2387" t="inlineStr">
        <is>
          <t>Buff-Casting Startup Delay (s, fixed-duration only)</t>
        </is>
      </c>
      <c r="B2387">
        <f>IF(AND(Inputs!$B$38&lt;&gt;"pvp",Inputs!$B$43&gt;0),SUMPRODUCT((Skills!T2:T27&gt;0)*(Skills!E2:E27=TRUE)*(C2352:C2377=TRUE))/B2382,0)</f>
        <v/>
      </c>
    </row>
    <row r="2388">
      <c r="A2388" t="inlineStr">
        <is>
          <t>Boss-Only Total DPS (this block's swept value)</t>
        </is>
      </c>
      <c r="B2388">
        <f>SUM(T2352:T2377)</f>
        <v/>
      </c>
    </row>
    <row r="2389">
      <c r="A2389" t="inlineStr">
        <is>
          <t>Normal-Only Total DPS (this block's swept value)</t>
        </is>
      </c>
      <c r="B2389">
        <f>SUM(V2352:V2377)</f>
        <v/>
      </c>
    </row>
    <row r="2390">
      <c r="A2390" s="6" t="inlineStr">
        <is>
          <t>TOTAL DPS</t>
        </is>
      </c>
      <c r="B2390" s="6">
        <f>SUM(O2352:O2377)</f>
        <v/>
      </c>
    </row>
    <row r="2393">
      <c r="A2393" s="6" t="inlineStr">
        <is>
          <t>Stat: Peach Tree Herb Pouch (Equip)</t>
        </is>
      </c>
    </row>
    <row r="2394">
      <c r="A2394" s="5" t="inlineStr">
        <is>
          <t>Key</t>
        </is>
      </c>
      <c r="B2394" s="5" t="inlineStr">
        <is>
          <t>Name</t>
        </is>
      </c>
      <c r="C2394" s="5" t="inlineStr">
        <is>
          <t>Unlocked</t>
        </is>
      </c>
      <c r="D2394" s="5" t="inlineStr">
        <is>
          <t>InputLevel</t>
        </is>
      </c>
      <c r="E2394" s="5" t="inlineStr">
        <is>
          <t>Factor</t>
        </is>
      </c>
      <c r="F2394" s="5" t="inlineStr">
        <is>
          <t>CoefficientPercent</t>
        </is>
      </c>
      <c r="G2394" s="5" t="inlineStr">
        <is>
          <t>EffectiveHits</t>
        </is>
      </c>
      <c r="H2394" s="5" t="inlineStr">
        <is>
          <t>ProcProbability</t>
        </is>
      </c>
      <c r="I2394" s="5" t="inlineStr">
        <is>
          <t>MapleHeroMultiplier</t>
        </is>
      </c>
      <c r="J2394" s="5" t="inlineStr">
        <is>
          <t>BaseDamage</t>
        </is>
      </c>
      <c r="K2394" s="5" t="inlineStr">
        <is>
          <t>BaseHitDamage</t>
        </is>
      </c>
      <c r="L2394" s="5" t="inlineStr">
        <is>
          <t>NonCritAvg</t>
        </is>
      </c>
      <c r="M2394" s="5" t="inlineStr">
        <is>
          <t>CritAvg</t>
        </is>
      </c>
      <c r="N2394" s="5" t="inlineStr">
        <is>
          <t>ExpectedDamage(perHit)</t>
        </is>
      </c>
      <c r="O2394" s="5" t="inlineStr">
        <is>
          <t>DPS</t>
        </is>
      </c>
      <c r="P2394" s="5" t="inlineStr">
        <is>
          <t>% of Total</t>
        </is>
      </c>
      <c r="Q2394" s="5" t="inlineStr">
        <is>
          <t>InvCooldown</t>
        </is>
      </c>
      <c r="R2394" s="5" t="inlineStr">
        <is>
          <t>CastsInFight</t>
        </is>
      </c>
      <c r="S2394" s="5" t="inlineStr">
        <is>
          <t>HitRate(perSec)</t>
        </is>
      </c>
      <c r="U2394" t="inlineStr">
        <is>
          <t>helpers</t>
        </is>
      </c>
    </row>
    <row r="2395">
      <c r="A2395">
        <f>Skills!A2</f>
        <v/>
      </c>
      <c r="B2395">
        <f>Skills!B2</f>
        <v/>
      </c>
      <c r="C2395">
        <f>Inputs!$B$3&gt;=100</f>
        <v/>
      </c>
      <c r="D2395" t="inlineStr"/>
      <c r="E2395" t="inlineStr"/>
      <c r="F2395">
        <f>U2397+Skills!O2</f>
        <v/>
      </c>
      <c r="G2395">
        <f>Skills!G2*IF(Skills!H2&gt;0,Skills!I2/Skills!H2,1)</f>
        <v/>
      </c>
      <c r="H2395">
        <f>1-(1-Skills!J2/100)^Skills!K2</f>
        <v/>
      </c>
      <c r="I2395" t="inlineStr">
        <is>
          <t>1</t>
        </is>
      </c>
      <c r="J2395">
        <f>((Inputs!$B$6*(1+Inputs!$B$7/100))+(((Inputs!$B$12*(1+Inputs!$B$13/100))-(Inputs!$B$12*(1+Inputs!$B$13/100)))+0.25*(Inputs!$B$14-Inputs!$B$14))*(1+Inputs!$B$7/100))*(F2395/100)</f>
        <v/>
      </c>
      <c r="K2395">
        <f>J2395*(1+((Inputs!$B$12*(1+Inputs!$B$13/100))*0.01+Inputs!$B$14*0.0025)/100)*(1+Inputs!$B$15/100)*(1+Inputs!$B$16/100)*(5000/(6000+Inputs!$B$42*(1-(100*(1-(1-(Inputs!$B$19+0)/100)*(1-CHOOSE(ArtifactsInput!$N$40+1,5,6,7,8,9,10)/100)^(ArtifactsInput!$M$40-ArtifactsInput!$M$40)))/100)))*(1+(Inputs!$B$24+((C2419=TRUE)*(F2419-Calc!F26))+B2429)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2416=TRUE)*(F2416-Calc!F23))+((C2420=TRUE)*(F2420-Calc!F27))+(((IF(AND(ArtifactsInput!$M$42,((Inputs!$B$9+((C2412=TRUE)*(F2412-Calc!F19))+B2423+(ArtifactsInput!$M$24-ArtifactsInput!$M$24)*CHOOSE(ArtifactsInput!$N$24+1,10,12,14,16,18,20)+IF(ArtifactsInput!$M$10,CHOOSE(ArtifactsInput!$N$10+1,15,18,21,24,27,30)*(IF(Inputs!$B$38="pvp",MIN(15,15)/15,IF(AND(Inputs!$B$38&lt;&gt;"pvp",Inputs!$B$43&gt;0),MIN(15,Inputs!$B$43)/(Inputs!$B$43),0))),0)))&gt;=100),MIN(100,((Inputs!$B$9+((C2412=TRUE)*(F2412-Calc!F19))+B2423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2412=TRUE)*(F2412-Calc!F19))+B2423+(ArtifactsInput!$M$24-ArtifactsInput!$M$24)*CHOOSE(ArtifactsInput!$N$24+1,10,12,14,16,18,20)+IF(ArtifactsInput!$M$10,CHOOSE(ArtifactsInput!$N$10+1,15,18,21,24,27,30)*(IF(Inputs!$B$38="pvp",MIN(15,15)/15,IF(AND(Inputs!$B$38&lt;&gt;"pvp",Inputs!$B$43&gt;0),MIN(15,Inputs!$B$43)/(Inputs!$B$43),0))),0)))&gt;=100),CHOOSE(ArtifactsInput!$N$42+1,40,48,56,64,72,80),0))))/100)*((1+(((C2410=TRUE)*F2410)+((C2417=TRUE)*(F2417-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2395)</f>
        <v/>
      </c>
      <c r="L2395">
        <f>K2395*(MIN(Inputs!$B$22+((C2415=TRUE)*(F2415-Calc!F22)),(Inputs!$B$23+0+(IF(ArtifactsInput!$M$15,CHOOSE(ArtifactsInput!$N$15+1,25,30,35,40,45,50)/100*(Inputs!$B$11-Inputs!$B$11),0))))/100+(Inputs!$B$23+0+(IF(ArtifactsInput!$M$15,CHOOSE(ArtifactsInput!$N$15+1,25,30,35,40,45,50)/100*(Inputs!$B$11-Inputs!$B$11),0)))/100)/2</f>
        <v/>
      </c>
      <c r="M2395">
        <f>L2395*(1+(Inputs!$B$10+((C2418=TRUE)*(F2418-Calc!F25))+B2428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5">
        <f>L2395*(1-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2395*(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5">
        <f>(1-Summary!$B$11)*T2395+Summary!$B$11*V2395</f>
        <v/>
      </c>
      <c r="P2395">
        <f>IF(B2433=0,0,O2395/B2433)</f>
        <v/>
      </c>
      <c r="Q2395" t="n">
        <v>0</v>
      </c>
      <c r="R2395" t="n">
        <v>0</v>
      </c>
      <c r="S2395">
        <f>IFERROR(O2395/N2395,0)</f>
        <v/>
      </c>
      <c r="T2395">
        <f>IF(C2395,(Skills!G2*N2395*B2427)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2395*(1-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2395*(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2395*(1-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2395*(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5">
        <f>MAX(0,(Inputs!$B$3-100)*3)+Inputs!$B$28+Inputs!$B$29</f>
        <v/>
      </c>
      <c r="V2395">
        <f>IF(C2395,(Skills!G2*N2395*B2427)*IF(Inputs!$B$38="pvp",1,(1+(Inputs!$B$21+Skills!Q2+(IF(ArtifactsInput!$M$33,CHOOSE(ArtifactsInput!$N$33+1,30,36,42,48,54,60),0))+(IF(AND(IF(ArtifactsInput!$M$35,FALSE,TRUE),Inputs!$B$4&lt;&gt;"Chapter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6">
      <c r="A2396">
        <f>Skills!A3</f>
        <v/>
      </c>
      <c r="B2396">
        <f>Skills!B3</f>
        <v/>
      </c>
      <c r="C2396">
        <f>Inputs!$B$3&gt;=35</f>
        <v/>
      </c>
      <c r="D2396">
        <f>IF(Skills!C3=1,60+Inputs!$B$25+Inputs!$B$29,IF(Skills!C3=2,90+Inputs!$B$26+Inputs!$B$29,IF(Skills!C3=3,120+Inputs!$B$27+Inputs!$B$29,MAX(0,(Inputs!$B$3-100)*3)+Inputs!$B$28+Inputs!$B$29)))</f>
        <v/>
      </c>
      <c r="E2396">
        <f>INDEX(FactorTable!$B$2:$Y$301, MATCH(ROUND(MIN(300,MAX(1,D2396)),0), FactorTable!$A$2:$A$301,0), Skills!M3+1)</f>
        <v/>
      </c>
      <c r="F2396">
        <f>IF(Skills!N3=TRUE,(Skills!L3/10)*(E2396/1000),Skills!L3/10)+Skills!O3</f>
        <v/>
      </c>
      <c r="G2396">
        <f>Skills!G3*IF(Skills!H3&gt;0,Skills!I3/Skills!H3,1)</f>
        <v/>
      </c>
      <c r="H2396">
        <f>1-(1-Skills!J3/100)^Skills!K3</f>
        <v/>
      </c>
      <c r="I2396" t="inlineStr">
        <is>
          <t>1</t>
        </is>
      </c>
      <c r="J2396">
        <f>((Inputs!$B$6*(1+Inputs!$B$7/100))+(((Inputs!$B$12*(1+Inputs!$B$13/100))-(Inputs!$B$12*(1+Inputs!$B$13/100)))+0.25*(Inputs!$B$14-Inputs!$B$14))*(1+Inputs!$B$7/100))*(F2396/100)</f>
        <v/>
      </c>
      <c r="K2396">
        <f>J2396*(1+((Inputs!$B$12*(1+Inputs!$B$13/100))*0.01+Inputs!$B$14*0.0025)/100)*(1+Inputs!$B$15/100)*(1+Inputs!$B$16/100)*(5000/(6000+Inputs!$B$42*(1-(100*(1-(1-(Inputs!$B$19+0)/100)*(1-CHOOSE(ArtifactsInput!$N$40+1,5,6,7,8,9,10)/100)^(ArtifactsInput!$M$40-ArtifactsInput!$M$40)))/100)))*(1+(Inputs!$B$24+((C2419=TRUE)*(F2419-Calc!F26))+B2429)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2408=TRUE,F2408,0)/100)*(1+(IF(Skills!A3="EIGHT_LEGS_EASTON",Inputs!$B$17+((C2416=TRUE)*(F2416-Calc!F23))+((C2420=TRUE)*(F2420-Calc!F27))+(((IF(AND(ArtifactsInput!$M$42,((Inputs!$B$9+((C2412=TRUE)*(F2412-Calc!F19))+B2423+(ArtifactsInput!$M$24-ArtifactsInput!$M$24)*CHOOSE(ArtifactsInput!$N$24+1,10,12,14,16,18,20)+IF(ArtifactsInput!$M$10,CHOOSE(ArtifactsInput!$N$10+1,15,18,21,24,27,30)*(IF(Inputs!$B$38="pvp",MIN(15,15)/15,IF(AND(Inputs!$B$38&lt;&gt;"pvp",Inputs!$B$43&gt;0),MIN(15,Inputs!$B$43)/(Inputs!$B$43),0))),0)))&gt;=100),MIN(100,((Inputs!$B$9+((C2412=TRUE)*(F2412-Calc!F19))+B2423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2412=TRUE)*(F2412-Calc!F19))+B2423+(ArtifactsInput!$M$24-ArtifactsInput!$M$24)*CHOOSE(ArtifactsInput!$N$24+1,10,12,14,16,18,20)+IF(ArtifactsInput!$M$10,CHOOSE(ArtifactsInput!$N$10+1,15,18,21,24,27,30)*(IF(Inputs!$B$38="pvp",MIN(15,15)/15,IF(AND(Inputs!$B$38&lt;&gt;"pvp",Inputs!$B$43&gt;0),MIN(15,Inputs!$B$43)/(Inputs!$B$43),0))),0)))&gt;=100),CHOOSE(ArtifactsInput!$N$42+1,40,48,56,64,72,80),0))))/100)*((1+(((C2410=TRUE)*F2410)+((C2417=TRUE)*(F2417-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2396)</f>
        <v/>
      </c>
      <c r="L2396">
        <f>K2396*(MIN(Inputs!$B$22+((C2415=TRUE)*(F2415-Calc!F22)),(Inputs!$B$23+0+(IF(ArtifactsInput!$M$15,CHOOSE(ArtifactsInput!$N$15+1,25,30,35,40,45,50)/100*(Inputs!$B$11-Inputs!$B$11),0))))/100+(Inputs!$B$23+0+(IF(ArtifactsInput!$M$15,CHOOSE(ArtifactsInput!$N$15+1,25,30,35,40,45,50)/100*(Inputs!$B$11-Inputs!$B$11),0)))/100)/2</f>
        <v/>
      </c>
      <c r="M2396">
        <f>L2396*(1+(Inputs!$B$10+((C2418=TRUE)*(F2418-Calc!F25))+B2428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6">
        <f>L2396*(1-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2396*(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6">
        <f>(1-Summary!$B$11)*T2396+Summary!$B$11*V2396</f>
        <v/>
      </c>
      <c r="P2396">
        <f>IF(B2433=0,0,O2396/B2433)</f>
        <v/>
      </c>
      <c r="Q2396">
        <f>IFERROR(1/(IF(Inputs!$B$38="pvp",15,MAX(0.1,Skills!D3-IF(Skills!E3=TRUE,Inputs!$B$32,0)))*(1-IF(AND(ArtifactsInput!$M$27,Inputs!$B$4="Chapter Hunt"),CHOOSE(ArtifactsInput!$N$27+1,20,24,28,32,36,40),0)/100)),0)</f>
        <v/>
      </c>
      <c r="R2396">
        <f>IF(AND(Inputs!$B$38&lt;&gt;"pvp",Inputs!$B$43&gt;0),IF(MAX(0,Inputs!$B$43-B2430)&lt;=0,0,(INT(MAX(0,Inputs!$B$43-B2430)/(IF(Inputs!$B$38="pvp",15,MAX(0.1,Skills!D3-IF(Skills!E3=TRUE,Inputs!$B$32,0)))*(1-IF(AND(ArtifactsInput!$M$27,Inputs!$B$4="Chapter Hunt"),CHOOSE(ArtifactsInput!$N$27+1,20,24,28,32,36,40),0)/100)))+1)),0)</f>
        <v/>
      </c>
      <c r="S2396">
        <f>IFERROR(O2396/N2396,0)</f>
        <v/>
      </c>
      <c r="T2396">
        <f>IF(C2396,(H2396*N2396*IF(AND(Inputs!$B$38&lt;&gt;"pvp",Inputs!$B$43&gt;0),((Skills!G3*((R2396-1)*IF(Skills!H3&gt;0,Skills!I3/Skills!H3,1)+IF(Skills!H3&gt;0,MIN(Skills!I3,MAX(0,MAX(0,Inputs!$B$43-B2430)-((R2396-1)*(IF(Inputs!$B$38="pvp",15,MAX(0.1,Skills!D3-IF(Skills!E3=TRUE,Inputs!$B$32,0)))*(1-IF(AND(ArtifactsInput!$M$27,Inputs!$B$4="Chapter Hunt"),CHOOSE(ArtifactsInput!$N$27+1,20,24,28,32,36,40),0)/100)))))/Skills!H3,1)))/Inputs!$B$43),G2396*Q2396)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2396*(1-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2396*(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2396*(1-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2396*(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6">
        <f>INDEX(FactorTable!$B$2:$Y$301, MATCH(ROUND(MIN(300,MAX(1,U2395)),0), FactorTable!$A$2:$A$301,0), 22)</f>
        <v/>
      </c>
      <c r="V2396">
        <f>IF(C2396,(H2396*N2396*IF(AND(Inputs!$B$38&lt;&gt;"pvp",Inputs!$B$43&gt;0),((Skills!G3*((R2396-1)*IF(Skills!H3&gt;0,Skills!I3/Skills!H3,1)+IF(Skills!H3&gt;0,MIN(Skills!I3,MAX(0,MAX(0,Inputs!$B$43-B2430)-((R2396-1)*(IF(Inputs!$B$38="pvp",15,MAX(0.1,Skills!D3-IF(Skills!E3=TRUE,Inputs!$B$32,0)))*(1-IF(AND(ArtifactsInput!$M$27,Inputs!$B$4="Chapter Hunt"),CHOOSE(ArtifactsInput!$N$27+1,20,24,28,32,36,40),0)/100)))))/Skills!H3,1)))/Inputs!$B$43),G2396*Q2396))*IF(Inputs!$B$38="pvp",1,(1+(Inputs!$B$21+Skills!Q3+(IF(ArtifactsInput!$M$33,CHOOSE(ArtifactsInput!$N$33+1,30,36,42,48,54,60)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7">
      <c r="A2397">
        <f>Skills!A4</f>
        <v/>
      </c>
      <c r="B2397">
        <f>Skills!B4</f>
        <v/>
      </c>
      <c r="C2397">
        <f>Inputs!$B$3&gt;=40</f>
        <v/>
      </c>
      <c r="D2397">
        <f>IF(Skills!C4=1,60+Inputs!$B$25+Inputs!$B$29,IF(Skills!C4=2,90+Inputs!$B$26+Inputs!$B$29,IF(Skills!C4=3,120+Inputs!$B$27+Inputs!$B$29,MAX(0,(Inputs!$B$3-100)*3)+Inputs!$B$28+Inputs!$B$29)))</f>
        <v/>
      </c>
      <c r="E2397">
        <f>INDEX(FactorTable!$B$2:$Y$301, MATCH(ROUND(MIN(300,MAX(1,D2397)),0), FactorTable!$A$2:$A$301,0), Skills!M4+1)</f>
        <v/>
      </c>
      <c r="F2397">
        <f>IF(Skills!N4=TRUE,(Skills!L4/10)*(E2397/1000),Skills!L4/10)+Skills!O4</f>
        <v/>
      </c>
      <c r="G2397">
        <f>Skills!G4*IF(Skills!H4&gt;0,Skills!I4/Skills!H4,1)</f>
        <v/>
      </c>
      <c r="H2397">
        <f>1-(1-Skills!J4/100)^Skills!K4</f>
        <v/>
      </c>
      <c r="I2397" t="inlineStr">
        <is>
          <t>1</t>
        </is>
      </c>
      <c r="J2397">
        <f>((Inputs!$B$6*(1+Inputs!$B$7/100))+(((Inputs!$B$12*(1+Inputs!$B$13/100))-(Inputs!$B$12*(1+Inputs!$B$13/100)))+0.25*(Inputs!$B$14-Inputs!$B$14))*(1+Inputs!$B$7/100))*(F2397/100)</f>
        <v/>
      </c>
      <c r="K2397">
        <f>J2397*(1+((Inputs!$B$12*(1+Inputs!$B$13/100))*0.01+Inputs!$B$14*0.0025)/100)*(1+Inputs!$B$15/100)*(1+Inputs!$B$16/100)*(5000/(6000+Inputs!$B$42*(1-(100*(1-(1-(Inputs!$B$19+0)/100)*(1-CHOOSE(ArtifactsInput!$N$40+1,5,6,7,8,9,10)/100)^(ArtifactsInput!$M$40-ArtifactsInput!$M$40)))/100)))*(1+(Inputs!$B$24+((C2419=TRUE)*(F2419-Calc!F26))+B2429)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2409=TRUE,F2409,0)/100)*(1+(IF(Skills!A4="EIGHT_LEGS_EASTON",Inputs!$B$17+((C2416=TRUE)*(F2416-Calc!F23))+((C2420=TRUE)*(F2420-Calc!F27))+(((IF(AND(ArtifactsInput!$M$42,((Inputs!$B$9+((C2412=TRUE)*(F2412-Calc!F19))+B2423+(ArtifactsInput!$M$24-ArtifactsInput!$M$24)*CHOOSE(ArtifactsInput!$N$24+1,10,12,14,16,18,20)+IF(ArtifactsInput!$M$10,CHOOSE(ArtifactsInput!$N$10+1,15,18,21,24,27,30)*(IF(Inputs!$B$38="pvp",MIN(15,15)/15,IF(AND(Inputs!$B$38&lt;&gt;"pvp",Inputs!$B$43&gt;0),MIN(15,Inputs!$B$43)/(Inputs!$B$43),0))),0)))&gt;=100),MIN(100,((Inputs!$B$9+((C2412=TRUE)*(F2412-Calc!F19))+B2423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2412=TRUE)*(F2412-Calc!F19))+B2423+(ArtifactsInput!$M$24-ArtifactsInput!$M$24)*CHOOSE(ArtifactsInput!$N$24+1,10,12,14,16,18,20)+IF(ArtifactsInput!$M$10,CHOOSE(ArtifactsInput!$N$10+1,15,18,21,24,27,30)*(IF(Inputs!$B$38="pvp",MIN(15,15)/15,IF(AND(Inputs!$B$38&lt;&gt;"pvp",Inputs!$B$43&gt;0),MIN(15,Inputs!$B$43)/(Inputs!$B$43),0))),0)))&gt;=100),CHOOSE(ArtifactsInput!$N$42+1,40,48,56,64,72,80),0))))/100)*((1+(((C2410=TRUE)*F2410)+((C2417=TRUE)*(F2417-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2397)</f>
        <v/>
      </c>
      <c r="L2397">
        <f>K2397*(MIN(Inputs!$B$22+((C2415=TRUE)*(F2415-Calc!F22)),(Inputs!$B$23+0+(IF(ArtifactsInput!$M$15,CHOOSE(ArtifactsInput!$N$15+1,25,30,35,40,45,50)/100*(Inputs!$B$11-Inputs!$B$11),0))))/100+(Inputs!$B$23+0+(IF(ArtifactsInput!$M$15,CHOOSE(ArtifactsInput!$N$15+1,25,30,35,40,45,50)/100*(Inputs!$B$11-Inputs!$B$11),0)))/100)/2</f>
        <v/>
      </c>
      <c r="M2397">
        <f>L2397*(1+(Inputs!$B$10+((C2418=TRUE)*(F2418-Calc!F25))+B2428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7">
        <f>L2397*(1-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2397*(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7">
        <f>(1-Summary!$B$11)*T2397+Summary!$B$11*V2397</f>
        <v/>
      </c>
      <c r="P2397">
        <f>IF(B2433=0,0,O2397/B2433)</f>
        <v/>
      </c>
      <c r="Q2397">
        <f>IFERROR(1/(IF(Inputs!$B$38="pvp",15,MAX(0.1,Skills!D4-IF(Skills!E4=TRUE,Inputs!$B$32,0)))*(1-IF(AND(ArtifactsInput!$M$27,Inputs!$B$4="Chapter Hunt"),CHOOSE(ArtifactsInput!$N$27+1,20,24,28,32,36,40),0)/100)),0)</f>
        <v/>
      </c>
      <c r="R2397">
        <f>IF(AND(Inputs!$B$38&lt;&gt;"pvp",Inputs!$B$43&gt;0),IF(MAX(0,Inputs!$B$43-B2430)&lt;=0,0,(INT(MAX(0,Inputs!$B$43-B2430)/(IF(Inputs!$B$38="pvp",15,MAX(0.1,Skills!D4-IF(Skills!E4=TRUE,Inputs!$B$32,0)))*(1-IF(AND(ArtifactsInput!$M$27,Inputs!$B$4="Chapter Hunt"),CHOOSE(ArtifactsInput!$N$27+1,20,24,28,32,36,40),0)/100)))+1)),0)</f>
        <v/>
      </c>
      <c r="S2397">
        <f>IFERROR(O2397/N2397,0)</f>
        <v/>
      </c>
      <c r="T2397">
        <f>IF(C2397,(H2397*N2397*IF(AND(Inputs!$B$38&lt;&gt;"pvp",Inputs!$B$43&gt;0),((Skills!G4*((R2397-1)*IF(Skills!H4&gt;0,Skills!I4/Skills!H4,1)+IF(Skills!H4&gt;0,MIN(Skills!I4,MAX(0,MAX(0,Inputs!$B$43-B2430)-((R2397-1)*(IF(Inputs!$B$38="pvp",15,MAX(0.1,Skills!D4-IF(Skills!E4=TRUE,Inputs!$B$32,0)))*(1-IF(AND(ArtifactsInput!$M$27,Inputs!$B$4="Chapter Hunt"),CHOOSE(ArtifactsInput!$N$27+1,20,24,28,32,36,40),0)/100)))))/Skills!H4,1)))/Inputs!$B$43),G2397*Q2397)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2397*(1-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2397*(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2397*(1-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2397*(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7">
        <f>290*U2396/1000</f>
        <v/>
      </c>
      <c r="V2397">
        <f>IF(C2397,(H2397*N2397*IF(AND(Inputs!$B$38&lt;&gt;"pvp",Inputs!$B$43&gt;0),((Skills!G4*((R2397-1)*IF(Skills!H4&gt;0,Skills!I4/Skills!H4,1)+IF(Skills!H4&gt;0,MIN(Skills!I4,MAX(0,MAX(0,Inputs!$B$43-B2430)-((R2397-1)*(IF(Inputs!$B$38="pvp",15,MAX(0.1,Skills!D4-IF(Skills!E4=TRUE,Inputs!$B$32,0)))*(1-IF(AND(ArtifactsInput!$M$27,Inputs!$B$4="Chapter Hunt"),CHOOSE(ArtifactsInput!$N$27+1,20,24,28,32,36,40),0)/100)))))/Skills!H4,1)))/Inputs!$B$43),G2397*Q2397))*IF(Inputs!$B$38="pvp",1,(1+(Inputs!$B$21+Skills!Q4+(IF(ArtifactsInput!$M$33,CHOOSE(ArtifactsInput!$N$33+1,30,36,42,48,54,60)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8">
      <c r="A2398">
        <f>Skills!A5</f>
        <v/>
      </c>
      <c r="B2398">
        <f>Skills!B5</f>
        <v/>
      </c>
      <c r="C2398">
        <f>Inputs!$B$3&gt;=45</f>
        <v/>
      </c>
      <c r="D2398">
        <f>IF(Skills!C5=1,60+Inputs!$B$25+Inputs!$B$29,IF(Skills!C5=2,90+Inputs!$B$26+Inputs!$B$29,IF(Skills!C5=3,120+Inputs!$B$27+Inputs!$B$29,MAX(0,(Inputs!$B$3-100)*3)+Inputs!$B$28+Inputs!$B$29)))</f>
        <v/>
      </c>
      <c r="E2398">
        <f>INDEX(FactorTable!$B$2:$Y$301, MATCH(ROUND(MIN(300,MAX(1,D2398)),0), FactorTable!$A$2:$A$301,0), Skills!M5+1)</f>
        <v/>
      </c>
      <c r="F2398">
        <f>IF(Skills!N5=TRUE,(Skills!L5/10)*(E2398/1000),Skills!L5/10)+Skills!O5</f>
        <v/>
      </c>
      <c r="G2398">
        <f>Skills!G5*IF(Skills!H5&gt;0,Skills!I5/Skills!H5,1)</f>
        <v/>
      </c>
      <c r="H2398">
        <f>1-(1-Skills!J5/100)^Skills!K5</f>
        <v/>
      </c>
      <c r="I2398" t="inlineStr">
        <is>
          <t>1</t>
        </is>
      </c>
      <c r="J2398">
        <f>((Inputs!$B$6*(1+Inputs!$B$7/100))+(((Inputs!$B$12*(1+Inputs!$B$13/100))-(Inputs!$B$12*(1+Inputs!$B$13/100)))+0.25*(Inputs!$B$14-Inputs!$B$14))*(1+Inputs!$B$7/100))*(F2398/100)</f>
        <v/>
      </c>
      <c r="K2398">
        <f>J2398*(1+((Inputs!$B$12*(1+Inputs!$B$13/100))*0.01+Inputs!$B$14*0.0025)/100)*(1+Inputs!$B$15/100)*(1+Inputs!$B$16/100)*(5000/(6000+Inputs!$B$42*(1-(100*(1-(1-(Inputs!$B$19+0)/100)*(1-CHOOSE(ArtifactsInput!$N$40+1,5,6,7,8,9,10)/100)^(ArtifactsInput!$M$40-ArtifactsInput!$M$40)))/100)))*(1+(Inputs!$B$24+((C2419=TRUE)*(F2419-Calc!F26))+B2429)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2409=TRUE,F2409,0)/100)*(1+(IF(Skills!A5="EIGHT_LEGS_EASTON",Inputs!$B$17+((C2416=TRUE)*(F2416-Calc!F23))+((C2420=TRUE)*(F2420-Calc!F27))+(((IF(AND(ArtifactsInput!$M$42,((Inputs!$B$9+((C2412=TRUE)*(F2412-Calc!F19))+B2423+(ArtifactsInput!$M$24-ArtifactsInput!$M$24)*CHOOSE(ArtifactsInput!$N$24+1,10,12,14,16,18,20)+IF(ArtifactsInput!$M$10,CHOOSE(ArtifactsInput!$N$10+1,15,18,21,24,27,30)*(IF(Inputs!$B$38="pvp",MIN(15,15)/15,IF(AND(Inputs!$B$38&lt;&gt;"pvp",Inputs!$B$43&gt;0),MIN(15,Inputs!$B$43)/(Inputs!$B$43),0))),0)))&gt;=100),MIN(100,((Inputs!$B$9+((C2412=TRUE)*(F2412-Calc!F19))+B2423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2412=TRUE)*(F2412-Calc!F19))+B2423+(ArtifactsInput!$M$24-ArtifactsInput!$M$24)*CHOOSE(ArtifactsInput!$N$24+1,10,12,14,16,18,20)+IF(ArtifactsInput!$M$10,CHOOSE(ArtifactsInput!$N$10+1,15,18,21,24,27,30)*(IF(Inputs!$B$38="pvp",MIN(15,15)/15,IF(AND(Inputs!$B$38&lt;&gt;"pvp",Inputs!$B$43&gt;0),MIN(15,Inputs!$B$43)/(Inputs!$B$43),0))),0)))&gt;=100),CHOOSE(ArtifactsInput!$N$42+1,40,48,56,64,72,80),0))))/100)*((1+(((C2410=TRUE)*F2410)+((C2417=TRUE)*(F2417-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2398)</f>
        <v/>
      </c>
      <c r="L2398">
        <f>K2398*(MIN(Inputs!$B$22+((C2415=TRUE)*(F2415-Calc!F22)),(Inputs!$B$23+0+(IF(ArtifactsInput!$M$15,CHOOSE(ArtifactsInput!$N$15+1,25,30,35,40,45,50)/100*(Inputs!$B$11-Inputs!$B$11),0))))/100+(Inputs!$B$23+0+(IF(ArtifactsInput!$M$15,CHOOSE(ArtifactsInput!$N$15+1,25,30,35,40,45,50)/100*(Inputs!$B$11-Inputs!$B$11),0)))/100)/2</f>
        <v/>
      </c>
      <c r="M2398">
        <f>L2398*(1+(Inputs!$B$10+((C2418=TRUE)*(F2418-Calc!F25))+B2428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8">
        <f>L2398*(1-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2398*(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8">
        <f>(1-Summary!$B$11)*T2398+Summary!$B$11*V2398</f>
        <v/>
      </c>
      <c r="P2398">
        <f>IF(B2433=0,0,O2398/B2433)</f>
        <v/>
      </c>
      <c r="Q2398">
        <f>IFERROR(1/(IF(Inputs!$B$38="pvp",15,MAX(0.1,Skills!D5-IF(Skills!E5=TRUE,Inputs!$B$32,0)))*(1-IF(AND(ArtifactsInput!$M$27,Inputs!$B$4="Chapter Hunt"),CHOOSE(ArtifactsInput!$N$27+1,20,24,28,32,36,40),0)/100)),0)</f>
        <v/>
      </c>
      <c r="R2398">
        <f>IF(AND(Inputs!$B$38&lt;&gt;"pvp",Inputs!$B$43&gt;0),IF(MAX(0,Inputs!$B$43-B2430)&lt;=0,0,(INT(MAX(0,Inputs!$B$43-B2430)/(IF(Inputs!$B$38="pvp",15,MAX(0.1,Skills!D5-IF(Skills!E5=TRUE,Inputs!$B$32,0)))*(1-IF(AND(ArtifactsInput!$M$27,Inputs!$B$4="Chapter Hunt"),CHOOSE(ArtifactsInput!$N$27+1,20,24,28,32,36,40),0)/100)))+1)),0)</f>
        <v/>
      </c>
      <c r="S2398">
        <f>IFERROR(O2398/N2398,0)</f>
        <v/>
      </c>
      <c r="T2398">
        <f>IF(C2398,(H2398*N2398*IF(AND(Inputs!$B$38&lt;&gt;"pvp",Inputs!$B$43&gt;0),((Skills!G5*((R2398-1)*IF(Skills!H5&gt;0,Skills!I5/Skills!H5,1)+IF(Skills!H5&gt;0,MIN(Skills!I5,MAX(0,MAX(0,Inputs!$B$43-B2430)-((R2398-1)*(IF(Inputs!$B$38="pvp",15,MAX(0.1,Skills!D5-IF(Skills!E5=TRUE,Inputs!$B$32,0)))*(1-IF(AND(ArtifactsInput!$M$27,Inputs!$B$4="Chapter Hunt"),CHOOSE(ArtifactsInput!$N$27+1,20,24,28,32,36,40),0)/100)))))/Skills!H5,1)))/Inputs!$B$43),G2398*Q2398)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2398*(1-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2398*(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2398*(1-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2398*(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8">
        <f>IF(C2398,(H2398*N2398*IF(AND(Inputs!$B$38&lt;&gt;"pvp",Inputs!$B$43&gt;0),((Skills!G5*((R2398-1)*IF(Skills!H5&gt;0,Skills!I5/Skills!H5,1)+IF(Skills!H5&gt;0,MIN(Skills!I5,MAX(0,MAX(0,Inputs!$B$43-B2430)-((R2398-1)*(IF(Inputs!$B$38="pvp",15,MAX(0.1,Skills!D5-IF(Skills!E5=TRUE,Inputs!$B$32,0)))*(1-IF(AND(ArtifactsInput!$M$27,Inputs!$B$4="Chapter Hunt"),CHOOSE(ArtifactsInput!$N$27+1,20,24,28,32,36,40),0)/100)))))/Skills!H5,1)))/Inputs!$B$43),G2398*Q2398))*IF(Inputs!$B$38="pvp",1,(1+(Inputs!$B$21+Skills!Q5+(IF(ArtifactsInput!$M$33,CHOOSE(ArtifactsInput!$N$33+1,30,36,42,48,54,60)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9">
      <c r="A2399">
        <f>Skills!A6</f>
        <v/>
      </c>
      <c r="B2399">
        <f>Skills!B6</f>
        <v/>
      </c>
      <c r="C2399">
        <f>Inputs!$B$3&gt;=63</f>
        <v/>
      </c>
      <c r="D2399">
        <f>IF(Skills!C6=1,60+Inputs!$B$25+Inputs!$B$29,IF(Skills!C6=2,90+Inputs!$B$26+Inputs!$B$29,IF(Skills!C6=3,120+Inputs!$B$27+Inputs!$B$29,MAX(0,(Inputs!$B$3-100)*3)+Inputs!$B$28+Inputs!$B$29)))</f>
        <v/>
      </c>
      <c r="E2399">
        <f>INDEX(FactorTable!$B$2:$Y$301, MATCH(ROUND(MIN(300,MAX(1,D2399)),0), FactorTable!$A$2:$A$301,0), Skills!M6+1)</f>
        <v/>
      </c>
      <c r="F2399">
        <f>IF(Skills!N6=TRUE,(Skills!L6/10)*(E2399/1000),Skills!L6/10)+Skills!O6</f>
        <v/>
      </c>
      <c r="G2399">
        <f>Skills!G6*IF(Skills!H6&gt;0,Skills!I6/Skills!H6,1)</f>
        <v/>
      </c>
      <c r="H2399">
        <f>1-(1-Skills!J6/100)^Skills!K6</f>
        <v/>
      </c>
      <c r="I2399" t="inlineStr">
        <is>
          <t>1</t>
        </is>
      </c>
      <c r="J2399">
        <f>((Inputs!$B$6*(1+Inputs!$B$7/100))+(((Inputs!$B$12*(1+Inputs!$B$13/100))-(Inputs!$B$12*(1+Inputs!$B$13/100)))+0.25*(Inputs!$B$14-Inputs!$B$14))*(1+Inputs!$B$7/100))*(F2399/100)</f>
        <v/>
      </c>
      <c r="K2399">
        <f>J2399*(1+((Inputs!$B$12*(1+Inputs!$B$13/100))*0.01+Inputs!$B$14*0.0025)/100)*(1+Inputs!$B$15/100)*(1+Inputs!$B$16/100)*(5000/(6000+Inputs!$B$42*(1-(100*(1-(1-(Inputs!$B$19+0)/100)*(1-CHOOSE(ArtifactsInput!$N$40+1,5,6,7,8,9,10)/100)^(ArtifactsInput!$M$40-ArtifactsInput!$M$40)))/100)))*(1+(Inputs!$B$24+((C2419=TRUE)*(F2419-Calc!F26))+B2429)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2408=TRUE,F2408,0)/100)*(1+(IF(Skills!A6="EIGHT_LEGS_EASTON",Inputs!$B$17+((C2416=TRUE)*(F2416-Calc!F23))+((C2420=TRUE)*(F2420-Calc!F27))+(((IF(AND(ArtifactsInput!$M$42,((Inputs!$B$9+((C2412=TRUE)*(F2412-Calc!F19))+B2423+(ArtifactsInput!$M$24-ArtifactsInput!$M$24)*CHOOSE(ArtifactsInput!$N$24+1,10,12,14,16,18,20)+IF(ArtifactsInput!$M$10,CHOOSE(ArtifactsInput!$N$10+1,15,18,21,24,27,30)*(IF(Inputs!$B$38="pvp",MIN(15,15)/15,IF(AND(Inputs!$B$38&lt;&gt;"pvp",Inputs!$B$43&gt;0),MIN(15,Inputs!$B$43)/(Inputs!$B$43),0))),0)))&gt;=100),MIN(100,((Inputs!$B$9+((C2412=TRUE)*(F2412-Calc!F19))+B2423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2412=TRUE)*(F2412-Calc!F19))+B2423+(ArtifactsInput!$M$24-ArtifactsInput!$M$24)*CHOOSE(ArtifactsInput!$N$24+1,10,12,14,16,18,20)+IF(ArtifactsInput!$M$10,CHOOSE(ArtifactsInput!$N$10+1,15,18,21,24,27,30)*(IF(Inputs!$B$38="pvp",MIN(15,15)/15,IF(AND(Inputs!$B$38&lt;&gt;"pvp",Inputs!$B$43&gt;0),MIN(15,Inputs!$B$43)/(Inputs!$B$43),0))),0)))&gt;=100),CHOOSE(ArtifactsInput!$N$42+1,40,48,56,64,72,80),0))))/100)*((1+(((C2410=TRUE)*F2410)+((C2417=TRUE)*(F2417-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2399)</f>
        <v/>
      </c>
      <c r="L2399">
        <f>K2399*(MIN(Inputs!$B$22+((C2415=TRUE)*(F2415-Calc!F22)),(Inputs!$B$23+0+(IF(ArtifactsInput!$M$15,CHOOSE(ArtifactsInput!$N$15+1,25,30,35,40,45,50)/100*(Inputs!$B$11-Inputs!$B$11),0))))/100+(Inputs!$B$23+0+(IF(ArtifactsInput!$M$15,CHOOSE(ArtifactsInput!$N$15+1,25,30,35,40,45,50)/100*(Inputs!$B$11-Inputs!$B$11),0)))/100)/2</f>
        <v/>
      </c>
      <c r="M2399">
        <f>L2399*(1+(Inputs!$B$10+((C2418=TRUE)*(F2418-Calc!F25))+B2428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9">
        <f>L2399*(1-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2399*(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9">
        <f>(1-Summary!$B$11)*T2399+Summary!$B$11*V2399</f>
        <v/>
      </c>
      <c r="P2399">
        <f>IF(B2433=0,0,O2399/B2433)</f>
        <v/>
      </c>
      <c r="Q2399">
        <f>IFERROR(1/(IF(Inputs!$B$38="pvp",15,MAX(0.1,Skills!D6-IF(Skills!E6=TRUE,Inputs!$B$32,0)))*(1-IF(AND(ArtifactsInput!$M$27,Inputs!$B$4="Chapter Hunt"),CHOOSE(ArtifactsInput!$N$27+1,20,24,28,32,36,40),0)/100)),0)</f>
        <v/>
      </c>
      <c r="R2399">
        <f>IF(AND(Inputs!$B$38&lt;&gt;"pvp",Inputs!$B$43&gt;0),IF(MAX(0,Inputs!$B$43-B2430)&lt;=0,0,(INT(MAX(0,Inputs!$B$43-B2430)/(IF(Inputs!$B$38="pvp",15,MAX(0.1,Skills!D6-IF(Skills!E6=TRUE,Inputs!$B$32,0)))*(1-IF(AND(ArtifactsInput!$M$27,Inputs!$B$4="Chapter Hunt"),CHOOSE(ArtifactsInput!$N$27+1,20,24,28,32,36,40),0)/100)))+1)),0)</f>
        <v/>
      </c>
      <c r="S2399">
        <f>IFERROR(O2399/N2399,0)</f>
        <v/>
      </c>
      <c r="T2399">
        <f>IF(C2399,(H2399*N2399*IF(AND(Inputs!$B$38&lt;&gt;"pvp",Inputs!$B$43&gt;0),((Skills!G6*((R2399-1)*IF(Skills!H6&gt;0,Skills!I6/Skills!H6,1)+IF(Skills!H6&gt;0,MIN(Skills!I6,MAX(0,MAX(0,Inputs!$B$43-B2430)-((R2399-1)*(IF(Inputs!$B$38="pvp",15,MAX(0.1,Skills!D6-IF(Skills!E6=TRUE,Inputs!$B$32,0)))*(1-IF(AND(ArtifactsInput!$M$27,Inputs!$B$4="Chapter Hunt"),CHOOSE(ArtifactsInput!$N$27+1,20,24,28,32,36,40),0)/100)))))/Skills!H6,1)))/Inputs!$B$43),G2399*Q2399)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2399*(1-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2399*(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2399*(1-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2399*(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9">
        <f>IF(C2399,(H2399*N2399*IF(AND(Inputs!$B$38&lt;&gt;"pvp",Inputs!$B$43&gt;0),((Skills!G6*((R2399-1)*IF(Skills!H6&gt;0,Skills!I6/Skills!H6,1)+IF(Skills!H6&gt;0,MIN(Skills!I6,MAX(0,MAX(0,Inputs!$B$43-B2430)-((R2399-1)*(IF(Inputs!$B$38="pvp",15,MAX(0.1,Skills!D6-IF(Skills!E6=TRUE,Inputs!$B$32,0)))*(1-IF(AND(ArtifactsInput!$M$27,Inputs!$B$4="Chapter Hunt"),CHOOSE(ArtifactsInput!$N$27+1,20,24,28,32,36,40),0)/100)))))/Skills!H6,1)))/Inputs!$B$43),G2399*Q2399))*IF(Inputs!$B$38="pvp",1,(1+(Inputs!$B$21+Skills!Q6+(IF(ArtifactsInput!$M$33,CHOOSE(ArtifactsInput!$N$33+1,30,36,42,48,54,60)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0">
      <c r="A2400">
        <f>Skills!A7</f>
        <v/>
      </c>
      <c r="B2400">
        <f>Skills!B7</f>
        <v/>
      </c>
      <c r="C2400">
        <f>Inputs!$B$3&gt;=66</f>
        <v/>
      </c>
      <c r="D2400">
        <f>IF(Skills!C7=1,60+Inputs!$B$25+Inputs!$B$29,IF(Skills!C7=2,90+Inputs!$B$26+Inputs!$B$29,IF(Skills!C7=3,120+Inputs!$B$27+Inputs!$B$29,MAX(0,(Inputs!$B$3-100)*3)+Inputs!$B$28+Inputs!$B$29)))</f>
        <v/>
      </c>
      <c r="E2400">
        <f>INDEX(FactorTable!$B$2:$Y$301, MATCH(ROUND(MIN(300,MAX(1,D2400)),0), FactorTable!$A$2:$A$301,0), Skills!M7+1)</f>
        <v/>
      </c>
      <c r="F2400">
        <f>IF(Skills!N7=TRUE,(Skills!L7/10)*(E2400/1000),Skills!L7/10)+Skills!O7</f>
        <v/>
      </c>
      <c r="G2400">
        <f>Skills!G7*IF(Skills!H7&gt;0,Skills!I7/Skills!H7,1)</f>
        <v/>
      </c>
      <c r="H2400">
        <f>1-(1-Skills!J7/100)^Skills!K7</f>
        <v/>
      </c>
      <c r="I2400" t="inlineStr">
        <is>
          <t>1</t>
        </is>
      </c>
      <c r="J2400">
        <f>((Inputs!$B$6*(1+Inputs!$B$7/100))+(((Inputs!$B$12*(1+Inputs!$B$13/100))-(Inputs!$B$12*(1+Inputs!$B$13/100)))+0.25*(Inputs!$B$14-Inputs!$B$14))*(1+Inputs!$B$7/100))*(F2400/100)</f>
        <v/>
      </c>
      <c r="K2400">
        <f>J2400*(1+((Inputs!$B$12*(1+Inputs!$B$13/100))*0.01+Inputs!$B$14*0.0025)/100)*(1+Inputs!$B$15/100)*(1+Inputs!$B$16/100)*(5000/(6000+Inputs!$B$42*(1-(100*(1-(1-(Inputs!$B$19+0)/100)*(1-CHOOSE(ArtifactsInput!$N$40+1,5,6,7,8,9,10)/100)^(ArtifactsInput!$M$40-ArtifactsInput!$M$40)))/100)))*(1+(Inputs!$B$24+((C2419=TRUE)*(F2419-Calc!F26))+B2429)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2408=TRUE,F2408,0)/100)*(1+(IF(Skills!A7="EIGHT_LEGS_EASTON",Inputs!$B$17+((C2416=TRUE)*(F2416-Calc!F23))+((C2420=TRUE)*(F2420-Calc!F27))+(((IF(AND(ArtifactsInput!$M$42,((Inputs!$B$9+((C2412=TRUE)*(F2412-Calc!F19))+B2423+(ArtifactsInput!$M$24-ArtifactsInput!$M$24)*CHOOSE(ArtifactsInput!$N$24+1,10,12,14,16,18,20)+IF(ArtifactsInput!$M$10,CHOOSE(ArtifactsInput!$N$10+1,15,18,21,24,27,30)*(IF(Inputs!$B$38="pvp",MIN(15,15)/15,IF(AND(Inputs!$B$38&lt;&gt;"pvp",Inputs!$B$43&gt;0),MIN(15,Inputs!$B$43)/(Inputs!$B$43),0))),0)))&gt;=100),MIN(100,((Inputs!$B$9+((C2412=TRUE)*(F2412-Calc!F19))+B2423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2412=TRUE)*(F2412-Calc!F19))+B2423+(ArtifactsInput!$M$24-ArtifactsInput!$M$24)*CHOOSE(ArtifactsInput!$N$24+1,10,12,14,16,18,20)+IF(ArtifactsInput!$M$10,CHOOSE(ArtifactsInput!$N$10+1,15,18,21,24,27,30)*(IF(Inputs!$B$38="pvp",MIN(15,15)/15,IF(AND(Inputs!$B$38&lt;&gt;"pvp",Inputs!$B$43&gt;0),MIN(15,Inputs!$B$43)/(Inputs!$B$43),0))),0)))&gt;=100),CHOOSE(ArtifactsInput!$N$42+1,40,48,56,64,72,80),0))))/100)*((1+(((C2410=TRUE)*F2410)+((C2417=TRUE)*(F2417-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2400)</f>
        <v/>
      </c>
      <c r="L2400">
        <f>K2400*(MIN(Inputs!$B$22+((C2415=TRUE)*(F2415-Calc!F22)),(Inputs!$B$23+0+(IF(ArtifactsInput!$M$15,CHOOSE(ArtifactsInput!$N$15+1,25,30,35,40,45,50)/100*(Inputs!$B$11-Inputs!$B$11),0))))/100+(Inputs!$B$23+0+(IF(ArtifactsInput!$M$15,CHOOSE(ArtifactsInput!$N$15+1,25,30,35,40,45,50)/100*(Inputs!$B$11-Inputs!$B$11),0)))/100)/2</f>
        <v/>
      </c>
      <c r="M2400">
        <f>L2400*(1+(Inputs!$B$10+((C2418=TRUE)*(F2418-Calc!F25))+B2428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0">
        <f>L2400*(1-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2400*(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0">
        <f>(1-Summary!$B$11)*T2400+Summary!$B$11*V2400</f>
        <v/>
      </c>
      <c r="P2400">
        <f>IF(B2433=0,0,O2400/B2433)</f>
        <v/>
      </c>
      <c r="Q2400">
        <f>IFERROR(1/(IF(Inputs!$B$38="pvp",15,MAX(0.1,Skills!D7-IF(Skills!E7=TRUE,Inputs!$B$32,0)))*(1-IF(AND(ArtifactsInput!$M$27,Inputs!$B$4="Chapter Hunt"),CHOOSE(ArtifactsInput!$N$27+1,20,24,28,32,36,40),0)/100)),0)</f>
        <v/>
      </c>
      <c r="R2400">
        <f>IF(AND(Inputs!$B$38&lt;&gt;"pvp",Inputs!$B$43&gt;0),IF(MAX(0,Inputs!$B$43-B2430)&lt;=0,0,(INT(MAX(0,Inputs!$B$43-B2430)/(IF(Inputs!$B$38="pvp",15,MAX(0.1,Skills!D7-IF(Skills!E7=TRUE,Inputs!$B$32,0)))*(1-IF(AND(ArtifactsInput!$M$27,Inputs!$B$4="Chapter Hunt"),CHOOSE(ArtifactsInput!$N$27+1,20,24,28,32,36,40),0)/100)))+1)),0)</f>
        <v/>
      </c>
      <c r="S2400">
        <f>IFERROR(O2400/N2400,0)</f>
        <v/>
      </c>
      <c r="T2400">
        <f>IF(C2400,(H2400*N2400*IF(AND(Inputs!$B$38&lt;&gt;"pvp",Inputs!$B$43&gt;0),((Skills!G7*((R2400-1)*IF(Skills!H7&gt;0,Skills!I7/Skills!H7,1)+IF(Skills!H7&gt;0,MIN(Skills!I7,MAX(0,MAX(0,Inputs!$B$43-B2430)-((R2400-1)*(IF(Inputs!$B$38="pvp",15,MAX(0.1,Skills!D7-IF(Skills!E7=TRUE,Inputs!$B$32,0)))*(1-IF(AND(ArtifactsInput!$M$27,Inputs!$B$4="Chapter Hunt"),CHOOSE(ArtifactsInput!$N$27+1,20,24,28,32,36,40),0)/100)))))/Skills!H7,1)))/Inputs!$B$43),G2400*Q2400)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2400*(1-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2400*(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2400*(1-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2400*(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0">
        <f>IF(C2400,(H2400*N2400*IF(AND(Inputs!$B$38&lt;&gt;"pvp",Inputs!$B$43&gt;0),((Skills!G7*((R2400-1)*IF(Skills!H7&gt;0,Skills!I7/Skills!H7,1)+IF(Skills!H7&gt;0,MIN(Skills!I7,MAX(0,MAX(0,Inputs!$B$43-B2430)-((R2400-1)*(IF(Inputs!$B$38="pvp",15,MAX(0.1,Skills!D7-IF(Skills!E7=TRUE,Inputs!$B$32,0)))*(1-IF(AND(ArtifactsInput!$M$27,Inputs!$B$4="Chapter Hunt"),CHOOSE(ArtifactsInput!$N$27+1,20,24,28,32,36,40),0)/100)))))/Skills!H7,1)))/Inputs!$B$43),G2400*Q2400))*IF(Inputs!$B$38="pvp",1,(1+(Inputs!$B$21+Skills!Q7+(IF(ArtifactsInput!$M$33,CHOOSE(ArtifactsInput!$N$33+1,30,36,42,48,54,60)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1">
      <c r="A2401">
        <f>Skills!A8</f>
        <v/>
      </c>
      <c r="B2401">
        <f>Skills!B8</f>
        <v/>
      </c>
      <c r="C2401">
        <f>Inputs!$B$3&gt;=100</f>
        <v/>
      </c>
      <c r="D2401">
        <f>IF(Skills!C8=1,60+Inputs!$B$25+Inputs!$B$29,IF(Skills!C8=2,90+Inputs!$B$26+Inputs!$B$29,IF(Skills!C8=3,120+Inputs!$B$27+Inputs!$B$29,MAX(0,(Inputs!$B$3-100)*3)+Inputs!$B$28+Inputs!$B$29)))</f>
        <v/>
      </c>
      <c r="E2401">
        <f>INDEX(FactorTable!$B$2:$Y$301, MATCH(ROUND(MIN(300,MAX(1,D2401)),0), FactorTable!$A$2:$A$301,0), Skills!M8+1)</f>
        <v/>
      </c>
      <c r="F2401">
        <f>IF(Skills!N8=TRUE,(Skills!L8/10)*(E2401/1000),Skills!L8/10)+Skills!O8</f>
        <v/>
      </c>
      <c r="G2401">
        <f>Skills!G8*IF(Skills!H8&gt;0,Skills!I8/Skills!H8,1)</f>
        <v/>
      </c>
      <c r="H2401">
        <f>1-(1-Skills!J8/100)^Skills!K8</f>
        <v/>
      </c>
      <c r="I2401" t="inlineStr">
        <is>
          <t>1</t>
        </is>
      </c>
      <c r="J2401">
        <f>((Inputs!$B$6*(1+Inputs!$B$7/100))+(((Inputs!$B$12*(1+Inputs!$B$13/100))-(Inputs!$B$12*(1+Inputs!$B$13/100)))+0.25*(Inputs!$B$14-Inputs!$B$14))*(1+Inputs!$B$7/100))*(F2401/100)</f>
        <v/>
      </c>
      <c r="K2401">
        <f>J2401*(1+((Inputs!$B$12*(1+Inputs!$B$13/100))*0.01+Inputs!$B$14*0.0025)/100)*(1+Inputs!$B$15/100)*(1+Inputs!$B$16/100)*(5000/(6000+Inputs!$B$42*(1-(100*(1-(1-(Inputs!$B$19+0)/100)*(1-CHOOSE(ArtifactsInput!$N$40+1,5,6,7,8,9,10)/100)^(ArtifactsInput!$M$40-ArtifactsInput!$M$40)))/100)))*(1+(Inputs!$B$24+((C2419=TRUE)*(F2419-Calc!F26))+B2429)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2416=TRUE)*(F2416-Calc!F23))+((C2420=TRUE)*(F2420-Calc!F27))+(((IF(AND(ArtifactsInput!$M$42,((Inputs!$B$9+((C2412=TRUE)*(F2412-Calc!F19))+B2423+(ArtifactsInput!$M$24-ArtifactsInput!$M$24)*CHOOSE(ArtifactsInput!$N$24+1,10,12,14,16,18,20)+IF(ArtifactsInput!$M$10,CHOOSE(ArtifactsInput!$N$10+1,15,18,21,24,27,30)*(IF(Inputs!$B$38="pvp",MIN(15,15)/15,IF(AND(Inputs!$B$38&lt;&gt;"pvp",Inputs!$B$43&gt;0),MIN(15,Inputs!$B$43)/(Inputs!$B$43),0))),0)))&gt;=100),MIN(100,((Inputs!$B$9+((C2412=TRUE)*(F2412-Calc!F19))+B2423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2412=TRUE)*(F2412-Calc!F19))+B2423+(ArtifactsInput!$M$24-ArtifactsInput!$M$24)*CHOOSE(ArtifactsInput!$N$24+1,10,12,14,16,18,20)+IF(ArtifactsInput!$M$10,CHOOSE(ArtifactsInput!$N$10+1,15,18,21,24,27,30)*(IF(Inputs!$B$38="pvp",MIN(15,15)/15,IF(AND(Inputs!$B$38&lt;&gt;"pvp",Inputs!$B$43&gt;0),MIN(15,Inputs!$B$43)/(Inputs!$B$43),0))),0)))&gt;=100),CHOOSE(ArtifactsInput!$N$42+1,40,48,56,64,72,80),0))))/100)*((1+(((C2410=TRUE)*F2410)+((C2417=TRUE)*(F2417-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2401)</f>
        <v/>
      </c>
      <c r="L2401">
        <f>K2401*(MIN(Inputs!$B$22+((C2415=TRUE)*(F2415-Calc!F22)),(Inputs!$B$23+0+(IF(ArtifactsInput!$M$15,CHOOSE(ArtifactsInput!$N$15+1,25,30,35,40,45,50)/100*(Inputs!$B$11-Inputs!$B$11),0))))/100+(Inputs!$B$23+0+(IF(ArtifactsInput!$M$15,CHOOSE(ArtifactsInput!$N$15+1,25,30,35,40,45,50)/100*(Inputs!$B$11-Inputs!$B$11),0)))/100)/2</f>
        <v/>
      </c>
      <c r="M2401">
        <f>L2401*(1+(Inputs!$B$10+((C2418=TRUE)*(F2418-Calc!F25))+B2428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1">
        <f>L2401*(1-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2401*(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1">
        <f>(1-Summary!$B$11)*T2401+Summary!$B$11*V2401</f>
        <v/>
      </c>
      <c r="P2401">
        <f>IF(B2433=0,0,O2401/B2433)</f>
        <v/>
      </c>
      <c r="Q2401">
        <f>IFERROR(1/(IF(Inputs!$B$38="pvp",15,MAX(0.1,Skills!D8-IF(Skills!E8=TRUE,Inputs!$B$32,0)))*(1-IF(AND(ArtifactsInput!$M$27,Inputs!$B$4="Chapter Hunt"),CHOOSE(ArtifactsInput!$N$27+1,20,24,28,32,36,40),0)/100)),0)</f>
        <v/>
      </c>
      <c r="R2401">
        <f>IF(AND(Inputs!$B$38&lt;&gt;"pvp",Inputs!$B$43&gt;0),IF(MAX(0,Inputs!$B$43-B2430)&lt;=0,0,(INT(MAX(0,Inputs!$B$43-B2430)/(IF(Inputs!$B$38="pvp",15,MAX(0.1,Skills!D8-IF(Skills!E8=TRUE,Inputs!$B$32,0)))*(1-IF(AND(ArtifactsInput!$M$27,Inputs!$B$4="Chapter Hunt"),CHOOSE(ArtifactsInput!$N$27+1,20,24,28,32,36,40),0)/100)))+1)),0)</f>
        <v/>
      </c>
      <c r="S2401">
        <f>IFERROR(O2401/N2401,0)</f>
        <v/>
      </c>
      <c r="T2401">
        <f>IF(C2401,(H2401*N2401*IF(AND(Inputs!$B$38&lt;&gt;"pvp",Inputs!$B$43&gt;0),((Skills!G8*((R2401-1)*IF(Skills!H8&gt;0,Skills!I8/Skills!H8,1)+IF(Skills!H8&gt;0,MIN(Skills!I8,MAX(0,MAX(0,Inputs!$B$43-B2430)-((R2401-1)*(IF(Inputs!$B$38="pvp",15,MAX(0.1,Skills!D8-IF(Skills!E8=TRUE,Inputs!$B$32,0)))*(1-IF(AND(ArtifactsInput!$M$27,Inputs!$B$4="Chapter Hunt"),CHOOSE(ArtifactsInput!$N$27+1,20,24,28,32,36,40),0)/100)))))/Skills!H8,1)))/Inputs!$B$43),G2401*Q2401)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2401*(1-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2401*(1-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1">
        <f>IF(C2401,(H2401*N2401*IF(AND(Inputs!$B$38&lt;&gt;"pvp",Inputs!$B$43&gt;0),((Skills!G8*((R2401-1)*IF(Skills!H8&gt;0,Skills!I8/Skills!H8,1)+IF(Skills!H8&gt;0,MIN(Skills!I8,MAX(0,MAX(0,Inputs!$B$43-B2430)-((R2401-1)*(IF(Inputs!$B$38="pvp",15,MAX(0.1,Skills!D8-IF(Skills!E8=TRUE,Inputs!$B$32,0)))*(1-IF(AND(ArtifactsInput!$M$27,Inputs!$B$4="Chapter Hunt"),CHOOSE(ArtifactsInput!$N$27+1,20,24,28,32,36,40),0)/100)))))/Skills!H8,1)))/Inputs!$B$43),G2401*Q2401))*IF(Inputs!$B$38="pvp",1,(1+(Inputs!$B$21+Skills!Q8+(IF(ArtifactsInput!$M$33,CHOOSE(ArtifactsInput!$N$33+1,30,36,42,48,54,60)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2">
      <c r="A2402">
        <f>Skills!A9</f>
        <v/>
      </c>
      <c r="B2402">
        <f>Skills!B9</f>
        <v/>
      </c>
      <c r="C2402">
        <f>Inputs!$B$3&gt;=103</f>
        <v/>
      </c>
      <c r="D2402">
        <f>IF(Skills!C9=1,60+Inputs!$B$25+Inputs!$B$29,IF(Skills!C9=2,90+Inputs!$B$26+Inputs!$B$29,IF(Skills!C9=3,120+Inputs!$B$27+Inputs!$B$29,MAX(0,(Inputs!$B$3-100)*3)+Inputs!$B$28+Inputs!$B$29)))</f>
        <v/>
      </c>
      <c r="E2402">
        <f>INDEX(FactorTable!$B$2:$Y$301, MATCH(ROUND(MIN(300,MAX(1,D2402)),0), FactorTable!$A$2:$A$301,0), Skills!M9+1)</f>
        <v/>
      </c>
      <c r="F2402">
        <f>IF(Skills!N9=TRUE,(Skills!L9/10)*(E2402/1000),Skills!L9/10)+Skills!O9</f>
        <v/>
      </c>
      <c r="G2402">
        <f>Skills!G9*IF(Skills!H9&gt;0,Skills!I9/Skills!H9,1)</f>
        <v/>
      </c>
      <c r="H2402">
        <f>1-(1-Skills!J9/100)^Skills!K9</f>
        <v/>
      </c>
      <c r="I2402" t="inlineStr">
        <is>
          <t>1</t>
        </is>
      </c>
      <c r="J2402">
        <f>((Inputs!$B$6*(1+Inputs!$B$7/100))+(((Inputs!$B$12*(1+Inputs!$B$13/100))-(Inputs!$B$12*(1+Inputs!$B$13/100)))+0.25*(Inputs!$B$14-Inputs!$B$14))*(1+Inputs!$B$7/100))*(F2402/100)</f>
        <v/>
      </c>
      <c r="K2402">
        <f>J2402*(1+((Inputs!$B$12*(1+Inputs!$B$13/100))*0.01+Inputs!$B$14*0.0025)/100)*(1+Inputs!$B$15/100)*(1+Inputs!$B$16/100)*(5000/(6000+Inputs!$B$42*(1-(100*(1-(1-(Inputs!$B$19+0)/100)*(1-CHOOSE(ArtifactsInput!$N$40+1,5,6,7,8,9,10)/100)^(ArtifactsInput!$M$40-ArtifactsInput!$M$40)))/100)))*(1+(Inputs!$B$24+((C2419=TRUE)*(F2419-Calc!F26))+B2429)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2416=TRUE)*(F2416-Calc!F23))+((C2420=TRUE)*(F2420-Calc!F27))+(((IF(AND(ArtifactsInput!$M$42,((Inputs!$B$9+((C2412=TRUE)*(F2412-Calc!F19))+B2423+(ArtifactsInput!$M$24-ArtifactsInput!$M$24)*CHOOSE(ArtifactsInput!$N$24+1,10,12,14,16,18,20)+IF(ArtifactsInput!$M$10,CHOOSE(ArtifactsInput!$N$10+1,15,18,21,24,27,30)*(IF(Inputs!$B$38="pvp",MIN(15,15)/15,IF(AND(Inputs!$B$38&lt;&gt;"pvp",Inputs!$B$43&gt;0),MIN(15,Inputs!$B$43)/(Inputs!$B$43),0))),0)))&gt;=100),MIN(100,((Inputs!$B$9+((C2412=TRUE)*(F2412-Calc!F19))+B2423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2412=TRUE)*(F2412-Calc!F19))+B2423+(ArtifactsInput!$M$24-ArtifactsInput!$M$24)*CHOOSE(ArtifactsInput!$N$24+1,10,12,14,16,18,20)+IF(ArtifactsInput!$M$10,CHOOSE(ArtifactsInput!$N$10+1,15,18,21,24,27,30)*(IF(Inputs!$B$38="pvp",MIN(15,15)/15,IF(AND(Inputs!$B$38&lt;&gt;"pvp",Inputs!$B$43&gt;0),MIN(15,Inputs!$B$43)/(Inputs!$B$43),0))),0)))&gt;=100),CHOOSE(ArtifactsInput!$N$42+1,40,48,56,64,72,80),0))))/100)*((1+(((C2410=TRUE)*F2410)+((C2417=TRUE)*(F2417-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2402)</f>
        <v/>
      </c>
      <c r="L2402">
        <f>K2402*(MIN(Inputs!$B$22+((C2415=TRUE)*(F2415-Calc!F22)),(Inputs!$B$23+0+(IF(ArtifactsInput!$M$15,CHOOSE(ArtifactsInput!$N$15+1,25,30,35,40,45,50)/100*(Inputs!$B$11-Inputs!$B$11),0))))/100+(Inputs!$B$23+0+(IF(ArtifactsInput!$M$15,CHOOSE(ArtifactsInput!$N$15+1,25,30,35,40,45,50)/100*(Inputs!$B$11-Inputs!$B$11),0)))/100)/2</f>
        <v/>
      </c>
      <c r="M2402">
        <f>L2402*(1+(Inputs!$B$10+((C2418=TRUE)*(F2418-Calc!F25))+B2428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2">
        <f>L2402*(1-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2402*(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2">
        <f>(1-Summary!$B$11)*T2402+Summary!$B$11*V2402</f>
        <v/>
      </c>
      <c r="P2402">
        <f>IF(B2433=0,0,O2402/B2433)</f>
        <v/>
      </c>
      <c r="Q2402">
        <f>IFERROR(1/(IF(Inputs!$B$38="pvp",15,MAX(0.1,Skills!D9-IF(Skills!E9=TRUE,Inputs!$B$32,0)))*(1-IF(AND(ArtifactsInput!$M$27,Inputs!$B$4="Chapter Hunt"),CHOOSE(ArtifactsInput!$N$27+1,20,24,28,32,36,40),0)/100)),0)</f>
        <v/>
      </c>
      <c r="R2402">
        <f>IF(AND(Inputs!$B$38&lt;&gt;"pvp",Inputs!$B$43&gt;0),IF(MAX(0,Inputs!$B$43-B2430)&lt;=0,0,(INT(MAX(0,Inputs!$B$43-B2430)/(IF(Inputs!$B$38="pvp",15,MAX(0.1,Skills!D9-IF(Skills!E9=TRUE,Inputs!$B$32,0)))*(1-IF(AND(ArtifactsInput!$M$27,Inputs!$B$4="Chapter Hunt"),CHOOSE(ArtifactsInput!$N$27+1,20,24,28,32,36,40),0)/100)))+1)),0)</f>
        <v/>
      </c>
      <c r="S2402">
        <f>IFERROR(O2402/N2402,0)</f>
        <v/>
      </c>
      <c r="T2402">
        <f>IF(C2402,(H2402*N2402*IF(AND(Inputs!$B$38&lt;&gt;"pvp",Inputs!$B$43&gt;0),((Skills!G9*((R2402-1)*IF(Skills!H9&gt;0,Skills!I9/Skills!H9,1)+IF(Skills!H9&gt;0,MIN(Skills!I9,MAX(0,MAX(0,Inputs!$B$43-B2430)-((R2402-1)*(IF(Inputs!$B$38="pvp",15,MAX(0.1,Skills!D9-IF(Skills!E9=TRUE,Inputs!$B$32,0)))*(1-IF(AND(ArtifactsInput!$M$27,Inputs!$B$4="Chapter Hunt"),CHOOSE(ArtifactsInput!$N$27+1,20,24,28,32,36,40),0)/100)))))/Skills!H9,1)))/Inputs!$B$43),G2402*Q2402)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2402*(1-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2402*(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2402*(1-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2402*(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2">
        <f>IF(C2402,(H2402*N2402*IF(AND(Inputs!$B$38&lt;&gt;"pvp",Inputs!$B$43&gt;0),((Skills!G9*((R2402-1)*IF(Skills!H9&gt;0,Skills!I9/Skills!H9,1)+IF(Skills!H9&gt;0,MIN(Skills!I9,MAX(0,MAX(0,Inputs!$B$43-B2430)-((R2402-1)*(IF(Inputs!$B$38="pvp",15,MAX(0.1,Skills!D9-IF(Skills!E9=TRUE,Inputs!$B$32,0)))*(1-IF(AND(ArtifactsInput!$M$27,Inputs!$B$4="Chapter Hunt"),CHOOSE(ArtifactsInput!$N$27+1,20,24,28,32,36,40),0)/100)))))/Skills!H9,1)))/Inputs!$B$43),G2402*Q2402))*IF(Inputs!$B$38="pvp",1,(1+(Inputs!$B$21+Skills!Q9+(IF(ArtifactsInput!$M$33,CHOOSE(ArtifactsInput!$N$33+1,30,36,42,48,54,60)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3">
      <c r="A2403">
        <f>Skills!A10</f>
        <v/>
      </c>
      <c r="B2403">
        <f>Skills!B10</f>
        <v/>
      </c>
      <c r="C2403">
        <f>Inputs!$B$3&gt;=113</f>
        <v/>
      </c>
      <c r="D2403">
        <f>IF(Skills!C10=1,60+Inputs!$B$25+Inputs!$B$29,IF(Skills!C10=2,90+Inputs!$B$26+Inputs!$B$29,IF(Skills!C10=3,120+Inputs!$B$27+Inputs!$B$29,MAX(0,(Inputs!$B$3-100)*3)+Inputs!$B$28+Inputs!$B$29)))</f>
        <v/>
      </c>
      <c r="E2403">
        <f>INDEX(FactorTable!$B$2:$Y$301, MATCH(ROUND(MIN(300,MAX(1,D2403)),0), FactorTable!$A$2:$A$301,0), Skills!M10+1)</f>
        <v/>
      </c>
      <c r="F2403">
        <f>IF(Skills!N10=TRUE,(Skills!L10/10)*(E2403/1000),Skills!L10/10)+Skills!O10</f>
        <v/>
      </c>
      <c r="G2403">
        <f>Skills!G10*IF(Skills!H10&gt;0,Skills!I10/Skills!H10,1)</f>
        <v/>
      </c>
      <c r="H2403">
        <f>1-(1-Skills!J10/100)^Skills!K10</f>
        <v/>
      </c>
      <c r="I2403" t="inlineStr">
        <is>
          <t>1</t>
        </is>
      </c>
      <c r="J2403">
        <f>((Inputs!$B$6*(1+Inputs!$B$7/100))+(((Inputs!$B$12*(1+Inputs!$B$13/100))-(Inputs!$B$12*(1+Inputs!$B$13/100)))+0.25*(Inputs!$B$14-Inputs!$B$14))*(1+Inputs!$B$7/100))*(F2403/100)</f>
        <v/>
      </c>
      <c r="K2403">
        <f>J2403*(1+((Inputs!$B$12*(1+Inputs!$B$13/100))*0.01+Inputs!$B$14*0.0025)/100)*(1+Inputs!$B$15/100)*(1+Inputs!$B$16/100)*(5000/(6000+Inputs!$B$42*(1-(100*(1-(1-(Inputs!$B$19+0)/100)*(1-CHOOSE(ArtifactsInput!$N$40+1,5,6,7,8,9,10)/100)^(ArtifactsInput!$M$40-ArtifactsInput!$M$40)))/100)))*(1+(Inputs!$B$24+((C2419=TRUE)*(F2419-Calc!F26))+B2429)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2416=TRUE)*(F2416-Calc!F23))+((C2420=TRUE)*(F2420-Calc!F27))+(((IF(AND(ArtifactsInput!$M$42,((Inputs!$B$9+((C2412=TRUE)*(F2412-Calc!F19))+B2423+(ArtifactsInput!$M$24-ArtifactsInput!$M$24)*CHOOSE(ArtifactsInput!$N$24+1,10,12,14,16,18,20)+IF(ArtifactsInput!$M$10,CHOOSE(ArtifactsInput!$N$10+1,15,18,21,24,27,30)*(IF(Inputs!$B$38="pvp",MIN(15,15)/15,IF(AND(Inputs!$B$38&lt;&gt;"pvp",Inputs!$B$43&gt;0),MIN(15,Inputs!$B$43)/(Inputs!$B$43),0))),0)))&gt;=100),MIN(100,((Inputs!$B$9+((C2412=TRUE)*(F2412-Calc!F19))+B2423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2412=TRUE)*(F2412-Calc!F19))+B2423+(ArtifactsInput!$M$24-ArtifactsInput!$M$24)*CHOOSE(ArtifactsInput!$N$24+1,10,12,14,16,18,20)+IF(ArtifactsInput!$M$10,CHOOSE(ArtifactsInput!$N$10+1,15,18,21,24,27,30)*(IF(Inputs!$B$38="pvp",MIN(15,15)/15,IF(AND(Inputs!$B$38&lt;&gt;"pvp",Inputs!$B$43&gt;0),MIN(15,Inputs!$B$43)/(Inputs!$B$43),0))),0)))&gt;=100),CHOOSE(ArtifactsInput!$N$42+1,40,48,56,64,72,80),0))))/100)*((1+(((C2410=TRUE)*F2410)+((C2417=TRUE)*(F2417-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2403)</f>
        <v/>
      </c>
      <c r="L2403">
        <f>K2403*(MIN(Inputs!$B$22+((C2415=TRUE)*(F2415-Calc!F22)),(Inputs!$B$23+0+(IF(ArtifactsInput!$M$15,CHOOSE(ArtifactsInput!$N$15+1,25,30,35,40,45,50)/100*(Inputs!$B$11-Inputs!$B$11),0))))/100+(Inputs!$B$23+0+(IF(ArtifactsInput!$M$15,CHOOSE(ArtifactsInput!$N$15+1,25,30,35,40,45,50)/100*(Inputs!$B$11-Inputs!$B$11),0)))/100)/2</f>
        <v/>
      </c>
      <c r="M2403">
        <f>L2403*(1+(Inputs!$B$10+((C2418=TRUE)*(F2418-Calc!F25))+B2428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3">
        <f>L2403*(1-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2403*(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3">
        <f>(1-Summary!$B$11)*T2403+Summary!$B$11*V2403</f>
        <v/>
      </c>
      <c r="P2403">
        <f>IF(B2433=0,0,O2403/B2433)</f>
        <v/>
      </c>
      <c r="Q2403">
        <f>IFERROR(1/(IF(Inputs!$B$38="pvp",15,MAX(0.1,Skills!D10-IF(Skills!E10=TRUE,Inputs!$B$32,0)))*(1-IF(AND(ArtifactsInput!$M$27,Inputs!$B$4="Chapter Hunt"),CHOOSE(ArtifactsInput!$N$27+1,20,24,28,32,36,40),0)/100)),0)</f>
        <v/>
      </c>
      <c r="R2403">
        <f>IF(AND(Inputs!$B$38&lt;&gt;"pvp",Inputs!$B$43&gt;0),IF(MAX(0,Inputs!$B$43-B2430)&lt;=0,0,(INT(MAX(0,Inputs!$B$43-B2430)/(IF(Inputs!$B$38="pvp",15,MAX(0.1,Skills!D10-IF(Skills!E10=TRUE,Inputs!$B$32,0)))*(1-IF(AND(ArtifactsInput!$M$27,Inputs!$B$4="Chapter Hunt"),CHOOSE(ArtifactsInput!$N$27+1,20,24,28,32,36,40),0)/100)))+1)),0)</f>
        <v/>
      </c>
      <c r="S2403">
        <f>IFERROR(O2403/N2403,0)</f>
        <v/>
      </c>
      <c r="T2403">
        <f>IF(C2403,(H2403*N2403*IF(AND(Inputs!$B$38&lt;&gt;"pvp",Inputs!$B$43&gt;0),((Skills!G10*((R2403-1)*IF(Skills!H10&gt;0,Skills!I10/Skills!H10,1)+IF(Skills!H10&gt;0,MIN(Skills!I10,MAX(0,MAX(0,Inputs!$B$43-B2430)-((R2403-1)*(IF(Inputs!$B$38="pvp",15,MAX(0.1,Skills!D10-IF(Skills!E10=TRUE,Inputs!$B$32,0)))*(1-IF(AND(ArtifactsInput!$M$27,Inputs!$B$4="Chapter Hunt"),CHOOSE(ArtifactsInput!$N$27+1,20,24,28,32,36,40),0)/100)))))/Skills!H10,1)))/Inputs!$B$43),G2403*Q2403)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2403*(1-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2403*(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2403*(1-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2403*(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3">
        <f>IF(C2403,(H2403*N2403*IF(AND(Inputs!$B$38&lt;&gt;"pvp",Inputs!$B$43&gt;0),((Skills!G10*((R2403-1)*IF(Skills!H10&gt;0,Skills!I10/Skills!H10,1)+IF(Skills!H10&gt;0,MIN(Skills!I10,MAX(0,MAX(0,Inputs!$B$43-B2430)-((R2403-1)*(IF(Inputs!$B$38="pvp",15,MAX(0.1,Skills!D10-IF(Skills!E10=TRUE,Inputs!$B$32,0)))*(1-IF(AND(ArtifactsInput!$M$27,Inputs!$B$4="Chapter Hunt"),CHOOSE(ArtifactsInput!$N$27+1,20,24,28,32,36,40),0)/100)))))/Skills!H10,1)))/Inputs!$B$43),G2403*Q2403))*IF(Inputs!$B$38="pvp",1,(1+(Inputs!$B$21+Skills!Q10+(IF(ArtifactsInput!$M$33,CHOOSE(ArtifactsInput!$N$33+1,30,36,42,48,54,60)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4">
      <c r="A2404">
        <f>Skills!A11</f>
        <v/>
      </c>
      <c r="B2404">
        <f>Skills!B11</f>
        <v/>
      </c>
      <c r="C2404">
        <f>Inputs!$B$3&gt;=107</f>
        <v/>
      </c>
      <c r="D2404">
        <f>IF(Skills!C11=1,60+Inputs!$B$25+Inputs!$B$29,IF(Skills!C11=2,90+Inputs!$B$26+Inputs!$B$29,IF(Skills!C11=3,120+Inputs!$B$27+Inputs!$B$29,MAX(0,(Inputs!$B$3-100)*3)+Inputs!$B$28+Inputs!$B$29)))</f>
        <v/>
      </c>
      <c r="E2404">
        <f>INDEX(FactorTable!$B$2:$Y$301, MATCH(ROUND(MIN(300,MAX(1,D2404)),0), FactorTable!$A$2:$A$301,0), Skills!M11+1)</f>
        <v/>
      </c>
      <c r="F2404">
        <f>IF(Skills!N11=TRUE,(Skills!L11/10)*(E2404/1000),Skills!L11/10)+Skills!O11</f>
        <v/>
      </c>
      <c r="G2404">
        <f>Skills!G11*IF(Skills!H11&gt;0,Skills!I11/Skills!H11,1)</f>
        <v/>
      </c>
      <c r="H2404">
        <f>1-(1-Skills!J11/100)^Skills!K11</f>
        <v/>
      </c>
      <c r="I2404" t="inlineStr">
        <is>
          <t>1</t>
        </is>
      </c>
      <c r="J2404">
        <f>((Inputs!$B$6*(1+Inputs!$B$7/100))+(((Inputs!$B$12*(1+Inputs!$B$13/100))-(Inputs!$B$12*(1+Inputs!$B$13/100)))+0.25*(Inputs!$B$14-Inputs!$B$14))*(1+Inputs!$B$7/100))*(F2404/100)</f>
        <v/>
      </c>
      <c r="K2404">
        <f>J2404*(1+((Inputs!$B$12*(1+Inputs!$B$13/100))*0.01+Inputs!$B$14*0.0025)/100)*(1+Inputs!$B$15/100)*(1+Inputs!$B$16/100)*(5000/(6000+Inputs!$B$42*(1-(100*(1-(1-(Inputs!$B$19+0)/100)*(1-CHOOSE(ArtifactsInput!$N$40+1,5,6,7,8,9,10)/100)^(ArtifactsInput!$M$40-ArtifactsInput!$M$40)))/100)))*(1+(Inputs!$B$24+((C2419=TRUE)*(F2419-Calc!F26))+B2429)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2416=TRUE)*(F2416-Calc!F23))+((C2420=TRUE)*(F2420-Calc!F27))+(((IF(AND(ArtifactsInput!$M$42,((Inputs!$B$9+((C2412=TRUE)*(F2412-Calc!F19))+B2423+(ArtifactsInput!$M$24-ArtifactsInput!$M$24)*CHOOSE(ArtifactsInput!$N$24+1,10,12,14,16,18,20)+IF(ArtifactsInput!$M$10,CHOOSE(ArtifactsInput!$N$10+1,15,18,21,24,27,30)*(IF(Inputs!$B$38="pvp",MIN(15,15)/15,IF(AND(Inputs!$B$38&lt;&gt;"pvp",Inputs!$B$43&gt;0),MIN(15,Inputs!$B$43)/(Inputs!$B$43),0))),0)))&gt;=100),MIN(100,((Inputs!$B$9+((C2412=TRUE)*(F2412-Calc!F19))+B2423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2412=TRUE)*(F2412-Calc!F19))+B2423+(ArtifactsInput!$M$24-ArtifactsInput!$M$24)*CHOOSE(ArtifactsInput!$N$24+1,10,12,14,16,18,20)+IF(ArtifactsInput!$M$10,CHOOSE(ArtifactsInput!$N$10+1,15,18,21,24,27,30)*(IF(Inputs!$B$38="pvp",MIN(15,15)/15,IF(AND(Inputs!$B$38&lt;&gt;"pvp",Inputs!$B$43&gt;0),MIN(15,Inputs!$B$43)/(Inputs!$B$43),0))),0)))&gt;=100),CHOOSE(ArtifactsInput!$N$42+1,40,48,56,64,72,80),0))))/100)*((1+(((C2410=TRUE)*F2410)+((C2417=TRUE)*(F2417-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2404)</f>
        <v/>
      </c>
      <c r="L2404">
        <f>K2404*(MIN(Inputs!$B$22+((C2415=TRUE)*(F2415-Calc!F22)),(Inputs!$B$23+0+(IF(ArtifactsInput!$M$15,CHOOSE(ArtifactsInput!$N$15+1,25,30,35,40,45,50)/100*(Inputs!$B$11-Inputs!$B$11),0))))/100+(Inputs!$B$23+0+(IF(ArtifactsInput!$M$15,CHOOSE(ArtifactsInput!$N$15+1,25,30,35,40,45,50)/100*(Inputs!$B$11-Inputs!$B$11),0)))/100)/2</f>
        <v/>
      </c>
      <c r="M2404">
        <f>L2404*(1+(Inputs!$B$10+((C2418=TRUE)*(F2418-Calc!F25))+B2428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4">
        <f>L2404*(1-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2404*(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4">
        <f>(1-Summary!$B$11)*T2404+Summary!$B$11*V2404</f>
        <v/>
      </c>
      <c r="P2404">
        <f>IF(B2433=0,0,O2404/B2433)</f>
        <v/>
      </c>
      <c r="Q2404">
        <f>IFERROR(1/(IF(Inputs!$B$38="pvp",15,MAX(0.1,Skills!D11-IF(Skills!E11=TRUE,Inputs!$B$32,0)))*(1-IF(AND(ArtifactsInput!$M$27,Inputs!$B$4="Chapter Hunt"),CHOOSE(ArtifactsInput!$N$27+1,20,24,28,32,36,40),0)/100)),0)</f>
        <v/>
      </c>
      <c r="R2404">
        <f>IF(AND(Inputs!$B$38&lt;&gt;"pvp",Inputs!$B$43&gt;0),IF(MAX(0,Inputs!$B$43-B2430)&lt;=0,0,(INT(MAX(0,Inputs!$B$43-B2430)/(IF(Inputs!$B$38="pvp",15,MAX(0.1,Skills!D11-IF(Skills!E11=TRUE,Inputs!$B$32,0)))*(1-IF(AND(ArtifactsInput!$M$27,Inputs!$B$4="Chapter Hunt"),CHOOSE(ArtifactsInput!$N$27+1,20,24,28,32,36,40),0)/100)))+1)),0)</f>
        <v/>
      </c>
      <c r="S2404">
        <f>IFERROR(O2404/N2404,0)</f>
        <v/>
      </c>
      <c r="T2404">
        <f>IF(C2404,(H2404*N2404*IF(AND(Inputs!$B$38&lt;&gt;"pvp",Inputs!$B$43&gt;0),((Skills!G11*((R2404-1)*IF(Skills!H11&gt;0,Skills!I11/Skills!H11,1)+IF(Skills!H11&gt;0,MIN(Skills!I11,MAX(0,MAX(0,Inputs!$B$43-B2430)-((R2404-1)*(IF(Inputs!$B$38="pvp",15,MAX(0.1,Skills!D11-IF(Skills!E11=TRUE,Inputs!$B$32,0)))*(1-IF(AND(ArtifactsInput!$M$27,Inputs!$B$4="Chapter Hunt"),CHOOSE(ArtifactsInput!$N$27+1,20,24,28,32,36,40),0)/100)))))/Skills!H11,1)))/Inputs!$B$43),G2404*Q2404)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2404*(1-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2404*(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2404*(1-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2404*(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4">
        <f>IF(C2404,(H2404*N2404*IF(AND(Inputs!$B$38&lt;&gt;"pvp",Inputs!$B$43&gt;0),((Skills!G11*((R2404-1)*IF(Skills!H11&gt;0,Skills!I11/Skills!H11,1)+IF(Skills!H11&gt;0,MIN(Skills!I11,MAX(0,MAX(0,Inputs!$B$43-B2430)-((R2404-1)*(IF(Inputs!$B$38="pvp",15,MAX(0.1,Skills!D11-IF(Skills!E11=TRUE,Inputs!$B$32,0)))*(1-IF(AND(ArtifactsInput!$M$27,Inputs!$B$4="Chapter Hunt"),CHOOSE(ArtifactsInput!$N$27+1,20,24,28,32,36,40),0)/100)))))/Skills!H11,1)))/Inputs!$B$43),G2404*Q2404))*IF(Inputs!$B$38="pvp",1,(1+(Inputs!$B$21+Skills!Q11+(IF(ArtifactsInput!$M$33,CHOOSE(ArtifactsInput!$N$33+1,30,36,42,48,54,60)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5">
      <c r="A2405">
        <f>Skills!A12</f>
        <v/>
      </c>
      <c r="B2405">
        <f>Skills!B12</f>
        <v/>
      </c>
      <c r="C2405">
        <f>Inputs!$B$3&gt;=110</f>
        <v/>
      </c>
      <c r="D2405">
        <f>IF(Skills!C12=1,60+Inputs!$B$25+Inputs!$B$29,IF(Skills!C12=2,90+Inputs!$B$26+Inputs!$B$29,IF(Skills!C12=3,120+Inputs!$B$27+Inputs!$B$29,MAX(0,(Inputs!$B$3-100)*3)+Inputs!$B$28+Inputs!$B$29)))</f>
        <v/>
      </c>
      <c r="E2405">
        <f>INDEX(FactorTable!$B$2:$Y$301, MATCH(ROUND(MIN(300,MAX(1,D2405)),0), FactorTable!$A$2:$A$301,0), Skills!M12+1)</f>
        <v/>
      </c>
      <c r="F2405">
        <f>IF(Skills!N12=TRUE,(Skills!L12/10)*(E2405/1000),Skills!L12/10)+Skills!O12</f>
        <v/>
      </c>
      <c r="G2405">
        <f>Skills!G12*IF(Skills!H12&gt;0,Skills!I12/Skills!H12,1)</f>
        <v/>
      </c>
      <c r="H2405">
        <f>1-(1-Skills!J12/100)^Skills!K12</f>
        <v/>
      </c>
      <c r="I2405" t="inlineStr">
        <is>
          <t>1</t>
        </is>
      </c>
      <c r="J2405">
        <f>((Inputs!$B$6*(1+Inputs!$B$7/100))+(((Inputs!$B$12*(1+Inputs!$B$13/100))-(Inputs!$B$12*(1+Inputs!$B$13/100)))+0.25*(Inputs!$B$14-Inputs!$B$14))*(1+Inputs!$B$7/100))*(F2405/100)</f>
        <v/>
      </c>
      <c r="K2405">
        <f>J2405*(1+((Inputs!$B$12*(1+Inputs!$B$13/100))*0.01+Inputs!$B$14*0.0025)/100)*(1+Inputs!$B$15/100)*(1+Inputs!$B$16/100)*(5000/(6000+Inputs!$B$42*(1-(100*(1-(1-(Inputs!$B$19+0)/100)*(1-CHOOSE(ArtifactsInput!$N$40+1,5,6,7,8,9,10)/100)^(ArtifactsInput!$M$40-ArtifactsInput!$M$40)))/100)))*(1+(Inputs!$B$24+((C2419=TRUE)*(F2419-Calc!F26))+B2429)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2416=TRUE)*(F2416-Calc!F23))+((C2420=TRUE)*(F2420-Calc!F27))+(((IF(AND(ArtifactsInput!$M$42,((Inputs!$B$9+((C2412=TRUE)*(F2412-Calc!F19))+B2423+(ArtifactsInput!$M$24-ArtifactsInput!$M$24)*CHOOSE(ArtifactsInput!$N$24+1,10,12,14,16,18,20)+IF(ArtifactsInput!$M$10,CHOOSE(ArtifactsInput!$N$10+1,15,18,21,24,27,30)*(IF(Inputs!$B$38="pvp",MIN(15,15)/15,IF(AND(Inputs!$B$38&lt;&gt;"pvp",Inputs!$B$43&gt;0),MIN(15,Inputs!$B$43)/(Inputs!$B$43),0))),0)))&gt;=100),MIN(100,((Inputs!$B$9+((C2412=TRUE)*(F2412-Calc!F19))+B2423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2412=TRUE)*(F2412-Calc!F19))+B2423+(ArtifactsInput!$M$24-ArtifactsInput!$M$24)*CHOOSE(ArtifactsInput!$N$24+1,10,12,14,16,18,20)+IF(ArtifactsInput!$M$10,CHOOSE(ArtifactsInput!$N$10+1,15,18,21,24,27,30)*(IF(Inputs!$B$38="pvp",MIN(15,15)/15,IF(AND(Inputs!$B$38&lt;&gt;"pvp",Inputs!$B$43&gt;0),MIN(15,Inputs!$B$43)/(Inputs!$B$43),0))),0)))&gt;=100),CHOOSE(ArtifactsInput!$N$42+1,40,48,56,64,72,80),0))))/100)*((1+(((C2410=TRUE)*F2410)+((C2417=TRUE)*(F2417-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2405)</f>
        <v/>
      </c>
      <c r="L2405">
        <f>K2405*(MIN(Inputs!$B$22+((C2415=TRUE)*(F2415-Calc!F22)),(Inputs!$B$23+0+(IF(ArtifactsInput!$M$15,CHOOSE(ArtifactsInput!$N$15+1,25,30,35,40,45,50)/100*(Inputs!$B$11-Inputs!$B$11),0))))/100+(Inputs!$B$23+0+(IF(ArtifactsInput!$M$15,CHOOSE(ArtifactsInput!$N$15+1,25,30,35,40,45,50)/100*(Inputs!$B$11-Inputs!$B$11),0)))/100)/2</f>
        <v/>
      </c>
      <c r="M2405">
        <f>L2405*(1+(Inputs!$B$10+((C2418=TRUE)*(F2418-Calc!F25))+B2428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5">
        <f>L2405*(1-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2405*(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5">
        <f>(1-Summary!$B$11)*T2405+Summary!$B$11*V2405</f>
        <v/>
      </c>
      <c r="P2405">
        <f>IF(B2433=0,0,O2405/B2433)</f>
        <v/>
      </c>
      <c r="Q2405">
        <f>IFERROR(1/(IF(Inputs!$B$38="pvp",15,MAX(0.1,Skills!D12-IF(Skills!E12=TRUE,Inputs!$B$32,0)))*(1-IF(AND(ArtifactsInput!$M$27,Inputs!$B$4="Chapter Hunt"),CHOOSE(ArtifactsInput!$N$27+1,20,24,28,32,36,40),0)/100)),0)</f>
        <v/>
      </c>
      <c r="R2405">
        <f>IF(AND(Inputs!$B$38&lt;&gt;"pvp",Inputs!$B$43&gt;0),IF(MAX(0,Inputs!$B$43-B2430)&lt;=0,0,(INT(MAX(0,Inputs!$B$43-B2430)/(IF(Inputs!$B$38="pvp",15,MAX(0.1,Skills!D12-IF(Skills!E12=TRUE,Inputs!$B$32,0)))*(1-IF(AND(ArtifactsInput!$M$27,Inputs!$B$4="Chapter Hunt"),CHOOSE(ArtifactsInput!$N$27+1,20,24,28,32,36,40),0)/100)))+1)),0)</f>
        <v/>
      </c>
      <c r="S2405">
        <f>IFERROR(O2405/N2405,0)</f>
        <v/>
      </c>
      <c r="T2405">
        <f>IF(C2405,(H2405*N2405*IF(AND(Inputs!$B$38&lt;&gt;"pvp",Inputs!$B$43&gt;0),((Skills!G12*((R2405-1)*IF(Skills!H12&gt;0,Skills!I12/Skills!H12,1)+IF(Skills!H12&gt;0,MIN(Skills!I12,MAX(0,MAX(0,Inputs!$B$43-B2430)-((R2405-1)*(IF(Inputs!$B$38="pvp",15,MAX(0.1,Skills!D12-IF(Skills!E12=TRUE,Inputs!$B$32,0)))*(1-IF(AND(ArtifactsInput!$M$27,Inputs!$B$4="Chapter Hunt"),CHOOSE(ArtifactsInput!$N$27+1,20,24,28,32,36,40),0)/100)))))/Skills!H12,1)))/Inputs!$B$43),G2405*Q2405)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2405*(1-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2405*(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2405*(1-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2405*(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5">
        <f>IF(C2405,(H2405*N2405*IF(AND(Inputs!$B$38&lt;&gt;"pvp",Inputs!$B$43&gt;0),((Skills!G12*((R2405-1)*IF(Skills!H12&gt;0,Skills!I12/Skills!H12,1)+IF(Skills!H12&gt;0,MIN(Skills!I12,MAX(0,MAX(0,Inputs!$B$43-B2430)-((R2405-1)*(IF(Inputs!$B$38="pvp",15,MAX(0.1,Skills!D12-IF(Skills!E12=TRUE,Inputs!$B$32,0)))*(1-IF(AND(ArtifactsInput!$M$27,Inputs!$B$4="Chapter Hunt"),CHOOSE(ArtifactsInput!$N$27+1,20,24,28,32,36,40),0)/100)))))/Skills!H12,1)))/Inputs!$B$43),G2405*Q2405))*IF(Inputs!$B$38="pvp",1,(1+(Inputs!$B$21+Skills!Q12+(IF(ArtifactsInput!$M$33,CHOOSE(ArtifactsInput!$N$33+1,30,36,42,48,54,60)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6">
      <c r="A2406">
        <f>Skills!A13</f>
        <v/>
      </c>
      <c r="B2406">
        <f>Skills!B13</f>
        <v/>
      </c>
      <c r="C2406">
        <f>Inputs!$B$3&gt;=110</f>
        <v/>
      </c>
      <c r="D2406">
        <f>IF(Skills!C13=1,60+Inputs!$B$25+Inputs!$B$29,IF(Skills!C13=2,90+Inputs!$B$26+Inputs!$B$29,IF(Skills!C13=3,120+Inputs!$B$27+Inputs!$B$29,MAX(0,(Inputs!$B$3-100)*3)+Inputs!$B$28+Inputs!$B$29)))</f>
        <v/>
      </c>
      <c r="E2406">
        <f>INDEX(FactorTable!$B$2:$Y$301, MATCH(ROUND(MIN(300,MAX(1,D2406)),0), FactorTable!$A$2:$A$301,0), Skills!M13+1)</f>
        <v/>
      </c>
      <c r="F2406">
        <f>IF(Skills!N13=TRUE,(Skills!L13/10)*(E2406/1000),Skills!L13/10)+Skills!O13</f>
        <v/>
      </c>
      <c r="G2406">
        <f>Skills!G13*IF(Skills!H13&gt;0,Skills!I13/Skills!H13,1)</f>
        <v/>
      </c>
      <c r="H2406">
        <f>1-(1-Skills!J13/100)^Skills!K13</f>
        <v/>
      </c>
      <c r="I2406" t="inlineStr">
        <is>
          <t>1</t>
        </is>
      </c>
      <c r="J2406">
        <f>((Inputs!$B$6*(1+Inputs!$B$7/100))+(((Inputs!$B$12*(1+Inputs!$B$13/100))-(Inputs!$B$12*(1+Inputs!$B$13/100)))+0.25*(Inputs!$B$14-Inputs!$B$14))*(1+Inputs!$B$7/100))*(F2406/100)</f>
        <v/>
      </c>
      <c r="K2406">
        <f>J2406*(1+((Inputs!$B$12*(1+Inputs!$B$13/100))*0.01+Inputs!$B$14*0.0025)/100)*(1+Inputs!$B$15/100)*(1+Inputs!$B$16/100)*(5000/(6000+Inputs!$B$42*(1-(100*(1-(1-(Inputs!$B$19+0)/100)*(1-CHOOSE(ArtifactsInput!$N$40+1,5,6,7,8,9,10)/100)^(ArtifactsInput!$M$40-ArtifactsInput!$M$40)))/100)))*(1+(Inputs!$B$24+((C2419=TRUE)*(F2419-Calc!F26))+B2429)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2416=TRUE)*(F2416-Calc!F23))+((C2420=TRUE)*(F2420-Calc!F27))+(((IF(AND(ArtifactsInput!$M$42,((Inputs!$B$9+((C2412=TRUE)*(F2412-Calc!F19))+B2423+(ArtifactsInput!$M$24-ArtifactsInput!$M$24)*CHOOSE(ArtifactsInput!$N$24+1,10,12,14,16,18,20)+IF(ArtifactsInput!$M$10,CHOOSE(ArtifactsInput!$N$10+1,15,18,21,24,27,30)*(IF(Inputs!$B$38="pvp",MIN(15,15)/15,IF(AND(Inputs!$B$38&lt;&gt;"pvp",Inputs!$B$43&gt;0),MIN(15,Inputs!$B$43)/(Inputs!$B$43),0))),0)))&gt;=100),MIN(100,((Inputs!$B$9+((C2412=TRUE)*(F2412-Calc!F19))+B2423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2412=TRUE)*(F2412-Calc!F19))+B2423+(ArtifactsInput!$M$24-ArtifactsInput!$M$24)*CHOOSE(ArtifactsInput!$N$24+1,10,12,14,16,18,20)+IF(ArtifactsInput!$M$10,CHOOSE(ArtifactsInput!$N$10+1,15,18,21,24,27,30)*(IF(Inputs!$B$38="pvp",MIN(15,15)/15,IF(AND(Inputs!$B$38&lt;&gt;"pvp",Inputs!$B$43&gt;0),MIN(15,Inputs!$B$43)/(Inputs!$B$43),0))),0)))&gt;=100),CHOOSE(ArtifactsInput!$N$42+1,40,48,56,64,72,80),0))))/100)*((1+(((C2410=TRUE)*F2410)+((C2417=TRUE)*(F2417-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2406)</f>
        <v/>
      </c>
      <c r="L2406">
        <f>K2406*(MIN(Inputs!$B$22+((C2415=TRUE)*(F2415-Calc!F22)),(Inputs!$B$23+0+(IF(ArtifactsInput!$M$15,CHOOSE(ArtifactsInput!$N$15+1,25,30,35,40,45,50)/100*(Inputs!$B$11-Inputs!$B$11),0))))/100+(Inputs!$B$23+0+(IF(ArtifactsInput!$M$15,CHOOSE(ArtifactsInput!$N$15+1,25,30,35,40,45,50)/100*(Inputs!$B$11-Inputs!$B$11),0)))/100)/2</f>
        <v/>
      </c>
      <c r="M2406">
        <f>L2406*(1+(Inputs!$B$10+((C2418=TRUE)*(F2418-Calc!F25))+B2428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6">
        <f>L2406*(1-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2406*(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6">
        <f>(1-Summary!$B$11)*T2406+Summary!$B$11*V2406</f>
        <v/>
      </c>
      <c r="P2406">
        <f>IF(B2433=0,0,O2406/B2433)</f>
        <v/>
      </c>
      <c r="Q2406">
        <f>IFERROR(1/(IF(Inputs!$B$38="pvp",15,MAX(0.1,Skills!D13-IF(Skills!E13=TRUE,Inputs!$B$32,0)))*(1-IF(AND(ArtifactsInput!$M$27,Inputs!$B$4="Chapter Hunt"),CHOOSE(ArtifactsInput!$N$27+1,20,24,28,32,36,40),0)/100)),0)</f>
        <v/>
      </c>
      <c r="R2406">
        <f>IF(AND(Inputs!$B$38&lt;&gt;"pvp",Inputs!$B$43&gt;0),IF(MAX(0,Inputs!$B$43-B2430)&lt;=0,0,(INT(MAX(0,Inputs!$B$43-B2430)/(IF(Inputs!$B$38="pvp",15,MAX(0.1,Skills!D13-IF(Skills!E13=TRUE,Inputs!$B$32,0)))*(1-IF(AND(ArtifactsInput!$M$27,Inputs!$B$4="Chapter Hunt"),CHOOSE(ArtifactsInput!$N$27+1,20,24,28,32,36,40),0)/100)))+1)),0)</f>
        <v/>
      </c>
      <c r="S2406">
        <f>IFERROR(O2406/N2406,0)</f>
        <v/>
      </c>
      <c r="T2406">
        <f>IF(C2406,(H2406*N2406*IF(AND(Inputs!$B$38&lt;&gt;"pvp",Inputs!$B$43&gt;0),((Skills!G13*((R2406-1)*IF(Skills!H13&gt;0,Skills!I13/Skills!H13,1)+IF(Skills!H13&gt;0,MIN(Skills!I13,MAX(0,MAX(0,Inputs!$B$43-B2430)-((R2406-1)*(IF(Inputs!$B$38="pvp",15,MAX(0.1,Skills!D13-IF(Skills!E13=TRUE,Inputs!$B$32,0)))*(1-IF(AND(ArtifactsInput!$M$27,Inputs!$B$4="Chapter Hunt"),CHOOSE(ArtifactsInput!$N$27+1,20,24,28,32,36,40),0)/100)))))/Skills!H13,1)))/Inputs!$B$43),G2406*Q2406)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2406*(1-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2406*(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2406*(1-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2406*(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6">
        <f>IF(C2406,(H2406*N2406*IF(AND(Inputs!$B$38&lt;&gt;"pvp",Inputs!$B$43&gt;0),((Skills!G13*((R2406-1)*IF(Skills!H13&gt;0,Skills!I13/Skills!H13,1)+IF(Skills!H13&gt;0,MIN(Skills!I13,MAX(0,MAX(0,Inputs!$B$43-B2430)-((R2406-1)*(IF(Inputs!$B$38="pvp",15,MAX(0.1,Skills!D13-IF(Skills!E13=TRUE,Inputs!$B$32,0)))*(1-IF(AND(ArtifactsInput!$M$27,Inputs!$B$4="Chapter Hunt"),CHOOSE(ArtifactsInput!$N$27+1,20,24,28,32,36,40),0)/100)))))/Skills!H13,1)))/Inputs!$B$43),G2406*Q2406))*IF(Inputs!$B$38="pvp",1,(1+(Inputs!$B$21+Skills!Q13+(IF(ArtifactsInput!$M$33,CHOOSE(ArtifactsInput!$N$33+1,30,36,42,48,54,60)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7">
      <c r="A2407">
        <f>Skills!A14</f>
        <v/>
      </c>
      <c r="B2407">
        <f>Skills!B14</f>
        <v/>
      </c>
      <c r="C2407">
        <f>Inputs!$B$3&gt;=125</f>
        <v/>
      </c>
      <c r="D2407">
        <f>IF(Skills!C14=1,60+Inputs!$B$25+Inputs!$B$29,IF(Skills!C14=2,90+Inputs!$B$26+Inputs!$B$29,IF(Skills!C14=3,120+Inputs!$B$27+Inputs!$B$29,MAX(0,(Inputs!$B$3-100)*3)+Inputs!$B$28+Inputs!$B$29)))</f>
        <v/>
      </c>
      <c r="E2407">
        <f>INDEX(FactorTable!$B$2:$Y$301, MATCH(ROUND(MIN(300,MAX(1,D2407)),0), FactorTable!$A$2:$A$301,0), Skills!M14+1)</f>
        <v/>
      </c>
      <c r="F2407">
        <f>IF(Skills!N14=TRUE,(Skills!L14/10)*(E2407/1000),Skills!L14/10)+Skills!O14</f>
        <v/>
      </c>
      <c r="G2407">
        <f>Skills!G14*IF(Skills!H14&gt;0,Skills!I14/Skills!H14,1)</f>
        <v/>
      </c>
      <c r="H2407">
        <f>1-(1-Skills!J14/100)^Skills!K14</f>
        <v/>
      </c>
      <c r="I2407" t="inlineStr">
        <is>
          <t>1</t>
        </is>
      </c>
      <c r="J2407">
        <f>((Inputs!$B$6*(1+Inputs!$B$7/100))+(((Inputs!$B$12*(1+Inputs!$B$13/100))-(Inputs!$B$12*(1+Inputs!$B$13/100)))+0.25*(Inputs!$B$14-Inputs!$B$14))*(1+Inputs!$B$7/100))*(F2407/100)</f>
        <v/>
      </c>
      <c r="K2407">
        <f>J2407*(1+((Inputs!$B$12*(1+Inputs!$B$13/100))*0.01+Inputs!$B$14*0.0025)/100)*(1+Inputs!$B$15/100)*(1+Inputs!$B$16/100)*(5000/(6000+Inputs!$B$42*(1-(100*(1-(1-(Inputs!$B$19+0)/100)*(1-CHOOSE(ArtifactsInput!$N$40+1,5,6,7,8,9,10)/100)^(ArtifactsInput!$M$40-ArtifactsInput!$M$40)))/100)))*(1+(Inputs!$B$24+((C2419=TRUE)*(F2419-Calc!F26))+B2429)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2416=TRUE)*(F2416-Calc!F23))+((C2420=TRUE)*(F2420-Calc!F27))+(((IF(AND(ArtifactsInput!$M$42,((Inputs!$B$9+((C2412=TRUE)*(F2412-Calc!F19))+B2423+(ArtifactsInput!$M$24-ArtifactsInput!$M$24)*CHOOSE(ArtifactsInput!$N$24+1,10,12,14,16,18,20)+IF(ArtifactsInput!$M$10,CHOOSE(ArtifactsInput!$N$10+1,15,18,21,24,27,30)*(IF(Inputs!$B$38="pvp",MIN(15,15)/15,IF(AND(Inputs!$B$38&lt;&gt;"pvp",Inputs!$B$43&gt;0),MIN(15,Inputs!$B$43)/(Inputs!$B$43),0))),0)))&gt;=100),MIN(100,((Inputs!$B$9+((C2412=TRUE)*(F2412-Calc!F19))+B2423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2412=TRUE)*(F2412-Calc!F19))+B2423+(ArtifactsInput!$M$24-ArtifactsInput!$M$24)*CHOOSE(ArtifactsInput!$N$24+1,10,12,14,16,18,20)+IF(ArtifactsInput!$M$10,CHOOSE(ArtifactsInput!$N$10+1,15,18,21,24,27,30)*(IF(Inputs!$B$38="pvp",MIN(15,15)/15,IF(AND(Inputs!$B$38&lt;&gt;"pvp",Inputs!$B$43&gt;0),MIN(15,Inputs!$B$43)/(Inputs!$B$43),0))),0)))&gt;=100),CHOOSE(ArtifactsInput!$N$42+1,40,48,56,64,72,80),0))))/100)*((1+(((C2410=TRUE)*F2410)+((C2417=TRUE)*(F2417-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2407)</f>
        <v/>
      </c>
      <c r="L2407">
        <f>K2407*(MIN(Inputs!$B$22+((C2415=TRUE)*(F2415-Calc!F22)),(Inputs!$B$23+0+(IF(ArtifactsInput!$M$15,CHOOSE(ArtifactsInput!$N$15+1,25,30,35,40,45,50)/100*(Inputs!$B$11-Inputs!$B$11),0))))/100+(Inputs!$B$23+0+(IF(ArtifactsInput!$M$15,CHOOSE(ArtifactsInput!$N$15+1,25,30,35,40,45,50)/100*(Inputs!$B$11-Inputs!$B$11),0)))/100)/2</f>
        <v/>
      </c>
      <c r="M2407">
        <f>L2407*(1+(Inputs!$B$10+((C2418=TRUE)*(F2418-Calc!F25))+B2428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7">
        <f>L2407*(1-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2407*(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7">
        <f>(1-Summary!$B$11)*T2407+Summary!$B$11*V2407</f>
        <v/>
      </c>
      <c r="P2407">
        <f>IF(B2433=0,0,O2407/B2433)</f>
        <v/>
      </c>
      <c r="Q2407" t="n">
        <v>0</v>
      </c>
      <c r="R2407" t="n">
        <v>0</v>
      </c>
      <c r="S2407">
        <f>IFERROR(O2407/N2407,0)</f>
        <v/>
      </c>
      <c r="T2407">
        <f>IF(C2407,(H2407*N2407*(B2427+IF(AND(Inputs!$B$38&lt;&gt;"pvp",Inputs!$B$43&gt;0),((Skills!G8*((R2401-1)*IF(Skills!H8&gt;0,Skills!I8/Skills!H8,1)+IF(Skills!H8&gt;0,MIN(Skills!I8,MAX(0,MAX(0,Inputs!$B$43-B2430)-((R2401-1)*(IF(Inputs!$B$38="pvp",15,MAX(0.1,Skills!D8-IF(Skills!E8=TRUE,Inputs!$B$32,0)))*(1-IF(AND(ArtifactsInput!$M$27,Inputs!$B$4="Chapter Hunt"),CHOOSE(ArtifactsInput!$N$27+1,20,24,28,32,36,40),0)/100)))))/Skills!H8,1)))/Inputs!$B$43),G2401*Q2401)+IF(AND(Inputs!$B$38&lt;&gt;"pvp",Inputs!$B$43&gt;0),((Skills!G11*((R2404-1)*IF(Skills!H11&gt;0,Skills!I11/Skills!H11,1)+IF(Skills!H11&gt;0,MIN(Skills!I11,MAX(0,MAX(0,Inputs!$B$43-B2430)-((R2404-1)*(IF(Inputs!$B$38="pvp",15,MAX(0.1,Skills!D11-IF(Skills!E11=TRUE,Inputs!$B$32,0)))*(1-IF(AND(ArtifactsInput!$M$27,Inputs!$B$4="Chapter Hunt"),CHOOSE(ArtifactsInput!$N$27+1,20,24,28,32,36,40),0)/100)))))/Skills!H11,1)))/Inputs!$B$43),G2404*Q2404)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2407*(1-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2407*(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2407*(1-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2407*(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7">
        <f>IF(C2407,(H2407*N2407*(B2427+IF(AND(Inputs!$B$38&lt;&gt;"pvp",Inputs!$B$43&gt;0),((Skills!G8*((R2401-1)*IF(Skills!H8&gt;0,Skills!I8/Skills!H8,1)+IF(Skills!H8&gt;0,MIN(Skills!I8,MAX(0,MAX(0,Inputs!$B$43-B2430)-((R2401-1)*(IF(Inputs!$B$38="pvp",15,MAX(0.1,Skills!D8-IF(Skills!E8=TRUE,Inputs!$B$32,0)))*(1-IF(AND(ArtifactsInput!$M$27,Inputs!$B$4="Chapter Hunt"),CHOOSE(ArtifactsInput!$N$27+1,20,24,28,32,36,40),0)/100)))))/Skills!H8,1)))/Inputs!$B$43),G2401*Q2401)+IF(AND(Inputs!$B$38&lt;&gt;"pvp",Inputs!$B$43&gt;0),((Skills!G11*((R2404-1)*IF(Skills!H11&gt;0,Skills!I11/Skills!H11,1)+IF(Skills!H11&gt;0,MIN(Skills!I11,MAX(0,MAX(0,Inputs!$B$43-B2430)-((R2404-1)*(IF(Inputs!$B$38="pvp",15,MAX(0.1,Skills!D11-IF(Skills!E11=TRUE,Inputs!$B$32,0)))*(1-IF(AND(ArtifactsInput!$M$27,Inputs!$B$4="Chapter Hunt"),CHOOSE(ArtifactsInput!$N$27+1,20,24,28,32,36,40),0)/100)))))/Skills!H11,1)))/Inputs!$B$43),G2404*Q2404)))*IF(Inputs!$B$38="pvp",1,(1+(Inputs!$B$21+Skills!Q14+(IF(ArtifactsInput!$M$33,CHOOSE(ArtifactsInput!$N$33+1,30,36,42,48,54,60)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8">
      <c r="A2408">
        <f>Skills!A15</f>
        <v/>
      </c>
      <c r="B2408">
        <f>Skills!B15</f>
        <v/>
      </c>
      <c r="C2408">
        <f>Inputs!$B$3&gt;=100</f>
        <v/>
      </c>
      <c r="D2408">
        <f>IF(Skills!C15=1,60+Inputs!$B$25+Inputs!$B$29,IF(Skills!C15=2,90+Inputs!$B$26+Inputs!$B$29,IF(Skills!C15=3,120+Inputs!$B$27+Inputs!$B$29,MAX(0,(Inputs!$B$3-100)*3)+Inputs!$B$28+Inputs!$B$29)))</f>
        <v/>
      </c>
      <c r="E2408">
        <f>INDEX(FactorTable!$B$2:$Y$301, MATCH(ROUND(MIN(300,MAX(1,D2408)),0), FactorTable!$A$2:$A$301,0), Skills!M15+1)</f>
        <v/>
      </c>
      <c r="F2408">
        <f>IF(Skills!N15=TRUE,(Skills!L15/10)*(E2408/1000),Skills!L15/10)+Skills!O15</f>
        <v/>
      </c>
      <c r="G2408" t="inlineStr"/>
      <c r="H2408" t="inlineStr"/>
      <c r="I2408" t="inlineStr">
        <is>
          <t>1</t>
        </is>
      </c>
      <c r="J2408" t="inlineStr"/>
      <c r="K2408" t="inlineStr"/>
      <c r="L2408" t="inlineStr"/>
      <c r="M2408" t="inlineStr"/>
      <c r="N2408" t="inlineStr"/>
      <c r="O2408" t="inlineStr"/>
      <c r="P2408" t="inlineStr"/>
      <c r="Q2408" t="inlineStr"/>
      <c r="R2408" t="inlineStr"/>
      <c r="S2408" t="inlineStr"/>
    </row>
    <row r="2409">
      <c r="A2409">
        <f>Skills!A16</f>
        <v/>
      </c>
      <c r="B2409">
        <f>Skills!B16</f>
        <v/>
      </c>
      <c r="C2409">
        <f>Inputs!$B$3&gt;=120</f>
        <v/>
      </c>
      <c r="D2409">
        <f>IF(Skills!C16=1,60+Inputs!$B$25+Inputs!$B$29,IF(Skills!C16=2,90+Inputs!$B$26+Inputs!$B$29,IF(Skills!C16=3,120+Inputs!$B$27+Inputs!$B$29,MAX(0,(Inputs!$B$3-100)*3)+Inputs!$B$28+Inputs!$B$29)))</f>
        <v/>
      </c>
      <c r="E2409">
        <f>INDEX(FactorTable!$B$2:$Y$301, MATCH(ROUND(MIN(300,MAX(1,D2409)),0), FactorTable!$A$2:$A$301,0), Skills!M16+1)</f>
        <v/>
      </c>
      <c r="F2409">
        <f>IF(Skills!N16=TRUE,(Skills!L16/10)*(E2409/1000),Skills!L16/10)+Skills!O16</f>
        <v/>
      </c>
      <c r="G2409" t="inlineStr"/>
      <c r="H2409" t="inlineStr"/>
      <c r="I2409" t="inlineStr">
        <is>
          <t>1</t>
        </is>
      </c>
      <c r="J2409" t="inlineStr"/>
      <c r="K2409" t="inlineStr"/>
      <c r="L2409" t="inlineStr"/>
      <c r="M2409" t="inlineStr"/>
      <c r="N2409" t="inlineStr"/>
      <c r="O2409" t="inlineStr"/>
      <c r="P2409" t="inlineStr"/>
      <c r="Q2409" t="inlineStr"/>
      <c r="R2409" t="inlineStr"/>
      <c r="S2409" t="inlineStr"/>
    </row>
    <row r="2410">
      <c r="A2410">
        <f>Skills!A17</f>
        <v/>
      </c>
      <c r="B2410">
        <f>Skills!B17</f>
        <v/>
      </c>
      <c r="C2410">
        <f>Inputs!$B$3&gt;=66</f>
        <v/>
      </c>
      <c r="D2410">
        <f>IF(Skills!C17=1,60+Inputs!$B$25+Inputs!$B$29,IF(Skills!C17=2,90+Inputs!$B$26+Inputs!$B$29,IF(Skills!C17=3,120+Inputs!$B$27+Inputs!$B$29,MAX(0,(Inputs!$B$3-100)*3)+Inputs!$B$28+Inputs!$B$29)))</f>
        <v/>
      </c>
      <c r="E2410">
        <f>INDEX(FactorTable!$B$2:$Y$301, MATCH(ROUND(MIN(300,MAX(1,D2410)),0), FactorTable!$A$2:$A$301,0), Skills!M17+1)</f>
        <v/>
      </c>
      <c r="F2410">
        <f>IF(Skills!N17=TRUE,(Skills!L17/10)*(E2410/1000),Skills!L17/10)+Skills!O17</f>
        <v/>
      </c>
      <c r="G2410">
        <f>Skills!G17*IF(Skills!H17&gt;0,Skills!I17/Skills!H17,1)</f>
        <v/>
      </c>
      <c r="H2410">
        <f>1-(1-Skills!J17/100)^Skills!K17</f>
        <v/>
      </c>
      <c r="I2410" t="inlineStr">
        <is>
          <t>1</t>
        </is>
      </c>
      <c r="J2410" t="inlineStr"/>
      <c r="K2410" t="inlineStr"/>
      <c r="L2410" t="inlineStr"/>
      <c r="M2410" t="inlineStr"/>
      <c r="N2410" t="inlineStr"/>
      <c r="O2410">
        <f>(1-Summary!$B$11)*T2410+Summary!$B$11*V2410</f>
        <v/>
      </c>
      <c r="P2410">
        <f>IF(B2433=0,0,O2410/B2433)</f>
        <v/>
      </c>
      <c r="Q2410" t="n">
        <v>0</v>
      </c>
      <c r="R2410" t="n">
        <v>0</v>
      </c>
      <c r="S2410">
        <f>IFERROR(O2410/N2410,0)</f>
        <v/>
      </c>
      <c r="T2410" t="n">
        <v>0</v>
      </c>
      <c r="V2410" t="n">
        <v>0</v>
      </c>
    </row>
    <row r="2411">
      <c r="A2411">
        <f>Skills!A18</f>
        <v/>
      </c>
      <c r="B2411">
        <f>Skills!B18</f>
        <v/>
      </c>
      <c r="C2411">
        <f>Inputs!$B$3&gt;=115</f>
        <v/>
      </c>
      <c r="D2411">
        <f>IF(Skills!C18=1,60+Inputs!$B$25+Inputs!$B$29,IF(Skills!C18=2,90+Inputs!$B$26+Inputs!$B$29,IF(Skills!C18=3,120+Inputs!$B$27+Inputs!$B$29,MAX(0,(Inputs!$B$3-100)*3)+Inputs!$B$28+Inputs!$B$29)))</f>
        <v/>
      </c>
      <c r="E2411">
        <f>INDEX(FactorTable!$B$2:$Y$301, MATCH(ROUND(MIN(300,MAX(1,D2411)),0), FactorTable!$A$2:$A$301,0), Skills!M18+1)</f>
        <v/>
      </c>
      <c r="F2411">
        <f>IF(Skills!N18=TRUE,(Skills!L18/10)*(E2411/1000),Skills!L18/10)+Skills!O18</f>
        <v/>
      </c>
      <c r="G2411">
        <f>Skills!G18*IF(Skills!H18&gt;0,Skills!I18/Skills!H18,1)</f>
        <v/>
      </c>
      <c r="H2411">
        <f>1-(1-Skills!J18/100)^Skills!K18</f>
        <v/>
      </c>
      <c r="I2411" t="inlineStr">
        <is>
          <t>1</t>
        </is>
      </c>
      <c r="J2411" t="inlineStr"/>
      <c r="K2411" t="inlineStr"/>
      <c r="L2411" t="inlineStr"/>
      <c r="M2411" t="inlineStr"/>
      <c r="N2411" t="inlineStr"/>
      <c r="O2411">
        <f>(1-Summary!$B$11)*T2411+Summary!$B$11*V2411</f>
        <v/>
      </c>
      <c r="P2411">
        <f>IF(B2433=0,0,O2411/B2433)</f>
        <v/>
      </c>
      <c r="Q2411" t="n">
        <v>0</v>
      </c>
      <c r="R2411" t="n">
        <v>0</v>
      </c>
      <c r="S2411">
        <f>IFERROR(O2411/N2411,0)</f>
        <v/>
      </c>
      <c r="T2411" t="n">
        <v>0</v>
      </c>
      <c r="V2411" t="n">
        <v>0</v>
      </c>
    </row>
    <row r="2412">
      <c r="A2412">
        <f>Skills!A19</f>
        <v/>
      </c>
      <c r="B2412">
        <f>Skills!B19</f>
        <v/>
      </c>
      <c r="C2412">
        <f>Inputs!$B$3&gt;=15</f>
        <v/>
      </c>
      <c r="D2412">
        <f>IF(Skills!C19=1,60+Inputs!$B$25+Inputs!$B$29,IF(Skills!C19=2,90+Inputs!$B$26+Inputs!$B$29,IF(Skills!C19=3,120+Inputs!$B$27+Inputs!$B$29,MAX(0,(Inputs!$B$3-100)*3)+Inputs!$B$28+Inputs!$B$29)))</f>
        <v/>
      </c>
      <c r="E2412">
        <f>INDEX(FactorTable!$B$2:$Y$301, MATCH(ROUND(MIN(300,MAX(1,D2412)),0), FactorTable!$A$2:$A$301,0), Skills!M19+1)</f>
        <v/>
      </c>
      <c r="F2412">
        <f>IF(Skills!N19=TRUE,(Skills!L19/10)*(E2412/1000),Skills!L19/10)+Skills!O19</f>
        <v/>
      </c>
      <c r="G2412">
        <f>Skills!G19*IF(Skills!H19&gt;0,Skills!I19/Skills!H19,1)</f>
        <v/>
      </c>
      <c r="H2412">
        <f>1-(1-Skills!J19/100)^Skills!K19</f>
        <v/>
      </c>
      <c r="I2412" t="inlineStr">
        <is>
          <t>1</t>
        </is>
      </c>
      <c r="J2412" t="inlineStr"/>
      <c r="K2412" t="inlineStr"/>
      <c r="L2412" t="inlineStr"/>
      <c r="M2412" t="inlineStr"/>
      <c r="N2412" t="inlineStr"/>
      <c r="O2412">
        <f>(1-Summary!$B$11)*T2412+Summary!$B$11*V2412</f>
        <v/>
      </c>
      <c r="P2412">
        <f>IF(B2433=0,0,O2412/B2433)</f>
        <v/>
      </c>
      <c r="Q2412" t="n">
        <v>0</v>
      </c>
      <c r="R2412" t="n">
        <v>0</v>
      </c>
      <c r="S2412">
        <f>IFERROR(O2412/N2412,0)</f>
        <v/>
      </c>
      <c r="T2412" t="n">
        <v>0</v>
      </c>
      <c r="V2412" t="n">
        <v>0</v>
      </c>
    </row>
    <row r="2413">
      <c r="A2413">
        <f>Skills!A20</f>
        <v/>
      </c>
      <c r="B2413">
        <f>Skills!B20</f>
        <v/>
      </c>
      <c r="C2413">
        <f>Inputs!$B$3&gt;=10</f>
        <v/>
      </c>
      <c r="D2413">
        <f>IF(Skills!C20=1,60+Inputs!$B$25+Inputs!$B$29,IF(Skills!C20=2,90+Inputs!$B$26+Inputs!$B$29,IF(Skills!C20=3,120+Inputs!$B$27+Inputs!$B$29,MAX(0,(Inputs!$B$3-100)*3)+Inputs!$B$28+Inputs!$B$29)))</f>
        <v/>
      </c>
      <c r="E2413">
        <f>INDEX(FactorTable!$B$2:$Y$301, MATCH(ROUND(MIN(300,MAX(1,D2413)),0), FactorTable!$A$2:$A$301,0), Skills!M20+1)</f>
        <v/>
      </c>
      <c r="F2413">
        <f>IF(Skills!N20=TRUE,(Skills!L20/10)*(E2413/1000),Skills!L20/10)+Skills!O20</f>
        <v/>
      </c>
      <c r="G2413">
        <f>Skills!G20*IF(Skills!H20&gt;0,Skills!I20/Skills!H20,1)</f>
        <v/>
      </c>
      <c r="H2413">
        <f>1-(1-Skills!J20/100)^Skills!K20</f>
        <v/>
      </c>
      <c r="I2413" t="inlineStr">
        <is>
          <t>1</t>
        </is>
      </c>
      <c r="J2413" t="inlineStr"/>
      <c r="K2413" t="inlineStr"/>
      <c r="L2413" t="inlineStr"/>
      <c r="M2413" t="inlineStr"/>
      <c r="N2413" t="inlineStr"/>
      <c r="O2413">
        <f>(1-Summary!$B$11)*T2413+Summary!$B$11*V2413</f>
        <v/>
      </c>
      <c r="P2413">
        <f>IF(B2433=0,0,O2413/B2433)</f>
        <v/>
      </c>
      <c r="Q2413" t="n">
        <v>0</v>
      </c>
      <c r="R2413" t="n">
        <v>0</v>
      </c>
      <c r="S2413">
        <f>IFERROR(O2413/N2413,0)</f>
        <v/>
      </c>
      <c r="T2413" t="n">
        <v>0</v>
      </c>
      <c r="V2413" t="n">
        <v>0</v>
      </c>
    </row>
    <row r="2414">
      <c r="A2414">
        <f>Skills!A21</f>
        <v/>
      </c>
      <c r="B2414">
        <f>Skills!B21</f>
        <v/>
      </c>
      <c r="C2414">
        <f>Inputs!$B$3&gt;=33</f>
        <v/>
      </c>
      <c r="D2414">
        <f>IF(Skills!C21=1,60+Inputs!$B$25+Inputs!$B$29,IF(Skills!C21=2,90+Inputs!$B$26+Inputs!$B$29,IF(Skills!C21=3,120+Inputs!$B$27+Inputs!$B$29,MAX(0,(Inputs!$B$3-100)*3)+Inputs!$B$28+Inputs!$B$29)))</f>
        <v/>
      </c>
      <c r="E2414">
        <f>INDEX(FactorTable!$B$2:$Y$301, MATCH(ROUND(MIN(300,MAX(1,D2414)),0), FactorTable!$A$2:$A$301,0), Skills!M21+1)</f>
        <v/>
      </c>
      <c r="F2414">
        <f>IF(Skills!N21=TRUE,(Skills!L21/10)*(E2414/1000),Skills!L21/10)+Skills!O21</f>
        <v/>
      </c>
      <c r="G2414">
        <f>Skills!G21*IF(Skills!H21&gt;0,Skills!I21/Skills!H21,1)</f>
        <v/>
      </c>
      <c r="H2414">
        <f>1-(1-Skills!J21/100)^Skills!K21</f>
        <v/>
      </c>
      <c r="I2414" t="inlineStr">
        <is>
          <t>1</t>
        </is>
      </c>
      <c r="J2414" t="inlineStr"/>
      <c r="K2414" t="inlineStr"/>
      <c r="L2414" t="inlineStr"/>
      <c r="M2414" t="inlineStr"/>
      <c r="N2414" t="inlineStr"/>
      <c r="O2414">
        <f>(1-Summary!$B$11)*T2414+Summary!$B$11*V2414</f>
        <v/>
      </c>
      <c r="P2414">
        <f>IF(B2433=0,0,O2414/B2433)</f>
        <v/>
      </c>
      <c r="Q2414" t="n">
        <v>0</v>
      </c>
      <c r="R2414" t="n">
        <v>0</v>
      </c>
      <c r="S2414">
        <f>IFERROR(O2414/N2414,0)</f>
        <v/>
      </c>
      <c r="T2414" t="n">
        <v>0</v>
      </c>
      <c r="V2414" t="n">
        <v>0</v>
      </c>
    </row>
    <row r="2415">
      <c r="A2415">
        <f>Skills!A22</f>
        <v/>
      </c>
      <c r="B2415">
        <f>Skills!B22</f>
        <v/>
      </c>
      <c r="C2415">
        <f>Inputs!$B$3&gt;=43</f>
        <v/>
      </c>
      <c r="D2415">
        <f>IF(Skills!C22=1,60+Inputs!$B$25+Inputs!$B$29,IF(Skills!C22=2,90+Inputs!$B$26+Inputs!$B$29,IF(Skills!C22=3,120+Inputs!$B$27+Inputs!$B$29,MAX(0,(Inputs!$B$3-100)*3)+Inputs!$B$28+Inputs!$B$29)))</f>
        <v/>
      </c>
      <c r="E2415">
        <f>INDEX(FactorTable!$B$2:$Y$301, MATCH(ROUND(MIN(300,MAX(1,D2415)),0), FactorTable!$A$2:$A$301,0), Skills!M22+1)</f>
        <v/>
      </c>
      <c r="F2415">
        <f>IF(Skills!N22=TRUE,(Skills!L22/10)*(E2415/1000),Skills!L22/10)+Skills!O22</f>
        <v/>
      </c>
      <c r="G2415">
        <f>Skills!G22*IF(Skills!H22&gt;0,Skills!I22/Skills!H22,1)</f>
        <v/>
      </c>
      <c r="H2415">
        <f>1-(1-Skills!J22/100)^Skills!K22</f>
        <v/>
      </c>
      <c r="I2415" t="inlineStr">
        <is>
          <t>1</t>
        </is>
      </c>
      <c r="J2415" t="inlineStr"/>
      <c r="K2415" t="inlineStr"/>
      <c r="L2415" t="inlineStr"/>
      <c r="M2415" t="inlineStr"/>
      <c r="N2415" t="inlineStr"/>
      <c r="O2415">
        <f>(1-Summary!$B$11)*T2415+Summary!$B$11*V2415</f>
        <v/>
      </c>
      <c r="P2415">
        <f>IF(B2433=0,0,O2415/B2433)</f>
        <v/>
      </c>
      <c r="Q2415" t="n">
        <v>0</v>
      </c>
      <c r="R2415" t="n">
        <v>0</v>
      </c>
      <c r="S2415">
        <f>IFERROR(O2415/N2415,0)</f>
        <v/>
      </c>
      <c r="T2415" t="n">
        <v>0</v>
      </c>
      <c r="V2415" t="n">
        <v>0</v>
      </c>
    </row>
    <row r="2416">
      <c r="A2416">
        <f>Skills!A23</f>
        <v/>
      </c>
      <c r="B2416">
        <f>Skills!B23</f>
        <v/>
      </c>
      <c r="C2416">
        <f>Inputs!$B$3&gt;=38</f>
        <v/>
      </c>
      <c r="D2416">
        <f>IF(Skills!C23=1,60+Inputs!$B$25+Inputs!$B$29,IF(Skills!C23=2,90+Inputs!$B$26+Inputs!$B$29,IF(Skills!C23=3,120+Inputs!$B$27+Inputs!$B$29,MAX(0,(Inputs!$B$3-100)*3)+Inputs!$B$28+Inputs!$B$29)))</f>
        <v/>
      </c>
      <c r="E2416">
        <f>INDEX(FactorTable!$B$2:$Y$301, MATCH(ROUND(MIN(300,MAX(1,D2416)),0), FactorTable!$A$2:$A$301,0), Skills!M23+1)</f>
        <v/>
      </c>
      <c r="F2416">
        <f>IF(Skills!N23=TRUE,(Skills!L23/10)*(E2416/1000),Skills!L23/10)+Skills!O23</f>
        <v/>
      </c>
      <c r="G2416">
        <f>Skills!G23*IF(Skills!H23&gt;0,Skills!I23/Skills!H23,1)</f>
        <v/>
      </c>
      <c r="H2416">
        <f>1-(1-Skills!J23/100)^Skills!K23</f>
        <v/>
      </c>
      <c r="I2416" t="inlineStr">
        <is>
          <t>1</t>
        </is>
      </c>
      <c r="J2416" t="inlineStr"/>
      <c r="K2416" t="inlineStr"/>
      <c r="L2416" t="inlineStr"/>
      <c r="M2416" t="inlineStr"/>
      <c r="N2416" t="inlineStr"/>
      <c r="O2416">
        <f>(1-Summary!$B$11)*T2416+Summary!$B$11*V2416</f>
        <v/>
      </c>
      <c r="P2416">
        <f>IF(B2433=0,0,O2416/B2433)</f>
        <v/>
      </c>
      <c r="Q2416" t="n">
        <v>0</v>
      </c>
      <c r="R2416" t="n">
        <v>0</v>
      </c>
      <c r="S2416">
        <f>IFERROR(O2416/N2416,0)</f>
        <v/>
      </c>
      <c r="T2416" t="n">
        <v>0</v>
      </c>
      <c r="V2416" t="n">
        <v>0</v>
      </c>
    </row>
    <row r="2417">
      <c r="A2417">
        <f>Skills!A24</f>
        <v/>
      </c>
      <c r="B2417">
        <f>Skills!B24</f>
        <v/>
      </c>
      <c r="C2417">
        <f>Inputs!$B$3&gt;=40</f>
        <v/>
      </c>
      <c r="D2417">
        <f>IF(Skills!C24=1,60+Inputs!$B$25+Inputs!$B$29,IF(Skills!C24=2,90+Inputs!$B$26+Inputs!$B$29,IF(Skills!C24=3,120+Inputs!$B$27+Inputs!$B$29,MAX(0,(Inputs!$B$3-100)*3)+Inputs!$B$28+Inputs!$B$29)))</f>
        <v/>
      </c>
      <c r="E2417">
        <f>INDEX(FactorTable!$B$2:$Y$301, MATCH(ROUND(MIN(300,MAX(1,D2417)),0), FactorTable!$A$2:$A$301,0), Skills!M24+1)</f>
        <v/>
      </c>
      <c r="F2417">
        <f>IF(Skills!N24=TRUE,(Skills!L24/10)*(E2417/1000),Skills!L24/10)+Skills!O24</f>
        <v/>
      </c>
      <c r="G2417">
        <f>Skills!G24*IF(Skills!H24&gt;0,Skills!I24/Skills!H24,1)</f>
        <v/>
      </c>
      <c r="H2417">
        <f>1-(1-Skills!J24/100)^Skills!K24</f>
        <v/>
      </c>
      <c r="I2417" t="inlineStr">
        <is>
          <t>1</t>
        </is>
      </c>
      <c r="J2417" t="inlineStr"/>
      <c r="K2417" t="inlineStr"/>
      <c r="L2417" t="inlineStr"/>
      <c r="M2417" t="inlineStr"/>
      <c r="N2417" t="inlineStr"/>
      <c r="O2417">
        <f>(1-Summary!$B$11)*T2417+Summary!$B$11*V2417</f>
        <v/>
      </c>
      <c r="P2417">
        <f>IF(B2433=0,0,O2417/B2433)</f>
        <v/>
      </c>
      <c r="Q2417" t="n">
        <v>0</v>
      </c>
      <c r="R2417" t="n">
        <v>0</v>
      </c>
      <c r="S2417">
        <f>IFERROR(O2417/N2417,0)</f>
        <v/>
      </c>
      <c r="T2417" t="n">
        <v>0</v>
      </c>
      <c r="V2417" t="n">
        <v>0</v>
      </c>
    </row>
    <row r="2418">
      <c r="A2418">
        <f>Skills!A25</f>
        <v/>
      </c>
      <c r="B2418">
        <f>Skills!B25</f>
        <v/>
      </c>
      <c r="C2418">
        <f>Inputs!$B$3&gt;=72</f>
        <v/>
      </c>
      <c r="D2418">
        <f>IF(Skills!C25=1,60+Inputs!$B$25+Inputs!$B$29,IF(Skills!C25=2,90+Inputs!$B$26+Inputs!$B$29,IF(Skills!C25=3,120+Inputs!$B$27+Inputs!$B$29,MAX(0,(Inputs!$B$3-100)*3)+Inputs!$B$28+Inputs!$B$29)))</f>
        <v/>
      </c>
      <c r="E2418">
        <f>INDEX(FactorTable!$B$2:$Y$301, MATCH(ROUND(MIN(300,MAX(1,D2418)),0), FactorTable!$A$2:$A$301,0), Skills!M25+1)</f>
        <v/>
      </c>
      <c r="F2418">
        <f>IF(Skills!N25=TRUE,(Skills!L25/10)*(E2418/1000),Skills!L25/10)+Skills!O25</f>
        <v/>
      </c>
      <c r="G2418">
        <f>Skills!G25*IF(Skills!H25&gt;0,Skills!I25/Skills!H25,1)</f>
        <v/>
      </c>
      <c r="H2418">
        <f>1-(1-Skills!J25/100)^Skills!K25</f>
        <v/>
      </c>
      <c r="I2418" t="inlineStr">
        <is>
          <t>1</t>
        </is>
      </c>
      <c r="J2418" t="inlineStr"/>
      <c r="K2418" t="inlineStr"/>
      <c r="L2418" t="inlineStr"/>
      <c r="M2418" t="inlineStr"/>
      <c r="N2418" t="inlineStr"/>
      <c r="O2418">
        <f>(1-Summary!$B$11)*T2418+Summary!$B$11*V2418</f>
        <v/>
      </c>
      <c r="P2418">
        <f>IF(B2433=0,0,O2418/B2433)</f>
        <v/>
      </c>
      <c r="Q2418" t="n">
        <v>0</v>
      </c>
      <c r="R2418" t="n">
        <v>0</v>
      </c>
      <c r="S2418">
        <f>IFERROR(O2418/N2418,0)</f>
        <v/>
      </c>
      <c r="T2418" t="n">
        <v>0</v>
      </c>
      <c r="V2418" t="n">
        <v>0</v>
      </c>
    </row>
    <row r="2419">
      <c r="A2419">
        <f>Skills!A26</f>
        <v/>
      </c>
      <c r="B2419">
        <f>Skills!B26</f>
        <v/>
      </c>
      <c r="C2419">
        <f>Inputs!$B$3&gt;=75</f>
        <v/>
      </c>
      <c r="D2419">
        <f>IF(Skills!C26=1,60+Inputs!$B$25+Inputs!$B$29,IF(Skills!C26=2,90+Inputs!$B$26+Inputs!$B$29,IF(Skills!C26=3,120+Inputs!$B$27+Inputs!$B$29,MAX(0,(Inputs!$B$3-100)*3)+Inputs!$B$28+Inputs!$B$29)))</f>
        <v/>
      </c>
      <c r="E2419">
        <f>INDEX(FactorTable!$B$2:$Y$301, MATCH(ROUND(MIN(300,MAX(1,D2419)),0), FactorTable!$A$2:$A$301,0), Skills!M26+1)</f>
        <v/>
      </c>
      <c r="F2419">
        <f>IF(Skills!N26=TRUE,(Skills!L26/10)*(E2419/1000),Skills!L26/10)+Skills!O26</f>
        <v/>
      </c>
      <c r="G2419">
        <f>Skills!G26*IF(Skills!H26&gt;0,Skills!I26/Skills!H26,1)</f>
        <v/>
      </c>
      <c r="H2419">
        <f>1-(1-Skills!J26/100)^Skills!K26</f>
        <v/>
      </c>
      <c r="I2419" t="inlineStr">
        <is>
          <t>1</t>
        </is>
      </c>
      <c r="J2419" t="inlineStr"/>
      <c r="K2419" t="inlineStr"/>
      <c r="L2419" t="inlineStr"/>
      <c r="M2419" t="inlineStr"/>
      <c r="N2419" t="inlineStr"/>
      <c r="O2419">
        <f>(1-Summary!$B$11)*T2419+Summary!$B$11*V2419</f>
        <v/>
      </c>
      <c r="P2419">
        <f>IF(B2433=0,0,O2419/B2433)</f>
        <v/>
      </c>
      <c r="Q2419" t="n">
        <v>0</v>
      </c>
      <c r="R2419" t="n">
        <v>0</v>
      </c>
      <c r="S2419">
        <f>IFERROR(O2419/N2419,0)</f>
        <v/>
      </c>
      <c r="T2419" t="n">
        <v>0</v>
      </c>
      <c r="V2419" t="n">
        <v>0</v>
      </c>
    </row>
    <row r="2420">
      <c r="A2420">
        <f>Skills!A27</f>
        <v/>
      </c>
      <c r="B2420">
        <f>Skills!B27</f>
        <v/>
      </c>
      <c r="C2420">
        <f>Inputs!$B$3&gt;=117</f>
        <v/>
      </c>
      <c r="D2420">
        <f>IF(Skills!C27=1,60+Inputs!$B$25+Inputs!$B$29,IF(Skills!C27=2,90+Inputs!$B$26+Inputs!$B$29,IF(Skills!C27=3,120+Inputs!$B$27+Inputs!$B$29,MAX(0,(Inputs!$B$3-100)*3)+Inputs!$B$28+Inputs!$B$29)))</f>
        <v/>
      </c>
      <c r="E2420">
        <f>INDEX(FactorTable!$B$2:$Y$301, MATCH(ROUND(MIN(300,MAX(1,D2420)),0), FactorTable!$A$2:$A$301,0), Skills!M27+1)</f>
        <v/>
      </c>
      <c r="F2420">
        <f>IF(Skills!N27=TRUE,(Skills!L27/10)*(E2420/1000),Skills!L27/10)+Skills!O27</f>
        <v/>
      </c>
      <c r="G2420">
        <f>Skills!G27*IF(Skills!H27&gt;0,Skills!I27/Skills!H27,1)</f>
        <v/>
      </c>
      <c r="H2420">
        <f>1-(1-Skills!J27/100)^Skills!K27</f>
        <v/>
      </c>
      <c r="I2420" t="inlineStr">
        <is>
          <t>1</t>
        </is>
      </c>
      <c r="J2420" t="inlineStr"/>
      <c r="K2420" t="inlineStr"/>
      <c r="L2420" t="inlineStr"/>
      <c r="M2420" t="inlineStr"/>
      <c r="N2420" t="inlineStr"/>
      <c r="O2420">
        <f>(1-Summary!$B$11)*T2420+Summary!$B$11*V2420</f>
        <v/>
      </c>
      <c r="P2420">
        <f>IF(B2433=0,0,O2420/B2433)</f>
        <v/>
      </c>
      <c r="Q2420" t="n">
        <v>0</v>
      </c>
      <c r="R2420" t="n">
        <v>0</v>
      </c>
      <c r="S2420">
        <f>IFERROR(O2420/N2420,0)</f>
        <v/>
      </c>
      <c r="T2420" t="n">
        <v>0</v>
      </c>
      <c r="V2420" t="n">
        <v>0</v>
      </c>
    </row>
    <row r="2422">
      <c r="A2422" t="inlineStr">
        <is>
          <t>Attack% Bucket Multiplier</t>
        </is>
      </c>
      <c r="B2422">
        <f>(1+(((C2410=TRUE)*F2410)+((C2417=TRUE)*(F2417-Calc!F24))+(IF(ArtifactsInput!$M$21,CHOOSE(ArtifactsInput!$N$21+1,25,30,35,40,45,50)*(IF(OR(Inputs!$B$4="Chapter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23">
      <c r="A2423" t="inlineStr">
        <is>
          <t>Global Crit Rate Bonus %</t>
        </is>
      </c>
      <c r="B2423" t="n">
        <v>0</v>
      </c>
    </row>
    <row r="2424">
      <c r="A2424" t="inlineStr">
        <is>
          <t>Attack Speed Buff Bonus % (unused)</t>
        </is>
      </c>
      <c r="B2424" t="n">
        <v>0</v>
      </c>
    </row>
    <row r="2425">
      <c r="A2425" t="inlineStr">
        <is>
          <t>Actions Per Second</t>
        </is>
      </c>
      <c r="B2425">
        <f>1+MIN(150,150*(1-(1-(Inputs!$B$11+((C2413=TRUE)*(F2413-Calc!F20))+((C2414=TRUE)*(F2414-Calc!F21)))/150)*(1-B2424/150)))/100</f>
        <v/>
      </c>
    </row>
    <row r="2426">
      <c r="A2426" t="inlineStr">
        <is>
          <t>Skill + Buff Cast Rate</t>
        </is>
      </c>
      <c r="B2426">
        <f>IF(AND(Inputs!$B$38&lt;&gt;"pvp",Inputs!$B$43&gt;0),SUMPRODUCT((Skills!E2:E27=TRUE)*(C2395:C2420=TRUE)*R2395:R2420*Skills!F2:F27)/Inputs!$B$43,SUMPRODUCT((Skills!E2:E27=TRUE)*(C2395:C2420=TRUE)*Q2395:Q2420*Skills!F2:F27))</f>
        <v/>
      </c>
    </row>
    <row r="2427">
      <c r="A2427" t="inlineStr">
        <is>
          <t>Eight-Legs Easton Casts Per Second</t>
        </is>
      </c>
      <c r="B2427">
        <f>MAX(0,B2425-B2426)</f>
        <v/>
      </c>
    </row>
    <row r="2428">
      <c r="A2428" t="inlineStr">
        <is>
          <t>Global Critical Damage Bonus % (unused)</t>
        </is>
      </c>
      <c r="B2428" t="n">
        <v>0</v>
      </c>
    </row>
    <row r="2429">
      <c r="A2429" t="inlineStr">
        <is>
          <t>Global Final Damage Bonus % (Jolly Roger only)</t>
        </is>
      </c>
      <c r="B2429">
        <f>((C2411=TRUE)*F2411)</f>
        <v/>
      </c>
    </row>
    <row r="2430">
      <c r="A2430" t="inlineStr">
        <is>
          <t>Buff-Casting Startup Delay (s, fixed-duration only)</t>
        </is>
      </c>
      <c r="B2430">
        <f>IF(AND(Inputs!$B$38&lt;&gt;"pvp",Inputs!$B$43&gt;0),SUMPRODUCT((Skills!T2:T27&gt;0)*(Skills!E2:E27=TRUE)*(C2395:C2420=TRUE))/B2425,0)</f>
        <v/>
      </c>
    </row>
    <row r="2431">
      <c r="A2431" t="inlineStr">
        <is>
          <t>Boss-Only Total DPS (this block's swept value)</t>
        </is>
      </c>
      <c r="B2431">
        <f>SUM(T2395:T2420)</f>
        <v/>
      </c>
    </row>
    <row r="2432">
      <c r="A2432" t="inlineStr">
        <is>
          <t>Normal-Only Total DPS (this block's swept value)</t>
        </is>
      </c>
      <c r="B2432">
        <f>SUM(V2395:V2420)</f>
        <v/>
      </c>
    </row>
    <row r="2433">
      <c r="A2433" s="6" t="inlineStr">
        <is>
          <t>TOTAL DPS</t>
        </is>
      </c>
      <c r="B2433" s="6">
        <f>SUM(O2395:O2420)</f>
        <v/>
      </c>
    </row>
    <row r="2436">
      <c r="A2436" s="6" t="inlineStr">
        <is>
          <t>Stat: Candle (Equip)</t>
        </is>
      </c>
    </row>
    <row r="2437">
      <c r="A2437" s="5" t="inlineStr">
        <is>
          <t>Key</t>
        </is>
      </c>
      <c r="B2437" s="5" t="inlineStr">
        <is>
          <t>Name</t>
        </is>
      </c>
      <c r="C2437" s="5" t="inlineStr">
        <is>
          <t>Unlocked</t>
        </is>
      </c>
      <c r="D2437" s="5" t="inlineStr">
        <is>
          <t>InputLevel</t>
        </is>
      </c>
      <c r="E2437" s="5" t="inlineStr">
        <is>
          <t>Factor</t>
        </is>
      </c>
      <c r="F2437" s="5" t="inlineStr">
        <is>
          <t>CoefficientPercent</t>
        </is>
      </c>
      <c r="G2437" s="5" t="inlineStr">
        <is>
          <t>EffectiveHits</t>
        </is>
      </c>
      <c r="H2437" s="5" t="inlineStr">
        <is>
          <t>ProcProbability</t>
        </is>
      </c>
      <c r="I2437" s="5" t="inlineStr">
        <is>
          <t>MapleHeroMultiplier</t>
        </is>
      </c>
      <c r="J2437" s="5" t="inlineStr">
        <is>
          <t>BaseDamage</t>
        </is>
      </c>
      <c r="K2437" s="5" t="inlineStr">
        <is>
          <t>BaseHitDamage</t>
        </is>
      </c>
      <c r="L2437" s="5" t="inlineStr">
        <is>
          <t>NonCritAvg</t>
        </is>
      </c>
      <c r="M2437" s="5" t="inlineStr">
        <is>
          <t>CritAvg</t>
        </is>
      </c>
      <c r="N2437" s="5" t="inlineStr">
        <is>
          <t>ExpectedDamage(perHit)</t>
        </is>
      </c>
      <c r="O2437" s="5" t="inlineStr">
        <is>
          <t>DPS</t>
        </is>
      </c>
      <c r="P2437" s="5" t="inlineStr">
        <is>
          <t>% of Total</t>
        </is>
      </c>
      <c r="Q2437" s="5" t="inlineStr">
        <is>
          <t>InvCooldown</t>
        </is>
      </c>
      <c r="R2437" s="5" t="inlineStr">
        <is>
          <t>CastsInFight</t>
        </is>
      </c>
      <c r="S2437" s="5" t="inlineStr">
        <is>
          <t>HitRate(perSec)</t>
        </is>
      </c>
      <c r="U2437" t="inlineStr">
        <is>
          <t>helpers</t>
        </is>
      </c>
    </row>
    <row r="2438">
      <c r="A2438">
        <f>Skills!A2</f>
        <v/>
      </c>
      <c r="B2438">
        <f>Skills!B2</f>
        <v/>
      </c>
      <c r="C2438">
        <f>Inputs!$B$3&gt;=100</f>
        <v/>
      </c>
      <c r="D2438" t="inlineStr"/>
      <c r="E2438" t="inlineStr"/>
      <c r="F2438">
        <f>U2440+Skills!O2</f>
        <v/>
      </c>
      <c r="G2438">
        <f>Skills!G2*IF(Skills!H2&gt;0,Skills!I2/Skills!H2,1)</f>
        <v/>
      </c>
      <c r="H2438">
        <f>1-(1-Skills!J2/100)^Skills!K2</f>
        <v/>
      </c>
      <c r="I2438" t="inlineStr">
        <is>
          <t>1</t>
        </is>
      </c>
      <c r="J2438">
        <f>((Inputs!$B$6*(1+Inputs!$B$7/100))+(((Inputs!$B$12*(1+Inputs!$B$13/100))-(Inputs!$B$12*(1+Inputs!$B$13/100)))+0.25*(Inputs!$B$14-Inputs!$B$14))*(1+Inputs!$B$7/100))*(F2438/100)</f>
        <v/>
      </c>
      <c r="K2438">
        <f>J2438*(1+((Inputs!$B$12*(1+Inputs!$B$13/100))*0.01+Inputs!$B$14*0.0025)/100)*(1+Inputs!$B$15/100)*(1+Inputs!$B$16/100)*(5000/(6000+Inputs!$B$42*(1-(100*(1-(1-(Inputs!$B$19+0)/100)*(1-CHOOSE(ArtifactsInput!$N$40+1,5,6,7,8,9,10)/100)^(ArtifactsInput!$M$40-ArtifactsInput!$M$40)))/100)))*(1+(Inputs!$B$24+((C2462=TRUE)*(F2462-Calc!F26))+B2472)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2459=TRUE)*(F2459-Calc!F23))+((C2463=TRUE)*(F2463-Calc!F27))+(((IF(AND(ArtifactsInput!$M$42,((Inputs!$B$9+((C2455=TRUE)*(F2455-Calc!F19))+B2466+(ArtifactsInput!$M$24-ArtifactsInput!$M$24)*CHOOSE(ArtifactsInput!$N$24+1,10,12,14,16,18,20)+IF(ArtifactsInput!$M$10,CHOOSE(ArtifactsInput!$N$10+1,15,18,21,24,27,30)*(IF(Inputs!$B$38="pvp",MIN(15,15)/15,IF(AND(Inputs!$B$38&lt;&gt;"pvp",Inputs!$B$43&gt;0),MIN(15,Inputs!$B$43)/(Inputs!$B$43),0))),0)))&gt;=100),MIN(100,((Inputs!$B$9+((C2455=TRUE)*(F2455-Calc!F19))+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2455=TRUE)*(F2455-Calc!F19))+B2466+(ArtifactsInput!$M$24-ArtifactsInput!$M$24)*CHOOSE(ArtifactsInput!$N$24+1,10,12,14,16,18,20)+IF(ArtifactsInput!$M$10,CHOOSE(ArtifactsInput!$N$10+1,15,18,21,24,27,30)*(IF(Inputs!$B$38="pvp",MIN(15,15)/15,IF(AND(Inputs!$B$38&lt;&gt;"pvp",Inputs!$B$43&gt;0),MIN(15,Inputs!$B$43)/(Inputs!$B$43),0))),0)))&gt;=100),CHOOSE(ArtifactsInput!$N$42+1,40,48,56,64,72,80),0))))/100)*((1+(((C2453=TRUE)*F2453)+((C2460=TRUE)*(F2460-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2438)</f>
        <v/>
      </c>
      <c r="L2438">
        <f>K2438*(MIN(Inputs!$B$22+((C2458=TRUE)*(F2458-Calc!F22)),(Inputs!$B$23+0+(IF(ArtifactsInput!$M$15,CHOOSE(ArtifactsInput!$N$15+1,25,30,35,40,45,50)/100*(Inputs!$B$11-Inputs!$B$11),0))))/100+(Inputs!$B$23+0+(IF(ArtifactsInput!$M$15,CHOOSE(ArtifactsInput!$N$15+1,25,30,35,40,45,50)/100*(Inputs!$B$11-Inputs!$B$11),0)))/100)/2</f>
        <v/>
      </c>
      <c r="M2438">
        <f>L2438*(1+(Inputs!$B$10+((C2461=TRUE)*(F2461-Calc!F25))+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8">
        <f>L2438*(1-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2438*(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8">
        <f>(1-Summary!$B$11)*T2438+Summary!$B$11*V2438</f>
        <v/>
      </c>
      <c r="P2438">
        <f>IF(B2476=0,0,O2438/B2476)</f>
        <v/>
      </c>
      <c r="Q2438" t="n">
        <v>0</v>
      </c>
      <c r="R2438" t="n">
        <v>0</v>
      </c>
      <c r="S2438">
        <f>IFERROR(O2438/N2438,0)</f>
        <v/>
      </c>
      <c r="T2438">
        <f>IF(C2438,(Skills!G2*N2438*B2470)*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2438*(1-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2438*(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2438*(1-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2438*(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8">
        <f>MAX(0,(Inputs!$B$3-100)*3)+Inputs!$B$28+Inputs!$B$29</f>
        <v/>
      </c>
      <c r="V2438">
        <f>IF(C2438,(Skills!G2*N2438*B2470)*IF(Inputs!$B$38="pvp",1,(1+(Inputs!$B$21+Skills!Q2+(IF(ArtifactsInput!$M$33,CHOOSE(ArtifactsInput!$N$33+1,30,36,42,48,54,60),0))+(IF(AND(ArtifactsInput!$M$35,Inputs!$B$4&lt;&gt;"Chapter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9">
      <c r="A2439">
        <f>Skills!A3</f>
        <v/>
      </c>
      <c r="B2439">
        <f>Skills!B3</f>
        <v/>
      </c>
      <c r="C2439">
        <f>Inputs!$B$3&gt;=35</f>
        <v/>
      </c>
      <c r="D2439">
        <f>IF(Skills!C3=1,60+Inputs!$B$25+Inputs!$B$29,IF(Skills!C3=2,90+Inputs!$B$26+Inputs!$B$29,IF(Skills!C3=3,120+Inputs!$B$27+Inputs!$B$29,MAX(0,(Inputs!$B$3-100)*3)+Inputs!$B$28+Inputs!$B$29)))</f>
        <v/>
      </c>
      <c r="E2439">
        <f>INDEX(FactorTable!$B$2:$Y$301, MATCH(ROUND(MIN(300,MAX(1,D2439)),0), FactorTable!$A$2:$A$301,0), Skills!M3+1)</f>
        <v/>
      </c>
      <c r="F2439">
        <f>IF(Skills!N3=TRUE,(Skills!L3/10)*(E2439/1000),Skills!L3/10)+Skills!O3</f>
        <v/>
      </c>
      <c r="G2439">
        <f>Skills!G3*IF(Skills!H3&gt;0,Skills!I3/Skills!H3,1)</f>
        <v/>
      </c>
      <c r="H2439">
        <f>1-(1-Skills!J3/100)^Skills!K3</f>
        <v/>
      </c>
      <c r="I2439" t="inlineStr">
        <is>
          <t>1</t>
        </is>
      </c>
      <c r="J2439">
        <f>((Inputs!$B$6*(1+Inputs!$B$7/100))+(((Inputs!$B$12*(1+Inputs!$B$13/100))-(Inputs!$B$12*(1+Inputs!$B$13/100)))+0.25*(Inputs!$B$14-Inputs!$B$14))*(1+Inputs!$B$7/100))*(F2439/100)</f>
        <v/>
      </c>
      <c r="K2439">
        <f>J2439*(1+((Inputs!$B$12*(1+Inputs!$B$13/100))*0.01+Inputs!$B$14*0.0025)/100)*(1+Inputs!$B$15/100)*(1+Inputs!$B$16/100)*(5000/(6000+Inputs!$B$42*(1-(100*(1-(1-(Inputs!$B$19+0)/100)*(1-CHOOSE(ArtifactsInput!$N$40+1,5,6,7,8,9,10)/100)^(ArtifactsInput!$M$40-ArtifactsInput!$M$40)))/100)))*(1+(Inputs!$B$24+((C2462=TRUE)*(F2462-Calc!F26))+B2472)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2451=TRUE,F2451,0)/100)*(1+(IF(Skills!A3="EIGHT_LEGS_EASTON",Inputs!$B$17+((C2459=TRUE)*(F2459-Calc!F23))+((C2463=TRUE)*(F2463-Calc!F27))+(((IF(AND(ArtifactsInput!$M$42,((Inputs!$B$9+((C2455=TRUE)*(F2455-Calc!F19))+B2466+(ArtifactsInput!$M$24-ArtifactsInput!$M$24)*CHOOSE(ArtifactsInput!$N$24+1,10,12,14,16,18,20)+IF(ArtifactsInput!$M$10,CHOOSE(ArtifactsInput!$N$10+1,15,18,21,24,27,30)*(IF(Inputs!$B$38="pvp",MIN(15,15)/15,IF(AND(Inputs!$B$38&lt;&gt;"pvp",Inputs!$B$43&gt;0),MIN(15,Inputs!$B$43)/(Inputs!$B$43),0))),0)))&gt;=100),MIN(100,((Inputs!$B$9+((C2455=TRUE)*(F2455-Calc!F19))+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2455=TRUE)*(F2455-Calc!F19))+B2466+(ArtifactsInput!$M$24-ArtifactsInput!$M$24)*CHOOSE(ArtifactsInput!$N$24+1,10,12,14,16,18,20)+IF(ArtifactsInput!$M$10,CHOOSE(ArtifactsInput!$N$10+1,15,18,21,24,27,30)*(IF(Inputs!$B$38="pvp",MIN(15,15)/15,IF(AND(Inputs!$B$38&lt;&gt;"pvp",Inputs!$B$43&gt;0),MIN(15,Inputs!$B$43)/(Inputs!$B$43),0))),0)))&gt;=100),CHOOSE(ArtifactsInput!$N$42+1,40,48,56,64,72,80),0))))/100)*((1+(((C2453=TRUE)*F2453)+((C2460=TRUE)*(F2460-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2439)</f>
        <v/>
      </c>
      <c r="L2439">
        <f>K2439*(MIN(Inputs!$B$22+((C2458=TRUE)*(F2458-Calc!F22)),(Inputs!$B$23+0+(IF(ArtifactsInput!$M$15,CHOOSE(ArtifactsInput!$N$15+1,25,30,35,40,45,50)/100*(Inputs!$B$11-Inputs!$B$11),0))))/100+(Inputs!$B$23+0+(IF(ArtifactsInput!$M$15,CHOOSE(ArtifactsInput!$N$15+1,25,30,35,40,45,50)/100*(Inputs!$B$11-Inputs!$B$11),0)))/100)/2</f>
        <v/>
      </c>
      <c r="M2439">
        <f>L2439*(1+(Inputs!$B$10+((C2461=TRUE)*(F2461-Calc!F25))+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9">
        <f>L2439*(1-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2439*(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9">
        <f>(1-Summary!$B$11)*T2439+Summary!$B$11*V2439</f>
        <v/>
      </c>
      <c r="P2439">
        <f>IF(B2476=0,0,O2439/B2476)</f>
        <v/>
      </c>
      <c r="Q2439">
        <f>IFERROR(1/(IF(Inputs!$B$38="pvp",15,MAX(0.1,Skills!D3-IF(Skills!E3=TRUE,Inputs!$B$32,0)))*(1-IF(AND(ArtifactsInput!$M$27,Inputs!$B$4="Chapter Hunt"),CHOOSE(ArtifactsInput!$N$27+1,20,24,28,32,36,40),0)/100)),0)</f>
        <v/>
      </c>
      <c r="R2439">
        <f>IF(AND(Inputs!$B$38&lt;&gt;"pvp",Inputs!$B$43&gt;0),IF(MAX(0,Inputs!$B$43-B2473)&lt;=0,0,(INT(MAX(0,Inputs!$B$43-B2473)/(IF(Inputs!$B$38="pvp",15,MAX(0.1,Skills!D3-IF(Skills!E3=TRUE,Inputs!$B$32,0)))*(1-IF(AND(ArtifactsInput!$M$27,Inputs!$B$4="Chapter Hunt"),CHOOSE(ArtifactsInput!$N$27+1,20,24,28,32,36,40),0)/100)))+1)),0)</f>
        <v/>
      </c>
      <c r="S2439">
        <f>IFERROR(O2439/N2439,0)</f>
        <v/>
      </c>
      <c r="T2439">
        <f>IF(C2439,(H2439*N2439*IF(AND(Inputs!$B$38&lt;&gt;"pvp",Inputs!$B$43&gt;0),((Skills!G3*((R2439-1)*IF(Skills!H3&gt;0,Skills!I3/Skills!H3,1)+IF(Skills!H3&gt;0,MIN(Skills!I3,MAX(0,MAX(0,Inputs!$B$43-B2473)-((R2439-1)*(IF(Inputs!$B$38="pvp",15,MAX(0.1,Skills!D3-IF(Skills!E3=TRUE,Inputs!$B$32,0)))*(1-IF(AND(ArtifactsInput!$M$27,Inputs!$B$4="Chapter Hunt"),CHOOSE(ArtifactsInput!$N$27+1,20,24,28,32,36,40),0)/100)))))/Skills!H3,1)))/Inputs!$B$43),G2439*Q2439))*IF(Inputs!$B$38="pvp",1,1+(Inputs!$B$20+0+Skills!P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2439*(1-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2439*(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2439*(1-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2439*(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9">
        <f>INDEX(FactorTable!$B$2:$Y$301, MATCH(ROUND(MIN(300,MAX(1,U2438)),0), FactorTable!$A$2:$A$301,0), 22)</f>
        <v/>
      </c>
      <c r="V2439">
        <f>IF(C2439,(H2439*N2439*IF(AND(Inputs!$B$38&lt;&gt;"pvp",Inputs!$B$43&gt;0),((Skills!G3*((R2439-1)*IF(Skills!H3&gt;0,Skills!I3/Skills!H3,1)+IF(Skills!H3&gt;0,MIN(Skills!I3,MAX(0,MAX(0,Inputs!$B$43-B2473)-((R2439-1)*(IF(Inputs!$B$38="pvp",15,MAX(0.1,Skills!D3-IF(Skills!E3=TRUE,Inputs!$B$32,0)))*(1-IF(AND(ArtifactsInput!$M$27,Inputs!$B$4="Chapter Hunt"),CHOOSE(ArtifactsInput!$N$27+1,20,24,28,32,36,40),0)/100)))))/Skills!H3,1)))/Inputs!$B$43),G2439*Q2439))*IF(Inputs!$B$38="pvp",1,(1+(Inputs!$B$21+Skills!Q3+(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0">
      <c r="A2440">
        <f>Skills!A4</f>
        <v/>
      </c>
      <c r="B2440">
        <f>Skills!B4</f>
        <v/>
      </c>
      <c r="C2440">
        <f>Inputs!$B$3&gt;=40</f>
        <v/>
      </c>
      <c r="D2440">
        <f>IF(Skills!C4=1,60+Inputs!$B$25+Inputs!$B$29,IF(Skills!C4=2,90+Inputs!$B$26+Inputs!$B$29,IF(Skills!C4=3,120+Inputs!$B$27+Inputs!$B$29,MAX(0,(Inputs!$B$3-100)*3)+Inputs!$B$28+Inputs!$B$29)))</f>
        <v/>
      </c>
      <c r="E2440">
        <f>INDEX(FactorTable!$B$2:$Y$301, MATCH(ROUND(MIN(300,MAX(1,D2440)),0), FactorTable!$A$2:$A$301,0), Skills!M4+1)</f>
        <v/>
      </c>
      <c r="F2440">
        <f>IF(Skills!N4=TRUE,(Skills!L4/10)*(E2440/1000),Skills!L4/10)+Skills!O4</f>
        <v/>
      </c>
      <c r="G2440">
        <f>Skills!G4*IF(Skills!H4&gt;0,Skills!I4/Skills!H4,1)</f>
        <v/>
      </c>
      <c r="H2440">
        <f>1-(1-Skills!J4/100)^Skills!K4</f>
        <v/>
      </c>
      <c r="I2440" t="inlineStr">
        <is>
          <t>1</t>
        </is>
      </c>
      <c r="J2440">
        <f>((Inputs!$B$6*(1+Inputs!$B$7/100))+(((Inputs!$B$12*(1+Inputs!$B$13/100))-(Inputs!$B$12*(1+Inputs!$B$13/100)))+0.25*(Inputs!$B$14-Inputs!$B$14))*(1+Inputs!$B$7/100))*(F2440/100)</f>
        <v/>
      </c>
      <c r="K2440">
        <f>J2440*(1+((Inputs!$B$12*(1+Inputs!$B$13/100))*0.01+Inputs!$B$14*0.0025)/100)*(1+Inputs!$B$15/100)*(1+Inputs!$B$16/100)*(5000/(6000+Inputs!$B$42*(1-(100*(1-(1-(Inputs!$B$19+0)/100)*(1-CHOOSE(ArtifactsInput!$N$40+1,5,6,7,8,9,10)/100)^(ArtifactsInput!$M$40-ArtifactsInput!$M$40)))/100)))*(1+(Inputs!$B$24+((C2462=TRUE)*(F2462-Calc!F26))+B2472)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2452=TRUE,F2452,0)/100)*(1+(IF(Skills!A4="EIGHT_LEGS_EASTON",Inputs!$B$17+((C2459=TRUE)*(F2459-Calc!F23))+((C2463=TRUE)*(F2463-Calc!F27))+(((IF(AND(ArtifactsInput!$M$42,((Inputs!$B$9+((C2455=TRUE)*(F2455-Calc!F19))+B2466+(ArtifactsInput!$M$24-ArtifactsInput!$M$24)*CHOOSE(ArtifactsInput!$N$24+1,10,12,14,16,18,20)+IF(ArtifactsInput!$M$10,CHOOSE(ArtifactsInput!$N$10+1,15,18,21,24,27,30)*(IF(Inputs!$B$38="pvp",MIN(15,15)/15,IF(AND(Inputs!$B$38&lt;&gt;"pvp",Inputs!$B$43&gt;0),MIN(15,Inputs!$B$43)/(Inputs!$B$43),0))),0)))&gt;=100),MIN(100,((Inputs!$B$9+((C2455=TRUE)*(F2455-Calc!F19))+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2455=TRUE)*(F2455-Calc!F19))+B2466+(ArtifactsInput!$M$24-ArtifactsInput!$M$24)*CHOOSE(ArtifactsInput!$N$24+1,10,12,14,16,18,20)+IF(ArtifactsInput!$M$10,CHOOSE(ArtifactsInput!$N$10+1,15,18,21,24,27,30)*(IF(Inputs!$B$38="pvp",MIN(15,15)/15,IF(AND(Inputs!$B$38&lt;&gt;"pvp",Inputs!$B$43&gt;0),MIN(15,Inputs!$B$43)/(Inputs!$B$43),0))),0)))&gt;=100),CHOOSE(ArtifactsInput!$N$42+1,40,48,56,64,72,80),0))))/100)*((1+(((C2453=TRUE)*F2453)+((C2460=TRUE)*(F2460-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2440)</f>
        <v/>
      </c>
      <c r="L2440">
        <f>K2440*(MIN(Inputs!$B$22+((C2458=TRUE)*(F2458-Calc!F22)),(Inputs!$B$23+0+(IF(ArtifactsInput!$M$15,CHOOSE(ArtifactsInput!$N$15+1,25,30,35,40,45,50)/100*(Inputs!$B$11-Inputs!$B$11),0))))/100+(Inputs!$B$23+0+(IF(ArtifactsInput!$M$15,CHOOSE(ArtifactsInput!$N$15+1,25,30,35,40,45,50)/100*(Inputs!$B$11-Inputs!$B$11),0)))/100)/2</f>
        <v/>
      </c>
      <c r="M2440">
        <f>L2440*(1+(Inputs!$B$10+((C2461=TRUE)*(F2461-Calc!F25))+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0">
        <f>L2440*(1-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2440*(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0">
        <f>(1-Summary!$B$11)*T2440+Summary!$B$11*V2440</f>
        <v/>
      </c>
      <c r="P2440">
        <f>IF(B2476=0,0,O2440/B2476)</f>
        <v/>
      </c>
      <c r="Q2440">
        <f>IFERROR(1/(IF(Inputs!$B$38="pvp",15,MAX(0.1,Skills!D4-IF(Skills!E4=TRUE,Inputs!$B$32,0)))*(1-IF(AND(ArtifactsInput!$M$27,Inputs!$B$4="Chapter Hunt"),CHOOSE(ArtifactsInput!$N$27+1,20,24,28,32,36,40),0)/100)),0)</f>
        <v/>
      </c>
      <c r="R2440">
        <f>IF(AND(Inputs!$B$38&lt;&gt;"pvp",Inputs!$B$43&gt;0),IF(MAX(0,Inputs!$B$43-B2473)&lt;=0,0,(INT(MAX(0,Inputs!$B$43-B2473)/(IF(Inputs!$B$38="pvp",15,MAX(0.1,Skills!D4-IF(Skills!E4=TRUE,Inputs!$B$32,0)))*(1-IF(AND(ArtifactsInput!$M$27,Inputs!$B$4="Chapter Hunt"),CHOOSE(ArtifactsInput!$N$27+1,20,24,28,32,36,40),0)/100)))+1)),0)</f>
        <v/>
      </c>
      <c r="S2440">
        <f>IFERROR(O2440/N2440,0)</f>
        <v/>
      </c>
      <c r="T2440">
        <f>IF(C2440,(H2440*N2440*IF(AND(Inputs!$B$38&lt;&gt;"pvp",Inputs!$B$43&gt;0),((Skills!G4*((R2440-1)*IF(Skills!H4&gt;0,Skills!I4/Skills!H4,1)+IF(Skills!H4&gt;0,MIN(Skills!I4,MAX(0,MAX(0,Inputs!$B$43-B2473)-((R2440-1)*(IF(Inputs!$B$38="pvp",15,MAX(0.1,Skills!D4-IF(Skills!E4=TRUE,Inputs!$B$32,0)))*(1-IF(AND(ArtifactsInput!$M$27,Inputs!$B$4="Chapter Hunt"),CHOOSE(ArtifactsInput!$N$27+1,20,24,28,32,36,40),0)/100)))))/Skills!H4,1)))/Inputs!$B$43),G2440*Q2440))*IF(Inputs!$B$38="pvp",1,1+(Inputs!$B$20+0+Skills!P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2440*(1-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2440*(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2440*(1-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2440*(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40">
        <f>290*U2439/1000</f>
        <v/>
      </c>
      <c r="V2440">
        <f>IF(C2440,(H2440*N2440*IF(AND(Inputs!$B$38&lt;&gt;"pvp",Inputs!$B$43&gt;0),((Skills!G4*((R2440-1)*IF(Skills!H4&gt;0,Skills!I4/Skills!H4,1)+IF(Skills!H4&gt;0,MIN(Skills!I4,MAX(0,MAX(0,Inputs!$B$43-B2473)-((R2440-1)*(IF(Inputs!$B$38="pvp",15,MAX(0.1,Skills!D4-IF(Skills!E4=TRUE,Inputs!$B$32,0)))*(1-IF(AND(ArtifactsInput!$M$27,Inputs!$B$4="Chapter Hunt"),CHOOSE(ArtifactsInput!$N$27+1,20,24,28,32,36,40),0)/100)))))/Skills!H4,1)))/Inputs!$B$43),G2440*Q2440))*IF(Inputs!$B$38="pvp",1,(1+(Inputs!$B$21+Skills!Q4+(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1">
      <c r="A2441">
        <f>Skills!A5</f>
        <v/>
      </c>
      <c r="B2441">
        <f>Skills!B5</f>
        <v/>
      </c>
      <c r="C2441">
        <f>Inputs!$B$3&gt;=45</f>
        <v/>
      </c>
      <c r="D2441">
        <f>IF(Skills!C5=1,60+Inputs!$B$25+Inputs!$B$29,IF(Skills!C5=2,90+Inputs!$B$26+Inputs!$B$29,IF(Skills!C5=3,120+Inputs!$B$27+Inputs!$B$29,MAX(0,(Inputs!$B$3-100)*3)+Inputs!$B$28+Inputs!$B$29)))</f>
        <v/>
      </c>
      <c r="E2441">
        <f>INDEX(FactorTable!$B$2:$Y$301, MATCH(ROUND(MIN(300,MAX(1,D2441)),0), FactorTable!$A$2:$A$301,0), Skills!M5+1)</f>
        <v/>
      </c>
      <c r="F2441">
        <f>IF(Skills!N5=TRUE,(Skills!L5/10)*(E2441/1000),Skills!L5/10)+Skills!O5</f>
        <v/>
      </c>
      <c r="G2441">
        <f>Skills!G5*IF(Skills!H5&gt;0,Skills!I5/Skills!H5,1)</f>
        <v/>
      </c>
      <c r="H2441">
        <f>1-(1-Skills!J5/100)^Skills!K5</f>
        <v/>
      </c>
      <c r="I2441" t="inlineStr">
        <is>
          <t>1</t>
        </is>
      </c>
      <c r="J2441">
        <f>((Inputs!$B$6*(1+Inputs!$B$7/100))+(((Inputs!$B$12*(1+Inputs!$B$13/100))-(Inputs!$B$12*(1+Inputs!$B$13/100)))+0.25*(Inputs!$B$14-Inputs!$B$14))*(1+Inputs!$B$7/100))*(F2441/100)</f>
        <v/>
      </c>
      <c r="K2441">
        <f>J2441*(1+((Inputs!$B$12*(1+Inputs!$B$13/100))*0.01+Inputs!$B$14*0.0025)/100)*(1+Inputs!$B$15/100)*(1+Inputs!$B$16/100)*(5000/(6000+Inputs!$B$42*(1-(100*(1-(1-(Inputs!$B$19+0)/100)*(1-CHOOSE(ArtifactsInput!$N$40+1,5,6,7,8,9,10)/100)^(ArtifactsInput!$M$40-ArtifactsInput!$M$40)))/100)))*(1+(Inputs!$B$24+((C2462=TRUE)*(F2462-Calc!F26))+B2472)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2452=TRUE,F2452,0)/100)*(1+(IF(Skills!A5="EIGHT_LEGS_EASTON",Inputs!$B$17+((C2459=TRUE)*(F2459-Calc!F23))+((C2463=TRUE)*(F2463-Calc!F27))+(((IF(AND(ArtifactsInput!$M$42,((Inputs!$B$9+((C2455=TRUE)*(F2455-Calc!F19))+B2466+(ArtifactsInput!$M$24-ArtifactsInput!$M$24)*CHOOSE(ArtifactsInput!$N$24+1,10,12,14,16,18,20)+IF(ArtifactsInput!$M$10,CHOOSE(ArtifactsInput!$N$10+1,15,18,21,24,27,30)*(IF(Inputs!$B$38="pvp",MIN(15,15)/15,IF(AND(Inputs!$B$38&lt;&gt;"pvp",Inputs!$B$43&gt;0),MIN(15,Inputs!$B$43)/(Inputs!$B$43),0))),0)))&gt;=100),MIN(100,((Inputs!$B$9+((C2455=TRUE)*(F2455-Calc!F19))+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2455=TRUE)*(F2455-Calc!F19))+B2466+(ArtifactsInput!$M$24-ArtifactsInput!$M$24)*CHOOSE(ArtifactsInput!$N$24+1,10,12,14,16,18,20)+IF(ArtifactsInput!$M$10,CHOOSE(ArtifactsInput!$N$10+1,15,18,21,24,27,30)*(IF(Inputs!$B$38="pvp",MIN(15,15)/15,IF(AND(Inputs!$B$38&lt;&gt;"pvp",Inputs!$B$43&gt;0),MIN(15,Inputs!$B$43)/(Inputs!$B$43),0))),0)))&gt;=100),CHOOSE(ArtifactsInput!$N$42+1,40,48,56,64,72,80),0))))/100)*((1+(((C2453=TRUE)*F2453)+((C2460=TRUE)*(F2460-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2441)</f>
        <v/>
      </c>
      <c r="L2441">
        <f>K2441*(MIN(Inputs!$B$22+((C2458=TRUE)*(F2458-Calc!F22)),(Inputs!$B$23+0+(IF(ArtifactsInput!$M$15,CHOOSE(ArtifactsInput!$N$15+1,25,30,35,40,45,50)/100*(Inputs!$B$11-Inputs!$B$11),0))))/100+(Inputs!$B$23+0+(IF(ArtifactsInput!$M$15,CHOOSE(ArtifactsInput!$N$15+1,25,30,35,40,45,50)/100*(Inputs!$B$11-Inputs!$B$11),0)))/100)/2</f>
        <v/>
      </c>
      <c r="M2441">
        <f>L2441*(1+(Inputs!$B$10+((C2461=TRUE)*(F2461-Calc!F25))+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1">
        <f>L2441*(1-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2441*(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1">
        <f>(1-Summary!$B$11)*T2441+Summary!$B$11*V2441</f>
        <v/>
      </c>
      <c r="P2441">
        <f>IF(B2476=0,0,O2441/B2476)</f>
        <v/>
      </c>
      <c r="Q2441">
        <f>IFERROR(1/(IF(Inputs!$B$38="pvp",15,MAX(0.1,Skills!D5-IF(Skills!E5=TRUE,Inputs!$B$32,0)))*(1-IF(AND(ArtifactsInput!$M$27,Inputs!$B$4="Chapter Hunt"),CHOOSE(ArtifactsInput!$N$27+1,20,24,28,32,36,40),0)/100)),0)</f>
        <v/>
      </c>
      <c r="R2441">
        <f>IF(AND(Inputs!$B$38&lt;&gt;"pvp",Inputs!$B$43&gt;0),IF(MAX(0,Inputs!$B$43-B2473)&lt;=0,0,(INT(MAX(0,Inputs!$B$43-B2473)/(IF(Inputs!$B$38="pvp",15,MAX(0.1,Skills!D5-IF(Skills!E5=TRUE,Inputs!$B$32,0)))*(1-IF(AND(ArtifactsInput!$M$27,Inputs!$B$4="Chapter Hunt"),CHOOSE(ArtifactsInput!$N$27+1,20,24,28,32,36,40),0)/100)))+1)),0)</f>
        <v/>
      </c>
      <c r="S2441">
        <f>IFERROR(O2441/N2441,0)</f>
        <v/>
      </c>
      <c r="T2441">
        <f>IF(C2441,(H2441*N2441*IF(AND(Inputs!$B$38&lt;&gt;"pvp",Inputs!$B$43&gt;0),((Skills!G5*((R2441-1)*IF(Skills!H5&gt;0,Skills!I5/Skills!H5,1)+IF(Skills!H5&gt;0,MIN(Skills!I5,MAX(0,MAX(0,Inputs!$B$43-B2473)-((R2441-1)*(IF(Inputs!$B$38="pvp",15,MAX(0.1,Skills!D5-IF(Skills!E5=TRUE,Inputs!$B$32,0)))*(1-IF(AND(ArtifactsInput!$M$27,Inputs!$B$4="Chapter Hunt"),CHOOSE(ArtifactsInput!$N$27+1,20,24,28,32,36,40),0)/100)))))/Skills!H5,1)))/Inputs!$B$43),G2441*Q2441))*IF(Inputs!$B$38="pvp",1,1+(Inputs!$B$20+0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2441*(1-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2441*(1-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1">
        <f>IF(C2441,(H2441*N2441*IF(AND(Inputs!$B$38&lt;&gt;"pvp",Inputs!$B$43&gt;0),((Skills!G5*((R2441-1)*IF(Skills!H5&gt;0,Skills!I5/Skills!H5,1)+IF(Skills!H5&gt;0,MIN(Skills!I5,MAX(0,MAX(0,Inputs!$B$43-B2473)-((R2441-1)*(IF(Inputs!$B$38="pvp",15,MAX(0.1,Skills!D5-IF(Skills!E5=TRUE,Inputs!$B$32,0)))*(1-IF(AND(ArtifactsInput!$M$27,Inputs!$B$4="Chapter Hunt"),CHOOSE(ArtifactsInput!$N$27+1,20,24,28,32,36,40),0)/100)))))/Skills!H5,1)))/Inputs!$B$43),G2441*Q2441))*IF(Inputs!$B$38="pvp",1,(1+(Inputs!$B$21+Skills!Q5+(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2">
      <c r="A2442">
        <f>Skills!A6</f>
        <v/>
      </c>
      <c r="B2442">
        <f>Skills!B6</f>
        <v/>
      </c>
      <c r="C2442">
        <f>Inputs!$B$3&gt;=63</f>
        <v/>
      </c>
      <c r="D2442">
        <f>IF(Skills!C6=1,60+Inputs!$B$25+Inputs!$B$29,IF(Skills!C6=2,90+Inputs!$B$26+Inputs!$B$29,IF(Skills!C6=3,120+Inputs!$B$27+Inputs!$B$29,MAX(0,(Inputs!$B$3-100)*3)+Inputs!$B$28+Inputs!$B$29)))</f>
        <v/>
      </c>
      <c r="E2442">
        <f>INDEX(FactorTable!$B$2:$Y$301, MATCH(ROUND(MIN(300,MAX(1,D2442)),0), FactorTable!$A$2:$A$301,0), Skills!M6+1)</f>
        <v/>
      </c>
      <c r="F2442">
        <f>IF(Skills!N6=TRUE,(Skills!L6/10)*(E2442/1000),Skills!L6/10)+Skills!O6</f>
        <v/>
      </c>
      <c r="G2442">
        <f>Skills!G6*IF(Skills!H6&gt;0,Skills!I6/Skills!H6,1)</f>
        <v/>
      </c>
      <c r="H2442">
        <f>1-(1-Skills!J6/100)^Skills!K6</f>
        <v/>
      </c>
      <c r="I2442" t="inlineStr">
        <is>
          <t>1</t>
        </is>
      </c>
      <c r="J2442">
        <f>((Inputs!$B$6*(1+Inputs!$B$7/100))+(((Inputs!$B$12*(1+Inputs!$B$13/100))-(Inputs!$B$12*(1+Inputs!$B$13/100)))+0.25*(Inputs!$B$14-Inputs!$B$14))*(1+Inputs!$B$7/100))*(F2442/100)</f>
        <v/>
      </c>
      <c r="K2442">
        <f>J2442*(1+((Inputs!$B$12*(1+Inputs!$B$13/100))*0.01+Inputs!$B$14*0.0025)/100)*(1+Inputs!$B$15/100)*(1+Inputs!$B$16/100)*(5000/(6000+Inputs!$B$42*(1-(100*(1-(1-(Inputs!$B$19+0)/100)*(1-CHOOSE(ArtifactsInput!$N$40+1,5,6,7,8,9,10)/100)^(ArtifactsInput!$M$40-ArtifactsInput!$M$40)))/100)))*(1+(Inputs!$B$24+((C2462=TRUE)*(F2462-Calc!F26))+B2472)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2451=TRUE,F2451,0)/100)*(1+(IF(Skills!A6="EIGHT_LEGS_EASTON",Inputs!$B$17+((C2459=TRUE)*(F2459-Calc!F23))+((C2463=TRUE)*(F2463-Calc!F27))+(((IF(AND(ArtifactsInput!$M$42,((Inputs!$B$9+((C2455=TRUE)*(F2455-Calc!F19))+B2466+(ArtifactsInput!$M$24-ArtifactsInput!$M$24)*CHOOSE(ArtifactsInput!$N$24+1,10,12,14,16,18,20)+IF(ArtifactsInput!$M$10,CHOOSE(ArtifactsInput!$N$10+1,15,18,21,24,27,30)*(IF(Inputs!$B$38="pvp",MIN(15,15)/15,IF(AND(Inputs!$B$38&lt;&gt;"pvp",Inputs!$B$43&gt;0),MIN(15,Inputs!$B$43)/(Inputs!$B$43),0))),0)))&gt;=100),MIN(100,((Inputs!$B$9+((C2455=TRUE)*(F2455-Calc!F19))+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2455=TRUE)*(F2455-Calc!F19))+B2466+(ArtifactsInput!$M$24-ArtifactsInput!$M$24)*CHOOSE(ArtifactsInput!$N$24+1,10,12,14,16,18,20)+IF(ArtifactsInput!$M$10,CHOOSE(ArtifactsInput!$N$10+1,15,18,21,24,27,30)*(IF(Inputs!$B$38="pvp",MIN(15,15)/15,IF(AND(Inputs!$B$38&lt;&gt;"pvp",Inputs!$B$43&gt;0),MIN(15,Inputs!$B$43)/(Inputs!$B$43),0))),0)))&gt;=100),CHOOSE(ArtifactsInput!$N$42+1,40,48,56,64,72,80),0))))/100)*((1+(((C2453=TRUE)*F2453)+((C2460=TRUE)*(F2460-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2442)</f>
        <v/>
      </c>
      <c r="L2442">
        <f>K2442*(MIN(Inputs!$B$22+((C2458=TRUE)*(F2458-Calc!F22)),(Inputs!$B$23+0+(IF(ArtifactsInput!$M$15,CHOOSE(ArtifactsInput!$N$15+1,25,30,35,40,45,50)/100*(Inputs!$B$11-Inputs!$B$11),0))))/100+(Inputs!$B$23+0+(IF(ArtifactsInput!$M$15,CHOOSE(ArtifactsInput!$N$15+1,25,30,35,40,45,50)/100*(Inputs!$B$11-Inputs!$B$11),0)))/100)/2</f>
        <v/>
      </c>
      <c r="M2442">
        <f>L2442*(1+(Inputs!$B$10+((C2461=TRUE)*(F2461-Calc!F25))+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2">
        <f>L2442*(1-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2442*(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2">
        <f>(1-Summary!$B$11)*T2442+Summary!$B$11*V2442</f>
        <v/>
      </c>
      <c r="P2442">
        <f>IF(B2476=0,0,O2442/B2476)</f>
        <v/>
      </c>
      <c r="Q2442">
        <f>IFERROR(1/(IF(Inputs!$B$38="pvp",15,MAX(0.1,Skills!D6-IF(Skills!E6=TRUE,Inputs!$B$32,0)))*(1-IF(AND(ArtifactsInput!$M$27,Inputs!$B$4="Chapter Hunt"),CHOOSE(ArtifactsInput!$N$27+1,20,24,28,32,36,40),0)/100)),0)</f>
        <v/>
      </c>
      <c r="R2442">
        <f>IF(AND(Inputs!$B$38&lt;&gt;"pvp",Inputs!$B$43&gt;0),IF(MAX(0,Inputs!$B$43-B2473)&lt;=0,0,(INT(MAX(0,Inputs!$B$43-B2473)/(IF(Inputs!$B$38="pvp",15,MAX(0.1,Skills!D6-IF(Skills!E6=TRUE,Inputs!$B$32,0)))*(1-IF(AND(ArtifactsInput!$M$27,Inputs!$B$4="Chapter Hunt"),CHOOSE(ArtifactsInput!$N$27+1,20,24,28,32,36,40),0)/100)))+1)),0)</f>
        <v/>
      </c>
      <c r="S2442">
        <f>IFERROR(O2442/N2442,0)</f>
        <v/>
      </c>
      <c r="T2442">
        <f>IF(C2442,(H2442*N2442*IF(AND(Inputs!$B$38&lt;&gt;"pvp",Inputs!$B$43&gt;0),((Skills!G6*((R2442-1)*IF(Skills!H6&gt;0,Skills!I6/Skills!H6,1)+IF(Skills!H6&gt;0,MIN(Skills!I6,MAX(0,MAX(0,Inputs!$B$43-B2473)-((R2442-1)*(IF(Inputs!$B$38="pvp",15,MAX(0.1,Skills!D6-IF(Skills!E6=TRUE,Inputs!$B$32,0)))*(1-IF(AND(ArtifactsInput!$M$27,Inputs!$B$4="Chapter Hunt"),CHOOSE(ArtifactsInput!$N$27+1,20,24,28,32,36,40),0)/100)))))/Skills!H6,1)))/Inputs!$B$43),G2442*Q2442))*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2442*(1-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2442*(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2442*(1-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2442*(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2">
        <f>IF(C2442,(H2442*N2442*IF(AND(Inputs!$B$38&lt;&gt;"pvp",Inputs!$B$43&gt;0),((Skills!G6*((R2442-1)*IF(Skills!H6&gt;0,Skills!I6/Skills!H6,1)+IF(Skills!H6&gt;0,MIN(Skills!I6,MAX(0,MAX(0,Inputs!$B$43-B2473)-((R2442-1)*(IF(Inputs!$B$38="pvp",15,MAX(0.1,Skills!D6-IF(Skills!E6=TRUE,Inputs!$B$32,0)))*(1-IF(AND(ArtifactsInput!$M$27,Inputs!$B$4="Chapter Hunt"),CHOOSE(ArtifactsInput!$N$27+1,20,24,28,32,36,40),0)/100)))))/Skills!H6,1)))/Inputs!$B$43),G2442*Q2442))*IF(Inputs!$B$38="pvp",1,(1+(Inputs!$B$21+Skills!Q6+(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3">
      <c r="A2443">
        <f>Skills!A7</f>
        <v/>
      </c>
      <c r="B2443">
        <f>Skills!B7</f>
        <v/>
      </c>
      <c r="C2443">
        <f>Inputs!$B$3&gt;=66</f>
        <v/>
      </c>
      <c r="D2443">
        <f>IF(Skills!C7=1,60+Inputs!$B$25+Inputs!$B$29,IF(Skills!C7=2,90+Inputs!$B$26+Inputs!$B$29,IF(Skills!C7=3,120+Inputs!$B$27+Inputs!$B$29,MAX(0,(Inputs!$B$3-100)*3)+Inputs!$B$28+Inputs!$B$29)))</f>
        <v/>
      </c>
      <c r="E2443">
        <f>INDEX(FactorTable!$B$2:$Y$301, MATCH(ROUND(MIN(300,MAX(1,D2443)),0), FactorTable!$A$2:$A$301,0), Skills!M7+1)</f>
        <v/>
      </c>
      <c r="F2443">
        <f>IF(Skills!N7=TRUE,(Skills!L7/10)*(E2443/1000),Skills!L7/10)+Skills!O7</f>
        <v/>
      </c>
      <c r="G2443">
        <f>Skills!G7*IF(Skills!H7&gt;0,Skills!I7/Skills!H7,1)</f>
        <v/>
      </c>
      <c r="H2443">
        <f>1-(1-Skills!J7/100)^Skills!K7</f>
        <v/>
      </c>
      <c r="I2443" t="inlineStr">
        <is>
          <t>1</t>
        </is>
      </c>
      <c r="J2443">
        <f>((Inputs!$B$6*(1+Inputs!$B$7/100))+(((Inputs!$B$12*(1+Inputs!$B$13/100))-(Inputs!$B$12*(1+Inputs!$B$13/100)))+0.25*(Inputs!$B$14-Inputs!$B$14))*(1+Inputs!$B$7/100))*(F2443/100)</f>
        <v/>
      </c>
      <c r="K2443">
        <f>J2443*(1+((Inputs!$B$12*(1+Inputs!$B$13/100))*0.01+Inputs!$B$14*0.0025)/100)*(1+Inputs!$B$15/100)*(1+Inputs!$B$16/100)*(5000/(6000+Inputs!$B$42*(1-(100*(1-(1-(Inputs!$B$19+0)/100)*(1-CHOOSE(ArtifactsInput!$N$40+1,5,6,7,8,9,10)/100)^(ArtifactsInput!$M$40-ArtifactsInput!$M$40)))/100)))*(1+(Inputs!$B$24+((C2462=TRUE)*(F2462-Calc!F26))+B2472)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2451=TRUE,F2451,0)/100)*(1+(IF(Skills!A7="EIGHT_LEGS_EASTON",Inputs!$B$17+((C2459=TRUE)*(F2459-Calc!F23))+((C2463=TRUE)*(F2463-Calc!F27))+(((IF(AND(ArtifactsInput!$M$42,((Inputs!$B$9+((C2455=TRUE)*(F2455-Calc!F19))+B2466+(ArtifactsInput!$M$24-ArtifactsInput!$M$24)*CHOOSE(ArtifactsInput!$N$24+1,10,12,14,16,18,20)+IF(ArtifactsInput!$M$10,CHOOSE(ArtifactsInput!$N$10+1,15,18,21,24,27,30)*(IF(Inputs!$B$38="pvp",MIN(15,15)/15,IF(AND(Inputs!$B$38&lt;&gt;"pvp",Inputs!$B$43&gt;0),MIN(15,Inputs!$B$43)/(Inputs!$B$43),0))),0)))&gt;=100),MIN(100,((Inputs!$B$9+((C2455=TRUE)*(F2455-Calc!F19))+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2455=TRUE)*(F2455-Calc!F19))+B2466+(ArtifactsInput!$M$24-ArtifactsInput!$M$24)*CHOOSE(ArtifactsInput!$N$24+1,10,12,14,16,18,20)+IF(ArtifactsInput!$M$10,CHOOSE(ArtifactsInput!$N$10+1,15,18,21,24,27,30)*(IF(Inputs!$B$38="pvp",MIN(15,15)/15,IF(AND(Inputs!$B$38&lt;&gt;"pvp",Inputs!$B$43&gt;0),MIN(15,Inputs!$B$43)/(Inputs!$B$43),0))),0)))&gt;=100),CHOOSE(ArtifactsInput!$N$42+1,40,48,56,64,72,80),0))))/100)*((1+(((C2453=TRUE)*F2453)+((C2460=TRUE)*(F2460-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2443)</f>
        <v/>
      </c>
      <c r="L2443">
        <f>K2443*(MIN(Inputs!$B$22+((C2458=TRUE)*(F2458-Calc!F22)),(Inputs!$B$23+0+(IF(ArtifactsInput!$M$15,CHOOSE(ArtifactsInput!$N$15+1,25,30,35,40,45,50)/100*(Inputs!$B$11-Inputs!$B$11),0))))/100+(Inputs!$B$23+0+(IF(ArtifactsInput!$M$15,CHOOSE(ArtifactsInput!$N$15+1,25,30,35,40,45,50)/100*(Inputs!$B$11-Inputs!$B$11),0)))/100)/2</f>
        <v/>
      </c>
      <c r="M2443">
        <f>L2443*(1+(Inputs!$B$10+((C2461=TRUE)*(F2461-Calc!F25))+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3">
        <f>L2443*(1-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2443*(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3">
        <f>(1-Summary!$B$11)*T2443+Summary!$B$11*V2443</f>
        <v/>
      </c>
      <c r="P2443">
        <f>IF(B2476=0,0,O2443/B2476)</f>
        <v/>
      </c>
      <c r="Q2443">
        <f>IFERROR(1/(IF(Inputs!$B$38="pvp",15,MAX(0.1,Skills!D7-IF(Skills!E7=TRUE,Inputs!$B$32,0)))*(1-IF(AND(ArtifactsInput!$M$27,Inputs!$B$4="Chapter Hunt"),CHOOSE(ArtifactsInput!$N$27+1,20,24,28,32,36,40),0)/100)),0)</f>
        <v/>
      </c>
      <c r="R2443">
        <f>IF(AND(Inputs!$B$38&lt;&gt;"pvp",Inputs!$B$43&gt;0),IF(MAX(0,Inputs!$B$43-B2473)&lt;=0,0,(INT(MAX(0,Inputs!$B$43-B2473)/(IF(Inputs!$B$38="pvp",15,MAX(0.1,Skills!D7-IF(Skills!E7=TRUE,Inputs!$B$32,0)))*(1-IF(AND(ArtifactsInput!$M$27,Inputs!$B$4="Chapter Hunt"),CHOOSE(ArtifactsInput!$N$27+1,20,24,28,32,36,40),0)/100)))+1)),0)</f>
        <v/>
      </c>
      <c r="S2443">
        <f>IFERROR(O2443/N2443,0)</f>
        <v/>
      </c>
      <c r="T2443">
        <f>IF(C2443,(H2443*N2443*IF(AND(Inputs!$B$38&lt;&gt;"pvp",Inputs!$B$43&gt;0),((Skills!G7*((R2443-1)*IF(Skills!H7&gt;0,Skills!I7/Skills!H7,1)+IF(Skills!H7&gt;0,MIN(Skills!I7,MAX(0,MAX(0,Inputs!$B$43-B2473)-((R2443-1)*(IF(Inputs!$B$38="pvp",15,MAX(0.1,Skills!D7-IF(Skills!E7=TRUE,Inputs!$B$32,0)))*(1-IF(AND(ArtifactsInput!$M$27,Inputs!$B$4="Chapter Hunt"),CHOOSE(ArtifactsInput!$N$27+1,20,24,28,32,36,40),0)/100)))))/Skills!H7,1)))/Inputs!$B$43),G2443*Q2443))*IF(Inputs!$B$38="pvp",1,1+(Inputs!$B$20+0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2443*(1-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2443*(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2443*(1-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2443*(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3">
        <f>IF(C2443,(H2443*N2443*IF(AND(Inputs!$B$38&lt;&gt;"pvp",Inputs!$B$43&gt;0),((Skills!G7*((R2443-1)*IF(Skills!H7&gt;0,Skills!I7/Skills!H7,1)+IF(Skills!H7&gt;0,MIN(Skills!I7,MAX(0,MAX(0,Inputs!$B$43-B2473)-((R2443-1)*(IF(Inputs!$B$38="pvp",15,MAX(0.1,Skills!D7-IF(Skills!E7=TRUE,Inputs!$B$32,0)))*(1-IF(AND(ArtifactsInput!$M$27,Inputs!$B$4="Chapter Hunt"),CHOOSE(ArtifactsInput!$N$27+1,20,24,28,32,36,40),0)/100)))))/Skills!H7,1)))/Inputs!$B$43),G2443*Q2443))*IF(Inputs!$B$38="pvp",1,(1+(Inputs!$B$21+Skills!Q7+(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4">
      <c r="A2444">
        <f>Skills!A8</f>
        <v/>
      </c>
      <c r="B2444">
        <f>Skills!B8</f>
        <v/>
      </c>
      <c r="C2444">
        <f>Inputs!$B$3&gt;=100</f>
        <v/>
      </c>
      <c r="D2444">
        <f>IF(Skills!C8=1,60+Inputs!$B$25+Inputs!$B$29,IF(Skills!C8=2,90+Inputs!$B$26+Inputs!$B$29,IF(Skills!C8=3,120+Inputs!$B$27+Inputs!$B$29,MAX(0,(Inputs!$B$3-100)*3)+Inputs!$B$28+Inputs!$B$29)))</f>
        <v/>
      </c>
      <c r="E2444">
        <f>INDEX(FactorTable!$B$2:$Y$301, MATCH(ROUND(MIN(300,MAX(1,D2444)),0), FactorTable!$A$2:$A$301,0), Skills!M8+1)</f>
        <v/>
      </c>
      <c r="F2444">
        <f>IF(Skills!N8=TRUE,(Skills!L8/10)*(E2444/1000),Skills!L8/10)+Skills!O8</f>
        <v/>
      </c>
      <c r="G2444">
        <f>Skills!G8*IF(Skills!H8&gt;0,Skills!I8/Skills!H8,1)</f>
        <v/>
      </c>
      <c r="H2444">
        <f>1-(1-Skills!J8/100)^Skills!K8</f>
        <v/>
      </c>
      <c r="I2444" t="inlineStr">
        <is>
          <t>1</t>
        </is>
      </c>
      <c r="J2444">
        <f>((Inputs!$B$6*(1+Inputs!$B$7/100))+(((Inputs!$B$12*(1+Inputs!$B$13/100))-(Inputs!$B$12*(1+Inputs!$B$13/100)))+0.25*(Inputs!$B$14-Inputs!$B$14))*(1+Inputs!$B$7/100))*(F2444/100)</f>
        <v/>
      </c>
      <c r="K2444">
        <f>J2444*(1+((Inputs!$B$12*(1+Inputs!$B$13/100))*0.01+Inputs!$B$14*0.0025)/100)*(1+Inputs!$B$15/100)*(1+Inputs!$B$16/100)*(5000/(6000+Inputs!$B$42*(1-(100*(1-(1-(Inputs!$B$19+0)/100)*(1-CHOOSE(ArtifactsInput!$N$40+1,5,6,7,8,9,10)/100)^(ArtifactsInput!$M$40-ArtifactsInput!$M$40)))/100)))*(1+(Inputs!$B$24+((C2462=TRUE)*(F2462-Calc!F26))+B2472)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2459=TRUE)*(F2459-Calc!F23))+((C2463=TRUE)*(F2463-Calc!F27))+(((IF(AND(ArtifactsInput!$M$42,((Inputs!$B$9+((C2455=TRUE)*(F2455-Calc!F19))+B2466+(ArtifactsInput!$M$24-ArtifactsInput!$M$24)*CHOOSE(ArtifactsInput!$N$24+1,10,12,14,16,18,20)+IF(ArtifactsInput!$M$10,CHOOSE(ArtifactsInput!$N$10+1,15,18,21,24,27,30)*(IF(Inputs!$B$38="pvp",MIN(15,15)/15,IF(AND(Inputs!$B$38&lt;&gt;"pvp",Inputs!$B$43&gt;0),MIN(15,Inputs!$B$43)/(Inputs!$B$43),0))),0)))&gt;=100),MIN(100,((Inputs!$B$9+((C2455=TRUE)*(F2455-Calc!F19))+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2455=TRUE)*(F2455-Calc!F19))+B2466+(ArtifactsInput!$M$24-ArtifactsInput!$M$24)*CHOOSE(ArtifactsInput!$N$24+1,10,12,14,16,18,20)+IF(ArtifactsInput!$M$10,CHOOSE(ArtifactsInput!$N$10+1,15,18,21,24,27,30)*(IF(Inputs!$B$38="pvp",MIN(15,15)/15,IF(AND(Inputs!$B$38&lt;&gt;"pvp",Inputs!$B$43&gt;0),MIN(15,Inputs!$B$43)/(Inputs!$B$43),0))),0)))&gt;=100),CHOOSE(ArtifactsInput!$N$42+1,40,48,56,64,72,80),0))))/100)*((1+(((C2453=TRUE)*F2453)+((C2460=TRUE)*(F2460-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2444)</f>
        <v/>
      </c>
      <c r="L2444">
        <f>K2444*(MIN(Inputs!$B$22+((C2458=TRUE)*(F2458-Calc!F22)),(Inputs!$B$23+0+(IF(ArtifactsInput!$M$15,CHOOSE(ArtifactsInput!$N$15+1,25,30,35,40,45,50)/100*(Inputs!$B$11-Inputs!$B$11),0))))/100+(Inputs!$B$23+0+(IF(ArtifactsInput!$M$15,CHOOSE(ArtifactsInput!$N$15+1,25,30,35,40,45,50)/100*(Inputs!$B$11-Inputs!$B$11),0)))/100)/2</f>
        <v/>
      </c>
      <c r="M2444">
        <f>L2444*(1+(Inputs!$B$10+((C2461=TRUE)*(F2461-Calc!F25))+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4">
        <f>L2444*(1-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2444*(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4">
        <f>(1-Summary!$B$11)*T2444+Summary!$B$11*V2444</f>
        <v/>
      </c>
      <c r="P2444">
        <f>IF(B2476=0,0,O2444/B2476)</f>
        <v/>
      </c>
      <c r="Q2444">
        <f>IFERROR(1/(IF(Inputs!$B$38="pvp",15,MAX(0.1,Skills!D8-IF(Skills!E8=TRUE,Inputs!$B$32,0)))*(1-IF(AND(ArtifactsInput!$M$27,Inputs!$B$4="Chapter Hunt"),CHOOSE(ArtifactsInput!$N$27+1,20,24,28,32,36,40),0)/100)),0)</f>
        <v/>
      </c>
      <c r="R2444">
        <f>IF(AND(Inputs!$B$38&lt;&gt;"pvp",Inputs!$B$43&gt;0),IF(MAX(0,Inputs!$B$43-B2473)&lt;=0,0,(INT(MAX(0,Inputs!$B$43-B2473)/(IF(Inputs!$B$38="pvp",15,MAX(0.1,Skills!D8-IF(Skills!E8=TRUE,Inputs!$B$32,0)))*(1-IF(AND(ArtifactsInput!$M$27,Inputs!$B$4="Chapter Hunt"),CHOOSE(ArtifactsInput!$N$27+1,20,24,28,32,36,40),0)/100)))+1)),0)</f>
        <v/>
      </c>
      <c r="S2444">
        <f>IFERROR(O2444/N2444,0)</f>
        <v/>
      </c>
      <c r="T2444">
        <f>IF(C2444,(H2444*N2444*IF(AND(Inputs!$B$38&lt;&gt;"pvp",Inputs!$B$43&gt;0),((Skills!G8*((R2444-1)*IF(Skills!H8&gt;0,Skills!I8/Skills!H8,1)+IF(Skills!H8&gt;0,MIN(Skills!I8,MAX(0,MAX(0,Inputs!$B$43-B2473)-((R2444-1)*(IF(Inputs!$B$38="pvp",15,MAX(0.1,Skills!D8-IF(Skills!E8=TRUE,Inputs!$B$32,0)))*(1-IF(AND(ArtifactsInput!$M$27,Inputs!$B$4="Chapter Hunt"),CHOOSE(ArtifactsInput!$N$27+1,20,24,28,32,36,40),0)/100)))))/Skills!H8,1)))/Inputs!$B$43),G2444*Q2444))*IF(Inputs!$B$38="pvp",1,1+(Inputs!$B$20+0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2444*(1-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2444*(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2444*(1-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2444*(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4">
        <f>IF(C2444,(H2444*N2444*IF(AND(Inputs!$B$38&lt;&gt;"pvp",Inputs!$B$43&gt;0),((Skills!G8*((R2444-1)*IF(Skills!H8&gt;0,Skills!I8/Skills!H8,1)+IF(Skills!H8&gt;0,MIN(Skills!I8,MAX(0,MAX(0,Inputs!$B$43-B2473)-((R2444-1)*(IF(Inputs!$B$38="pvp",15,MAX(0.1,Skills!D8-IF(Skills!E8=TRUE,Inputs!$B$32,0)))*(1-IF(AND(ArtifactsInput!$M$27,Inputs!$B$4="Chapter Hunt"),CHOOSE(ArtifactsInput!$N$27+1,20,24,28,32,36,40),0)/100)))))/Skills!H8,1)))/Inputs!$B$43),G2444*Q2444))*IF(Inputs!$B$38="pvp",1,(1+(Inputs!$B$21+Skills!Q8+(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5">
      <c r="A2445">
        <f>Skills!A9</f>
        <v/>
      </c>
      <c r="B2445">
        <f>Skills!B9</f>
        <v/>
      </c>
      <c r="C2445">
        <f>Inputs!$B$3&gt;=103</f>
        <v/>
      </c>
      <c r="D2445">
        <f>IF(Skills!C9=1,60+Inputs!$B$25+Inputs!$B$29,IF(Skills!C9=2,90+Inputs!$B$26+Inputs!$B$29,IF(Skills!C9=3,120+Inputs!$B$27+Inputs!$B$29,MAX(0,(Inputs!$B$3-100)*3)+Inputs!$B$28+Inputs!$B$29)))</f>
        <v/>
      </c>
      <c r="E2445">
        <f>INDEX(FactorTable!$B$2:$Y$301, MATCH(ROUND(MIN(300,MAX(1,D2445)),0), FactorTable!$A$2:$A$301,0), Skills!M9+1)</f>
        <v/>
      </c>
      <c r="F2445">
        <f>IF(Skills!N9=TRUE,(Skills!L9/10)*(E2445/1000),Skills!L9/10)+Skills!O9</f>
        <v/>
      </c>
      <c r="G2445">
        <f>Skills!G9*IF(Skills!H9&gt;0,Skills!I9/Skills!H9,1)</f>
        <v/>
      </c>
      <c r="H2445">
        <f>1-(1-Skills!J9/100)^Skills!K9</f>
        <v/>
      </c>
      <c r="I2445" t="inlineStr">
        <is>
          <t>1</t>
        </is>
      </c>
      <c r="J2445">
        <f>((Inputs!$B$6*(1+Inputs!$B$7/100))+(((Inputs!$B$12*(1+Inputs!$B$13/100))-(Inputs!$B$12*(1+Inputs!$B$13/100)))+0.25*(Inputs!$B$14-Inputs!$B$14))*(1+Inputs!$B$7/100))*(F2445/100)</f>
        <v/>
      </c>
      <c r="K2445">
        <f>J2445*(1+((Inputs!$B$12*(1+Inputs!$B$13/100))*0.01+Inputs!$B$14*0.0025)/100)*(1+Inputs!$B$15/100)*(1+Inputs!$B$16/100)*(5000/(6000+Inputs!$B$42*(1-(100*(1-(1-(Inputs!$B$19+0)/100)*(1-CHOOSE(ArtifactsInput!$N$40+1,5,6,7,8,9,10)/100)^(ArtifactsInput!$M$40-ArtifactsInput!$M$40)))/100)))*(1+(Inputs!$B$24+((C2462=TRUE)*(F2462-Calc!F26))+B2472)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2459=TRUE)*(F2459-Calc!F23))+((C2463=TRUE)*(F2463-Calc!F27))+(((IF(AND(ArtifactsInput!$M$42,((Inputs!$B$9+((C2455=TRUE)*(F2455-Calc!F19))+B2466+(ArtifactsInput!$M$24-ArtifactsInput!$M$24)*CHOOSE(ArtifactsInput!$N$24+1,10,12,14,16,18,20)+IF(ArtifactsInput!$M$10,CHOOSE(ArtifactsInput!$N$10+1,15,18,21,24,27,30)*(IF(Inputs!$B$38="pvp",MIN(15,15)/15,IF(AND(Inputs!$B$38&lt;&gt;"pvp",Inputs!$B$43&gt;0),MIN(15,Inputs!$B$43)/(Inputs!$B$43),0))),0)))&gt;=100),MIN(100,((Inputs!$B$9+((C2455=TRUE)*(F2455-Calc!F19))+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2455=TRUE)*(F2455-Calc!F19))+B2466+(ArtifactsInput!$M$24-ArtifactsInput!$M$24)*CHOOSE(ArtifactsInput!$N$24+1,10,12,14,16,18,20)+IF(ArtifactsInput!$M$10,CHOOSE(ArtifactsInput!$N$10+1,15,18,21,24,27,30)*(IF(Inputs!$B$38="pvp",MIN(15,15)/15,IF(AND(Inputs!$B$38&lt;&gt;"pvp",Inputs!$B$43&gt;0),MIN(15,Inputs!$B$43)/(Inputs!$B$43),0))),0)))&gt;=100),CHOOSE(ArtifactsInput!$N$42+1,40,48,56,64,72,80),0))))/100)*((1+(((C2453=TRUE)*F2453)+((C2460=TRUE)*(F2460-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2445)</f>
        <v/>
      </c>
      <c r="L2445">
        <f>K2445*(MIN(Inputs!$B$22+((C2458=TRUE)*(F2458-Calc!F22)),(Inputs!$B$23+0+(IF(ArtifactsInput!$M$15,CHOOSE(ArtifactsInput!$N$15+1,25,30,35,40,45,50)/100*(Inputs!$B$11-Inputs!$B$11),0))))/100+(Inputs!$B$23+0+(IF(ArtifactsInput!$M$15,CHOOSE(ArtifactsInput!$N$15+1,25,30,35,40,45,50)/100*(Inputs!$B$11-Inputs!$B$11),0)))/100)/2</f>
        <v/>
      </c>
      <c r="M2445">
        <f>L2445*(1+(Inputs!$B$10+((C2461=TRUE)*(F2461-Calc!F25))+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5">
        <f>L2445*(1-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2445*(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5">
        <f>(1-Summary!$B$11)*T2445+Summary!$B$11*V2445</f>
        <v/>
      </c>
      <c r="P2445">
        <f>IF(B2476=0,0,O2445/B2476)</f>
        <v/>
      </c>
      <c r="Q2445">
        <f>IFERROR(1/(IF(Inputs!$B$38="pvp",15,MAX(0.1,Skills!D9-IF(Skills!E9=TRUE,Inputs!$B$32,0)))*(1-IF(AND(ArtifactsInput!$M$27,Inputs!$B$4="Chapter Hunt"),CHOOSE(ArtifactsInput!$N$27+1,20,24,28,32,36,40),0)/100)),0)</f>
        <v/>
      </c>
      <c r="R2445">
        <f>IF(AND(Inputs!$B$38&lt;&gt;"pvp",Inputs!$B$43&gt;0),IF(MAX(0,Inputs!$B$43-B2473)&lt;=0,0,(INT(MAX(0,Inputs!$B$43-B2473)/(IF(Inputs!$B$38="pvp",15,MAX(0.1,Skills!D9-IF(Skills!E9=TRUE,Inputs!$B$32,0)))*(1-IF(AND(ArtifactsInput!$M$27,Inputs!$B$4="Chapter Hunt"),CHOOSE(ArtifactsInput!$N$27+1,20,24,28,32,36,40),0)/100)))+1)),0)</f>
        <v/>
      </c>
      <c r="S2445">
        <f>IFERROR(O2445/N2445,0)</f>
        <v/>
      </c>
      <c r="T2445">
        <f>IF(C2445,(H2445*N2445*IF(AND(Inputs!$B$38&lt;&gt;"pvp",Inputs!$B$43&gt;0),((Skills!G9*((R2445-1)*IF(Skills!H9&gt;0,Skills!I9/Skills!H9,1)+IF(Skills!H9&gt;0,MIN(Skills!I9,MAX(0,MAX(0,Inputs!$B$43-B2473)-((R2445-1)*(IF(Inputs!$B$38="pvp",15,MAX(0.1,Skills!D9-IF(Skills!E9=TRUE,Inputs!$B$32,0)))*(1-IF(AND(ArtifactsInput!$M$27,Inputs!$B$4="Chapter Hunt"),CHOOSE(ArtifactsInput!$N$27+1,20,24,28,32,36,40),0)/100)))))/Skills!H9,1)))/Inputs!$B$43),G2445*Q2445))*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2445*(1-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2445*(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2445*(1-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2445*(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5">
        <f>IF(C2445,(H2445*N2445*IF(AND(Inputs!$B$38&lt;&gt;"pvp",Inputs!$B$43&gt;0),((Skills!G9*((R2445-1)*IF(Skills!H9&gt;0,Skills!I9/Skills!H9,1)+IF(Skills!H9&gt;0,MIN(Skills!I9,MAX(0,MAX(0,Inputs!$B$43-B2473)-((R2445-1)*(IF(Inputs!$B$38="pvp",15,MAX(0.1,Skills!D9-IF(Skills!E9=TRUE,Inputs!$B$32,0)))*(1-IF(AND(ArtifactsInput!$M$27,Inputs!$B$4="Chapter Hunt"),CHOOSE(ArtifactsInput!$N$27+1,20,24,28,32,36,40),0)/100)))))/Skills!H9,1)))/Inputs!$B$43),G2445*Q2445))*IF(Inputs!$B$38="pvp",1,(1+(Inputs!$B$21+Skills!Q9+(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6">
      <c r="A2446">
        <f>Skills!A10</f>
        <v/>
      </c>
      <c r="B2446">
        <f>Skills!B10</f>
        <v/>
      </c>
      <c r="C2446">
        <f>Inputs!$B$3&gt;=113</f>
        <v/>
      </c>
      <c r="D2446">
        <f>IF(Skills!C10=1,60+Inputs!$B$25+Inputs!$B$29,IF(Skills!C10=2,90+Inputs!$B$26+Inputs!$B$29,IF(Skills!C10=3,120+Inputs!$B$27+Inputs!$B$29,MAX(0,(Inputs!$B$3-100)*3)+Inputs!$B$28+Inputs!$B$29)))</f>
        <v/>
      </c>
      <c r="E2446">
        <f>INDEX(FactorTable!$B$2:$Y$301, MATCH(ROUND(MIN(300,MAX(1,D2446)),0), FactorTable!$A$2:$A$301,0), Skills!M10+1)</f>
        <v/>
      </c>
      <c r="F2446">
        <f>IF(Skills!N10=TRUE,(Skills!L10/10)*(E2446/1000),Skills!L10/10)+Skills!O10</f>
        <v/>
      </c>
      <c r="G2446">
        <f>Skills!G10*IF(Skills!H10&gt;0,Skills!I10/Skills!H10,1)</f>
        <v/>
      </c>
      <c r="H2446">
        <f>1-(1-Skills!J10/100)^Skills!K10</f>
        <v/>
      </c>
      <c r="I2446" t="inlineStr">
        <is>
          <t>1</t>
        </is>
      </c>
      <c r="J2446">
        <f>((Inputs!$B$6*(1+Inputs!$B$7/100))+(((Inputs!$B$12*(1+Inputs!$B$13/100))-(Inputs!$B$12*(1+Inputs!$B$13/100)))+0.25*(Inputs!$B$14-Inputs!$B$14))*(1+Inputs!$B$7/100))*(F2446/100)</f>
        <v/>
      </c>
      <c r="K2446">
        <f>J2446*(1+((Inputs!$B$12*(1+Inputs!$B$13/100))*0.01+Inputs!$B$14*0.0025)/100)*(1+Inputs!$B$15/100)*(1+Inputs!$B$16/100)*(5000/(6000+Inputs!$B$42*(1-(100*(1-(1-(Inputs!$B$19+0)/100)*(1-CHOOSE(ArtifactsInput!$N$40+1,5,6,7,8,9,10)/100)^(ArtifactsInput!$M$40-ArtifactsInput!$M$40)))/100)))*(1+(Inputs!$B$24+((C2462=TRUE)*(F2462-Calc!F26))+B2472)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2459=TRUE)*(F2459-Calc!F23))+((C2463=TRUE)*(F2463-Calc!F27))+(((IF(AND(ArtifactsInput!$M$42,((Inputs!$B$9+((C2455=TRUE)*(F2455-Calc!F19))+B2466+(ArtifactsInput!$M$24-ArtifactsInput!$M$24)*CHOOSE(ArtifactsInput!$N$24+1,10,12,14,16,18,20)+IF(ArtifactsInput!$M$10,CHOOSE(ArtifactsInput!$N$10+1,15,18,21,24,27,30)*(IF(Inputs!$B$38="pvp",MIN(15,15)/15,IF(AND(Inputs!$B$38&lt;&gt;"pvp",Inputs!$B$43&gt;0),MIN(15,Inputs!$B$43)/(Inputs!$B$43),0))),0)))&gt;=100),MIN(100,((Inputs!$B$9+((C2455=TRUE)*(F2455-Calc!F19))+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2455=TRUE)*(F2455-Calc!F19))+B2466+(ArtifactsInput!$M$24-ArtifactsInput!$M$24)*CHOOSE(ArtifactsInput!$N$24+1,10,12,14,16,18,20)+IF(ArtifactsInput!$M$10,CHOOSE(ArtifactsInput!$N$10+1,15,18,21,24,27,30)*(IF(Inputs!$B$38="pvp",MIN(15,15)/15,IF(AND(Inputs!$B$38&lt;&gt;"pvp",Inputs!$B$43&gt;0),MIN(15,Inputs!$B$43)/(Inputs!$B$43),0))),0)))&gt;=100),CHOOSE(ArtifactsInput!$N$42+1,40,48,56,64,72,80),0))))/100)*((1+(((C2453=TRUE)*F2453)+((C2460=TRUE)*(F2460-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2446)</f>
        <v/>
      </c>
      <c r="L2446">
        <f>K2446*(MIN(Inputs!$B$22+((C2458=TRUE)*(F2458-Calc!F22)),(Inputs!$B$23+0+(IF(ArtifactsInput!$M$15,CHOOSE(ArtifactsInput!$N$15+1,25,30,35,40,45,50)/100*(Inputs!$B$11-Inputs!$B$11),0))))/100+(Inputs!$B$23+0+(IF(ArtifactsInput!$M$15,CHOOSE(ArtifactsInput!$N$15+1,25,30,35,40,45,50)/100*(Inputs!$B$11-Inputs!$B$11),0)))/100)/2</f>
        <v/>
      </c>
      <c r="M2446">
        <f>L2446*(1+(Inputs!$B$10+((C2461=TRUE)*(F2461-Calc!F25))+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6">
        <f>L2446*(1-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2446*(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6">
        <f>(1-Summary!$B$11)*T2446+Summary!$B$11*V2446</f>
        <v/>
      </c>
      <c r="P2446">
        <f>IF(B2476=0,0,O2446/B2476)</f>
        <v/>
      </c>
      <c r="Q2446">
        <f>IFERROR(1/(IF(Inputs!$B$38="pvp",15,MAX(0.1,Skills!D10-IF(Skills!E10=TRUE,Inputs!$B$32,0)))*(1-IF(AND(ArtifactsInput!$M$27,Inputs!$B$4="Chapter Hunt"),CHOOSE(ArtifactsInput!$N$27+1,20,24,28,32,36,40),0)/100)),0)</f>
        <v/>
      </c>
      <c r="R2446">
        <f>IF(AND(Inputs!$B$38&lt;&gt;"pvp",Inputs!$B$43&gt;0),IF(MAX(0,Inputs!$B$43-B2473)&lt;=0,0,(INT(MAX(0,Inputs!$B$43-B2473)/(IF(Inputs!$B$38="pvp",15,MAX(0.1,Skills!D10-IF(Skills!E10=TRUE,Inputs!$B$32,0)))*(1-IF(AND(ArtifactsInput!$M$27,Inputs!$B$4="Chapter Hunt"),CHOOSE(ArtifactsInput!$N$27+1,20,24,28,32,36,40),0)/100)))+1)),0)</f>
        <v/>
      </c>
      <c r="S2446">
        <f>IFERROR(O2446/N2446,0)</f>
        <v/>
      </c>
      <c r="T2446">
        <f>IF(C2446,(H2446*N2446*IF(AND(Inputs!$B$38&lt;&gt;"pvp",Inputs!$B$43&gt;0),((Skills!G10*((R2446-1)*IF(Skills!H10&gt;0,Skills!I10/Skills!H10,1)+IF(Skills!H10&gt;0,MIN(Skills!I10,MAX(0,MAX(0,Inputs!$B$43-B2473)-((R2446-1)*(IF(Inputs!$B$38="pvp",15,MAX(0.1,Skills!D10-IF(Skills!E10=TRUE,Inputs!$B$32,0)))*(1-IF(AND(ArtifactsInput!$M$27,Inputs!$B$4="Chapter Hunt"),CHOOSE(ArtifactsInput!$N$27+1,20,24,28,32,36,40),0)/100)))))/Skills!H10,1)))/Inputs!$B$43),G2446*Q2446))*IF(Inputs!$B$38="pvp",1,1+(Inputs!$B$20+0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2446*(1-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2446*(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2446*(1-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2446*(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6">
        <f>IF(C2446,(H2446*N2446*IF(AND(Inputs!$B$38&lt;&gt;"pvp",Inputs!$B$43&gt;0),((Skills!G10*((R2446-1)*IF(Skills!H10&gt;0,Skills!I10/Skills!H10,1)+IF(Skills!H10&gt;0,MIN(Skills!I10,MAX(0,MAX(0,Inputs!$B$43-B2473)-((R2446-1)*(IF(Inputs!$B$38="pvp",15,MAX(0.1,Skills!D10-IF(Skills!E10=TRUE,Inputs!$B$32,0)))*(1-IF(AND(ArtifactsInput!$M$27,Inputs!$B$4="Chapter Hunt"),CHOOSE(ArtifactsInput!$N$27+1,20,24,28,32,36,40),0)/100)))))/Skills!H10,1)))/Inputs!$B$43),G2446*Q2446))*IF(Inputs!$B$38="pvp",1,(1+(Inputs!$B$21+Skills!Q10+(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7">
      <c r="A2447">
        <f>Skills!A11</f>
        <v/>
      </c>
      <c r="B2447">
        <f>Skills!B11</f>
        <v/>
      </c>
      <c r="C2447">
        <f>Inputs!$B$3&gt;=107</f>
        <v/>
      </c>
      <c r="D2447">
        <f>IF(Skills!C11=1,60+Inputs!$B$25+Inputs!$B$29,IF(Skills!C11=2,90+Inputs!$B$26+Inputs!$B$29,IF(Skills!C11=3,120+Inputs!$B$27+Inputs!$B$29,MAX(0,(Inputs!$B$3-100)*3)+Inputs!$B$28+Inputs!$B$29)))</f>
        <v/>
      </c>
      <c r="E2447">
        <f>INDEX(FactorTable!$B$2:$Y$301, MATCH(ROUND(MIN(300,MAX(1,D2447)),0), FactorTable!$A$2:$A$301,0), Skills!M11+1)</f>
        <v/>
      </c>
      <c r="F2447">
        <f>IF(Skills!N11=TRUE,(Skills!L11/10)*(E2447/1000),Skills!L11/10)+Skills!O11</f>
        <v/>
      </c>
      <c r="G2447">
        <f>Skills!G11*IF(Skills!H11&gt;0,Skills!I11/Skills!H11,1)</f>
        <v/>
      </c>
      <c r="H2447">
        <f>1-(1-Skills!J11/100)^Skills!K11</f>
        <v/>
      </c>
      <c r="I2447" t="inlineStr">
        <is>
          <t>1</t>
        </is>
      </c>
      <c r="J2447">
        <f>((Inputs!$B$6*(1+Inputs!$B$7/100))+(((Inputs!$B$12*(1+Inputs!$B$13/100))-(Inputs!$B$12*(1+Inputs!$B$13/100)))+0.25*(Inputs!$B$14-Inputs!$B$14))*(1+Inputs!$B$7/100))*(F2447/100)</f>
        <v/>
      </c>
      <c r="K2447">
        <f>J2447*(1+((Inputs!$B$12*(1+Inputs!$B$13/100))*0.01+Inputs!$B$14*0.0025)/100)*(1+Inputs!$B$15/100)*(1+Inputs!$B$16/100)*(5000/(6000+Inputs!$B$42*(1-(100*(1-(1-(Inputs!$B$19+0)/100)*(1-CHOOSE(ArtifactsInput!$N$40+1,5,6,7,8,9,10)/100)^(ArtifactsInput!$M$40-ArtifactsInput!$M$40)))/100)))*(1+(Inputs!$B$24+((C2462=TRUE)*(F2462-Calc!F26))+B2472)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2459=TRUE)*(F2459-Calc!F23))+((C2463=TRUE)*(F2463-Calc!F27))+(((IF(AND(ArtifactsInput!$M$42,((Inputs!$B$9+((C2455=TRUE)*(F2455-Calc!F19))+B2466+(ArtifactsInput!$M$24-ArtifactsInput!$M$24)*CHOOSE(ArtifactsInput!$N$24+1,10,12,14,16,18,20)+IF(ArtifactsInput!$M$10,CHOOSE(ArtifactsInput!$N$10+1,15,18,21,24,27,30)*(IF(Inputs!$B$38="pvp",MIN(15,15)/15,IF(AND(Inputs!$B$38&lt;&gt;"pvp",Inputs!$B$43&gt;0),MIN(15,Inputs!$B$43)/(Inputs!$B$43),0))),0)))&gt;=100),MIN(100,((Inputs!$B$9+((C2455=TRUE)*(F2455-Calc!F19))+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2455=TRUE)*(F2455-Calc!F19))+B2466+(ArtifactsInput!$M$24-ArtifactsInput!$M$24)*CHOOSE(ArtifactsInput!$N$24+1,10,12,14,16,18,20)+IF(ArtifactsInput!$M$10,CHOOSE(ArtifactsInput!$N$10+1,15,18,21,24,27,30)*(IF(Inputs!$B$38="pvp",MIN(15,15)/15,IF(AND(Inputs!$B$38&lt;&gt;"pvp",Inputs!$B$43&gt;0),MIN(15,Inputs!$B$43)/(Inputs!$B$43),0))),0)))&gt;=100),CHOOSE(ArtifactsInput!$N$42+1,40,48,56,64,72,80),0))))/100)*((1+(((C2453=TRUE)*F2453)+((C2460=TRUE)*(F2460-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2447)</f>
        <v/>
      </c>
      <c r="L2447">
        <f>K2447*(MIN(Inputs!$B$22+((C2458=TRUE)*(F2458-Calc!F22)),(Inputs!$B$23+0+(IF(ArtifactsInput!$M$15,CHOOSE(ArtifactsInput!$N$15+1,25,30,35,40,45,50)/100*(Inputs!$B$11-Inputs!$B$11),0))))/100+(Inputs!$B$23+0+(IF(ArtifactsInput!$M$15,CHOOSE(ArtifactsInput!$N$15+1,25,30,35,40,45,50)/100*(Inputs!$B$11-Inputs!$B$11),0)))/100)/2</f>
        <v/>
      </c>
      <c r="M2447">
        <f>L2447*(1+(Inputs!$B$10+((C2461=TRUE)*(F2461-Calc!F25))+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7">
        <f>L2447*(1-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2447*(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7">
        <f>(1-Summary!$B$11)*T2447+Summary!$B$11*V2447</f>
        <v/>
      </c>
      <c r="P2447">
        <f>IF(B2476=0,0,O2447/B2476)</f>
        <v/>
      </c>
      <c r="Q2447">
        <f>IFERROR(1/(IF(Inputs!$B$38="pvp",15,MAX(0.1,Skills!D11-IF(Skills!E11=TRUE,Inputs!$B$32,0)))*(1-IF(AND(ArtifactsInput!$M$27,Inputs!$B$4="Chapter Hunt"),CHOOSE(ArtifactsInput!$N$27+1,20,24,28,32,36,40),0)/100)),0)</f>
        <v/>
      </c>
      <c r="R2447">
        <f>IF(AND(Inputs!$B$38&lt;&gt;"pvp",Inputs!$B$43&gt;0),IF(MAX(0,Inputs!$B$43-B2473)&lt;=0,0,(INT(MAX(0,Inputs!$B$43-B2473)/(IF(Inputs!$B$38="pvp",15,MAX(0.1,Skills!D11-IF(Skills!E11=TRUE,Inputs!$B$32,0)))*(1-IF(AND(ArtifactsInput!$M$27,Inputs!$B$4="Chapter Hunt"),CHOOSE(ArtifactsInput!$N$27+1,20,24,28,32,36,40),0)/100)))+1)),0)</f>
        <v/>
      </c>
      <c r="S2447">
        <f>IFERROR(O2447/N2447,0)</f>
        <v/>
      </c>
      <c r="T2447">
        <f>IF(C2447,(H2447*N2447*IF(AND(Inputs!$B$38&lt;&gt;"pvp",Inputs!$B$43&gt;0),((Skills!G11*((R2447-1)*IF(Skills!H11&gt;0,Skills!I11/Skills!H11,1)+IF(Skills!H11&gt;0,MIN(Skills!I11,MAX(0,MAX(0,Inputs!$B$43-B2473)-((R2447-1)*(IF(Inputs!$B$38="pvp",15,MAX(0.1,Skills!D11-IF(Skills!E11=TRUE,Inputs!$B$32,0)))*(1-IF(AND(ArtifactsInput!$M$27,Inputs!$B$4="Chapter Hunt"),CHOOSE(ArtifactsInput!$N$27+1,20,24,28,32,36,40),0)/100)))))/Skills!H11,1)))/Inputs!$B$43),G2447*Q2447))*IF(Inputs!$B$38="pvp",1,1+(Inputs!$B$20+0+Skills!P11+(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2447*(1-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2447*(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2447*(1-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2447*(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7">
        <f>IF(C2447,(H2447*N2447*IF(AND(Inputs!$B$38&lt;&gt;"pvp",Inputs!$B$43&gt;0),((Skills!G11*((R2447-1)*IF(Skills!H11&gt;0,Skills!I11/Skills!H11,1)+IF(Skills!H11&gt;0,MIN(Skills!I11,MAX(0,MAX(0,Inputs!$B$43-B2473)-((R2447-1)*(IF(Inputs!$B$38="pvp",15,MAX(0.1,Skills!D11-IF(Skills!E11=TRUE,Inputs!$B$32,0)))*(1-IF(AND(ArtifactsInput!$M$27,Inputs!$B$4="Chapter Hunt"),CHOOSE(ArtifactsInput!$N$27+1,20,24,28,32,36,40),0)/100)))))/Skills!H11,1)))/Inputs!$B$43),G2447*Q2447))*IF(Inputs!$B$38="pvp",1,(1+(Inputs!$B$21+Skills!Q11+(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8">
      <c r="A2448">
        <f>Skills!A12</f>
        <v/>
      </c>
      <c r="B2448">
        <f>Skills!B12</f>
        <v/>
      </c>
      <c r="C2448">
        <f>Inputs!$B$3&gt;=110</f>
        <v/>
      </c>
      <c r="D2448">
        <f>IF(Skills!C12=1,60+Inputs!$B$25+Inputs!$B$29,IF(Skills!C12=2,90+Inputs!$B$26+Inputs!$B$29,IF(Skills!C12=3,120+Inputs!$B$27+Inputs!$B$29,MAX(0,(Inputs!$B$3-100)*3)+Inputs!$B$28+Inputs!$B$29)))</f>
        <v/>
      </c>
      <c r="E2448">
        <f>INDEX(FactorTable!$B$2:$Y$301, MATCH(ROUND(MIN(300,MAX(1,D2448)),0), FactorTable!$A$2:$A$301,0), Skills!M12+1)</f>
        <v/>
      </c>
      <c r="F2448">
        <f>IF(Skills!N12=TRUE,(Skills!L12/10)*(E2448/1000),Skills!L12/10)+Skills!O12</f>
        <v/>
      </c>
      <c r="G2448">
        <f>Skills!G12*IF(Skills!H12&gt;0,Skills!I12/Skills!H12,1)</f>
        <v/>
      </c>
      <c r="H2448">
        <f>1-(1-Skills!J12/100)^Skills!K12</f>
        <v/>
      </c>
      <c r="I2448" t="inlineStr">
        <is>
          <t>1</t>
        </is>
      </c>
      <c r="J2448">
        <f>((Inputs!$B$6*(1+Inputs!$B$7/100))+(((Inputs!$B$12*(1+Inputs!$B$13/100))-(Inputs!$B$12*(1+Inputs!$B$13/100)))+0.25*(Inputs!$B$14-Inputs!$B$14))*(1+Inputs!$B$7/100))*(F2448/100)</f>
        <v/>
      </c>
      <c r="K2448">
        <f>J2448*(1+((Inputs!$B$12*(1+Inputs!$B$13/100))*0.01+Inputs!$B$14*0.0025)/100)*(1+Inputs!$B$15/100)*(1+Inputs!$B$16/100)*(5000/(6000+Inputs!$B$42*(1-(100*(1-(1-(Inputs!$B$19+0)/100)*(1-CHOOSE(ArtifactsInput!$N$40+1,5,6,7,8,9,10)/100)^(ArtifactsInput!$M$40-ArtifactsInput!$M$40)))/100)))*(1+(Inputs!$B$24+((C2462=TRUE)*(F2462-Calc!F26))+B2472)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2459=TRUE)*(F2459-Calc!F23))+((C2463=TRUE)*(F2463-Calc!F27))+(((IF(AND(ArtifactsInput!$M$42,((Inputs!$B$9+((C2455=TRUE)*(F2455-Calc!F19))+B2466+(ArtifactsInput!$M$24-ArtifactsInput!$M$24)*CHOOSE(ArtifactsInput!$N$24+1,10,12,14,16,18,20)+IF(ArtifactsInput!$M$10,CHOOSE(ArtifactsInput!$N$10+1,15,18,21,24,27,30)*(IF(Inputs!$B$38="pvp",MIN(15,15)/15,IF(AND(Inputs!$B$38&lt;&gt;"pvp",Inputs!$B$43&gt;0),MIN(15,Inputs!$B$43)/(Inputs!$B$43),0))),0)))&gt;=100),MIN(100,((Inputs!$B$9+((C2455=TRUE)*(F2455-Calc!F19))+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2455=TRUE)*(F2455-Calc!F19))+B2466+(ArtifactsInput!$M$24-ArtifactsInput!$M$24)*CHOOSE(ArtifactsInput!$N$24+1,10,12,14,16,18,20)+IF(ArtifactsInput!$M$10,CHOOSE(ArtifactsInput!$N$10+1,15,18,21,24,27,30)*(IF(Inputs!$B$38="pvp",MIN(15,15)/15,IF(AND(Inputs!$B$38&lt;&gt;"pvp",Inputs!$B$43&gt;0),MIN(15,Inputs!$B$43)/(Inputs!$B$43),0))),0)))&gt;=100),CHOOSE(ArtifactsInput!$N$42+1,40,48,56,64,72,80),0))))/100)*((1+(((C2453=TRUE)*F2453)+((C2460=TRUE)*(F2460-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2448)</f>
        <v/>
      </c>
      <c r="L2448">
        <f>K2448*(MIN(Inputs!$B$22+((C2458=TRUE)*(F2458-Calc!F22)),(Inputs!$B$23+0+(IF(ArtifactsInput!$M$15,CHOOSE(ArtifactsInput!$N$15+1,25,30,35,40,45,50)/100*(Inputs!$B$11-Inputs!$B$11),0))))/100+(Inputs!$B$23+0+(IF(ArtifactsInput!$M$15,CHOOSE(ArtifactsInput!$N$15+1,25,30,35,40,45,50)/100*(Inputs!$B$11-Inputs!$B$11),0)))/100)/2</f>
        <v/>
      </c>
      <c r="M2448">
        <f>L2448*(1+(Inputs!$B$10+((C2461=TRUE)*(F2461-Calc!F25))+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8">
        <f>L2448*(1-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2448*(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8">
        <f>(1-Summary!$B$11)*T2448+Summary!$B$11*V2448</f>
        <v/>
      </c>
      <c r="P2448">
        <f>IF(B2476=0,0,O2448/B2476)</f>
        <v/>
      </c>
      <c r="Q2448">
        <f>IFERROR(1/(IF(Inputs!$B$38="pvp",15,MAX(0.1,Skills!D12-IF(Skills!E12=TRUE,Inputs!$B$32,0)))*(1-IF(AND(ArtifactsInput!$M$27,Inputs!$B$4="Chapter Hunt"),CHOOSE(ArtifactsInput!$N$27+1,20,24,28,32,36,40),0)/100)),0)</f>
        <v/>
      </c>
      <c r="R2448">
        <f>IF(AND(Inputs!$B$38&lt;&gt;"pvp",Inputs!$B$43&gt;0),IF(MAX(0,Inputs!$B$43-B2473)&lt;=0,0,(INT(MAX(0,Inputs!$B$43-B2473)/(IF(Inputs!$B$38="pvp",15,MAX(0.1,Skills!D12-IF(Skills!E12=TRUE,Inputs!$B$32,0)))*(1-IF(AND(ArtifactsInput!$M$27,Inputs!$B$4="Chapter Hunt"),CHOOSE(ArtifactsInput!$N$27+1,20,24,28,32,36,40),0)/100)))+1)),0)</f>
        <v/>
      </c>
      <c r="S2448">
        <f>IFERROR(O2448/N2448,0)</f>
        <v/>
      </c>
      <c r="T2448">
        <f>IF(C2448,(H2448*N2448*IF(AND(Inputs!$B$38&lt;&gt;"pvp",Inputs!$B$43&gt;0),((Skills!G12*((R2448-1)*IF(Skills!H12&gt;0,Skills!I12/Skills!H12,1)+IF(Skills!H12&gt;0,MIN(Skills!I12,MAX(0,MAX(0,Inputs!$B$43-B2473)-((R2448-1)*(IF(Inputs!$B$38="pvp",15,MAX(0.1,Skills!D12-IF(Skills!E12=TRUE,Inputs!$B$32,0)))*(1-IF(AND(ArtifactsInput!$M$27,Inputs!$B$4="Chapter Hunt"),CHOOSE(ArtifactsInput!$N$27+1,20,24,28,32,36,40),0)/100)))))/Skills!H12,1)))/Inputs!$B$43),G2448*Q2448))*IF(Inputs!$B$38="pvp",1,1+(Inputs!$B$20+0+Skills!P12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2448*(1-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2448*(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2448*(1-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2448*(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8">
        <f>IF(C2448,(H2448*N2448*IF(AND(Inputs!$B$38&lt;&gt;"pvp",Inputs!$B$43&gt;0),((Skills!G12*((R2448-1)*IF(Skills!H12&gt;0,Skills!I12/Skills!H12,1)+IF(Skills!H12&gt;0,MIN(Skills!I12,MAX(0,MAX(0,Inputs!$B$43-B2473)-((R2448-1)*(IF(Inputs!$B$38="pvp",15,MAX(0.1,Skills!D12-IF(Skills!E12=TRUE,Inputs!$B$32,0)))*(1-IF(AND(ArtifactsInput!$M$27,Inputs!$B$4="Chapter Hunt"),CHOOSE(ArtifactsInput!$N$27+1,20,24,28,32,36,40),0)/100)))))/Skills!H12,1)))/Inputs!$B$43),G2448*Q2448))*IF(Inputs!$B$38="pvp",1,(1+(Inputs!$B$21+Skills!Q12+(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9">
      <c r="A2449">
        <f>Skills!A13</f>
        <v/>
      </c>
      <c r="B2449">
        <f>Skills!B13</f>
        <v/>
      </c>
      <c r="C2449">
        <f>Inputs!$B$3&gt;=110</f>
        <v/>
      </c>
      <c r="D2449">
        <f>IF(Skills!C13=1,60+Inputs!$B$25+Inputs!$B$29,IF(Skills!C13=2,90+Inputs!$B$26+Inputs!$B$29,IF(Skills!C13=3,120+Inputs!$B$27+Inputs!$B$29,MAX(0,(Inputs!$B$3-100)*3)+Inputs!$B$28+Inputs!$B$29)))</f>
        <v/>
      </c>
      <c r="E2449">
        <f>INDEX(FactorTable!$B$2:$Y$301, MATCH(ROUND(MIN(300,MAX(1,D2449)),0), FactorTable!$A$2:$A$301,0), Skills!M13+1)</f>
        <v/>
      </c>
      <c r="F2449">
        <f>IF(Skills!N13=TRUE,(Skills!L13/10)*(E2449/1000),Skills!L13/10)+Skills!O13</f>
        <v/>
      </c>
      <c r="G2449">
        <f>Skills!G13*IF(Skills!H13&gt;0,Skills!I13/Skills!H13,1)</f>
        <v/>
      </c>
      <c r="H2449">
        <f>1-(1-Skills!J13/100)^Skills!K13</f>
        <v/>
      </c>
      <c r="I2449" t="inlineStr">
        <is>
          <t>1</t>
        </is>
      </c>
      <c r="J2449">
        <f>((Inputs!$B$6*(1+Inputs!$B$7/100))+(((Inputs!$B$12*(1+Inputs!$B$13/100))-(Inputs!$B$12*(1+Inputs!$B$13/100)))+0.25*(Inputs!$B$14-Inputs!$B$14))*(1+Inputs!$B$7/100))*(F2449/100)</f>
        <v/>
      </c>
      <c r="K2449">
        <f>J2449*(1+((Inputs!$B$12*(1+Inputs!$B$13/100))*0.01+Inputs!$B$14*0.0025)/100)*(1+Inputs!$B$15/100)*(1+Inputs!$B$16/100)*(5000/(6000+Inputs!$B$42*(1-(100*(1-(1-(Inputs!$B$19+0)/100)*(1-CHOOSE(ArtifactsInput!$N$40+1,5,6,7,8,9,10)/100)^(ArtifactsInput!$M$40-ArtifactsInput!$M$40)))/100)))*(1+(Inputs!$B$24+((C2462=TRUE)*(F2462-Calc!F26))+B2472)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2459=TRUE)*(F2459-Calc!F23))+((C2463=TRUE)*(F2463-Calc!F27))+(((IF(AND(ArtifactsInput!$M$42,((Inputs!$B$9+((C2455=TRUE)*(F2455-Calc!F19))+B2466+(ArtifactsInput!$M$24-ArtifactsInput!$M$24)*CHOOSE(ArtifactsInput!$N$24+1,10,12,14,16,18,20)+IF(ArtifactsInput!$M$10,CHOOSE(ArtifactsInput!$N$10+1,15,18,21,24,27,30)*(IF(Inputs!$B$38="pvp",MIN(15,15)/15,IF(AND(Inputs!$B$38&lt;&gt;"pvp",Inputs!$B$43&gt;0),MIN(15,Inputs!$B$43)/(Inputs!$B$43),0))),0)))&gt;=100),MIN(100,((Inputs!$B$9+((C2455=TRUE)*(F2455-Calc!F19))+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2455=TRUE)*(F2455-Calc!F19))+B2466+(ArtifactsInput!$M$24-ArtifactsInput!$M$24)*CHOOSE(ArtifactsInput!$N$24+1,10,12,14,16,18,20)+IF(ArtifactsInput!$M$10,CHOOSE(ArtifactsInput!$N$10+1,15,18,21,24,27,30)*(IF(Inputs!$B$38="pvp",MIN(15,15)/15,IF(AND(Inputs!$B$38&lt;&gt;"pvp",Inputs!$B$43&gt;0),MIN(15,Inputs!$B$43)/(Inputs!$B$43),0))),0)))&gt;=100),CHOOSE(ArtifactsInput!$N$42+1,40,48,56,64,72,80),0))))/100)*((1+(((C2453=TRUE)*F2453)+((C2460=TRUE)*(F2460-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2449)</f>
        <v/>
      </c>
      <c r="L2449">
        <f>K2449*(MIN(Inputs!$B$22+((C2458=TRUE)*(F2458-Calc!F22)),(Inputs!$B$23+0+(IF(ArtifactsInput!$M$15,CHOOSE(ArtifactsInput!$N$15+1,25,30,35,40,45,50)/100*(Inputs!$B$11-Inputs!$B$11),0))))/100+(Inputs!$B$23+0+(IF(ArtifactsInput!$M$15,CHOOSE(ArtifactsInput!$N$15+1,25,30,35,40,45,50)/100*(Inputs!$B$11-Inputs!$B$11),0)))/100)/2</f>
        <v/>
      </c>
      <c r="M2449">
        <f>L2449*(1+(Inputs!$B$10+((C2461=TRUE)*(F2461-Calc!F25))+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9">
        <f>L2449*(1-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2449*(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9">
        <f>(1-Summary!$B$11)*T2449+Summary!$B$11*V2449</f>
        <v/>
      </c>
      <c r="P2449">
        <f>IF(B2476=0,0,O2449/B2476)</f>
        <v/>
      </c>
      <c r="Q2449">
        <f>IFERROR(1/(IF(Inputs!$B$38="pvp",15,MAX(0.1,Skills!D13-IF(Skills!E13=TRUE,Inputs!$B$32,0)))*(1-IF(AND(ArtifactsInput!$M$27,Inputs!$B$4="Chapter Hunt"),CHOOSE(ArtifactsInput!$N$27+1,20,24,28,32,36,40),0)/100)),0)</f>
        <v/>
      </c>
      <c r="R2449">
        <f>IF(AND(Inputs!$B$38&lt;&gt;"pvp",Inputs!$B$43&gt;0),IF(MAX(0,Inputs!$B$43-B2473)&lt;=0,0,(INT(MAX(0,Inputs!$B$43-B2473)/(IF(Inputs!$B$38="pvp",15,MAX(0.1,Skills!D13-IF(Skills!E13=TRUE,Inputs!$B$32,0)))*(1-IF(AND(ArtifactsInput!$M$27,Inputs!$B$4="Chapter Hunt"),CHOOSE(ArtifactsInput!$N$27+1,20,24,28,32,36,40),0)/100)))+1)),0)</f>
        <v/>
      </c>
      <c r="S2449">
        <f>IFERROR(O2449/N2449,0)</f>
        <v/>
      </c>
      <c r="T2449">
        <f>IF(C2449,(H2449*N2449*IF(AND(Inputs!$B$38&lt;&gt;"pvp",Inputs!$B$43&gt;0),((Skills!G13*((R2449-1)*IF(Skills!H13&gt;0,Skills!I13/Skills!H13,1)+IF(Skills!H13&gt;0,MIN(Skills!I13,MAX(0,MAX(0,Inputs!$B$43-B2473)-((R2449-1)*(IF(Inputs!$B$38="pvp",15,MAX(0.1,Skills!D13-IF(Skills!E13=TRUE,Inputs!$B$32,0)))*(1-IF(AND(ArtifactsInput!$M$27,Inputs!$B$4="Chapter Hunt"),CHOOSE(ArtifactsInput!$N$27+1,20,24,28,32,36,40),0)/100)))))/Skills!H13,1)))/Inputs!$B$43),G2449*Q2449))*IF(Inputs!$B$38="pvp",1,1+(Inputs!$B$20+0+Skills!P13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2449*(1-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2449*(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2449*(1-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2449*(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9">
        <f>IF(C2449,(H2449*N2449*IF(AND(Inputs!$B$38&lt;&gt;"pvp",Inputs!$B$43&gt;0),((Skills!G13*((R2449-1)*IF(Skills!H13&gt;0,Skills!I13/Skills!H13,1)+IF(Skills!H13&gt;0,MIN(Skills!I13,MAX(0,MAX(0,Inputs!$B$43-B2473)-((R2449-1)*(IF(Inputs!$B$38="pvp",15,MAX(0.1,Skills!D13-IF(Skills!E13=TRUE,Inputs!$B$32,0)))*(1-IF(AND(ArtifactsInput!$M$27,Inputs!$B$4="Chapter Hunt"),CHOOSE(ArtifactsInput!$N$27+1,20,24,28,32,36,40),0)/100)))))/Skills!H13,1)))/Inputs!$B$43),G2449*Q2449))*IF(Inputs!$B$38="pvp",1,(1+(Inputs!$B$21+Skills!Q13+(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0">
      <c r="A2450">
        <f>Skills!A14</f>
        <v/>
      </c>
      <c r="B2450">
        <f>Skills!B14</f>
        <v/>
      </c>
      <c r="C2450">
        <f>Inputs!$B$3&gt;=125</f>
        <v/>
      </c>
      <c r="D2450">
        <f>IF(Skills!C14=1,60+Inputs!$B$25+Inputs!$B$29,IF(Skills!C14=2,90+Inputs!$B$26+Inputs!$B$29,IF(Skills!C14=3,120+Inputs!$B$27+Inputs!$B$29,MAX(0,(Inputs!$B$3-100)*3)+Inputs!$B$28+Inputs!$B$29)))</f>
        <v/>
      </c>
      <c r="E2450">
        <f>INDEX(FactorTable!$B$2:$Y$301, MATCH(ROUND(MIN(300,MAX(1,D2450)),0), FactorTable!$A$2:$A$301,0), Skills!M14+1)</f>
        <v/>
      </c>
      <c r="F2450">
        <f>IF(Skills!N14=TRUE,(Skills!L14/10)*(E2450/1000),Skills!L14/10)+Skills!O14</f>
        <v/>
      </c>
      <c r="G2450">
        <f>Skills!G14*IF(Skills!H14&gt;0,Skills!I14/Skills!H14,1)</f>
        <v/>
      </c>
      <c r="H2450">
        <f>1-(1-Skills!J14/100)^Skills!K14</f>
        <v/>
      </c>
      <c r="I2450" t="inlineStr">
        <is>
          <t>1</t>
        </is>
      </c>
      <c r="J2450">
        <f>((Inputs!$B$6*(1+Inputs!$B$7/100))+(((Inputs!$B$12*(1+Inputs!$B$13/100))-(Inputs!$B$12*(1+Inputs!$B$13/100)))+0.25*(Inputs!$B$14-Inputs!$B$14))*(1+Inputs!$B$7/100))*(F2450/100)</f>
        <v/>
      </c>
      <c r="K2450">
        <f>J2450*(1+((Inputs!$B$12*(1+Inputs!$B$13/100))*0.01+Inputs!$B$14*0.0025)/100)*(1+Inputs!$B$15/100)*(1+Inputs!$B$16/100)*(5000/(6000+Inputs!$B$42*(1-(100*(1-(1-(Inputs!$B$19+0)/100)*(1-CHOOSE(ArtifactsInput!$N$40+1,5,6,7,8,9,10)/100)^(ArtifactsInput!$M$40-ArtifactsInput!$M$40)))/100)))*(1+(Inputs!$B$24+((C2462=TRUE)*(F2462-Calc!F26))+B2472)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2459=TRUE)*(F2459-Calc!F23))+((C2463=TRUE)*(F2463-Calc!F27))+(((IF(AND(ArtifactsInput!$M$42,((Inputs!$B$9+((C2455=TRUE)*(F2455-Calc!F19))+B2466+(ArtifactsInput!$M$24-ArtifactsInput!$M$24)*CHOOSE(ArtifactsInput!$N$24+1,10,12,14,16,18,20)+IF(ArtifactsInput!$M$10,CHOOSE(ArtifactsInput!$N$10+1,15,18,21,24,27,30)*(IF(Inputs!$B$38="pvp",MIN(15,15)/15,IF(AND(Inputs!$B$38&lt;&gt;"pvp",Inputs!$B$43&gt;0),MIN(15,Inputs!$B$43)/(Inputs!$B$43),0))),0)))&gt;=100),MIN(100,((Inputs!$B$9+((C2455=TRUE)*(F2455-Calc!F19))+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2455=TRUE)*(F2455-Calc!F19))+B2466+(ArtifactsInput!$M$24-ArtifactsInput!$M$24)*CHOOSE(ArtifactsInput!$N$24+1,10,12,14,16,18,20)+IF(ArtifactsInput!$M$10,CHOOSE(ArtifactsInput!$N$10+1,15,18,21,24,27,30)*(IF(Inputs!$B$38="pvp",MIN(15,15)/15,IF(AND(Inputs!$B$38&lt;&gt;"pvp",Inputs!$B$43&gt;0),MIN(15,Inputs!$B$43)/(Inputs!$B$43),0))),0)))&gt;=100),CHOOSE(ArtifactsInput!$N$42+1,40,48,56,64,72,80),0))))/100)*((1+(((C2453=TRUE)*F2453)+((C2460=TRUE)*(F2460-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2450)</f>
        <v/>
      </c>
      <c r="L2450">
        <f>K2450*(MIN(Inputs!$B$22+((C2458=TRUE)*(F2458-Calc!F22)),(Inputs!$B$23+0+(IF(ArtifactsInput!$M$15,CHOOSE(ArtifactsInput!$N$15+1,25,30,35,40,45,50)/100*(Inputs!$B$11-Inputs!$B$11),0))))/100+(Inputs!$B$23+0+(IF(ArtifactsInput!$M$15,CHOOSE(ArtifactsInput!$N$15+1,25,30,35,40,45,50)/100*(Inputs!$B$11-Inputs!$B$11),0)))/100)/2</f>
        <v/>
      </c>
      <c r="M2450">
        <f>L2450*(1+(Inputs!$B$10+((C2461=TRUE)*(F2461-Calc!F25))+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0">
        <f>L2450*(1-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2450*(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0">
        <f>(1-Summary!$B$11)*T2450+Summary!$B$11*V2450</f>
        <v/>
      </c>
      <c r="P2450">
        <f>IF(B2476=0,0,O2450/B2476)</f>
        <v/>
      </c>
      <c r="Q2450" t="n">
        <v>0</v>
      </c>
      <c r="R2450" t="n">
        <v>0</v>
      </c>
      <c r="S2450">
        <f>IFERROR(O2450/N2450,0)</f>
        <v/>
      </c>
      <c r="T2450">
        <f>IF(C2450,(H2450*N2450*(B2470+IF(AND(Inputs!$B$38&lt;&gt;"pvp",Inputs!$B$43&gt;0),((Skills!G8*((R2444-1)*IF(Skills!H8&gt;0,Skills!I8/Skills!H8,1)+IF(Skills!H8&gt;0,MIN(Skills!I8,MAX(0,MAX(0,Inputs!$B$43-B2473)-((R2444-1)*(IF(Inputs!$B$38="pvp",15,MAX(0.1,Skills!D8-IF(Skills!E8=TRUE,Inputs!$B$32,0)))*(1-IF(AND(ArtifactsInput!$M$27,Inputs!$B$4="Chapter Hunt"),CHOOSE(ArtifactsInput!$N$27+1,20,24,28,32,36,40),0)/100)))))/Skills!H8,1)))/Inputs!$B$43),G2444*Q2444)+IF(AND(Inputs!$B$38&lt;&gt;"pvp",Inputs!$B$43&gt;0),((Skills!G11*((R2447-1)*IF(Skills!H11&gt;0,Skills!I11/Skills!H11,1)+IF(Skills!H11&gt;0,MIN(Skills!I11,MAX(0,MAX(0,Inputs!$B$43-B2473)-((R2447-1)*(IF(Inputs!$B$38="pvp",15,MAX(0.1,Skills!D11-IF(Skills!E11=TRUE,Inputs!$B$32,0)))*(1-IF(AND(ArtifactsInput!$M$27,Inputs!$B$4="Chapter Hunt"),CHOOSE(ArtifactsInput!$N$27+1,20,24,28,32,36,40),0)/100)))))/Skills!H11,1)))/Inputs!$B$43),G2447*Q2447)))*IF(Inputs!$B$38="pvp",1,1+(Inputs!$B$20+0+Skills!P14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2450*(1-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2450*(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2450*(1-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2450*(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0">
        <f>IF(C2450,(H2450*N2450*(B2470+IF(AND(Inputs!$B$38&lt;&gt;"pvp",Inputs!$B$43&gt;0),((Skills!G8*((R2444-1)*IF(Skills!H8&gt;0,Skills!I8/Skills!H8,1)+IF(Skills!H8&gt;0,MIN(Skills!I8,MAX(0,MAX(0,Inputs!$B$43-B2473)-((R2444-1)*(IF(Inputs!$B$38="pvp",15,MAX(0.1,Skills!D8-IF(Skills!E8=TRUE,Inputs!$B$32,0)))*(1-IF(AND(ArtifactsInput!$M$27,Inputs!$B$4="Chapter Hunt"),CHOOSE(ArtifactsInput!$N$27+1,20,24,28,32,36,40),0)/100)))))/Skills!H8,1)))/Inputs!$B$43),G2444*Q2444)+IF(AND(Inputs!$B$38&lt;&gt;"pvp",Inputs!$B$43&gt;0),((Skills!G11*((R2447-1)*IF(Skills!H11&gt;0,Skills!I11/Skills!H11,1)+IF(Skills!H11&gt;0,MIN(Skills!I11,MAX(0,MAX(0,Inputs!$B$43-B2473)-((R2447-1)*(IF(Inputs!$B$38="pvp",15,MAX(0.1,Skills!D11-IF(Skills!E11=TRUE,Inputs!$B$32,0)))*(1-IF(AND(ArtifactsInput!$M$27,Inputs!$B$4="Chapter Hunt"),CHOOSE(ArtifactsInput!$N$27+1,20,24,28,32,36,40),0)/100)))))/Skills!H11,1)))/Inputs!$B$43),G2447*Q2447)))*IF(Inputs!$B$38="pvp",1,(1+(Inputs!$B$21+Skills!Q14+(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1">
      <c r="A2451">
        <f>Skills!A15</f>
        <v/>
      </c>
      <c r="B2451">
        <f>Skills!B15</f>
        <v/>
      </c>
      <c r="C2451">
        <f>Inputs!$B$3&gt;=100</f>
        <v/>
      </c>
      <c r="D2451">
        <f>IF(Skills!C15=1,60+Inputs!$B$25+Inputs!$B$29,IF(Skills!C15=2,90+Inputs!$B$26+Inputs!$B$29,IF(Skills!C15=3,120+Inputs!$B$27+Inputs!$B$29,MAX(0,(Inputs!$B$3-100)*3)+Inputs!$B$28+Inputs!$B$29)))</f>
        <v/>
      </c>
      <c r="E2451">
        <f>INDEX(FactorTable!$B$2:$Y$301, MATCH(ROUND(MIN(300,MAX(1,D2451)),0), FactorTable!$A$2:$A$301,0), Skills!M15+1)</f>
        <v/>
      </c>
      <c r="F2451">
        <f>IF(Skills!N15=TRUE,(Skills!L15/10)*(E2451/1000),Skills!L15/10)+Skills!O15</f>
        <v/>
      </c>
      <c r="G2451" t="inlineStr"/>
      <c r="H2451" t="inlineStr"/>
      <c r="I2451" t="inlineStr">
        <is>
          <t>1</t>
        </is>
      </c>
      <c r="J2451" t="inlineStr"/>
      <c r="K2451" t="inlineStr"/>
      <c r="L2451" t="inlineStr"/>
      <c r="M2451" t="inlineStr"/>
      <c r="N2451" t="inlineStr"/>
      <c r="O2451" t="inlineStr"/>
      <c r="P2451" t="inlineStr"/>
      <c r="Q2451" t="inlineStr"/>
      <c r="R2451" t="inlineStr"/>
      <c r="S2451" t="inlineStr"/>
    </row>
    <row r="2452">
      <c r="A2452">
        <f>Skills!A16</f>
        <v/>
      </c>
      <c r="B2452">
        <f>Skills!B16</f>
        <v/>
      </c>
      <c r="C2452">
        <f>Inputs!$B$3&gt;=120</f>
        <v/>
      </c>
      <c r="D2452">
        <f>IF(Skills!C16=1,60+Inputs!$B$25+Inputs!$B$29,IF(Skills!C16=2,90+Inputs!$B$26+Inputs!$B$29,IF(Skills!C16=3,120+Inputs!$B$27+Inputs!$B$29,MAX(0,(Inputs!$B$3-100)*3)+Inputs!$B$28+Inputs!$B$29)))</f>
        <v/>
      </c>
      <c r="E2452">
        <f>INDEX(FactorTable!$B$2:$Y$301, MATCH(ROUND(MIN(300,MAX(1,D2452)),0), FactorTable!$A$2:$A$301,0), Skills!M16+1)</f>
        <v/>
      </c>
      <c r="F2452">
        <f>IF(Skills!N16=TRUE,(Skills!L16/10)*(E2452/1000),Skills!L16/10)+Skills!O16</f>
        <v/>
      </c>
      <c r="G2452" t="inlineStr"/>
      <c r="H2452" t="inlineStr"/>
      <c r="I2452" t="inlineStr">
        <is>
          <t>1</t>
        </is>
      </c>
      <c r="J2452" t="inlineStr"/>
      <c r="K2452" t="inlineStr"/>
      <c r="L2452" t="inlineStr"/>
      <c r="M2452" t="inlineStr"/>
      <c r="N2452" t="inlineStr"/>
      <c r="O2452" t="inlineStr"/>
      <c r="P2452" t="inlineStr"/>
      <c r="Q2452" t="inlineStr"/>
      <c r="R2452" t="inlineStr"/>
      <c r="S2452" t="inlineStr"/>
    </row>
    <row r="2453">
      <c r="A2453">
        <f>Skills!A17</f>
        <v/>
      </c>
      <c r="B2453">
        <f>Skills!B17</f>
        <v/>
      </c>
      <c r="C2453">
        <f>Inputs!$B$3&gt;=66</f>
        <v/>
      </c>
      <c r="D2453">
        <f>IF(Skills!C17=1,60+Inputs!$B$25+Inputs!$B$29,IF(Skills!C17=2,90+Inputs!$B$26+Inputs!$B$29,IF(Skills!C17=3,120+Inputs!$B$27+Inputs!$B$29,MAX(0,(Inputs!$B$3-100)*3)+Inputs!$B$28+Inputs!$B$29)))</f>
        <v/>
      </c>
      <c r="E2453">
        <f>INDEX(FactorTable!$B$2:$Y$301, MATCH(ROUND(MIN(300,MAX(1,D2453)),0), FactorTable!$A$2:$A$301,0), Skills!M17+1)</f>
        <v/>
      </c>
      <c r="F2453">
        <f>IF(Skills!N17=TRUE,(Skills!L17/10)*(E2453/1000),Skills!L17/10)+Skills!O17</f>
        <v/>
      </c>
      <c r="G2453">
        <f>Skills!G17*IF(Skills!H17&gt;0,Skills!I17/Skills!H17,1)</f>
        <v/>
      </c>
      <c r="H2453">
        <f>1-(1-Skills!J17/100)^Skills!K17</f>
        <v/>
      </c>
      <c r="I2453" t="inlineStr">
        <is>
          <t>1</t>
        </is>
      </c>
      <c r="J2453" t="inlineStr"/>
      <c r="K2453" t="inlineStr"/>
      <c r="L2453" t="inlineStr"/>
      <c r="M2453" t="inlineStr"/>
      <c r="N2453" t="inlineStr"/>
      <c r="O2453">
        <f>(1-Summary!$B$11)*T2453+Summary!$B$11*V2453</f>
        <v/>
      </c>
      <c r="P2453">
        <f>IF(B2476=0,0,O2453/B2476)</f>
        <v/>
      </c>
      <c r="Q2453" t="n">
        <v>0</v>
      </c>
      <c r="R2453" t="n">
        <v>0</v>
      </c>
      <c r="S2453">
        <f>IFERROR(O2453/N2453,0)</f>
        <v/>
      </c>
      <c r="T2453" t="n">
        <v>0</v>
      </c>
      <c r="V2453" t="n">
        <v>0</v>
      </c>
    </row>
    <row r="2454">
      <c r="A2454">
        <f>Skills!A18</f>
        <v/>
      </c>
      <c r="B2454">
        <f>Skills!B18</f>
        <v/>
      </c>
      <c r="C2454">
        <f>Inputs!$B$3&gt;=115</f>
        <v/>
      </c>
      <c r="D2454">
        <f>IF(Skills!C18=1,60+Inputs!$B$25+Inputs!$B$29,IF(Skills!C18=2,90+Inputs!$B$26+Inputs!$B$29,IF(Skills!C18=3,120+Inputs!$B$27+Inputs!$B$29,MAX(0,(Inputs!$B$3-100)*3)+Inputs!$B$28+Inputs!$B$29)))</f>
        <v/>
      </c>
      <c r="E2454">
        <f>INDEX(FactorTable!$B$2:$Y$301, MATCH(ROUND(MIN(300,MAX(1,D2454)),0), FactorTable!$A$2:$A$301,0), Skills!M18+1)</f>
        <v/>
      </c>
      <c r="F2454">
        <f>IF(Skills!N18=TRUE,(Skills!L18/10)*(E2454/1000),Skills!L18/10)+Skills!O18</f>
        <v/>
      </c>
      <c r="G2454">
        <f>Skills!G18*IF(Skills!H18&gt;0,Skills!I18/Skills!H18,1)</f>
        <v/>
      </c>
      <c r="H2454">
        <f>1-(1-Skills!J18/100)^Skills!K18</f>
        <v/>
      </c>
      <c r="I2454" t="inlineStr">
        <is>
          <t>1</t>
        </is>
      </c>
      <c r="J2454" t="inlineStr"/>
      <c r="K2454" t="inlineStr"/>
      <c r="L2454" t="inlineStr"/>
      <c r="M2454" t="inlineStr"/>
      <c r="N2454" t="inlineStr"/>
      <c r="O2454">
        <f>(1-Summary!$B$11)*T2454+Summary!$B$11*V2454</f>
        <v/>
      </c>
      <c r="P2454">
        <f>IF(B2476=0,0,O2454/B2476)</f>
        <v/>
      </c>
      <c r="Q2454" t="n">
        <v>0</v>
      </c>
      <c r="R2454" t="n">
        <v>0</v>
      </c>
      <c r="S2454">
        <f>IFERROR(O2454/N2454,0)</f>
        <v/>
      </c>
      <c r="T2454" t="n">
        <v>0</v>
      </c>
      <c r="V2454" t="n">
        <v>0</v>
      </c>
    </row>
    <row r="2455">
      <c r="A2455">
        <f>Skills!A19</f>
        <v/>
      </c>
      <c r="B2455">
        <f>Skills!B19</f>
        <v/>
      </c>
      <c r="C2455">
        <f>Inputs!$B$3&gt;=15</f>
        <v/>
      </c>
      <c r="D2455">
        <f>IF(Skills!C19=1,60+Inputs!$B$25+Inputs!$B$29,IF(Skills!C19=2,90+Inputs!$B$26+Inputs!$B$29,IF(Skills!C19=3,120+Inputs!$B$27+Inputs!$B$29,MAX(0,(Inputs!$B$3-100)*3)+Inputs!$B$28+Inputs!$B$29)))</f>
        <v/>
      </c>
      <c r="E2455">
        <f>INDEX(FactorTable!$B$2:$Y$301, MATCH(ROUND(MIN(300,MAX(1,D2455)),0), FactorTable!$A$2:$A$301,0), Skills!M19+1)</f>
        <v/>
      </c>
      <c r="F2455">
        <f>IF(Skills!N19=TRUE,(Skills!L19/10)*(E2455/1000),Skills!L19/10)+Skills!O19</f>
        <v/>
      </c>
      <c r="G2455">
        <f>Skills!G19*IF(Skills!H19&gt;0,Skills!I19/Skills!H19,1)</f>
        <v/>
      </c>
      <c r="H2455">
        <f>1-(1-Skills!J19/100)^Skills!K19</f>
        <v/>
      </c>
      <c r="I2455" t="inlineStr">
        <is>
          <t>1</t>
        </is>
      </c>
      <c r="J2455" t="inlineStr"/>
      <c r="K2455" t="inlineStr"/>
      <c r="L2455" t="inlineStr"/>
      <c r="M2455" t="inlineStr"/>
      <c r="N2455" t="inlineStr"/>
      <c r="O2455">
        <f>(1-Summary!$B$11)*T2455+Summary!$B$11*V2455</f>
        <v/>
      </c>
      <c r="P2455">
        <f>IF(B2476=0,0,O2455/B2476)</f>
        <v/>
      </c>
      <c r="Q2455" t="n">
        <v>0</v>
      </c>
      <c r="R2455" t="n">
        <v>0</v>
      </c>
      <c r="S2455">
        <f>IFERROR(O2455/N2455,0)</f>
        <v/>
      </c>
      <c r="T2455" t="n">
        <v>0</v>
      </c>
      <c r="V2455" t="n">
        <v>0</v>
      </c>
    </row>
    <row r="2456">
      <c r="A2456">
        <f>Skills!A20</f>
        <v/>
      </c>
      <c r="B2456">
        <f>Skills!B20</f>
        <v/>
      </c>
      <c r="C2456">
        <f>Inputs!$B$3&gt;=10</f>
        <v/>
      </c>
      <c r="D2456">
        <f>IF(Skills!C20=1,60+Inputs!$B$25+Inputs!$B$29,IF(Skills!C20=2,90+Inputs!$B$26+Inputs!$B$29,IF(Skills!C20=3,120+Inputs!$B$27+Inputs!$B$29,MAX(0,(Inputs!$B$3-100)*3)+Inputs!$B$28+Inputs!$B$29)))</f>
        <v/>
      </c>
      <c r="E2456">
        <f>INDEX(FactorTable!$B$2:$Y$301, MATCH(ROUND(MIN(300,MAX(1,D2456)),0), FactorTable!$A$2:$A$301,0), Skills!M20+1)</f>
        <v/>
      </c>
      <c r="F2456">
        <f>IF(Skills!N20=TRUE,(Skills!L20/10)*(E2456/1000),Skills!L20/10)+Skills!O20</f>
        <v/>
      </c>
      <c r="G2456">
        <f>Skills!G20*IF(Skills!H20&gt;0,Skills!I20/Skills!H20,1)</f>
        <v/>
      </c>
      <c r="H2456">
        <f>1-(1-Skills!J20/100)^Skills!K20</f>
        <v/>
      </c>
      <c r="I2456" t="inlineStr">
        <is>
          <t>1</t>
        </is>
      </c>
      <c r="J2456" t="inlineStr"/>
      <c r="K2456" t="inlineStr"/>
      <c r="L2456" t="inlineStr"/>
      <c r="M2456" t="inlineStr"/>
      <c r="N2456" t="inlineStr"/>
      <c r="O2456">
        <f>(1-Summary!$B$11)*T2456+Summary!$B$11*V2456</f>
        <v/>
      </c>
      <c r="P2456">
        <f>IF(B2476=0,0,O2456/B2476)</f>
        <v/>
      </c>
      <c r="Q2456" t="n">
        <v>0</v>
      </c>
      <c r="R2456" t="n">
        <v>0</v>
      </c>
      <c r="S2456">
        <f>IFERROR(O2456/N2456,0)</f>
        <v/>
      </c>
      <c r="T2456" t="n">
        <v>0</v>
      </c>
      <c r="V2456" t="n">
        <v>0</v>
      </c>
    </row>
    <row r="2457">
      <c r="A2457">
        <f>Skills!A21</f>
        <v/>
      </c>
      <c r="B2457">
        <f>Skills!B21</f>
        <v/>
      </c>
      <c r="C2457">
        <f>Inputs!$B$3&gt;=33</f>
        <v/>
      </c>
      <c r="D2457">
        <f>IF(Skills!C21=1,60+Inputs!$B$25+Inputs!$B$29,IF(Skills!C21=2,90+Inputs!$B$26+Inputs!$B$29,IF(Skills!C21=3,120+Inputs!$B$27+Inputs!$B$29,MAX(0,(Inputs!$B$3-100)*3)+Inputs!$B$28+Inputs!$B$29)))</f>
        <v/>
      </c>
      <c r="E2457">
        <f>INDEX(FactorTable!$B$2:$Y$301, MATCH(ROUND(MIN(300,MAX(1,D2457)),0), FactorTable!$A$2:$A$301,0), Skills!M21+1)</f>
        <v/>
      </c>
      <c r="F2457">
        <f>IF(Skills!N21=TRUE,(Skills!L21/10)*(E2457/1000),Skills!L21/10)+Skills!O21</f>
        <v/>
      </c>
      <c r="G2457">
        <f>Skills!G21*IF(Skills!H21&gt;0,Skills!I21/Skills!H21,1)</f>
        <v/>
      </c>
      <c r="H2457">
        <f>1-(1-Skills!J21/100)^Skills!K21</f>
        <v/>
      </c>
      <c r="I2457" t="inlineStr">
        <is>
          <t>1</t>
        </is>
      </c>
      <c r="J2457" t="inlineStr"/>
      <c r="K2457" t="inlineStr"/>
      <c r="L2457" t="inlineStr"/>
      <c r="M2457" t="inlineStr"/>
      <c r="N2457" t="inlineStr"/>
      <c r="O2457">
        <f>(1-Summary!$B$11)*T2457+Summary!$B$11*V2457</f>
        <v/>
      </c>
      <c r="P2457">
        <f>IF(B2476=0,0,O2457/B2476)</f>
        <v/>
      </c>
      <c r="Q2457" t="n">
        <v>0</v>
      </c>
      <c r="R2457" t="n">
        <v>0</v>
      </c>
      <c r="S2457">
        <f>IFERROR(O2457/N2457,0)</f>
        <v/>
      </c>
      <c r="T2457" t="n">
        <v>0</v>
      </c>
      <c r="V2457" t="n">
        <v>0</v>
      </c>
    </row>
    <row r="2458">
      <c r="A2458">
        <f>Skills!A22</f>
        <v/>
      </c>
      <c r="B2458">
        <f>Skills!B22</f>
        <v/>
      </c>
      <c r="C2458">
        <f>Inputs!$B$3&gt;=43</f>
        <v/>
      </c>
      <c r="D2458">
        <f>IF(Skills!C22=1,60+Inputs!$B$25+Inputs!$B$29,IF(Skills!C22=2,90+Inputs!$B$26+Inputs!$B$29,IF(Skills!C22=3,120+Inputs!$B$27+Inputs!$B$29,MAX(0,(Inputs!$B$3-100)*3)+Inputs!$B$28+Inputs!$B$29)))</f>
        <v/>
      </c>
      <c r="E2458">
        <f>INDEX(FactorTable!$B$2:$Y$301, MATCH(ROUND(MIN(300,MAX(1,D2458)),0), FactorTable!$A$2:$A$301,0), Skills!M22+1)</f>
        <v/>
      </c>
      <c r="F2458">
        <f>IF(Skills!N22=TRUE,(Skills!L22/10)*(E2458/1000),Skills!L22/10)+Skills!O22</f>
        <v/>
      </c>
      <c r="G2458">
        <f>Skills!G22*IF(Skills!H22&gt;0,Skills!I22/Skills!H22,1)</f>
        <v/>
      </c>
      <c r="H2458">
        <f>1-(1-Skills!J22/100)^Skills!K22</f>
        <v/>
      </c>
      <c r="I2458" t="inlineStr">
        <is>
          <t>1</t>
        </is>
      </c>
      <c r="J2458" t="inlineStr"/>
      <c r="K2458" t="inlineStr"/>
      <c r="L2458" t="inlineStr"/>
      <c r="M2458" t="inlineStr"/>
      <c r="N2458" t="inlineStr"/>
      <c r="O2458">
        <f>(1-Summary!$B$11)*T2458+Summary!$B$11*V2458</f>
        <v/>
      </c>
      <c r="P2458">
        <f>IF(B2476=0,0,O2458/B2476)</f>
        <v/>
      </c>
      <c r="Q2458" t="n">
        <v>0</v>
      </c>
      <c r="R2458" t="n">
        <v>0</v>
      </c>
      <c r="S2458">
        <f>IFERROR(O2458/N2458,0)</f>
        <v/>
      </c>
      <c r="T2458" t="n">
        <v>0</v>
      </c>
      <c r="V2458" t="n">
        <v>0</v>
      </c>
    </row>
    <row r="2459">
      <c r="A2459">
        <f>Skills!A23</f>
        <v/>
      </c>
      <c r="B2459">
        <f>Skills!B23</f>
        <v/>
      </c>
      <c r="C2459">
        <f>Inputs!$B$3&gt;=38</f>
        <v/>
      </c>
      <c r="D2459">
        <f>IF(Skills!C23=1,60+Inputs!$B$25+Inputs!$B$29,IF(Skills!C23=2,90+Inputs!$B$26+Inputs!$B$29,IF(Skills!C23=3,120+Inputs!$B$27+Inputs!$B$29,MAX(0,(Inputs!$B$3-100)*3)+Inputs!$B$28+Inputs!$B$29)))</f>
        <v/>
      </c>
      <c r="E2459">
        <f>INDEX(FactorTable!$B$2:$Y$301, MATCH(ROUND(MIN(300,MAX(1,D2459)),0), FactorTable!$A$2:$A$301,0), Skills!M23+1)</f>
        <v/>
      </c>
      <c r="F2459">
        <f>IF(Skills!N23=TRUE,(Skills!L23/10)*(E2459/1000),Skills!L23/10)+Skills!O23</f>
        <v/>
      </c>
      <c r="G2459">
        <f>Skills!G23*IF(Skills!H23&gt;0,Skills!I23/Skills!H23,1)</f>
        <v/>
      </c>
      <c r="H2459">
        <f>1-(1-Skills!J23/100)^Skills!K23</f>
        <v/>
      </c>
      <c r="I2459" t="inlineStr">
        <is>
          <t>1</t>
        </is>
      </c>
      <c r="J2459" t="inlineStr"/>
      <c r="K2459" t="inlineStr"/>
      <c r="L2459" t="inlineStr"/>
      <c r="M2459" t="inlineStr"/>
      <c r="N2459" t="inlineStr"/>
      <c r="O2459">
        <f>(1-Summary!$B$11)*T2459+Summary!$B$11*V2459</f>
        <v/>
      </c>
      <c r="P2459">
        <f>IF(B2476=0,0,O2459/B2476)</f>
        <v/>
      </c>
      <c r="Q2459" t="n">
        <v>0</v>
      </c>
      <c r="R2459" t="n">
        <v>0</v>
      </c>
      <c r="S2459">
        <f>IFERROR(O2459/N2459,0)</f>
        <v/>
      </c>
      <c r="T2459" t="n">
        <v>0</v>
      </c>
      <c r="V2459" t="n">
        <v>0</v>
      </c>
    </row>
    <row r="2460">
      <c r="A2460">
        <f>Skills!A24</f>
        <v/>
      </c>
      <c r="B2460">
        <f>Skills!B24</f>
        <v/>
      </c>
      <c r="C2460">
        <f>Inputs!$B$3&gt;=40</f>
        <v/>
      </c>
      <c r="D2460">
        <f>IF(Skills!C24=1,60+Inputs!$B$25+Inputs!$B$29,IF(Skills!C24=2,90+Inputs!$B$26+Inputs!$B$29,IF(Skills!C24=3,120+Inputs!$B$27+Inputs!$B$29,MAX(0,(Inputs!$B$3-100)*3)+Inputs!$B$28+Inputs!$B$29)))</f>
        <v/>
      </c>
      <c r="E2460">
        <f>INDEX(FactorTable!$B$2:$Y$301, MATCH(ROUND(MIN(300,MAX(1,D2460)),0), FactorTable!$A$2:$A$301,0), Skills!M24+1)</f>
        <v/>
      </c>
      <c r="F2460">
        <f>IF(Skills!N24=TRUE,(Skills!L24/10)*(E2460/1000),Skills!L24/10)+Skills!O24</f>
        <v/>
      </c>
      <c r="G2460">
        <f>Skills!G24*IF(Skills!H24&gt;0,Skills!I24/Skills!H24,1)</f>
        <v/>
      </c>
      <c r="H2460">
        <f>1-(1-Skills!J24/100)^Skills!K24</f>
        <v/>
      </c>
      <c r="I2460" t="inlineStr">
        <is>
          <t>1</t>
        </is>
      </c>
      <c r="J2460" t="inlineStr"/>
      <c r="K2460" t="inlineStr"/>
      <c r="L2460" t="inlineStr"/>
      <c r="M2460" t="inlineStr"/>
      <c r="N2460" t="inlineStr"/>
      <c r="O2460">
        <f>(1-Summary!$B$11)*T2460+Summary!$B$11*V2460</f>
        <v/>
      </c>
      <c r="P2460">
        <f>IF(B2476=0,0,O2460/B2476)</f>
        <v/>
      </c>
      <c r="Q2460" t="n">
        <v>0</v>
      </c>
      <c r="R2460" t="n">
        <v>0</v>
      </c>
      <c r="S2460">
        <f>IFERROR(O2460/N2460,0)</f>
        <v/>
      </c>
      <c r="T2460" t="n">
        <v>0</v>
      </c>
      <c r="V2460" t="n">
        <v>0</v>
      </c>
    </row>
    <row r="2461">
      <c r="A2461">
        <f>Skills!A25</f>
        <v/>
      </c>
      <c r="B2461">
        <f>Skills!B25</f>
        <v/>
      </c>
      <c r="C2461">
        <f>Inputs!$B$3&gt;=72</f>
        <v/>
      </c>
      <c r="D2461">
        <f>IF(Skills!C25=1,60+Inputs!$B$25+Inputs!$B$29,IF(Skills!C25=2,90+Inputs!$B$26+Inputs!$B$29,IF(Skills!C25=3,120+Inputs!$B$27+Inputs!$B$29,MAX(0,(Inputs!$B$3-100)*3)+Inputs!$B$28+Inputs!$B$29)))</f>
        <v/>
      </c>
      <c r="E2461">
        <f>INDEX(FactorTable!$B$2:$Y$301, MATCH(ROUND(MIN(300,MAX(1,D2461)),0), FactorTable!$A$2:$A$301,0), Skills!M25+1)</f>
        <v/>
      </c>
      <c r="F2461">
        <f>IF(Skills!N25=TRUE,(Skills!L25/10)*(E2461/1000),Skills!L25/10)+Skills!O25</f>
        <v/>
      </c>
      <c r="G2461">
        <f>Skills!G25*IF(Skills!H25&gt;0,Skills!I25/Skills!H25,1)</f>
        <v/>
      </c>
      <c r="H2461">
        <f>1-(1-Skills!J25/100)^Skills!K25</f>
        <v/>
      </c>
      <c r="I2461" t="inlineStr">
        <is>
          <t>1</t>
        </is>
      </c>
      <c r="J2461" t="inlineStr"/>
      <c r="K2461" t="inlineStr"/>
      <c r="L2461" t="inlineStr"/>
      <c r="M2461" t="inlineStr"/>
      <c r="N2461" t="inlineStr"/>
      <c r="O2461">
        <f>(1-Summary!$B$11)*T2461+Summary!$B$11*V2461</f>
        <v/>
      </c>
      <c r="P2461">
        <f>IF(B2476=0,0,O2461/B2476)</f>
        <v/>
      </c>
      <c r="Q2461" t="n">
        <v>0</v>
      </c>
      <c r="R2461" t="n">
        <v>0</v>
      </c>
      <c r="S2461">
        <f>IFERROR(O2461/N2461,0)</f>
        <v/>
      </c>
      <c r="T2461" t="n">
        <v>0</v>
      </c>
      <c r="V2461" t="n">
        <v>0</v>
      </c>
    </row>
    <row r="2462">
      <c r="A2462">
        <f>Skills!A26</f>
        <v/>
      </c>
      <c r="B2462">
        <f>Skills!B26</f>
        <v/>
      </c>
      <c r="C2462">
        <f>Inputs!$B$3&gt;=75</f>
        <v/>
      </c>
      <c r="D2462">
        <f>IF(Skills!C26=1,60+Inputs!$B$25+Inputs!$B$29,IF(Skills!C26=2,90+Inputs!$B$26+Inputs!$B$29,IF(Skills!C26=3,120+Inputs!$B$27+Inputs!$B$29,MAX(0,(Inputs!$B$3-100)*3)+Inputs!$B$28+Inputs!$B$29)))</f>
        <v/>
      </c>
      <c r="E2462">
        <f>INDEX(FactorTable!$B$2:$Y$301, MATCH(ROUND(MIN(300,MAX(1,D2462)),0), FactorTable!$A$2:$A$301,0), Skills!M26+1)</f>
        <v/>
      </c>
      <c r="F2462">
        <f>IF(Skills!N26=TRUE,(Skills!L26/10)*(E2462/1000),Skills!L26/10)+Skills!O26</f>
        <v/>
      </c>
      <c r="G2462">
        <f>Skills!G26*IF(Skills!H26&gt;0,Skills!I26/Skills!H26,1)</f>
        <v/>
      </c>
      <c r="H2462">
        <f>1-(1-Skills!J26/100)^Skills!K26</f>
        <v/>
      </c>
      <c r="I2462" t="inlineStr">
        <is>
          <t>1</t>
        </is>
      </c>
      <c r="J2462" t="inlineStr"/>
      <c r="K2462" t="inlineStr"/>
      <c r="L2462" t="inlineStr"/>
      <c r="M2462" t="inlineStr"/>
      <c r="N2462" t="inlineStr"/>
      <c r="O2462">
        <f>(1-Summary!$B$11)*T2462+Summary!$B$11*V2462</f>
        <v/>
      </c>
      <c r="P2462">
        <f>IF(B2476=0,0,O2462/B2476)</f>
        <v/>
      </c>
      <c r="Q2462" t="n">
        <v>0</v>
      </c>
      <c r="R2462" t="n">
        <v>0</v>
      </c>
      <c r="S2462">
        <f>IFERROR(O2462/N2462,0)</f>
        <v/>
      </c>
      <c r="T2462" t="n">
        <v>0</v>
      </c>
      <c r="V2462" t="n">
        <v>0</v>
      </c>
    </row>
    <row r="2463">
      <c r="A2463">
        <f>Skills!A27</f>
        <v/>
      </c>
      <c r="B2463">
        <f>Skills!B27</f>
        <v/>
      </c>
      <c r="C2463">
        <f>Inputs!$B$3&gt;=117</f>
        <v/>
      </c>
      <c r="D2463">
        <f>IF(Skills!C27=1,60+Inputs!$B$25+Inputs!$B$29,IF(Skills!C27=2,90+Inputs!$B$26+Inputs!$B$29,IF(Skills!C27=3,120+Inputs!$B$27+Inputs!$B$29,MAX(0,(Inputs!$B$3-100)*3)+Inputs!$B$28+Inputs!$B$29)))</f>
        <v/>
      </c>
      <c r="E2463">
        <f>INDEX(FactorTable!$B$2:$Y$301, MATCH(ROUND(MIN(300,MAX(1,D2463)),0), FactorTable!$A$2:$A$301,0), Skills!M27+1)</f>
        <v/>
      </c>
      <c r="F2463">
        <f>IF(Skills!N27=TRUE,(Skills!L27/10)*(E2463/1000),Skills!L27/10)+Skills!O27</f>
        <v/>
      </c>
      <c r="G2463">
        <f>Skills!G27*IF(Skills!H27&gt;0,Skills!I27/Skills!H27,1)</f>
        <v/>
      </c>
      <c r="H2463">
        <f>1-(1-Skills!J27/100)^Skills!K27</f>
        <v/>
      </c>
      <c r="I2463" t="inlineStr">
        <is>
          <t>1</t>
        </is>
      </c>
      <c r="J2463" t="inlineStr"/>
      <c r="K2463" t="inlineStr"/>
      <c r="L2463" t="inlineStr"/>
      <c r="M2463" t="inlineStr"/>
      <c r="N2463" t="inlineStr"/>
      <c r="O2463">
        <f>(1-Summary!$B$11)*T2463+Summary!$B$11*V2463</f>
        <v/>
      </c>
      <c r="P2463">
        <f>IF(B2476=0,0,O2463/B2476)</f>
        <v/>
      </c>
      <c r="Q2463" t="n">
        <v>0</v>
      </c>
      <c r="R2463" t="n">
        <v>0</v>
      </c>
      <c r="S2463">
        <f>IFERROR(O2463/N2463,0)</f>
        <v/>
      </c>
      <c r="T2463" t="n">
        <v>0</v>
      </c>
      <c r="V2463" t="n">
        <v>0</v>
      </c>
    </row>
    <row r="2465">
      <c r="A2465" t="inlineStr">
        <is>
          <t>Attack% Bucket Multiplier</t>
        </is>
      </c>
      <c r="B2465">
        <f>(1+(((C2453=TRUE)*F2453)+((C2460=TRUE)*(F2460-Calc!F24))+(IF(ArtifactsInput!$M$21,CHOOSE(ArtifactsInput!$N$21+1,25,30,35,40,45,50)*(IF(OR(Inputs!$B$4="Chapter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66">
      <c r="A2466" t="inlineStr">
        <is>
          <t>Global Crit Rate Bonus %</t>
        </is>
      </c>
      <c r="B2466" t="n">
        <v>0</v>
      </c>
    </row>
    <row r="2467">
      <c r="A2467" t="inlineStr">
        <is>
          <t>Attack Speed Buff Bonus % (unused)</t>
        </is>
      </c>
      <c r="B2467" t="n">
        <v>0</v>
      </c>
    </row>
    <row r="2468">
      <c r="A2468" t="inlineStr">
        <is>
          <t>Actions Per Second</t>
        </is>
      </c>
      <c r="B2468">
        <f>1+MIN(150,150*(1-(1-(Inputs!$B$11+((C2456=TRUE)*(F2456-Calc!F20))+((C2457=TRUE)*(F2457-Calc!F21)))/150)*(1-B2467/150)))/100</f>
        <v/>
      </c>
    </row>
    <row r="2469">
      <c r="A2469" t="inlineStr">
        <is>
          <t>Skill + Buff Cast Rate</t>
        </is>
      </c>
      <c r="B2469">
        <f>IF(AND(Inputs!$B$38&lt;&gt;"pvp",Inputs!$B$43&gt;0),SUMPRODUCT((Skills!E2:E27=TRUE)*(C2438:C2463=TRUE)*R2438:R2463*Skills!F2:F27)/Inputs!$B$43,SUMPRODUCT((Skills!E2:E27=TRUE)*(C2438:C2463=TRUE)*Q2438:Q2463*Skills!F2:F27))</f>
        <v/>
      </c>
    </row>
    <row r="2470">
      <c r="A2470" t="inlineStr">
        <is>
          <t>Eight-Legs Easton Casts Per Second</t>
        </is>
      </c>
      <c r="B2470">
        <f>MAX(0,B2468-B2469)</f>
        <v/>
      </c>
    </row>
    <row r="2471">
      <c r="A2471" t="inlineStr">
        <is>
          <t>Global Critical Damage Bonus % (unused)</t>
        </is>
      </c>
      <c r="B2471" t="n">
        <v>0</v>
      </c>
    </row>
    <row r="2472">
      <c r="A2472" t="inlineStr">
        <is>
          <t>Global Final Damage Bonus % (Jolly Roger only)</t>
        </is>
      </c>
      <c r="B2472">
        <f>((C2454=TRUE)*F2454)</f>
        <v/>
      </c>
    </row>
    <row r="2473">
      <c r="A2473" t="inlineStr">
        <is>
          <t>Buff-Casting Startup Delay (s, fixed-duration only)</t>
        </is>
      </c>
      <c r="B2473">
        <f>IF(AND(Inputs!$B$38&lt;&gt;"pvp",Inputs!$B$43&gt;0),SUMPRODUCT((Skills!T2:T27&gt;0)*(Skills!E2:E27=TRUE)*(C2438:C2463=TRUE))/B2468,0)</f>
        <v/>
      </c>
    </row>
    <row r="2474">
      <c r="A2474" t="inlineStr">
        <is>
          <t>Boss-Only Total DPS (this block's swept value)</t>
        </is>
      </c>
      <c r="B2474">
        <f>SUM(T2438:T2463)</f>
        <v/>
      </c>
    </row>
    <row r="2475">
      <c r="A2475" t="inlineStr">
        <is>
          <t>Normal-Only Total DPS (this block's swept value)</t>
        </is>
      </c>
      <c r="B2475">
        <f>SUM(V2438:V2463)</f>
        <v/>
      </c>
    </row>
    <row r="2476">
      <c r="A2476" s="6" t="inlineStr">
        <is>
          <t>TOTAL DPS</t>
        </is>
      </c>
      <c r="B2476" s="6">
        <f>SUM(O2438:O2463)</f>
        <v/>
      </c>
    </row>
    <row r="2479">
      <c r="A2479" s="6" t="inlineStr">
        <is>
          <t>Stat: Alliance Badge (Equip)</t>
        </is>
      </c>
    </row>
    <row r="2480">
      <c r="A2480" s="5" t="inlineStr">
        <is>
          <t>Key</t>
        </is>
      </c>
      <c r="B2480" s="5" t="inlineStr">
        <is>
          <t>Name</t>
        </is>
      </c>
      <c r="C2480" s="5" t="inlineStr">
        <is>
          <t>Unlocked</t>
        </is>
      </c>
      <c r="D2480" s="5" t="inlineStr">
        <is>
          <t>InputLevel</t>
        </is>
      </c>
      <c r="E2480" s="5" t="inlineStr">
        <is>
          <t>Factor</t>
        </is>
      </c>
      <c r="F2480" s="5" t="inlineStr">
        <is>
          <t>CoefficientPercent</t>
        </is>
      </c>
      <c r="G2480" s="5" t="inlineStr">
        <is>
          <t>EffectiveHits</t>
        </is>
      </c>
      <c r="H2480" s="5" t="inlineStr">
        <is>
          <t>ProcProbability</t>
        </is>
      </c>
      <c r="I2480" s="5" t="inlineStr">
        <is>
          <t>MapleHeroMultiplier</t>
        </is>
      </c>
      <c r="J2480" s="5" t="inlineStr">
        <is>
          <t>BaseDamage</t>
        </is>
      </c>
      <c r="K2480" s="5" t="inlineStr">
        <is>
          <t>BaseHitDamage</t>
        </is>
      </c>
      <c r="L2480" s="5" t="inlineStr">
        <is>
          <t>NonCritAvg</t>
        </is>
      </c>
      <c r="M2480" s="5" t="inlineStr">
        <is>
          <t>CritAvg</t>
        </is>
      </c>
      <c r="N2480" s="5" t="inlineStr">
        <is>
          <t>ExpectedDamage(perHit)</t>
        </is>
      </c>
      <c r="O2480" s="5" t="inlineStr">
        <is>
          <t>DPS</t>
        </is>
      </c>
      <c r="P2480" s="5" t="inlineStr">
        <is>
          <t>% of Total</t>
        </is>
      </c>
      <c r="Q2480" s="5" t="inlineStr">
        <is>
          <t>InvCooldown</t>
        </is>
      </c>
      <c r="R2480" s="5" t="inlineStr">
        <is>
          <t>CastsInFight</t>
        </is>
      </c>
      <c r="S2480" s="5" t="inlineStr">
        <is>
          <t>HitRate(perSec)</t>
        </is>
      </c>
      <c r="U2480" t="inlineStr">
        <is>
          <t>helpers</t>
        </is>
      </c>
    </row>
    <row r="2481">
      <c r="A2481">
        <f>Skills!A2</f>
        <v/>
      </c>
      <c r="B2481">
        <f>Skills!B2</f>
        <v/>
      </c>
      <c r="C2481">
        <f>Inputs!$B$3&gt;=100</f>
        <v/>
      </c>
      <c r="D2481" t="inlineStr"/>
      <c r="E2481" t="inlineStr"/>
      <c r="F2481">
        <f>U2483+Skills!O2</f>
        <v/>
      </c>
      <c r="G2481">
        <f>Skills!G2*IF(Skills!H2&gt;0,Skills!I2/Skills!H2,1)</f>
        <v/>
      </c>
      <c r="H2481">
        <f>1-(1-Skills!J2/100)^Skills!K2</f>
        <v/>
      </c>
      <c r="I2481" t="inlineStr">
        <is>
          <t>1</t>
        </is>
      </c>
      <c r="J2481">
        <f>((Inputs!$B$6*(1+Inputs!$B$7/100))+(((Inputs!$B$12*(1+Inputs!$B$13/100))-(Inputs!$B$12*(1+Inputs!$B$13/100)))+0.25*(Inputs!$B$14-Inputs!$B$14))*(1+Inputs!$B$7/100))*(F2481/100)</f>
        <v/>
      </c>
      <c r="K2481">
        <f>J2481*(1+((Inputs!$B$12*(1+Inputs!$B$13/100))*0.01+Inputs!$B$14*0.0025)/100)*(1+Inputs!$B$15/100)*(1+Inputs!$B$16/100)*(5000/(6000+Inputs!$B$42*(1-(100*(1-(1-(Inputs!$B$19+0)/100)*(1-CHOOSE(ArtifactsInput!$N$40+1,5,6,7,8,9,10)/100)^(ArtifactsInput!$M$40-ArtifactsInput!$M$40)))/100)))*(1+(Inputs!$B$24+((C2505=TRUE)*(F2505-Calc!F26))+B2515)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2502=TRUE)*(F2502-Calc!F23))+((C2506=TRUE)*(F2506-Calc!F27))+(((IF(AND(ArtifactsInput!$M$42,((Inputs!$B$9+((C2498=TRUE)*(F2498-Calc!F19))+B2509+(ArtifactsInput!$M$24-ArtifactsInput!$M$24)*CHOOSE(ArtifactsInput!$N$24+1,10,12,14,16,18,20)+IF(ArtifactsInput!$M$10,CHOOSE(ArtifactsInput!$N$10+1,15,18,21,24,27,30)*(IF(Inputs!$B$38="pvp",MIN(15,15)/15,IF(AND(Inputs!$B$38&lt;&gt;"pvp",Inputs!$B$43&gt;0),MIN(15,Inputs!$B$43)/(Inputs!$B$43),0))),0)))&gt;=100),MIN(100,((Inputs!$B$9+((C2498=TRUE)*(F2498-Calc!F19))+B2509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2498=TRUE)*(F2498-Calc!F19))+B2509+(ArtifactsInput!$M$24-ArtifactsInput!$M$24)*CHOOSE(ArtifactsInput!$N$24+1,10,12,14,16,18,20)+IF(ArtifactsInput!$M$10,CHOOSE(ArtifactsInput!$N$10+1,15,18,21,24,27,30)*(IF(Inputs!$B$38="pvp",MIN(15,15)/15,IF(AND(Inputs!$B$38&lt;&gt;"pvp",Inputs!$B$43&gt;0),MIN(15,Inputs!$B$43)/(Inputs!$B$43),0))),0)))&gt;=100),CHOOSE(ArtifactsInput!$N$42+1,40,48,56,64,72,80),0))))/100)*((1+(((C2496=TRUE)*F2496)+((C2503=TRUE)*(F2503-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2481)</f>
        <v/>
      </c>
      <c r="L2481">
        <f>K2481*(MIN(Inputs!$B$22+((C2501=TRUE)*(F2501-Calc!F22)),(Inputs!$B$23+0+(IF(ArtifactsInput!$M$15,CHOOSE(ArtifactsInput!$N$15+1,25,30,35,40,45,50)/100*(Inputs!$B$11-Inputs!$B$11),0))))/100+(Inputs!$B$23+0+(IF(ArtifactsInput!$M$15,CHOOSE(ArtifactsInput!$N$15+1,25,30,35,40,45,50)/100*(Inputs!$B$11-Inputs!$B$11),0)))/100)/2</f>
        <v/>
      </c>
      <c r="M2481">
        <f>L2481*(1+(Inputs!$B$10+((C2504=TRUE)*(F2504-Calc!F25))+B2514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1">
        <f>L2481*(1-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1">
        <f>(1-Summary!$B$11)*T2481+Summary!$B$11*V2481</f>
        <v/>
      </c>
      <c r="P2481">
        <f>IF(B2519=0,0,O2481/B2519)</f>
        <v/>
      </c>
      <c r="Q2481" t="n">
        <v>0</v>
      </c>
      <c r="R2481" t="n">
        <v>0</v>
      </c>
      <c r="S2481">
        <f>IFERROR(O2481/N2481,0)</f>
        <v/>
      </c>
      <c r="T2481">
        <f>IF(C2481,(Skills!G2*N2481*B2513)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2481*(1-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2481*(1-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81">
        <f>MAX(0,(Inputs!$B$3-100)*3)+Inputs!$B$28+Inputs!$B$29</f>
        <v/>
      </c>
      <c r="V2481">
        <f>IF(C2481,(Skills!G2*N2481*B2513)*IF(Inputs!$B$38="pvp",1,(1+(Inputs!$B$21+Skills!Q2+(IF(ArtifactsInput!$M$33,CHOOSE(ArtifactsInput!$N$33+1,30,36,42,48,54,60),0))+(IF(AND(ArtifactsInput!$M$35,Inputs!$B$4&lt;&gt;"Chapter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2">
      <c r="A2482">
        <f>Skills!A3</f>
        <v/>
      </c>
      <c r="B2482">
        <f>Skills!B3</f>
        <v/>
      </c>
      <c r="C2482">
        <f>Inputs!$B$3&gt;=35</f>
        <v/>
      </c>
      <c r="D2482">
        <f>IF(Skills!C3=1,60+Inputs!$B$25+Inputs!$B$29,IF(Skills!C3=2,90+Inputs!$B$26+Inputs!$B$29,IF(Skills!C3=3,120+Inputs!$B$27+Inputs!$B$29,MAX(0,(Inputs!$B$3-100)*3)+Inputs!$B$28+Inputs!$B$29)))</f>
        <v/>
      </c>
      <c r="E2482">
        <f>INDEX(FactorTable!$B$2:$Y$301, MATCH(ROUND(MIN(300,MAX(1,D2482)),0), FactorTable!$A$2:$A$301,0), Skills!M3+1)</f>
        <v/>
      </c>
      <c r="F2482">
        <f>IF(Skills!N3=TRUE,(Skills!L3/10)*(E2482/1000),Skills!L3/10)+Skills!O3</f>
        <v/>
      </c>
      <c r="G2482">
        <f>Skills!G3*IF(Skills!H3&gt;0,Skills!I3/Skills!H3,1)</f>
        <v/>
      </c>
      <c r="H2482">
        <f>1-(1-Skills!J3/100)^Skills!K3</f>
        <v/>
      </c>
      <c r="I2482" t="inlineStr">
        <is>
          <t>1</t>
        </is>
      </c>
      <c r="J2482">
        <f>((Inputs!$B$6*(1+Inputs!$B$7/100))+(((Inputs!$B$12*(1+Inputs!$B$13/100))-(Inputs!$B$12*(1+Inputs!$B$13/100)))+0.25*(Inputs!$B$14-Inputs!$B$14))*(1+Inputs!$B$7/100))*(F2482/100)</f>
        <v/>
      </c>
      <c r="K2482">
        <f>J2482*(1+((Inputs!$B$12*(1+Inputs!$B$13/100))*0.01+Inputs!$B$14*0.0025)/100)*(1+Inputs!$B$15/100)*(1+Inputs!$B$16/100)*(5000/(6000+Inputs!$B$42*(1-(100*(1-(1-(Inputs!$B$19+0)/100)*(1-CHOOSE(ArtifactsInput!$N$40+1,5,6,7,8,9,10)/100)^(ArtifactsInput!$M$40-ArtifactsInput!$M$40)))/100)))*(1+(Inputs!$B$24+((C2505=TRUE)*(F2505-Calc!F26))+B2515)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2494=TRUE,F2494,0)/100)*(1+(IF(Skills!A3="EIGHT_LEGS_EASTON",Inputs!$B$17+((C2502=TRUE)*(F2502-Calc!F23))+((C2506=TRUE)*(F2506-Calc!F27))+(((IF(AND(ArtifactsInput!$M$42,((Inputs!$B$9+((C2498=TRUE)*(F2498-Calc!F19))+B2509+(ArtifactsInput!$M$24-ArtifactsInput!$M$24)*CHOOSE(ArtifactsInput!$N$24+1,10,12,14,16,18,20)+IF(ArtifactsInput!$M$10,CHOOSE(ArtifactsInput!$N$10+1,15,18,21,24,27,30)*(IF(Inputs!$B$38="pvp",MIN(15,15)/15,IF(AND(Inputs!$B$38&lt;&gt;"pvp",Inputs!$B$43&gt;0),MIN(15,Inputs!$B$43)/(Inputs!$B$43),0))),0)))&gt;=100),MIN(100,((Inputs!$B$9+((C2498=TRUE)*(F2498-Calc!F19))+B2509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2498=TRUE)*(F2498-Calc!F19))+B2509+(ArtifactsInput!$M$24-ArtifactsInput!$M$24)*CHOOSE(ArtifactsInput!$N$24+1,10,12,14,16,18,20)+IF(ArtifactsInput!$M$10,CHOOSE(ArtifactsInput!$N$10+1,15,18,21,24,27,30)*(IF(Inputs!$B$38="pvp",MIN(15,15)/15,IF(AND(Inputs!$B$38&lt;&gt;"pvp",Inputs!$B$43&gt;0),MIN(15,Inputs!$B$43)/(Inputs!$B$43),0))),0)))&gt;=100),CHOOSE(ArtifactsInput!$N$42+1,40,48,56,64,72,80),0))))/100)*((1+(((C2496=TRUE)*F2496)+((C2503=TRUE)*(F2503-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2482)</f>
        <v/>
      </c>
      <c r="L2482">
        <f>K2482*(MIN(Inputs!$B$22+((C2501=TRUE)*(F2501-Calc!F22)),(Inputs!$B$23+0+(IF(ArtifactsInput!$M$15,CHOOSE(ArtifactsInput!$N$15+1,25,30,35,40,45,50)/100*(Inputs!$B$11-Inputs!$B$11),0))))/100+(Inputs!$B$23+0+(IF(ArtifactsInput!$M$15,CHOOSE(ArtifactsInput!$N$15+1,25,30,35,40,45,50)/100*(Inputs!$B$11-Inputs!$B$11),0)))/100)/2</f>
        <v/>
      </c>
      <c r="M2482">
        <f>L2482*(1+(Inputs!$B$10+((C2504=TRUE)*(F2504-Calc!F25))+B2514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2">
        <f>L2482*(1-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2482*(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2">
        <f>(1-Summary!$B$11)*T2482+Summary!$B$11*V2482</f>
        <v/>
      </c>
      <c r="P2482">
        <f>IF(B2519=0,0,O2482/B2519)</f>
        <v/>
      </c>
      <c r="Q2482">
        <f>IFERROR(1/(IF(Inputs!$B$38="pvp",15,MAX(0.1,Skills!D3-IF(Skills!E3=TRUE,Inputs!$B$32,0)))*(1-IF(AND(ArtifactsInput!$M$27,Inputs!$B$4="Chapter Hunt"),CHOOSE(ArtifactsInput!$N$27+1,20,24,28,32,36,40),0)/100)),0)</f>
        <v/>
      </c>
      <c r="R2482">
        <f>IF(AND(Inputs!$B$38&lt;&gt;"pvp",Inputs!$B$43&gt;0),IF(MAX(0,Inputs!$B$43-B2516)&lt;=0,0,(INT(MAX(0,Inputs!$B$43-B2516)/(IF(Inputs!$B$38="pvp",15,MAX(0.1,Skills!D3-IF(Skills!E3=TRUE,Inputs!$B$32,0)))*(1-IF(AND(ArtifactsInput!$M$27,Inputs!$B$4="Chapter Hunt"),CHOOSE(ArtifactsInput!$N$27+1,20,24,28,32,36,40),0)/100)))+1)),0)</f>
        <v/>
      </c>
      <c r="S2482">
        <f>IFERROR(O2482/N2482,0)</f>
        <v/>
      </c>
      <c r="T2482">
        <f>IF(C2482,(H2482*N2482*IF(AND(Inputs!$B$38&lt;&gt;"pvp",Inputs!$B$43&gt;0),((Skills!G3*((R2482-1)*IF(Skills!H3&gt;0,Skills!I3/Skills!H3,1)+IF(Skills!H3&gt;0,MIN(Skills!I3,MAX(0,MAX(0,Inputs!$B$43-B2516)-((R2482-1)*(IF(Inputs!$B$38="pvp",15,MAX(0.1,Skills!D3-IF(Skills!E3=TRUE,Inputs!$B$32,0)))*(1-IF(AND(ArtifactsInput!$M$27,Inputs!$B$4="Chapter Hunt"),CHOOSE(ArtifactsInput!$N$27+1,20,24,28,32,36,40),0)/100)))))/Skills!H3,1)))/Inputs!$B$43),G2482*Q2482)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2482*(1-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2482*(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2482*(1-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2482*(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82">
        <f>INDEX(FactorTable!$B$2:$Y$301, MATCH(ROUND(MIN(300,MAX(1,U2481)),0), FactorTable!$A$2:$A$301,0), 22)</f>
        <v/>
      </c>
      <c r="V2482">
        <f>IF(C2482,(H2482*N2482*IF(AND(Inputs!$B$38&lt;&gt;"pvp",Inputs!$B$43&gt;0),((Skills!G3*((R2482-1)*IF(Skills!H3&gt;0,Skills!I3/Skills!H3,1)+IF(Skills!H3&gt;0,MIN(Skills!I3,MAX(0,MAX(0,Inputs!$B$43-B2516)-((R2482-1)*(IF(Inputs!$B$38="pvp",15,MAX(0.1,Skills!D3-IF(Skills!E3=TRUE,Inputs!$B$32,0)))*(1-IF(AND(ArtifactsInput!$M$27,Inputs!$B$4="Chapter Hunt"),CHOOSE(ArtifactsInput!$N$27+1,20,24,28,32,36,40),0)/100)))))/Skills!H3,1)))/Inputs!$B$43),G2482*Q2482))*IF(Inputs!$B$38="pvp",1,(1+(Inputs!$B$21+Skills!Q3+(IF(ArtifactsInput!$M$33,CHOOSE(ArtifactsInput!$N$33+1,30,36,42,48,54,60)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3">
      <c r="A2483">
        <f>Skills!A4</f>
        <v/>
      </c>
      <c r="B2483">
        <f>Skills!B4</f>
        <v/>
      </c>
      <c r="C2483">
        <f>Inputs!$B$3&gt;=40</f>
        <v/>
      </c>
      <c r="D2483">
        <f>IF(Skills!C4=1,60+Inputs!$B$25+Inputs!$B$29,IF(Skills!C4=2,90+Inputs!$B$26+Inputs!$B$29,IF(Skills!C4=3,120+Inputs!$B$27+Inputs!$B$29,MAX(0,(Inputs!$B$3-100)*3)+Inputs!$B$28+Inputs!$B$29)))</f>
        <v/>
      </c>
      <c r="E2483">
        <f>INDEX(FactorTable!$B$2:$Y$301, MATCH(ROUND(MIN(300,MAX(1,D2483)),0), FactorTable!$A$2:$A$301,0), Skills!M4+1)</f>
        <v/>
      </c>
      <c r="F2483">
        <f>IF(Skills!N4=TRUE,(Skills!L4/10)*(E2483/1000),Skills!L4/10)+Skills!O4</f>
        <v/>
      </c>
      <c r="G2483">
        <f>Skills!G4*IF(Skills!H4&gt;0,Skills!I4/Skills!H4,1)</f>
        <v/>
      </c>
      <c r="H2483">
        <f>1-(1-Skills!J4/100)^Skills!K4</f>
        <v/>
      </c>
      <c r="I2483" t="inlineStr">
        <is>
          <t>1</t>
        </is>
      </c>
      <c r="J2483">
        <f>((Inputs!$B$6*(1+Inputs!$B$7/100))+(((Inputs!$B$12*(1+Inputs!$B$13/100))-(Inputs!$B$12*(1+Inputs!$B$13/100)))+0.25*(Inputs!$B$14-Inputs!$B$14))*(1+Inputs!$B$7/100))*(F2483/100)</f>
        <v/>
      </c>
      <c r="K2483">
        <f>J2483*(1+((Inputs!$B$12*(1+Inputs!$B$13/100))*0.01+Inputs!$B$14*0.0025)/100)*(1+Inputs!$B$15/100)*(1+Inputs!$B$16/100)*(5000/(6000+Inputs!$B$42*(1-(100*(1-(1-(Inputs!$B$19+0)/100)*(1-CHOOSE(ArtifactsInput!$N$40+1,5,6,7,8,9,10)/100)^(ArtifactsInput!$M$40-ArtifactsInput!$M$40)))/100)))*(1+(Inputs!$B$24+((C2505=TRUE)*(F2505-Calc!F26))+B2515)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2495=TRUE,F2495,0)/100)*(1+(IF(Skills!A4="EIGHT_LEGS_EASTON",Inputs!$B$17+((C2502=TRUE)*(F2502-Calc!F23))+((C2506=TRUE)*(F2506-Calc!F27))+(((IF(AND(ArtifactsInput!$M$42,((Inputs!$B$9+((C2498=TRUE)*(F2498-Calc!F19))+B2509+(ArtifactsInput!$M$24-ArtifactsInput!$M$24)*CHOOSE(ArtifactsInput!$N$24+1,10,12,14,16,18,20)+IF(ArtifactsInput!$M$10,CHOOSE(ArtifactsInput!$N$10+1,15,18,21,24,27,30)*(IF(Inputs!$B$38="pvp",MIN(15,15)/15,IF(AND(Inputs!$B$38&lt;&gt;"pvp",Inputs!$B$43&gt;0),MIN(15,Inputs!$B$43)/(Inputs!$B$43),0))),0)))&gt;=100),MIN(100,((Inputs!$B$9+((C2498=TRUE)*(F2498-Calc!F19))+B2509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2498=TRUE)*(F2498-Calc!F19))+B2509+(ArtifactsInput!$M$24-ArtifactsInput!$M$24)*CHOOSE(ArtifactsInput!$N$24+1,10,12,14,16,18,20)+IF(ArtifactsInput!$M$10,CHOOSE(ArtifactsInput!$N$10+1,15,18,21,24,27,30)*(IF(Inputs!$B$38="pvp",MIN(15,15)/15,IF(AND(Inputs!$B$38&lt;&gt;"pvp",Inputs!$B$43&gt;0),MIN(15,Inputs!$B$43)/(Inputs!$B$43),0))),0)))&gt;=100),CHOOSE(ArtifactsInput!$N$42+1,40,48,56,64,72,80),0))))/100)*((1+(((C2496=TRUE)*F2496)+((C2503=TRUE)*(F2503-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2483)</f>
        <v/>
      </c>
      <c r="L2483">
        <f>K2483*(MIN(Inputs!$B$22+((C2501=TRUE)*(F2501-Calc!F22)),(Inputs!$B$23+0+(IF(ArtifactsInput!$M$15,CHOOSE(ArtifactsInput!$N$15+1,25,30,35,40,45,50)/100*(Inputs!$B$11-Inputs!$B$11),0))))/100+(Inputs!$B$23+0+(IF(ArtifactsInput!$M$15,CHOOSE(ArtifactsInput!$N$15+1,25,30,35,40,45,50)/100*(Inputs!$B$11-Inputs!$B$11),0)))/100)/2</f>
        <v/>
      </c>
      <c r="M2483">
        <f>L2483*(1+(Inputs!$B$10+((C2504=TRUE)*(F2504-Calc!F25))+B2514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3">
        <f>L2483*(1-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2483*(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3">
        <f>(1-Summary!$B$11)*T2483+Summary!$B$11*V2483</f>
        <v/>
      </c>
      <c r="P2483">
        <f>IF(B2519=0,0,O2483/B2519)</f>
        <v/>
      </c>
      <c r="Q2483">
        <f>IFERROR(1/(IF(Inputs!$B$38="pvp",15,MAX(0.1,Skills!D4-IF(Skills!E4=TRUE,Inputs!$B$32,0)))*(1-IF(AND(ArtifactsInput!$M$27,Inputs!$B$4="Chapter Hunt"),CHOOSE(ArtifactsInput!$N$27+1,20,24,28,32,36,40),0)/100)),0)</f>
        <v/>
      </c>
      <c r="R2483">
        <f>IF(AND(Inputs!$B$38&lt;&gt;"pvp",Inputs!$B$43&gt;0),IF(MAX(0,Inputs!$B$43-B2516)&lt;=0,0,(INT(MAX(0,Inputs!$B$43-B2516)/(IF(Inputs!$B$38="pvp",15,MAX(0.1,Skills!D4-IF(Skills!E4=TRUE,Inputs!$B$32,0)))*(1-IF(AND(ArtifactsInput!$M$27,Inputs!$B$4="Chapter Hunt"),CHOOSE(ArtifactsInput!$N$27+1,20,24,28,32,36,40),0)/100)))+1)),0)</f>
        <v/>
      </c>
      <c r="S2483">
        <f>IFERROR(O2483/N2483,0)</f>
        <v/>
      </c>
      <c r="T2483">
        <f>IF(C2483,(H2483*N2483*IF(AND(Inputs!$B$38&lt;&gt;"pvp",Inputs!$B$43&gt;0),((Skills!G4*((R2483-1)*IF(Skills!H4&gt;0,Skills!I4/Skills!H4,1)+IF(Skills!H4&gt;0,MIN(Skills!I4,MAX(0,MAX(0,Inputs!$B$43-B2516)-((R2483-1)*(IF(Inputs!$B$38="pvp",15,MAX(0.1,Skills!D4-IF(Skills!E4=TRUE,Inputs!$B$32,0)))*(1-IF(AND(ArtifactsInput!$M$27,Inputs!$B$4="Chapter Hunt"),CHOOSE(ArtifactsInput!$N$27+1,20,24,28,32,36,40),0)/100)))))/Skills!H4,1)))/Inputs!$B$43),G2483*Q2483)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2483*(1-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2483*(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2483*(1-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2483*(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83">
        <f>290*U2482/1000</f>
        <v/>
      </c>
      <c r="V2483">
        <f>IF(C2483,(H2483*N2483*IF(AND(Inputs!$B$38&lt;&gt;"pvp",Inputs!$B$43&gt;0),((Skills!G4*((R2483-1)*IF(Skills!H4&gt;0,Skills!I4/Skills!H4,1)+IF(Skills!H4&gt;0,MIN(Skills!I4,MAX(0,MAX(0,Inputs!$B$43-B2516)-((R2483-1)*(IF(Inputs!$B$38="pvp",15,MAX(0.1,Skills!D4-IF(Skills!E4=TRUE,Inputs!$B$32,0)))*(1-IF(AND(ArtifactsInput!$M$27,Inputs!$B$4="Chapter Hunt"),CHOOSE(ArtifactsInput!$N$27+1,20,24,28,32,36,40),0)/100)))))/Skills!H4,1)))/Inputs!$B$43),G2483*Q2483))*IF(Inputs!$B$38="pvp",1,(1+(Inputs!$B$21+Skills!Q4+(IF(ArtifactsInput!$M$33,CHOOSE(ArtifactsInput!$N$33+1,30,36,42,48,54,60)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4">
      <c r="A2484">
        <f>Skills!A5</f>
        <v/>
      </c>
      <c r="B2484">
        <f>Skills!B5</f>
        <v/>
      </c>
      <c r="C2484">
        <f>Inputs!$B$3&gt;=45</f>
        <v/>
      </c>
      <c r="D2484">
        <f>IF(Skills!C5=1,60+Inputs!$B$25+Inputs!$B$29,IF(Skills!C5=2,90+Inputs!$B$26+Inputs!$B$29,IF(Skills!C5=3,120+Inputs!$B$27+Inputs!$B$29,MAX(0,(Inputs!$B$3-100)*3)+Inputs!$B$28+Inputs!$B$29)))</f>
        <v/>
      </c>
      <c r="E2484">
        <f>INDEX(FactorTable!$B$2:$Y$301, MATCH(ROUND(MIN(300,MAX(1,D2484)),0), FactorTable!$A$2:$A$301,0), Skills!M5+1)</f>
        <v/>
      </c>
      <c r="F2484">
        <f>IF(Skills!N5=TRUE,(Skills!L5/10)*(E2484/1000),Skills!L5/10)+Skills!O5</f>
        <v/>
      </c>
      <c r="G2484">
        <f>Skills!G5*IF(Skills!H5&gt;0,Skills!I5/Skills!H5,1)</f>
        <v/>
      </c>
      <c r="H2484">
        <f>1-(1-Skills!J5/100)^Skills!K5</f>
        <v/>
      </c>
      <c r="I2484" t="inlineStr">
        <is>
          <t>1</t>
        </is>
      </c>
      <c r="J2484">
        <f>((Inputs!$B$6*(1+Inputs!$B$7/100))+(((Inputs!$B$12*(1+Inputs!$B$13/100))-(Inputs!$B$12*(1+Inputs!$B$13/100)))+0.25*(Inputs!$B$14-Inputs!$B$14))*(1+Inputs!$B$7/100))*(F2484/100)</f>
        <v/>
      </c>
      <c r="K2484">
        <f>J2484*(1+((Inputs!$B$12*(1+Inputs!$B$13/100))*0.01+Inputs!$B$14*0.0025)/100)*(1+Inputs!$B$15/100)*(1+Inputs!$B$16/100)*(5000/(6000+Inputs!$B$42*(1-(100*(1-(1-(Inputs!$B$19+0)/100)*(1-CHOOSE(ArtifactsInput!$N$40+1,5,6,7,8,9,10)/100)^(ArtifactsInput!$M$40-ArtifactsInput!$M$40)))/100)))*(1+(Inputs!$B$24+((C2505=TRUE)*(F2505-Calc!F26))+B2515)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2495=TRUE,F2495,0)/100)*(1+(IF(Skills!A5="EIGHT_LEGS_EASTON",Inputs!$B$17+((C2502=TRUE)*(F2502-Calc!F23))+((C2506=TRUE)*(F2506-Calc!F27))+(((IF(AND(ArtifactsInput!$M$42,((Inputs!$B$9+((C2498=TRUE)*(F2498-Calc!F19))+B2509+(ArtifactsInput!$M$24-ArtifactsInput!$M$24)*CHOOSE(ArtifactsInput!$N$24+1,10,12,14,16,18,20)+IF(ArtifactsInput!$M$10,CHOOSE(ArtifactsInput!$N$10+1,15,18,21,24,27,30)*(IF(Inputs!$B$38="pvp",MIN(15,15)/15,IF(AND(Inputs!$B$38&lt;&gt;"pvp",Inputs!$B$43&gt;0),MIN(15,Inputs!$B$43)/(Inputs!$B$43),0))),0)))&gt;=100),MIN(100,((Inputs!$B$9+((C2498=TRUE)*(F2498-Calc!F19))+B2509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2498=TRUE)*(F2498-Calc!F19))+B2509+(ArtifactsInput!$M$24-ArtifactsInput!$M$24)*CHOOSE(ArtifactsInput!$N$24+1,10,12,14,16,18,20)+IF(ArtifactsInput!$M$10,CHOOSE(ArtifactsInput!$N$10+1,15,18,21,24,27,30)*(IF(Inputs!$B$38="pvp",MIN(15,15)/15,IF(AND(Inputs!$B$38&lt;&gt;"pvp",Inputs!$B$43&gt;0),MIN(15,Inputs!$B$43)/(Inputs!$B$43),0))),0)))&gt;=100),CHOOSE(ArtifactsInput!$N$42+1,40,48,56,64,72,80),0))))/100)*((1+(((C2496=TRUE)*F2496)+((C2503=TRUE)*(F2503-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2484)</f>
        <v/>
      </c>
      <c r="L2484">
        <f>K2484*(MIN(Inputs!$B$22+((C2501=TRUE)*(F2501-Calc!F22)),(Inputs!$B$23+0+(IF(ArtifactsInput!$M$15,CHOOSE(ArtifactsInput!$N$15+1,25,30,35,40,45,50)/100*(Inputs!$B$11-Inputs!$B$11),0))))/100+(Inputs!$B$23+0+(IF(ArtifactsInput!$M$15,CHOOSE(ArtifactsInput!$N$15+1,25,30,35,40,45,50)/100*(Inputs!$B$11-Inputs!$B$11),0)))/100)/2</f>
        <v/>
      </c>
      <c r="M2484">
        <f>L2484*(1+(Inputs!$B$10+((C2504=TRUE)*(F2504-Calc!F25))+B2514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4">
        <f>L2484*(1-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2484*(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4">
        <f>(1-Summary!$B$11)*T2484+Summary!$B$11*V2484</f>
        <v/>
      </c>
      <c r="P2484">
        <f>IF(B2519=0,0,O2484/B2519)</f>
        <v/>
      </c>
      <c r="Q2484">
        <f>IFERROR(1/(IF(Inputs!$B$38="pvp",15,MAX(0.1,Skills!D5-IF(Skills!E5=TRUE,Inputs!$B$32,0)))*(1-IF(AND(ArtifactsInput!$M$27,Inputs!$B$4="Chapter Hunt"),CHOOSE(ArtifactsInput!$N$27+1,20,24,28,32,36,40),0)/100)),0)</f>
        <v/>
      </c>
      <c r="R2484">
        <f>IF(AND(Inputs!$B$38&lt;&gt;"pvp",Inputs!$B$43&gt;0),IF(MAX(0,Inputs!$B$43-B2516)&lt;=0,0,(INT(MAX(0,Inputs!$B$43-B2516)/(IF(Inputs!$B$38="pvp",15,MAX(0.1,Skills!D5-IF(Skills!E5=TRUE,Inputs!$B$32,0)))*(1-IF(AND(ArtifactsInput!$M$27,Inputs!$B$4="Chapter Hunt"),CHOOSE(ArtifactsInput!$N$27+1,20,24,28,32,36,40),0)/100)))+1)),0)</f>
        <v/>
      </c>
      <c r="S2484">
        <f>IFERROR(O2484/N2484,0)</f>
        <v/>
      </c>
      <c r="T2484">
        <f>IF(C2484,(H2484*N2484*IF(AND(Inputs!$B$38&lt;&gt;"pvp",Inputs!$B$43&gt;0),((Skills!G5*((R2484-1)*IF(Skills!H5&gt;0,Skills!I5/Skills!H5,1)+IF(Skills!H5&gt;0,MIN(Skills!I5,MAX(0,MAX(0,Inputs!$B$43-B2516)-((R2484-1)*(IF(Inputs!$B$38="pvp",15,MAX(0.1,Skills!D5-IF(Skills!E5=TRUE,Inputs!$B$32,0)))*(1-IF(AND(ArtifactsInput!$M$27,Inputs!$B$4="Chapter Hunt"),CHOOSE(ArtifactsInput!$N$27+1,20,24,28,32,36,40),0)/100)))))/Skills!H5,1)))/Inputs!$B$43),G2484*Q2484)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2484*(1-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2484*(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2484*(1-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2484*(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4">
        <f>IF(C2484,(H2484*N2484*IF(AND(Inputs!$B$38&lt;&gt;"pvp",Inputs!$B$43&gt;0),((Skills!G5*((R2484-1)*IF(Skills!H5&gt;0,Skills!I5/Skills!H5,1)+IF(Skills!H5&gt;0,MIN(Skills!I5,MAX(0,MAX(0,Inputs!$B$43-B2516)-((R2484-1)*(IF(Inputs!$B$38="pvp",15,MAX(0.1,Skills!D5-IF(Skills!E5=TRUE,Inputs!$B$32,0)))*(1-IF(AND(ArtifactsInput!$M$27,Inputs!$B$4="Chapter Hunt"),CHOOSE(ArtifactsInput!$N$27+1,20,24,28,32,36,40),0)/100)))))/Skills!H5,1)))/Inputs!$B$43),G2484*Q2484))*IF(Inputs!$B$38="pvp",1,(1+(Inputs!$B$21+Skills!Q5+(IF(ArtifactsInput!$M$33,CHOOSE(ArtifactsInput!$N$33+1,30,36,42,48,54,60)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5">
      <c r="A2485">
        <f>Skills!A6</f>
        <v/>
      </c>
      <c r="B2485">
        <f>Skills!B6</f>
        <v/>
      </c>
      <c r="C2485">
        <f>Inputs!$B$3&gt;=63</f>
        <v/>
      </c>
      <c r="D2485">
        <f>IF(Skills!C6=1,60+Inputs!$B$25+Inputs!$B$29,IF(Skills!C6=2,90+Inputs!$B$26+Inputs!$B$29,IF(Skills!C6=3,120+Inputs!$B$27+Inputs!$B$29,MAX(0,(Inputs!$B$3-100)*3)+Inputs!$B$28+Inputs!$B$29)))</f>
        <v/>
      </c>
      <c r="E2485">
        <f>INDEX(FactorTable!$B$2:$Y$301, MATCH(ROUND(MIN(300,MAX(1,D2485)),0), FactorTable!$A$2:$A$301,0), Skills!M6+1)</f>
        <v/>
      </c>
      <c r="F2485">
        <f>IF(Skills!N6=TRUE,(Skills!L6/10)*(E2485/1000),Skills!L6/10)+Skills!O6</f>
        <v/>
      </c>
      <c r="G2485">
        <f>Skills!G6*IF(Skills!H6&gt;0,Skills!I6/Skills!H6,1)</f>
        <v/>
      </c>
      <c r="H2485">
        <f>1-(1-Skills!J6/100)^Skills!K6</f>
        <v/>
      </c>
      <c r="I2485" t="inlineStr">
        <is>
          <t>1</t>
        </is>
      </c>
      <c r="J2485">
        <f>((Inputs!$B$6*(1+Inputs!$B$7/100))+(((Inputs!$B$12*(1+Inputs!$B$13/100))-(Inputs!$B$12*(1+Inputs!$B$13/100)))+0.25*(Inputs!$B$14-Inputs!$B$14))*(1+Inputs!$B$7/100))*(F2485/100)</f>
        <v/>
      </c>
      <c r="K2485">
        <f>J2485*(1+((Inputs!$B$12*(1+Inputs!$B$13/100))*0.01+Inputs!$B$14*0.0025)/100)*(1+Inputs!$B$15/100)*(1+Inputs!$B$16/100)*(5000/(6000+Inputs!$B$42*(1-(100*(1-(1-(Inputs!$B$19+0)/100)*(1-CHOOSE(ArtifactsInput!$N$40+1,5,6,7,8,9,10)/100)^(ArtifactsInput!$M$40-ArtifactsInput!$M$40)))/100)))*(1+(Inputs!$B$24+((C2505=TRUE)*(F2505-Calc!F26))+B2515)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2494=TRUE,F2494,0)/100)*(1+(IF(Skills!A6="EIGHT_LEGS_EASTON",Inputs!$B$17+((C2502=TRUE)*(F2502-Calc!F23))+((C2506=TRUE)*(F2506-Calc!F27))+(((IF(AND(ArtifactsInput!$M$42,((Inputs!$B$9+((C2498=TRUE)*(F2498-Calc!F19))+B2509+(ArtifactsInput!$M$24-ArtifactsInput!$M$24)*CHOOSE(ArtifactsInput!$N$24+1,10,12,14,16,18,20)+IF(ArtifactsInput!$M$10,CHOOSE(ArtifactsInput!$N$10+1,15,18,21,24,27,30)*(IF(Inputs!$B$38="pvp",MIN(15,15)/15,IF(AND(Inputs!$B$38&lt;&gt;"pvp",Inputs!$B$43&gt;0),MIN(15,Inputs!$B$43)/(Inputs!$B$43),0))),0)))&gt;=100),MIN(100,((Inputs!$B$9+((C2498=TRUE)*(F2498-Calc!F19))+B2509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2498=TRUE)*(F2498-Calc!F19))+B2509+(ArtifactsInput!$M$24-ArtifactsInput!$M$24)*CHOOSE(ArtifactsInput!$N$24+1,10,12,14,16,18,20)+IF(ArtifactsInput!$M$10,CHOOSE(ArtifactsInput!$N$10+1,15,18,21,24,27,30)*(IF(Inputs!$B$38="pvp",MIN(15,15)/15,IF(AND(Inputs!$B$38&lt;&gt;"pvp",Inputs!$B$43&gt;0),MIN(15,Inputs!$B$43)/(Inputs!$B$43),0))),0)))&gt;=100),CHOOSE(ArtifactsInput!$N$42+1,40,48,56,64,72,80),0))))/100)*((1+(((C2496=TRUE)*F2496)+((C2503=TRUE)*(F2503-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2485)</f>
        <v/>
      </c>
      <c r="L2485">
        <f>K2485*(MIN(Inputs!$B$22+((C2501=TRUE)*(F2501-Calc!F22)),(Inputs!$B$23+0+(IF(ArtifactsInput!$M$15,CHOOSE(ArtifactsInput!$N$15+1,25,30,35,40,45,50)/100*(Inputs!$B$11-Inputs!$B$11),0))))/100+(Inputs!$B$23+0+(IF(ArtifactsInput!$M$15,CHOOSE(ArtifactsInput!$N$15+1,25,30,35,40,45,50)/100*(Inputs!$B$11-Inputs!$B$11),0)))/100)/2</f>
        <v/>
      </c>
      <c r="M2485">
        <f>L2485*(1+(Inputs!$B$10+((C2504=TRUE)*(F2504-Calc!F25))+B2514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5">
        <f>L2485*(1-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2485*(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5">
        <f>(1-Summary!$B$11)*T2485+Summary!$B$11*V2485</f>
        <v/>
      </c>
      <c r="P2485">
        <f>IF(B2519=0,0,O2485/B2519)</f>
        <v/>
      </c>
      <c r="Q2485">
        <f>IFERROR(1/(IF(Inputs!$B$38="pvp",15,MAX(0.1,Skills!D6-IF(Skills!E6=TRUE,Inputs!$B$32,0)))*(1-IF(AND(ArtifactsInput!$M$27,Inputs!$B$4="Chapter Hunt"),CHOOSE(ArtifactsInput!$N$27+1,20,24,28,32,36,40),0)/100)),0)</f>
        <v/>
      </c>
      <c r="R2485">
        <f>IF(AND(Inputs!$B$38&lt;&gt;"pvp",Inputs!$B$43&gt;0),IF(MAX(0,Inputs!$B$43-B2516)&lt;=0,0,(INT(MAX(0,Inputs!$B$43-B2516)/(IF(Inputs!$B$38="pvp",15,MAX(0.1,Skills!D6-IF(Skills!E6=TRUE,Inputs!$B$32,0)))*(1-IF(AND(ArtifactsInput!$M$27,Inputs!$B$4="Chapter Hunt"),CHOOSE(ArtifactsInput!$N$27+1,20,24,28,32,36,40),0)/100)))+1)),0)</f>
        <v/>
      </c>
      <c r="S2485">
        <f>IFERROR(O2485/N2485,0)</f>
        <v/>
      </c>
      <c r="T2485">
        <f>IF(C2485,(H2485*N2485*IF(AND(Inputs!$B$38&lt;&gt;"pvp",Inputs!$B$43&gt;0),((Skills!G6*((R2485-1)*IF(Skills!H6&gt;0,Skills!I6/Skills!H6,1)+IF(Skills!H6&gt;0,MIN(Skills!I6,MAX(0,MAX(0,Inputs!$B$43-B2516)-((R2485-1)*(IF(Inputs!$B$38="pvp",15,MAX(0.1,Skills!D6-IF(Skills!E6=TRUE,Inputs!$B$32,0)))*(1-IF(AND(ArtifactsInput!$M$27,Inputs!$B$4="Chapter Hunt"),CHOOSE(ArtifactsInput!$N$27+1,20,24,28,32,36,40),0)/100)))))/Skills!H6,1)))/Inputs!$B$43),G2485*Q2485)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2485*(1-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2485*(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2485*(1-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2485*(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5">
        <f>IF(C2485,(H2485*N2485*IF(AND(Inputs!$B$38&lt;&gt;"pvp",Inputs!$B$43&gt;0),((Skills!G6*((R2485-1)*IF(Skills!H6&gt;0,Skills!I6/Skills!H6,1)+IF(Skills!H6&gt;0,MIN(Skills!I6,MAX(0,MAX(0,Inputs!$B$43-B2516)-((R2485-1)*(IF(Inputs!$B$38="pvp",15,MAX(0.1,Skills!D6-IF(Skills!E6=TRUE,Inputs!$B$32,0)))*(1-IF(AND(ArtifactsInput!$M$27,Inputs!$B$4="Chapter Hunt"),CHOOSE(ArtifactsInput!$N$27+1,20,24,28,32,36,40),0)/100)))))/Skills!H6,1)))/Inputs!$B$43),G2485*Q2485))*IF(Inputs!$B$38="pvp",1,(1+(Inputs!$B$21+Skills!Q6+(IF(ArtifactsInput!$M$33,CHOOSE(ArtifactsInput!$N$33+1,30,36,42,48,54,60)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6">
      <c r="A2486">
        <f>Skills!A7</f>
        <v/>
      </c>
      <c r="B2486">
        <f>Skills!B7</f>
        <v/>
      </c>
      <c r="C2486">
        <f>Inputs!$B$3&gt;=66</f>
        <v/>
      </c>
      <c r="D2486">
        <f>IF(Skills!C7=1,60+Inputs!$B$25+Inputs!$B$29,IF(Skills!C7=2,90+Inputs!$B$26+Inputs!$B$29,IF(Skills!C7=3,120+Inputs!$B$27+Inputs!$B$29,MAX(0,(Inputs!$B$3-100)*3)+Inputs!$B$28+Inputs!$B$29)))</f>
        <v/>
      </c>
      <c r="E2486">
        <f>INDEX(FactorTable!$B$2:$Y$301, MATCH(ROUND(MIN(300,MAX(1,D2486)),0), FactorTable!$A$2:$A$301,0), Skills!M7+1)</f>
        <v/>
      </c>
      <c r="F2486">
        <f>IF(Skills!N7=TRUE,(Skills!L7/10)*(E2486/1000),Skills!L7/10)+Skills!O7</f>
        <v/>
      </c>
      <c r="G2486">
        <f>Skills!G7*IF(Skills!H7&gt;0,Skills!I7/Skills!H7,1)</f>
        <v/>
      </c>
      <c r="H2486">
        <f>1-(1-Skills!J7/100)^Skills!K7</f>
        <v/>
      </c>
      <c r="I2486" t="inlineStr">
        <is>
          <t>1</t>
        </is>
      </c>
      <c r="J2486">
        <f>((Inputs!$B$6*(1+Inputs!$B$7/100))+(((Inputs!$B$12*(1+Inputs!$B$13/100))-(Inputs!$B$12*(1+Inputs!$B$13/100)))+0.25*(Inputs!$B$14-Inputs!$B$14))*(1+Inputs!$B$7/100))*(F2486/100)</f>
        <v/>
      </c>
      <c r="K2486">
        <f>J2486*(1+((Inputs!$B$12*(1+Inputs!$B$13/100))*0.01+Inputs!$B$14*0.0025)/100)*(1+Inputs!$B$15/100)*(1+Inputs!$B$16/100)*(5000/(6000+Inputs!$B$42*(1-(100*(1-(1-(Inputs!$B$19+0)/100)*(1-CHOOSE(ArtifactsInput!$N$40+1,5,6,7,8,9,10)/100)^(ArtifactsInput!$M$40-ArtifactsInput!$M$40)))/100)))*(1+(Inputs!$B$24+((C2505=TRUE)*(F2505-Calc!F26))+B2515)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2494=TRUE,F2494,0)/100)*(1+(IF(Skills!A7="EIGHT_LEGS_EASTON",Inputs!$B$17+((C2502=TRUE)*(F2502-Calc!F23))+((C2506=TRUE)*(F2506-Calc!F27))+(((IF(AND(ArtifactsInput!$M$42,((Inputs!$B$9+((C2498=TRUE)*(F2498-Calc!F19))+B2509+(ArtifactsInput!$M$24-ArtifactsInput!$M$24)*CHOOSE(ArtifactsInput!$N$24+1,10,12,14,16,18,20)+IF(ArtifactsInput!$M$10,CHOOSE(ArtifactsInput!$N$10+1,15,18,21,24,27,30)*(IF(Inputs!$B$38="pvp",MIN(15,15)/15,IF(AND(Inputs!$B$38&lt;&gt;"pvp",Inputs!$B$43&gt;0),MIN(15,Inputs!$B$43)/(Inputs!$B$43),0))),0)))&gt;=100),MIN(100,((Inputs!$B$9+((C2498=TRUE)*(F2498-Calc!F19))+B2509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2498=TRUE)*(F2498-Calc!F19))+B2509+(ArtifactsInput!$M$24-ArtifactsInput!$M$24)*CHOOSE(ArtifactsInput!$N$24+1,10,12,14,16,18,20)+IF(ArtifactsInput!$M$10,CHOOSE(ArtifactsInput!$N$10+1,15,18,21,24,27,30)*(IF(Inputs!$B$38="pvp",MIN(15,15)/15,IF(AND(Inputs!$B$38&lt;&gt;"pvp",Inputs!$B$43&gt;0),MIN(15,Inputs!$B$43)/(Inputs!$B$43),0))),0)))&gt;=100),CHOOSE(ArtifactsInput!$N$42+1,40,48,56,64,72,80),0))))/100)*((1+(((C2496=TRUE)*F2496)+((C2503=TRUE)*(F2503-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2486)</f>
        <v/>
      </c>
      <c r="L2486">
        <f>K2486*(MIN(Inputs!$B$22+((C2501=TRUE)*(F2501-Calc!F22)),(Inputs!$B$23+0+(IF(ArtifactsInput!$M$15,CHOOSE(ArtifactsInput!$N$15+1,25,30,35,40,45,50)/100*(Inputs!$B$11-Inputs!$B$11),0))))/100+(Inputs!$B$23+0+(IF(ArtifactsInput!$M$15,CHOOSE(ArtifactsInput!$N$15+1,25,30,35,40,45,50)/100*(Inputs!$B$11-Inputs!$B$11),0)))/100)/2</f>
        <v/>
      </c>
      <c r="M2486">
        <f>L2486*(1+(Inputs!$B$10+((C2504=TRUE)*(F2504-Calc!F25))+B2514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6">
        <f>L2486*(1-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2486*(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6">
        <f>(1-Summary!$B$11)*T2486+Summary!$B$11*V2486</f>
        <v/>
      </c>
      <c r="P2486">
        <f>IF(B2519=0,0,O2486/B2519)</f>
        <v/>
      </c>
      <c r="Q2486">
        <f>IFERROR(1/(IF(Inputs!$B$38="pvp",15,MAX(0.1,Skills!D7-IF(Skills!E7=TRUE,Inputs!$B$32,0)))*(1-IF(AND(ArtifactsInput!$M$27,Inputs!$B$4="Chapter Hunt"),CHOOSE(ArtifactsInput!$N$27+1,20,24,28,32,36,40),0)/100)),0)</f>
        <v/>
      </c>
      <c r="R2486">
        <f>IF(AND(Inputs!$B$38&lt;&gt;"pvp",Inputs!$B$43&gt;0),IF(MAX(0,Inputs!$B$43-B2516)&lt;=0,0,(INT(MAX(0,Inputs!$B$43-B2516)/(IF(Inputs!$B$38="pvp",15,MAX(0.1,Skills!D7-IF(Skills!E7=TRUE,Inputs!$B$32,0)))*(1-IF(AND(ArtifactsInput!$M$27,Inputs!$B$4="Chapter Hunt"),CHOOSE(ArtifactsInput!$N$27+1,20,24,28,32,36,40),0)/100)))+1)),0)</f>
        <v/>
      </c>
      <c r="S2486">
        <f>IFERROR(O2486/N2486,0)</f>
        <v/>
      </c>
      <c r="T2486">
        <f>IF(C2486,(H2486*N2486*IF(AND(Inputs!$B$38&lt;&gt;"pvp",Inputs!$B$43&gt;0),((Skills!G7*((R2486-1)*IF(Skills!H7&gt;0,Skills!I7/Skills!H7,1)+IF(Skills!H7&gt;0,MIN(Skills!I7,MAX(0,MAX(0,Inputs!$B$43-B2516)-((R2486-1)*(IF(Inputs!$B$38="pvp",15,MAX(0.1,Skills!D7-IF(Skills!E7=TRUE,Inputs!$B$32,0)))*(1-IF(AND(ArtifactsInput!$M$27,Inputs!$B$4="Chapter Hunt"),CHOOSE(ArtifactsInput!$N$27+1,20,24,28,32,36,40),0)/100)))))/Skills!H7,1)))/Inputs!$B$43),G2486*Q2486)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2486*(1-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2486*(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2486*(1-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2486*(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6">
        <f>IF(C2486,(H2486*N2486*IF(AND(Inputs!$B$38&lt;&gt;"pvp",Inputs!$B$43&gt;0),((Skills!G7*((R2486-1)*IF(Skills!H7&gt;0,Skills!I7/Skills!H7,1)+IF(Skills!H7&gt;0,MIN(Skills!I7,MAX(0,MAX(0,Inputs!$B$43-B2516)-((R2486-1)*(IF(Inputs!$B$38="pvp",15,MAX(0.1,Skills!D7-IF(Skills!E7=TRUE,Inputs!$B$32,0)))*(1-IF(AND(ArtifactsInput!$M$27,Inputs!$B$4="Chapter Hunt"),CHOOSE(ArtifactsInput!$N$27+1,20,24,28,32,36,40),0)/100)))))/Skills!H7,1)))/Inputs!$B$43),G2486*Q2486))*IF(Inputs!$B$38="pvp",1,(1+(Inputs!$B$21+Skills!Q7+(IF(ArtifactsInput!$M$33,CHOOSE(ArtifactsInput!$N$33+1,30,36,42,48,54,60)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7">
      <c r="A2487">
        <f>Skills!A8</f>
        <v/>
      </c>
      <c r="B2487">
        <f>Skills!B8</f>
        <v/>
      </c>
      <c r="C2487">
        <f>Inputs!$B$3&gt;=100</f>
        <v/>
      </c>
      <c r="D2487">
        <f>IF(Skills!C8=1,60+Inputs!$B$25+Inputs!$B$29,IF(Skills!C8=2,90+Inputs!$B$26+Inputs!$B$29,IF(Skills!C8=3,120+Inputs!$B$27+Inputs!$B$29,MAX(0,(Inputs!$B$3-100)*3)+Inputs!$B$28+Inputs!$B$29)))</f>
        <v/>
      </c>
      <c r="E2487">
        <f>INDEX(FactorTable!$B$2:$Y$301, MATCH(ROUND(MIN(300,MAX(1,D2487)),0), FactorTable!$A$2:$A$301,0), Skills!M8+1)</f>
        <v/>
      </c>
      <c r="F2487">
        <f>IF(Skills!N8=TRUE,(Skills!L8/10)*(E2487/1000),Skills!L8/10)+Skills!O8</f>
        <v/>
      </c>
      <c r="G2487">
        <f>Skills!G8*IF(Skills!H8&gt;0,Skills!I8/Skills!H8,1)</f>
        <v/>
      </c>
      <c r="H2487">
        <f>1-(1-Skills!J8/100)^Skills!K8</f>
        <v/>
      </c>
      <c r="I2487" t="inlineStr">
        <is>
          <t>1</t>
        </is>
      </c>
      <c r="J2487">
        <f>((Inputs!$B$6*(1+Inputs!$B$7/100))+(((Inputs!$B$12*(1+Inputs!$B$13/100))-(Inputs!$B$12*(1+Inputs!$B$13/100)))+0.25*(Inputs!$B$14-Inputs!$B$14))*(1+Inputs!$B$7/100))*(F2487/100)</f>
        <v/>
      </c>
      <c r="K2487">
        <f>J2487*(1+((Inputs!$B$12*(1+Inputs!$B$13/100))*0.01+Inputs!$B$14*0.0025)/100)*(1+Inputs!$B$15/100)*(1+Inputs!$B$16/100)*(5000/(6000+Inputs!$B$42*(1-(100*(1-(1-(Inputs!$B$19+0)/100)*(1-CHOOSE(ArtifactsInput!$N$40+1,5,6,7,8,9,10)/100)^(ArtifactsInput!$M$40-ArtifactsInput!$M$40)))/100)))*(1+(Inputs!$B$24+((C2505=TRUE)*(F2505-Calc!F26))+B2515)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2502=TRUE)*(F2502-Calc!F23))+((C2506=TRUE)*(F2506-Calc!F27))+(((IF(AND(ArtifactsInput!$M$42,((Inputs!$B$9+((C2498=TRUE)*(F2498-Calc!F19))+B2509+(ArtifactsInput!$M$24-ArtifactsInput!$M$24)*CHOOSE(ArtifactsInput!$N$24+1,10,12,14,16,18,20)+IF(ArtifactsInput!$M$10,CHOOSE(ArtifactsInput!$N$10+1,15,18,21,24,27,30)*(IF(Inputs!$B$38="pvp",MIN(15,15)/15,IF(AND(Inputs!$B$38&lt;&gt;"pvp",Inputs!$B$43&gt;0),MIN(15,Inputs!$B$43)/(Inputs!$B$43),0))),0)))&gt;=100),MIN(100,((Inputs!$B$9+((C2498=TRUE)*(F2498-Calc!F19))+B2509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2498=TRUE)*(F2498-Calc!F19))+B2509+(ArtifactsInput!$M$24-ArtifactsInput!$M$24)*CHOOSE(ArtifactsInput!$N$24+1,10,12,14,16,18,20)+IF(ArtifactsInput!$M$10,CHOOSE(ArtifactsInput!$N$10+1,15,18,21,24,27,30)*(IF(Inputs!$B$38="pvp",MIN(15,15)/15,IF(AND(Inputs!$B$38&lt;&gt;"pvp",Inputs!$B$43&gt;0),MIN(15,Inputs!$B$43)/(Inputs!$B$43),0))),0)))&gt;=100),CHOOSE(ArtifactsInput!$N$42+1,40,48,56,64,72,80),0))))/100)*((1+(((C2496=TRUE)*F2496)+((C2503=TRUE)*(F2503-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2487)</f>
        <v/>
      </c>
      <c r="L2487">
        <f>K2487*(MIN(Inputs!$B$22+((C2501=TRUE)*(F2501-Calc!F22)),(Inputs!$B$23+0+(IF(ArtifactsInput!$M$15,CHOOSE(ArtifactsInput!$N$15+1,25,30,35,40,45,50)/100*(Inputs!$B$11-Inputs!$B$11),0))))/100+(Inputs!$B$23+0+(IF(ArtifactsInput!$M$15,CHOOSE(ArtifactsInput!$N$15+1,25,30,35,40,45,50)/100*(Inputs!$B$11-Inputs!$B$11),0)))/100)/2</f>
        <v/>
      </c>
      <c r="M2487">
        <f>L2487*(1+(Inputs!$B$10+((C2504=TRUE)*(F2504-Calc!F25))+B2514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7">
        <f>L2487*(1-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2487*(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7">
        <f>(1-Summary!$B$11)*T2487+Summary!$B$11*V2487</f>
        <v/>
      </c>
      <c r="P2487">
        <f>IF(B2519=0,0,O2487/B2519)</f>
        <v/>
      </c>
      <c r="Q2487">
        <f>IFERROR(1/(IF(Inputs!$B$38="pvp",15,MAX(0.1,Skills!D8-IF(Skills!E8=TRUE,Inputs!$B$32,0)))*(1-IF(AND(ArtifactsInput!$M$27,Inputs!$B$4="Chapter Hunt"),CHOOSE(ArtifactsInput!$N$27+1,20,24,28,32,36,40),0)/100)),0)</f>
        <v/>
      </c>
      <c r="R2487">
        <f>IF(AND(Inputs!$B$38&lt;&gt;"pvp",Inputs!$B$43&gt;0),IF(MAX(0,Inputs!$B$43-B2516)&lt;=0,0,(INT(MAX(0,Inputs!$B$43-B2516)/(IF(Inputs!$B$38="pvp",15,MAX(0.1,Skills!D8-IF(Skills!E8=TRUE,Inputs!$B$32,0)))*(1-IF(AND(ArtifactsInput!$M$27,Inputs!$B$4="Chapter Hunt"),CHOOSE(ArtifactsInput!$N$27+1,20,24,28,32,36,40),0)/100)))+1)),0)</f>
        <v/>
      </c>
      <c r="S2487">
        <f>IFERROR(O2487/N2487,0)</f>
        <v/>
      </c>
      <c r="T2487">
        <f>IF(C2487,(H2487*N2487*IF(AND(Inputs!$B$38&lt;&gt;"pvp",Inputs!$B$43&gt;0),((Skills!G8*((R2487-1)*IF(Skills!H8&gt;0,Skills!I8/Skills!H8,1)+IF(Skills!H8&gt;0,MIN(Skills!I8,MAX(0,MAX(0,Inputs!$B$43-B2516)-((R2487-1)*(IF(Inputs!$B$38="pvp",15,MAX(0.1,Skills!D8-IF(Skills!E8=TRUE,Inputs!$B$32,0)))*(1-IF(AND(ArtifactsInput!$M$27,Inputs!$B$4="Chapter Hunt"),CHOOSE(ArtifactsInput!$N$27+1,20,24,28,32,36,40),0)/100)))))/Skills!H8,1)))/Inputs!$B$43),G2487*Q2487)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2487*(1-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2487*(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2487*(1-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2487*(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7">
        <f>IF(C2487,(H2487*N2487*IF(AND(Inputs!$B$38&lt;&gt;"pvp",Inputs!$B$43&gt;0),((Skills!G8*((R2487-1)*IF(Skills!H8&gt;0,Skills!I8/Skills!H8,1)+IF(Skills!H8&gt;0,MIN(Skills!I8,MAX(0,MAX(0,Inputs!$B$43-B2516)-((R2487-1)*(IF(Inputs!$B$38="pvp",15,MAX(0.1,Skills!D8-IF(Skills!E8=TRUE,Inputs!$B$32,0)))*(1-IF(AND(ArtifactsInput!$M$27,Inputs!$B$4="Chapter Hunt"),CHOOSE(ArtifactsInput!$N$27+1,20,24,28,32,36,40),0)/100)))))/Skills!H8,1)))/Inputs!$B$43),G2487*Q2487))*IF(Inputs!$B$38="pvp",1,(1+(Inputs!$B$21+Skills!Q8+(IF(ArtifactsInput!$M$33,CHOOSE(ArtifactsInput!$N$33+1,30,36,42,48,54,60)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8">
      <c r="A2488">
        <f>Skills!A9</f>
        <v/>
      </c>
      <c r="B2488">
        <f>Skills!B9</f>
        <v/>
      </c>
      <c r="C2488">
        <f>Inputs!$B$3&gt;=103</f>
        <v/>
      </c>
      <c r="D2488">
        <f>IF(Skills!C9=1,60+Inputs!$B$25+Inputs!$B$29,IF(Skills!C9=2,90+Inputs!$B$26+Inputs!$B$29,IF(Skills!C9=3,120+Inputs!$B$27+Inputs!$B$29,MAX(0,(Inputs!$B$3-100)*3)+Inputs!$B$28+Inputs!$B$29)))</f>
        <v/>
      </c>
      <c r="E2488">
        <f>INDEX(FactorTable!$B$2:$Y$301, MATCH(ROUND(MIN(300,MAX(1,D2488)),0), FactorTable!$A$2:$A$301,0), Skills!M9+1)</f>
        <v/>
      </c>
      <c r="F2488">
        <f>IF(Skills!N9=TRUE,(Skills!L9/10)*(E2488/1000),Skills!L9/10)+Skills!O9</f>
        <v/>
      </c>
      <c r="G2488">
        <f>Skills!G9*IF(Skills!H9&gt;0,Skills!I9/Skills!H9,1)</f>
        <v/>
      </c>
      <c r="H2488">
        <f>1-(1-Skills!J9/100)^Skills!K9</f>
        <v/>
      </c>
      <c r="I2488" t="inlineStr">
        <is>
          <t>1</t>
        </is>
      </c>
      <c r="J2488">
        <f>((Inputs!$B$6*(1+Inputs!$B$7/100))+(((Inputs!$B$12*(1+Inputs!$B$13/100))-(Inputs!$B$12*(1+Inputs!$B$13/100)))+0.25*(Inputs!$B$14-Inputs!$B$14))*(1+Inputs!$B$7/100))*(F2488/100)</f>
        <v/>
      </c>
      <c r="K2488">
        <f>J2488*(1+((Inputs!$B$12*(1+Inputs!$B$13/100))*0.01+Inputs!$B$14*0.0025)/100)*(1+Inputs!$B$15/100)*(1+Inputs!$B$16/100)*(5000/(6000+Inputs!$B$42*(1-(100*(1-(1-(Inputs!$B$19+0)/100)*(1-CHOOSE(ArtifactsInput!$N$40+1,5,6,7,8,9,10)/100)^(ArtifactsInput!$M$40-ArtifactsInput!$M$40)))/100)))*(1+(Inputs!$B$24+((C2505=TRUE)*(F2505-Calc!F26))+B2515)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2502=TRUE)*(F2502-Calc!F23))+((C2506=TRUE)*(F2506-Calc!F27))+(((IF(AND(ArtifactsInput!$M$42,((Inputs!$B$9+((C2498=TRUE)*(F2498-Calc!F19))+B2509+(ArtifactsInput!$M$24-ArtifactsInput!$M$24)*CHOOSE(ArtifactsInput!$N$24+1,10,12,14,16,18,20)+IF(ArtifactsInput!$M$10,CHOOSE(ArtifactsInput!$N$10+1,15,18,21,24,27,30)*(IF(Inputs!$B$38="pvp",MIN(15,15)/15,IF(AND(Inputs!$B$38&lt;&gt;"pvp",Inputs!$B$43&gt;0),MIN(15,Inputs!$B$43)/(Inputs!$B$43),0))),0)))&gt;=100),MIN(100,((Inputs!$B$9+((C2498=TRUE)*(F2498-Calc!F19))+B2509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2498=TRUE)*(F2498-Calc!F19))+B2509+(ArtifactsInput!$M$24-ArtifactsInput!$M$24)*CHOOSE(ArtifactsInput!$N$24+1,10,12,14,16,18,20)+IF(ArtifactsInput!$M$10,CHOOSE(ArtifactsInput!$N$10+1,15,18,21,24,27,30)*(IF(Inputs!$B$38="pvp",MIN(15,15)/15,IF(AND(Inputs!$B$38&lt;&gt;"pvp",Inputs!$B$43&gt;0),MIN(15,Inputs!$B$43)/(Inputs!$B$43),0))),0)))&gt;=100),CHOOSE(ArtifactsInput!$N$42+1,40,48,56,64,72,80),0))))/100)*((1+(((C2496=TRUE)*F2496)+((C2503=TRUE)*(F2503-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2488)</f>
        <v/>
      </c>
      <c r="L2488">
        <f>K2488*(MIN(Inputs!$B$22+((C2501=TRUE)*(F2501-Calc!F22)),(Inputs!$B$23+0+(IF(ArtifactsInput!$M$15,CHOOSE(ArtifactsInput!$N$15+1,25,30,35,40,45,50)/100*(Inputs!$B$11-Inputs!$B$11),0))))/100+(Inputs!$B$23+0+(IF(ArtifactsInput!$M$15,CHOOSE(ArtifactsInput!$N$15+1,25,30,35,40,45,50)/100*(Inputs!$B$11-Inputs!$B$11),0)))/100)/2</f>
        <v/>
      </c>
      <c r="M2488">
        <f>L2488*(1+(Inputs!$B$10+((C2504=TRUE)*(F2504-Calc!F25))+B2514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8">
        <f>L2488*(1-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2488*(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8">
        <f>(1-Summary!$B$11)*T2488+Summary!$B$11*V2488</f>
        <v/>
      </c>
      <c r="P2488">
        <f>IF(B2519=0,0,O2488/B2519)</f>
        <v/>
      </c>
      <c r="Q2488">
        <f>IFERROR(1/(IF(Inputs!$B$38="pvp",15,MAX(0.1,Skills!D9-IF(Skills!E9=TRUE,Inputs!$B$32,0)))*(1-IF(AND(ArtifactsInput!$M$27,Inputs!$B$4="Chapter Hunt"),CHOOSE(ArtifactsInput!$N$27+1,20,24,28,32,36,40),0)/100)),0)</f>
        <v/>
      </c>
      <c r="R2488">
        <f>IF(AND(Inputs!$B$38&lt;&gt;"pvp",Inputs!$B$43&gt;0),IF(MAX(0,Inputs!$B$43-B2516)&lt;=0,0,(INT(MAX(0,Inputs!$B$43-B2516)/(IF(Inputs!$B$38="pvp",15,MAX(0.1,Skills!D9-IF(Skills!E9=TRUE,Inputs!$B$32,0)))*(1-IF(AND(ArtifactsInput!$M$27,Inputs!$B$4="Chapter Hunt"),CHOOSE(ArtifactsInput!$N$27+1,20,24,28,32,36,40),0)/100)))+1)),0)</f>
        <v/>
      </c>
      <c r="S2488">
        <f>IFERROR(O2488/N2488,0)</f>
        <v/>
      </c>
      <c r="T2488">
        <f>IF(C2488,(H2488*N2488*IF(AND(Inputs!$B$38&lt;&gt;"pvp",Inputs!$B$43&gt;0),((Skills!G9*((R2488-1)*IF(Skills!H9&gt;0,Skills!I9/Skills!H9,1)+IF(Skills!H9&gt;0,MIN(Skills!I9,MAX(0,MAX(0,Inputs!$B$43-B2516)-((R2488-1)*(IF(Inputs!$B$38="pvp",15,MAX(0.1,Skills!D9-IF(Skills!E9=TRUE,Inputs!$B$32,0)))*(1-IF(AND(ArtifactsInput!$M$27,Inputs!$B$4="Chapter Hunt"),CHOOSE(ArtifactsInput!$N$27+1,20,24,28,32,36,40),0)/100)))))/Skills!H9,1)))/Inputs!$B$43),G2488*Q2488)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2488*(1-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2488*(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2488*(1-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2488*(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8">
        <f>IF(C2488,(H2488*N2488*IF(AND(Inputs!$B$38&lt;&gt;"pvp",Inputs!$B$43&gt;0),((Skills!G9*((R2488-1)*IF(Skills!H9&gt;0,Skills!I9/Skills!H9,1)+IF(Skills!H9&gt;0,MIN(Skills!I9,MAX(0,MAX(0,Inputs!$B$43-B2516)-((R2488-1)*(IF(Inputs!$B$38="pvp",15,MAX(0.1,Skills!D9-IF(Skills!E9=TRUE,Inputs!$B$32,0)))*(1-IF(AND(ArtifactsInput!$M$27,Inputs!$B$4="Chapter Hunt"),CHOOSE(ArtifactsInput!$N$27+1,20,24,28,32,36,40),0)/100)))))/Skills!H9,1)))/Inputs!$B$43),G2488*Q2488))*IF(Inputs!$B$38="pvp",1,(1+(Inputs!$B$21+Skills!Q9+(IF(ArtifactsInput!$M$33,CHOOSE(ArtifactsInput!$N$33+1,30,36,42,48,54,60)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9">
      <c r="A2489">
        <f>Skills!A10</f>
        <v/>
      </c>
      <c r="B2489">
        <f>Skills!B10</f>
        <v/>
      </c>
      <c r="C2489">
        <f>Inputs!$B$3&gt;=113</f>
        <v/>
      </c>
      <c r="D2489">
        <f>IF(Skills!C10=1,60+Inputs!$B$25+Inputs!$B$29,IF(Skills!C10=2,90+Inputs!$B$26+Inputs!$B$29,IF(Skills!C10=3,120+Inputs!$B$27+Inputs!$B$29,MAX(0,(Inputs!$B$3-100)*3)+Inputs!$B$28+Inputs!$B$29)))</f>
        <v/>
      </c>
      <c r="E2489">
        <f>INDEX(FactorTable!$B$2:$Y$301, MATCH(ROUND(MIN(300,MAX(1,D2489)),0), FactorTable!$A$2:$A$301,0), Skills!M10+1)</f>
        <v/>
      </c>
      <c r="F2489">
        <f>IF(Skills!N10=TRUE,(Skills!L10/10)*(E2489/1000),Skills!L10/10)+Skills!O10</f>
        <v/>
      </c>
      <c r="G2489">
        <f>Skills!G10*IF(Skills!H10&gt;0,Skills!I10/Skills!H10,1)</f>
        <v/>
      </c>
      <c r="H2489">
        <f>1-(1-Skills!J10/100)^Skills!K10</f>
        <v/>
      </c>
      <c r="I2489" t="inlineStr">
        <is>
          <t>1</t>
        </is>
      </c>
      <c r="J2489">
        <f>((Inputs!$B$6*(1+Inputs!$B$7/100))+(((Inputs!$B$12*(1+Inputs!$B$13/100))-(Inputs!$B$12*(1+Inputs!$B$13/100)))+0.25*(Inputs!$B$14-Inputs!$B$14))*(1+Inputs!$B$7/100))*(F2489/100)</f>
        <v/>
      </c>
      <c r="K2489">
        <f>J2489*(1+((Inputs!$B$12*(1+Inputs!$B$13/100))*0.01+Inputs!$B$14*0.0025)/100)*(1+Inputs!$B$15/100)*(1+Inputs!$B$16/100)*(5000/(6000+Inputs!$B$42*(1-(100*(1-(1-(Inputs!$B$19+0)/100)*(1-CHOOSE(ArtifactsInput!$N$40+1,5,6,7,8,9,10)/100)^(ArtifactsInput!$M$40-ArtifactsInput!$M$40)))/100)))*(1+(Inputs!$B$24+((C2505=TRUE)*(F2505-Calc!F26))+B2515)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2502=TRUE)*(F2502-Calc!F23))+((C2506=TRUE)*(F2506-Calc!F27))+(((IF(AND(ArtifactsInput!$M$42,((Inputs!$B$9+((C2498=TRUE)*(F2498-Calc!F19))+B2509+(ArtifactsInput!$M$24-ArtifactsInput!$M$24)*CHOOSE(ArtifactsInput!$N$24+1,10,12,14,16,18,20)+IF(ArtifactsInput!$M$10,CHOOSE(ArtifactsInput!$N$10+1,15,18,21,24,27,30)*(IF(Inputs!$B$38="pvp",MIN(15,15)/15,IF(AND(Inputs!$B$38&lt;&gt;"pvp",Inputs!$B$43&gt;0),MIN(15,Inputs!$B$43)/(Inputs!$B$43),0))),0)))&gt;=100),MIN(100,((Inputs!$B$9+((C2498=TRUE)*(F2498-Calc!F19))+B2509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2498=TRUE)*(F2498-Calc!F19))+B2509+(ArtifactsInput!$M$24-ArtifactsInput!$M$24)*CHOOSE(ArtifactsInput!$N$24+1,10,12,14,16,18,20)+IF(ArtifactsInput!$M$10,CHOOSE(ArtifactsInput!$N$10+1,15,18,21,24,27,30)*(IF(Inputs!$B$38="pvp",MIN(15,15)/15,IF(AND(Inputs!$B$38&lt;&gt;"pvp",Inputs!$B$43&gt;0),MIN(15,Inputs!$B$43)/(Inputs!$B$43),0))),0)))&gt;=100),CHOOSE(ArtifactsInput!$N$42+1,40,48,56,64,72,80),0))))/100)*((1+(((C2496=TRUE)*F2496)+((C2503=TRUE)*(F2503-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2489)</f>
        <v/>
      </c>
      <c r="L2489">
        <f>K2489*(MIN(Inputs!$B$22+((C2501=TRUE)*(F2501-Calc!F22)),(Inputs!$B$23+0+(IF(ArtifactsInput!$M$15,CHOOSE(ArtifactsInput!$N$15+1,25,30,35,40,45,50)/100*(Inputs!$B$11-Inputs!$B$11),0))))/100+(Inputs!$B$23+0+(IF(ArtifactsInput!$M$15,CHOOSE(ArtifactsInput!$N$15+1,25,30,35,40,45,50)/100*(Inputs!$B$11-Inputs!$B$11),0)))/100)/2</f>
        <v/>
      </c>
      <c r="M2489">
        <f>L2489*(1+(Inputs!$B$10+((C2504=TRUE)*(F2504-Calc!F25))+B2514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9">
        <f>L2489*(1-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2489*(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9">
        <f>(1-Summary!$B$11)*T2489+Summary!$B$11*V2489</f>
        <v/>
      </c>
      <c r="P2489">
        <f>IF(B2519=0,0,O2489/B2519)</f>
        <v/>
      </c>
      <c r="Q2489">
        <f>IFERROR(1/(IF(Inputs!$B$38="pvp",15,MAX(0.1,Skills!D10-IF(Skills!E10=TRUE,Inputs!$B$32,0)))*(1-IF(AND(ArtifactsInput!$M$27,Inputs!$B$4="Chapter Hunt"),CHOOSE(ArtifactsInput!$N$27+1,20,24,28,32,36,40),0)/100)),0)</f>
        <v/>
      </c>
      <c r="R2489">
        <f>IF(AND(Inputs!$B$38&lt;&gt;"pvp",Inputs!$B$43&gt;0),IF(MAX(0,Inputs!$B$43-B2516)&lt;=0,0,(INT(MAX(0,Inputs!$B$43-B2516)/(IF(Inputs!$B$38="pvp",15,MAX(0.1,Skills!D10-IF(Skills!E10=TRUE,Inputs!$B$32,0)))*(1-IF(AND(ArtifactsInput!$M$27,Inputs!$B$4="Chapter Hunt"),CHOOSE(ArtifactsInput!$N$27+1,20,24,28,32,36,40),0)/100)))+1)),0)</f>
        <v/>
      </c>
      <c r="S2489">
        <f>IFERROR(O2489/N2489,0)</f>
        <v/>
      </c>
      <c r="T2489">
        <f>IF(C2489,(H2489*N2489*IF(AND(Inputs!$B$38&lt;&gt;"pvp",Inputs!$B$43&gt;0),((Skills!G10*((R2489-1)*IF(Skills!H10&gt;0,Skills!I10/Skills!H10,1)+IF(Skills!H10&gt;0,MIN(Skills!I10,MAX(0,MAX(0,Inputs!$B$43-B2516)-((R2489-1)*(IF(Inputs!$B$38="pvp",15,MAX(0.1,Skills!D10-IF(Skills!E10=TRUE,Inputs!$B$32,0)))*(1-IF(AND(ArtifactsInput!$M$27,Inputs!$B$4="Chapter Hunt"),CHOOSE(ArtifactsInput!$N$27+1,20,24,28,32,36,40),0)/100)))))/Skills!H10,1)))/Inputs!$B$43),G2489*Q2489)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2489*(1-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2489*(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2489*(1-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2489*(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9">
        <f>IF(C2489,(H2489*N2489*IF(AND(Inputs!$B$38&lt;&gt;"pvp",Inputs!$B$43&gt;0),((Skills!G10*((R2489-1)*IF(Skills!H10&gt;0,Skills!I10/Skills!H10,1)+IF(Skills!H10&gt;0,MIN(Skills!I10,MAX(0,MAX(0,Inputs!$B$43-B2516)-((R2489-1)*(IF(Inputs!$B$38="pvp",15,MAX(0.1,Skills!D10-IF(Skills!E10=TRUE,Inputs!$B$32,0)))*(1-IF(AND(ArtifactsInput!$M$27,Inputs!$B$4="Chapter Hunt"),CHOOSE(ArtifactsInput!$N$27+1,20,24,28,32,36,40),0)/100)))))/Skills!H10,1)))/Inputs!$B$43),G2489*Q2489))*IF(Inputs!$B$38="pvp",1,(1+(Inputs!$B$21+Skills!Q10+(IF(ArtifactsInput!$M$33,CHOOSE(ArtifactsInput!$N$33+1,30,36,42,48,54,60)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0">
      <c r="A2490">
        <f>Skills!A11</f>
        <v/>
      </c>
      <c r="B2490">
        <f>Skills!B11</f>
        <v/>
      </c>
      <c r="C2490">
        <f>Inputs!$B$3&gt;=107</f>
        <v/>
      </c>
      <c r="D2490">
        <f>IF(Skills!C11=1,60+Inputs!$B$25+Inputs!$B$29,IF(Skills!C11=2,90+Inputs!$B$26+Inputs!$B$29,IF(Skills!C11=3,120+Inputs!$B$27+Inputs!$B$29,MAX(0,(Inputs!$B$3-100)*3)+Inputs!$B$28+Inputs!$B$29)))</f>
        <v/>
      </c>
      <c r="E2490">
        <f>INDEX(FactorTable!$B$2:$Y$301, MATCH(ROUND(MIN(300,MAX(1,D2490)),0), FactorTable!$A$2:$A$301,0), Skills!M11+1)</f>
        <v/>
      </c>
      <c r="F2490">
        <f>IF(Skills!N11=TRUE,(Skills!L11/10)*(E2490/1000),Skills!L11/10)+Skills!O11</f>
        <v/>
      </c>
      <c r="G2490">
        <f>Skills!G11*IF(Skills!H11&gt;0,Skills!I11/Skills!H11,1)</f>
        <v/>
      </c>
      <c r="H2490">
        <f>1-(1-Skills!J11/100)^Skills!K11</f>
        <v/>
      </c>
      <c r="I2490" t="inlineStr">
        <is>
          <t>1</t>
        </is>
      </c>
      <c r="J2490">
        <f>((Inputs!$B$6*(1+Inputs!$B$7/100))+(((Inputs!$B$12*(1+Inputs!$B$13/100))-(Inputs!$B$12*(1+Inputs!$B$13/100)))+0.25*(Inputs!$B$14-Inputs!$B$14))*(1+Inputs!$B$7/100))*(F2490/100)</f>
        <v/>
      </c>
      <c r="K2490">
        <f>J2490*(1+((Inputs!$B$12*(1+Inputs!$B$13/100))*0.01+Inputs!$B$14*0.0025)/100)*(1+Inputs!$B$15/100)*(1+Inputs!$B$16/100)*(5000/(6000+Inputs!$B$42*(1-(100*(1-(1-(Inputs!$B$19+0)/100)*(1-CHOOSE(ArtifactsInput!$N$40+1,5,6,7,8,9,10)/100)^(ArtifactsInput!$M$40-ArtifactsInput!$M$40)))/100)))*(1+(Inputs!$B$24+((C2505=TRUE)*(F2505-Calc!F26))+B2515)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2502=TRUE)*(F2502-Calc!F23))+((C2506=TRUE)*(F2506-Calc!F27))+(((IF(AND(ArtifactsInput!$M$42,((Inputs!$B$9+((C2498=TRUE)*(F2498-Calc!F19))+B2509+(ArtifactsInput!$M$24-ArtifactsInput!$M$24)*CHOOSE(ArtifactsInput!$N$24+1,10,12,14,16,18,20)+IF(ArtifactsInput!$M$10,CHOOSE(ArtifactsInput!$N$10+1,15,18,21,24,27,30)*(IF(Inputs!$B$38="pvp",MIN(15,15)/15,IF(AND(Inputs!$B$38&lt;&gt;"pvp",Inputs!$B$43&gt;0),MIN(15,Inputs!$B$43)/(Inputs!$B$43),0))),0)))&gt;=100),MIN(100,((Inputs!$B$9+((C2498=TRUE)*(F2498-Calc!F19))+B2509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2498=TRUE)*(F2498-Calc!F19))+B2509+(ArtifactsInput!$M$24-ArtifactsInput!$M$24)*CHOOSE(ArtifactsInput!$N$24+1,10,12,14,16,18,20)+IF(ArtifactsInput!$M$10,CHOOSE(ArtifactsInput!$N$10+1,15,18,21,24,27,30)*(IF(Inputs!$B$38="pvp",MIN(15,15)/15,IF(AND(Inputs!$B$38&lt;&gt;"pvp",Inputs!$B$43&gt;0),MIN(15,Inputs!$B$43)/(Inputs!$B$43),0))),0)))&gt;=100),CHOOSE(ArtifactsInput!$N$42+1,40,48,56,64,72,80),0))))/100)*((1+(((C2496=TRUE)*F2496)+((C2503=TRUE)*(F2503-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2490)</f>
        <v/>
      </c>
      <c r="L2490">
        <f>K2490*(MIN(Inputs!$B$22+((C2501=TRUE)*(F2501-Calc!F22)),(Inputs!$B$23+0+(IF(ArtifactsInput!$M$15,CHOOSE(ArtifactsInput!$N$15+1,25,30,35,40,45,50)/100*(Inputs!$B$11-Inputs!$B$11),0))))/100+(Inputs!$B$23+0+(IF(ArtifactsInput!$M$15,CHOOSE(ArtifactsInput!$N$15+1,25,30,35,40,45,50)/100*(Inputs!$B$11-Inputs!$B$11),0)))/100)/2</f>
        <v/>
      </c>
      <c r="M2490">
        <f>L2490*(1+(Inputs!$B$10+((C2504=TRUE)*(F2504-Calc!F25))+B2514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0">
        <f>L2490*(1-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2490*(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0">
        <f>(1-Summary!$B$11)*T2490+Summary!$B$11*V2490</f>
        <v/>
      </c>
      <c r="P2490">
        <f>IF(B2519=0,0,O2490/B2519)</f>
        <v/>
      </c>
      <c r="Q2490">
        <f>IFERROR(1/(IF(Inputs!$B$38="pvp",15,MAX(0.1,Skills!D11-IF(Skills!E11=TRUE,Inputs!$B$32,0)))*(1-IF(AND(ArtifactsInput!$M$27,Inputs!$B$4="Chapter Hunt"),CHOOSE(ArtifactsInput!$N$27+1,20,24,28,32,36,40),0)/100)),0)</f>
        <v/>
      </c>
      <c r="R2490">
        <f>IF(AND(Inputs!$B$38&lt;&gt;"pvp",Inputs!$B$43&gt;0),IF(MAX(0,Inputs!$B$43-B2516)&lt;=0,0,(INT(MAX(0,Inputs!$B$43-B2516)/(IF(Inputs!$B$38="pvp",15,MAX(0.1,Skills!D11-IF(Skills!E11=TRUE,Inputs!$B$32,0)))*(1-IF(AND(ArtifactsInput!$M$27,Inputs!$B$4="Chapter Hunt"),CHOOSE(ArtifactsInput!$N$27+1,20,24,28,32,36,40),0)/100)))+1)),0)</f>
        <v/>
      </c>
      <c r="S2490">
        <f>IFERROR(O2490/N2490,0)</f>
        <v/>
      </c>
      <c r="T2490">
        <f>IF(C2490,(H2490*N2490*IF(AND(Inputs!$B$38&lt;&gt;"pvp",Inputs!$B$43&gt;0),((Skills!G11*((R2490-1)*IF(Skills!H11&gt;0,Skills!I11/Skills!H11,1)+IF(Skills!H11&gt;0,MIN(Skills!I11,MAX(0,MAX(0,Inputs!$B$43-B2516)-((R2490-1)*(IF(Inputs!$B$38="pvp",15,MAX(0.1,Skills!D11-IF(Skills!E11=TRUE,Inputs!$B$32,0)))*(1-IF(AND(ArtifactsInput!$M$27,Inputs!$B$4="Chapter Hunt"),CHOOSE(ArtifactsInput!$N$27+1,20,24,28,32,36,40),0)/100)))))/Skills!H11,1)))/Inputs!$B$43),G2490*Q2490)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2490*(1-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2490*(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2490*(1-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2490*(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0">
        <f>IF(C2490,(H2490*N2490*IF(AND(Inputs!$B$38&lt;&gt;"pvp",Inputs!$B$43&gt;0),((Skills!G11*((R2490-1)*IF(Skills!H11&gt;0,Skills!I11/Skills!H11,1)+IF(Skills!H11&gt;0,MIN(Skills!I11,MAX(0,MAX(0,Inputs!$B$43-B2516)-((R2490-1)*(IF(Inputs!$B$38="pvp",15,MAX(0.1,Skills!D11-IF(Skills!E11=TRUE,Inputs!$B$32,0)))*(1-IF(AND(ArtifactsInput!$M$27,Inputs!$B$4="Chapter Hunt"),CHOOSE(ArtifactsInput!$N$27+1,20,24,28,32,36,40),0)/100)))))/Skills!H11,1)))/Inputs!$B$43),G2490*Q2490))*IF(Inputs!$B$38="pvp",1,(1+(Inputs!$B$21+Skills!Q11+(IF(ArtifactsInput!$M$33,CHOOSE(ArtifactsInput!$N$33+1,30,36,42,48,54,60)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1">
      <c r="A2491">
        <f>Skills!A12</f>
        <v/>
      </c>
      <c r="B2491">
        <f>Skills!B12</f>
        <v/>
      </c>
      <c r="C2491">
        <f>Inputs!$B$3&gt;=110</f>
        <v/>
      </c>
      <c r="D2491">
        <f>IF(Skills!C12=1,60+Inputs!$B$25+Inputs!$B$29,IF(Skills!C12=2,90+Inputs!$B$26+Inputs!$B$29,IF(Skills!C12=3,120+Inputs!$B$27+Inputs!$B$29,MAX(0,(Inputs!$B$3-100)*3)+Inputs!$B$28+Inputs!$B$29)))</f>
        <v/>
      </c>
      <c r="E2491">
        <f>INDEX(FactorTable!$B$2:$Y$301, MATCH(ROUND(MIN(300,MAX(1,D2491)),0), FactorTable!$A$2:$A$301,0), Skills!M12+1)</f>
        <v/>
      </c>
      <c r="F2491">
        <f>IF(Skills!N12=TRUE,(Skills!L12/10)*(E2491/1000),Skills!L12/10)+Skills!O12</f>
        <v/>
      </c>
      <c r="G2491">
        <f>Skills!G12*IF(Skills!H12&gt;0,Skills!I12/Skills!H12,1)</f>
        <v/>
      </c>
      <c r="H2491">
        <f>1-(1-Skills!J12/100)^Skills!K12</f>
        <v/>
      </c>
      <c r="I2491" t="inlineStr">
        <is>
          <t>1</t>
        </is>
      </c>
      <c r="J2491">
        <f>((Inputs!$B$6*(1+Inputs!$B$7/100))+(((Inputs!$B$12*(1+Inputs!$B$13/100))-(Inputs!$B$12*(1+Inputs!$B$13/100)))+0.25*(Inputs!$B$14-Inputs!$B$14))*(1+Inputs!$B$7/100))*(F2491/100)</f>
        <v/>
      </c>
      <c r="K2491">
        <f>J2491*(1+((Inputs!$B$12*(1+Inputs!$B$13/100))*0.01+Inputs!$B$14*0.0025)/100)*(1+Inputs!$B$15/100)*(1+Inputs!$B$16/100)*(5000/(6000+Inputs!$B$42*(1-(100*(1-(1-(Inputs!$B$19+0)/100)*(1-CHOOSE(ArtifactsInput!$N$40+1,5,6,7,8,9,10)/100)^(ArtifactsInput!$M$40-ArtifactsInput!$M$40)))/100)))*(1+(Inputs!$B$24+((C2505=TRUE)*(F2505-Calc!F26))+B2515)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2502=TRUE)*(F2502-Calc!F23))+((C2506=TRUE)*(F2506-Calc!F27))+(((IF(AND(ArtifactsInput!$M$42,((Inputs!$B$9+((C2498=TRUE)*(F2498-Calc!F19))+B2509+(ArtifactsInput!$M$24-ArtifactsInput!$M$24)*CHOOSE(ArtifactsInput!$N$24+1,10,12,14,16,18,20)+IF(ArtifactsInput!$M$10,CHOOSE(ArtifactsInput!$N$10+1,15,18,21,24,27,30)*(IF(Inputs!$B$38="pvp",MIN(15,15)/15,IF(AND(Inputs!$B$38&lt;&gt;"pvp",Inputs!$B$43&gt;0),MIN(15,Inputs!$B$43)/(Inputs!$B$43),0))),0)))&gt;=100),MIN(100,((Inputs!$B$9+((C2498=TRUE)*(F2498-Calc!F19))+B2509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2498=TRUE)*(F2498-Calc!F19))+B2509+(ArtifactsInput!$M$24-ArtifactsInput!$M$24)*CHOOSE(ArtifactsInput!$N$24+1,10,12,14,16,18,20)+IF(ArtifactsInput!$M$10,CHOOSE(ArtifactsInput!$N$10+1,15,18,21,24,27,30)*(IF(Inputs!$B$38="pvp",MIN(15,15)/15,IF(AND(Inputs!$B$38&lt;&gt;"pvp",Inputs!$B$43&gt;0),MIN(15,Inputs!$B$43)/(Inputs!$B$43),0))),0)))&gt;=100),CHOOSE(ArtifactsInput!$N$42+1,40,48,56,64,72,80),0))))/100)*((1+(((C2496=TRUE)*F2496)+((C2503=TRUE)*(F2503-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2491)</f>
        <v/>
      </c>
      <c r="L2491">
        <f>K2491*(MIN(Inputs!$B$22+((C2501=TRUE)*(F2501-Calc!F22)),(Inputs!$B$23+0+(IF(ArtifactsInput!$M$15,CHOOSE(ArtifactsInput!$N$15+1,25,30,35,40,45,50)/100*(Inputs!$B$11-Inputs!$B$11),0))))/100+(Inputs!$B$23+0+(IF(ArtifactsInput!$M$15,CHOOSE(ArtifactsInput!$N$15+1,25,30,35,40,45,50)/100*(Inputs!$B$11-Inputs!$B$11),0)))/100)/2</f>
        <v/>
      </c>
      <c r="M2491">
        <f>L2491*(1+(Inputs!$B$10+((C2504=TRUE)*(F2504-Calc!F25))+B2514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1">
        <f>L2491*(1-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1">
        <f>(1-Summary!$B$11)*T2491+Summary!$B$11*V2491</f>
        <v/>
      </c>
      <c r="P2491">
        <f>IF(B2519=0,0,O2491/B2519)</f>
        <v/>
      </c>
      <c r="Q2491">
        <f>IFERROR(1/(IF(Inputs!$B$38="pvp",15,MAX(0.1,Skills!D12-IF(Skills!E12=TRUE,Inputs!$B$32,0)))*(1-IF(AND(ArtifactsInput!$M$27,Inputs!$B$4="Chapter Hunt"),CHOOSE(ArtifactsInput!$N$27+1,20,24,28,32,36,40),0)/100)),0)</f>
        <v/>
      </c>
      <c r="R2491">
        <f>IF(AND(Inputs!$B$38&lt;&gt;"pvp",Inputs!$B$43&gt;0),IF(MAX(0,Inputs!$B$43-B2516)&lt;=0,0,(INT(MAX(0,Inputs!$B$43-B2516)/(IF(Inputs!$B$38="pvp",15,MAX(0.1,Skills!D12-IF(Skills!E12=TRUE,Inputs!$B$32,0)))*(1-IF(AND(ArtifactsInput!$M$27,Inputs!$B$4="Chapter Hunt"),CHOOSE(ArtifactsInput!$N$27+1,20,24,28,32,36,40),0)/100)))+1)),0)</f>
        <v/>
      </c>
      <c r="S2491">
        <f>IFERROR(O2491/N2491,0)</f>
        <v/>
      </c>
      <c r="T2491">
        <f>IF(C2491,(H2491*N2491*IF(AND(Inputs!$B$38&lt;&gt;"pvp",Inputs!$B$43&gt;0),((Skills!G12*((R2491-1)*IF(Skills!H12&gt;0,Skills!I12/Skills!H12,1)+IF(Skills!H12&gt;0,MIN(Skills!I12,MAX(0,MAX(0,Inputs!$B$43-B2516)-((R2491-1)*(IF(Inputs!$B$38="pvp",15,MAX(0.1,Skills!D12-IF(Skills!E12=TRUE,Inputs!$B$32,0)))*(1-IF(AND(ArtifactsInput!$M$27,Inputs!$B$4="Chapter Hunt"),CHOOSE(ArtifactsInput!$N$27+1,20,24,28,32,36,40),0)/100)))))/Skills!H12,1)))/Inputs!$B$43),G2491*Q2491)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2491*(1-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2491*(1-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1">
        <f>IF(C2491,(H2491*N2491*IF(AND(Inputs!$B$38&lt;&gt;"pvp",Inputs!$B$43&gt;0),((Skills!G12*((R2491-1)*IF(Skills!H12&gt;0,Skills!I12/Skills!H12,1)+IF(Skills!H12&gt;0,MIN(Skills!I12,MAX(0,MAX(0,Inputs!$B$43-B2516)-((R2491-1)*(IF(Inputs!$B$38="pvp",15,MAX(0.1,Skills!D12-IF(Skills!E12=TRUE,Inputs!$B$32,0)))*(1-IF(AND(ArtifactsInput!$M$27,Inputs!$B$4="Chapter Hunt"),CHOOSE(ArtifactsInput!$N$27+1,20,24,28,32,36,40),0)/100)))))/Skills!H12,1)))/Inputs!$B$43),G2491*Q2491))*IF(Inputs!$B$38="pvp",1,(1+(Inputs!$B$21+Skills!Q12+(IF(ArtifactsInput!$M$33,CHOOSE(ArtifactsInput!$N$33+1,30,36,42,48,54,60)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2">
      <c r="A2492">
        <f>Skills!A13</f>
        <v/>
      </c>
      <c r="B2492">
        <f>Skills!B13</f>
        <v/>
      </c>
      <c r="C2492">
        <f>Inputs!$B$3&gt;=110</f>
        <v/>
      </c>
      <c r="D2492">
        <f>IF(Skills!C13=1,60+Inputs!$B$25+Inputs!$B$29,IF(Skills!C13=2,90+Inputs!$B$26+Inputs!$B$29,IF(Skills!C13=3,120+Inputs!$B$27+Inputs!$B$29,MAX(0,(Inputs!$B$3-100)*3)+Inputs!$B$28+Inputs!$B$29)))</f>
        <v/>
      </c>
      <c r="E2492">
        <f>INDEX(FactorTable!$B$2:$Y$301, MATCH(ROUND(MIN(300,MAX(1,D2492)),0), FactorTable!$A$2:$A$301,0), Skills!M13+1)</f>
        <v/>
      </c>
      <c r="F2492">
        <f>IF(Skills!N13=TRUE,(Skills!L13/10)*(E2492/1000),Skills!L13/10)+Skills!O13</f>
        <v/>
      </c>
      <c r="G2492">
        <f>Skills!G13*IF(Skills!H13&gt;0,Skills!I13/Skills!H13,1)</f>
        <v/>
      </c>
      <c r="H2492">
        <f>1-(1-Skills!J13/100)^Skills!K13</f>
        <v/>
      </c>
      <c r="I2492" t="inlineStr">
        <is>
          <t>1</t>
        </is>
      </c>
      <c r="J2492">
        <f>((Inputs!$B$6*(1+Inputs!$B$7/100))+(((Inputs!$B$12*(1+Inputs!$B$13/100))-(Inputs!$B$12*(1+Inputs!$B$13/100)))+0.25*(Inputs!$B$14-Inputs!$B$14))*(1+Inputs!$B$7/100))*(F2492/100)</f>
        <v/>
      </c>
      <c r="K2492">
        <f>J2492*(1+((Inputs!$B$12*(1+Inputs!$B$13/100))*0.01+Inputs!$B$14*0.0025)/100)*(1+Inputs!$B$15/100)*(1+Inputs!$B$16/100)*(5000/(6000+Inputs!$B$42*(1-(100*(1-(1-(Inputs!$B$19+0)/100)*(1-CHOOSE(ArtifactsInput!$N$40+1,5,6,7,8,9,10)/100)^(ArtifactsInput!$M$40-ArtifactsInput!$M$40)))/100)))*(1+(Inputs!$B$24+((C2505=TRUE)*(F2505-Calc!F26))+B2515)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2502=TRUE)*(F2502-Calc!F23))+((C2506=TRUE)*(F2506-Calc!F27))+(((IF(AND(ArtifactsInput!$M$42,((Inputs!$B$9+((C2498=TRUE)*(F2498-Calc!F19))+B2509+(ArtifactsInput!$M$24-ArtifactsInput!$M$24)*CHOOSE(ArtifactsInput!$N$24+1,10,12,14,16,18,20)+IF(ArtifactsInput!$M$10,CHOOSE(ArtifactsInput!$N$10+1,15,18,21,24,27,30)*(IF(Inputs!$B$38="pvp",MIN(15,15)/15,IF(AND(Inputs!$B$38&lt;&gt;"pvp",Inputs!$B$43&gt;0),MIN(15,Inputs!$B$43)/(Inputs!$B$43),0))),0)))&gt;=100),MIN(100,((Inputs!$B$9+((C2498=TRUE)*(F2498-Calc!F19))+B2509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2498=TRUE)*(F2498-Calc!F19))+B2509+(ArtifactsInput!$M$24-ArtifactsInput!$M$24)*CHOOSE(ArtifactsInput!$N$24+1,10,12,14,16,18,20)+IF(ArtifactsInput!$M$10,CHOOSE(ArtifactsInput!$N$10+1,15,18,21,24,27,30)*(IF(Inputs!$B$38="pvp",MIN(15,15)/15,IF(AND(Inputs!$B$38&lt;&gt;"pvp",Inputs!$B$43&gt;0),MIN(15,Inputs!$B$43)/(Inputs!$B$43),0))),0)))&gt;=100),CHOOSE(ArtifactsInput!$N$42+1,40,48,56,64,72,80),0))))/100)*((1+(((C2496=TRUE)*F2496)+((C2503=TRUE)*(F2503-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2492)</f>
        <v/>
      </c>
      <c r="L2492">
        <f>K2492*(MIN(Inputs!$B$22+((C2501=TRUE)*(F2501-Calc!F22)),(Inputs!$B$23+0+(IF(ArtifactsInput!$M$15,CHOOSE(ArtifactsInput!$N$15+1,25,30,35,40,45,50)/100*(Inputs!$B$11-Inputs!$B$11),0))))/100+(Inputs!$B$23+0+(IF(ArtifactsInput!$M$15,CHOOSE(ArtifactsInput!$N$15+1,25,30,35,40,45,50)/100*(Inputs!$B$11-Inputs!$B$11),0)))/100)/2</f>
        <v/>
      </c>
      <c r="M2492">
        <f>L2492*(1+(Inputs!$B$10+((C2504=TRUE)*(F2504-Calc!F25))+B2514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2">
        <f>L2492*(1-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2492*(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2">
        <f>(1-Summary!$B$11)*T2492+Summary!$B$11*V2492</f>
        <v/>
      </c>
      <c r="P2492">
        <f>IF(B2519=0,0,O2492/B2519)</f>
        <v/>
      </c>
      <c r="Q2492">
        <f>IFERROR(1/(IF(Inputs!$B$38="pvp",15,MAX(0.1,Skills!D13-IF(Skills!E13=TRUE,Inputs!$B$32,0)))*(1-IF(AND(ArtifactsInput!$M$27,Inputs!$B$4="Chapter Hunt"),CHOOSE(ArtifactsInput!$N$27+1,20,24,28,32,36,40),0)/100)),0)</f>
        <v/>
      </c>
      <c r="R2492">
        <f>IF(AND(Inputs!$B$38&lt;&gt;"pvp",Inputs!$B$43&gt;0),IF(MAX(0,Inputs!$B$43-B2516)&lt;=0,0,(INT(MAX(0,Inputs!$B$43-B2516)/(IF(Inputs!$B$38="pvp",15,MAX(0.1,Skills!D13-IF(Skills!E13=TRUE,Inputs!$B$32,0)))*(1-IF(AND(ArtifactsInput!$M$27,Inputs!$B$4="Chapter Hunt"),CHOOSE(ArtifactsInput!$N$27+1,20,24,28,32,36,40),0)/100)))+1)),0)</f>
        <v/>
      </c>
      <c r="S2492">
        <f>IFERROR(O2492/N2492,0)</f>
        <v/>
      </c>
      <c r="T2492">
        <f>IF(C2492,(H2492*N2492*IF(AND(Inputs!$B$38&lt;&gt;"pvp",Inputs!$B$43&gt;0),((Skills!G13*((R2492-1)*IF(Skills!H13&gt;0,Skills!I13/Skills!H13,1)+IF(Skills!H13&gt;0,MIN(Skills!I13,MAX(0,MAX(0,Inputs!$B$43-B2516)-((R2492-1)*(IF(Inputs!$B$38="pvp",15,MAX(0.1,Skills!D13-IF(Skills!E13=TRUE,Inputs!$B$32,0)))*(1-IF(AND(ArtifactsInput!$M$27,Inputs!$B$4="Chapter Hunt"),CHOOSE(ArtifactsInput!$N$27+1,20,24,28,32,36,40),0)/100)))))/Skills!H13,1)))/Inputs!$B$43),G2492*Q2492)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2492*(1-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2492*(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2492*(1-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2492*(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2">
        <f>IF(C2492,(H2492*N2492*IF(AND(Inputs!$B$38&lt;&gt;"pvp",Inputs!$B$43&gt;0),((Skills!G13*((R2492-1)*IF(Skills!H13&gt;0,Skills!I13/Skills!H13,1)+IF(Skills!H13&gt;0,MIN(Skills!I13,MAX(0,MAX(0,Inputs!$B$43-B2516)-((R2492-1)*(IF(Inputs!$B$38="pvp",15,MAX(0.1,Skills!D13-IF(Skills!E13=TRUE,Inputs!$B$32,0)))*(1-IF(AND(ArtifactsInput!$M$27,Inputs!$B$4="Chapter Hunt"),CHOOSE(ArtifactsInput!$N$27+1,20,24,28,32,36,40),0)/100)))))/Skills!H13,1)))/Inputs!$B$43),G2492*Q2492))*IF(Inputs!$B$38="pvp",1,(1+(Inputs!$B$21+Skills!Q13+(IF(ArtifactsInput!$M$33,CHOOSE(ArtifactsInput!$N$33+1,30,36,42,48,54,60)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3">
      <c r="A2493">
        <f>Skills!A14</f>
        <v/>
      </c>
      <c r="B2493">
        <f>Skills!B14</f>
        <v/>
      </c>
      <c r="C2493">
        <f>Inputs!$B$3&gt;=125</f>
        <v/>
      </c>
      <c r="D2493">
        <f>IF(Skills!C14=1,60+Inputs!$B$25+Inputs!$B$29,IF(Skills!C14=2,90+Inputs!$B$26+Inputs!$B$29,IF(Skills!C14=3,120+Inputs!$B$27+Inputs!$B$29,MAX(0,(Inputs!$B$3-100)*3)+Inputs!$B$28+Inputs!$B$29)))</f>
        <v/>
      </c>
      <c r="E2493">
        <f>INDEX(FactorTable!$B$2:$Y$301, MATCH(ROUND(MIN(300,MAX(1,D2493)),0), FactorTable!$A$2:$A$301,0), Skills!M14+1)</f>
        <v/>
      </c>
      <c r="F2493">
        <f>IF(Skills!N14=TRUE,(Skills!L14/10)*(E2493/1000),Skills!L14/10)+Skills!O14</f>
        <v/>
      </c>
      <c r="G2493">
        <f>Skills!G14*IF(Skills!H14&gt;0,Skills!I14/Skills!H14,1)</f>
        <v/>
      </c>
      <c r="H2493">
        <f>1-(1-Skills!J14/100)^Skills!K14</f>
        <v/>
      </c>
      <c r="I2493" t="inlineStr">
        <is>
          <t>1</t>
        </is>
      </c>
      <c r="J2493">
        <f>((Inputs!$B$6*(1+Inputs!$B$7/100))+(((Inputs!$B$12*(1+Inputs!$B$13/100))-(Inputs!$B$12*(1+Inputs!$B$13/100)))+0.25*(Inputs!$B$14-Inputs!$B$14))*(1+Inputs!$B$7/100))*(F2493/100)</f>
        <v/>
      </c>
      <c r="K2493">
        <f>J2493*(1+((Inputs!$B$12*(1+Inputs!$B$13/100))*0.01+Inputs!$B$14*0.0025)/100)*(1+Inputs!$B$15/100)*(1+Inputs!$B$16/100)*(5000/(6000+Inputs!$B$42*(1-(100*(1-(1-(Inputs!$B$19+0)/100)*(1-CHOOSE(ArtifactsInput!$N$40+1,5,6,7,8,9,10)/100)^(ArtifactsInput!$M$40-ArtifactsInput!$M$40)))/100)))*(1+(Inputs!$B$24+((C2505=TRUE)*(F2505-Calc!F26))+B2515)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2502=TRUE)*(F2502-Calc!F23))+((C2506=TRUE)*(F2506-Calc!F27))+(((IF(AND(ArtifactsInput!$M$42,((Inputs!$B$9+((C2498=TRUE)*(F2498-Calc!F19))+B2509+(ArtifactsInput!$M$24-ArtifactsInput!$M$24)*CHOOSE(ArtifactsInput!$N$24+1,10,12,14,16,18,20)+IF(ArtifactsInput!$M$10,CHOOSE(ArtifactsInput!$N$10+1,15,18,21,24,27,30)*(IF(Inputs!$B$38="pvp",MIN(15,15)/15,IF(AND(Inputs!$B$38&lt;&gt;"pvp",Inputs!$B$43&gt;0),MIN(15,Inputs!$B$43)/(Inputs!$B$43),0))),0)))&gt;=100),MIN(100,((Inputs!$B$9+((C2498=TRUE)*(F2498-Calc!F19))+B2509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2498=TRUE)*(F2498-Calc!F19))+B2509+(ArtifactsInput!$M$24-ArtifactsInput!$M$24)*CHOOSE(ArtifactsInput!$N$24+1,10,12,14,16,18,20)+IF(ArtifactsInput!$M$10,CHOOSE(ArtifactsInput!$N$10+1,15,18,21,24,27,30)*(IF(Inputs!$B$38="pvp",MIN(15,15)/15,IF(AND(Inputs!$B$38&lt;&gt;"pvp",Inputs!$B$43&gt;0),MIN(15,Inputs!$B$43)/(Inputs!$B$43),0))),0)))&gt;=100),CHOOSE(ArtifactsInput!$N$42+1,40,48,56,64,72,80),0))))/100)*((1+(((C2496=TRUE)*F2496)+((C2503=TRUE)*(F2503-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2493)</f>
        <v/>
      </c>
      <c r="L2493">
        <f>K2493*(MIN(Inputs!$B$22+((C2501=TRUE)*(F2501-Calc!F22)),(Inputs!$B$23+0+(IF(ArtifactsInput!$M$15,CHOOSE(ArtifactsInput!$N$15+1,25,30,35,40,45,50)/100*(Inputs!$B$11-Inputs!$B$11),0))))/100+(Inputs!$B$23+0+(IF(ArtifactsInput!$M$15,CHOOSE(ArtifactsInput!$N$15+1,25,30,35,40,45,50)/100*(Inputs!$B$11-Inputs!$B$11),0)))/100)/2</f>
        <v/>
      </c>
      <c r="M2493">
        <f>L2493*(1+(Inputs!$B$10+((C2504=TRUE)*(F2504-Calc!F25))+B2514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3">
        <f>L2493*(1-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2493*(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3">
        <f>(1-Summary!$B$11)*T2493+Summary!$B$11*V2493</f>
        <v/>
      </c>
      <c r="P2493">
        <f>IF(B2519=0,0,O2493/B2519)</f>
        <v/>
      </c>
      <c r="Q2493" t="n">
        <v>0</v>
      </c>
      <c r="R2493" t="n">
        <v>0</v>
      </c>
      <c r="S2493">
        <f>IFERROR(O2493/N2493,0)</f>
        <v/>
      </c>
      <c r="T2493">
        <f>IF(C2493,(H2493*N2493*(B2513+IF(AND(Inputs!$B$38&lt;&gt;"pvp",Inputs!$B$43&gt;0),((Skills!G8*((R2487-1)*IF(Skills!H8&gt;0,Skills!I8/Skills!H8,1)+IF(Skills!H8&gt;0,MIN(Skills!I8,MAX(0,MAX(0,Inputs!$B$43-B2516)-((R2487-1)*(IF(Inputs!$B$38="pvp",15,MAX(0.1,Skills!D8-IF(Skills!E8=TRUE,Inputs!$B$32,0)))*(1-IF(AND(ArtifactsInput!$M$27,Inputs!$B$4="Chapter Hunt"),CHOOSE(ArtifactsInput!$N$27+1,20,24,28,32,36,40),0)/100)))))/Skills!H8,1)))/Inputs!$B$43),G2487*Q2487)+IF(AND(Inputs!$B$38&lt;&gt;"pvp",Inputs!$B$43&gt;0),((Skills!G11*((R2490-1)*IF(Skills!H11&gt;0,Skills!I11/Skills!H11,1)+IF(Skills!H11&gt;0,MIN(Skills!I11,MAX(0,MAX(0,Inputs!$B$43-B2516)-((R2490-1)*(IF(Inputs!$B$38="pvp",15,MAX(0.1,Skills!D11-IF(Skills!E11=TRUE,Inputs!$B$32,0)))*(1-IF(AND(ArtifactsInput!$M$27,Inputs!$B$4="Chapter Hunt"),CHOOSE(ArtifactsInput!$N$27+1,20,24,28,32,36,40),0)/100)))))/Skills!H11,1)))/Inputs!$B$43),G2490*Q2490)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2493*(1-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2493*(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2493*(1-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2493*(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3">
        <f>IF(C2493,(H2493*N2493*(B2513+IF(AND(Inputs!$B$38&lt;&gt;"pvp",Inputs!$B$43&gt;0),((Skills!G8*((R2487-1)*IF(Skills!H8&gt;0,Skills!I8/Skills!H8,1)+IF(Skills!H8&gt;0,MIN(Skills!I8,MAX(0,MAX(0,Inputs!$B$43-B2516)-((R2487-1)*(IF(Inputs!$B$38="pvp",15,MAX(0.1,Skills!D8-IF(Skills!E8=TRUE,Inputs!$B$32,0)))*(1-IF(AND(ArtifactsInput!$M$27,Inputs!$B$4="Chapter Hunt"),CHOOSE(ArtifactsInput!$N$27+1,20,24,28,32,36,40),0)/100)))))/Skills!H8,1)))/Inputs!$B$43),G2487*Q2487)+IF(AND(Inputs!$B$38&lt;&gt;"pvp",Inputs!$B$43&gt;0),((Skills!G11*((R2490-1)*IF(Skills!H11&gt;0,Skills!I11/Skills!H11,1)+IF(Skills!H11&gt;0,MIN(Skills!I11,MAX(0,MAX(0,Inputs!$B$43-B2516)-((R2490-1)*(IF(Inputs!$B$38="pvp",15,MAX(0.1,Skills!D11-IF(Skills!E11=TRUE,Inputs!$B$32,0)))*(1-IF(AND(ArtifactsInput!$M$27,Inputs!$B$4="Chapter Hunt"),CHOOSE(ArtifactsInput!$N$27+1,20,24,28,32,36,40),0)/100)))))/Skills!H11,1)))/Inputs!$B$43),G2490*Q2490)))*IF(Inputs!$B$38="pvp",1,(1+(Inputs!$B$21+Skills!Q14+(IF(ArtifactsInput!$M$33,CHOOSE(ArtifactsInput!$N$33+1,30,36,42,48,54,60)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4">
      <c r="A2494">
        <f>Skills!A15</f>
        <v/>
      </c>
      <c r="B2494">
        <f>Skills!B15</f>
        <v/>
      </c>
      <c r="C2494">
        <f>Inputs!$B$3&gt;=100</f>
        <v/>
      </c>
      <c r="D2494">
        <f>IF(Skills!C15=1,60+Inputs!$B$25+Inputs!$B$29,IF(Skills!C15=2,90+Inputs!$B$26+Inputs!$B$29,IF(Skills!C15=3,120+Inputs!$B$27+Inputs!$B$29,MAX(0,(Inputs!$B$3-100)*3)+Inputs!$B$28+Inputs!$B$29)))</f>
        <v/>
      </c>
      <c r="E2494">
        <f>INDEX(FactorTable!$B$2:$Y$301, MATCH(ROUND(MIN(300,MAX(1,D2494)),0), FactorTable!$A$2:$A$301,0), Skills!M15+1)</f>
        <v/>
      </c>
      <c r="F2494">
        <f>IF(Skills!N15=TRUE,(Skills!L15/10)*(E2494/1000),Skills!L15/10)+Skills!O15</f>
        <v/>
      </c>
      <c r="G2494" t="inlineStr"/>
      <c r="H2494" t="inlineStr"/>
      <c r="I2494" t="inlineStr">
        <is>
          <t>1</t>
        </is>
      </c>
      <c r="J2494" t="inlineStr"/>
      <c r="K2494" t="inlineStr"/>
      <c r="L2494" t="inlineStr"/>
      <c r="M2494" t="inlineStr"/>
      <c r="N2494" t="inlineStr"/>
      <c r="O2494" t="inlineStr"/>
      <c r="P2494" t="inlineStr"/>
      <c r="Q2494" t="inlineStr"/>
      <c r="R2494" t="inlineStr"/>
      <c r="S2494" t="inlineStr"/>
    </row>
    <row r="2495">
      <c r="A2495">
        <f>Skills!A16</f>
        <v/>
      </c>
      <c r="B2495">
        <f>Skills!B16</f>
        <v/>
      </c>
      <c r="C2495">
        <f>Inputs!$B$3&gt;=120</f>
        <v/>
      </c>
      <c r="D2495">
        <f>IF(Skills!C16=1,60+Inputs!$B$25+Inputs!$B$29,IF(Skills!C16=2,90+Inputs!$B$26+Inputs!$B$29,IF(Skills!C16=3,120+Inputs!$B$27+Inputs!$B$29,MAX(0,(Inputs!$B$3-100)*3)+Inputs!$B$28+Inputs!$B$29)))</f>
        <v/>
      </c>
      <c r="E2495">
        <f>INDEX(FactorTable!$B$2:$Y$301, MATCH(ROUND(MIN(300,MAX(1,D2495)),0), FactorTable!$A$2:$A$301,0), Skills!M16+1)</f>
        <v/>
      </c>
      <c r="F2495">
        <f>IF(Skills!N16=TRUE,(Skills!L16/10)*(E2495/1000),Skills!L16/10)+Skills!O16</f>
        <v/>
      </c>
      <c r="G2495" t="inlineStr"/>
      <c r="H2495" t="inlineStr"/>
      <c r="I2495" t="inlineStr">
        <is>
          <t>1</t>
        </is>
      </c>
      <c r="J2495" t="inlineStr"/>
      <c r="K2495" t="inlineStr"/>
      <c r="L2495" t="inlineStr"/>
      <c r="M2495" t="inlineStr"/>
      <c r="N2495" t="inlineStr"/>
      <c r="O2495" t="inlineStr"/>
      <c r="P2495" t="inlineStr"/>
      <c r="Q2495" t="inlineStr"/>
      <c r="R2495" t="inlineStr"/>
      <c r="S2495" t="inlineStr"/>
    </row>
    <row r="2496">
      <c r="A2496">
        <f>Skills!A17</f>
        <v/>
      </c>
      <c r="B2496">
        <f>Skills!B17</f>
        <v/>
      </c>
      <c r="C2496">
        <f>Inputs!$B$3&gt;=66</f>
        <v/>
      </c>
      <c r="D2496">
        <f>IF(Skills!C17=1,60+Inputs!$B$25+Inputs!$B$29,IF(Skills!C17=2,90+Inputs!$B$26+Inputs!$B$29,IF(Skills!C17=3,120+Inputs!$B$27+Inputs!$B$29,MAX(0,(Inputs!$B$3-100)*3)+Inputs!$B$28+Inputs!$B$29)))</f>
        <v/>
      </c>
      <c r="E2496">
        <f>INDEX(FactorTable!$B$2:$Y$301, MATCH(ROUND(MIN(300,MAX(1,D2496)),0), FactorTable!$A$2:$A$301,0), Skills!M17+1)</f>
        <v/>
      </c>
      <c r="F2496">
        <f>IF(Skills!N17=TRUE,(Skills!L17/10)*(E2496/1000),Skills!L17/10)+Skills!O17</f>
        <v/>
      </c>
      <c r="G2496">
        <f>Skills!G17*IF(Skills!H17&gt;0,Skills!I17/Skills!H17,1)</f>
        <v/>
      </c>
      <c r="H2496">
        <f>1-(1-Skills!J17/100)^Skills!K17</f>
        <v/>
      </c>
      <c r="I2496" t="inlineStr">
        <is>
          <t>1</t>
        </is>
      </c>
      <c r="J2496" t="inlineStr"/>
      <c r="K2496" t="inlineStr"/>
      <c r="L2496" t="inlineStr"/>
      <c r="M2496" t="inlineStr"/>
      <c r="N2496" t="inlineStr"/>
      <c r="O2496">
        <f>(1-Summary!$B$11)*T2496+Summary!$B$11*V2496</f>
        <v/>
      </c>
      <c r="P2496">
        <f>IF(B2519=0,0,O2496/B2519)</f>
        <v/>
      </c>
      <c r="Q2496" t="n">
        <v>0</v>
      </c>
      <c r="R2496" t="n">
        <v>0</v>
      </c>
      <c r="S2496">
        <f>IFERROR(O2496/N2496,0)</f>
        <v/>
      </c>
      <c r="T2496" t="n">
        <v>0</v>
      </c>
      <c r="V2496" t="n">
        <v>0</v>
      </c>
    </row>
    <row r="2497">
      <c r="A2497">
        <f>Skills!A18</f>
        <v/>
      </c>
      <c r="B2497">
        <f>Skills!B18</f>
        <v/>
      </c>
      <c r="C2497">
        <f>Inputs!$B$3&gt;=115</f>
        <v/>
      </c>
      <c r="D2497">
        <f>IF(Skills!C18=1,60+Inputs!$B$25+Inputs!$B$29,IF(Skills!C18=2,90+Inputs!$B$26+Inputs!$B$29,IF(Skills!C18=3,120+Inputs!$B$27+Inputs!$B$29,MAX(0,(Inputs!$B$3-100)*3)+Inputs!$B$28+Inputs!$B$29)))</f>
        <v/>
      </c>
      <c r="E2497">
        <f>INDEX(FactorTable!$B$2:$Y$301, MATCH(ROUND(MIN(300,MAX(1,D2497)),0), FactorTable!$A$2:$A$301,0), Skills!M18+1)</f>
        <v/>
      </c>
      <c r="F2497">
        <f>IF(Skills!N18=TRUE,(Skills!L18/10)*(E2497/1000),Skills!L18/10)+Skills!O18</f>
        <v/>
      </c>
      <c r="G2497">
        <f>Skills!G18*IF(Skills!H18&gt;0,Skills!I18/Skills!H18,1)</f>
        <v/>
      </c>
      <c r="H2497">
        <f>1-(1-Skills!J18/100)^Skills!K18</f>
        <v/>
      </c>
      <c r="I2497" t="inlineStr">
        <is>
          <t>1</t>
        </is>
      </c>
      <c r="J2497" t="inlineStr"/>
      <c r="K2497" t="inlineStr"/>
      <c r="L2497" t="inlineStr"/>
      <c r="M2497" t="inlineStr"/>
      <c r="N2497" t="inlineStr"/>
      <c r="O2497">
        <f>(1-Summary!$B$11)*T2497+Summary!$B$11*V2497</f>
        <v/>
      </c>
      <c r="P2497">
        <f>IF(B2519=0,0,O2497/B2519)</f>
        <v/>
      </c>
      <c r="Q2497" t="n">
        <v>0</v>
      </c>
      <c r="R2497" t="n">
        <v>0</v>
      </c>
      <c r="S2497">
        <f>IFERROR(O2497/N2497,0)</f>
        <v/>
      </c>
      <c r="T2497" t="n">
        <v>0</v>
      </c>
      <c r="V2497" t="n">
        <v>0</v>
      </c>
    </row>
    <row r="2498">
      <c r="A2498">
        <f>Skills!A19</f>
        <v/>
      </c>
      <c r="B2498">
        <f>Skills!B19</f>
        <v/>
      </c>
      <c r="C2498">
        <f>Inputs!$B$3&gt;=15</f>
        <v/>
      </c>
      <c r="D2498">
        <f>IF(Skills!C19=1,60+Inputs!$B$25+Inputs!$B$29,IF(Skills!C19=2,90+Inputs!$B$26+Inputs!$B$29,IF(Skills!C19=3,120+Inputs!$B$27+Inputs!$B$29,MAX(0,(Inputs!$B$3-100)*3)+Inputs!$B$28+Inputs!$B$29)))</f>
        <v/>
      </c>
      <c r="E2498">
        <f>INDEX(FactorTable!$B$2:$Y$301, MATCH(ROUND(MIN(300,MAX(1,D2498)),0), FactorTable!$A$2:$A$301,0), Skills!M19+1)</f>
        <v/>
      </c>
      <c r="F2498">
        <f>IF(Skills!N19=TRUE,(Skills!L19/10)*(E2498/1000),Skills!L19/10)+Skills!O19</f>
        <v/>
      </c>
      <c r="G2498">
        <f>Skills!G19*IF(Skills!H19&gt;0,Skills!I19/Skills!H19,1)</f>
        <v/>
      </c>
      <c r="H2498">
        <f>1-(1-Skills!J19/100)^Skills!K19</f>
        <v/>
      </c>
      <c r="I2498" t="inlineStr">
        <is>
          <t>1</t>
        </is>
      </c>
      <c r="J2498" t="inlineStr"/>
      <c r="K2498" t="inlineStr"/>
      <c r="L2498" t="inlineStr"/>
      <c r="M2498" t="inlineStr"/>
      <c r="N2498" t="inlineStr"/>
      <c r="O2498">
        <f>(1-Summary!$B$11)*T2498+Summary!$B$11*V2498</f>
        <v/>
      </c>
      <c r="P2498">
        <f>IF(B2519=0,0,O2498/B2519)</f>
        <v/>
      </c>
      <c r="Q2498" t="n">
        <v>0</v>
      </c>
      <c r="R2498" t="n">
        <v>0</v>
      </c>
      <c r="S2498">
        <f>IFERROR(O2498/N2498,0)</f>
        <v/>
      </c>
      <c r="T2498" t="n">
        <v>0</v>
      </c>
      <c r="V2498" t="n">
        <v>0</v>
      </c>
    </row>
    <row r="2499">
      <c r="A2499">
        <f>Skills!A20</f>
        <v/>
      </c>
      <c r="B2499">
        <f>Skills!B20</f>
        <v/>
      </c>
      <c r="C2499">
        <f>Inputs!$B$3&gt;=10</f>
        <v/>
      </c>
      <c r="D2499">
        <f>IF(Skills!C20=1,60+Inputs!$B$25+Inputs!$B$29,IF(Skills!C20=2,90+Inputs!$B$26+Inputs!$B$29,IF(Skills!C20=3,120+Inputs!$B$27+Inputs!$B$29,MAX(0,(Inputs!$B$3-100)*3)+Inputs!$B$28+Inputs!$B$29)))</f>
        <v/>
      </c>
      <c r="E2499">
        <f>INDEX(FactorTable!$B$2:$Y$301, MATCH(ROUND(MIN(300,MAX(1,D2499)),0), FactorTable!$A$2:$A$301,0), Skills!M20+1)</f>
        <v/>
      </c>
      <c r="F2499">
        <f>IF(Skills!N20=TRUE,(Skills!L20/10)*(E2499/1000),Skills!L20/10)+Skills!O20</f>
        <v/>
      </c>
      <c r="G2499">
        <f>Skills!G20*IF(Skills!H20&gt;0,Skills!I20/Skills!H20,1)</f>
        <v/>
      </c>
      <c r="H2499">
        <f>1-(1-Skills!J20/100)^Skills!K20</f>
        <v/>
      </c>
      <c r="I2499" t="inlineStr">
        <is>
          <t>1</t>
        </is>
      </c>
      <c r="J2499" t="inlineStr"/>
      <c r="K2499" t="inlineStr"/>
      <c r="L2499" t="inlineStr"/>
      <c r="M2499" t="inlineStr"/>
      <c r="N2499" t="inlineStr"/>
      <c r="O2499">
        <f>(1-Summary!$B$11)*T2499+Summary!$B$11*V2499</f>
        <v/>
      </c>
      <c r="P2499">
        <f>IF(B2519=0,0,O2499/B2519)</f>
        <v/>
      </c>
      <c r="Q2499" t="n">
        <v>0</v>
      </c>
      <c r="R2499" t="n">
        <v>0</v>
      </c>
      <c r="S2499">
        <f>IFERROR(O2499/N2499,0)</f>
        <v/>
      </c>
      <c r="T2499" t="n">
        <v>0</v>
      </c>
      <c r="V2499" t="n">
        <v>0</v>
      </c>
    </row>
    <row r="2500">
      <c r="A2500">
        <f>Skills!A21</f>
        <v/>
      </c>
      <c r="B2500">
        <f>Skills!B21</f>
        <v/>
      </c>
      <c r="C2500">
        <f>Inputs!$B$3&gt;=33</f>
        <v/>
      </c>
      <c r="D2500">
        <f>IF(Skills!C21=1,60+Inputs!$B$25+Inputs!$B$29,IF(Skills!C21=2,90+Inputs!$B$26+Inputs!$B$29,IF(Skills!C21=3,120+Inputs!$B$27+Inputs!$B$29,MAX(0,(Inputs!$B$3-100)*3)+Inputs!$B$28+Inputs!$B$29)))</f>
        <v/>
      </c>
      <c r="E2500">
        <f>INDEX(FactorTable!$B$2:$Y$301, MATCH(ROUND(MIN(300,MAX(1,D2500)),0), FactorTable!$A$2:$A$301,0), Skills!M21+1)</f>
        <v/>
      </c>
      <c r="F2500">
        <f>IF(Skills!N21=TRUE,(Skills!L21/10)*(E2500/1000),Skills!L21/10)+Skills!O21</f>
        <v/>
      </c>
      <c r="G2500">
        <f>Skills!G21*IF(Skills!H21&gt;0,Skills!I21/Skills!H21,1)</f>
        <v/>
      </c>
      <c r="H2500">
        <f>1-(1-Skills!J21/100)^Skills!K21</f>
        <v/>
      </c>
      <c r="I2500" t="inlineStr">
        <is>
          <t>1</t>
        </is>
      </c>
      <c r="J2500" t="inlineStr"/>
      <c r="K2500" t="inlineStr"/>
      <c r="L2500" t="inlineStr"/>
      <c r="M2500" t="inlineStr"/>
      <c r="N2500" t="inlineStr"/>
      <c r="O2500">
        <f>(1-Summary!$B$11)*T2500+Summary!$B$11*V2500</f>
        <v/>
      </c>
      <c r="P2500">
        <f>IF(B2519=0,0,O2500/B2519)</f>
        <v/>
      </c>
      <c r="Q2500" t="n">
        <v>0</v>
      </c>
      <c r="R2500" t="n">
        <v>0</v>
      </c>
      <c r="S2500">
        <f>IFERROR(O2500/N2500,0)</f>
        <v/>
      </c>
      <c r="T2500" t="n">
        <v>0</v>
      </c>
      <c r="V2500" t="n">
        <v>0</v>
      </c>
    </row>
    <row r="2501">
      <c r="A2501">
        <f>Skills!A22</f>
        <v/>
      </c>
      <c r="B2501">
        <f>Skills!B22</f>
        <v/>
      </c>
      <c r="C2501">
        <f>Inputs!$B$3&gt;=43</f>
        <v/>
      </c>
      <c r="D2501">
        <f>IF(Skills!C22=1,60+Inputs!$B$25+Inputs!$B$29,IF(Skills!C22=2,90+Inputs!$B$26+Inputs!$B$29,IF(Skills!C22=3,120+Inputs!$B$27+Inputs!$B$29,MAX(0,(Inputs!$B$3-100)*3)+Inputs!$B$28+Inputs!$B$29)))</f>
        <v/>
      </c>
      <c r="E2501">
        <f>INDEX(FactorTable!$B$2:$Y$301, MATCH(ROUND(MIN(300,MAX(1,D2501)),0), FactorTable!$A$2:$A$301,0), Skills!M22+1)</f>
        <v/>
      </c>
      <c r="F2501">
        <f>IF(Skills!N22=TRUE,(Skills!L22/10)*(E2501/1000),Skills!L22/10)+Skills!O22</f>
        <v/>
      </c>
      <c r="G2501">
        <f>Skills!G22*IF(Skills!H22&gt;0,Skills!I22/Skills!H22,1)</f>
        <v/>
      </c>
      <c r="H2501">
        <f>1-(1-Skills!J22/100)^Skills!K22</f>
        <v/>
      </c>
      <c r="I2501" t="inlineStr">
        <is>
          <t>1</t>
        </is>
      </c>
      <c r="J2501" t="inlineStr"/>
      <c r="K2501" t="inlineStr"/>
      <c r="L2501" t="inlineStr"/>
      <c r="M2501" t="inlineStr"/>
      <c r="N2501" t="inlineStr"/>
      <c r="O2501">
        <f>(1-Summary!$B$11)*T2501+Summary!$B$11*V2501</f>
        <v/>
      </c>
      <c r="P2501">
        <f>IF(B2519=0,0,O2501/B2519)</f>
        <v/>
      </c>
      <c r="Q2501" t="n">
        <v>0</v>
      </c>
      <c r="R2501" t="n">
        <v>0</v>
      </c>
      <c r="S2501">
        <f>IFERROR(O2501/N2501,0)</f>
        <v/>
      </c>
      <c r="T2501" t="n">
        <v>0</v>
      </c>
      <c r="V2501" t="n">
        <v>0</v>
      </c>
    </row>
    <row r="2502">
      <c r="A2502">
        <f>Skills!A23</f>
        <v/>
      </c>
      <c r="B2502">
        <f>Skills!B23</f>
        <v/>
      </c>
      <c r="C2502">
        <f>Inputs!$B$3&gt;=38</f>
        <v/>
      </c>
      <c r="D2502">
        <f>IF(Skills!C23=1,60+Inputs!$B$25+Inputs!$B$29,IF(Skills!C23=2,90+Inputs!$B$26+Inputs!$B$29,IF(Skills!C23=3,120+Inputs!$B$27+Inputs!$B$29,MAX(0,(Inputs!$B$3-100)*3)+Inputs!$B$28+Inputs!$B$29)))</f>
        <v/>
      </c>
      <c r="E2502">
        <f>INDEX(FactorTable!$B$2:$Y$301, MATCH(ROUND(MIN(300,MAX(1,D2502)),0), FactorTable!$A$2:$A$301,0), Skills!M23+1)</f>
        <v/>
      </c>
      <c r="F2502">
        <f>IF(Skills!N23=TRUE,(Skills!L23/10)*(E2502/1000),Skills!L23/10)+Skills!O23</f>
        <v/>
      </c>
      <c r="G2502">
        <f>Skills!G23*IF(Skills!H23&gt;0,Skills!I23/Skills!H23,1)</f>
        <v/>
      </c>
      <c r="H2502">
        <f>1-(1-Skills!J23/100)^Skills!K23</f>
        <v/>
      </c>
      <c r="I2502" t="inlineStr">
        <is>
          <t>1</t>
        </is>
      </c>
      <c r="J2502" t="inlineStr"/>
      <c r="K2502" t="inlineStr"/>
      <c r="L2502" t="inlineStr"/>
      <c r="M2502" t="inlineStr"/>
      <c r="N2502" t="inlineStr"/>
      <c r="O2502">
        <f>(1-Summary!$B$11)*T2502+Summary!$B$11*V2502</f>
        <v/>
      </c>
      <c r="P2502">
        <f>IF(B2519=0,0,O2502/B2519)</f>
        <v/>
      </c>
      <c r="Q2502" t="n">
        <v>0</v>
      </c>
      <c r="R2502" t="n">
        <v>0</v>
      </c>
      <c r="S2502">
        <f>IFERROR(O2502/N2502,0)</f>
        <v/>
      </c>
      <c r="T2502" t="n">
        <v>0</v>
      </c>
      <c r="V2502" t="n">
        <v>0</v>
      </c>
    </row>
    <row r="2503">
      <c r="A2503">
        <f>Skills!A24</f>
        <v/>
      </c>
      <c r="B2503">
        <f>Skills!B24</f>
        <v/>
      </c>
      <c r="C2503">
        <f>Inputs!$B$3&gt;=40</f>
        <v/>
      </c>
      <c r="D2503">
        <f>IF(Skills!C24=1,60+Inputs!$B$25+Inputs!$B$29,IF(Skills!C24=2,90+Inputs!$B$26+Inputs!$B$29,IF(Skills!C24=3,120+Inputs!$B$27+Inputs!$B$29,MAX(0,(Inputs!$B$3-100)*3)+Inputs!$B$28+Inputs!$B$29)))</f>
        <v/>
      </c>
      <c r="E2503">
        <f>INDEX(FactorTable!$B$2:$Y$301, MATCH(ROUND(MIN(300,MAX(1,D2503)),0), FactorTable!$A$2:$A$301,0), Skills!M24+1)</f>
        <v/>
      </c>
      <c r="F2503">
        <f>IF(Skills!N24=TRUE,(Skills!L24/10)*(E2503/1000),Skills!L24/10)+Skills!O24</f>
        <v/>
      </c>
      <c r="G2503">
        <f>Skills!G24*IF(Skills!H24&gt;0,Skills!I24/Skills!H24,1)</f>
        <v/>
      </c>
      <c r="H2503">
        <f>1-(1-Skills!J24/100)^Skills!K24</f>
        <v/>
      </c>
      <c r="I2503" t="inlineStr">
        <is>
          <t>1</t>
        </is>
      </c>
      <c r="J2503" t="inlineStr"/>
      <c r="K2503" t="inlineStr"/>
      <c r="L2503" t="inlineStr"/>
      <c r="M2503" t="inlineStr"/>
      <c r="N2503" t="inlineStr"/>
      <c r="O2503">
        <f>(1-Summary!$B$11)*T2503+Summary!$B$11*V2503</f>
        <v/>
      </c>
      <c r="P2503">
        <f>IF(B2519=0,0,O2503/B2519)</f>
        <v/>
      </c>
      <c r="Q2503" t="n">
        <v>0</v>
      </c>
      <c r="R2503" t="n">
        <v>0</v>
      </c>
      <c r="S2503">
        <f>IFERROR(O2503/N2503,0)</f>
        <v/>
      </c>
      <c r="T2503" t="n">
        <v>0</v>
      </c>
      <c r="V2503" t="n">
        <v>0</v>
      </c>
    </row>
    <row r="2504">
      <c r="A2504">
        <f>Skills!A25</f>
        <v/>
      </c>
      <c r="B2504">
        <f>Skills!B25</f>
        <v/>
      </c>
      <c r="C2504">
        <f>Inputs!$B$3&gt;=72</f>
        <v/>
      </c>
      <c r="D2504">
        <f>IF(Skills!C25=1,60+Inputs!$B$25+Inputs!$B$29,IF(Skills!C25=2,90+Inputs!$B$26+Inputs!$B$29,IF(Skills!C25=3,120+Inputs!$B$27+Inputs!$B$29,MAX(0,(Inputs!$B$3-100)*3)+Inputs!$B$28+Inputs!$B$29)))</f>
        <v/>
      </c>
      <c r="E2504">
        <f>INDEX(FactorTable!$B$2:$Y$301, MATCH(ROUND(MIN(300,MAX(1,D2504)),0), FactorTable!$A$2:$A$301,0), Skills!M25+1)</f>
        <v/>
      </c>
      <c r="F2504">
        <f>IF(Skills!N25=TRUE,(Skills!L25/10)*(E2504/1000),Skills!L25/10)+Skills!O25</f>
        <v/>
      </c>
      <c r="G2504">
        <f>Skills!G25*IF(Skills!H25&gt;0,Skills!I25/Skills!H25,1)</f>
        <v/>
      </c>
      <c r="H2504">
        <f>1-(1-Skills!J25/100)^Skills!K25</f>
        <v/>
      </c>
      <c r="I2504" t="inlineStr">
        <is>
          <t>1</t>
        </is>
      </c>
      <c r="J2504" t="inlineStr"/>
      <c r="K2504" t="inlineStr"/>
      <c r="L2504" t="inlineStr"/>
      <c r="M2504" t="inlineStr"/>
      <c r="N2504" t="inlineStr"/>
      <c r="O2504">
        <f>(1-Summary!$B$11)*T2504+Summary!$B$11*V2504</f>
        <v/>
      </c>
      <c r="P2504">
        <f>IF(B2519=0,0,O2504/B2519)</f>
        <v/>
      </c>
      <c r="Q2504" t="n">
        <v>0</v>
      </c>
      <c r="R2504" t="n">
        <v>0</v>
      </c>
      <c r="S2504">
        <f>IFERROR(O2504/N2504,0)</f>
        <v/>
      </c>
      <c r="T2504" t="n">
        <v>0</v>
      </c>
      <c r="V2504" t="n">
        <v>0</v>
      </c>
    </row>
    <row r="2505">
      <c r="A2505">
        <f>Skills!A26</f>
        <v/>
      </c>
      <c r="B2505">
        <f>Skills!B26</f>
        <v/>
      </c>
      <c r="C2505">
        <f>Inputs!$B$3&gt;=75</f>
        <v/>
      </c>
      <c r="D2505">
        <f>IF(Skills!C26=1,60+Inputs!$B$25+Inputs!$B$29,IF(Skills!C26=2,90+Inputs!$B$26+Inputs!$B$29,IF(Skills!C26=3,120+Inputs!$B$27+Inputs!$B$29,MAX(0,(Inputs!$B$3-100)*3)+Inputs!$B$28+Inputs!$B$29)))</f>
        <v/>
      </c>
      <c r="E2505">
        <f>INDEX(FactorTable!$B$2:$Y$301, MATCH(ROUND(MIN(300,MAX(1,D2505)),0), FactorTable!$A$2:$A$301,0), Skills!M26+1)</f>
        <v/>
      </c>
      <c r="F2505">
        <f>IF(Skills!N26=TRUE,(Skills!L26/10)*(E2505/1000),Skills!L26/10)+Skills!O26</f>
        <v/>
      </c>
      <c r="G2505">
        <f>Skills!G26*IF(Skills!H26&gt;0,Skills!I26/Skills!H26,1)</f>
        <v/>
      </c>
      <c r="H2505">
        <f>1-(1-Skills!J26/100)^Skills!K26</f>
        <v/>
      </c>
      <c r="I2505" t="inlineStr">
        <is>
          <t>1</t>
        </is>
      </c>
      <c r="J2505" t="inlineStr"/>
      <c r="K2505" t="inlineStr"/>
      <c r="L2505" t="inlineStr"/>
      <c r="M2505" t="inlineStr"/>
      <c r="N2505" t="inlineStr"/>
      <c r="O2505">
        <f>(1-Summary!$B$11)*T2505+Summary!$B$11*V2505</f>
        <v/>
      </c>
      <c r="P2505">
        <f>IF(B2519=0,0,O2505/B2519)</f>
        <v/>
      </c>
      <c r="Q2505" t="n">
        <v>0</v>
      </c>
      <c r="R2505" t="n">
        <v>0</v>
      </c>
      <c r="S2505">
        <f>IFERROR(O2505/N2505,0)</f>
        <v/>
      </c>
      <c r="T2505" t="n">
        <v>0</v>
      </c>
      <c r="V2505" t="n">
        <v>0</v>
      </c>
    </row>
    <row r="2506">
      <c r="A2506">
        <f>Skills!A27</f>
        <v/>
      </c>
      <c r="B2506">
        <f>Skills!B27</f>
        <v/>
      </c>
      <c r="C2506">
        <f>Inputs!$B$3&gt;=117</f>
        <v/>
      </c>
      <c r="D2506">
        <f>IF(Skills!C27=1,60+Inputs!$B$25+Inputs!$B$29,IF(Skills!C27=2,90+Inputs!$B$26+Inputs!$B$29,IF(Skills!C27=3,120+Inputs!$B$27+Inputs!$B$29,MAX(0,(Inputs!$B$3-100)*3)+Inputs!$B$28+Inputs!$B$29)))</f>
        <v/>
      </c>
      <c r="E2506">
        <f>INDEX(FactorTable!$B$2:$Y$301, MATCH(ROUND(MIN(300,MAX(1,D2506)),0), FactorTable!$A$2:$A$301,0), Skills!M27+1)</f>
        <v/>
      </c>
      <c r="F2506">
        <f>IF(Skills!N27=TRUE,(Skills!L27/10)*(E2506/1000),Skills!L27/10)+Skills!O27</f>
        <v/>
      </c>
      <c r="G2506">
        <f>Skills!G27*IF(Skills!H27&gt;0,Skills!I27/Skills!H27,1)</f>
        <v/>
      </c>
      <c r="H2506">
        <f>1-(1-Skills!J27/100)^Skills!K27</f>
        <v/>
      </c>
      <c r="I2506" t="inlineStr">
        <is>
          <t>1</t>
        </is>
      </c>
      <c r="J2506" t="inlineStr"/>
      <c r="K2506" t="inlineStr"/>
      <c r="L2506" t="inlineStr"/>
      <c r="M2506" t="inlineStr"/>
      <c r="N2506" t="inlineStr"/>
      <c r="O2506">
        <f>(1-Summary!$B$11)*T2506+Summary!$B$11*V2506</f>
        <v/>
      </c>
      <c r="P2506">
        <f>IF(B2519=0,0,O2506/B2519)</f>
        <v/>
      </c>
      <c r="Q2506" t="n">
        <v>0</v>
      </c>
      <c r="R2506" t="n">
        <v>0</v>
      </c>
      <c r="S2506">
        <f>IFERROR(O2506/N2506,0)</f>
        <v/>
      </c>
      <c r="T2506" t="n">
        <v>0</v>
      </c>
      <c r="V2506" t="n">
        <v>0</v>
      </c>
    </row>
    <row r="2508">
      <c r="A2508" t="inlineStr">
        <is>
          <t>Attack% Bucket Multiplier</t>
        </is>
      </c>
      <c r="B2508">
        <f>(1+(((C2496=TRUE)*F2496)+((C2503=TRUE)*(F2503-Calc!F24))+(IF(ArtifactsInput!$M$21,CHOOSE(ArtifactsInput!$N$21+1,25,30,35,40,45,50)*(IF(OR(Inputs!$B$4="Chapter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09">
      <c r="A2509" t="inlineStr">
        <is>
          <t>Global Crit Rate Bonus %</t>
        </is>
      </c>
      <c r="B2509" t="n">
        <v>0</v>
      </c>
    </row>
    <row r="2510">
      <c r="A2510" t="inlineStr">
        <is>
          <t>Attack Speed Buff Bonus % (unused)</t>
        </is>
      </c>
      <c r="B2510" t="n">
        <v>0</v>
      </c>
    </row>
    <row r="2511">
      <c r="A2511" t="inlineStr">
        <is>
          <t>Actions Per Second</t>
        </is>
      </c>
      <c r="B2511">
        <f>1+MIN(150,150*(1-(1-(Inputs!$B$11+((C2499=TRUE)*(F2499-Calc!F20))+((C2500=TRUE)*(F2500-Calc!F21)))/150)*(1-B2510/150)))/100</f>
        <v/>
      </c>
    </row>
    <row r="2512">
      <c r="A2512" t="inlineStr">
        <is>
          <t>Skill + Buff Cast Rate</t>
        </is>
      </c>
      <c r="B2512">
        <f>IF(AND(Inputs!$B$38&lt;&gt;"pvp",Inputs!$B$43&gt;0),SUMPRODUCT((Skills!E2:E27=TRUE)*(C2481:C2506=TRUE)*R2481:R2506*Skills!F2:F27)/Inputs!$B$43,SUMPRODUCT((Skills!E2:E27=TRUE)*(C2481:C2506=TRUE)*Q2481:Q2506*Skills!F2:F27))</f>
        <v/>
      </c>
    </row>
    <row r="2513">
      <c r="A2513" t="inlineStr">
        <is>
          <t>Eight-Legs Easton Casts Per Second</t>
        </is>
      </c>
      <c r="B2513">
        <f>MAX(0,B2511-B2512)</f>
        <v/>
      </c>
    </row>
    <row r="2514">
      <c r="A2514" t="inlineStr">
        <is>
          <t>Global Critical Damage Bonus % (unused)</t>
        </is>
      </c>
      <c r="B2514" t="n">
        <v>0</v>
      </c>
    </row>
    <row r="2515">
      <c r="A2515" t="inlineStr">
        <is>
          <t>Global Final Damage Bonus % (Jolly Roger only)</t>
        </is>
      </c>
      <c r="B2515">
        <f>((C2497=TRUE)*F2497)</f>
        <v/>
      </c>
    </row>
    <row r="2516">
      <c r="A2516" t="inlineStr">
        <is>
          <t>Buff-Casting Startup Delay (s, fixed-duration only)</t>
        </is>
      </c>
      <c r="B2516">
        <f>IF(AND(Inputs!$B$38&lt;&gt;"pvp",Inputs!$B$43&gt;0),SUMPRODUCT((Skills!T2:T27&gt;0)*(Skills!E2:E27=TRUE)*(C2481:C2506=TRUE))/B2511,0)</f>
        <v/>
      </c>
    </row>
    <row r="2517">
      <c r="A2517" t="inlineStr">
        <is>
          <t>Boss-Only Total DPS (this block's swept value)</t>
        </is>
      </c>
      <c r="B2517">
        <f>SUM(T2481:T2506)</f>
        <v/>
      </c>
    </row>
    <row r="2518">
      <c r="A2518" t="inlineStr">
        <is>
          <t>Normal-Only Total DPS (this block's swept value)</t>
        </is>
      </c>
      <c r="B2518">
        <f>SUM(V2481:V2506)</f>
        <v/>
      </c>
    </row>
    <row r="2519">
      <c r="A2519" s="6" t="inlineStr">
        <is>
          <t>TOTAL DPS</t>
        </is>
      </c>
      <c r="B2519" s="6">
        <f>SUM(O2481:O2506)</f>
        <v/>
      </c>
    </row>
    <row r="2522">
      <c r="A2522" s="6" t="inlineStr">
        <is>
          <t>Stat: Horn Flute (Equip)</t>
        </is>
      </c>
    </row>
    <row r="2523">
      <c r="A2523" s="5" t="inlineStr">
        <is>
          <t>Key</t>
        </is>
      </c>
      <c r="B2523" s="5" t="inlineStr">
        <is>
          <t>Name</t>
        </is>
      </c>
      <c r="C2523" s="5" t="inlineStr">
        <is>
          <t>Unlocked</t>
        </is>
      </c>
      <c r="D2523" s="5" t="inlineStr">
        <is>
          <t>InputLevel</t>
        </is>
      </c>
      <c r="E2523" s="5" t="inlineStr">
        <is>
          <t>Factor</t>
        </is>
      </c>
      <c r="F2523" s="5" t="inlineStr">
        <is>
          <t>CoefficientPercent</t>
        </is>
      </c>
      <c r="G2523" s="5" t="inlineStr">
        <is>
          <t>EffectiveHits</t>
        </is>
      </c>
      <c r="H2523" s="5" t="inlineStr">
        <is>
          <t>ProcProbability</t>
        </is>
      </c>
      <c r="I2523" s="5" t="inlineStr">
        <is>
          <t>MapleHeroMultiplier</t>
        </is>
      </c>
      <c r="J2523" s="5" t="inlineStr">
        <is>
          <t>BaseDamage</t>
        </is>
      </c>
      <c r="K2523" s="5" t="inlineStr">
        <is>
          <t>BaseHitDamage</t>
        </is>
      </c>
      <c r="L2523" s="5" t="inlineStr">
        <is>
          <t>NonCritAvg</t>
        </is>
      </c>
      <c r="M2523" s="5" t="inlineStr">
        <is>
          <t>CritAvg</t>
        </is>
      </c>
      <c r="N2523" s="5" t="inlineStr">
        <is>
          <t>ExpectedDamage(perHit)</t>
        </is>
      </c>
      <c r="O2523" s="5" t="inlineStr">
        <is>
          <t>DPS</t>
        </is>
      </c>
      <c r="P2523" s="5" t="inlineStr">
        <is>
          <t>% of Total</t>
        </is>
      </c>
      <c r="Q2523" s="5" t="inlineStr">
        <is>
          <t>InvCooldown</t>
        </is>
      </c>
      <c r="R2523" s="5" t="inlineStr">
        <is>
          <t>CastsInFight</t>
        </is>
      </c>
      <c r="S2523" s="5" t="inlineStr">
        <is>
          <t>HitRate(perSec)</t>
        </is>
      </c>
      <c r="U2523" t="inlineStr">
        <is>
          <t>helpers</t>
        </is>
      </c>
    </row>
    <row r="2524">
      <c r="A2524">
        <f>Skills!A2</f>
        <v/>
      </c>
      <c r="B2524">
        <f>Skills!B2</f>
        <v/>
      </c>
      <c r="C2524">
        <f>Inputs!$B$3&gt;=100</f>
        <v/>
      </c>
      <c r="D2524" t="inlineStr"/>
      <c r="E2524" t="inlineStr"/>
      <c r="F2524">
        <f>U2526+Skills!O2</f>
        <v/>
      </c>
      <c r="G2524">
        <f>Skills!G2*IF(Skills!H2&gt;0,Skills!I2/Skills!H2,1)</f>
        <v/>
      </c>
      <c r="H2524">
        <f>1-(1-Skills!J2/100)^Skills!K2</f>
        <v/>
      </c>
      <c r="I2524" t="inlineStr">
        <is>
          <t>1</t>
        </is>
      </c>
      <c r="J2524">
        <f>((Inputs!$B$6*(1+Inputs!$B$7/100))+(((Inputs!$B$12*(1+Inputs!$B$13/100))-(Inputs!$B$12*(1+Inputs!$B$13/100)))+0.25*(Inputs!$B$14-Inputs!$B$14))*(1+Inputs!$B$7/100))*(F2524/100)</f>
        <v/>
      </c>
      <c r="K2524">
        <f>J2524*(1+((Inputs!$B$12*(1+Inputs!$B$13/100))*0.01+Inputs!$B$14*0.0025)/100)*(1+Inputs!$B$15/100)*(1+Inputs!$B$16/100)*(5000/(6000+Inputs!$B$42*(1-(100*(1-(1-(Inputs!$B$19+0)/100)*(1-CHOOSE(ArtifactsInput!$N$40+1,5,6,7,8,9,10)/100)^(ArtifactsInput!$M$40-ArtifactsInput!$M$40)))/100)))*(1+(Inputs!$B$24+((C2548=TRUE)*(F2548-Calc!F26))+B2558)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2545=TRUE)*(F2545-Calc!F23))+((C2549=TRUE)*(F2549-Calc!F27))+(((IF(AND(ArtifactsInput!$M$42,((Inputs!$B$9+((C2541=TRUE)*(F2541-Calc!F19))+B2552+(ArtifactsInput!$M$24-ArtifactsInput!$M$24)*CHOOSE(ArtifactsInput!$N$24+1,10,12,14,16,18,20)+IF(ArtifactsInput!$M$10,CHOOSE(ArtifactsInput!$N$10+1,15,18,21,24,27,30)*(IF(Inputs!$B$38="pvp",MIN(15,15)/15,IF(AND(Inputs!$B$38&lt;&gt;"pvp",Inputs!$B$43&gt;0),MIN(15,Inputs!$B$43)/(Inputs!$B$43),0))),0)))&gt;=100),MIN(100,((Inputs!$B$9+((C2541=TRUE)*(F2541-Calc!F19))+B2552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2541=TRUE)*(F2541-Calc!F19))+B2552+(ArtifactsInput!$M$24-ArtifactsInput!$M$24)*CHOOSE(ArtifactsInput!$N$24+1,10,12,14,16,18,20)+IF(ArtifactsInput!$M$10,CHOOSE(ArtifactsInput!$N$10+1,15,18,21,24,27,30)*(IF(Inputs!$B$38="pvp",MIN(15,15)/15,IF(AND(Inputs!$B$38&lt;&gt;"pvp",Inputs!$B$43&gt;0),MIN(15,Inputs!$B$43)/(Inputs!$B$43),0))),0)))&gt;=100),CHOOSE(ArtifactsInput!$N$42+1,40,48,56,64,72,80),0))))/100)*((1+(((C2539=TRUE)*F2539)+((C2546=TRUE)*(F2546-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2524)</f>
        <v/>
      </c>
      <c r="L2524">
        <f>K2524*(MIN(Inputs!$B$22+((C2544=TRUE)*(F2544-Calc!F22)),(Inputs!$B$23+0+(IF(ArtifactsInput!$M$15,CHOOSE(ArtifactsInput!$N$15+1,25,30,35,40,45,50)/100*(Inputs!$B$11-Inputs!$B$11),0))))/100+(Inputs!$B$23+0+(IF(ArtifactsInput!$M$15,CHOOSE(ArtifactsInput!$N$15+1,25,30,35,40,45,50)/100*(Inputs!$B$11-Inputs!$B$11),0)))/100)/2</f>
        <v/>
      </c>
      <c r="M2524">
        <f>L2524*(1+(Inputs!$B$10+((C2547=TRUE)*(F2547-Calc!F25))+B2557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4">
        <f>L2524*(1-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2524*(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4">
        <f>(1-Summary!$B$11)*T2524+Summary!$B$11*V2524</f>
        <v/>
      </c>
      <c r="P2524">
        <f>IF(B2562=0,0,O2524/B2562)</f>
        <v/>
      </c>
      <c r="Q2524" t="n">
        <v>0</v>
      </c>
      <c r="R2524" t="n">
        <v>0</v>
      </c>
      <c r="S2524">
        <f>IFERROR(O2524/N2524,0)</f>
        <v/>
      </c>
      <c r="T2524">
        <f>IF(C2524,(Skills!G2*N2524*B2556)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2524*(1-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2524*(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2524*(1-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2524*(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24">
        <f>MAX(0,(Inputs!$B$3-100)*3)+Inputs!$B$28+Inputs!$B$29</f>
        <v/>
      </c>
      <c r="V2524">
        <f>IF(C2524,(Skills!G2*N2524*B2556)*IF(Inputs!$B$38="pvp",1,(1+(Inputs!$B$21+Skills!Q2+(IF(ArtifactsInput!$M$33,CHOOSE(ArtifactsInput!$N$33+1,30,36,42,48,54,60),0))+(IF(AND(ArtifactsInput!$M$35,Inputs!$B$4&lt;&gt;"Chapter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5">
      <c r="A2525">
        <f>Skills!A3</f>
        <v/>
      </c>
      <c r="B2525">
        <f>Skills!B3</f>
        <v/>
      </c>
      <c r="C2525">
        <f>Inputs!$B$3&gt;=35</f>
        <v/>
      </c>
      <c r="D2525">
        <f>IF(Skills!C3=1,60+Inputs!$B$25+Inputs!$B$29,IF(Skills!C3=2,90+Inputs!$B$26+Inputs!$B$29,IF(Skills!C3=3,120+Inputs!$B$27+Inputs!$B$29,MAX(0,(Inputs!$B$3-100)*3)+Inputs!$B$28+Inputs!$B$29)))</f>
        <v/>
      </c>
      <c r="E2525">
        <f>INDEX(FactorTable!$B$2:$Y$301, MATCH(ROUND(MIN(300,MAX(1,D2525)),0), FactorTable!$A$2:$A$301,0), Skills!M3+1)</f>
        <v/>
      </c>
      <c r="F2525">
        <f>IF(Skills!N3=TRUE,(Skills!L3/10)*(E2525/1000),Skills!L3/10)+Skills!O3</f>
        <v/>
      </c>
      <c r="G2525">
        <f>Skills!G3*IF(Skills!H3&gt;0,Skills!I3/Skills!H3,1)</f>
        <v/>
      </c>
      <c r="H2525">
        <f>1-(1-Skills!J3/100)^Skills!K3</f>
        <v/>
      </c>
      <c r="I2525" t="inlineStr">
        <is>
          <t>1</t>
        </is>
      </c>
      <c r="J2525">
        <f>((Inputs!$B$6*(1+Inputs!$B$7/100))+(((Inputs!$B$12*(1+Inputs!$B$13/100))-(Inputs!$B$12*(1+Inputs!$B$13/100)))+0.25*(Inputs!$B$14-Inputs!$B$14))*(1+Inputs!$B$7/100))*(F2525/100)</f>
        <v/>
      </c>
      <c r="K2525">
        <f>J2525*(1+((Inputs!$B$12*(1+Inputs!$B$13/100))*0.01+Inputs!$B$14*0.0025)/100)*(1+Inputs!$B$15/100)*(1+Inputs!$B$16/100)*(5000/(6000+Inputs!$B$42*(1-(100*(1-(1-(Inputs!$B$19+0)/100)*(1-CHOOSE(ArtifactsInput!$N$40+1,5,6,7,8,9,10)/100)^(ArtifactsInput!$M$40-ArtifactsInput!$M$40)))/100)))*(1+(Inputs!$B$24+((C2548=TRUE)*(F2548-Calc!F26))+B2558)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2537=TRUE,F2537,0)/100)*(1+(IF(Skills!A3="EIGHT_LEGS_EASTON",Inputs!$B$17+((C2545=TRUE)*(F2545-Calc!F23))+((C2549=TRUE)*(F2549-Calc!F27))+(((IF(AND(ArtifactsInput!$M$42,((Inputs!$B$9+((C2541=TRUE)*(F2541-Calc!F19))+B2552+(ArtifactsInput!$M$24-ArtifactsInput!$M$24)*CHOOSE(ArtifactsInput!$N$24+1,10,12,14,16,18,20)+IF(ArtifactsInput!$M$10,CHOOSE(ArtifactsInput!$N$10+1,15,18,21,24,27,30)*(IF(Inputs!$B$38="pvp",MIN(15,15)/15,IF(AND(Inputs!$B$38&lt;&gt;"pvp",Inputs!$B$43&gt;0),MIN(15,Inputs!$B$43)/(Inputs!$B$43),0))),0)))&gt;=100),MIN(100,((Inputs!$B$9+((C2541=TRUE)*(F2541-Calc!F19))+B2552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2541=TRUE)*(F2541-Calc!F19))+B2552+(ArtifactsInput!$M$24-ArtifactsInput!$M$24)*CHOOSE(ArtifactsInput!$N$24+1,10,12,14,16,18,20)+IF(ArtifactsInput!$M$10,CHOOSE(ArtifactsInput!$N$10+1,15,18,21,24,27,30)*(IF(Inputs!$B$38="pvp",MIN(15,15)/15,IF(AND(Inputs!$B$38&lt;&gt;"pvp",Inputs!$B$43&gt;0),MIN(15,Inputs!$B$43)/(Inputs!$B$43),0))),0)))&gt;=100),CHOOSE(ArtifactsInput!$N$42+1,40,48,56,64,72,80),0))))/100)*((1+(((C2539=TRUE)*F2539)+((C2546=TRUE)*(F2546-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2525)</f>
        <v/>
      </c>
      <c r="L2525">
        <f>K2525*(MIN(Inputs!$B$22+((C2544=TRUE)*(F2544-Calc!F22)),(Inputs!$B$23+0+(IF(ArtifactsInput!$M$15,CHOOSE(ArtifactsInput!$N$15+1,25,30,35,40,45,50)/100*(Inputs!$B$11-Inputs!$B$11),0))))/100+(Inputs!$B$23+0+(IF(ArtifactsInput!$M$15,CHOOSE(ArtifactsInput!$N$15+1,25,30,35,40,45,50)/100*(Inputs!$B$11-Inputs!$B$11),0)))/100)/2</f>
        <v/>
      </c>
      <c r="M2525">
        <f>L2525*(1+(Inputs!$B$10+((C2547=TRUE)*(F2547-Calc!F25))+B2557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5">
        <f>L2525*(1-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2525*(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5">
        <f>(1-Summary!$B$11)*T2525+Summary!$B$11*V2525</f>
        <v/>
      </c>
      <c r="P2525">
        <f>IF(B2562=0,0,O2525/B2562)</f>
        <v/>
      </c>
      <c r="Q2525">
        <f>IFERROR(1/(IF(Inputs!$B$38="pvp",15,MAX(0.1,Skills!D3-IF(Skills!E3=TRUE,Inputs!$B$32,0)))*(1-IF(AND(ArtifactsInput!$M$27,Inputs!$B$4="Chapter Hunt"),CHOOSE(ArtifactsInput!$N$27+1,20,24,28,32,36,40),0)/100)),0)</f>
        <v/>
      </c>
      <c r="R2525">
        <f>IF(AND(Inputs!$B$38&lt;&gt;"pvp",Inputs!$B$43&gt;0),IF(MAX(0,Inputs!$B$43-B2559)&lt;=0,0,(INT(MAX(0,Inputs!$B$43-B2559)/(IF(Inputs!$B$38="pvp",15,MAX(0.1,Skills!D3-IF(Skills!E3=TRUE,Inputs!$B$32,0)))*(1-IF(AND(ArtifactsInput!$M$27,Inputs!$B$4="Chapter Hunt"),CHOOSE(ArtifactsInput!$N$27+1,20,24,28,32,36,40),0)/100)))+1)),0)</f>
        <v/>
      </c>
      <c r="S2525">
        <f>IFERROR(O2525/N2525,0)</f>
        <v/>
      </c>
      <c r="T2525">
        <f>IF(C2525,(H2525*N2525*IF(AND(Inputs!$B$38&lt;&gt;"pvp",Inputs!$B$43&gt;0),((Skills!G3*((R2525-1)*IF(Skills!H3&gt;0,Skills!I3/Skills!H3,1)+IF(Skills!H3&gt;0,MIN(Skills!I3,MAX(0,MAX(0,Inputs!$B$43-B2559)-((R2525-1)*(IF(Inputs!$B$38="pvp",15,MAX(0.1,Skills!D3-IF(Skills!E3=TRUE,Inputs!$B$32,0)))*(1-IF(AND(ArtifactsInput!$M$27,Inputs!$B$4="Chapter Hunt"),CHOOSE(ArtifactsInput!$N$27+1,20,24,28,32,36,40),0)/100)))))/Skills!H3,1)))/Inputs!$B$43),G2525*Q2525)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2525*(1-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2525*(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2525*(1-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2525*(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25">
        <f>INDEX(FactorTable!$B$2:$Y$301, MATCH(ROUND(MIN(300,MAX(1,U2524)),0), FactorTable!$A$2:$A$301,0), 22)</f>
        <v/>
      </c>
      <c r="V2525">
        <f>IF(C2525,(H2525*N2525*IF(AND(Inputs!$B$38&lt;&gt;"pvp",Inputs!$B$43&gt;0),((Skills!G3*((R2525-1)*IF(Skills!H3&gt;0,Skills!I3/Skills!H3,1)+IF(Skills!H3&gt;0,MIN(Skills!I3,MAX(0,MAX(0,Inputs!$B$43-B2559)-((R2525-1)*(IF(Inputs!$B$38="pvp",15,MAX(0.1,Skills!D3-IF(Skills!E3=TRUE,Inputs!$B$32,0)))*(1-IF(AND(ArtifactsInput!$M$27,Inputs!$B$4="Chapter Hunt"),CHOOSE(ArtifactsInput!$N$27+1,20,24,28,32,36,40),0)/100)))))/Skills!H3,1)))/Inputs!$B$43),G2525*Q2525))*IF(Inputs!$B$38="pvp",1,(1+(Inputs!$B$21+Skills!Q3+(IF(ArtifactsInput!$M$33,CHOOSE(ArtifactsInput!$N$33+1,30,36,42,48,54,60)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6">
      <c r="A2526">
        <f>Skills!A4</f>
        <v/>
      </c>
      <c r="B2526">
        <f>Skills!B4</f>
        <v/>
      </c>
      <c r="C2526">
        <f>Inputs!$B$3&gt;=40</f>
        <v/>
      </c>
      <c r="D2526">
        <f>IF(Skills!C4=1,60+Inputs!$B$25+Inputs!$B$29,IF(Skills!C4=2,90+Inputs!$B$26+Inputs!$B$29,IF(Skills!C4=3,120+Inputs!$B$27+Inputs!$B$29,MAX(0,(Inputs!$B$3-100)*3)+Inputs!$B$28+Inputs!$B$29)))</f>
        <v/>
      </c>
      <c r="E2526">
        <f>INDEX(FactorTable!$B$2:$Y$301, MATCH(ROUND(MIN(300,MAX(1,D2526)),0), FactorTable!$A$2:$A$301,0), Skills!M4+1)</f>
        <v/>
      </c>
      <c r="F2526">
        <f>IF(Skills!N4=TRUE,(Skills!L4/10)*(E2526/1000),Skills!L4/10)+Skills!O4</f>
        <v/>
      </c>
      <c r="G2526">
        <f>Skills!G4*IF(Skills!H4&gt;0,Skills!I4/Skills!H4,1)</f>
        <v/>
      </c>
      <c r="H2526">
        <f>1-(1-Skills!J4/100)^Skills!K4</f>
        <v/>
      </c>
      <c r="I2526" t="inlineStr">
        <is>
          <t>1</t>
        </is>
      </c>
      <c r="J2526">
        <f>((Inputs!$B$6*(1+Inputs!$B$7/100))+(((Inputs!$B$12*(1+Inputs!$B$13/100))-(Inputs!$B$12*(1+Inputs!$B$13/100)))+0.25*(Inputs!$B$14-Inputs!$B$14))*(1+Inputs!$B$7/100))*(F2526/100)</f>
        <v/>
      </c>
      <c r="K2526">
        <f>J2526*(1+((Inputs!$B$12*(1+Inputs!$B$13/100))*0.01+Inputs!$B$14*0.0025)/100)*(1+Inputs!$B$15/100)*(1+Inputs!$B$16/100)*(5000/(6000+Inputs!$B$42*(1-(100*(1-(1-(Inputs!$B$19+0)/100)*(1-CHOOSE(ArtifactsInput!$N$40+1,5,6,7,8,9,10)/100)^(ArtifactsInput!$M$40-ArtifactsInput!$M$40)))/100)))*(1+(Inputs!$B$24+((C2548=TRUE)*(F2548-Calc!F26))+B2558)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2538=TRUE,F2538,0)/100)*(1+(IF(Skills!A4="EIGHT_LEGS_EASTON",Inputs!$B$17+((C2545=TRUE)*(F2545-Calc!F23))+((C2549=TRUE)*(F2549-Calc!F27))+(((IF(AND(ArtifactsInput!$M$42,((Inputs!$B$9+((C2541=TRUE)*(F2541-Calc!F19))+B2552+(ArtifactsInput!$M$24-ArtifactsInput!$M$24)*CHOOSE(ArtifactsInput!$N$24+1,10,12,14,16,18,20)+IF(ArtifactsInput!$M$10,CHOOSE(ArtifactsInput!$N$10+1,15,18,21,24,27,30)*(IF(Inputs!$B$38="pvp",MIN(15,15)/15,IF(AND(Inputs!$B$38&lt;&gt;"pvp",Inputs!$B$43&gt;0),MIN(15,Inputs!$B$43)/(Inputs!$B$43),0))),0)))&gt;=100),MIN(100,((Inputs!$B$9+((C2541=TRUE)*(F2541-Calc!F19))+B2552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2541=TRUE)*(F2541-Calc!F19))+B2552+(ArtifactsInput!$M$24-ArtifactsInput!$M$24)*CHOOSE(ArtifactsInput!$N$24+1,10,12,14,16,18,20)+IF(ArtifactsInput!$M$10,CHOOSE(ArtifactsInput!$N$10+1,15,18,21,24,27,30)*(IF(Inputs!$B$38="pvp",MIN(15,15)/15,IF(AND(Inputs!$B$38&lt;&gt;"pvp",Inputs!$B$43&gt;0),MIN(15,Inputs!$B$43)/(Inputs!$B$43),0))),0)))&gt;=100),CHOOSE(ArtifactsInput!$N$42+1,40,48,56,64,72,80),0))))/100)*((1+(((C2539=TRUE)*F2539)+((C2546=TRUE)*(F2546-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2526)</f>
        <v/>
      </c>
      <c r="L2526">
        <f>K2526*(MIN(Inputs!$B$22+((C2544=TRUE)*(F2544-Calc!F22)),(Inputs!$B$23+0+(IF(ArtifactsInput!$M$15,CHOOSE(ArtifactsInput!$N$15+1,25,30,35,40,45,50)/100*(Inputs!$B$11-Inputs!$B$11),0))))/100+(Inputs!$B$23+0+(IF(ArtifactsInput!$M$15,CHOOSE(ArtifactsInput!$N$15+1,25,30,35,40,45,50)/100*(Inputs!$B$11-Inputs!$B$11),0)))/100)/2</f>
        <v/>
      </c>
      <c r="M2526">
        <f>L2526*(1+(Inputs!$B$10+((C2547=TRUE)*(F2547-Calc!F25))+B2557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6">
        <f>L2526*(1-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2526*(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6">
        <f>(1-Summary!$B$11)*T2526+Summary!$B$11*V2526</f>
        <v/>
      </c>
      <c r="P2526">
        <f>IF(B2562=0,0,O2526/B2562)</f>
        <v/>
      </c>
      <c r="Q2526">
        <f>IFERROR(1/(IF(Inputs!$B$38="pvp",15,MAX(0.1,Skills!D4-IF(Skills!E4=TRUE,Inputs!$B$32,0)))*(1-IF(AND(ArtifactsInput!$M$27,Inputs!$B$4="Chapter Hunt"),CHOOSE(ArtifactsInput!$N$27+1,20,24,28,32,36,40),0)/100)),0)</f>
        <v/>
      </c>
      <c r="R2526">
        <f>IF(AND(Inputs!$B$38&lt;&gt;"pvp",Inputs!$B$43&gt;0),IF(MAX(0,Inputs!$B$43-B2559)&lt;=0,0,(INT(MAX(0,Inputs!$B$43-B2559)/(IF(Inputs!$B$38="pvp",15,MAX(0.1,Skills!D4-IF(Skills!E4=TRUE,Inputs!$B$32,0)))*(1-IF(AND(ArtifactsInput!$M$27,Inputs!$B$4="Chapter Hunt"),CHOOSE(ArtifactsInput!$N$27+1,20,24,28,32,36,40),0)/100)))+1)),0)</f>
        <v/>
      </c>
      <c r="S2526">
        <f>IFERROR(O2526/N2526,0)</f>
        <v/>
      </c>
      <c r="T2526">
        <f>IF(C2526,(H2526*N2526*IF(AND(Inputs!$B$38&lt;&gt;"pvp",Inputs!$B$43&gt;0),((Skills!G4*((R2526-1)*IF(Skills!H4&gt;0,Skills!I4/Skills!H4,1)+IF(Skills!H4&gt;0,MIN(Skills!I4,MAX(0,MAX(0,Inputs!$B$43-B2559)-((R2526-1)*(IF(Inputs!$B$38="pvp",15,MAX(0.1,Skills!D4-IF(Skills!E4=TRUE,Inputs!$B$32,0)))*(1-IF(AND(ArtifactsInput!$M$27,Inputs!$B$4="Chapter Hunt"),CHOOSE(ArtifactsInput!$N$27+1,20,24,28,32,36,40),0)/100)))))/Skills!H4,1)))/Inputs!$B$43),G2526*Q2526)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2526*(1-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2526*(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2526*(1-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2526*(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26">
        <f>290*U2525/1000</f>
        <v/>
      </c>
      <c r="V2526">
        <f>IF(C2526,(H2526*N2526*IF(AND(Inputs!$B$38&lt;&gt;"pvp",Inputs!$B$43&gt;0),((Skills!G4*((R2526-1)*IF(Skills!H4&gt;0,Skills!I4/Skills!H4,1)+IF(Skills!H4&gt;0,MIN(Skills!I4,MAX(0,MAX(0,Inputs!$B$43-B2559)-((R2526-1)*(IF(Inputs!$B$38="pvp",15,MAX(0.1,Skills!D4-IF(Skills!E4=TRUE,Inputs!$B$32,0)))*(1-IF(AND(ArtifactsInput!$M$27,Inputs!$B$4="Chapter Hunt"),CHOOSE(ArtifactsInput!$N$27+1,20,24,28,32,36,40),0)/100)))))/Skills!H4,1)))/Inputs!$B$43),G2526*Q2526))*IF(Inputs!$B$38="pvp",1,(1+(Inputs!$B$21+Skills!Q4+(IF(ArtifactsInput!$M$33,CHOOSE(ArtifactsInput!$N$33+1,30,36,42,48,54,60)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7">
      <c r="A2527">
        <f>Skills!A5</f>
        <v/>
      </c>
      <c r="B2527">
        <f>Skills!B5</f>
        <v/>
      </c>
      <c r="C2527">
        <f>Inputs!$B$3&gt;=45</f>
        <v/>
      </c>
      <c r="D2527">
        <f>IF(Skills!C5=1,60+Inputs!$B$25+Inputs!$B$29,IF(Skills!C5=2,90+Inputs!$B$26+Inputs!$B$29,IF(Skills!C5=3,120+Inputs!$B$27+Inputs!$B$29,MAX(0,(Inputs!$B$3-100)*3)+Inputs!$B$28+Inputs!$B$29)))</f>
        <v/>
      </c>
      <c r="E2527">
        <f>INDEX(FactorTable!$B$2:$Y$301, MATCH(ROUND(MIN(300,MAX(1,D2527)),0), FactorTable!$A$2:$A$301,0), Skills!M5+1)</f>
        <v/>
      </c>
      <c r="F2527">
        <f>IF(Skills!N5=TRUE,(Skills!L5/10)*(E2527/1000),Skills!L5/10)+Skills!O5</f>
        <v/>
      </c>
      <c r="G2527">
        <f>Skills!G5*IF(Skills!H5&gt;0,Skills!I5/Skills!H5,1)</f>
        <v/>
      </c>
      <c r="H2527">
        <f>1-(1-Skills!J5/100)^Skills!K5</f>
        <v/>
      </c>
      <c r="I2527" t="inlineStr">
        <is>
          <t>1</t>
        </is>
      </c>
      <c r="J2527">
        <f>((Inputs!$B$6*(1+Inputs!$B$7/100))+(((Inputs!$B$12*(1+Inputs!$B$13/100))-(Inputs!$B$12*(1+Inputs!$B$13/100)))+0.25*(Inputs!$B$14-Inputs!$B$14))*(1+Inputs!$B$7/100))*(F2527/100)</f>
        <v/>
      </c>
      <c r="K2527">
        <f>J2527*(1+((Inputs!$B$12*(1+Inputs!$B$13/100))*0.01+Inputs!$B$14*0.0025)/100)*(1+Inputs!$B$15/100)*(1+Inputs!$B$16/100)*(5000/(6000+Inputs!$B$42*(1-(100*(1-(1-(Inputs!$B$19+0)/100)*(1-CHOOSE(ArtifactsInput!$N$40+1,5,6,7,8,9,10)/100)^(ArtifactsInput!$M$40-ArtifactsInput!$M$40)))/100)))*(1+(Inputs!$B$24+((C2548=TRUE)*(F2548-Calc!F26))+B2558)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2538=TRUE,F2538,0)/100)*(1+(IF(Skills!A5="EIGHT_LEGS_EASTON",Inputs!$B$17+((C2545=TRUE)*(F2545-Calc!F23))+((C2549=TRUE)*(F2549-Calc!F27))+(((IF(AND(ArtifactsInput!$M$42,((Inputs!$B$9+((C2541=TRUE)*(F2541-Calc!F19))+B2552+(ArtifactsInput!$M$24-ArtifactsInput!$M$24)*CHOOSE(ArtifactsInput!$N$24+1,10,12,14,16,18,20)+IF(ArtifactsInput!$M$10,CHOOSE(ArtifactsInput!$N$10+1,15,18,21,24,27,30)*(IF(Inputs!$B$38="pvp",MIN(15,15)/15,IF(AND(Inputs!$B$38&lt;&gt;"pvp",Inputs!$B$43&gt;0),MIN(15,Inputs!$B$43)/(Inputs!$B$43),0))),0)))&gt;=100),MIN(100,((Inputs!$B$9+((C2541=TRUE)*(F2541-Calc!F19))+B2552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2541=TRUE)*(F2541-Calc!F19))+B2552+(ArtifactsInput!$M$24-ArtifactsInput!$M$24)*CHOOSE(ArtifactsInput!$N$24+1,10,12,14,16,18,20)+IF(ArtifactsInput!$M$10,CHOOSE(ArtifactsInput!$N$10+1,15,18,21,24,27,30)*(IF(Inputs!$B$38="pvp",MIN(15,15)/15,IF(AND(Inputs!$B$38&lt;&gt;"pvp",Inputs!$B$43&gt;0),MIN(15,Inputs!$B$43)/(Inputs!$B$43),0))),0)))&gt;=100),CHOOSE(ArtifactsInput!$N$42+1,40,48,56,64,72,80),0))))/100)*((1+(((C2539=TRUE)*F2539)+((C2546=TRUE)*(F2546-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2527)</f>
        <v/>
      </c>
      <c r="L2527">
        <f>K2527*(MIN(Inputs!$B$22+((C2544=TRUE)*(F2544-Calc!F22)),(Inputs!$B$23+0+(IF(ArtifactsInput!$M$15,CHOOSE(ArtifactsInput!$N$15+1,25,30,35,40,45,50)/100*(Inputs!$B$11-Inputs!$B$11),0))))/100+(Inputs!$B$23+0+(IF(ArtifactsInput!$M$15,CHOOSE(ArtifactsInput!$N$15+1,25,30,35,40,45,50)/100*(Inputs!$B$11-Inputs!$B$11),0)))/100)/2</f>
        <v/>
      </c>
      <c r="M2527">
        <f>L2527*(1+(Inputs!$B$10+((C2547=TRUE)*(F2547-Calc!F25))+B2557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7">
        <f>L2527*(1-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2527*(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7">
        <f>(1-Summary!$B$11)*T2527+Summary!$B$11*V2527</f>
        <v/>
      </c>
      <c r="P2527">
        <f>IF(B2562=0,0,O2527/B2562)</f>
        <v/>
      </c>
      <c r="Q2527">
        <f>IFERROR(1/(IF(Inputs!$B$38="pvp",15,MAX(0.1,Skills!D5-IF(Skills!E5=TRUE,Inputs!$B$32,0)))*(1-IF(AND(ArtifactsInput!$M$27,Inputs!$B$4="Chapter Hunt"),CHOOSE(ArtifactsInput!$N$27+1,20,24,28,32,36,40),0)/100)),0)</f>
        <v/>
      </c>
      <c r="R2527">
        <f>IF(AND(Inputs!$B$38&lt;&gt;"pvp",Inputs!$B$43&gt;0),IF(MAX(0,Inputs!$B$43-B2559)&lt;=0,0,(INT(MAX(0,Inputs!$B$43-B2559)/(IF(Inputs!$B$38="pvp",15,MAX(0.1,Skills!D5-IF(Skills!E5=TRUE,Inputs!$B$32,0)))*(1-IF(AND(ArtifactsInput!$M$27,Inputs!$B$4="Chapter Hunt"),CHOOSE(ArtifactsInput!$N$27+1,20,24,28,32,36,40),0)/100)))+1)),0)</f>
        <v/>
      </c>
      <c r="S2527">
        <f>IFERROR(O2527/N2527,0)</f>
        <v/>
      </c>
      <c r="T2527">
        <f>IF(C2527,(H2527*N2527*IF(AND(Inputs!$B$38&lt;&gt;"pvp",Inputs!$B$43&gt;0),((Skills!G5*((R2527-1)*IF(Skills!H5&gt;0,Skills!I5/Skills!H5,1)+IF(Skills!H5&gt;0,MIN(Skills!I5,MAX(0,MAX(0,Inputs!$B$43-B2559)-((R2527-1)*(IF(Inputs!$B$38="pvp",15,MAX(0.1,Skills!D5-IF(Skills!E5=TRUE,Inputs!$B$32,0)))*(1-IF(AND(ArtifactsInput!$M$27,Inputs!$B$4="Chapter Hunt"),CHOOSE(ArtifactsInput!$N$27+1,20,24,28,32,36,40),0)/100)))))/Skills!H5,1)))/Inputs!$B$43),G2527*Q2527)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2527*(1-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2527*(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2527*(1-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2527*(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7">
        <f>IF(C2527,(H2527*N2527*IF(AND(Inputs!$B$38&lt;&gt;"pvp",Inputs!$B$43&gt;0),((Skills!G5*((R2527-1)*IF(Skills!H5&gt;0,Skills!I5/Skills!H5,1)+IF(Skills!H5&gt;0,MIN(Skills!I5,MAX(0,MAX(0,Inputs!$B$43-B2559)-((R2527-1)*(IF(Inputs!$B$38="pvp",15,MAX(0.1,Skills!D5-IF(Skills!E5=TRUE,Inputs!$B$32,0)))*(1-IF(AND(ArtifactsInput!$M$27,Inputs!$B$4="Chapter Hunt"),CHOOSE(ArtifactsInput!$N$27+1,20,24,28,32,36,40),0)/100)))))/Skills!H5,1)))/Inputs!$B$43),G2527*Q2527))*IF(Inputs!$B$38="pvp",1,(1+(Inputs!$B$21+Skills!Q5+(IF(ArtifactsInput!$M$33,CHOOSE(ArtifactsInput!$N$33+1,30,36,42,48,54,60)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8">
      <c r="A2528">
        <f>Skills!A6</f>
        <v/>
      </c>
      <c r="B2528">
        <f>Skills!B6</f>
        <v/>
      </c>
      <c r="C2528">
        <f>Inputs!$B$3&gt;=63</f>
        <v/>
      </c>
      <c r="D2528">
        <f>IF(Skills!C6=1,60+Inputs!$B$25+Inputs!$B$29,IF(Skills!C6=2,90+Inputs!$B$26+Inputs!$B$29,IF(Skills!C6=3,120+Inputs!$B$27+Inputs!$B$29,MAX(0,(Inputs!$B$3-100)*3)+Inputs!$B$28+Inputs!$B$29)))</f>
        <v/>
      </c>
      <c r="E2528">
        <f>INDEX(FactorTable!$B$2:$Y$301, MATCH(ROUND(MIN(300,MAX(1,D2528)),0), FactorTable!$A$2:$A$301,0), Skills!M6+1)</f>
        <v/>
      </c>
      <c r="F2528">
        <f>IF(Skills!N6=TRUE,(Skills!L6/10)*(E2528/1000),Skills!L6/10)+Skills!O6</f>
        <v/>
      </c>
      <c r="G2528">
        <f>Skills!G6*IF(Skills!H6&gt;0,Skills!I6/Skills!H6,1)</f>
        <v/>
      </c>
      <c r="H2528">
        <f>1-(1-Skills!J6/100)^Skills!K6</f>
        <v/>
      </c>
      <c r="I2528" t="inlineStr">
        <is>
          <t>1</t>
        </is>
      </c>
      <c r="J2528">
        <f>((Inputs!$B$6*(1+Inputs!$B$7/100))+(((Inputs!$B$12*(1+Inputs!$B$13/100))-(Inputs!$B$12*(1+Inputs!$B$13/100)))+0.25*(Inputs!$B$14-Inputs!$B$14))*(1+Inputs!$B$7/100))*(F2528/100)</f>
        <v/>
      </c>
      <c r="K2528">
        <f>J2528*(1+((Inputs!$B$12*(1+Inputs!$B$13/100))*0.01+Inputs!$B$14*0.0025)/100)*(1+Inputs!$B$15/100)*(1+Inputs!$B$16/100)*(5000/(6000+Inputs!$B$42*(1-(100*(1-(1-(Inputs!$B$19+0)/100)*(1-CHOOSE(ArtifactsInput!$N$40+1,5,6,7,8,9,10)/100)^(ArtifactsInput!$M$40-ArtifactsInput!$M$40)))/100)))*(1+(Inputs!$B$24+((C2548=TRUE)*(F2548-Calc!F26))+B2558)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2537=TRUE,F2537,0)/100)*(1+(IF(Skills!A6="EIGHT_LEGS_EASTON",Inputs!$B$17+((C2545=TRUE)*(F2545-Calc!F23))+((C2549=TRUE)*(F2549-Calc!F27))+(((IF(AND(ArtifactsInput!$M$42,((Inputs!$B$9+((C2541=TRUE)*(F2541-Calc!F19))+B2552+(ArtifactsInput!$M$24-ArtifactsInput!$M$24)*CHOOSE(ArtifactsInput!$N$24+1,10,12,14,16,18,20)+IF(ArtifactsInput!$M$10,CHOOSE(ArtifactsInput!$N$10+1,15,18,21,24,27,30)*(IF(Inputs!$B$38="pvp",MIN(15,15)/15,IF(AND(Inputs!$B$38&lt;&gt;"pvp",Inputs!$B$43&gt;0),MIN(15,Inputs!$B$43)/(Inputs!$B$43),0))),0)))&gt;=100),MIN(100,((Inputs!$B$9+((C2541=TRUE)*(F2541-Calc!F19))+B2552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2541=TRUE)*(F2541-Calc!F19))+B2552+(ArtifactsInput!$M$24-ArtifactsInput!$M$24)*CHOOSE(ArtifactsInput!$N$24+1,10,12,14,16,18,20)+IF(ArtifactsInput!$M$10,CHOOSE(ArtifactsInput!$N$10+1,15,18,21,24,27,30)*(IF(Inputs!$B$38="pvp",MIN(15,15)/15,IF(AND(Inputs!$B$38&lt;&gt;"pvp",Inputs!$B$43&gt;0),MIN(15,Inputs!$B$43)/(Inputs!$B$43),0))),0)))&gt;=100),CHOOSE(ArtifactsInput!$N$42+1,40,48,56,64,72,80),0))))/100)*((1+(((C2539=TRUE)*F2539)+((C2546=TRUE)*(F2546-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2528)</f>
        <v/>
      </c>
      <c r="L2528">
        <f>K2528*(MIN(Inputs!$B$22+((C2544=TRUE)*(F2544-Calc!F22)),(Inputs!$B$23+0+(IF(ArtifactsInput!$M$15,CHOOSE(ArtifactsInput!$N$15+1,25,30,35,40,45,50)/100*(Inputs!$B$11-Inputs!$B$11),0))))/100+(Inputs!$B$23+0+(IF(ArtifactsInput!$M$15,CHOOSE(ArtifactsInput!$N$15+1,25,30,35,40,45,50)/100*(Inputs!$B$11-Inputs!$B$11),0)))/100)/2</f>
        <v/>
      </c>
      <c r="M2528">
        <f>L2528*(1+(Inputs!$B$10+((C2547=TRUE)*(F2547-Calc!F25))+B2557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8">
        <f>L2528*(1-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2528*(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8">
        <f>(1-Summary!$B$11)*T2528+Summary!$B$11*V2528</f>
        <v/>
      </c>
      <c r="P2528">
        <f>IF(B2562=0,0,O2528/B2562)</f>
        <v/>
      </c>
      <c r="Q2528">
        <f>IFERROR(1/(IF(Inputs!$B$38="pvp",15,MAX(0.1,Skills!D6-IF(Skills!E6=TRUE,Inputs!$B$32,0)))*(1-IF(AND(ArtifactsInput!$M$27,Inputs!$B$4="Chapter Hunt"),CHOOSE(ArtifactsInput!$N$27+1,20,24,28,32,36,40),0)/100)),0)</f>
        <v/>
      </c>
      <c r="R2528">
        <f>IF(AND(Inputs!$B$38&lt;&gt;"pvp",Inputs!$B$43&gt;0),IF(MAX(0,Inputs!$B$43-B2559)&lt;=0,0,(INT(MAX(0,Inputs!$B$43-B2559)/(IF(Inputs!$B$38="pvp",15,MAX(0.1,Skills!D6-IF(Skills!E6=TRUE,Inputs!$B$32,0)))*(1-IF(AND(ArtifactsInput!$M$27,Inputs!$B$4="Chapter Hunt"),CHOOSE(ArtifactsInput!$N$27+1,20,24,28,32,36,40),0)/100)))+1)),0)</f>
        <v/>
      </c>
      <c r="S2528">
        <f>IFERROR(O2528/N2528,0)</f>
        <v/>
      </c>
      <c r="T2528">
        <f>IF(C2528,(H2528*N2528*IF(AND(Inputs!$B$38&lt;&gt;"pvp",Inputs!$B$43&gt;0),((Skills!G6*((R2528-1)*IF(Skills!H6&gt;0,Skills!I6/Skills!H6,1)+IF(Skills!H6&gt;0,MIN(Skills!I6,MAX(0,MAX(0,Inputs!$B$43-B2559)-((R2528-1)*(IF(Inputs!$B$38="pvp",15,MAX(0.1,Skills!D6-IF(Skills!E6=TRUE,Inputs!$B$32,0)))*(1-IF(AND(ArtifactsInput!$M$27,Inputs!$B$4="Chapter Hunt"),CHOOSE(ArtifactsInput!$N$27+1,20,24,28,32,36,40),0)/100)))))/Skills!H6,1)))/Inputs!$B$43),G2528*Q2528)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2528*(1-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2528*(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2528*(1-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2528*(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8">
        <f>IF(C2528,(H2528*N2528*IF(AND(Inputs!$B$38&lt;&gt;"pvp",Inputs!$B$43&gt;0),((Skills!G6*((R2528-1)*IF(Skills!H6&gt;0,Skills!I6/Skills!H6,1)+IF(Skills!H6&gt;0,MIN(Skills!I6,MAX(0,MAX(0,Inputs!$B$43-B2559)-((R2528-1)*(IF(Inputs!$B$38="pvp",15,MAX(0.1,Skills!D6-IF(Skills!E6=TRUE,Inputs!$B$32,0)))*(1-IF(AND(ArtifactsInput!$M$27,Inputs!$B$4="Chapter Hunt"),CHOOSE(ArtifactsInput!$N$27+1,20,24,28,32,36,40),0)/100)))))/Skills!H6,1)))/Inputs!$B$43),G2528*Q2528))*IF(Inputs!$B$38="pvp",1,(1+(Inputs!$B$21+Skills!Q6+(IF(ArtifactsInput!$M$33,CHOOSE(ArtifactsInput!$N$33+1,30,36,42,48,54,60)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9">
      <c r="A2529">
        <f>Skills!A7</f>
        <v/>
      </c>
      <c r="B2529">
        <f>Skills!B7</f>
        <v/>
      </c>
      <c r="C2529">
        <f>Inputs!$B$3&gt;=66</f>
        <v/>
      </c>
      <c r="D2529">
        <f>IF(Skills!C7=1,60+Inputs!$B$25+Inputs!$B$29,IF(Skills!C7=2,90+Inputs!$B$26+Inputs!$B$29,IF(Skills!C7=3,120+Inputs!$B$27+Inputs!$B$29,MAX(0,(Inputs!$B$3-100)*3)+Inputs!$B$28+Inputs!$B$29)))</f>
        <v/>
      </c>
      <c r="E2529">
        <f>INDEX(FactorTable!$B$2:$Y$301, MATCH(ROUND(MIN(300,MAX(1,D2529)),0), FactorTable!$A$2:$A$301,0), Skills!M7+1)</f>
        <v/>
      </c>
      <c r="F2529">
        <f>IF(Skills!N7=TRUE,(Skills!L7/10)*(E2529/1000),Skills!L7/10)+Skills!O7</f>
        <v/>
      </c>
      <c r="G2529">
        <f>Skills!G7*IF(Skills!H7&gt;0,Skills!I7/Skills!H7,1)</f>
        <v/>
      </c>
      <c r="H2529">
        <f>1-(1-Skills!J7/100)^Skills!K7</f>
        <v/>
      </c>
      <c r="I2529" t="inlineStr">
        <is>
          <t>1</t>
        </is>
      </c>
      <c r="J2529">
        <f>((Inputs!$B$6*(1+Inputs!$B$7/100))+(((Inputs!$B$12*(1+Inputs!$B$13/100))-(Inputs!$B$12*(1+Inputs!$B$13/100)))+0.25*(Inputs!$B$14-Inputs!$B$14))*(1+Inputs!$B$7/100))*(F2529/100)</f>
        <v/>
      </c>
      <c r="K2529">
        <f>J2529*(1+((Inputs!$B$12*(1+Inputs!$B$13/100))*0.01+Inputs!$B$14*0.0025)/100)*(1+Inputs!$B$15/100)*(1+Inputs!$B$16/100)*(5000/(6000+Inputs!$B$42*(1-(100*(1-(1-(Inputs!$B$19+0)/100)*(1-CHOOSE(ArtifactsInput!$N$40+1,5,6,7,8,9,10)/100)^(ArtifactsInput!$M$40-ArtifactsInput!$M$40)))/100)))*(1+(Inputs!$B$24+((C2548=TRUE)*(F2548-Calc!F26))+B2558)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2537=TRUE,F2537,0)/100)*(1+(IF(Skills!A7="EIGHT_LEGS_EASTON",Inputs!$B$17+((C2545=TRUE)*(F2545-Calc!F23))+((C2549=TRUE)*(F2549-Calc!F27))+(((IF(AND(ArtifactsInput!$M$42,((Inputs!$B$9+((C2541=TRUE)*(F2541-Calc!F19))+B2552+(ArtifactsInput!$M$24-ArtifactsInput!$M$24)*CHOOSE(ArtifactsInput!$N$24+1,10,12,14,16,18,20)+IF(ArtifactsInput!$M$10,CHOOSE(ArtifactsInput!$N$10+1,15,18,21,24,27,30)*(IF(Inputs!$B$38="pvp",MIN(15,15)/15,IF(AND(Inputs!$B$38&lt;&gt;"pvp",Inputs!$B$43&gt;0),MIN(15,Inputs!$B$43)/(Inputs!$B$43),0))),0)))&gt;=100),MIN(100,((Inputs!$B$9+((C2541=TRUE)*(F2541-Calc!F19))+B2552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2541=TRUE)*(F2541-Calc!F19))+B2552+(ArtifactsInput!$M$24-ArtifactsInput!$M$24)*CHOOSE(ArtifactsInput!$N$24+1,10,12,14,16,18,20)+IF(ArtifactsInput!$M$10,CHOOSE(ArtifactsInput!$N$10+1,15,18,21,24,27,30)*(IF(Inputs!$B$38="pvp",MIN(15,15)/15,IF(AND(Inputs!$B$38&lt;&gt;"pvp",Inputs!$B$43&gt;0),MIN(15,Inputs!$B$43)/(Inputs!$B$43),0))),0)))&gt;=100),CHOOSE(ArtifactsInput!$N$42+1,40,48,56,64,72,80),0))))/100)*((1+(((C2539=TRUE)*F2539)+((C2546=TRUE)*(F2546-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2529)</f>
        <v/>
      </c>
      <c r="L2529">
        <f>K2529*(MIN(Inputs!$B$22+((C2544=TRUE)*(F2544-Calc!F22)),(Inputs!$B$23+0+(IF(ArtifactsInput!$M$15,CHOOSE(ArtifactsInput!$N$15+1,25,30,35,40,45,50)/100*(Inputs!$B$11-Inputs!$B$11),0))))/100+(Inputs!$B$23+0+(IF(ArtifactsInput!$M$15,CHOOSE(ArtifactsInput!$N$15+1,25,30,35,40,45,50)/100*(Inputs!$B$11-Inputs!$B$11),0)))/100)/2</f>
        <v/>
      </c>
      <c r="M2529">
        <f>L2529*(1+(Inputs!$B$10+((C2547=TRUE)*(F2547-Calc!F25))+B2557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9">
        <f>L2529*(1-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2529*(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9">
        <f>(1-Summary!$B$11)*T2529+Summary!$B$11*V2529</f>
        <v/>
      </c>
      <c r="P2529">
        <f>IF(B2562=0,0,O2529/B2562)</f>
        <v/>
      </c>
      <c r="Q2529">
        <f>IFERROR(1/(IF(Inputs!$B$38="pvp",15,MAX(0.1,Skills!D7-IF(Skills!E7=TRUE,Inputs!$B$32,0)))*(1-IF(AND(ArtifactsInput!$M$27,Inputs!$B$4="Chapter Hunt"),CHOOSE(ArtifactsInput!$N$27+1,20,24,28,32,36,40),0)/100)),0)</f>
        <v/>
      </c>
      <c r="R2529">
        <f>IF(AND(Inputs!$B$38&lt;&gt;"pvp",Inputs!$B$43&gt;0),IF(MAX(0,Inputs!$B$43-B2559)&lt;=0,0,(INT(MAX(0,Inputs!$B$43-B2559)/(IF(Inputs!$B$38="pvp",15,MAX(0.1,Skills!D7-IF(Skills!E7=TRUE,Inputs!$B$32,0)))*(1-IF(AND(ArtifactsInput!$M$27,Inputs!$B$4="Chapter Hunt"),CHOOSE(ArtifactsInput!$N$27+1,20,24,28,32,36,40),0)/100)))+1)),0)</f>
        <v/>
      </c>
      <c r="S2529">
        <f>IFERROR(O2529/N2529,0)</f>
        <v/>
      </c>
      <c r="T2529">
        <f>IF(C2529,(H2529*N2529*IF(AND(Inputs!$B$38&lt;&gt;"pvp",Inputs!$B$43&gt;0),((Skills!G7*((R2529-1)*IF(Skills!H7&gt;0,Skills!I7/Skills!H7,1)+IF(Skills!H7&gt;0,MIN(Skills!I7,MAX(0,MAX(0,Inputs!$B$43-B2559)-((R2529-1)*(IF(Inputs!$B$38="pvp",15,MAX(0.1,Skills!D7-IF(Skills!E7=TRUE,Inputs!$B$32,0)))*(1-IF(AND(ArtifactsInput!$M$27,Inputs!$B$4="Chapter Hunt"),CHOOSE(ArtifactsInput!$N$27+1,20,24,28,32,36,40),0)/100)))))/Skills!H7,1)))/Inputs!$B$43),G2529*Q2529)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2529*(1-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2529*(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2529*(1-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2529*(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9">
        <f>IF(C2529,(H2529*N2529*IF(AND(Inputs!$B$38&lt;&gt;"pvp",Inputs!$B$43&gt;0),((Skills!G7*((R2529-1)*IF(Skills!H7&gt;0,Skills!I7/Skills!H7,1)+IF(Skills!H7&gt;0,MIN(Skills!I7,MAX(0,MAX(0,Inputs!$B$43-B2559)-((R2529-1)*(IF(Inputs!$B$38="pvp",15,MAX(0.1,Skills!D7-IF(Skills!E7=TRUE,Inputs!$B$32,0)))*(1-IF(AND(ArtifactsInput!$M$27,Inputs!$B$4="Chapter Hunt"),CHOOSE(ArtifactsInput!$N$27+1,20,24,28,32,36,40),0)/100)))))/Skills!H7,1)))/Inputs!$B$43),G2529*Q2529))*IF(Inputs!$B$38="pvp",1,(1+(Inputs!$B$21+Skills!Q7+(IF(ArtifactsInput!$M$33,CHOOSE(ArtifactsInput!$N$33+1,30,36,42,48,54,60)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0">
      <c r="A2530">
        <f>Skills!A8</f>
        <v/>
      </c>
      <c r="B2530">
        <f>Skills!B8</f>
        <v/>
      </c>
      <c r="C2530">
        <f>Inputs!$B$3&gt;=100</f>
        <v/>
      </c>
      <c r="D2530">
        <f>IF(Skills!C8=1,60+Inputs!$B$25+Inputs!$B$29,IF(Skills!C8=2,90+Inputs!$B$26+Inputs!$B$29,IF(Skills!C8=3,120+Inputs!$B$27+Inputs!$B$29,MAX(0,(Inputs!$B$3-100)*3)+Inputs!$B$28+Inputs!$B$29)))</f>
        <v/>
      </c>
      <c r="E2530">
        <f>INDEX(FactorTable!$B$2:$Y$301, MATCH(ROUND(MIN(300,MAX(1,D2530)),0), FactorTable!$A$2:$A$301,0), Skills!M8+1)</f>
        <v/>
      </c>
      <c r="F2530">
        <f>IF(Skills!N8=TRUE,(Skills!L8/10)*(E2530/1000),Skills!L8/10)+Skills!O8</f>
        <v/>
      </c>
      <c r="G2530">
        <f>Skills!G8*IF(Skills!H8&gt;0,Skills!I8/Skills!H8,1)</f>
        <v/>
      </c>
      <c r="H2530">
        <f>1-(1-Skills!J8/100)^Skills!K8</f>
        <v/>
      </c>
      <c r="I2530" t="inlineStr">
        <is>
          <t>1</t>
        </is>
      </c>
      <c r="J2530">
        <f>((Inputs!$B$6*(1+Inputs!$B$7/100))+(((Inputs!$B$12*(1+Inputs!$B$13/100))-(Inputs!$B$12*(1+Inputs!$B$13/100)))+0.25*(Inputs!$B$14-Inputs!$B$14))*(1+Inputs!$B$7/100))*(F2530/100)</f>
        <v/>
      </c>
      <c r="K2530">
        <f>J2530*(1+((Inputs!$B$12*(1+Inputs!$B$13/100))*0.01+Inputs!$B$14*0.0025)/100)*(1+Inputs!$B$15/100)*(1+Inputs!$B$16/100)*(5000/(6000+Inputs!$B$42*(1-(100*(1-(1-(Inputs!$B$19+0)/100)*(1-CHOOSE(ArtifactsInput!$N$40+1,5,6,7,8,9,10)/100)^(ArtifactsInput!$M$40-ArtifactsInput!$M$40)))/100)))*(1+(Inputs!$B$24+((C2548=TRUE)*(F2548-Calc!F26))+B2558)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2545=TRUE)*(F2545-Calc!F23))+((C2549=TRUE)*(F2549-Calc!F27))+(((IF(AND(ArtifactsInput!$M$42,((Inputs!$B$9+((C2541=TRUE)*(F2541-Calc!F19))+B2552+(ArtifactsInput!$M$24-ArtifactsInput!$M$24)*CHOOSE(ArtifactsInput!$N$24+1,10,12,14,16,18,20)+IF(ArtifactsInput!$M$10,CHOOSE(ArtifactsInput!$N$10+1,15,18,21,24,27,30)*(IF(Inputs!$B$38="pvp",MIN(15,15)/15,IF(AND(Inputs!$B$38&lt;&gt;"pvp",Inputs!$B$43&gt;0),MIN(15,Inputs!$B$43)/(Inputs!$B$43),0))),0)))&gt;=100),MIN(100,((Inputs!$B$9+((C2541=TRUE)*(F2541-Calc!F19))+B2552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2541=TRUE)*(F2541-Calc!F19))+B2552+(ArtifactsInput!$M$24-ArtifactsInput!$M$24)*CHOOSE(ArtifactsInput!$N$24+1,10,12,14,16,18,20)+IF(ArtifactsInput!$M$10,CHOOSE(ArtifactsInput!$N$10+1,15,18,21,24,27,30)*(IF(Inputs!$B$38="pvp",MIN(15,15)/15,IF(AND(Inputs!$B$38&lt;&gt;"pvp",Inputs!$B$43&gt;0),MIN(15,Inputs!$B$43)/(Inputs!$B$43),0))),0)))&gt;=100),CHOOSE(ArtifactsInput!$N$42+1,40,48,56,64,72,80),0))))/100)*((1+(((C2539=TRUE)*F2539)+((C2546=TRUE)*(F2546-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2530)</f>
        <v/>
      </c>
      <c r="L2530">
        <f>K2530*(MIN(Inputs!$B$22+((C2544=TRUE)*(F2544-Calc!F22)),(Inputs!$B$23+0+(IF(ArtifactsInput!$M$15,CHOOSE(ArtifactsInput!$N$15+1,25,30,35,40,45,50)/100*(Inputs!$B$11-Inputs!$B$11),0))))/100+(Inputs!$B$23+0+(IF(ArtifactsInput!$M$15,CHOOSE(ArtifactsInput!$N$15+1,25,30,35,40,45,50)/100*(Inputs!$B$11-Inputs!$B$11),0)))/100)/2</f>
        <v/>
      </c>
      <c r="M2530">
        <f>L2530*(1+(Inputs!$B$10+((C2547=TRUE)*(F2547-Calc!F25))+B2557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0">
        <f>L2530*(1-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2530*(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0">
        <f>(1-Summary!$B$11)*T2530+Summary!$B$11*V2530</f>
        <v/>
      </c>
      <c r="P2530">
        <f>IF(B2562=0,0,O2530/B2562)</f>
        <v/>
      </c>
      <c r="Q2530">
        <f>IFERROR(1/(IF(Inputs!$B$38="pvp",15,MAX(0.1,Skills!D8-IF(Skills!E8=TRUE,Inputs!$B$32,0)))*(1-IF(AND(ArtifactsInput!$M$27,Inputs!$B$4="Chapter Hunt"),CHOOSE(ArtifactsInput!$N$27+1,20,24,28,32,36,40),0)/100)),0)</f>
        <v/>
      </c>
      <c r="R2530">
        <f>IF(AND(Inputs!$B$38&lt;&gt;"pvp",Inputs!$B$43&gt;0),IF(MAX(0,Inputs!$B$43-B2559)&lt;=0,0,(INT(MAX(0,Inputs!$B$43-B2559)/(IF(Inputs!$B$38="pvp",15,MAX(0.1,Skills!D8-IF(Skills!E8=TRUE,Inputs!$B$32,0)))*(1-IF(AND(ArtifactsInput!$M$27,Inputs!$B$4="Chapter Hunt"),CHOOSE(ArtifactsInput!$N$27+1,20,24,28,32,36,40),0)/100)))+1)),0)</f>
        <v/>
      </c>
      <c r="S2530">
        <f>IFERROR(O2530/N2530,0)</f>
        <v/>
      </c>
      <c r="T2530">
        <f>IF(C2530,(H2530*N2530*IF(AND(Inputs!$B$38&lt;&gt;"pvp",Inputs!$B$43&gt;0),((Skills!G8*((R2530-1)*IF(Skills!H8&gt;0,Skills!I8/Skills!H8,1)+IF(Skills!H8&gt;0,MIN(Skills!I8,MAX(0,MAX(0,Inputs!$B$43-B2559)-((R2530-1)*(IF(Inputs!$B$38="pvp",15,MAX(0.1,Skills!D8-IF(Skills!E8=TRUE,Inputs!$B$32,0)))*(1-IF(AND(ArtifactsInput!$M$27,Inputs!$B$4="Chapter Hunt"),CHOOSE(ArtifactsInput!$N$27+1,20,24,28,32,36,40),0)/100)))))/Skills!H8,1)))/Inputs!$B$43),G2530*Q2530)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2530*(1-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2530*(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2530*(1-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2530*(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30">
        <f>IF(C2530,(H2530*N2530*IF(AND(Inputs!$B$38&lt;&gt;"pvp",Inputs!$B$43&gt;0),((Skills!G8*((R2530-1)*IF(Skills!H8&gt;0,Skills!I8/Skills!H8,1)+IF(Skills!H8&gt;0,MIN(Skills!I8,MAX(0,MAX(0,Inputs!$B$43-B2559)-((R2530-1)*(IF(Inputs!$B$38="pvp",15,MAX(0.1,Skills!D8-IF(Skills!E8=TRUE,Inputs!$B$32,0)))*(1-IF(AND(ArtifactsInput!$M$27,Inputs!$B$4="Chapter Hunt"),CHOOSE(ArtifactsInput!$N$27+1,20,24,28,32,36,40),0)/100)))))/Skills!H8,1)))/Inputs!$B$43),G2530*Q2530))*IF(Inputs!$B$38="pvp",1,(1+(Inputs!$B$21+Skills!Q8+(IF(ArtifactsInput!$M$33,CHOOSE(ArtifactsInput!$N$33+1,30,36,42,48,54,60)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1">
      <c r="A2531">
        <f>Skills!A9</f>
        <v/>
      </c>
      <c r="B2531">
        <f>Skills!B9</f>
        <v/>
      </c>
      <c r="C2531">
        <f>Inputs!$B$3&gt;=103</f>
        <v/>
      </c>
      <c r="D2531">
        <f>IF(Skills!C9=1,60+Inputs!$B$25+Inputs!$B$29,IF(Skills!C9=2,90+Inputs!$B$26+Inputs!$B$29,IF(Skills!C9=3,120+Inputs!$B$27+Inputs!$B$29,MAX(0,(Inputs!$B$3-100)*3)+Inputs!$B$28+Inputs!$B$29)))</f>
        <v/>
      </c>
      <c r="E2531">
        <f>INDEX(FactorTable!$B$2:$Y$301, MATCH(ROUND(MIN(300,MAX(1,D2531)),0), FactorTable!$A$2:$A$301,0), Skills!M9+1)</f>
        <v/>
      </c>
      <c r="F2531">
        <f>IF(Skills!N9=TRUE,(Skills!L9/10)*(E2531/1000),Skills!L9/10)+Skills!O9</f>
        <v/>
      </c>
      <c r="G2531">
        <f>Skills!G9*IF(Skills!H9&gt;0,Skills!I9/Skills!H9,1)</f>
        <v/>
      </c>
      <c r="H2531">
        <f>1-(1-Skills!J9/100)^Skills!K9</f>
        <v/>
      </c>
      <c r="I2531" t="inlineStr">
        <is>
          <t>1</t>
        </is>
      </c>
      <c r="J2531">
        <f>((Inputs!$B$6*(1+Inputs!$B$7/100))+(((Inputs!$B$12*(1+Inputs!$B$13/100))-(Inputs!$B$12*(1+Inputs!$B$13/100)))+0.25*(Inputs!$B$14-Inputs!$B$14))*(1+Inputs!$B$7/100))*(F2531/100)</f>
        <v/>
      </c>
      <c r="K2531">
        <f>J2531*(1+((Inputs!$B$12*(1+Inputs!$B$13/100))*0.01+Inputs!$B$14*0.0025)/100)*(1+Inputs!$B$15/100)*(1+Inputs!$B$16/100)*(5000/(6000+Inputs!$B$42*(1-(100*(1-(1-(Inputs!$B$19+0)/100)*(1-CHOOSE(ArtifactsInput!$N$40+1,5,6,7,8,9,10)/100)^(ArtifactsInput!$M$40-ArtifactsInput!$M$40)))/100)))*(1+(Inputs!$B$24+((C2548=TRUE)*(F2548-Calc!F26))+B2558)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2545=TRUE)*(F2545-Calc!F23))+((C2549=TRUE)*(F2549-Calc!F27))+(((IF(AND(ArtifactsInput!$M$42,((Inputs!$B$9+((C2541=TRUE)*(F2541-Calc!F19))+B2552+(ArtifactsInput!$M$24-ArtifactsInput!$M$24)*CHOOSE(ArtifactsInput!$N$24+1,10,12,14,16,18,20)+IF(ArtifactsInput!$M$10,CHOOSE(ArtifactsInput!$N$10+1,15,18,21,24,27,30)*(IF(Inputs!$B$38="pvp",MIN(15,15)/15,IF(AND(Inputs!$B$38&lt;&gt;"pvp",Inputs!$B$43&gt;0),MIN(15,Inputs!$B$43)/(Inputs!$B$43),0))),0)))&gt;=100),MIN(100,((Inputs!$B$9+((C2541=TRUE)*(F2541-Calc!F19))+B2552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2541=TRUE)*(F2541-Calc!F19))+B2552+(ArtifactsInput!$M$24-ArtifactsInput!$M$24)*CHOOSE(ArtifactsInput!$N$24+1,10,12,14,16,18,20)+IF(ArtifactsInput!$M$10,CHOOSE(ArtifactsInput!$N$10+1,15,18,21,24,27,30)*(IF(Inputs!$B$38="pvp",MIN(15,15)/15,IF(AND(Inputs!$B$38&lt;&gt;"pvp",Inputs!$B$43&gt;0),MIN(15,Inputs!$B$43)/(Inputs!$B$43),0))),0)))&gt;=100),CHOOSE(ArtifactsInput!$N$42+1,40,48,56,64,72,80),0))))/100)*((1+(((C2539=TRUE)*F2539)+((C2546=TRUE)*(F2546-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2531)</f>
        <v/>
      </c>
      <c r="L2531">
        <f>K2531*(MIN(Inputs!$B$22+((C2544=TRUE)*(F2544-Calc!F22)),(Inputs!$B$23+0+(IF(ArtifactsInput!$M$15,CHOOSE(ArtifactsInput!$N$15+1,25,30,35,40,45,50)/100*(Inputs!$B$11-Inputs!$B$11),0))))/100+(Inputs!$B$23+0+(IF(ArtifactsInput!$M$15,CHOOSE(ArtifactsInput!$N$15+1,25,30,35,40,45,50)/100*(Inputs!$B$11-Inputs!$B$11),0)))/100)/2</f>
        <v/>
      </c>
      <c r="M2531">
        <f>L2531*(1+(Inputs!$B$10+((C2547=TRUE)*(F2547-Calc!F25))+B2557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1">
        <f>L2531*(1-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2531*(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1">
        <f>(1-Summary!$B$11)*T2531+Summary!$B$11*V2531</f>
        <v/>
      </c>
      <c r="P2531">
        <f>IF(B2562=0,0,O2531/B2562)</f>
        <v/>
      </c>
      <c r="Q2531">
        <f>IFERROR(1/(IF(Inputs!$B$38="pvp",15,MAX(0.1,Skills!D9-IF(Skills!E9=TRUE,Inputs!$B$32,0)))*(1-IF(AND(ArtifactsInput!$M$27,Inputs!$B$4="Chapter Hunt"),CHOOSE(ArtifactsInput!$N$27+1,20,24,28,32,36,40),0)/100)),0)</f>
        <v/>
      </c>
      <c r="R2531">
        <f>IF(AND(Inputs!$B$38&lt;&gt;"pvp",Inputs!$B$43&gt;0),IF(MAX(0,Inputs!$B$43-B2559)&lt;=0,0,(INT(MAX(0,Inputs!$B$43-B2559)/(IF(Inputs!$B$38="pvp",15,MAX(0.1,Skills!D9-IF(Skills!E9=TRUE,Inputs!$B$32,0)))*(1-IF(AND(ArtifactsInput!$M$27,Inputs!$B$4="Chapter Hunt"),CHOOSE(ArtifactsInput!$N$27+1,20,24,28,32,36,40),0)/100)))+1)),0)</f>
        <v/>
      </c>
      <c r="S2531">
        <f>IFERROR(O2531/N2531,0)</f>
        <v/>
      </c>
      <c r="T2531">
        <f>IF(C2531,(H2531*N2531*IF(AND(Inputs!$B$38&lt;&gt;"pvp",Inputs!$B$43&gt;0),((Skills!G9*((R2531-1)*IF(Skills!H9&gt;0,Skills!I9/Skills!H9,1)+IF(Skills!H9&gt;0,MIN(Skills!I9,MAX(0,MAX(0,Inputs!$B$43-B2559)-((R2531-1)*(IF(Inputs!$B$38="pvp",15,MAX(0.1,Skills!D9-IF(Skills!E9=TRUE,Inputs!$B$32,0)))*(1-IF(AND(ArtifactsInput!$M$27,Inputs!$B$4="Chapter Hunt"),CHOOSE(ArtifactsInput!$N$27+1,20,24,28,32,36,40),0)/100)))))/Skills!H9,1)))/Inputs!$B$43),G2531*Q2531)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2531*(1-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2531*(1-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31">
        <f>IF(C2531,(H2531*N2531*IF(AND(Inputs!$B$38&lt;&gt;"pvp",Inputs!$B$43&gt;0),((Skills!G9*((R2531-1)*IF(Skills!H9&gt;0,Skills!I9/Skills!H9,1)+IF(Skills!H9&gt;0,MIN(Skills!I9,MAX(0,MAX(0,Inputs!$B$43-B2559)-((R2531-1)*(IF(Inputs!$B$38="pvp",15,MAX(0.1,Skills!D9-IF(Skills!E9=TRUE,Inputs!$B$32,0)))*(1-IF(AND(ArtifactsInput!$M$27,Inputs!$B$4="Chapter Hunt"),CHOOSE(ArtifactsInput!$N$27+1,20,24,28,32,36,40),0)/100)))))/Skills!H9,1)))/Inputs!$B$43),G2531*Q2531))*IF(Inputs!$B$38="pvp",1,(1+(Inputs!$B$21+Skills!Q9+(IF(ArtifactsInput!$M$33,CHOOSE(ArtifactsInput!$N$33+1,30,36,42,48,54,60)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2">
      <c r="A2532">
        <f>Skills!A10</f>
        <v/>
      </c>
      <c r="B2532">
        <f>Skills!B10</f>
        <v/>
      </c>
      <c r="C2532">
        <f>Inputs!$B$3&gt;=113</f>
        <v/>
      </c>
      <c r="D2532">
        <f>IF(Skills!C10=1,60+Inputs!$B$25+Inputs!$B$29,IF(Skills!C10=2,90+Inputs!$B$26+Inputs!$B$29,IF(Skills!C10=3,120+Inputs!$B$27+Inputs!$B$29,MAX(0,(Inputs!$B$3-100)*3)+Inputs!$B$28+Inputs!$B$29)))</f>
        <v/>
      </c>
      <c r="E2532">
        <f>INDEX(FactorTable!$B$2:$Y$301, MATCH(ROUND(MIN(300,MAX(1,D2532)),0), FactorTable!$A$2:$A$301,0), Skills!M10+1)</f>
        <v/>
      </c>
      <c r="F2532">
        <f>IF(Skills!N10=TRUE,(Skills!L10/10)*(E2532/1000),Skills!L10/10)+Skills!O10</f>
        <v/>
      </c>
      <c r="G2532">
        <f>Skills!G10*IF(Skills!H10&gt;0,Skills!I10/Skills!H10,1)</f>
        <v/>
      </c>
      <c r="H2532">
        <f>1-(1-Skills!J10/100)^Skills!K10</f>
        <v/>
      </c>
      <c r="I2532" t="inlineStr">
        <is>
          <t>1</t>
        </is>
      </c>
      <c r="J2532">
        <f>((Inputs!$B$6*(1+Inputs!$B$7/100))+(((Inputs!$B$12*(1+Inputs!$B$13/100))-(Inputs!$B$12*(1+Inputs!$B$13/100)))+0.25*(Inputs!$B$14-Inputs!$B$14))*(1+Inputs!$B$7/100))*(F2532/100)</f>
        <v/>
      </c>
      <c r="K2532">
        <f>J2532*(1+((Inputs!$B$12*(1+Inputs!$B$13/100))*0.01+Inputs!$B$14*0.0025)/100)*(1+Inputs!$B$15/100)*(1+Inputs!$B$16/100)*(5000/(6000+Inputs!$B$42*(1-(100*(1-(1-(Inputs!$B$19+0)/100)*(1-CHOOSE(ArtifactsInput!$N$40+1,5,6,7,8,9,10)/100)^(ArtifactsInput!$M$40-ArtifactsInput!$M$40)))/100)))*(1+(Inputs!$B$24+((C2548=TRUE)*(F2548-Calc!F26))+B2558)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2545=TRUE)*(F2545-Calc!F23))+((C2549=TRUE)*(F2549-Calc!F27))+(((IF(AND(ArtifactsInput!$M$42,((Inputs!$B$9+((C2541=TRUE)*(F2541-Calc!F19))+B2552+(ArtifactsInput!$M$24-ArtifactsInput!$M$24)*CHOOSE(ArtifactsInput!$N$24+1,10,12,14,16,18,20)+IF(ArtifactsInput!$M$10,CHOOSE(ArtifactsInput!$N$10+1,15,18,21,24,27,30)*(IF(Inputs!$B$38="pvp",MIN(15,15)/15,IF(AND(Inputs!$B$38&lt;&gt;"pvp",Inputs!$B$43&gt;0),MIN(15,Inputs!$B$43)/(Inputs!$B$43),0))),0)))&gt;=100),MIN(100,((Inputs!$B$9+((C2541=TRUE)*(F2541-Calc!F19))+B2552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2541=TRUE)*(F2541-Calc!F19))+B2552+(ArtifactsInput!$M$24-ArtifactsInput!$M$24)*CHOOSE(ArtifactsInput!$N$24+1,10,12,14,16,18,20)+IF(ArtifactsInput!$M$10,CHOOSE(ArtifactsInput!$N$10+1,15,18,21,24,27,30)*(IF(Inputs!$B$38="pvp",MIN(15,15)/15,IF(AND(Inputs!$B$38&lt;&gt;"pvp",Inputs!$B$43&gt;0),MIN(15,Inputs!$B$43)/(Inputs!$B$43),0))),0)))&gt;=100),CHOOSE(ArtifactsInput!$N$42+1,40,48,56,64,72,80),0))))/100)*((1+(((C2539=TRUE)*F2539)+((C2546=TRUE)*(F2546-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2532)</f>
        <v/>
      </c>
      <c r="L2532">
        <f>K2532*(MIN(Inputs!$B$22+((C2544=TRUE)*(F2544-Calc!F22)),(Inputs!$B$23+0+(IF(ArtifactsInput!$M$15,CHOOSE(ArtifactsInput!$N$15+1,25,30,35,40,45,50)/100*(Inputs!$B$11-Inputs!$B$11),0))))/100+(Inputs!$B$23+0+(IF(ArtifactsInput!$M$15,CHOOSE(ArtifactsInput!$N$15+1,25,30,35,40,45,50)/100*(Inputs!$B$11-Inputs!$B$11),0)))/100)/2</f>
        <v/>
      </c>
      <c r="M2532">
        <f>L2532*(1+(Inputs!$B$10+((C2547=TRUE)*(F2547-Calc!F25))+B2557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2">
        <f>L2532*(1-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2532*(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2">
        <f>(1-Summary!$B$11)*T2532+Summary!$B$11*V2532</f>
        <v/>
      </c>
      <c r="P2532">
        <f>IF(B2562=0,0,O2532/B2562)</f>
        <v/>
      </c>
      <c r="Q2532">
        <f>IFERROR(1/(IF(Inputs!$B$38="pvp",15,MAX(0.1,Skills!D10-IF(Skills!E10=TRUE,Inputs!$B$32,0)))*(1-IF(AND(ArtifactsInput!$M$27,Inputs!$B$4="Chapter Hunt"),CHOOSE(ArtifactsInput!$N$27+1,20,24,28,32,36,40),0)/100)),0)</f>
        <v/>
      </c>
      <c r="R2532">
        <f>IF(AND(Inputs!$B$38&lt;&gt;"pvp",Inputs!$B$43&gt;0),IF(MAX(0,Inputs!$B$43-B2559)&lt;=0,0,(INT(MAX(0,Inputs!$B$43-B2559)/(IF(Inputs!$B$38="pvp",15,MAX(0.1,Skills!D10-IF(Skills!E10=TRUE,Inputs!$B$32,0)))*(1-IF(AND(ArtifactsInput!$M$27,Inputs!$B$4="Chapter Hunt"),CHOOSE(ArtifactsInput!$N$27+1,20,24,28,32,36,40),0)/100)))+1)),0)</f>
        <v/>
      </c>
      <c r="S2532">
        <f>IFERROR(O2532/N2532,0)</f>
        <v/>
      </c>
      <c r="T2532">
        <f>IF(C2532,(H2532*N2532*IF(AND(Inputs!$B$38&lt;&gt;"pvp",Inputs!$B$43&gt;0),((Skills!G10*((R2532-1)*IF(Skills!H10&gt;0,Skills!I10/Skills!H10,1)+IF(Skills!H10&gt;0,MIN(Skills!I10,MAX(0,MAX(0,Inputs!$B$43-B2559)-((R2532-1)*(IF(Inputs!$B$38="pvp",15,MAX(0.1,Skills!D10-IF(Skills!E10=TRUE,Inputs!$B$32,0)))*(1-IF(AND(ArtifactsInput!$M$27,Inputs!$B$4="Chapter Hunt"),CHOOSE(ArtifactsInput!$N$27+1,20,24,28,32,36,40),0)/100)))))/Skills!H10,1)))/Inputs!$B$43),G2532*Q2532)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2532*(1-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2532*(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2532*(1-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2532*(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32">
        <f>IF(C2532,(H2532*N2532*IF(AND(Inputs!$B$38&lt;&gt;"pvp",Inputs!$B$43&gt;0),((Skills!G10*((R2532-1)*IF(Skills!H10&gt;0,Skills!I10/Skills!H10,1)+IF(Skills!H10&gt;0,MIN(Skills!I10,MAX(0,MAX(0,Inputs!$B$43-B2559)-((R2532-1)*(IF(Inputs!$B$38="pvp",15,MAX(0.1,Skills!D10-IF(Skills!E10=TRUE,Inputs!$B$32,0)))*(1-IF(AND(ArtifactsInput!$M$27,Inputs!$B$4="Chapter Hunt"),CHOOSE(ArtifactsInput!$N$27+1,20,24,28,32,36,40),0)/100)))))/Skills!H10,1)))/Inputs!$B$43),G2532*Q2532))*IF(Inputs!$B$38="pvp",1,(1+(Inputs!$B$21+Skills!Q10+(IF(ArtifactsInput!$M$33,CHOOSE(ArtifactsInput!$N$33+1,30,36,42,48,54,60)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3">
      <c r="A2533">
        <f>Skills!A11</f>
        <v/>
      </c>
      <c r="B2533">
        <f>Skills!B11</f>
        <v/>
      </c>
      <c r="C2533">
        <f>Inputs!$B$3&gt;=107</f>
        <v/>
      </c>
      <c r="D2533">
        <f>IF(Skills!C11=1,60+Inputs!$B$25+Inputs!$B$29,IF(Skills!C11=2,90+Inputs!$B$26+Inputs!$B$29,IF(Skills!C11=3,120+Inputs!$B$27+Inputs!$B$29,MAX(0,(Inputs!$B$3-100)*3)+Inputs!$B$28+Inputs!$B$29)))</f>
        <v/>
      </c>
      <c r="E2533">
        <f>INDEX(FactorTable!$B$2:$Y$301, MATCH(ROUND(MIN(300,MAX(1,D2533)),0), FactorTable!$A$2:$A$301,0), Skills!M11+1)</f>
        <v/>
      </c>
      <c r="F2533">
        <f>IF(Skills!N11=TRUE,(Skills!L11/10)*(E2533/1000),Skills!L11/10)+Skills!O11</f>
        <v/>
      </c>
      <c r="G2533">
        <f>Skills!G11*IF(Skills!H11&gt;0,Skills!I11/Skills!H11,1)</f>
        <v/>
      </c>
      <c r="H2533">
        <f>1-(1-Skills!J11/100)^Skills!K11</f>
        <v/>
      </c>
      <c r="I2533" t="inlineStr">
        <is>
          <t>1</t>
        </is>
      </c>
      <c r="J2533">
        <f>((Inputs!$B$6*(1+Inputs!$B$7/100))+(((Inputs!$B$12*(1+Inputs!$B$13/100))-(Inputs!$B$12*(1+Inputs!$B$13/100)))+0.25*(Inputs!$B$14-Inputs!$B$14))*(1+Inputs!$B$7/100))*(F2533/100)</f>
        <v/>
      </c>
      <c r="K2533">
        <f>J2533*(1+((Inputs!$B$12*(1+Inputs!$B$13/100))*0.01+Inputs!$B$14*0.0025)/100)*(1+Inputs!$B$15/100)*(1+Inputs!$B$16/100)*(5000/(6000+Inputs!$B$42*(1-(100*(1-(1-(Inputs!$B$19+0)/100)*(1-CHOOSE(ArtifactsInput!$N$40+1,5,6,7,8,9,10)/100)^(ArtifactsInput!$M$40-ArtifactsInput!$M$40)))/100)))*(1+(Inputs!$B$24+((C2548=TRUE)*(F2548-Calc!F26))+B2558)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2545=TRUE)*(F2545-Calc!F23))+((C2549=TRUE)*(F2549-Calc!F27))+(((IF(AND(ArtifactsInput!$M$42,((Inputs!$B$9+((C2541=TRUE)*(F2541-Calc!F19))+B2552+(ArtifactsInput!$M$24-ArtifactsInput!$M$24)*CHOOSE(ArtifactsInput!$N$24+1,10,12,14,16,18,20)+IF(ArtifactsInput!$M$10,CHOOSE(ArtifactsInput!$N$10+1,15,18,21,24,27,30)*(IF(Inputs!$B$38="pvp",MIN(15,15)/15,IF(AND(Inputs!$B$38&lt;&gt;"pvp",Inputs!$B$43&gt;0),MIN(15,Inputs!$B$43)/(Inputs!$B$43),0))),0)))&gt;=100),MIN(100,((Inputs!$B$9+((C2541=TRUE)*(F2541-Calc!F19))+B2552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2541=TRUE)*(F2541-Calc!F19))+B2552+(ArtifactsInput!$M$24-ArtifactsInput!$M$24)*CHOOSE(ArtifactsInput!$N$24+1,10,12,14,16,18,20)+IF(ArtifactsInput!$M$10,CHOOSE(ArtifactsInput!$N$10+1,15,18,21,24,27,30)*(IF(Inputs!$B$38="pvp",MIN(15,15)/15,IF(AND(Inputs!$B$38&lt;&gt;"pvp",Inputs!$B$43&gt;0),MIN(15,Inputs!$B$43)/(Inputs!$B$43),0))),0)))&gt;=100),CHOOSE(ArtifactsInput!$N$42+1,40,48,56,64,72,80),0))))/100)*((1+(((C2539=TRUE)*F2539)+((C2546=TRUE)*(F2546-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2533)</f>
        <v/>
      </c>
      <c r="L2533">
        <f>K2533*(MIN(Inputs!$B$22+((C2544=TRUE)*(F2544-Calc!F22)),(Inputs!$B$23+0+(IF(ArtifactsInput!$M$15,CHOOSE(ArtifactsInput!$N$15+1,25,30,35,40,45,50)/100*(Inputs!$B$11-Inputs!$B$11),0))))/100+(Inputs!$B$23+0+(IF(ArtifactsInput!$M$15,CHOOSE(ArtifactsInput!$N$15+1,25,30,35,40,45,50)/100*(Inputs!$B$11-Inputs!$B$11),0)))/100)/2</f>
        <v/>
      </c>
      <c r="M2533">
        <f>L2533*(1+(Inputs!$B$10+((C2547=TRUE)*(F2547-Calc!F25))+B2557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3">
        <f>L2533*(1-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2533*(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3">
        <f>(1-Summary!$B$11)*T2533+Summary!$B$11*V2533</f>
        <v/>
      </c>
      <c r="P2533">
        <f>IF(B2562=0,0,O2533/B2562)</f>
        <v/>
      </c>
      <c r="Q2533">
        <f>IFERROR(1/(IF(Inputs!$B$38="pvp",15,MAX(0.1,Skills!D11-IF(Skills!E11=TRUE,Inputs!$B$32,0)))*(1-IF(AND(ArtifactsInput!$M$27,Inputs!$B$4="Chapter Hunt"),CHOOSE(ArtifactsInput!$N$27+1,20,24,28,32,36,40),0)/100)),0)</f>
        <v/>
      </c>
      <c r="R2533">
        <f>IF(AND(Inputs!$B$38&lt;&gt;"pvp",Inputs!$B$43&gt;0),IF(MAX(0,Inputs!$B$43-B2559)&lt;=0,0,(INT(MAX(0,Inputs!$B$43-B2559)/(IF(Inputs!$B$38="pvp",15,MAX(0.1,Skills!D11-IF(Skills!E11=TRUE,Inputs!$B$32,0)))*(1-IF(AND(ArtifactsInput!$M$27,Inputs!$B$4="Chapter Hunt"),CHOOSE(ArtifactsInput!$N$27+1,20,24,28,32,36,40),0)/100)))+1)),0)</f>
        <v/>
      </c>
      <c r="S2533">
        <f>IFERROR(O2533/N2533,0)</f>
        <v/>
      </c>
      <c r="T2533">
        <f>IF(C2533,(H2533*N2533*IF(AND(Inputs!$B$38&lt;&gt;"pvp",Inputs!$B$43&gt;0),((Skills!G11*((R2533-1)*IF(Skills!H11&gt;0,Skills!I11/Skills!H11,1)+IF(Skills!H11&gt;0,MIN(Skills!I11,MAX(0,MAX(0,Inputs!$B$43-B2559)-((R2533-1)*(IF(Inputs!$B$38="pvp",15,MAX(0.1,Skills!D11-IF(Skills!E11=TRUE,Inputs!$B$32,0)))*(1-IF(AND(ArtifactsInput!$M$27,Inputs!$B$4="Chapter Hunt"),CHOOSE(ArtifactsInput!$N$27+1,20,24,28,32,36,40),0)/100)))))/Skills!H11,1)))/Inputs!$B$43),G2533*Q2533)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2533*(1-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2533*(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2533*(1-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2533*(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33">
        <f>IF(C2533,(H2533*N2533*IF(AND(Inputs!$B$38&lt;&gt;"pvp",Inputs!$B$43&gt;0),((Skills!G11*((R2533-1)*IF(Skills!H11&gt;0,Skills!I11/Skills!H11,1)+IF(Skills!H11&gt;0,MIN(Skills!I11,MAX(0,MAX(0,Inputs!$B$43-B2559)-((R2533-1)*(IF(Inputs!$B$38="pvp",15,MAX(0.1,Skills!D11-IF(Skills!E11=TRUE,Inputs!$B$32,0)))*(1-IF(AND(ArtifactsInput!$M$27,Inputs!$B$4="Chapter Hunt"),CHOOSE(ArtifactsInput!$N$27+1,20,24,28,32,36,40),0)/100)))))/Skills!H11,1)))/Inputs!$B$43),G2533*Q2533))*IF(Inputs!$B$38="pvp",1,(1+(Inputs!$B$21+Skills!Q11+(IF(ArtifactsInput!$M$33,CHOOSE(ArtifactsInput!$N$33+1,30,36,42,48,54,60)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4">
      <c r="A2534">
        <f>Skills!A12</f>
        <v/>
      </c>
      <c r="B2534">
        <f>Skills!B12</f>
        <v/>
      </c>
      <c r="C2534">
        <f>Inputs!$B$3&gt;=110</f>
        <v/>
      </c>
      <c r="D2534">
        <f>IF(Skills!C12=1,60+Inputs!$B$25+Inputs!$B$29,IF(Skills!C12=2,90+Inputs!$B$26+Inputs!$B$29,IF(Skills!C12=3,120+Inputs!$B$27+Inputs!$B$29,MAX(0,(Inputs!$B$3-100)*3)+Inputs!$B$28+Inputs!$B$29)))</f>
        <v/>
      </c>
      <c r="E2534">
        <f>INDEX(FactorTable!$B$2:$Y$301, MATCH(ROUND(MIN(300,MAX(1,D2534)),0), FactorTable!$A$2:$A$301,0), Skills!M12+1)</f>
        <v/>
      </c>
      <c r="F2534">
        <f>IF(Skills!N12=TRUE,(Skills!L12/10)*(E2534/1000),Skills!L12/10)+Skills!O12</f>
        <v/>
      </c>
      <c r="G2534">
        <f>Skills!G12*IF(Skills!H12&gt;0,Skills!I12/Skills!H12,1)</f>
        <v/>
      </c>
      <c r="H2534">
        <f>1-(1-Skills!J12/100)^Skills!K12</f>
        <v/>
      </c>
      <c r="I2534" t="inlineStr">
        <is>
          <t>1</t>
        </is>
      </c>
      <c r="J2534">
        <f>((Inputs!$B$6*(1+Inputs!$B$7/100))+(((Inputs!$B$12*(1+Inputs!$B$13/100))-(Inputs!$B$12*(1+Inputs!$B$13/100)))+0.25*(Inputs!$B$14-Inputs!$B$14))*(1+Inputs!$B$7/100))*(F2534/100)</f>
        <v/>
      </c>
      <c r="K2534">
        <f>J2534*(1+((Inputs!$B$12*(1+Inputs!$B$13/100))*0.01+Inputs!$B$14*0.0025)/100)*(1+Inputs!$B$15/100)*(1+Inputs!$B$16/100)*(5000/(6000+Inputs!$B$42*(1-(100*(1-(1-(Inputs!$B$19+0)/100)*(1-CHOOSE(ArtifactsInput!$N$40+1,5,6,7,8,9,10)/100)^(ArtifactsInput!$M$40-ArtifactsInput!$M$40)))/100)))*(1+(Inputs!$B$24+((C2548=TRUE)*(F2548-Calc!F26))+B2558)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2545=TRUE)*(F2545-Calc!F23))+((C2549=TRUE)*(F2549-Calc!F27))+(((IF(AND(ArtifactsInput!$M$42,((Inputs!$B$9+((C2541=TRUE)*(F2541-Calc!F19))+B2552+(ArtifactsInput!$M$24-ArtifactsInput!$M$24)*CHOOSE(ArtifactsInput!$N$24+1,10,12,14,16,18,20)+IF(ArtifactsInput!$M$10,CHOOSE(ArtifactsInput!$N$10+1,15,18,21,24,27,30)*(IF(Inputs!$B$38="pvp",MIN(15,15)/15,IF(AND(Inputs!$B$38&lt;&gt;"pvp",Inputs!$B$43&gt;0),MIN(15,Inputs!$B$43)/(Inputs!$B$43),0))),0)))&gt;=100),MIN(100,((Inputs!$B$9+((C2541=TRUE)*(F2541-Calc!F19))+B2552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2541=TRUE)*(F2541-Calc!F19))+B2552+(ArtifactsInput!$M$24-ArtifactsInput!$M$24)*CHOOSE(ArtifactsInput!$N$24+1,10,12,14,16,18,20)+IF(ArtifactsInput!$M$10,CHOOSE(ArtifactsInput!$N$10+1,15,18,21,24,27,30)*(IF(Inputs!$B$38="pvp",MIN(15,15)/15,IF(AND(Inputs!$B$38&lt;&gt;"pvp",Inputs!$B$43&gt;0),MIN(15,Inputs!$B$43)/(Inputs!$B$43),0))),0)))&gt;=100),CHOOSE(ArtifactsInput!$N$42+1,40,48,56,64,72,80),0))))/100)*((1+(((C2539=TRUE)*F2539)+((C2546=TRUE)*(F2546-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2534)</f>
        <v/>
      </c>
      <c r="L2534">
        <f>K2534*(MIN(Inputs!$B$22+((C2544=TRUE)*(F2544-Calc!F22)),(Inputs!$B$23+0+(IF(ArtifactsInput!$M$15,CHOOSE(ArtifactsInput!$N$15+1,25,30,35,40,45,50)/100*(Inputs!$B$11-Inputs!$B$11),0))))/100+(Inputs!$B$23+0+(IF(ArtifactsInput!$M$15,CHOOSE(ArtifactsInput!$N$15+1,25,30,35,40,45,50)/100*(Inputs!$B$11-Inputs!$B$11),0)))/100)/2</f>
        <v/>
      </c>
      <c r="M2534">
        <f>L2534*(1+(Inputs!$B$10+((C2547=TRUE)*(F2547-Calc!F25))+B2557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4">
        <f>L2534*(1-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2534*(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4">
        <f>(1-Summary!$B$11)*T2534+Summary!$B$11*V2534</f>
        <v/>
      </c>
      <c r="P2534">
        <f>IF(B2562=0,0,O2534/B2562)</f>
        <v/>
      </c>
      <c r="Q2534">
        <f>IFERROR(1/(IF(Inputs!$B$38="pvp",15,MAX(0.1,Skills!D12-IF(Skills!E12=TRUE,Inputs!$B$32,0)))*(1-IF(AND(ArtifactsInput!$M$27,Inputs!$B$4="Chapter Hunt"),CHOOSE(ArtifactsInput!$N$27+1,20,24,28,32,36,40),0)/100)),0)</f>
        <v/>
      </c>
      <c r="R2534">
        <f>IF(AND(Inputs!$B$38&lt;&gt;"pvp",Inputs!$B$43&gt;0),IF(MAX(0,Inputs!$B$43-B2559)&lt;=0,0,(INT(MAX(0,Inputs!$B$43-B2559)/(IF(Inputs!$B$38="pvp",15,MAX(0.1,Skills!D12-IF(Skills!E12=TRUE,Inputs!$B$32,0)))*(1-IF(AND(ArtifactsInput!$M$27,Inputs!$B$4="Chapter Hunt"),CHOOSE(ArtifactsInput!$N$27+1,20,24,28,32,36,40),0)/100)))+1)),0)</f>
        <v/>
      </c>
      <c r="S2534">
        <f>IFERROR(O2534/N2534,0)</f>
        <v/>
      </c>
      <c r="T2534">
        <f>IF(C2534,(H2534*N2534*IF(AND(Inputs!$B$38&lt;&gt;"pvp",Inputs!$B$43&gt;0),((Skills!G12*((R2534-1)*IF(Skills!H12&gt;0,Skills!I12/Skills!H12,1)+IF(Skills!H12&gt;0,MIN(Skills!I12,MAX(0,MAX(0,Inputs!$B$43-B2559)-((R2534-1)*(IF(Inputs!$B$38="pvp",15,MAX(0.1,Skills!D12-IF(Skills!E12=TRUE,Inputs!$B$32,0)))*(1-IF(AND(ArtifactsInput!$M$27,Inputs!$B$4="Chapter Hunt"),CHOOSE(ArtifactsInput!$N$27+1,20,24,28,32,36,40),0)/100)))))/Skills!H12,1)))/Inputs!$B$43),G2534*Q2534)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2534*(1-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2534*(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2534*(1-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2534*(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34">
        <f>IF(C2534,(H2534*N2534*IF(AND(Inputs!$B$38&lt;&gt;"pvp",Inputs!$B$43&gt;0),((Skills!G12*((R2534-1)*IF(Skills!H12&gt;0,Skills!I12/Skills!H12,1)+IF(Skills!H12&gt;0,MIN(Skills!I12,MAX(0,MAX(0,Inputs!$B$43-B2559)-((R2534-1)*(IF(Inputs!$B$38="pvp",15,MAX(0.1,Skills!D12-IF(Skills!E12=TRUE,Inputs!$B$32,0)))*(1-IF(AND(ArtifactsInput!$M$27,Inputs!$B$4="Chapter Hunt"),CHOOSE(ArtifactsInput!$N$27+1,20,24,28,32,36,40),0)/100)))))/Skills!H12,1)))/Inputs!$B$43),G2534*Q2534))*IF(Inputs!$B$38="pvp",1,(1+(Inputs!$B$21+Skills!Q12+(IF(ArtifactsInput!$M$33,CHOOSE(ArtifactsInput!$N$33+1,30,36,42,48,54,60)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5">
      <c r="A2535">
        <f>Skills!A13</f>
        <v/>
      </c>
      <c r="B2535">
        <f>Skills!B13</f>
        <v/>
      </c>
      <c r="C2535">
        <f>Inputs!$B$3&gt;=110</f>
        <v/>
      </c>
      <c r="D2535">
        <f>IF(Skills!C13=1,60+Inputs!$B$25+Inputs!$B$29,IF(Skills!C13=2,90+Inputs!$B$26+Inputs!$B$29,IF(Skills!C13=3,120+Inputs!$B$27+Inputs!$B$29,MAX(0,(Inputs!$B$3-100)*3)+Inputs!$B$28+Inputs!$B$29)))</f>
        <v/>
      </c>
      <c r="E2535">
        <f>INDEX(FactorTable!$B$2:$Y$301, MATCH(ROUND(MIN(300,MAX(1,D2535)),0), FactorTable!$A$2:$A$301,0), Skills!M13+1)</f>
        <v/>
      </c>
      <c r="F2535">
        <f>IF(Skills!N13=TRUE,(Skills!L13/10)*(E2535/1000),Skills!L13/10)+Skills!O13</f>
        <v/>
      </c>
      <c r="G2535">
        <f>Skills!G13*IF(Skills!H13&gt;0,Skills!I13/Skills!H13,1)</f>
        <v/>
      </c>
      <c r="H2535">
        <f>1-(1-Skills!J13/100)^Skills!K13</f>
        <v/>
      </c>
      <c r="I2535" t="inlineStr">
        <is>
          <t>1</t>
        </is>
      </c>
      <c r="J2535">
        <f>((Inputs!$B$6*(1+Inputs!$B$7/100))+(((Inputs!$B$12*(1+Inputs!$B$13/100))-(Inputs!$B$12*(1+Inputs!$B$13/100)))+0.25*(Inputs!$B$14-Inputs!$B$14))*(1+Inputs!$B$7/100))*(F2535/100)</f>
        <v/>
      </c>
      <c r="K2535">
        <f>J2535*(1+((Inputs!$B$12*(1+Inputs!$B$13/100))*0.01+Inputs!$B$14*0.0025)/100)*(1+Inputs!$B$15/100)*(1+Inputs!$B$16/100)*(5000/(6000+Inputs!$B$42*(1-(100*(1-(1-(Inputs!$B$19+0)/100)*(1-CHOOSE(ArtifactsInput!$N$40+1,5,6,7,8,9,10)/100)^(ArtifactsInput!$M$40-ArtifactsInput!$M$40)))/100)))*(1+(Inputs!$B$24+((C2548=TRUE)*(F2548-Calc!F26))+B2558)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2545=TRUE)*(F2545-Calc!F23))+((C2549=TRUE)*(F2549-Calc!F27))+(((IF(AND(ArtifactsInput!$M$42,((Inputs!$B$9+((C2541=TRUE)*(F2541-Calc!F19))+B2552+(ArtifactsInput!$M$24-ArtifactsInput!$M$24)*CHOOSE(ArtifactsInput!$N$24+1,10,12,14,16,18,20)+IF(ArtifactsInput!$M$10,CHOOSE(ArtifactsInput!$N$10+1,15,18,21,24,27,30)*(IF(Inputs!$B$38="pvp",MIN(15,15)/15,IF(AND(Inputs!$B$38&lt;&gt;"pvp",Inputs!$B$43&gt;0),MIN(15,Inputs!$B$43)/(Inputs!$B$43),0))),0)))&gt;=100),MIN(100,((Inputs!$B$9+((C2541=TRUE)*(F2541-Calc!F19))+B2552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2541=TRUE)*(F2541-Calc!F19))+B2552+(ArtifactsInput!$M$24-ArtifactsInput!$M$24)*CHOOSE(ArtifactsInput!$N$24+1,10,12,14,16,18,20)+IF(ArtifactsInput!$M$10,CHOOSE(ArtifactsInput!$N$10+1,15,18,21,24,27,30)*(IF(Inputs!$B$38="pvp",MIN(15,15)/15,IF(AND(Inputs!$B$38&lt;&gt;"pvp",Inputs!$B$43&gt;0),MIN(15,Inputs!$B$43)/(Inputs!$B$43),0))),0)))&gt;=100),CHOOSE(ArtifactsInput!$N$42+1,40,48,56,64,72,80),0))))/100)*((1+(((C2539=TRUE)*F2539)+((C2546=TRUE)*(F2546-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2535)</f>
        <v/>
      </c>
      <c r="L2535">
        <f>K2535*(MIN(Inputs!$B$22+((C2544=TRUE)*(F2544-Calc!F22)),(Inputs!$B$23+0+(IF(ArtifactsInput!$M$15,CHOOSE(ArtifactsInput!$N$15+1,25,30,35,40,45,50)/100*(Inputs!$B$11-Inputs!$B$11),0))))/100+(Inputs!$B$23+0+(IF(ArtifactsInput!$M$15,CHOOSE(ArtifactsInput!$N$15+1,25,30,35,40,45,50)/100*(Inputs!$B$11-Inputs!$B$11),0)))/100)/2</f>
        <v/>
      </c>
      <c r="M2535">
        <f>L2535*(1+(Inputs!$B$10+((C2547=TRUE)*(F2547-Calc!F25))+B2557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5">
        <f>L2535*(1-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2535*(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5">
        <f>(1-Summary!$B$11)*T2535+Summary!$B$11*V2535</f>
        <v/>
      </c>
      <c r="P2535">
        <f>IF(B2562=0,0,O2535/B2562)</f>
        <v/>
      </c>
      <c r="Q2535">
        <f>IFERROR(1/(IF(Inputs!$B$38="pvp",15,MAX(0.1,Skills!D13-IF(Skills!E13=TRUE,Inputs!$B$32,0)))*(1-IF(AND(ArtifactsInput!$M$27,Inputs!$B$4="Chapter Hunt"),CHOOSE(ArtifactsInput!$N$27+1,20,24,28,32,36,40),0)/100)),0)</f>
        <v/>
      </c>
      <c r="R2535">
        <f>IF(AND(Inputs!$B$38&lt;&gt;"pvp",Inputs!$B$43&gt;0),IF(MAX(0,Inputs!$B$43-B2559)&lt;=0,0,(INT(MAX(0,Inputs!$B$43-B2559)/(IF(Inputs!$B$38="pvp",15,MAX(0.1,Skills!D13-IF(Skills!E13=TRUE,Inputs!$B$32,0)))*(1-IF(AND(ArtifactsInput!$M$27,Inputs!$B$4="Chapter Hunt"),CHOOSE(ArtifactsInput!$N$27+1,20,24,28,32,36,40),0)/100)))+1)),0)</f>
        <v/>
      </c>
      <c r="S2535">
        <f>IFERROR(O2535/N2535,0)</f>
        <v/>
      </c>
      <c r="T2535">
        <f>IF(C2535,(H2535*N2535*IF(AND(Inputs!$B$38&lt;&gt;"pvp",Inputs!$B$43&gt;0),((Skills!G13*((R2535-1)*IF(Skills!H13&gt;0,Skills!I13/Skills!H13,1)+IF(Skills!H13&gt;0,MIN(Skills!I13,MAX(0,MAX(0,Inputs!$B$43-B2559)-((R2535-1)*(IF(Inputs!$B$38="pvp",15,MAX(0.1,Skills!D13-IF(Skills!E13=TRUE,Inputs!$B$32,0)))*(1-IF(AND(ArtifactsInput!$M$27,Inputs!$B$4="Chapter Hunt"),CHOOSE(ArtifactsInput!$N$27+1,20,24,28,32,36,40),0)/100)))))/Skills!H13,1)))/Inputs!$B$43),G2535*Q2535))*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2535*(1-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2535*(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2535*(1-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2535*(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35">
        <f>IF(C2535,(H2535*N2535*IF(AND(Inputs!$B$38&lt;&gt;"pvp",Inputs!$B$43&gt;0),((Skills!G13*((R2535-1)*IF(Skills!H13&gt;0,Skills!I13/Skills!H13,1)+IF(Skills!H13&gt;0,MIN(Skills!I13,MAX(0,MAX(0,Inputs!$B$43-B2559)-((R2535-1)*(IF(Inputs!$B$38="pvp",15,MAX(0.1,Skills!D13-IF(Skills!E13=TRUE,Inputs!$B$32,0)))*(1-IF(AND(ArtifactsInput!$M$27,Inputs!$B$4="Chapter Hunt"),CHOOSE(ArtifactsInput!$N$27+1,20,24,28,32,36,40),0)/100)))))/Skills!H13,1)))/Inputs!$B$43),G2535*Q2535))*IF(Inputs!$B$38="pvp",1,(1+(Inputs!$B$21+Skills!Q13+(IF(ArtifactsInput!$M$33,CHOOSE(ArtifactsInput!$N$33+1,30,36,42,48,54,60)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6">
      <c r="A2536">
        <f>Skills!A14</f>
        <v/>
      </c>
      <c r="B2536">
        <f>Skills!B14</f>
        <v/>
      </c>
      <c r="C2536">
        <f>Inputs!$B$3&gt;=125</f>
        <v/>
      </c>
      <c r="D2536">
        <f>IF(Skills!C14=1,60+Inputs!$B$25+Inputs!$B$29,IF(Skills!C14=2,90+Inputs!$B$26+Inputs!$B$29,IF(Skills!C14=3,120+Inputs!$B$27+Inputs!$B$29,MAX(0,(Inputs!$B$3-100)*3)+Inputs!$B$28+Inputs!$B$29)))</f>
        <v/>
      </c>
      <c r="E2536">
        <f>INDEX(FactorTable!$B$2:$Y$301, MATCH(ROUND(MIN(300,MAX(1,D2536)),0), FactorTable!$A$2:$A$301,0), Skills!M14+1)</f>
        <v/>
      </c>
      <c r="F2536">
        <f>IF(Skills!N14=TRUE,(Skills!L14/10)*(E2536/1000),Skills!L14/10)+Skills!O14</f>
        <v/>
      </c>
      <c r="G2536">
        <f>Skills!G14*IF(Skills!H14&gt;0,Skills!I14/Skills!H14,1)</f>
        <v/>
      </c>
      <c r="H2536">
        <f>1-(1-Skills!J14/100)^Skills!K14</f>
        <v/>
      </c>
      <c r="I2536" t="inlineStr">
        <is>
          <t>1</t>
        </is>
      </c>
      <c r="J2536">
        <f>((Inputs!$B$6*(1+Inputs!$B$7/100))+(((Inputs!$B$12*(1+Inputs!$B$13/100))-(Inputs!$B$12*(1+Inputs!$B$13/100)))+0.25*(Inputs!$B$14-Inputs!$B$14))*(1+Inputs!$B$7/100))*(F2536/100)</f>
        <v/>
      </c>
      <c r="K2536">
        <f>J2536*(1+((Inputs!$B$12*(1+Inputs!$B$13/100))*0.01+Inputs!$B$14*0.0025)/100)*(1+Inputs!$B$15/100)*(1+Inputs!$B$16/100)*(5000/(6000+Inputs!$B$42*(1-(100*(1-(1-(Inputs!$B$19+0)/100)*(1-CHOOSE(ArtifactsInput!$N$40+1,5,6,7,8,9,10)/100)^(ArtifactsInput!$M$40-ArtifactsInput!$M$40)))/100)))*(1+(Inputs!$B$24+((C2548=TRUE)*(F2548-Calc!F26))+B2558)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2545=TRUE)*(F2545-Calc!F23))+((C2549=TRUE)*(F2549-Calc!F27))+(((IF(AND(ArtifactsInput!$M$42,((Inputs!$B$9+((C2541=TRUE)*(F2541-Calc!F19))+B2552+(ArtifactsInput!$M$24-ArtifactsInput!$M$24)*CHOOSE(ArtifactsInput!$N$24+1,10,12,14,16,18,20)+IF(ArtifactsInput!$M$10,CHOOSE(ArtifactsInput!$N$10+1,15,18,21,24,27,30)*(IF(Inputs!$B$38="pvp",MIN(15,15)/15,IF(AND(Inputs!$B$38&lt;&gt;"pvp",Inputs!$B$43&gt;0),MIN(15,Inputs!$B$43)/(Inputs!$B$43),0))),0)))&gt;=100),MIN(100,((Inputs!$B$9+((C2541=TRUE)*(F2541-Calc!F19))+B2552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2541=TRUE)*(F2541-Calc!F19))+B2552+(ArtifactsInput!$M$24-ArtifactsInput!$M$24)*CHOOSE(ArtifactsInput!$N$24+1,10,12,14,16,18,20)+IF(ArtifactsInput!$M$10,CHOOSE(ArtifactsInput!$N$10+1,15,18,21,24,27,30)*(IF(Inputs!$B$38="pvp",MIN(15,15)/15,IF(AND(Inputs!$B$38&lt;&gt;"pvp",Inputs!$B$43&gt;0),MIN(15,Inputs!$B$43)/(Inputs!$B$43),0))),0)))&gt;=100),CHOOSE(ArtifactsInput!$N$42+1,40,48,56,64,72,80),0))))/100)*((1+(((C2539=TRUE)*F2539)+((C2546=TRUE)*(F2546-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2536)</f>
        <v/>
      </c>
      <c r="L2536">
        <f>K2536*(MIN(Inputs!$B$22+((C2544=TRUE)*(F2544-Calc!F22)),(Inputs!$B$23+0+(IF(ArtifactsInput!$M$15,CHOOSE(ArtifactsInput!$N$15+1,25,30,35,40,45,50)/100*(Inputs!$B$11-Inputs!$B$11),0))))/100+(Inputs!$B$23+0+(IF(ArtifactsInput!$M$15,CHOOSE(ArtifactsInput!$N$15+1,25,30,35,40,45,50)/100*(Inputs!$B$11-Inputs!$B$11),0)))/100)/2</f>
        <v/>
      </c>
      <c r="M2536">
        <f>L2536*(1+(Inputs!$B$10+((C2547=TRUE)*(F2547-Calc!F25))+B2557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6">
        <f>L2536*(1-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2536*(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6">
        <f>(1-Summary!$B$11)*T2536+Summary!$B$11*V2536</f>
        <v/>
      </c>
      <c r="P2536">
        <f>IF(B2562=0,0,O2536/B2562)</f>
        <v/>
      </c>
      <c r="Q2536" t="n">
        <v>0</v>
      </c>
      <c r="R2536" t="n">
        <v>0</v>
      </c>
      <c r="S2536">
        <f>IFERROR(O2536/N2536,0)</f>
        <v/>
      </c>
      <c r="T2536">
        <f>IF(C2536,(H2536*N2536*(B2556+IF(AND(Inputs!$B$38&lt;&gt;"pvp",Inputs!$B$43&gt;0),((Skills!G8*((R2530-1)*IF(Skills!H8&gt;0,Skills!I8/Skills!H8,1)+IF(Skills!H8&gt;0,MIN(Skills!I8,MAX(0,MAX(0,Inputs!$B$43-B2559)-((R2530-1)*(IF(Inputs!$B$38="pvp",15,MAX(0.1,Skills!D8-IF(Skills!E8=TRUE,Inputs!$B$32,0)))*(1-IF(AND(ArtifactsInput!$M$27,Inputs!$B$4="Chapter Hunt"),CHOOSE(ArtifactsInput!$N$27+1,20,24,28,32,36,40),0)/100)))))/Skills!H8,1)))/Inputs!$B$43),G2530*Q2530)+IF(AND(Inputs!$B$38&lt;&gt;"pvp",Inputs!$B$43&gt;0),((Skills!G11*((R2533-1)*IF(Skills!H11&gt;0,Skills!I11/Skills!H11,1)+IF(Skills!H11&gt;0,MIN(Skills!I11,MAX(0,MAX(0,Inputs!$B$43-B2559)-((R2533-1)*(IF(Inputs!$B$38="pvp",15,MAX(0.1,Skills!D11-IF(Skills!E11=TRUE,Inputs!$B$32,0)))*(1-IF(AND(ArtifactsInput!$M$27,Inputs!$B$4="Chapter Hunt"),CHOOSE(ArtifactsInput!$N$27+1,20,24,28,32,36,40),0)/100)))))/Skills!H11,1)))/Inputs!$B$43),G2533*Q2533)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2536*(1-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2536*(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2536*(1-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2536*(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36">
        <f>IF(C2536,(H2536*N2536*(B2556+IF(AND(Inputs!$B$38&lt;&gt;"pvp",Inputs!$B$43&gt;0),((Skills!G8*((R2530-1)*IF(Skills!H8&gt;0,Skills!I8/Skills!H8,1)+IF(Skills!H8&gt;0,MIN(Skills!I8,MAX(0,MAX(0,Inputs!$B$43-B2559)-((R2530-1)*(IF(Inputs!$B$38="pvp",15,MAX(0.1,Skills!D8-IF(Skills!E8=TRUE,Inputs!$B$32,0)))*(1-IF(AND(ArtifactsInput!$M$27,Inputs!$B$4="Chapter Hunt"),CHOOSE(ArtifactsInput!$N$27+1,20,24,28,32,36,40),0)/100)))))/Skills!H8,1)))/Inputs!$B$43),G2530*Q2530)+IF(AND(Inputs!$B$38&lt;&gt;"pvp",Inputs!$B$43&gt;0),((Skills!G11*((R2533-1)*IF(Skills!H11&gt;0,Skills!I11/Skills!H11,1)+IF(Skills!H11&gt;0,MIN(Skills!I11,MAX(0,MAX(0,Inputs!$B$43-B2559)-((R2533-1)*(IF(Inputs!$B$38="pvp",15,MAX(0.1,Skills!D11-IF(Skills!E11=TRUE,Inputs!$B$32,0)))*(1-IF(AND(ArtifactsInput!$M$27,Inputs!$B$4="Chapter Hunt"),CHOOSE(ArtifactsInput!$N$27+1,20,24,28,32,36,40),0)/100)))))/Skills!H11,1)))/Inputs!$B$43),G2533*Q2533)))*IF(Inputs!$B$38="pvp",1,(1+(Inputs!$B$21+Skills!Q14+(IF(ArtifactsInput!$M$33,CHOOSE(ArtifactsInput!$N$33+1,30,36,42,48,54,60)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7">
      <c r="A2537">
        <f>Skills!A15</f>
        <v/>
      </c>
      <c r="B2537">
        <f>Skills!B15</f>
        <v/>
      </c>
      <c r="C2537">
        <f>Inputs!$B$3&gt;=100</f>
        <v/>
      </c>
      <c r="D2537">
        <f>IF(Skills!C15=1,60+Inputs!$B$25+Inputs!$B$29,IF(Skills!C15=2,90+Inputs!$B$26+Inputs!$B$29,IF(Skills!C15=3,120+Inputs!$B$27+Inputs!$B$29,MAX(0,(Inputs!$B$3-100)*3)+Inputs!$B$28+Inputs!$B$29)))</f>
        <v/>
      </c>
      <c r="E2537">
        <f>INDEX(FactorTable!$B$2:$Y$301, MATCH(ROUND(MIN(300,MAX(1,D2537)),0), FactorTable!$A$2:$A$301,0), Skills!M15+1)</f>
        <v/>
      </c>
      <c r="F2537">
        <f>IF(Skills!N15=TRUE,(Skills!L15/10)*(E2537/1000),Skills!L15/10)+Skills!O15</f>
        <v/>
      </c>
      <c r="G2537" t="inlineStr"/>
      <c r="H2537" t="inlineStr"/>
      <c r="I2537" t="inlineStr">
        <is>
          <t>1</t>
        </is>
      </c>
      <c r="J2537" t="inlineStr"/>
      <c r="K2537" t="inlineStr"/>
      <c r="L2537" t="inlineStr"/>
      <c r="M2537" t="inlineStr"/>
      <c r="N2537" t="inlineStr"/>
      <c r="O2537" t="inlineStr"/>
      <c r="P2537" t="inlineStr"/>
      <c r="Q2537" t="inlineStr"/>
      <c r="R2537" t="inlineStr"/>
      <c r="S2537" t="inlineStr"/>
    </row>
    <row r="2538">
      <c r="A2538">
        <f>Skills!A16</f>
        <v/>
      </c>
      <c r="B2538">
        <f>Skills!B16</f>
        <v/>
      </c>
      <c r="C2538">
        <f>Inputs!$B$3&gt;=120</f>
        <v/>
      </c>
      <c r="D2538">
        <f>IF(Skills!C16=1,60+Inputs!$B$25+Inputs!$B$29,IF(Skills!C16=2,90+Inputs!$B$26+Inputs!$B$29,IF(Skills!C16=3,120+Inputs!$B$27+Inputs!$B$29,MAX(0,(Inputs!$B$3-100)*3)+Inputs!$B$28+Inputs!$B$29)))</f>
        <v/>
      </c>
      <c r="E2538">
        <f>INDEX(FactorTable!$B$2:$Y$301, MATCH(ROUND(MIN(300,MAX(1,D2538)),0), FactorTable!$A$2:$A$301,0), Skills!M16+1)</f>
        <v/>
      </c>
      <c r="F2538">
        <f>IF(Skills!N16=TRUE,(Skills!L16/10)*(E2538/1000),Skills!L16/10)+Skills!O16</f>
        <v/>
      </c>
      <c r="G2538" t="inlineStr"/>
      <c r="H2538" t="inlineStr"/>
      <c r="I2538" t="inlineStr">
        <is>
          <t>1</t>
        </is>
      </c>
      <c r="J2538" t="inlineStr"/>
      <c r="K2538" t="inlineStr"/>
      <c r="L2538" t="inlineStr"/>
      <c r="M2538" t="inlineStr"/>
      <c r="N2538" t="inlineStr"/>
      <c r="O2538" t="inlineStr"/>
      <c r="P2538" t="inlineStr"/>
      <c r="Q2538" t="inlineStr"/>
      <c r="R2538" t="inlineStr"/>
      <c r="S2538" t="inlineStr"/>
    </row>
    <row r="2539">
      <c r="A2539">
        <f>Skills!A17</f>
        <v/>
      </c>
      <c r="B2539">
        <f>Skills!B17</f>
        <v/>
      </c>
      <c r="C2539">
        <f>Inputs!$B$3&gt;=66</f>
        <v/>
      </c>
      <c r="D2539">
        <f>IF(Skills!C17=1,60+Inputs!$B$25+Inputs!$B$29,IF(Skills!C17=2,90+Inputs!$B$26+Inputs!$B$29,IF(Skills!C17=3,120+Inputs!$B$27+Inputs!$B$29,MAX(0,(Inputs!$B$3-100)*3)+Inputs!$B$28+Inputs!$B$29)))</f>
        <v/>
      </c>
      <c r="E2539">
        <f>INDEX(FactorTable!$B$2:$Y$301, MATCH(ROUND(MIN(300,MAX(1,D2539)),0), FactorTable!$A$2:$A$301,0), Skills!M17+1)</f>
        <v/>
      </c>
      <c r="F2539">
        <f>IF(Skills!N17=TRUE,(Skills!L17/10)*(E2539/1000),Skills!L17/10)+Skills!O17</f>
        <v/>
      </c>
      <c r="G2539">
        <f>Skills!G17*IF(Skills!H17&gt;0,Skills!I17/Skills!H17,1)</f>
        <v/>
      </c>
      <c r="H2539">
        <f>1-(1-Skills!J17/100)^Skills!K17</f>
        <v/>
      </c>
      <c r="I2539" t="inlineStr">
        <is>
          <t>1</t>
        </is>
      </c>
      <c r="J2539" t="inlineStr"/>
      <c r="K2539" t="inlineStr"/>
      <c r="L2539" t="inlineStr"/>
      <c r="M2539" t="inlineStr"/>
      <c r="N2539" t="inlineStr"/>
      <c r="O2539">
        <f>(1-Summary!$B$11)*T2539+Summary!$B$11*V2539</f>
        <v/>
      </c>
      <c r="P2539">
        <f>IF(B2562=0,0,O2539/B2562)</f>
        <v/>
      </c>
      <c r="Q2539" t="n">
        <v>0</v>
      </c>
      <c r="R2539" t="n">
        <v>0</v>
      </c>
      <c r="S2539">
        <f>IFERROR(O2539/N2539,0)</f>
        <v/>
      </c>
      <c r="T2539" t="n">
        <v>0</v>
      </c>
      <c r="V2539" t="n">
        <v>0</v>
      </c>
    </row>
    <row r="2540">
      <c r="A2540">
        <f>Skills!A18</f>
        <v/>
      </c>
      <c r="B2540">
        <f>Skills!B18</f>
        <v/>
      </c>
      <c r="C2540">
        <f>Inputs!$B$3&gt;=115</f>
        <v/>
      </c>
      <c r="D2540">
        <f>IF(Skills!C18=1,60+Inputs!$B$25+Inputs!$B$29,IF(Skills!C18=2,90+Inputs!$B$26+Inputs!$B$29,IF(Skills!C18=3,120+Inputs!$B$27+Inputs!$B$29,MAX(0,(Inputs!$B$3-100)*3)+Inputs!$B$28+Inputs!$B$29)))</f>
        <v/>
      </c>
      <c r="E2540">
        <f>INDEX(FactorTable!$B$2:$Y$301, MATCH(ROUND(MIN(300,MAX(1,D2540)),0), FactorTable!$A$2:$A$301,0), Skills!M18+1)</f>
        <v/>
      </c>
      <c r="F2540">
        <f>IF(Skills!N18=TRUE,(Skills!L18/10)*(E2540/1000),Skills!L18/10)+Skills!O18</f>
        <v/>
      </c>
      <c r="G2540">
        <f>Skills!G18*IF(Skills!H18&gt;0,Skills!I18/Skills!H18,1)</f>
        <v/>
      </c>
      <c r="H2540">
        <f>1-(1-Skills!J18/100)^Skills!K18</f>
        <v/>
      </c>
      <c r="I2540" t="inlineStr">
        <is>
          <t>1</t>
        </is>
      </c>
      <c r="J2540" t="inlineStr"/>
      <c r="K2540" t="inlineStr"/>
      <c r="L2540" t="inlineStr"/>
      <c r="M2540" t="inlineStr"/>
      <c r="N2540" t="inlineStr"/>
      <c r="O2540">
        <f>(1-Summary!$B$11)*T2540+Summary!$B$11*V2540</f>
        <v/>
      </c>
      <c r="P2540">
        <f>IF(B2562=0,0,O2540/B2562)</f>
        <v/>
      </c>
      <c r="Q2540" t="n">
        <v>0</v>
      </c>
      <c r="R2540" t="n">
        <v>0</v>
      </c>
      <c r="S2540">
        <f>IFERROR(O2540/N2540,0)</f>
        <v/>
      </c>
      <c r="T2540" t="n">
        <v>0</v>
      </c>
      <c r="V2540" t="n">
        <v>0</v>
      </c>
    </row>
    <row r="2541">
      <c r="A2541">
        <f>Skills!A19</f>
        <v/>
      </c>
      <c r="B2541">
        <f>Skills!B19</f>
        <v/>
      </c>
      <c r="C2541">
        <f>Inputs!$B$3&gt;=15</f>
        <v/>
      </c>
      <c r="D2541">
        <f>IF(Skills!C19=1,60+Inputs!$B$25+Inputs!$B$29,IF(Skills!C19=2,90+Inputs!$B$26+Inputs!$B$29,IF(Skills!C19=3,120+Inputs!$B$27+Inputs!$B$29,MAX(0,(Inputs!$B$3-100)*3)+Inputs!$B$28+Inputs!$B$29)))</f>
        <v/>
      </c>
      <c r="E2541">
        <f>INDEX(FactorTable!$B$2:$Y$301, MATCH(ROUND(MIN(300,MAX(1,D2541)),0), FactorTable!$A$2:$A$301,0), Skills!M19+1)</f>
        <v/>
      </c>
      <c r="F2541">
        <f>IF(Skills!N19=TRUE,(Skills!L19/10)*(E2541/1000),Skills!L19/10)+Skills!O19</f>
        <v/>
      </c>
      <c r="G2541">
        <f>Skills!G19*IF(Skills!H19&gt;0,Skills!I19/Skills!H19,1)</f>
        <v/>
      </c>
      <c r="H2541">
        <f>1-(1-Skills!J19/100)^Skills!K19</f>
        <v/>
      </c>
      <c r="I2541" t="inlineStr">
        <is>
          <t>1</t>
        </is>
      </c>
      <c r="J2541" t="inlineStr"/>
      <c r="K2541" t="inlineStr"/>
      <c r="L2541" t="inlineStr"/>
      <c r="M2541" t="inlineStr"/>
      <c r="N2541" t="inlineStr"/>
      <c r="O2541">
        <f>(1-Summary!$B$11)*T2541+Summary!$B$11*V2541</f>
        <v/>
      </c>
      <c r="P2541">
        <f>IF(B2562=0,0,O2541/B2562)</f>
        <v/>
      </c>
      <c r="Q2541" t="n">
        <v>0</v>
      </c>
      <c r="R2541" t="n">
        <v>0</v>
      </c>
      <c r="S2541">
        <f>IFERROR(O2541/N2541,0)</f>
        <v/>
      </c>
      <c r="T2541" t="n">
        <v>0</v>
      </c>
      <c r="V2541" t="n">
        <v>0</v>
      </c>
    </row>
    <row r="2542">
      <c r="A2542">
        <f>Skills!A20</f>
        <v/>
      </c>
      <c r="B2542">
        <f>Skills!B20</f>
        <v/>
      </c>
      <c r="C2542">
        <f>Inputs!$B$3&gt;=10</f>
        <v/>
      </c>
      <c r="D2542">
        <f>IF(Skills!C20=1,60+Inputs!$B$25+Inputs!$B$29,IF(Skills!C20=2,90+Inputs!$B$26+Inputs!$B$29,IF(Skills!C20=3,120+Inputs!$B$27+Inputs!$B$29,MAX(0,(Inputs!$B$3-100)*3)+Inputs!$B$28+Inputs!$B$29)))</f>
        <v/>
      </c>
      <c r="E2542">
        <f>INDEX(FactorTable!$B$2:$Y$301, MATCH(ROUND(MIN(300,MAX(1,D2542)),0), FactorTable!$A$2:$A$301,0), Skills!M20+1)</f>
        <v/>
      </c>
      <c r="F2542">
        <f>IF(Skills!N20=TRUE,(Skills!L20/10)*(E2542/1000),Skills!L20/10)+Skills!O20</f>
        <v/>
      </c>
      <c r="G2542">
        <f>Skills!G20*IF(Skills!H20&gt;0,Skills!I20/Skills!H20,1)</f>
        <v/>
      </c>
      <c r="H2542">
        <f>1-(1-Skills!J20/100)^Skills!K20</f>
        <v/>
      </c>
      <c r="I2542" t="inlineStr">
        <is>
          <t>1</t>
        </is>
      </c>
      <c r="J2542" t="inlineStr"/>
      <c r="K2542" t="inlineStr"/>
      <c r="L2542" t="inlineStr"/>
      <c r="M2542" t="inlineStr"/>
      <c r="N2542" t="inlineStr"/>
      <c r="O2542">
        <f>(1-Summary!$B$11)*T2542+Summary!$B$11*V2542</f>
        <v/>
      </c>
      <c r="P2542">
        <f>IF(B2562=0,0,O2542/B2562)</f>
        <v/>
      </c>
      <c r="Q2542" t="n">
        <v>0</v>
      </c>
      <c r="R2542" t="n">
        <v>0</v>
      </c>
      <c r="S2542">
        <f>IFERROR(O2542/N2542,0)</f>
        <v/>
      </c>
      <c r="T2542" t="n">
        <v>0</v>
      </c>
      <c r="V2542" t="n">
        <v>0</v>
      </c>
    </row>
    <row r="2543">
      <c r="A2543">
        <f>Skills!A21</f>
        <v/>
      </c>
      <c r="B2543">
        <f>Skills!B21</f>
        <v/>
      </c>
      <c r="C2543">
        <f>Inputs!$B$3&gt;=33</f>
        <v/>
      </c>
      <c r="D2543">
        <f>IF(Skills!C21=1,60+Inputs!$B$25+Inputs!$B$29,IF(Skills!C21=2,90+Inputs!$B$26+Inputs!$B$29,IF(Skills!C21=3,120+Inputs!$B$27+Inputs!$B$29,MAX(0,(Inputs!$B$3-100)*3)+Inputs!$B$28+Inputs!$B$29)))</f>
        <v/>
      </c>
      <c r="E2543">
        <f>INDEX(FactorTable!$B$2:$Y$301, MATCH(ROUND(MIN(300,MAX(1,D2543)),0), FactorTable!$A$2:$A$301,0), Skills!M21+1)</f>
        <v/>
      </c>
      <c r="F2543">
        <f>IF(Skills!N21=TRUE,(Skills!L21/10)*(E2543/1000),Skills!L21/10)+Skills!O21</f>
        <v/>
      </c>
      <c r="G2543">
        <f>Skills!G21*IF(Skills!H21&gt;0,Skills!I21/Skills!H21,1)</f>
        <v/>
      </c>
      <c r="H2543">
        <f>1-(1-Skills!J21/100)^Skills!K21</f>
        <v/>
      </c>
      <c r="I2543" t="inlineStr">
        <is>
          <t>1</t>
        </is>
      </c>
      <c r="J2543" t="inlineStr"/>
      <c r="K2543" t="inlineStr"/>
      <c r="L2543" t="inlineStr"/>
      <c r="M2543" t="inlineStr"/>
      <c r="N2543" t="inlineStr"/>
      <c r="O2543">
        <f>(1-Summary!$B$11)*T2543+Summary!$B$11*V2543</f>
        <v/>
      </c>
      <c r="P2543">
        <f>IF(B2562=0,0,O2543/B2562)</f>
        <v/>
      </c>
      <c r="Q2543" t="n">
        <v>0</v>
      </c>
      <c r="R2543" t="n">
        <v>0</v>
      </c>
      <c r="S2543">
        <f>IFERROR(O2543/N2543,0)</f>
        <v/>
      </c>
      <c r="T2543" t="n">
        <v>0</v>
      </c>
      <c r="V2543" t="n">
        <v>0</v>
      </c>
    </row>
    <row r="2544">
      <c r="A2544">
        <f>Skills!A22</f>
        <v/>
      </c>
      <c r="B2544">
        <f>Skills!B22</f>
        <v/>
      </c>
      <c r="C2544">
        <f>Inputs!$B$3&gt;=43</f>
        <v/>
      </c>
      <c r="D2544">
        <f>IF(Skills!C22=1,60+Inputs!$B$25+Inputs!$B$29,IF(Skills!C22=2,90+Inputs!$B$26+Inputs!$B$29,IF(Skills!C22=3,120+Inputs!$B$27+Inputs!$B$29,MAX(0,(Inputs!$B$3-100)*3)+Inputs!$B$28+Inputs!$B$29)))</f>
        <v/>
      </c>
      <c r="E2544">
        <f>INDEX(FactorTable!$B$2:$Y$301, MATCH(ROUND(MIN(300,MAX(1,D2544)),0), FactorTable!$A$2:$A$301,0), Skills!M22+1)</f>
        <v/>
      </c>
      <c r="F2544">
        <f>IF(Skills!N22=TRUE,(Skills!L22/10)*(E2544/1000),Skills!L22/10)+Skills!O22</f>
        <v/>
      </c>
      <c r="G2544">
        <f>Skills!G22*IF(Skills!H22&gt;0,Skills!I22/Skills!H22,1)</f>
        <v/>
      </c>
      <c r="H2544">
        <f>1-(1-Skills!J22/100)^Skills!K22</f>
        <v/>
      </c>
      <c r="I2544" t="inlineStr">
        <is>
          <t>1</t>
        </is>
      </c>
      <c r="J2544" t="inlineStr"/>
      <c r="K2544" t="inlineStr"/>
      <c r="L2544" t="inlineStr"/>
      <c r="M2544" t="inlineStr"/>
      <c r="N2544" t="inlineStr"/>
      <c r="O2544">
        <f>(1-Summary!$B$11)*T2544+Summary!$B$11*V2544</f>
        <v/>
      </c>
      <c r="P2544">
        <f>IF(B2562=0,0,O2544/B2562)</f>
        <v/>
      </c>
      <c r="Q2544" t="n">
        <v>0</v>
      </c>
      <c r="R2544" t="n">
        <v>0</v>
      </c>
      <c r="S2544">
        <f>IFERROR(O2544/N2544,0)</f>
        <v/>
      </c>
      <c r="T2544" t="n">
        <v>0</v>
      </c>
      <c r="V2544" t="n">
        <v>0</v>
      </c>
    </row>
    <row r="2545">
      <c r="A2545">
        <f>Skills!A23</f>
        <v/>
      </c>
      <c r="B2545">
        <f>Skills!B23</f>
        <v/>
      </c>
      <c r="C2545">
        <f>Inputs!$B$3&gt;=38</f>
        <v/>
      </c>
      <c r="D2545">
        <f>IF(Skills!C23=1,60+Inputs!$B$25+Inputs!$B$29,IF(Skills!C23=2,90+Inputs!$B$26+Inputs!$B$29,IF(Skills!C23=3,120+Inputs!$B$27+Inputs!$B$29,MAX(0,(Inputs!$B$3-100)*3)+Inputs!$B$28+Inputs!$B$29)))</f>
        <v/>
      </c>
      <c r="E2545">
        <f>INDEX(FactorTable!$B$2:$Y$301, MATCH(ROUND(MIN(300,MAX(1,D2545)),0), FactorTable!$A$2:$A$301,0), Skills!M23+1)</f>
        <v/>
      </c>
      <c r="F2545">
        <f>IF(Skills!N23=TRUE,(Skills!L23/10)*(E2545/1000),Skills!L23/10)+Skills!O23</f>
        <v/>
      </c>
      <c r="G2545">
        <f>Skills!G23*IF(Skills!H23&gt;0,Skills!I23/Skills!H23,1)</f>
        <v/>
      </c>
      <c r="H2545">
        <f>1-(1-Skills!J23/100)^Skills!K23</f>
        <v/>
      </c>
      <c r="I2545" t="inlineStr">
        <is>
          <t>1</t>
        </is>
      </c>
      <c r="J2545" t="inlineStr"/>
      <c r="K2545" t="inlineStr"/>
      <c r="L2545" t="inlineStr"/>
      <c r="M2545" t="inlineStr"/>
      <c r="N2545" t="inlineStr"/>
      <c r="O2545">
        <f>(1-Summary!$B$11)*T2545+Summary!$B$11*V2545</f>
        <v/>
      </c>
      <c r="P2545">
        <f>IF(B2562=0,0,O2545/B2562)</f>
        <v/>
      </c>
      <c r="Q2545" t="n">
        <v>0</v>
      </c>
      <c r="R2545" t="n">
        <v>0</v>
      </c>
      <c r="S2545">
        <f>IFERROR(O2545/N2545,0)</f>
        <v/>
      </c>
      <c r="T2545" t="n">
        <v>0</v>
      </c>
      <c r="V2545" t="n">
        <v>0</v>
      </c>
    </row>
    <row r="2546">
      <c r="A2546">
        <f>Skills!A24</f>
        <v/>
      </c>
      <c r="B2546">
        <f>Skills!B24</f>
        <v/>
      </c>
      <c r="C2546">
        <f>Inputs!$B$3&gt;=40</f>
        <v/>
      </c>
      <c r="D2546">
        <f>IF(Skills!C24=1,60+Inputs!$B$25+Inputs!$B$29,IF(Skills!C24=2,90+Inputs!$B$26+Inputs!$B$29,IF(Skills!C24=3,120+Inputs!$B$27+Inputs!$B$29,MAX(0,(Inputs!$B$3-100)*3)+Inputs!$B$28+Inputs!$B$29)))</f>
        <v/>
      </c>
      <c r="E2546">
        <f>INDEX(FactorTable!$B$2:$Y$301, MATCH(ROUND(MIN(300,MAX(1,D2546)),0), FactorTable!$A$2:$A$301,0), Skills!M24+1)</f>
        <v/>
      </c>
      <c r="F2546">
        <f>IF(Skills!N24=TRUE,(Skills!L24/10)*(E2546/1000),Skills!L24/10)+Skills!O24</f>
        <v/>
      </c>
      <c r="G2546">
        <f>Skills!G24*IF(Skills!H24&gt;0,Skills!I24/Skills!H24,1)</f>
        <v/>
      </c>
      <c r="H2546">
        <f>1-(1-Skills!J24/100)^Skills!K24</f>
        <v/>
      </c>
      <c r="I2546" t="inlineStr">
        <is>
          <t>1</t>
        </is>
      </c>
      <c r="J2546" t="inlineStr"/>
      <c r="K2546" t="inlineStr"/>
      <c r="L2546" t="inlineStr"/>
      <c r="M2546" t="inlineStr"/>
      <c r="N2546" t="inlineStr"/>
      <c r="O2546">
        <f>(1-Summary!$B$11)*T2546+Summary!$B$11*V2546</f>
        <v/>
      </c>
      <c r="P2546">
        <f>IF(B2562=0,0,O2546/B2562)</f>
        <v/>
      </c>
      <c r="Q2546" t="n">
        <v>0</v>
      </c>
      <c r="R2546" t="n">
        <v>0</v>
      </c>
      <c r="S2546">
        <f>IFERROR(O2546/N2546,0)</f>
        <v/>
      </c>
      <c r="T2546" t="n">
        <v>0</v>
      </c>
      <c r="V2546" t="n">
        <v>0</v>
      </c>
    </row>
    <row r="2547">
      <c r="A2547">
        <f>Skills!A25</f>
        <v/>
      </c>
      <c r="B2547">
        <f>Skills!B25</f>
        <v/>
      </c>
      <c r="C2547">
        <f>Inputs!$B$3&gt;=72</f>
        <v/>
      </c>
      <c r="D2547">
        <f>IF(Skills!C25=1,60+Inputs!$B$25+Inputs!$B$29,IF(Skills!C25=2,90+Inputs!$B$26+Inputs!$B$29,IF(Skills!C25=3,120+Inputs!$B$27+Inputs!$B$29,MAX(0,(Inputs!$B$3-100)*3)+Inputs!$B$28+Inputs!$B$29)))</f>
        <v/>
      </c>
      <c r="E2547">
        <f>INDEX(FactorTable!$B$2:$Y$301, MATCH(ROUND(MIN(300,MAX(1,D2547)),0), FactorTable!$A$2:$A$301,0), Skills!M25+1)</f>
        <v/>
      </c>
      <c r="F2547">
        <f>IF(Skills!N25=TRUE,(Skills!L25/10)*(E2547/1000),Skills!L25/10)+Skills!O25</f>
        <v/>
      </c>
      <c r="G2547">
        <f>Skills!G25*IF(Skills!H25&gt;0,Skills!I25/Skills!H25,1)</f>
        <v/>
      </c>
      <c r="H2547">
        <f>1-(1-Skills!J25/100)^Skills!K25</f>
        <v/>
      </c>
      <c r="I2547" t="inlineStr">
        <is>
          <t>1</t>
        </is>
      </c>
      <c r="J2547" t="inlineStr"/>
      <c r="K2547" t="inlineStr"/>
      <c r="L2547" t="inlineStr"/>
      <c r="M2547" t="inlineStr"/>
      <c r="N2547" t="inlineStr"/>
      <c r="O2547">
        <f>(1-Summary!$B$11)*T2547+Summary!$B$11*V2547</f>
        <v/>
      </c>
      <c r="P2547">
        <f>IF(B2562=0,0,O2547/B2562)</f>
        <v/>
      </c>
      <c r="Q2547" t="n">
        <v>0</v>
      </c>
      <c r="R2547" t="n">
        <v>0</v>
      </c>
      <c r="S2547">
        <f>IFERROR(O2547/N2547,0)</f>
        <v/>
      </c>
      <c r="T2547" t="n">
        <v>0</v>
      </c>
      <c r="V2547" t="n">
        <v>0</v>
      </c>
    </row>
    <row r="2548">
      <c r="A2548">
        <f>Skills!A26</f>
        <v/>
      </c>
      <c r="B2548">
        <f>Skills!B26</f>
        <v/>
      </c>
      <c r="C2548">
        <f>Inputs!$B$3&gt;=75</f>
        <v/>
      </c>
      <c r="D2548">
        <f>IF(Skills!C26=1,60+Inputs!$B$25+Inputs!$B$29,IF(Skills!C26=2,90+Inputs!$B$26+Inputs!$B$29,IF(Skills!C26=3,120+Inputs!$B$27+Inputs!$B$29,MAX(0,(Inputs!$B$3-100)*3)+Inputs!$B$28+Inputs!$B$29)))</f>
        <v/>
      </c>
      <c r="E2548">
        <f>INDEX(FactorTable!$B$2:$Y$301, MATCH(ROUND(MIN(300,MAX(1,D2548)),0), FactorTable!$A$2:$A$301,0), Skills!M26+1)</f>
        <v/>
      </c>
      <c r="F2548">
        <f>IF(Skills!N26=TRUE,(Skills!L26/10)*(E2548/1000),Skills!L26/10)+Skills!O26</f>
        <v/>
      </c>
      <c r="G2548">
        <f>Skills!G26*IF(Skills!H26&gt;0,Skills!I26/Skills!H26,1)</f>
        <v/>
      </c>
      <c r="H2548">
        <f>1-(1-Skills!J26/100)^Skills!K26</f>
        <v/>
      </c>
      <c r="I2548" t="inlineStr">
        <is>
          <t>1</t>
        </is>
      </c>
      <c r="J2548" t="inlineStr"/>
      <c r="K2548" t="inlineStr"/>
      <c r="L2548" t="inlineStr"/>
      <c r="M2548" t="inlineStr"/>
      <c r="N2548" t="inlineStr"/>
      <c r="O2548">
        <f>(1-Summary!$B$11)*T2548+Summary!$B$11*V2548</f>
        <v/>
      </c>
      <c r="P2548">
        <f>IF(B2562=0,0,O2548/B2562)</f>
        <v/>
      </c>
      <c r="Q2548" t="n">
        <v>0</v>
      </c>
      <c r="R2548" t="n">
        <v>0</v>
      </c>
      <c r="S2548">
        <f>IFERROR(O2548/N2548,0)</f>
        <v/>
      </c>
      <c r="T2548" t="n">
        <v>0</v>
      </c>
      <c r="V2548" t="n">
        <v>0</v>
      </c>
    </row>
    <row r="2549">
      <c r="A2549">
        <f>Skills!A27</f>
        <v/>
      </c>
      <c r="B2549">
        <f>Skills!B27</f>
        <v/>
      </c>
      <c r="C2549">
        <f>Inputs!$B$3&gt;=117</f>
        <v/>
      </c>
      <c r="D2549">
        <f>IF(Skills!C27=1,60+Inputs!$B$25+Inputs!$B$29,IF(Skills!C27=2,90+Inputs!$B$26+Inputs!$B$29,IF(Skills!C27=3,120+Inputs!$B$27+Inputs!$B$29,MAX(0,(Inputs!$B$3-100)*3)+Inputs!$B$28+Inputs!$B$29)))</f>
        <v/>
      </c>
      <c r="E2549">
        <f>INDEX(FactorTable!$B$2:$Y$301, MATCH(ROUND(MIN(300,MAX(1,D2549)),0), FactorTable!$A$2:$A$301,0), Skills!M27+1)</f>
        <v/>
      </c>
      <c r="F2549">
        <f>IF(Skills!N27=TRUE,(Skills!L27/10)*(E2549/1000),Skills!L27/10)+Skills!O27</f>
        <v/>
      </c>
      <c r="G2549">
        <f>Skills!G27*IF(Skills!H27&gt;0,Skills!I27/Skills!H27,1)</f>
        <v/>
      </c>
      <c r="H2549">
        <f>1-(1-Skills!J27/100)^Skills!K27</f>
        <v/>
      </c>
      <c r="I2549" t="inlineStr">
        <is>
          <t>1</t>
        </is>
      </c>
      <c r="J2549" t="inlineStr"/>
      <c r="K2549" t="inlineStr"/>
      <c r="L2549" t="inlineStr"/>
      <c r="M2549" t="inlineStr"/>
      <c r="N2549" t="inlineStr"/>
      <c r="O2549">
        <f>(1-Summary!$B$11)*T2549+Summary!$B$11*V2549</f>
        <v/>
      </c>
      <c r="P2549">
        <f>IF(B2562=0,0,O2549/B2562)</f>
        <v/>
      </c>
      <c r="Q2549" t="n">
        <v>0</v>
      </c>
      <c r="R2549" t="n">
        <v>0</v>
      </c>
      <c r="S2549">
        <f>IFERROR(O2549/N2549,0)</f>
        <v/>
      </c>
      <c r="T2549" t="n">
        <v>0</v>
      </c>
      <c r="V2549" t="n">
        <v>0</v>
      </c>
    </row>
    <row r="2551">
      <c r="A2551" t="inlineStr">
        <is>
          <t>Attack% Bucket Multiplier</t>
        </is>
      </c>
      <c r="B2551">
        <f>(1+(((C2539=TRUE)*F2539)+((C2546=TRUE)*(F2546-Calc!F24))+(IF(ArtifactsInput!$M$21,CHOOSE(ArtifactsInput!$N$21+1,25,30,35,40,45,50)*(IF(OR(Inputs!$B$4="Chapter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52">
      <c r="A2552" t="inlineStr">
        <is>
          <t>Global Crit Rate Bonus %</t>
        </is>
      </c>
      <c r="B2552" t="n">
        <v>0</v>
      </c>
    </row>
    <row r="2553">
      <c r="A2553" t="inlineStr">
        <is>
          <t>Attack Speed Buff Bonus % (unused)</t>
        </is>
      </c>
      <c r="B2553" t="n">
        <v>0</v>
      </c>
    </row>
    <row r="2554">
      <c r="A2554" t="inlineStr">
        <is>
          <t>Actions Per Second</t>
        </is>
      </c>
      <c r="B2554">
        <f>1+MIN(150,150*(1-(1-(Inputs!$B$11+((C2542=TRUE)*(F2542-Calc!F20))+((C2543=TRUE)*(F2543-Calc!F21)))/150)*(1-B2553/150)))/100</f>
        <v/>
      </c>
    </row>
    <row r="2555">
      <c r="A2555" t="inlineStr">
        <is>
          <t>Skill + Buff Cast Rate</t>
        </is>
      </c>
      <c r="B2555">
        <f>IF(AND(Inputs!$B$38&lt;&gt;"pvp",Inputs!$B$43&gt;0),SUMPRODUCT((Skills!E2:E27=TRUE)*(C2524:C2549=TRUE)*R2524:R2549*Skills!F2:F27)/Inputs!$B$43,SUMPRODUCT((Skills!E2:E27=TRUE)*(C2524:C2549=TRUE)*Q2524:Q2549*Skills!F2:F27))</f>
        <v/>
      </c>
    </row>
    <row r="2556">
      <c r="A2556" t="inlineStr">
        <is>
          <t>Eight-Legs Easton Casts Per Second</t>
        </is>
      </c>
      <c r="B2556">
        <f>MAX(0,B2554-B2555)</f>
        <v/>
      </c>
    </row>
    <row r="2557">
      <c r="A2557" t="inlineStr">
        <is>
          <t>Global Critical Damage Bonus % (unused)</t>
        </is>
      </c>
      <c r="B2557" t="n">
        <v>0</v>
      </c>
    </row>
    <row r="2558">
      <c r="A2558" t="inlineStr">
        <is>
          <t>Global Final Damage Bonus % (Jolly Roger only)</t>
        </is>
      </c>
      <c r="B2558">
        <f>((C2540=TRUE)*F2540)</f>
        <v/>
      </c>
    </row>
    <row r="2559">
      <c r="A2559" t="inlineStr">
        <is>
          <t>Buff-Casting Startup Delay (s, fixed-duration only)</t>
        </is>
      </c>
      <c r="B2559">
        <f>IF(AND(Inputs!$B$38&lt;&gt;"pvp",Inputs!$B$43&gt;0),SUMPRODUCT((Skills!T2:T27&gt;0)*(Skills!E2:E27=TRUE)*(C2524:C2549=TRUE))/B2554,0)</f>
        <v/>
      </c>
    </row>
    <row r="2560">
      <c r="A2560" t="inlineStr">
        <is>
          <t>Boss-Only Total DPS (this block's swept value)</t>
        </is>
      </c>
      <c r="B2560">
        <f>SUM(T2524:T2549)</f>
        <v/>
      </c>
    </row>
    <row r="2561">
      <c r="A2561" t="inlineStr">
        <is>
          <t>Normal-Only Total DPS (this block's swept value)</t>
        </is>
      </c>
      <c r="B2561">
        <f>SUM(V2524:V2549)</f>
        <v/>
      </c>
    </row>
    <row r="2562">
      <c r="A2562" s="6" t="inlineStr">
        <is>
          <t>TOTAL DPS</t>
        </is>
      </c>
      <c r="B2562" s="6">
        <f>SUM(O2524:O2549)</f>
        <v/>
      </c>
    </row>
    <row r="2565">
      <c r="A2565" s="6" t="inlineStr">
        <is>
          <t>Stat: Cursed Doll (Equip)</t>
        </is>
      </c>
    </row>
    <row r="2566">
      <c r="A2566" s="5" t="inlineStr">
        <is>
          <t>Key</t>
        </is>
      </c>
      <c r="B2566" s="5" t="inlineStr">
        <is>
          <t>Name</t>
        </is>
      </c>
      <c r="C2566" s="5" t="inlineStr">
        <is>
          <t>Unlocked</t>
        </is>
      </c>
      <c r="D2566" s="5" t="inlineStr">
        <is>
          <t>InputLevel</t>
        </is>
      </c>
      <c r="E2566" s="5" t="inlineStr">
        <is>
          <t>Factor</t>
        </is>
      </c>
      <c r="F2566" s="5" t="inlineStr">
        <is>
          <t>CoefficientPercent</t>
        </is>
      </c>
      <c r="G2566" s="5" t="inlineStr">
        <is>
          <t>EffectiveHits</t>
        </is>
      </c>
      <c r="H2566" s="5" t="inlineStr">
        <is>
          <t>ProcProbability</t>
        </is>
      </c>
      <c r="I2566" s="5" t="inlineStr">
        <is>
          <t>MapleHeroMultiplier</t>
        </is>
      </c>
      <c r="J2566" s="5" t="inlineStr">
        <is>
          <t>BaseDamage</t>
        </is>
      </c>
      <c r="K2566" s="5" t="inlineStr">
        <is>
          <t>BaseHitDamage</t>
        </is>
      </c>
      <c r="L2566" s="5" t="inlineStr">
        <is>
          <t>NonCritAvg</t>
        </is>
      </c>
      <c r="M2566" s="5" t="inlineStr">
        <is>
          <t>CritAvg</t>
        </is>
      </c>
      <c r="N2566" s="5" t="inlineStr">
        <is>
          <t>ExpectedDamage(perHit)</t>
        </is>
      </c>
      <c r="O2566" s="5" t="inlineStr">
        <is>
          <t>DPS</t>
        </is>
      </c>
      <c r="P2566" s="5" t="inlineStr">
        <is>
          <t>% of Total</t>
        </is>
      </c>
      <c r="Q2566" s="5" t="inlineStr">
        <is>
          <t>InvCooldown</t>
        </is>
      </c>
      <c r="R2566" s="5" t="inlineStr">
        <is>
          <t>CastsInFight</t>
        </is>
      </c>
      <c r="S2566" s="5" t="inlineStr">
        <is>
          <t>HitRate(perSec)</t>
        </is>
      </c>
      <c r="U2566" t="inlineStr">
        <is>
          <t>helpers</t>
        </is>
      </c>
    </row>
    <row r="2567">
      <c r="A2567">
        <f>Skills!A2</f>
        <v/>
      </c>
      <c r="B2567">
        <f>Skills!B2</f>
        <v/>
      </c>
      <c r="C2567">
        <f>Inputs!$B$3&gt;=100</f>
        <v/>
      </c>
      <c r="D2567" t="inlineStr"/>
      <c r="E2567" t="inlineStr"/>
      <c r="F2567">
        <f>U2569+Skills!O2</f>
        <v/>
      </c>
      <c r="G2567">
        <f>Skills!G2*IF(Skills!H2&gt;0,Skills!I2/Skills!H2,1)</f>
        <v/>
      </c>
      <c r="H2567">
        <f>1-(1-Skills!J2/100)^Skills!K2</f>
        <v/>
      </c>
      <c r="I2567" t="inlineStr">
        <is>
          <t>1</t>
        </is>
      </c>
      <c r="J2567">
        <f>((Inputs!$B$6*(1+Inputs!$B$7/100))+(((Inputs!$B$12*(1+Inputs!$B$13/100))-(Inputs!$B$12*(1+Inputs!$B$13/100)))+0.25*(Inputs!$B$14-Inputs!$B$14))*(1+Inputs!$B$7/100))*(F2567/100)</f>
        <v/>
      </c>
      <c r="K2567">
        <f>J2567*(1+((Inputs!$B$12*(1+Inputs!$B$13/100))*0.01+Inputs!$B$14*0.0025)/100)*(1+Inputs!$B$15/100)*(1+Inputs!$B$16/100)*(5000/(6000+Inputs!$B$42*(1-(100*(1-(1-(Inputs!$B$19+0)/100)*(1-CHOOSE(ArtifactsInput!$N$40+1,5,6,7,8,9,10)/100)^(ArtifactsInput!$M$40-ArtifactsInput!$M$40)))/100)))*(1+(Inputs!$B$24+((C2591=TRUE)*(F2591-Calc!F26))+B2601)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2588=TRUE)*(F2588-Calc!F23))+((C2592=TRUE)*(F2592-Calc!F27))+(((IF(AND(ArtifactsInput!$M$42,((Inputs!$B$9+((C2584=TRUE)*(F2584-Calc!F19))+B2595+(ArtifactsInput!$M$24-ArtifactsInput!$M$24)*CHOOSE(ArtifactsInput!$N$24+1,10,12,14,16,18,20)+IF(ArtifactsInput!$M$10,CHOOSE(ArtifactsInput!$N$10+1,15,18,21,24,27,30)*(IF(Inputs!$B$38="pvp",MIN(15,15)/15,IF(AND(Inputs!$B$38&lt;&gt;"pvp",Inputs!$B$43&gt;0),MIN(15,Inputs!$B$43)/(Inputs!$B$43),0))),0)))&gt;=100),MIN(100,((Inputs!$B$9+((C2584=TRUE)*(F2584-Calc!F19))+B2595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2584=TRUE)*(F2584-Calc!F19))+B2595+(ArtifactsInput!$M$24-ArtifactsInput!$M$24)*CHOOSE(ArtifactsInput!$N$24+1,10,12,14,16,18,20)+IF(ArtifactsInput!$M$10,CHOOSE(ArtifactsInput!$N$10+1,15,18,21,24,27,30)*(IF(Inputs!$B$38="pvp",MIN(15,15)/15,IF(AND(Inputs!$B$38&lt;&gt;"pvp",Inputs!$B$43&gt;0),MIN(15,Inputs!$B$43)/(Inputs!$B$43),0))),0)))&gt;=100),CHOOSE(ArtifactsInput!$N$42+1,40,48,56,64,72,80),0))))/100)*((1+(((C2582=TRUE)*F2582)+((C2589=TRUE)*(F2589-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2567)</f>
        <v/>
      </c>
      <c r="L2567">
        <f>K2567*(MIN(Inputs!$B$22+((C2587=TRUE)*(F2587-Calc!F22)),(Inputs!$B$23+0+(IF(ArtifactsInput!$M$15,CHOOSE(ArtifactsInput!$N$15+1,25,30,35,40,45,50)/100*(Inputs!$B$11-Inputs!$B$11),0))))/100+(Inputs!$B$23+0+(IF(ArtifactsInput!$M$15,CHOOSE(ArtifactsInput!$N$15+1,25,30,35,40,45,50)/100*(Inputs!$B$11-Inputs!$B$11),0)))/100)/2</f>
        <v/>
      </c>
      <c r="M2567">
        <f>L2567*(1+(Inputs!$B$10+((C2590=TRUE)*(F2590-Calc!F25))+B2600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7">
        <f>L2567*(1-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2567*(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7">
        <f>(1-Summary!$B$11)*T2567+Summary!$B$11*V2567</f>
        <v/>
      </c>
      <c r="P2567">
        <f>IF(B2605=0,0,O2567/B2605)</f>
        <v/>
      </c>
      <c r="Q2567" t="n">
        <v>0</v>
      </c>
      <c r="R2567" t="n">
        <v>0</v>
      </c>
      <c r="S2567">
        <f>IFERROR(O2567/N2567,0)</f>
        <v/>
      </c>
      <c r="T2567">
        <f>IF(C2567,(Skills!G2*N2567*B2599)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2567*(1-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2567*(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2567*(1-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2567*(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7">
        <f>MAX(0,(Inputs!$B$3-100)*3)+Inputs!$B$28+Inputs!$B$29</f>
        <v/>
      </c>
      <c r="V2567">
        <f>IF(C2567,(Skills!G2*N2567*B2599)*IF(Inputs!$B$38="pvp",1,(1+(Inputs!$B$21+Skills!Q2+(IF(ArtifactsInput!$M$33,CHOOSE(ArtifactsInput!$N$33+1,30,36,42,48,54,60),0))+(IF(AND(ArtifactsInput!$M$35,Inputs!$B$4&lt;&gt;"Chapter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8">
      <c r="A2568">
        <f>Skills!A3</f>
        <v/>
      </c>
      <c r="B2568">
        <f>Skills!B3</f>
        <v/>
      </c>
      <c r="C2568">
        <f>Inputs!$B$3&gt;=35</f>
        <v/>
      </c>
      <c r="D2568">
        <f>IF(Skills!C3=1,60+Inputs!$B$25+Inputs!$B$29,IF(Skills!C3=2,90+Inputs!$B$26+Inputs!$B$29,IF(Skills!C3=3,120+Inputs!$B$27+Inputs!$B$29,MAX(0,(Inputs!$B$3-100)*3)+Inputs!$B$28+Inputs!$B$29)))</f>
        <v/>
      </c>
      <c r="E2568">
        <f>INDEX(FactorTable!$B$2:$Y$301, MATCH(ROUND(MIN(300,MAX(1,D2568)),0), FactorTable!$A$2:$A$301,0), Skills!M3+1)</f>
        <v/>
      </c>
      <c r="F2568">
        <f>IF(Skills!N3=TRUE,(Skills!L3/10)*(E2568/1000),Skills!L3/10)+Skills!O3</f>
        <v/>
      </c>
      <c r="G2568">
        <f>Skills!G3*IF(Skills!H3&gt;0,Skills!I3/Skills!H3,1)</f>
        <v/>
      </c>
      <c r="H2568">
        <f>1-(1-Skills!J3/100)^Skills!K3</f>
        <v/>
      </c>
      <c r="I2568" t="inlineStr">
        <is>
          <t>1</t>
        </is>
      </c>
      <c r="J2568">
        <f>((Inputs!$B$6*(1+Inputs!$B$7/100))+(((Inputs!$B$12*(1+Inputs!$B$13/100))-(Inputs!$B$12*(1+Inputs!$B$13/100)))+0.25*(Inputs!$B$14-Inputs!$B$14))*(1+Inputs!$B$7/100))*(F2568/100)</f>
        <v/>
      </c>
      <c r="K2568">
        <f>J2568*(1+((Inputs!$B$12*(1+Inputs!$B$13/100))*0.01+Inputs!$B$14*0.0025)/100)*(1+Inputs!$B$15/100)*(1+Inputs!$B$16/100)*(5000/(6000+Inputs!$B$42*(1-(100*(1-(1-(Inputs!$B$19+0)/100)*(1-CHOOSE(ArtifactsInput!$N$40+1,5,6,7,8,9,10)/100)^(ArtifactsInput!$M$40-ArtifactsInput!$M$40)))/100)))*(1+(Inputs!$B$24+((C2591=TRUE)*(F2591-Calc!F26))+B2601)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2580=TRUE,F2580,0)/100)*(1+(IF(Skills!A3="EIGHT_LEGS_EASTON",Inputs!$B$17+((C2588=TRUE)*(F2588-Calc!F23))+((C2592=TRUE)*(F2592-Calc!F27))+(((IF(AND(ArtifactsInput!$M$42,((Inputs!$B$9+((C2584=TRUE)*(F2584-Calc!F19))+B2595+(ArtifactsInput!$M$24-ArtifactsInput!$M$24)*CHOOSE(ArtifactsInput!$N$24+1,10,12,14,16,18,20)+IF(ArtifactsInput!$M$10,CHOOSE(ArtifactsInput!$N$10+1,15,18,21,24,27,30)*(IF(Inputs!$B$38="pvp",MIN(15,15)/15,IF(AND(Inputs!$B$38&lt;&gt;"pvp",Inputs!$B$43&gt;0),MIN(15,Inputs!$B$43)/(Inputs!$B$43),0))),0)))&gt;=100),MIN(100,((Inputs!$B$9+((C2584=TRUE)*(F2584-Calc!F19))+B2595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2584=TRUE)*(F2584-Calc!F19))+B2595+(ArtifactsInput!$M$24-ArtifactsInput!$M$24)*CHOOSE(ArtifactsInput!$N$24+1,10,12,14,16,18,20)+IF(ArtifactsInput!$M$10,CHOOSE(ArtifactsInput!$N$10+1,15,18,21,24,27,30)*(IF(Inputs!$B$38="pvp",MIN(15,15)/15,IF(AND(Inputs!$B$38&lt;&gt;"pvp",Inputs!$B$43&gt;0),MIN(15,Inputs!$B$43)/(Inputs!$B$43),0))),0)))&gt;=100),CHOOSE(ArtifactsInput!$N$42+1,40,48,56,64,72,80),0))))/100)*((1+(((C2582=TRUE)*F2582)+((C2589=TRUE)*(F2589-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2568)</f>
        <v/>
      </c>
      <c r="L2568">
        <f>K2568*(MIN(Inputs!$B$22+((C2587=TRUE)*(F2587-Calc!F22)),(Inputs!$B$23+0+(IF(ArtifactsInput!$M$15,CHOOSE(ArtifactsInput!$N$15+1,25,30,35,40,45,50)/100*(Inputs!$B$11-Inputs!$B$11),0))))/100+(Inputs!$B$23+0+(IF(ArtifactsInput!$M$15,CHOOSE(ArtifactsInput!$N$15+1,25,30,35,40,45,50)/100*(Inputs!$B$11-Inputs!$B$11),0)))/100)/2</f>
        <v/>
      </c>
      <c r="M2568">
        <f>L2568*(1+(Inputs!$B$10+((C2590=TRUE)*(F2590-Calc!F25))+B2600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8">
        <f>L2568*(1-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2568*(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8">
        <f>(1-Summary!$B$11)*T2568+Summary!$B$11*V2568</f>
        <v/>
      </c>
      <c r="P2568">
        <f>IF(B2605=0,0,O2568/B2605)</f>
        <v/>
      </c>
      <c r="Q2568">
        <f>IFERROR(1/(IF(Inputs!$B$38="pvp",15,MAX(0.1,Skills!D3-IF(Skills!E3=TRUE,Inputs!$B$32,0)))*(1-IF(AND(ArtifactsInput!$M$27,Inputs!$B$4="Chapter Hunt"),CHOOSE(ArtifactsInput!$N$27+1,20,24,28,32,36,40),0)/100)),0)</f>
        <v/>
      </c>
      <c r="R2568">
        <f>IF(AND(Inputs!$B$38&lt;&gt;"pvp",Inputs!$B$43&gt;0),IF(MAX(0,Inputs!$B$43-B2602)&lt;=0,0,(INT(MAX(0,Inputs!$B$43-B2602)/(IF(Inputs!$B$38="pvp",15,MAX(0.1,Skills!D3-IF(Skills!E3=TRUE,Inputs!$B$32,0)))*(1-IF(AND(ArtifactsInput!$M$27,Inputs!$B$4="Chapter Hunt"),CHOOSE(ArtifactsInput!$N$27+1,20,24,28,32,36,40),0)/100)))+1)),0)</f>
        <v/>
      </c>
      <c r="S2568">
        <f>IFERROR(O2568/N2568,0)</f>
        <v/>
      </c>
      <c r="T2568">
        <f>IF(C2568,(H2568*N2568*IF(AND(Inputs!$B$38&lt;&gt;"pvp",Inputs!$B$43&gt;0),((Skills!G3*((R2568-1)*IF(Skills!H3&gt;0,Skills!I3/Skills!H3,1)+IF(Skills!H3&gt;0,MIN(Skills!I3,MAX(0,MAX(0,Inputs!$B$43-B2602)-((R2568-1)*(IF(Inputs!$B$38="pvp",15,MAX(0.1,Skills!D3-IF(Skills!E3=TRUE,Inputs!$B$32,0)))*(1-IF(AND(ArtifactsInput!$M$27,Inputs!$B$4="Chapter Hunt"),CHOOSE(ArtifactsInput!$N$27+1,20,24,28,32,36,40),0)/100)))))/Skills!H3,1)))/Inputs!$B$43),G2568*Q2568)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2568*(1-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2568*(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2568*(1-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2568*(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8">
        <f>INDEX(FactorTable!$B$2:$Y$301, MATCH(ROUND(MIN(300,MAX(1,U2567)),0), FactorTable!$A$2:$A$301,0), 22)</f>
        <v/>
      </c>
      <c r="V2568">
        <f>IF(C2568,(H2568*N2568*IF(AND(Inputs!$B$38&lt;&gt;"pvp",Inputs!$B$43&gt;0),((Skills!G3*((R2568-1)*IF(Skills!H3&gt;0,Skills!I3/Skills!H3,1)+IF(Skills!H3&gt;0,MIN(Skills!I3,MAX(0,MAX(0,Inputs!$B$43-B2602)-((R2568-1)*(IF(Inputs!$B$38="pvp",15,MAX(0.1,Skills!D3-IF(Skills!E3=TRUE,Inputs!$B$32,0)))*(1-IF(AND(ArtifactsInput!$M$27,Inputs!$B$4="Chapter Hunt"),CHOOSE(ArtifactsInput!$N$27+1,20,24,28,32,36,40),0)/100)))))/Skills!H3,1)))/Inputs!$B$43),G2568*Q2568))*IF(Inputs!$B$38="pvp",1,(1+(Inputs!$B$21+Skills!Q3+(IF(ArtifactsInput!$M$33,CHOOSE(ArtifactsInput!$N$33+1,30,36,42,48,54,60)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9">
      <c r="A2569">
        <f>Skills!A4</f>
        <v/>
      </c>
      <c r="B2569">
        <f>Skills!B4</f>
        <v/>
      </c>
      <c r="C2569">
        <f>Inputs!$B$3&gt;=40</f>
        <v/>
      </c>
      <c r="D2569">
        <f>IF(Skills!C4=1,60+Inputs!$B$25+Inputs!$B$29,IF(Skills!C4=2,90+Inputs!$B$26+Inputs!$B$29,IF(Skills!C4=3,120+Inputs!$B$27+Inputs!$B$29,MAX(0,(Inputs!$B$3-100)*3)+Inputs!$B$28+Inputs!$B$29)))</f>
        <v/>
      </c>
      <c r="E2569">
        <f>INDEX(FactorTable!$B$2:$Y$301, MATCH(ROUND(MIN(300,MAX(1,D2569)),0), FactorTable!$A$2:$A$301,0), Skills!M4+1)</f>
        <v/>
      </c>
      <c r="F2569">
        <f>IF(Skills!N4=TRUE,(Skills!L4/10)*(E2569/1000),Skills!L4/10)+Skills!O4</f>
        <v/>
      </c>
      <c r="G2569">
        <f>Skills!G4*IF(Skills!H4&gt;0,Skills!I4/Skills!H4,1)</f>
        <v/>
      </c>
      <c r="H2569">
        <f>1-(1-Skills!J4/100)^Skills!K4</f>
        <v/>
      </c>
      <c r="I2569" t="inlineStr">
        <is>
          <t>1</t>
        </is>
      </c>
      <c r="J2569">
        <f>((Inputs!$B$6*(1+Inputs!$B$7/100))+(((Inputs!$B$12*(1+Inputs!$B$13/100))-(Inputs!$B$12*(1+Inputs!$B$13/100)))+0.25*(Inputs!$B$14-Inputs!$B$14))*(1+Inputs!$B$7/100))*(F2569/100)</f>
        <v/>
      </c>
      <c r="K2569">
        <f>J2569*(1+((Inputs!$B$12*(1+Inputs!$B$13/100))*0.01+Inputs!$B$14*0.0025)/100)*(1+Inputs!$B$15/100)*(1+Inputs!$B$16/100)*(5000/(6000+Inputs!$B$42*(1-(100*(1-(1-(Inputs!$B$19+0)/100)*(1-CHOOSE(ArtifactsInput!$N$40+1,5,6,7,8,9,10)/100)^(ArtifactsInput!$M$40-ArtifactsInput!$M$40)))/100)))*(1+(Inputs!$B$24+((C2591=TRUE)*(F2591-Calc!F26))+B2601)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2581=TRUE,F2581,0)/100)*(1+(IF(Skills!A4="EIGHT_LEGS_EASTON",Inputs!$B$17+((C2588=TRUE)*(F2588-Calc!F23))+((C2592=TRUE)*(F2592-Calc!F27))+(((IF(AND(ArtifactsInput!$M$42,((Inputs!$B$9+((C2584=TRUE)*(F2584-Calc!F19))+B2595+(ArtifactsInput!$M$24-ArtifactsInput!$M$24)*CHOOSE(ArtifactsInput!$N$24+1,10,12,14,16,18,20)+IF(ArtifactsInput!$M$10,CHOOSE(ArtifactsInput!$N$10+1,15,18,21,24,27,30)*(IF(Inputs!$B$38="pvp",MIN(15,15)/15,IF(AND(Inputs!$B$38&lt;&gt;"pvp",Inputs!$B$43&gt;0),MIN(15,Inputs!$B$43)/(Inputs!$B$43),0))),0)))&gt;=100),MIN(100,((Inputs!$B$9+((C2584=TRUE)*(F2584-Calc!F19))+B2595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2584=TRUE)*(F2584-Calc!F19))+B2595+(ArtifactsInput!$M$24-ArtifactsInput!$M$24)*CHOOSE(ArtifactsInput!$N$24+1,10,12,14,16,18,20)+IF(ArtifactsInput!$M$10,CHOOSE(ArtifactsInput!$N$10+1,15,18,21,24,27,30)*(IF(Inputs!$B$38="pvp",MIN(15,15)/15,IF(AND(Inputs!$B$38&lt;&gt;"pvp",Inputs!$B$43&gt;0),MIN(15,Inputs!$B$43)/(Inputs!$B$43),0))),0)))&gt;=100),CHOOSE(ArtifactsInput!$N$42+1,40,48,56,64,72,80),0))))/100)*((1+(((C2582=TRUE)*F2582)+((C2589=TRUE)*(F2589-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2569)</f>
        <v/>
      </c>
      <c r="L2569">
        <f>K2569*(MIN(Inputs!$B$22+((C2587=TRUE)*(F2587-Calc!F22)),(Inputs!$B$23+0+(IF(ArtifactsInput!$M$15,CHOOSE(ArtifactsInput!$N$15+1,25,30,35,40,45,50)/100*(Inputs!$B$11-Inputs!$B$11),0))))/100+(Inputs!$B$23+0+(IF(ArtifactsInput!$M$15,CHOOSE(ArtifactsInput!$N$15+1,25,30,35,40,45,50)/100*(Inputs!$B$11-Inputs!$B$11),0)))/100)/2</f>
        <v/>
      </c>
      <c r="M2569">
        <f>L2569*(1+(Inputs!$B$10+((C2590=TRUE)*(F2590-Calc!F25))+B2600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9">
        <f>L2569*(1-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2569*(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9">
        <f>(1-Summary!$B$11)*T2569+Summary!$B$11*V2569</f>
        <v/>
      </c>
      <c r="P2569">
        <f>IF(B2605=0,0,O2569/B2605)</f>
        <v/>
      </c>
      <c r="Q2569">
        <f>IFERROR(1/(IF(Inputs!$B$38="pvp",15,MAX(0.1,Skills!D4-IF(Skills!E4=TRUE,Inputs!$B$32,0)))*(1-IF(AND(ArtifactsInput!$M$27,Inputs!$B$4="Chapter Hunt"),CHOOSE(ArtifactsInput!$N$27+1,20,24,28,32,36,40),0)/100)),0)</f>
        <v/>
      </c>
      <c r="R2569">
        <f>IF(AND(Inputs!$B$38&lt;&gt;"pvp",Inputs!$B$43&gt;0),IF(MAX(0,Inputs!$B$43-B2602)&lt;=0,0,(INT(MAX(0,Inputs!$B$43-B2602)/(IF(Inputs!$B$38="pvp",15,MAX(0.1,Skills!D4-IF(Skills!E4=TRUE,Inputs!$B$32,0)))*(1-IF(AND(ArtifactsInput!$M$27,Inputs!$B$4="Chapter Hunt"),CHOOSE(ArtifactsInput!$N$27+1,20,24,28,32,36,40),0)/100)))+1)),0)</f>
        <v/>
      </c>
      <c r="S2569">
        <f>IFERROR(O2569/N2569,0)</f>
        <v/>
      </c>
      <c r="T2569">
        <f>IF(C2569,(H2569*N2569*IF(AND(Inputs!$B$38&lt;&gt;"pvp",Inputs!$B$43&gt;0),((Skills!G4*((R2569-1)*IF(Skills!H4&gt;0,Skills!I4/Skills!H4,1)+IF(Skills!H4&gt;0,MIN(Skills!I4,MAX(0,MAX(0,Inputs!$B$43-B2602)-((R2569-1)*(IF(Inputs!$B$38="pvp",15,MAX(0.1,Skills!D4-IF(Skills!E4=TRUE,Inputs!$B$32,0)))*(1-IF(AND(ArtifactsInput!$M$27,Inputs!$B$4="Chapter Hunt"),CHOOSE(ArtifactsInput!$N$27+1,20,24,28,32,36,40),0)/100)))))/Skills!H4,1)))/Inputs!$B$43),G2569*Q2569)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2569*(1-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2569*(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2569*(1-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2569*(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9">
        <f>290*U2568/1000</f>
        <v/>
      </c>
      <c r="V2569">
        <f>IF(C2569,(H2569*N2569*IF(AND(Inputs!$B$38&lt;&gt;"pvp",Inputs!$B$43&gt;0),((Skills!G4*((R2569-1)*IF(Skills!H4&gt;0,Skills!I4/Skills!H4,1)+IF(Skills!H4&gt;0,MIN(Skills!I4,MAX(0,MAX(0,Inputs!$B$43-B2602)-((R2569-1)*(IF(Inputs!$B$38="pvp",15,MAX(0.1,Skills!D4-IF(Skills!E4=TRUE,Inputs!$B$32,0)))*(1-IF(AND(ArtifactsInput!$M$27,Inputs!$B$4="Chapter Hunt"),CHOOSE(ArtifactsInput!$N$27+1,20,24,28,32,36,40),0)/100)))))/Skills!H4,1)))/Inputs!$B$43),G2569*Q2569))*IF(Inputs!$B$38="pvp",1,(1+(Inputs!$B$21+Skills!Q4+(IF(ArtifactsInput!$M$33,CHOOSE(ArtifactsInput!$N$33+1,30,36,42,48,54,60)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0">
      <c r="A2570">
        <f>Skills!A5</f>
        <v/>
      </c>
      <c r="B2570">
        <f>Skills!B5</f>
        <v/>
      </c>
      <c r="C2570">
        <f>Inputs!$B$3&gt;=45</f>
        <v/>
      </c>
      <c r="D2570">
        <f>IF(Skills!C5=1,60+Inputs!$B$25+Inputs!$B$29,IF(Skills!C5=2,90+Inputs!$B$26+Inputs!$B$29,IF(Skills!C5=3,120+Inputs!$B$27+Inputs!$B$29,MAX(0,(Inputs!$B$3-100)*3)+Inputs!$B$28+Inputs!$B$29)))</f>
        <v/>
      </c>
      <c r="E2570">
        <f>INDEX(FactorTable!$B$2:$Y$301, MATCH(ROUND(MIN(300,MAX(1,D2570)),0), FactorTable!$A$2:$A$301,0), Skills!M5+1)</f>
        <v/>
      </c>
      <c r="F2570">
        <f>IF(Skills!N5=TRUE,(Skills!L5/10)*(E2570/1000),Skills!L5/10)+Skills!O5</f>
        <v/>
      </c>
      <c r="G2570">
        <f>Skills!G5*IF(Skills!H5&gt;0,Skills!I5/Skills!H5,1)</f>
        <v/>
      </c>
      <c r="H2570">
        <f>1-(1-Skills!J5/100)^Skills!K5</f>
        <v/>
      </c>
      <c r="I2570" t="inlineStr">
        <is>
          <t>1</t>
        </is>
      </c>
      <c r="J2570">
        <f>((Inputs!$B$6*(1+Inputs!$B$7/100))+(((Inputs!$B$12*(1+Inputs!$B$13/100))-(Inputs!$B$12*(1+Inputs!$B$13/100)))+0.25*(Inputs!$B$14-Inputs!$B$14))*(1+Inputs!$B$7/100))*(F2570/100)</f>
        <v/>
      </c>
      <c r="K2570">
        <f>J2570*(1+((Inputs!$B$12*(1+Inputs!$B$13/100))*0.01+Inputs!$B$14*0.0025)/100)*(1+Inputs!$B$15/100)*(1+Inputs!$B$16/100)*(5000/(6000+Inputs!$B$42*(1-(100*(1-(1-(Inputs!$B$19+0)/100)*(1-CHOOSE(ArtifactsInput!$N$40+1,5,6,7,8,9,10)/100)^(ArtifactsInput!$M$40-ArtifactsInput!$M$40)))/100)))*(1+(Inputs!$B$24+((C2591=TRUE)*(F2591-Calc!F26))+B2601)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2581=TRUE,F2581,0)/100)*(1+(IF(Skills!A5="EIGHT_LEGS_EASTON",Inputs!$B$17+((C2588=TRUE)*(F2588-Calc!F23))+((C2592=TRUE)*(F2592-Calc!F27))+(((IF(AND(ArtifactsInput!$M$42,((Inputs!$B$9+((C2584=TRUE)*(F2584-Calc!F19))+B2595+(ArtifactsInput!$M$24-ArtifactsInput!$M$24)*CHOOSE(ArtifactsInput!$N$24+1,10,12,14,16,18,20)+IF(ArtifactsInput!$M$10,CHOOSE(ArtifactsInput!$N$10+1,15,18,21,24,27,30)*(IF(Inputs!$B$38="pvp",MIN(15,15)/15,IF(AND(Inputs!$B$38&lt;&gt;"pvp",Inputs!$B$43&gt;0),MIN(15,Inputs!$B$43)/(Inputs!$B$43),0))),0)))&gt;=100),MIN(100,((Inputs!$B$9+((C2584=TRUE)*(F2584-Calc!F19))+B2595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2584=TRUE)*(F2584-Calc!F19))+B2595+(ArtifactsInput!$M$24-ArtifactsInput!$M$24)*CHOOSE(ArtifactsInput!$N$24+1,10,12,14,16,18,20)+IF(ArtifactsInput!$M$10,CHOOSE(ArtifactsInput!$N$10+1,15,18,21,24,27,30)*(IF(Inputs!$B$38="pvp",MIN(15,15)/15,IF(AND(Inputs!$B$38&lt;&gt;"pvp",Inputs!$B$43&gt;0),MIN(15,Inputs!$B$43)/(Inputs!$B$43),0))),0)))&gt;=100),CHOOSE(ArtifactsInput!$N$42+1,40,48,56,64,72,80),0))))/100)*((1+(((C2582=TRUE)*F2582)+((C2589=TRUE)*(F2589-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2570)</f>
        <v/>
      </c>
      <c r="L2570">
        <f>K2570*(MIN(Inputs!$B$22+((C2587=TRUE)*(F2587-Calc!F22)),(Inputs!$B$23+0+(IF(ArtifactsInput!$M$15,CHOOSE(ArtifactsInput!$N$15+1,25,30,35,40,45,50)/100*(Inputs!$B$11-Inputs!$B$11),0))))/100+(Inputs!$B$23+0+(IF(ArtifactsInput!$M$15,CHOOSE(ArtifactsInput!$N$15+1,25,30,35,40,45,50)/100*(Inputs!$B$11-Inputs!$B$11),0)))/100)/2</f>
        <v/>
      </c>
      <c r="M2570">
        <f>L2570*(1+(Inputs!$B$10+((C2590=TRUE)*(F2590-Calc!F25))+B2600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0">
        <f>L2570*(1-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2570*(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0">
        <f>(1-Summary!$B$11)*T2570+Summary!$B$11*V2570</f>
        <v/>
      </c>
      <c r="P2570">
        <f>IF(B2605=0,0,O2570/B2605)</f>
        <v/>
      </c>
      <c r="Q2570">
        <f>IFERROR(1/(IF(Inputs!$B$38="pvp",15,MAX(0.1,Skills!D5-IF(Skills!E5=TRUE,Inputs!$B$32,0)))*(1-IF(AND(ArtifactsInput!$M$27,Inputs!$B$4="Chapter Hunt"),CHOOSE(ArtifactsInput!$N$27+1,20,24,28,32,36,40),0)/100)),0)</f>
        <v/>
      </c>
      <c r="R2570">
        <f>IF(AND(Inputs!$B$38&lt;&gt;"pvp",Inputs!$B$43&gt;0),IF(MAX(0,Inputs!$B$43-B2602)&lt;=0,0,(INT(MAX(0,Inputs!$B$43-B2602)/(IF(Inputs!$B$38="pvp",15,MAX(0.1,Skills!D5-IF(Skills!E5=TRUE,Inputs!$B$32,0)))*(1-IF(AND(ArtifactsInput!$M$27,Inputs!$B$4="Chapter Hunt"),CHOOSE(ArtifactsInput!$N$27+1,20,24,28,32,36,40),0)/100)))+1)),0)</f>
        <v/>
      </c>
      <c r="S2570">
        <f>IFERROR(O2570/N2570,0)</f>
        <v/>
      </c>
      <c r="T2570">
        <f>IF(C2570,(H2570*N2570*IF(AND(Inputs!$B$38&lt;&gt;"pvp",Inputs!$B$43&gt;0),((Skills!G5*((R2570-1)*IF(Skills!H5&gt;0,Skills!I5/Skills!H5,1)+IF(Skills!H5&gt;0,MIN(Skills!I5,MAX(0,MAX(0,Inputs!$B$43-B2602)-((R2570-1)*(IF(Inputs!$B$38="pvp",15,MAX(0.1,Skills!D5-IF(Skills!E5=TRUE,Inputs!$B$32,0)))*(1-IF(AND(ArtifactsInput!$M$27,Inputs!$B$4="Chapter Hunt"),CHOOSE(ArtifactsInput!$N$27+1,20,24,28,32,36,40),0)/100)))))/Skills!H5,1)))/Inputs!$B$43),G2570*Q2570)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2570*(1-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2570*(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2570*(1-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2570*(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0">
        <f>IF(C2570,(H2570*N2570*IF(AND(Inputs!$B$38&lt;&gt;"pvp",Inputs!$B$43&gt;0),((Skills!G5*((R2570-1)*IF(Skills!H5&gt;0,Skills!I5/Skills!H5,1)+IF(Skills!H5&gt;0,MIN(Skills!I5,MAX(0,MAX(0,Inputs!$B$43-B2602)-((R2570-1)*(IF(Inputs!$B$38="pvp",15,MAX(0.1,Skills!D5-IF(Skills!E5=TRUE,Inputs!$B$32,0)))*(1-IF(AND(ArtifactsInput!$M$27,Inputs!$B$4="Chapter Hunt"),CHOOSE(ArtifactsInput!$N$27+1,20,24,28,32,36,40),0)/100)))))/Skills!H5,1)))/Inputs!$B$43),G2570*Q2570))*IF(Inputs!$B$38="pvp",1,(1+(Inputs!$B$21+Skills!Q5+(IF(ArtifactsInput!$M$33,CHOOSE(ArtifactsInput!$N$33+1,30,36,42,48,54,60)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1">
      <c r="A2571">
        <f>Skills!A6</f>
        <v/>
      </c>
      <c r="B2571">
        <f>Skills!B6</f>
        <v/>
      </c>
      <c r="C2571">
        <f>Inputs!$B$3&gt;=63</f>
        <v/>
      </c>
      <c r="D2571">
        <f>IF(Skills!C6=1,60+Inputs!$B$25+Inputs!$B$29,IF(Skills!C6=2,90+Inputs!$B$26+Inputs!$B$29,IF(Skills!C6=3,120+Inputs!$B$27+Inputs!$B$29,MAX(0,(Inputs!$B$3-100)*3)+Inputs!$B$28+Inputs!$B$29)))</f>
        <v/>
      </c>
      <c r="E2571">
        <f>INDEX(FactorTable!$B$2:$Y$301, MATCH(ROUND(MIN(300,MAX(1,D2571)),0), FactorTable!$A$2:$A$301,0), Skills!M6+1)</f>
        <v/>
      </c>
      <c r="F2571">
        <f>IF(Skills!N6=TRUE,(Skills!L6/10)*(E2571/1000),Skills!L6/10)+Skills!O6</f>
        <v/>
      </c>
      <c r="G2571">
        <f>Skills!G6*IF(Skills!H6&gt;0,Skills!I6/Skills!H6,1)</f>
        <v/>
      </c>
      <c r="H2571">
        <f>1-(1-Skills!J6/100)^Skills!K6</f>
        <v/>
      </c>
      <c r="I2571" t="inlineStr">
        <is>
          <t>1</t>
        </is>
      </c>
      <c r="J2571">
        <f>((Inputs!$B$6*(1+Inputs!$B$7/100))+(((Inputs!$B$12*(1+Inputs!$B$13/100))-(Inputs!$B$12*(1+Inputs!$B$13/100)))+0.25*(Inputs!$B$14-Inputs!$B$14))*(1+Inputs!$B$7/100))*(F2571/100)</f>
        <v/>
      </c>
      <c r="K2571">
        <f>J2571*(1+((Inputs!$B$12*(1+Inputs!$B$13/100))*0.01+Inputs!$B$14*0.0025)/100)*(1+Inputs!$B$15/100)*(1+Inputs!$B$16/100)*(5000/(6000+Inputs!$B$42*(1-(100*(1-(1-(Inputs!$B$19+0)/100)*(1-CHOOSE(ArtifactsInput!$N$40+1,5,6,7,8,9,10)/100)^(ArtifactsInput!$M$40-ArtifactsInput!$M$40)))/100)))*(1+(Inputs!$B$24+((C2591=TRUE)*(F2591-Calc!F26))+B2601)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2580=TRUE,F2580,0)/100)*(1+(IF(Skills!A6="EIGHT_LEGS_EASTON",Inputs!$B$17+((C2588=TRUE)*(F2588-Calc!F23))+((C2592=TRUE)*(F2592-Calc!F27))+(((IF(AND(ArtifactsInput!$M$42,((Inputs!$B$9+((C2584=TRUE)*(F2584-Calc!F19))+B2595+(ArtifactsInput!$M$24-ArtifactsInput!$M$24)*CHOOSE(ArtifactsInput!$N$24+1,10,12,14,16,18,20)+IF(ArtifactsInput!$M$10,CHOOSE(ArtifactsInput!$N$10+1,15,18,21,24,27,30)*(IF(Inputs!$B$38="pvp",MIN(15,15)/15,IF(AND(Inputs!$B$38&lt;&gt;"pvp",Inputs!$B$43&gt;0),MIN(15,Inputs!$B$43)/(Inputs!$B$43),0))),0)))&gt;=100),MIN(100,((Inputs!$B$9+((C2584=TRUE)*(F2584-Calc!F19))+B2595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2584=TRUE)*(F2584-Calc!F19))+B2595+(ArtifactsInput!$M$24-ArtifactsInput!$M$24)*CHOOSE(ArtifactsInput!$N$24+1,10,12,14,16,18,20)+IF(ArtifactsInput!$M$10,CHOOSE(ArtifactsInput!$N$10+1,15,18,21,24,27,30)*(IF(Inputs!$B$38="pvp",MIN(15,15)/15,IF(AND(Inputs!$B$38&lt;&gt;"pvp",Inputs!$B$43&gt;0),MIN(15,Inputs!$B$43)/(Inputs!$B$43),0))),0)))&gt;=100),CHOOSE(ArtifactsInput!$N$42+1,40,48,56,64,72,80),0))))/100)*((1+(((C2582=TRUE)*F2582)+((C2589=TRUE)*(F2589-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2571)</f>
        <v/>
      </c>
      <c r="L2571">
        <f>K2571*(MIN(Inputs!$B$22+((C2587=TRUE)*(F2587-Calc!F22)),(Inputs!$B$23+0+(IF(ArtifactsInput!$M$15,CHOOSE(ArtifactsInput!$N$15+1,25,30,35,40,45,50)/100*(Inputs!$B$11-Inputs!$B$11),0))))/100+(Inputs!$B$23+0+(IF(ArtifactsInput!$M$15,CHOOSE(ArtifactsInput!$N$15+1,25,30,35,40,45,50)/100*(Inputs!$B$11-Inputs!$B$11),0)))/100)/2</f>
        <v/>
      </c>
      <c r="M2571">
        <f>L2571*(1+(Inputs!$B$10+((C2590=TRUE)*(F2590-Calc!F25))+B2600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1">
        <f>L2571*(1-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2571*(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1">
        <f>(1-Summary!$B$11)*T2571+Summary!$B$11*V2571</f>
        <v/>
      </c>
      <c r="P2571">
        <f>IF(B2605=0,0,O2571/B2605)</f>
        <v/>
      </c>
      <c r="Q2571">
        <f>IFERROR(1/(IF(Inputs!$B$38="pvp",15,MAX(0.1,Skills!D6-IF(Skills!E6=TRUE,Inputs!$B$32,0)))*(1-IF(AND(ArtifactsInput!$M$27,Inputs!$B$4="Chapter Hunt"),CHOOSE(ArtifactsInput!$N$27+1,20,24,28,32,36,40),0)/100)),0)</f>
        <v/>
      </c>
      <c r="R2571">
        <f>IF(AND(Inputs!$B$38&lt;&gt;"pvp",Inputs!$B$43&gt;0),IF(MAX(0,Inputs!$B$43-B2602)&lt;=0,0,(INT(MAX(0,Inputs!$B$43-B2602)/(IF(Inputs!$B$38="pvp",15,MAX(0.1,Skills!D6-IF(Skills!E6=TRUE,Inputs!$B$32,0)))*(1-IF(AND(ArtifactsInput!$M$27,Inputs!$B$4="Chapter Hunt"),CHOOSE(ArtifactsInput!$N$27+1,20,24,28,32,36,40),0)/100)))+1)),0)</f>
        <v/>
      </c>
      <c r="S2571">
        <f>IFERROR(O2571/N2571,0)</f>
        <v/>
      </c>
      <c r="T2571">
        <f>IF(C2571,(H2571*N2571*IF(AND(Inputs!$B$38&lt;&gt;"pvp",Inputs!$B$43&gt;0),((Skills!G6*((R2571-1)*IF(Skills!H6&gt;0,Skills!I6/Skills!H6,1)+IF(Skills!H6&gt;0,MIN(Skills!I6,MAX(0,MAX(0,Inputs!$B$43-B2602)-((R2571-1)*(IF(Inputs!$B$38="pvp",15,MAX(0.1,Skills!D6-IF(Skills!E6=TRUE,Inputs!$B$32,0)))*(1-IF(AND(ArtifactsInput!$M$27,Inputs!$B$4="Chapter Hunt"),CHOOSE(ArtifactsInput!$N$27+1,20,24,28,32,36,40),0)/100)))))/Skills!H6,1)))/Inputs!$B$43),G2571*Q2571)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2571*(1-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2571*(1-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1">
        <f>IF(C2571,(H2571*N2571*IF(AND(Inputs!$B$38&lt;&gt;"pvp",Inputs!$B$43&gt;0),((Skills!G6*((R2571-1)*IF(Skills!H6&gt;0,Skills!I6/Skills!H6,1)+IF(Skills!H6&gt;0,MIN(Skills!I6,MAX(0,MAX(0,Inputs!$B$43-B2602)-((R2571-1)*(IF(Inputs!$B$38="pvp",15,MAX(0.1,Skills!D6-IF(Skills!E6=TRUE,Inputs!$B$32,0)))*(1-IF(AND(ArtifactsInput!$M$27,Inputs!$B$4="Chapter Hunt"),CHOOSE(ArtifactsInput!$N$27+1,20,24,28,32,36,40),0)/100)))))/Skills!H6,1)))/Inputs!$B$43),G2571*Q2571))*IF(Inputs!$B$38="pvp",1,(1+(Inputs!$B$21+Skills!Q6+(IF(ArtifactsInput!$M$33,CHOOSE(ArtifactsInput!$N$33+1,30,36,42,48,54,60)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2">
      <c r="A2572">
        <f>Skills!A7</f>
        <v/>
      </c>
      <c r="B2572">
        <f>Skills!B7</f>
        <v/>
      </c>
      <c r="C2572">
        <f>Inputs!$B$3&gt;=66</f>
        <v/>
      </c>
      <c r="D2572">
        <f>IF(Skills!C7=1,60+Inputs!$B$25+Inputs!$B$29,IF(Skills!C7=2,90+Inputs!$B$26+Inputs!$B$29,IF(Skills!C7=3,120+Inputs!$B$27+Inputs!$B$29,MAX(0,(Inputs!$B$3-100)*3)+Inputs!$B$28+Inputs!$B$29)))</f>
        <v/>
      </c>
      <c r="E2572">
        <f>INDEX(FactorTable!$B$2:$Y$301, MATCH(ROUND(MIN(300,MAX(1,D2572)),0), FactorTable!$A$2:$A$301,0), Skills!M7+1)</f>
        <v/>
      </c>
      <c r="F2572">
        <f>IF(Skills!N7=TRUE,(Skills!L7/10)*(E2572/1000),Skills!L7/10)+Skills!O7</f>
        <v/>
      </c>
      <c r="G2572">
        <f>Skills!G7*IF(Skills!H7&gt;0,Skills!I7/Skills!H7,1)</f>
        <v/>
      </c>
      <c r="H2572">
        <f>1-(1-Skills!J7/100)^Skills!K7</f>
        <v/>
      </c>
      <c r="I2572" t="inlineStr">
        <is>
          <t>1</t>
        </is>
      </c>
      <c r="J2572">
        <f>((Inputs!$B$6*(1+Inputs!$B$7/100))+(((Inputs!$B$12*(1+Inputs!$B$13/100))-(Inputs!$B$12*(1+Inputs!$B$13/100)))+0.25*(Inputs!$B$14-Inputs!$B$14))*(1+Inputs!$B$7/100))*(F2572/100)</f>
        <v/>
      </c>
      <c r="K2572">
        <f>J2572*(1+((Inputs!$B$12*(1+Inputs!$B$13/100))*0.01+Inputs!$B$14*0.0025)/100)*(1+Inputs!$B$15/100)*(1+Inputs!$B$16/100)*(5000/(6000+Inputs!$B$42*(1-(100*(1-(1-(Inputs!$B$19+0)/100)*(1-CHOOSE(ArtifactsInput!$N$40+1,5,6,7,8,9,10)/100)^(ArtifactsInput!$M$40-ArtifactsInput!$M$40)))/100)))*(1+(Inputs!$B$24+((C2591=TRUE)*(F2591-Calc!F26))+B2601)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2580=TRUE,F2580,0)/100)*(1+(IF(Skills!A7="EIGHT_LEGS_EASTON",Inputs!$B$17+((C2588=TRUE)*(F2588-Calc!F23))+((C2592=TRUE)*(F2592-Calc!F27))+(((IF(AND(ArtifactsInput!$M$42,((Inputs!$B$9+((C2584=TRUE)*(F2584-Calc!F19))+B2595+(ArtifactsInput!$M$24-ArtifactsInput!$M$24)*CHOOSE(ArtifactsInput!$N$24+1,10,12,14,16,18,20)+IF(ArtifactsInput!$M$10,CHOOSE(ArtifactsInput!$N$10+1,15,18,21,24,27,30)*(IF(Inputs!$B$38="pvp",MIN(15,15)/15,IF(AND(Inputs!$B$38&lt;&gt;"pvp",Inputs!$B$43&gt;0),MIN(15,Inputs!$B$43)/(Inputs!$B$43),0))),0)))&gt;=100),MIN(100,((Inputs!$B$9+((C2584=TRUE)*(F2584-Calc!F19))+B2595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2584=TRUE)*(F2584-Calc!F19))+B2595+(ArtifactsInput!$M$24-ArtifactsInput!$M$24)*CHOOSE(ArtifactsInput!$N$24+1,10,12,14,16,18,20)+IF(ArtifactsInput!$M$10,CHOOSE(ArtifactsInput!$N$10+1,15,18,21,24,27,30)*(IF(Inputs!$B$38="pvp",MIN(15,15)/15,IF(AND(Inputs!$B$38&lt;&gt;"pvp",Inputs!$B$43&gt;0),MIN(15,Inputs!$B$43)/(Inputs!$B$43),0))),0)))&gt;=100),CHOOSE(ArtifactsInput!$N$42+1,40,48,56,64,72,80),0))))/100)*((1+(((C2582=TRUE)*F2582)+((C2589=TRUE)*(F2589-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2572)</f>
        <v/>
      </c>
      <c r="L2572">
        <f>K2572*(MIN(Inputs!$B$22+((C2587=TRUE)*(F2587-Calc!F22)),(Inputs!$B$23+0+(IF(ArtifactsInput!$M$15,CHOOSE(ArtifactsInput!$N$15+1,25,30,35,40,45,50)/100*(Inputs!$B$11-Inputs!$B$11),0))))/100+(Inputs!$B$23+0+(IF(ArtifactsInput!$M$15,CHOOSE(ArtifactsInput!$N$15+1,25,30,35,40,45,50)/100*(Inputs!$B$11-Inputs!$B$11),0)))/100)/2</f>
        <v/>
      </c>
      <c r="M2572">
        <f>L2572*(1+(Inputs!$B$10+((C2590=TRUE)*(F2590-Calc!F25))+B2600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2">
        <f>L2572*(1-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2572*(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2">
        <f>(1-Summary!$B$11)*T2572+Summary!$B$11*V2572</f>
        <v/>
      </c>
      <c r="P2572">
        <f>IF(B2605=0,0,O2572/B2605)</f>
        <v/>
      </c>
      <c r="Q2572">
        <f>IFERROR(1/(IF(Inputs!$B$38="pvp",15,MAX(0.1,Skills!D7-IF(Skills!E7=TRUE,Inputs!$B$32,0)))*(1-IF(AND(ArtifactsInput!$M$27,Inputs!$B$4="Chapter Hunt"),CHOOSE(ArtifactsInput!$N$27+1,20,24,28,32,36,40),0)/100)),0)</f>
        <v/>
      </c>
      <c r="R2572">
        <f>IF(AND(Inputs!$B$38&lt;&gt;"pvp",Inputs!$B$43&gt;0),IF(MAX(0,Inputs!$B$43-B2602)&lt;=0,0,(INT(MAX(0,Inputs!$B$43-B2602)/(IF(Inputs!$B$38="pvp",15,MAX(0.1,Skills!D7-IF(Skills!E7=TRUE,Inputs!$B$32,0)))*(1-IF(AND(ArtifactsInput!$M$27,Inputs!$B$4="Chapter Hunt"),CHOOSE(ArtifactsInput!$N$27+1,20,24,28,32,36,40),0)/100)))+1)),0)</f>
        <v/>
      </c>
      <c r="S2572">
        <f>IFERROR(O2572/N2572,0)</f>
        <v/>
      </c>
      <c r="T2572">
        <f>IF(C2572,(H2572*N2572*IF(AND(Inputs!$B$38&lt;&gt;"pvp",Inputs!$B$43&gt;0),((Skills!G7*((R2572-1)*IF(Skills!H7&gt;0,Skills!I7/Skills!H7,1)+IF(Skills!H7&gt;0,MIN(Skills!I7,MAX(0,MAX(0,Inputs!$B$43-B2602)-((R2572-1)*(IF(Inputs!$B$38="pvp",15,MAX(0.1,Skills!D7-IF(Skills!E7=TRUE,Inputs!$B$32,0)))*(1-IF(AND(ArtifactsInput!$M$27,Inputs!$B$4="Chapter Hunt"),CHOOSE(ArtifactsInput!$N$27+1,20,24,28,32,36,40),0)/100)))))/Skills!H7,1)))/Inputs!$B$43),G2572*Q2572)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2572*(1-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2572*(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2572*(1-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2572*(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2">
        <f>IF(C2572,(H2572*N2572*IF(AND(Inputs!$B$38&lt;&gt;"pvp",Inputs!$B$43&gt;0),((Skills!G7*((R2572-1)*IF(Skills!H7&gt;0,Skills!I7/Skills!H7,1)+IF(Skills!H7&gt;0,MIN(Skills!I7,MAX(0,MAX(0,Inputs!$B$43-B2602)-((R2572-1)*(IF(Inputs!$B$38="pvp",15,MAX(0.1,Skills!D7-IF(Skills!E7=TRUE,Inputs!$B$32,0)))*(1-IF(AND(ArtifactsInput!$M$27,Inputs!$B$4="Chapter Hunt"),CHOOSE(ArtifactsInput!$N$27+1,20,24,28,32,36,40),0)/100)))))/Skills!H7,1)))/Inputs!$B$43),G2572*Q2572))*IF(Inputs!$B$38="pvp",1,(1+(Inputs!$B$21+Skills!Q7+(IF(ArtifactsInput!$M$33,CHOOSE(ArtifactsInput!$N$33+1,30,36,42,48,54,60)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3">
      <c r="A2573">
        <f>Skills!A8</f>
        <v/>
      </c>
      <c r="B2573">
        <f>Skills!B8</f>
        <v/>
      </c>
      <c r="C2573">
        <f>Inputs!$B$3&gt;=100</f>
        <v/>
      </c>
      <c r="D2573">
        <f>IF(Skills!C8=1,60+Inputs!$B$25+Inputs!$B$29,IF(Skills!C8=2,90+Inputs!$B$26+Inputs!$B$29,IF(Skills!C8=3,120+Inputs!$B$27+Inputs!$B$29,MAX(0,(Inputs!$B$3-100)*3)+Inputs!$B$28+Inputs!$B$29)))</f>
        <v/>
      </c>
      <c r="E2573">
        <f>INDEX(FactorTable!$B$2:$Y$301, MATCH(ROUND(MIN(300,MAX(1,D2573)),0), FactorTable!$A$2:$A$301,0), Skills!M8+1)</f>
        <v/>
      </c>
      <c r="F2573">
        <f>IF(Skills!N8=TRUE,(Skills!L8/10)*(E2573/1000),Skills!L8/10)+Skills!O8</f>
        <v/>
      </c>
      <c r="G2573">
        <f>Skills!G8*IF(Skills!H8&gt;0,Skills!I8/Skills!H8,1)</f>
        <v/>
      </c>
      <c r="H2573">
        <f>1-(1-Skills!J8/100)^Skills!K8</f>
        <v/>
      </c>
      <c r="I2573" t="inlineStr">
        <is>
          <t>1</t>
        </is>
      </c>
      <c r="J2573">
        <f>((Inputs!$B$6*(1+Inputs!$B$7/100))+(((Inputs!$B$12*(1+Inputs!$B$13/100))-(Inputs!$B$12*(1+Inputs!$B$13/100)))+0.25*(Inputs!$B$14-Inputs!$B$14))*(1+Inputs!$B$7/100))*(F2573/100)</f>
        <v/>
      </c>
      <c r="K2573">
        <f>J2573*(1+((Inputs!$B$12*(1+Inputs!$B$13/100))*0.01+Inputs!$B$14*0.0025)/100)*(1+Inputs!$B$15/100)*(1+Inputs!$B$16/100)*(5000/(6000+Inputs!$B$42*(1-(100*(1-(1-(Inputs!$B$19+0)/100)*(1-CHOOSE(ArtifactsInput!$N$40+1,5,6,7,8,9,10)/100)^(ArtifactsInput!$M$40-ArtifactsInput!$M$40)))/100)))*(1+(Inputs!$B$24+((C2591=TRUE)*(F2591-Calc!F26))+B2601)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2588=TRUE)*(F2588-Calc!F23))+((C2592=TRUE)*(F2592-Calc!F27))+(((IF(AND(ArtifactsInput!$M$42,((Inputs!$B$9+((C2584=TRUE)*(F2584-Calc!F19))+B2595+(ArtifactsInput!$M$24-ArtifactsInput!$M$24)*CHOOSE(ArtifactsInput!$N$24+1,10,12,14,16,18,20)+IF(ArtifactsInput!$M$10,CHOOSE(ArtifactsInput!$N$10+1,15,18,21,24,27,30)*(IF(Inputs!$B$38="pvp",MIN(15,15)/15,IF(AND(Inputs!$B$38&lt;&gt;"pvp",Inputs!$B$43&gt;0),MIN(15,Inputs!$B$43)/(Inputs!$B$43),0))),0)))&gt;=100),MIN(100,((Inputs!$B$9+((C2584=TRUE)*(F2584-Calc!F19))+B2595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2584=TRUE)*(F2584-Calc!F19))+B2595+(ArtifactsInput!$M$24-ArtifactsInput!$M$24)*CHOOSE(ArtifactsInput!$N$24+1,10,12,14,16,18,20)+IF(ArtifactsInput!$M$10,CHOOSE(ArtifactsInput!$N$10+1,15,18,21,24,27,30)*(IF(Inputs!$B$38="pvp",MIN(15,15)/15,IF(AND(Inputs!$B$38&lt;&gt;"pvp",Inputs!$B$43&gt;0),MIN(15,Inputs!$B$43)/(Inputs!$B$43),0))),0)))&gt;=100),CHOOSE(ArtifactsInput!$N$42+1,40,48,56,64,72,80),0))))/100)*((1+(((C2582=TRUE)*F2582)+((C2589=TRUE)*(F2589-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2573)</f>
        <v/>
      </c>
      <c r="L2573">
        <f>K2573*(MIN(Inputs!$B$22+((C2587=TRUE)*(F2587-Calc!F22)),(Inputs!$B$23+0+(IF(ArtifactsInput!$M$15,CHOOSE(ArtifactsInput!$N$15+1,25,30,35,40,45,50)/100*(Inputs!$B$11-Inputs!$B$11),0))))/100+(Inputs!$B$23+0+(IF(ArtifactsInput!$M$15,CHOOSE(ArtifactsInput!$N$15+1,25,30,35,40,45,50)/100*(Inputs!$B$11-Inputs!$B$11),0)))/100)/2</f>
        <v/>
      </c>
      <c r="M2573">
        <f>L2573*(1+(Inputs!$B$10+((C2590=TRUE)*(F2590-Calc!F25))+B2600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3">
        <f>L2573*(1-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2573*(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3">
        <f>(1-Summary!$B$11)*T2573+Summary!$B$11*V2573</f>
        <v/>
      </c>
      <c r="P2573">
        <f>IF(B2605=0,0,O2573/B2605)</f>
        <v/>
      </c>
      <c r="Q2573">
        <f>IFERROR(1/(IF(Inputs!$B$38="pvp",15,MAX(0.1,Skills!D8-IF(Skills!E8=TRUE,Inputs!$B$32,0)))*(1-IF(AND(ArtifactsInput!$M$27,Inputs!$B$4="Chapter Hunt"),CHOOSE(ArtifactsInput!$N$27+1,20,24,28,32,36,40),0)/100)),0)</f>
        <v/>
      </c>
      <c r="R2573">
        <f>IF(AND(Inputs!$B$38&lt;&gt;"pvp",Inputs!$B$43&gt;0),IF(MAX(0,Inputs!$B$43-B2602)&lt;=0,0,(INT(MAX(0,Inputs!$B$43-B2602)/(IF(Inputs!$B$38="pvp",15,MAX(0.1,Skills!D8-IF(Skills!E8=TRUE,Inputs!$B$32,0)))*(1-IF(AND(ArtifactsInput!$M$27,Inputs!$B$4="Chapter Hunt"),CHOOSE(ArtifactsInput!$N$27+1,20,24,28,32,36,40),0)/100)))+1)),0)</f>
        <v/>
      </c>
      <c r="S2573">
        <f>IFERROR(O2573/N2573,0)</f>
        <v/>
      </c>
      <c r="T2573">
        <f>IF(C2573,(H2573*N2573*IF(AND(Inputs!$B$38&lt;&gt;"pvp",Inputs!$B$43&gt;0),((Skills!G8*((R2573-1)*IF(Skills!H8&gt;0,Skills!I8/Skills!H8,1)+IF(Skills!H8&gt;0,MIN(Skills!I8,MAX(0,MAX(0,Inputs!$B$43-B2602)-((R2573-1)*(IF(Inputs!$B$38="pvp",15,MAX(0.1,Skills!D8-IF(Skills!E8=TRUE,Inputs!$B$32,0)))*(1-IF(AND(ArtifactsInput!$M$27,Inputs!$B$4="Chapter Hunt"),CHOOSE(ArtifactsInput!$N$27+1,20,24,28,32,36,40),0)/100)))))/Skills!H8,1)))/Inputs!$B$43),G2573*Q2573)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2573*(1-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2573*(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2573*(1-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2573*(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3">
        <f>IF(C2573,(H2573*N2573*IF(AND(Inputs!$B$38&lt;&gt;"pvp",Inputs!$B$43&gt;0),((Skills!G8*((R2573-1)*IF(Skills!H8&gt;0,Skills!I8/Skills!H8,1)+IF(Skills!H8&gt;0,MIN(Skills!I8,MAX(0,MAX(0,Inputs!$B$43-B2602)-((R2573-1)*(IF(Inputs!$B$38="pvp",15,MAX(0.1,Skills!D8-IF(Skills!E8=TRUE,Inputs!$B$32,0)))*(1-IF(AND(ArtifactsInput!$M$27,Inputs!$B$4="Chapter Hunt"),CHOOSE(ArtifactsInput!$N$27+1,20,24,28,32,36,40),0)/100)))))/Skills!H8,1)))/Inputs!$B$43),G2573*Q2573))*IF(Inputs!$B$38="pvp",1,(1+(Inputs!$B$21+Skills!Q8+(IF(ArtifactsInput!$M$33,CHOOSE(ArtifactsInput!$N$33+1,30,36,42,48,54,60)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4">
      <c r="A2574">
        <f>Skills!A9</f>
        <v/>
      </c>
      <c r="B2574">
        <f>Skills!B9</f>
        <v/>
      </c>
      <c r="C2574">
        <f>Inputs!$B$3&gt;=103</f>
        <v/>
      </c>
      <c r="D2574">
        <f>IF(Skills!C9=1,60+Inputs!$B$25+Inputs!$B$29,IF(Skills!C9=2,90+Inputs!$B$26+Inputs!$B$29,IF(Skills!C9=3,120+Inputs!$B$27+Inputs!$B$29,MAX(0,(Inputs!$B$3-100)*3)+Inputs!$B$28+Inputs!$B$29)))</f>
        <v/>
      </c>
      <c r="E2574">
        <f>INDEX(FactorTable!$B$2:$Y$301, MATCH(ROUND(MIN(300,MAX(1,D2574)),0), FactorTable!$A$2:$A$301,0), Skills!M9+1)</f>
        <v/>
      </c>
      <c r="F2574">
        <f>IF(Skills!N9=TRUE,(Skills!L9/10)*(E2574/1000),Skills!L9/10)+Skills!O9</f>
        <v/>
      </c>
      <c r="G2574">
        <f>Skills!G9*IF(Skills!H9&gt;0,Skills!I9/Skills!H9,1)</f>
        <v/>
      </c>
      <c r="H2574">
        <f>1-(1-Skills!J9/100)^Skills!K9</f>
        <v/>
      </c>
      <c r="I2574" t="inlineStr">
        <is>
          <t>1</t>
        </is>
      </c>
      <c r="J2574">
        <f>((Inputs!$B$6*(1+Inputs!$B$7/100))+(((Inputs!$B$12*(1+Inputs!$B$13/100))-(Inputs!$B$12*(1+Inputs!$B$13/100)))+0.25*(Inputs!$B$14-Inputs!$B$14))*(1+Inputs!$B$7/100))*(F2574/100)</f>
        <v/>
      </c>
      <c r="K2574">
        <f>J2574*(1+((Inputs!$B$12*(1+Inputs!$B$13/100))*0.01+Inputs!$B$14*0.0025)/100)*(1+Inputs!$B$15/100)*(1+Inputs!$B$16/100)*(5000/(6000+Inputs!$B$42*(1-(100*(1-(1-(Inputs!$B$19+0)/100)*(1-CHOOSE(ArtifactsInput!$N$40+1,5,6,7,8,9,10)/100)^(ArtifactsInput!$M$40-ArtifactsInput!$M$40)))/100)))*(1+(Inputs!$B$24+((C2591=TRUE)*(F2591-Calc!F26))+B2601)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2588=TRUE)*(F2588-Calc!F23))+((C2592=TRUE)*(F2592-Calc!F27))+(((IF(AND(ArtifactsInput!$M$42,((Inputs!$B$9+((C2584=TRUE)*(F2584-Calc!F19))+B2595+(ArtifactsInput!$M$24-ArtifactsInput!$M$24)*CHOOSE(ArtifactsInput!$N$24+1,10,12,14,16,18,20)+IF(ArtifactsInput!$M$10,CHOOSE(ArtifactsInput!$N$10+1,15,18,21,24,27,30)*(IF(Inputs!$B$38="pvp",MIN(15,15)/15,IF(AND(Inputs!$B$38&lt;&gt;"pvp",Inputs!$B$43&gt;0),MIN(15,Inputs!$B$43)/(Inputs!$B$43),0))),0)))&gt;=100),MIN(100,((Inputs!$B$9+((C2584=TRUE)*(F2584-Calc!F19))+B2595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2584=TRUE)*(F2584-Calc!F19))+B2595+(ArtifactsInput!$M$24-ArtifactsInput!$M$24)*CHOOSE(ArtifactsInput!$N$24+1,10,12,14,16,18,20)+IF(ArtifactsInput!$M$10,CHOOSE(ArtifactsInput!$N$10+1,15,18,21,24,27,30)*(IF(Inputs!$B$38="pvp",MIN(15,15)/15,IF(AND(Inputs!$B$38&lt;&gt;"pvp",Inputs!$B$43&gt;0),MIN(15,Inputs!$B$43)/(Inputs!$B$43),0))),0)))&gt;=100),CHOOSE(ArtifactsInput!$N$42+1,40,48,56,64,72,80),0))))/100)*((1+(((C2582=TRUE)*F2582)+((C2589=TRUE)*(F2589-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2574)</f>
        <v/>
      </c>
      <c r="L2574">
        <f>K2574*(MIN(Inputs!$B$22+((C2587=TRUE)*(F2587-Calc!F22)),(Inputs!$B$23+0+(IF(ArtifactsInput!$M$15,CHOOSE(ArtifactsInput!$N$15+1,25,30,35,40,45,50)/100*(Inputs!$B$11-Inputs!$B$11),0))))/100+(Inputs!$B$23+0+(IF(ArtifactsInput!$M$15,CHOOSE(ArtifactsInput!$N$15+1,25,30,35,40,45,50)/100*(Inputs!$B$11-Inputs!$B$11),0)))/100)/2</f>
        <v/>
      </c>
      <c r="M2574">
        <f>L2574*(1+(Inputs!$B$10+((C2590=TRUE)*(F2590-Calc!F25))+B2600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4">
        <f>L2574*(1-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2574*(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4">
        <f>(1-Summary!$B$11)*T2574+Summary!$B$11*V2574</f>
        <v/>
      </c>
      <c r="P2574">
        <f>IF(B2605=0,0,O2574/B2605)</f>
        <v/>
      </c>
      <c r="Q2574">
        <f>IFERROR(1/(IF(Inputs!$B$38="pvp",15,MAX(0.1,Skills!D9-IF(Skills!E9=TRUE,Inputs!$B$32,0)))*(1-IF(AND(ArtifactsInput!$M$27,Inputs!$B$4="Chapter Hunt"),CHOOSE(ArtifactsInput!$N$27+1,20,24,28,32,36,40),0)/100)),0)</f>
        <v/>
      </c>
      <c r="R2574">
        <f>IF(AND(Inputs!$B$38&lt;&gt;"pvp",Inputs!$B$43&gt;0),IF(MAX(0,Inputs!$B$43-B2602)&lt;=0,0,(INT(MAX(0,Inputs!$B$43-B2602)/(IF(Inputs!$B$38="pvp",15,MAX(0.1,Skills!D9-IF(Skills!E9=TRUE,Inputs!$B$32,0)))*(1-IF(AND(ArtifactsInput!$M$27,Inputs!$B$4="Chapter Hunt"),CHOOSE(ArtifactsInput!$N$27+1,20,24,28,32,36,40),0)/100)))+1)),0)</f>
        <v/>
      </c>
      <c r="S2574">
        <f>IFERROR(O2574/N2574,0)</f>
        <v/>
      </c>
      <c r="T2574">
        <f>IF(C2574,(H2574*N2574*IF(AND(Inputs!$B$38&lt;&gt;"pvp",Inputs!$B$43&gt;0),((Skills!G9*((R2574-1)*IF(Skills!H9&gt;0,Skills!I9/Skills!H9,1)+IF(Skills!H9&gt;0,MIN(Skills!I9,MAX(0,MAX(0,Inputs!$B$43-B2602)-((R2574-1)*(IF(Inputs!$B$38="pvp",15,MAX(0.1,Skills!D9-IF(Skills!E9=TRUE,Inputs!$B$32,0)))*(1-IF(AND(ArtifactsInput!$M$27,Inputs!$B$4="Chapter Hunt"),CHOOSE(ArtifactsInput!$N$27+1,20,24,28,32,36,40),0)/100)))))/Skills!H9,1)))/Inputs!$B$43),G2574*Q2574)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2574*(1-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2574*(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2574*(1-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2574*(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4">
        <f>IF(C2574,(H2574*N2574*IF(AND(Inputs!$B$38&lt;&gt;"pvp",Inputs!$B$43&gt;0),((Skills!G9*((R2574-1)*IF(Skills!H9&gt;0,Skills!I9/Skills!H9,1)+IF(Skills!H9&gt;0,MIN(Skills!I9,MAX(0,MAX(0,Inputs!$B$43-B2602)-((R2574-1)*(IF(Inputs!$B$38="pvp",15,MAX(0.1,Skills!D9-IF(Skills!E9=TRUE,Inputs!$B$32,0)))*(1-IF(AND(ArtifactsInput!$M$27,Inputs!$B$4="Chapter Hunt"),CHOOSE(ArtifactsInput!$N$27+1,20,24,28,32,36,40),0)/100)))))/Skills!H9,1)))/Inputs!$B$43),G2574*Q2574))*IF(Inputs!$B$38="pvp",1,(1+(Inputs!$B$21+Skills!Q9+(IF(ArtifactsInput!$M$33,CHOOSE(ArtifactsInput!$N$33+1,30,36,42,48,54,60)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5">
      <c r="A2575">
        <f>Skills!A10</f>
        <v/>
      </c>
      <c r="B2575">
        <f>Skills!B10</f>
        <v/>
      </c>
      <c r="C2575">
        <f>Inputs!$B$3&gt;=113</f>
        <v/>
      </c>
      <c r="D2575">
        <f>IF(Skills!C10=1,60+Inputs!$B$25+Inputs!$B$29,IF(Skills!C10=2,90+Inputs!$B$26+Inputs!$B$29,IF(Skills!C10=3,120+Inputs!$B$27+Inputs!$B$29,MAX(0,(Inputs!$B$3-100)*3)+Inputs!$B$28+Inputs!$B$29)))</f>
        <v/>
      </c>
      <c r="E2575">
        <f>INDEX(FactorTable!$B$2:$Y$301, MATCH(ROUND(MIN(300,MAX(1,D2575)),0), FactorTable!$A$2:$A$301,0), Skills!M10+1)</f>
        <v/>
      </c>
      <c r="F2575">
        <f>IF(Skills!N10=TRUE,(Skills!L10/10)*(E2575/1000),Skills!L10/10)+Skills!O10</f>
        <v/>
      </c>
      <c r="G2575">
        <f>Skills!G10*IF(Skills!H10&gt;0,Skills!I10/Skills!H10,1)</f>
        <v/>
      </c>
      <c r="H2575">
        <f>1-(1-Skills!J10/100)^Skills!K10</f>
        <v/>
      </c>
      <c r="I2575" t="inlineStr">
        <is>
          <t>1</t>
        </is>
      </c>
      <c r="J2575">
        <f>((Inputs!$B$6*(1+Inputs!$B$7/100))+(((Inputs!$B$12*(1+Inputs!$B$13/100))-(Inputs!$B$12*(1+Inputs!$B$13/100)))+0.25*(Inputs!$B$14-Inputs!$B$14))*(1+Inputs!$B$7/100))*(F2575/100)</f>
        <v/>
      </c>
      <c r="K2575">
        <f>J2575*(1+((Inputs!$B$12*(1+Inputs!$B$13/100))*0.01+Inputs!$B$14*0.0025)/100)*(1+Inputs!$B$15/100)*(1+Inputs!$B$16/100)*(5000/(6000+Inputs!$B$42*(1-(100*(1-(1-(Inputs!$B$19+0)/100)*(1-CHOOSE(ArtifactsInput!$N$40+1,5,6,7,8,9,10)/100)^(ArtifactsInput!$M$40-ArtifactsInput!$M$40)))/100)))*(1+(Inputs!$B$24+((C2591=TRUE)*(F2591-Calc!F26))+B2601)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2588=TRUE)*(F2588-Calc!F23))+((C2592=TRUE)*(F2592-Calc!F27))+(((IF(AND(ArtifactsInput!$M$42,((Inputs!$B$9+((C2584=TRUE)*(F2584-Calc!F19))+B2595+(ArtifactsInput!$M$24-ArtifactsInput!$M$24)*CHOOSE(ArtifactsInput!$N$24+1,10,12,14,16,18,20)+IF(ArtifactsInput!$M$10,CHOOSE(ArtifactsInput!$N$10+1,15,18,21,24,27,30)*(IF(Inputs!$B$38="pvp",MIN(15,15)/15,IF(AND(Inputs!$B$38&lt;&gt;"pvp",Inputs!$B$43&gt;0),MIN(15,Inputs!$B$43)/(Inputs!$B$43),0))),0)))&gt;=100),MIN(100,((Inputs!$B$9+((C2584=TRUE)*(F2584-Calc!F19))+B2595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2584=TRUE)*(F2584-Calc!F19))+B2595+(ArtifactsInput!$M$24-ArtifactsInput!$M$24)*CHOOSE(ArtifactsInput!$N$24+1,10,12,14,16,18,20)+IF(ArtifactsInput!$M$10,CHOOSE(ArtifactsInput!$N$10+1,15,18,21,24,27,30)*(IF(Inputs!$B$38="pvp",MIN(15,15)/15,IF(AND(Inputs!$B$38&lt;&gt;"pvp",Inputs!$B$43&gt;0),MIN(15,Inputs!$B$43)/(Inputs!$B$43),0))),0)))&gt;=100),CHOOSE(ArtifactsInput!$N$42+1,40,48,56,64,72,80),0))))/100)*((1+(((C2582=TRUE)*F2582)+((C2589=TRUE)*(F2589-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2575)</f>
        <v/>
      </c>
      <c r="L2575">
        <f>K2575*(MIN(Inputs!$B$22+((C2587=TRUE)*(F2587-Calc!F22)),(Inputs!$B$23+0+(IF(ArtifactsInput!$M$15,CHOOSE(ArtifactsInput!$N$15+1,25,30,35,40,45,50)/100*(Inputs!$B$11-Inputs!$B$11),0))))/100+(Inputs!$B$23+0+(IF(ArtifactsInput!$M$15,CHOOSE(ArtifactsInput!$N$15+1,25,30,35,40,45,50)/100*(Inputs!$B$11-Inputs!$B$11),0)))/100)/2</f>
        <v/>
      </c>
      <c r="M2575">
        <f>L2575*(1+(Inputs!$B$10+((C2590=TRUE)*(F2590-Calc!F25))+B2600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5">
        <f>L2575*(1-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2575*(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5">
        <f>(1-Summary!$B$11)*T2575+Summary!$B$11*V2575</f>
        <v/>
      </c>
      <c r="P2575">
        <f>IF(B2605=0,0,O2575/B2605)</f>
        <v/>
      </c>
      <c r="Q2575">
        <f>IFERROR(1/(IF(Inputs!$B$38="pvp",15,MAX(0.1,Skills!D10-IF(Skills!E10=TRUE,Inputs!$B$32,0)))*(1-IF(AND(ArtifactsInput!$M$27,Inputs!$B$4="Chapter Hunt"),CHOOSE(ArtifactsInput!$N$27+1,20,24,28,32,36,40),0)/100)),0)</f>
        <v/>
      </c>
      <c r="R2575">
        <f>IF(AND(Inputs!$B$38&lt;&gt;"pvp",Inputs!$B$43&gt;0),IF(MAX(0,Inputs!$B$43-B2602)&lt;=0,0,(INT(MAX(0,Inputs!$B$43-B2602)/(IF(Inputs!$B$38="pvp",15,MAX(0.1,Skills!D10-IF(Skills!E10=TRUE,Inputs!$B$32,0)))*(1-IF(AND(ArtifactsInput!$M$27,Inputs!$B$4="Chapter Hunt"),CHOOSE(ArtifactsInput!$N$27+1,20,24,28,32,36,40),0)/100)))+1)),0)</f>
        <v/>
      </c>
      <c r="S2575">
        <f>IFERROR(O2575/N2575,0)</f>
        <v/>
      </c>
      <c r="T2575">
        <f>IF(C2575,(H2575*N2575*IF(AND(Inputs!$B$38&lt;&gt;"pvp",Inputs!$B$43&gt;0),((Skills!G10*((R2575-1)*IF(Skills!H10&gt;0,Skills!I10/Skills!H10,1)+IF(Skills!H10&gt;0,MIN(Skills!I10,MAX(0,MAX(0,Inputs!$B$43-B2602)-((R2575-1)*(IF(Inputs!$B$38="pvp",15,MAX(0.1,Skills!D10-IF(Skills!E10=TRUE,Inputs!$B$32,0)))*(1-IF(AND(ArtifactsInput!$M$27,Inputs!$B$4="Chapter Hunt"),CHOOSE(ArtifactsInput!$N$27+1,20,24,28,32,36,40),0)/100)))))/Skills!H10,1)))/Inputs!$B$43),G2575*Q2575)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2575*(1-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2575*(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2575*(1-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2575*(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5">
        <f>IF(C2575,(H2575*N2575*IF(AND(Inputs!$B$38&lt;&gt;"pvp",Inputs!$B$43&gt;0),((Skills!G10*((R2575-1)*IF(Skills!H10&gt;0,Skills!I10/Skills!H10,1)+IF(Skills!H10&gt;0,MIN(Skills!I10,MAX(0,MAX(0,Inputs!$B$43-B2602)-((R2575-1)*(IF(Inputs!$B$38="pvp",15,MAX(0.1,Skills!D10-IF(Skills!E10=TRUE,Inputs!$B$32,0)))*(1-IF(AND(ArtifactsInput!$M$27,Inputs!$B$4="Chapter Hunt"),CHOOSE(ArtifactsInput!$N$27+1,20,24,28,32,36,40),0)/100)))))/Skills!H10,1)))/Inputs!$B$43),G2575*Q2575))*IF(Inputs!$B$38="pvp",1,(1+(Inputs!$B$21+Skills!Q10+(IF(ArtifactsInput!$M$33,CHOOSE(ArtifactsInput!$N$33+1,30,36,42,48,54,60)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6">
      <c r="A2576">
        <f>Skills!A11</f>
        <v/>
      </c>
      <c r="B2576">
        <f>Skills!B11</f>
        <v/>
      </c>
      <c r="C2576">
        <f>Inputs!$B$3&gt;=107</f>
        <v/>
      </c>
      <c r="D2576">
        <f>IF(Skills!C11=1,60+Inputs!$B$25+Inputs!$B$29,IF(Skills!C11=2,90+Inputs!$B$26+Inputs!$B$29,IF(Skills!C11=3,120+Inputs!$B$27+Inputs!$B$29,MAX(0,(Inputs!$B$3-100)*3)+Inputs!$B$28+Inputs!$B$29)))</f>
        <v/>
      </c>
      <c r="E2576">
        <f>INDEX(FactorTable!$B$2:$Y$301, MATCH(ROUND(MIN(300,MAX(1,D2576)),0), FactorTable!$A$2:$A$301,0), Skills!M11+1)</f>
        <v/>
      </c>
      <c r="F2576">
        <f>IF(Skills!N11=TRUE,(Skills!L11/10)*(E2576/1000),Skills!L11/10)+Skills!O11</f>
        <v/>
      </c>
      <c r="G2576">
        <f>Skills!G11*IF(Skills!H11&gt;0,Skills!I11/Skills!H11,1)</f>
        <v/>
      </c>
      <c r="H2576">
        <f>1-(1-Skills!J11/100)^Skills!K11</f>
        <v/>
      </c>
      <c r="I2576" t="inlineStr">
        <is>
          <t>1</t>
        </is>
      </c>
      <c r="J2576">
        <f>((Inputs!$B$6*(1+Inputs!$B$7/100))+(((Inputs!$B$12*(1+Inputs!$B$13/100))-(Inputs!$B$12*(1+Inputs!$B$13/100)))+0.25*(Inputs!$B$14-Inputs!$B$14))*(1+Inputs!$B$7/100))*(F2576/100)</f>
        <v/>
      </c>
      <c r="K2576">
        <f>J2576*(1+((Inputs!$B$12*(1+Inputs!$B$13/100))*0.01+Inputs!$B$14*0.0025)/100)*(1+Inputs!$B$15/100)*(1+Inputs!$B$16/100)*(5000/(6000+Inputs!$B$42*(1-(100*(1-(1-(Inputs!$B$19+0)/100)*(1-CHOOSE(ArtifactsInput!$N$40+1,5,6,7,8,9,10)/100)^(ArtifactsInput!$M$40-ArtifactsInput!$M$40)))/100)))*(1+(Inputs!$B$24+((C2591=TRUE)*(F2591-Calc!F26))+B2601)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2588=TRUE)*(F2588-Calc!F23))+((C2592=TRUE)*(F2592-Calc!F27))+(((IF(AND(ArtifactsInput!$M$42,((Inputs!$B$9+((C2584=TRUE)*(F2584-Calc!F19))+B2595+(ArtifactsInput!$M$24-ArtifactsInput!$M$24)*CHOOSE(ArtifactsInput!$N$24+1,10,12,14,16,18,20)+IF(ArtifactsInput!$M$10,CHOOSE(ArtifactsInput!$N$10+1,15,18,21,24,27,30)*(IF(Inputs!$B$38="pvp",MIN(15,15)/15,IF(AND(Inputs!$B$38&lt;&gt;"pvp",Inputs!$B$43&gt;0),MIN(15,Inputs!$B$43)/(Inputs!$B$43),0))),0)))&gt;=100),MIN(100,((Inputs!$B$9+((C2584=TRUE)*(F2584-Calc!F19))+B2595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2584=TRUE)*(F2584-Calc!F19))+B2595+(ArtifactsInput!$M$24-ArtifactsInput!$M$24)*CHOOSE(ArtifactsInput!$N$24+1,10,12,14,16,18,20)+IF(ArtifactsInput!$M$10,CHOOSE(ArtifactsInput!$N$10+1,15,18,21,24,27,30)*(IF(Inputs!$B$38="pvp",MIN(15,15)/15,IF(AND(Inputs!$B$38&lt;&gt;"pvp",Inputs!$B$43&gt;0),MIN(15,Inputs!$B$43)/(Inputs!$B$43),0))),0)))&gt;=100),CHOOSE(ArtifactsInput!$N$42+1,40,48,56,64,72,80),0))))/100)*((1+(((C2582=TRUE)*F2582)+((C2589=TRUE)*(F2589-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2576)</f>
        <v/>
      </c>
      <c r="L2576">
        <f>K2576*(MIN(Inputs!$B$22+((C2587=TRUE)*(F2587-Calc!F22)),(Inputs!$B$23+0+(IF(ArtifactsInput!$M$15,CHOOSE(ArtifactsInput!$N$15+1,25,30,35,40,45,50)/100*(Inputs!$B$11-Inputs!$B$11),0))))/100+(Inputs!$B$23+0+(IF(ArtifactsInput!$M$15,CHOOSE(ArtifactsInput!$N$15+1,25,30,35,40,45,50)/100*(Inputs!$B$11-Inputs!$B$11),0)))/100)/2</f>
        <v/>
      </c>
      <c r="M2576">
        <f>L2576*(1+(Inputs!$B$10+((C2590=TRUE)*(F2590-Calc!F25))+B2600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6">
        <f>L2576*(1-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2576*(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6">
        <f>(1-Summary!$B$11)*T2576+Summary!$B$11*V2576</f>
        <v/>
      </c>
      <c r="P2576">
        <f>IF(B2605=0,0,O2576/B2605)</f>
        <v/>
      </c>
      <c r="Q2576">
        <f>IFERROR(1/(IF(Inputs!$B$38="pvp",15,MAX(0.1,Skills!D11-IF(Skills!E11=TRUE,Inputs!$B$32,0)))*(1-IF(AND(ArtifactsInput!$M$27,Inputs!$B$4="Chapter Hunt"),CHOOSE(ArtifactsInput!$N$27+1,20,24,28,32,36,40),0)/100)),0)</f>
        <v/>
      </c>
      <c r="R2576">
        <f>IF(AND(Inputs!$B$38&lt;&gt;"pvp",Inputs!$B$43&gt;0),IF(MAX(0,Inputs!$B$43-B2602)&lt;=0,0,(INT(MAX(0,Inputs!$B$43-B2602)/(IF(Inputs!$B$38="pvp",15,MAX(0.1,Skills!D11-IF(Skills!E11=TRUE,Inputs!$B$32,0)))*(1-IF(AND(ArtifactsInput!$M$27,Inputs!$B$4="Chapter Hunt"),CHOOSE(ArtifactsInput!$N$27+1,20,24,28,32,36,40),0)/100)))+1)),0)</f>
        <v/>
      </c>
      <c r="S2576">
        <f>IFERROR(O2576/N2576,0)</f>
        <v/>
      </c>
      <c r="T2576">
        <f>IF(C2576,(H2576*N2576*IF(AND(Inputs!$B$38&lt;&gt;"pvp",Inputs!$B$43&gt;0),((Skills!G11*((R2576-1)*IF(Skills!H11&gt;0,Skills!I11/Skills!H11,1)+IF(Skills!H11&gt;0,MIN(Skills!I11,MAX(0,MAX(0,Inputs!$B$43-B2602)-((R2576-1)*(IF(Inputs!$B$38="pvp",15,MAX(0.1,Skills!D11-IF(Skills!E11=TRUE,Inputs!$B$32,0)))*(1-IF(AND(ArtifactsInput!$M$27,Inputs!$B$4="Chapter Hunt"),CHOOSE(ArtifactsInput!$N$27+1,20,24,28,32,36,40),0)/100)))))/Skills!H11,1)))/Inputs!$B$43),G2576*Q2576)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2576*(1-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2576*(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2576*(1-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2576*(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6">
        <f>IF(C2576,(H2576*N2576*IF(AND(Inputs!$B$38&lt;&gt;"pvp",Inputs!$B$43&gt;0),((Skills!G11*((R2576-1)*IF(Skills!H11&gt;0,Skills!I11/Skills!H11,1)+IF(Skills!H11&gt;0,MIN(Skills!I11,MAX(0,MAX(0,Inputs!$B$43-B2602)-((R2576-1)*(IF(Inputs!$B$38="pvp",15,MAX(0.1,Skills!D11-IF(Skills!E11=TRUE,Inputs!$B$32,0)))*(1-IF(AND(ArtifactsInput!$M$27,Inputs!$B$4="Chapter Hunt"),CHOOSE(ArtifactsInput!$N$27+1,20,24,28,32,36,40),0)/100)))))/Skills!H11,1)))/Inputs!$B$43),G2576*Q2576))*IF(Inputs!$B$38="pvp",1,(1+(Inputs!$B$21+Skills!Q11+(IF(ArtifactsInput!$M$33,CHOOSE(ArtifactsInput!$N$33+1,30,36,42,48,54,60)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7">
      <c r="A2577">
        <f>Skills!A12</f>
        <v/>
      </c>
      <c r="B2577">
        <f>Skills!B12</f>
        <v/>
      </c>
      <c r="C2577">
        <f>Inputs!$B$3&gt;=110</f>
        <v/>
      </c>
      <c r="D2577">
        <f>IF(Skills!C12=1,60+Inputs!$B$25+Inputs!$B$29,IF(Skills!C12=2,90+Inputs!$B$26+Inputs!$B$29,IF(Skills!C12=3,120+Inputs!$B$27+Inputs!$B$29,MAX(0,(Inputs!$B$3-100)*3)+Inputs!$B$28+Inputs!$B$29)))</f>
        <v/>
      </c>
      <c r="E2577">
        <f>INDEX(FactorTable!$B$2:$Y$301, MATCH(ROUND(MIN(300,MAX(1,D2577)),0), FactorTable!$A$2:$A$301,0), Skills!M12+1)</f>
        <v/>
      </c>
      <c r="F2577">
        <f>IF(Skills!N12=TRUE,(Skills!L12/10)*(E2577/1000),Skills!L12/10)+Skills!O12</f>
        <v/>
      </c>
      <c r="G2577">
        <f>Skills!G12*IF(Skills!H12&gt;0,Skills!I12/Skills!H12,1)</f>
        <v/>
      </c>
      <c r="H2577">
        <f>1-(1-Skills!J12/100)^Skills!K12</f>
        <v/>
      </c>
      <c r="I2577" t="inlineStr">
        <is>
          <t>1</t>
        </is>
      </c>
      <c r="J2577">
        <f>((Inputs!$B$6*(1+Inputs!$B$7/100))+(((Inputs!$B$12*(1+Inputs!$B$13/100))-(Inputs!$B$12*(1+Inputs!$B$13/100)))+0.25*(Inputs!$B$14-Inputs!$B$14))*(1+Inputs!$B$7/100))*(F2577/100)</f>
        <v/>
      </c>
      <c r="K2577">
        <f>J2577*(1+((Inputs!$B$12*(1+Inputs!$B$13/100))*0.01+Inputs!$B$14*0.0025)/100)*(1+Inputs!$B$15/100)*(1+Inputs!$B$16/100)*(5000/(6000+Inputs!$B$42*(1-(100*(1-(1-(Inputs!$B$19+0)/100)*(1-CHOOSE(ArtifactsInput!$N$40+1,5,6,7,8,9,10)/100)^(ArtifactsInput!$M$40-ArtifactsInput!$M$40)))/100)))*(1+(Inputs!$B$24+((C2591=TRUE)*(F2591-Calc!F26))+B2601)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2588=TRUE)*(F2588-Calc!F23))+((C2592=TRUE)*(F2592-Calc!F27))+(((IF(AND(ArtifactsInput!$M$42,((Inputs!$B$9+((C2584=TRUE)*(F2584-Calc!F19))+B2595+(ArtifactsInput!$M$24-ArtifactsInput!$M$24)*CHOOSE(ArtifactsInput!$N$24+1,10,12,14,16,18,20)+IF(ArtifactsInput!$M$10,CHOOSE(ArtifactsInput!$N$10+1,15,18,21,24,27,30)*(IF(Inputs!$B$38="pvp",MIN(15,15)/15,IF(AND(Inputs!$B$38&lt;&gt;"pvp",Inputs!$B$43&gt;0),MIN(15,Inputs!$B$43)/(Inputs!$B$43),0))),0)))&gt;=100),MIN(100,((Inputs!$B$9+((C2584=TRUE)*(F2584-Calc!F19))+B2595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2584=TRUE)*(F2584-Calc!F19))+B2595+(ArtifactsInput!$M$24-ArtifactsInput!$M$24)*CHOOSE(ArtifactsInput!$N$24+1,10,12,14,16,18,20)+IF(ArtifactsInput!$M$10,CHOOSE(ArtifactsInput!$N$10+1,15,18,21,24,27,30)*(IF(Inputs!$B$38="pvp",MIN(15,15)/15,IF(AND(Inputs!$B$38&lt;&gt;"pvp",Inputs!$B$43&gt;0),MIN(15,Inputs!$B$43)/(Inputs!$B$43),0))),0)))&gt;=100),CHOOSE(ArtifactsInput!$N$42+1,40,48,56,64,72,80),0))))/100)*((1+(((C2582=TRUE)*F2582)+((C2589=TRUE)*(F2589-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2577)</f>
        <v/>
      </c>
      <c r="L2577">
        <f>K2577*(MIN(Inputs!$B$22+((C2587=TRUE)*(F2587-Calc!F22)),(Inputs!$B$23+0+(IF(ArtifactsInput!$M$15,CHOOSE(ArtifactsInput!$N$15+1,25,30,35,40,45,50)/100*(Inputs!$B$11-Inputs!$B$11),0))))/100+(Inputs!$B$23+0+(IF(ArtifactsInput!$M$15,CHOOSE(ArtifactsInput!$N$15+1,25,30,35,40,45,50)/100*(Inputs!$B$11-Inputs!$B$11),0)))/100)/2</f>
        <v/>
      </c>
      <c r="M2577">
        <f>L2577*(1+(Inputs!$B$10+((C2590=TRUE)*(F2590-Calc!F25))+B2600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7">
        <f>L2577*(1-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2577*(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7">
        <f>(1-Summary!$B$11)*T2577+Summary!$B$11*V2577</f>
        <v/>
      </c>
      <c r="P2577">
        <f>IF(B2605=0,0,O2577/B2605)</f>
        <v/>
      </c>
      <c r="Q2577">
        <f>IFERROR(1/(IF(Inputs!$B$38="pvp",15,MAX(0.1,Skills!D12-IF(Skills!E12=TRUE,Inputs!$B$32,0)))*(1-IF(AND(ArtifactsInput!$M$27,Inputs!$B$4="Chapter Hunt"),CHOOSE(ArtifactsInput!$N$27+1,20,24,28,32,36,40),0)/100)),0)</f>
        <v/>
      </c>
      <c r="R2577">
        <f>IF(AND(Inputs!$B$38&lt;&gt;"pvp",Inputs!$B$43&gt;0),IF(MAX(0,Inputs!$B$43-B2602)&lt;=0,0,(INT(MAX(0,Inputs!$B$43-B2602)/(IF(Inputs!$B$38="pvp",15,MAX(0.1,Skills!D12-IF(Skills!E12=TRUE,Inputs!$B$32,0)))*(1-IF(AND(ArtifactsInput!$M$27,Inputs!$B$4="Chapter Hunt"),CHOOSE(ArtifactsInput!$N$27+1,20,24,28,32,36,40),0)/100)))+1)),0)</f>
        <v/>
      </c>
      <c r="S2577">
        <f>IFERROR(O2577/N2577,0)</f>
        <v/>
      </c>
      <c r="T2577">
        <f>IF(C2577,(H2577*N2577*IF(AND(Inputs!$B$38&lt;&gt;"pvp",Inputs!$B$43&gt;0),((Skills!G12*((R2577-1)*IF(Skills!H12&gt;0,Skills!I12/Skills!H12,1)+IF(Skills!H12&gt;0,MIN(Skills!I12,MAX(0,MAX(0,Inputs!$B$43-B2602)-((R2577-1)*(IF(Inputs!$B$38="pvp",15,MAX(0.1,Skills!D12-IF(Skills!E12=TRUE,Inputs!$B$32,0)))*(1-IF(AND(ArtifactsInput!$M$27,Inputs!$B$4="Chapter Hunt"),CHOOSE(ArtifactsInput!$N$27+1,20,24,28,32,36,40),0)/100)))))/Skills!H12,1)))/Inputs!$B$43),G2577*Q2577)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2577*(1-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2577*(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2577*(1-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2577*(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7">
        <f>IF(C2577,(H2577*N2577*IF(AND(Inputs!$B$38&lt;&gt;"pvp",Inputs!$B$43&gt;0),((Skills!G12*((R2577-1)*IF(Skills!H12&gt;0,Skills!I12/Skills!H12,1)+IF(Skills!H12&gt;0,MIN(Skills!I12,MAX(0,MAX(0,Inputs!$B$43-B2602)-((R2577-1)*(IF(Inputs!$B$38="pvp",15,MAX(0.1,Skills!D12-IF(Skills!E12=TRUE,Inputs!$B$32,0)))*(1-IF(AND(ArtifactsInput!$M$27,Inputs!$B$4="Chapter Hunt"),CHOOSE(ArtifactsInput!$N$27+1,20,24,28,32,36,40),0)/100)))))/Skills!H12,1)))/Inputs!$B$43),G2577*Q2577))*IF(Inputs!$B$38="pvp",1,(1+(Inputs!$B$21+Skills!Q12+(IF(ArtifactsInput!$M$33,CHOOSE(ArtifactsInput!$N$33+1,30,36,42,48,54,60)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8">
      <c r="A2578">
        <f>Skills!A13</f>
        <v/>
      </c>
      <c r="B2578">
        <f>Skills!B13</f>
        <v/>
      </c>
      <c r="C2578">
        <f>Inputs!$B$3&gt;=110</f>
        <v/>
      </c>
      <c r="D2578">
        <f>IF(Skills!C13=1,60+Inputs!$B$25+Inputs!$B$29,IF(Skills!C13=2,90+Inputs!$B$26+Inputs!$B$29,IF(Skills!C13=3,120+Inputs!$B$27+Inputs!$B$29,MAX(0,(Inputs!$B$3-100)*3)+Inputs!$B$28+Inputs!$B$29)))</f>
        <v/>
      </c>
      <c r="E2578">
        <f>INDEX(FactorTable!$B$2:$Y$301, MATCH(ROUND(MIN(300,MAX(1,D2578)),0), FactorTable!$A$2:$A$301,0), Skills!M13+1)</f>
        <v/>
      </c>
      <c r="F2578">
        <f>IF(Skills!N13=TRUE,(Skills!L13/10)*(E2578/1000),Skills!L13/10)+Skills!O13</f>
        <v/>
      </c>
      <c r="G2578">
        <f>Skills!G13*IF(Skills!H13&gt;0,Skills!I13/Skills!H13,1)</f>
        <v/>
      </c>
      <c r="H2578">
        <f>1-(1-Skills!J13/100)^Skills!K13</f>
        <v/>
      </c>
      <c r="I2578" t="inlineStr">
        <is>
          <t>1</t>
        </is>
      </c>
      <c r="J2578">
        <f>((Inputs!$B$6*(1+Inputs!$B$7/100))+(((Inputs!$B$12*(1+Inputs!$B$13/100))-(Inputs!$B$12*(1+Inputs!$B$13/100)))+0.25*(Inputs!$B$14-Inputs!$B$14))*(1+Inputs!$B$7/100))*(F2578/100)</f>
        <v/>
      </c>
      <c r="K2578">
        <f>J2578*(1+((Inputs!$B$12*(1+Inputs!$B$13/100))*0.01+Inputs!$B$14*0.0025)/100)*(1+Inputs!$B$15/100)*(1+Inputs!$B$16/100)*(5000/(6000+Inputs!$B$42*(1-(100*(1-(1-(Inputs!$B$19+0)/100)*(1-CHOOSE(ArtifactsInput!$N$40+1,5,6,7,8,9,10)/100)^(ArtifactsInput!$M$40-ArtifactsInput!$M$40)))/100)))*(1+(Inputs!$B$24+((C2591=TRUE)*(F2591-Calc!F26))+B2601)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2588=TRUE)*(F2588-Calc!F23))+((C2592=TRUE)*(F2592-Calc!F27))+(((IF(AND(ArtifactsInput!$M$42,((Inputs!$B$9+((C2584=TRUE)*(F2584-Calc!F19))+B2595+(ArtifactsInput!$M$24-ArtifactsInput!$M$24)*CHOOSE(ArtifactsInput!$N$24+1,10,12,14,16,18,20)+IF(ArtifactsInput!$M$10,CHOOSE(ArtifactsInput!$N$10+1,15,18,21,24,27,30)*(IF(Inputs!$B$38="pvp",MIN(15,15)/15,IF(AND(Inputs!$B$38&lt;&gt;"pvp",Inputs!$B$43&gt;0),MIN(15,Inputs!$B$43)/(Inputs!$B$43),0))),0)))&gt;=100),MIN(100,((Inputs!$B$9+((C2584=TRUE)*(F2584-Calc!F19))+B2595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2584=TRUE)*(F2584-Calc!F19))+B2595+(ArtifactsInput!$M$24-ArtifactsInput!$M$24)*CHOOSE(ArtifactsInput!$N$24+1,10,12,14,16,18,20)+IF(ArtifactsInput!$M$10,CHOOSE(ArtifactsInput!$N$10+1,15,18,21,24,27,30)*(IF(Inputs!$B$38="pvp",MIN(15,15)/15,IF(AND(Inputs!$B$38&lt;&gt;"pvp",Inputs!$B$43&gt;0),MIN(15,Inputs!$B$43)/(Inputs!$B$43),0))),0)))&gt;=100),CHOOSE(ArtifactsInput!$N$42+1,40,48,56,64,72,80),0))))/100)*((1+(((C2582=TRUE)*F2582)+((C2589=TRUE)*(F2589-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2578)</f>
        <v/>
      </c>
      <c r="L2578">
        <f>K2578*(MIN(Inputs!$B$22+((C2587=TRUE)*(F2587-Calc!F22)),(Inputs!$B$23+0+(IF(ArtifactsInput!$M$15,CHOOSE(ArtifactsInput!$N$15+1,25,30,35,40,45,50)/100*(Inputs!$B$11-Inputs!$B$11),0))))/100+(Inputs!$B$23+0+(IF(ArtifactsInput!$M$15,CHOOSE(ArtifactsInput!$N$15+1,25,30,35,40,45,50)/100*(Inputs!$B$11-Inputs!$B$11),0)))/100)/2</f>
        <v/>
      </c>
      <c r="M2578">
        <f>L2578*(1+(Inputs!$B$10+((C2590=TRUE)*(F2590-Calc!F25))+B2600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8">
        <f>L2578*(1-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2578*(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8">
        <f>(1-Summary!$B$11)*T2578+Summary!$B$11*V2578</f>
        <v/>
      </c>
      <c r="P2578">
        <f>IF(B2605=0,0,O2578/B2605)</f>
        <v/>
      </c>
      <c r="Q2578">
        <f>IFERROR(1/(IF(Inputs!$B$38="pvp",15,MAX(0.1,Skills!D13-IF(Skills!E13=TRUE,Inputs!$B$32,0)))*(1-IF(AND(ArtifactsInput!$M$27,Inputs!$B$4="Chapter Hunt"),CHOOSE(ArtifactsInput!$N$27+1,20,24,28,32,36,40),0)/100)),0)</f>
        <v/>
      </c>
      <c r="R2578">
        <f>IF(AND(Inputs!$B$38&lt;&gt;"pvp",Inputs!$B$43&gt;0),IF(MAX(0,Inputs!$B$43-B2602)&lt;=0,0,(INT(MAX(0,Inputs!$B$43-B2602)/(IF(Inputs!$B$38="pvp",15,MAX(0.1,Skills!D13-IF(Skills!E13=TRUE,Inputs!$B$32,0)))*(1-IF(AND(ArtifactsInput!$M$27,Inputs!$B$4="Chapter Hunt"),CHOOSE(ArtifactsInput!$N$27+1,20,24,28,32,36,40),0)/100)))+1)),0)</f>
        <v/>
      </c>
      <c r="S2578">
        <f>IFERROR(O2578/N2578,0)</f>
        <v/>
      </c>
      <c r="T2578">
        <f>IF(C2578,(H2578*N2578*IF(AND(Inputs!$B$38&lt;&gt;"pvp",Inputs!$B$43&gt;0),((Skills!G13*((R2578-1)*IF(Skills!H13&gt;0,Skills!I13/Skills!H13,1)+IF(Skills!H13&gt;0,MIN(Skills!I13,MAX(0,MAX(0,Inputs!$B$43-B2602)-((R2578-1)*(IF(Inputs!$B$38="pvp",15,MAX(0.1,Skills!D13-IF(Skills!E13=TRUE,Inputs!$B$32,0)))*(1-IF(AND(ArtifactsInput!$M$27,Inputs!$B$4="Chapter Hunt"),CHOOSE(ArtifactsInput!$N$27+1,20,24,28,32,36,40),0)/100)))))/Skills!H13,1)))/Inputs!$B$43),G2578*Q2578)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2578*(1-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2578*(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2578*(1-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2578*(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8">
        <f>IF(C2578,(H2578*N2578*IF(AND(Inputs!$B$38&lt;&gt;"pvp",Inputs!$B$43&gt;0),((Skills!G13*((R2578-1)*IF(Skills!H13&gt;0,Skills!I13/Skills!H13,1)+IF(Skills!H13&gt;0,MIN(Skills!I13,MAX(0,MAX(0,Inputs!$B$43-B2602)-((R2578-1)*(IF(Inputs!$B$38="pvp",15,MAX(0.1,Skills!D13-IF(Skills!E13=TRUE,Inputs!$B$32,0)))*(1-IF(AND(ArtifactsInput!$M$27,Inputs!$B$4="Chapter Hunt"),CHOOSE(ArtifactsInput!$N$27+1,20,24,28,32,36,40),0)/100)))))/Skills!H13,1)))/Inputs!$B$43),G2578*Q2578))*IF(Inputs!$B$38="pvp",1,(1+(Inputs!$B$21+Skills!Q13+(IF(ArtifactsInput!$M$33,CHOOSE(ArtifactsInput!$N$33+1,30,36,42,48,54,60)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9">
      <c r="A2579">
        <f>Skills!A14</f>
        <v/>
      </c>
      <c r="B2579">
        <f>Skills!B14</f>
        <v/>
      </c>
      <c r="C2579">
        <f>Inputs!$B$3&gt;=125</f>
        <v/>
      </c>
      <c r="D2579">
        <f>IF(Skills!C14=1,60+Inputs!$B$25+Inputs!$B$29,IF(Skills!C14=2,90+Inputs!$B$26+Inputs!$B$29,IF(Skills!C14=3,120+Inputs!$B$27+Inputs!$B$29,MAX(0,(Inputs!$B$3-100)*3)+Inputs!$B$28+Inputs!$B$29)))</f>
        <v/>
      </c>
      <c r="E2579">
        <f>INDEX(FactorTable!$B$2:$Y$301, MATCH(ROUND(MIN(300,MAX(1,D2579)),0), FactorTable!$A$2:$A$301,0), Skills!M14+1)</f>
        <v/>
      </c>
      <c r="F2579">
        <f>IF(Skills!N14=TRUE,(Skills!L14/10)*(E2579/1000),Skills!L14/10)+Skills!O14</f>
        <v/>
      </c>
      <c r="G2579">
        <f>Skills!G14*IF(Skills!H14&gt;0,Skills!I14/Skills!H14,1)</f>
        <v/>
      </c>
      <c r="H2579">
        <f>1-(1-Skills!J14/100)^Skills!K14</f>
        <v/>
      </c>
      <c r="I2579" t="inlineStr">
        <is>
          <t>1</t>
        </is>
      </c>
      <c r="J2579">
        <f>((Inputs!$B$6*(1+Inputs!$B$7/100))+(((Inputs!$B$12*(1+Inputs!$B$13/100))-(Inputs!$B$12*(1+Inputs!$B$13/100)))+0.25*(Inputs!$B$14-Inputs!$B$14))*(1+Inputs!$B$7/100))*(F2579/100)</f>
        <v/>
      </c>
      <c r="K2579">
        <f>J2579*(1+((Inputs!$B$12*(1+Inputs!$B$13/100))*0.01+Inputs!$B$14*0.0025)/100)*(1+Inputs!$B$15/100)*(1+Inputs!$B$16/100)*(5000/(6000+Inputs!$B$42*(1-(100*(1-(1-(Inputs!$B$19+0)/100)*(1-CHOOSE(ArtifactsInput!$N$40+1,5,6,7,8,9,10)/100)^(ArtifactsInput!$M$40-ArtifactsInput!$M$40)))/100)))*(1+(Inputs!$B$24+((C2591=TRUE)*(F2591-Calc!F26))+B2601)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2588=TRUE)*(F2588-Calc!F23))+((C2592=TRUE)*(F2592-Calc!F27))+(((IF(AND(ArtifactsInput!$M$42,((Inputs!$B$9+((C2584=TRUE)*(F2584-Calc!F19))+B2595+(ArtifactsInput!$M$24-ArtifactsInput!$M$24)*CHOOSE(ArtifactsInput!$N$24+1,10,12,14,16,18,20)+IF(ArtifactsInput!$M$10,CHOOSE(ArtifactsInput!$N$10+1,15,18,21,24,27,30)*(IF(Inputs!$B$38="pvp",MIN(15,15)/15,IF(AND(Inputs!$B$38&lt;&gt;"pvp",Inputs!$B$43&gt;0),MIN(15,Inputs!$B$43)/(Inputs!$B$43),0))),0)))&gt;=100),MIN(100,((Inputs!$B$9+((C2584=TRUE)*(F2584-Calc!F19))+B2595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2584=TRUE)*(F2584-Calc!F19))+B2595+(ArtifactsInput!$M$24-ArtifactsInput!$M$24)*CHOOSE(ArtifactsInput!$N$24+1,10,12,14,16,18,20)+IF(ArtifactsInput!$M$10,CHOOSE(ArtifactsInput!$N$10+1,15,18,21,24,27,30)*(IF(Inputs!$B$38="pvp",MIN(15,15)/15,IF(AND(Inputs!$B$38&lt;&gt;"pvp",Inputs!$B$43&gt;0),MIN(15,Inputs!$B$43)/(Inputs!$B$43),0))),0)))&gt;=100),CHOOSE(ArtifactsInput!$N$42+1,40,48,56,64,72,80),0))))/100)*((1+(((C2582=TRUE)*F2582)+((C2589=TRUE)*(F2589-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2579)</f>
        <v/>
      </c>
      <c r="L2579">
        <f>K2579*(MIN(Inputs!$B$22+((C2587=TRUE)*(F2587-Calc!F22)),(Inputs!$B$23+0+(IF(ArtifactsInput!$M$15,CHOOSE(ArtifactsInput!$N$15+1,25,30,35,40,45,50)/100*(Inputs!$B$11-Inputs!$B$11),0))))/100+(Inputs!$B$23+0+(IF(ArtifactsInput!$M$15,CHOOSE(ArtifactsInput!$N$15+1,25,30,35,40,45,50)/100*(Inputs!$B$11-Inputs!$B$11),0)))/100)/2</f>
        <v/>
      </c>
      <c r="M2579">
        <f>L2579*(1+(Inputs!$B$10+((C2590=TRUE)*(F2590-Calc!F25))+B2600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9">
        <f>L2579*(1-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2579*(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9">
        <f>(1-Summary!$B$11)*T2579+Summary!$B$11*V2579</f>
        <v/>
      </c>
      <c r="P2579">
        <f>IF(B2605=0,0,O2579/B2605)</f>
        <v/>
      </c>
      <c r="Q2579" t="n">
        <v>0</v>
      </c>
      <c r="R2579" t="n">
        <v>0</v>
      </c>
      <c r="S2579">
        <f>IFERROR(O2579/N2579,0)</f>
        <v/>
      </c>
      <c r="T2579">
        <f>IF(C2579,(H2579*N2579*(B2599+IF(AND(Inputs!$B$38&lt;&gt;"pvp",Inputs!$B$43&gt;0),((Skills!G8*((R2573-1)*IF(Skills!H8&gt;0,Skills!I8/Skills!H8,1)+IF(Skills!H8&gt;0,MIN(Skills!I8,MAX(0,MAX(0,Inputs!$B$43-B2602)-((R2573-1)*(IF(Inputs!$B$38="pvp",15,MAX(0.1,Skills!D8-IF(Skills!E8=TRUE,Inputs!$B$32,0)))*(1-IF(AND(ArtifactsInput!$M$27,Inputs!$B$4="Chapter Hunt"),CHOOSE(ArtifactsInput!$N$27+1,20,24,28,32,36,40),0)/100)))))/Skills!H8,1)))/Inputs!$B$43),G2573*Q2573)+IF(AND(Inputs!$B$38&lt;&gt;"pvp",Inputs!$B$43&gt;0),((Skills!G11*((R2576-1)*IF(Skills!H11&gt;0,Skills!I11/Skills!H11,1)+IF(Skills!H11&gt;0,MIN(Skills!I11,MAX(0,MAX(0,Inputs!$B$43-B2602)-((R2576-1)*(IF(Inputs!$B$38="pvp",15,MAX(0.1,Skills!D11-IF(Skills!E11=TRUE,Inputs!$B$32,0)))*(1-IF(AND(ArtifactsInput!$M$27,Inputs!$B$4="Chapter Hunt"),CHOOSE(ArtifactsInput!$N$27+1,20,24,28,32,36,40),0)/100)))))/Skills!H11,1)))/Inputs!$B$43),G2576*Q2576)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2579*(1-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2579*(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2579*(1-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2579*(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9">
        <f>IF(C2579,(H2579*N2579*(B2599+IF(AND(Inputs!$B$38&lt;&gt;"pvp",Inputs!$B$43&gt;0),((Skills!G8*((R2573-1)*IF(Skills!H8&gt;0,Skills!I8/Skills!H8,1)+IF(Skills!H8&gt;0,MIN(Skills!I8,MAX(0,MAX(0,Inputs!$B$43-B2602)-((R2573-1)*(IF(Inputs!$B$38="pvp",15,MAX(0.1,Skills!D8-IF(Skills!E8=TRUE,Inputs!$B$32,0)))*(1-IF(AND(ArtifactsInput!$M$27,Inputs!$B$4="Chapter Hunt"),CHOOSE(ArtifactsInput!$N$27+1,20,24,28,32,36,40),0)/100)))))/Skills!H8,1)))/Inputs!$B$43),G2573*Q2573)+IF(AND(Inputs!$B$38&lt;&gt;"pvp",Inputs!$B$43&gt;0),((Skills!G11*((R2576-1)*IF(Skills!H11&gt;0,Skills!I11/Skills!H11,1)+IF(Skills!H11&gt;0,MIN(Skills!I11,MAX(0,MAX(0,Inputs!$B$43-B2602)-((R2576-1)*(IF(Inputs!$B$38="pvp",15,MAX(0.1,Skills!D11-IF(Skills!E11=TRUE,Inputs!$B$32,0)))*(1-IF(AND(ArtifactsInput!$M$27,Inputs!$B$4="Chapter Hunt"),CHOOSE(ArtifactsInput!$N$27+1,20,24,28,32,36,40),0)/100)))))/Skills!H11,1)))/Inputs!$B$43),G2576*Q2576)))*IF(Inputs!$B$38="pvp",1,(1+(Inputs!$B$21+Skills!Q14+(IF(ArtifactsInput!$M$33,CHOOSE(ArtifactsInput!$N$33+1,30,36,42,48,54,60)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0">
      <c r="A2580">
        <f>Skills!A15</f>
        <v/>
      </c>
      <c r="B2580">
        <f>Skills!B15</f>
        <v/>
      </c>
      <c r="C2580">
        <f>Inputs!$B$3&gt;=100</f>
        <v/>
      </c>
      <c r="D2580">
        <f>IF(Skills!C15=1,60+Inputs!$B$25+Inputs!$B$29,IF(Skills!C15=2,90+Inputs!$B$26+Inputs!$B$29,IF(Skills!C15=3,120+Inputs!$B$27+Inputs!$B$29,MAX(0,(Inputs!$B$3-100)*3)+Inputs!$B$28+Inputs!$B$29)))</f>
        <v/>
      </c>
      <c r="E2580">
        <f>INDEX(FactorTable!$B$2:$Y$301, MATCH(ROUND(MIN(300,MAX(1,D2580)),0), FactorTable!$A$2:$A$301,0), Skills!M15+1)</f>
        <v/>
      </c>
      <c r="F2580">
        <f>IF(Skills!N15=TRUE,(Skills!L15/10)*(E2580/1000),Skills!L15/10)+Skills!O15</f>
        <v/>
      </c>
      <c r="G2580" t="inlineStr"/>
      <c r="H2580" t="inlineStr"/>
      <c r="I2580" t="inlineStr">
        <is>
          <t>1</t>
        </is>
      </c>
      <c r="J2580" t="inlineStr"/>
      <c r="K2580" t="inlineStr"/>
      <c r="L2580" t="inlineStr"/>
      <c r="M2580" t="inlineStr"/>
      <c r="N2580" t="inlineStr"/>
      <c r="O2580" t="inlineStr"/>
      <c r="P2580" t="inlineStr"/>
      <c r="Q2580" t="inlineStr"/>
      <c r="R2580" t="inlineStr"/>
      <c r="S2580" t="inlineStr"/>
    </row>
    <row r="2581">
      <c r="A2581">
        <f>Skills!A16</f>
        <v/>
      </c>
      <c r="B2581">
        <f>Skills!B16</f>
        <v/>
      </c>
      <c r="C2581">
        <f>Inputs!$B$3&gt;=120</f>
        <v/>
      </c>
      <c r="D2581">
        <f>IF(Skills!C16=1,60+Inputs!$B$25+Inputs!$B$29,IF(Skills!C16=2,90+Inputs!$B$26+Inputs!$B$29,IF(Skills!C16=3,120+Inputs!$B$27+Inputs!$B$29,MAX(0,(Inputs!$B$3-100)*3)+Inputs!$B$28+Inputs!$B$29)))</f>
        <v/>
      </c>
      <c r="E2581">
        <f>INDEX(FactorTable!$B$2:$Y$301, MATCH(ROUND(MIN(300,MAX(1,D2581)),0), FactorTable!$A$2:$A$301,0), Skills!M16+1)</f>
        <v/>
      </c>
      <c r="F2581">
        <f>IF(Skills!N16=TRUE,(Skills!L16/10)*(E2581/1000),Skills!L16/10)+Skills!O16</f>
        <v/>
      </c>
      <c r="G2581" t="inlineStr"/>
      <c r="H2581" t="inlineStr"/>
      <c r="I2581" t="inlineStr">
        <is>
          <t>1</t>
        </is>
      </c>
      <c r="J2581" t="inlineStr"/>
      <c r="K2581" t="inlineStr"/>
      <c r="L2581" t="inlineStr"/>
      <c r="M2581" t="inlineStr"/>
      <c r="N2581" t="inlineStr"/>
      <c r="O2581" t="inlineStr"/>
      <c r="P2581" t="inlineStr"/>
      <c r="Q2581" t="inlineStr"/>
      <c r="R2581" t="inlineStr"/>
      <c r="S2581" t="inlineStr"/>
    </row>
    <row r="2582">
      <c r="A2582">
        <f>Skills!A17</f>
        <v/>
      </c>
      <c r="B2582">
        <f>Skills!B17</f>
        <v/>
      </c>
      <c r="C2582">
        <f>Inputs!$B$3&gt;=66</f>
        <v/>
      </c>
      <c r="D2582">
        <f>IF(Skills!C17=1,60+Inputs!$B$25+Inputs!$B$29,IF(Skills!C17=2,90+Inputs!$B$26+Inputs!$B$29,IF(Skills!C17=3,120+Inputs!$B$27+Inputs!$B$29,MAX(0,(Inputs!$B$3-100)*3)+Inputs!$B$28+Inputs!$B$29)))</f>
        <v/>
      </c>
      <c r="E2582">
        <f>INDEX(FactorTable!$B$2:$Y$301, MATCH(ROUND(MIN(300,MAX(1,D2582)),0), FactorTable!$A$2:$A$301,0), Skills!M17+1)</f>
        <v/>
      </c>
      <c r="F2582">
        <f>IF(Skills!N17=TRUE,(Skills!L17/10)*(E2582/1000),Skills!L17/10)+Skills!O17</f>
        <v/>
      </c>
      <c r="G2582">
        <f>Skills!G17*IF(Skills!H17&gt;0,Skills!I17/Skills!H17,1)</f>
        <v/>
      </c>
      <c r="H2582">
        <f>1-(1-Skills!J17/100)^Skills!K17</f>
        <v/>
      </c>
      <c r="I2582" t="inlineStr">
        <is>
          <t>1</t>
        </is>
      </c>
      <c r="J2582" t="inlineStr"/>
      <c r="K2582" t="inlineStr"/>
      <c r="L2582" t="inlineStr"/>
      <c r="M2582" t="inlineStr"/>
      <c r="N2582" t="inlineStr"/>
      <c r="O2582">
        <f>(1-Summary!$B$11)*T2582+Summary!$B$11*V2582</f>
        <v/>
      </c>
      <c r="P2582">
        <f>IF(B2605=0,0,O2582/B2605)</f>
        <v/>
      </c>
      <c r="Q2582" t="n">
        <v>0</v>
      </c>
      <c r="R2582" t="n">
        <v>0</v>
      </c>
      <c r="S2582">
        <f>IFERROR(O2582/N2582,0)</f>
        <v/>
      </c>
      <c r="T2582" t="n">
        <v>0</v>
      </c>
      <c r="V2582" t="n">
        <v>0</v>
      </c>
    </row>
    <row r="2583">
      <c r="A2583">
        <f>Skills!A18</f>
        <v/>
      </c>
      <c r="B2583">
        <f>Skills!B18</f>
        <v/>
      </c>
      <c r="C2583">
        <f>Inputs!$B$3&gt;=115</f>
        <v/>
      </c>
      <c r="D2583">
        <f>IF(Skills!C18=1,60+Inputs!$B$25+Inputs!$B$29,IF(Skills!C18=2,90+Inputs!$B$26+Inputs!$B$29,IF(Skills!C18=3,120+Inputs!$B$27+Inputs!$B$29,MAX(0,(Inputs!$B$3-100)*3)+Inputs!$B$28+Inputs!$B$29)))</f>
        <v/>
      </c>
      <c r="E2583">
        <f>INDEX(FactorTable!$B$2:$Y$301, MATCH(ROUND(MIN(300,MAX(1,D2583)),0), FactorTable!$A$2:$A$301,0), Skills!M18+1)</f>
        <v/>
      </c>
      <c r="F2583">
        <f>IF(Skills!N18=TRUE,(Skills!L18/10)*(E2583/1000),Skills!L18/10)+Skills!O18</f>
        <v/>
      </c>
      <c r="G2583">
        <f>Skills!G18*IF(Skills!H18&gt;0,Skills!I18/Skills!H18,1)</f>
        <v/>
      </c>
      <c r="H2583">
        <f>1-(1-Skills!J18/100)^Skills!K18</f>
        <v/>
      </c>
      <c r="I2583" t="inlineStr">
        <is>
          <t>1</t>
        </is>
      </c>
      <c r="J2583" t="inlineStr"/>
      <c r="K2583" t="inlineStr"/>
      <c r="L2583" t="inlineStr"/>
      <c r="M2583" t="inlineStr"/>
      <c r="N2583" t="inlineStr"/>
      <c r="O2583">
        <f>(1-Summary!$B$11)*T2583+Summary!$B$11*V2583</f>
        <v/>
      </c>
      <c r="P2583">
        <f>IF(B2605=0,0,O2583/B2605)</f>
        <v/>
      </c>
      <c r="Q2583" t="n">
        <v>0</v>
      </c>
      <c r="R2583" t="n">
        <v>0</v>
      </c>
      <c r="S2583">
        <f>IFERROR(O2583/N2583,0)</f>
        <v/>
      </c>
      <c r="T2583" t="n">
        <v>0</v>
      </c>
      <c r="V2583" t="n">
        <v>0</v>
      </c>
    </row>
    <row r="2584">
      <c r="A2584">
        <f>Skills!A19</f>
        <v/>
      </c>
      <c r="B2584">
        <f>Skills!B19</f>
        <v/>
      </c>
      <c r="C2584">
        <f>Inputs!$B$3&gt;=15</f>
        <v/>
      </c>
      <c r="D2584">
        <f>IF(Skills!C19=1,60+Inputs!$B$25+Inputs!$B$29,IF(Skills!C19=2,90+Inputs!$B$26+Inputs!$B$29,IF(Skills!C19=3,120+Inputs!$B$27+Inputs!$B$29,MAX(0,(Inputs!$B$3-100)*3)+Inputs!$B$28+Inputs!$B$29)))</f>
        <v/>
      </c>
      <c r="E2584">
        <f>INDEX(FactorTable!$B$2:$Y$301, MATCH(ROUND(MIN(300,MAX(1,D2584)),0), FactorTable!$A$2:$A$301,0), Skills!M19+1)</f>
        <v/>
      </c>
      <c r="F2584">
        <f>IF(Skills!N19=TRUE,(Skills!L19/10)*(E2584/1000),Skills!L19/10)+Skills!O19</f>
        <v/>
      </c>
      <c r="G2584">
        <f>Skills!G19*IF(Skills!H19&gt;0,Skills!I19/Skills!H19,1)</f>
        <v/>
      </c>
      <c r="H2584">
        <f>1-(1-Skills!J19/100)^Skills!K19</f>
        <v/>
      </c>
      <c r="I2584" t="inlineStr">
        <is>
          <t>1</t>
        </is>
      </c>
      <c r="J2584" t="inlineStr"/>
      <c r="K2584" t="inlineStr"/>
      <c r="L2584" t="inlineStr"/>
      <c r="M2584" t="inlineStr"/>
      <c r="N2584" t="inlineStr"/>
      <c r="O2584">
        <f>(1-Summary!$B$11)*T2584+Summary!$B$11*V2584</f>
        <v/>
      </c>
      <c r="P2584">
        <f>IF(B2605=0,0,O2584/B2605)</f>
        <v/>
      </c>
      <c r="Q2584" t="n">
        <v>0</v>
      </c>
      <c r="R2584" t="n">
        <v>0</v>
      </c>
      <c r="S2584">
        <f>IFERROR(O2584/N2584,0)</f>
        <v/>
      </c>
      <c r="T2584" t="n">
        <v>0</v>
      </c>
      <c r="V2584" t="n">
        <v>0</v>
      </c>
    </row>
    <row r="2585">
      <c r="A2585">
        <f>Skills!A20</f>
        <v/>
      </c>
      <c r="B2585">
        <f>Skills!B20</f>
        <v/>
      </c>
      <c r="C2585">
        <f>Inputs!$B$3&gt;=10</f>
        <v/>
      </c>
      <c r="D2585">
        <f>IF(Skills!C20=1,60+Inputs!$B$25+Inputs!$B$29,IF(Skills!C20=2,90+Inputs!$B$26+Inputs!$B$29,IF(Skills!C20=3,120+Inputs!$B$27+Inputs!$B$29,MAX(0,(Inputs!$B$3-100)*3)+Inputs!$B$28+Inputs!$B$29)))</f>
        <v/>
      </c>
      <c r="E2585">
        <f>INDEX(FactorTable!$B$2:$Y$301, MATCH(ROUND(MIN(300,MAX(1,D2585)),0), FactorTable!$A$2:$A$301,0), Skills!M20+1)</f>
        <v/>
      </c>
      <c r="F2585">
        <f>IF(Skills!N20=TRUE,(Skills!L20/10)*(E2585/1000),Skills!L20/10)+Skills!O20</f>
        <v/>
      </c>
      <c r="G2585">
        <f>Skills!G20*IF(Skills!H20&gt;0,Skills!I20/Skills!H20,1)</f>
        <v/>
      </c>
      <c r="H2585">
        <f>1-(1-Skills!J20/100)^Skills!K20</f>
        <v/>
      </c>
      <c r="I2585" t="inlineStr">
        <is>
          <t>1</t>
        </is>
      </c>
      <c r="J2585" t="inlineStr"/>
      <c r="K2585" t="inlineStr"/>
      <c r="L2585" t="inlineStr"/>
      <c r="M2585" t="inlineStr"/>
      <c r="N2585" t="inlineStr"/>
      <c r="O2585">
        <f>(1-Summary!$B$11)*T2585+Summary!$B$11*V2585</f>
        <v/>
      </c>
      <c r="P2585">
        <f>IF(B2605=0,0,O2585/B2605)</f>
        <v/>
      </c>
      <c r="Q2585" t="n">
        <v>0</v>
      </c>
      <c r="R2585" t="n">
        <v>0</v>
      </c>
      <c r="S2585">
        <f>IFERROR(O2585/N2585,0)</f>
        <v/>
      </c>
      <c r="T2585" t="n">
        <v>0</v>
      </c>
      <c r="V2585" t="n">
        <v>0</v>
      </c>
    </row>
    <row r="2586">
      <c r="A2586">
        <f>Skills!A21</f>
        <v/>
      </c>
      <c r="B2586">
        <f>Skills!B21</f>
        <v/>
      </c>
      <c r="C2586">
        <f>Inputs!$B$3&gt;=33</f>
        <v/>
      </c>
      <c r="D2586">
        <f>IF(Skills!C21=1,60+Inputs!$B$25+Inputs!$B$29,IF(Skills!C21=2,90+Inputs!$B$26+Inputs!$B$29,IF(Skills!C21=3,120+Inputs!$B$27+Inputs!$B$29,MAX(0,(Inputs!$B$3-100)*3)+Inputs!$B$28+Inputs!$B$29)))</f>
        <v/>
      </c>
      <c r="E2586">
        <f>INDEX(FactorTable!$B$2:$Y$301, MATCH(ROUND(MIN(300,MAX(1,D2586)),0), FactorTable!$A$2:$A$301,0), Skills!M21+1)</f>
        <v/>
      </c>
      <c r="F2586">
        <f>IF(Skills!N21=TRUE,(Skills!L21/10)*(E2586/1000),Skills!L21/10)+Skills!O21</f>
        <v/>
      </c>
      <c r="G2586">
        <f>Skills!G21*IF(Skills!H21&gt;0,Skills!I21/Skills!H21,1)</f>
        <v/>
      </c>
      <c r="H2586">
        <f>1-(1-Skills!J21/100)^Skills!K21</f>
        <v/>
      </c>
      <c r="I2586" t="inlineStr">
        <is>
          <t>1</t>
        </is>
      </c>
      <c r="J2586" t="inlineStr"/>
      <c r="K2586" t="inlineStr"/>
      <c r="L2586" t="inlineStr"/>
      <c r="M2586" t="inlineStr"/>
      <c r="N2586" t="inlineStr"/>
      <c r="O2586">
        <f>(1-Summary!$B$11)*T2586+Summary!$B$11*V2586</f>
        <v/>
      </c>
      <c r="P2586">
        <f>IF(B2605=0,0,O2586/B2605)</f>
        <v/>
      </c>
      <c r="Q2586" t="n">
        <v>0</v>
      </c>
      <c r="R2586" t="n">
        <v>0</v>
      </c>
      <c r="S2586">
        <f>IFERROR(O2586/N2586,0)</f>
        <v/>
      </c>
      <c r="T2586" t="n">
        <v>0</v>
      </c>
      <c r="V2586" t="n">
        <v>0</v>
      </c>
    </row>
    <row r="2587">
      <c r="A2587">
        <f>Skills!A22</f>
        <v/>
      </c>
      <c r="B2587">
        <f>Skills!B22</f>
        <v/>
      </c>
      <c r="C2587">
        <f>Inputs!$B$3&gt;=43</f>
        <v/>
      </c>
      <c r="D2587">
        <f>IF(Skills!C22=1,60+Inputs!$B$25+Inputs!$B$29,IF(Skills!C22=2,90+Inputs!$B$26+Inputs!$B$29,IF(Skills!C22=3,120+Inputs!$B$27+Inputs!$B$29,MAX(0,(Inputs!$B$3-100)*3)+Inputs!$B$28+Inputs!$B$29)))</f>
        <v/>
      </c>
      <c r="E2587">
        <f>INDEX(FactorTable!$B$2:$Y$301, MATCH(ROUND(MIN(300,MAX(1,D2587)),0), FactorTable!$A$2:$A$301,0), Skills!M22+1)</f>
        <v/>
      </c>
      <c r="F2587">
        <f>IF(Skills!N22=TRUE,(Skills!L22/10)*(E2587/1000),Skills!L22/10)+Skills!O22</f>
        <v/>
      </c>
      <c r="G2587">
        <f>Skills!G22*IF(Skills!H22&gt;0,Skills!I22/Skills!H22,1)</f>
        <v/>
      </c>
      <c r="H2587">
        <f>1-(1-Skills!J22/100)^Skills!K22</f>
        <v/>
      </c>
      <c r="I2587" t="inlineStr">
        <is>
          <t>1</t>
        </is>
      </c>
      <c r="J2587" t="inlineStr"/>
      <c r="K2587" t="inlineStr"/>
      <c r="L2587" t="inlineStr"/>
      <c r="M2587" t="inlineStr"/>
      <c r="N2587" t="inlineStr"/>
      <c r="O2587">
        <f>(1-Summary!$B$11)*T2587+Summary!$B$11*V2587</f>
        <v/>
      </c>
      <c r="P2587">
        <f>IF(B2605=0,0,O2587/B2605)</f>
        <v/>
      </c>
      <c r="Q2587" t="n">
        <v>0</v>
      </c>
      <c r="R2587" t="n">
        <v>0</v>
      </c>
      <c r="S2587">
        <f>IFERROR(O2587/N2587,0)</f>
        <v/>
      </c>
      <c r="T2587" t="n">
        <v>0</v>
      </c>
      <c r="V2587" t="n">
        <v>0</v>
      </c>
    </row>
    <row r="2588">
      <c r="A2588">
        <f>Skills!A23</f>
        <v/>
      </c>
      <c r="B2588">
        <f>Skills!B23</f>
        <v/>
      </c>
      <c r="C2588">
        <f>Inputs!$B$3&gt;=38</f>
        <v/>
      </c>
      <c r="D2588">
        <f>IF(Skills!C23=1,60+Inputs!$B$25+Inputs!$B$29,IF(Skills!C23=2,90+Inputs!$B$26+Inputs!$B$29,IF(Skills!C23=3,120+Inputs!$B$27+Inputs!$B$29,MAX(0,(Inputs!$B$3-100)*3)+Inputs!$B$28+Inputs!$B$29)))</f>
        <v/>
      </c>
      <c r="E2588">
        <f>INDEX(FactorTable!$B$2:$Y$301, MATCH(ROUND(MIN(300,MAX(1,D2588)),0), FactorTable!$A$2:$A$301,0), Skills!M23+1)</f>
        <v/>
      </c>
      <c r="F2588">
        <f>IF(Skills!N23=TRUE,(Skills!L23/10)*(E2588/1000),Skills!L23/10)+Skills!O23</f>
        <v/>
      </c>
      <c r="G2588">
        <f>Skills!G23*IF(Skills!H23&gt;0,Skills!I23/Skills!H23,1)</f>
        <v/>
      </c>
      <c r="H2588">
        <f>1-(1-Skills!J23/100)^Skills!K23</f>
        <v/>
      </c>
      <c r="I2588" t="inlineStr">
        <is>
          <t>1</t>
        </is>
      </c>
      <c r="J2588" t="inlineStr"/>
      <c r="K2588" t="inlineStr"/>
      <c r="L2588" t="inlineStr"/>
      <c r="M2588" t="inlineStr"/>
      <c r="N2588" t="inlineStr"/>
      <c r="O2588">
        <f>(1-Summary!$B$11)*T2588+Summary!$B$11*V2588</f>
        <v/>
      </c>
      <c r="P2588">
        <f>IF(B2605=0,0,O2588/B2605)</f>
        <v/>
      </c>
      <c r="Q2588" t="n">
        <v>0</v>
      </c>
      <c r="R2588" t="n">
        <v>0</v>
      </c>
      <c r="S2588">
        <f>IFERROR(O2588/N2588,0)</f>
        <v/>
      </c>
      <c r="T2588" t="n">
        <v>0</v>
      </c>
      <c r="V2588" t="n">
        <v>0</v>
      </c>
    </row>
    <row r="2589">
      <c r="A2589">
        <f>Skills!A24</f>
        <v/>
      </c>
      <c r="B2589">
        <f>Skills!B24</f>
        <v/>
      </c>
      <c r="C2589">
        <f>Inputs!$B$3&gt;=40</f>
        <v/>
      </c>
      <c r="D2589">
        <f>IF(Skills!C24=1,60+Inputs!$B$25+Inputs!$B$29,IF(Skills!C24=2,90+Inputs!$B$26+Inputs!$B$29,IF(Skills!C24=3,120+Inputs!$B$27+Inputs!$B$29,MAX(0,(Inputs!$B$3-100)*3)+Inputs!$B$28+Inputs!$B$29)))</f>
        <v/>
      </c>
      <c r="E2589">
        <f>INDEX(FactorTable!$B$2:$Y$301, MATCH(ROUND(MIN(300,MAX(1,D2589)),0), FactorTable!$A$2:$A$301,0), Skills!M24+1)</f>
        <v/>
      </c>
      <c r="F2589">
        <f>IF(Skills!N24=TRUE,(Skills!L24/10)*(E2589/1000),Skills!L24/10)+Skills!O24</f>
        <v/>
      </c>
      <c r="G2589">
        <f>Skills!G24*IF(Skills!H24&gt;0,Skills!I24/Skills!H24,1)</f>
        <v/>
      </c>
      <c r="H2589">
        <f>1-(1-Skills!J24/100)^Skills!K24</f>
        <v/>
      </c>
      <c r="I2589" t="inlineStr">
        <is>
          <t>1</t>
        </is>
      </c>
      <c r="J2589" t="inlineStr"/>
      <c r="K2589" t="inlineStr"/>
      <c r="L2589" t="inlineStr"/>
      <c r="M2589" t="inlineStr"/>
      <c r="N2589" t="inlineStr"/>
      <c r="O2589">
        <f>(1-Summary!$B$11)*T2589+Summary!$B$11*V2589</f>
        <v/>
      </c>
      <c r="P2589">
        <f>IF(B2605=0,0,O2589/B2605)</f>
        <v/>
      </c>
      <c r="Q2589" t="n">
        <v>0</v>
      </c>
      <c r="R2589" t="n">
        <v>0</v>
      </c>
      <c r="S2589">
        <f>IFERROR(O2589/N2589,0)</f>
        <v/>
      </c>
      <c r="T2589" t="n">
        <v>0</v>
      </c>
      <c r="V2589" t="n">
        <v>0</v>
      </c>
    </row>
    <row r="2590">
      <c r="A2590">
        <f>Skills!A25</f>
        <v/>
      </c>
      <c r="B2590">
        <f>Skills!B25</f>
        <v/>
      </c>
      <c r="C2590">
        <f>Inputs!$B$3&gt;=72</f>
        <v/>
      </c>
      <c r="D2590">
        <f>IF(Skills!C25=1,60+Inputs!$B$25+Inputs!$B$29,IF(Skills!C25=2,90+Inputs!$B$26+Inputs!$B$29,IF(Skills!C25=3,120+Inputs!$B$27+Inputs!$B$29,MAX(0,(Inputs!$B$3-100)*3)+Inputs!$B$28+Inputs!$B$29)))</f>
        <v/>
      </c>
      <c r="E2590">
        <f>INDEX(FactorTable!$B$2:$Y$301, MATCH(ROUND(MIN(300,MAX(1,D2590)),0), FactorTable!$A$2:$A$301,0), Skills!M25+1)</f>
        <v/>
      </c>
      <c r="F2590">
        <f>IF(Skills!N25=TRUE,(Skills!L25/10)*(E2590/1000),Skills!L25/10)+Skills!O25</f>
        <v/>
      </c>
      <c r="G2590">
        <f>Skills!G25*IF(Skills!H25&gt;0,Skills!I25/Skills!H25,1)</f>
        <v/>
      </c>
      <c r="H2590">
        <f>1-(1-Skills!J25/100)^Skills!K25</f>
        <v/>
      </c>
      <c r="I2590" t="inlineStr">
        <is>
          <t>1</t>
        </is>
      </c>
      <c r="J2590" t="inlineStr"/>
      <c r="K2590" t="inlineStr"/>
      <c r="L2590" t="inlineStr"/>
      <c r="M2590" t="inlineStr"/>
      <c r="N2590" t="inlineStr"/>
      <c r="O2590">
        <f>(1-Summary!$B$11)*T2590+Summary!$B$11*V2590</f>
        <v/>
      </c>
      <c r="P2590">
        <f>IF(B2605=0,0,O2590/B2605)</f>
        <v/>
      </c>
      <c r="Q2590" t="n">
        <v>0</v>
      </c>
      <c r="R2590" t="n">
        <v>0</v>
      </c>
      <c r="S2590">
        <f>IFERROR(O2590/N2590,0)</f>
        <v/>
      </c>
      <c r="T2590" t="n">
        <v>0</v>
      </c>
      <c r="V2590" t="n">
        <v>0</v>
      </c>
    </row>
    <row r="2591">
      <c r="A2591">
        <f>Skills!A26</f>
        <v/>
      </c>
      <c r="B2591">
        <f>Skills!B26</f>
        <v/>
      </c>
      <c r="C2591">
        <f>Inputs!$B$3&gt;=75</f>
        <v/>
      </c>
      <c r="D2591">
        <f>IF(Skills!C26=1,60+Inputs!$B$25+Inputs!$B$29,IF(Skills!C26=2,90+Inputs!$B$26+Inputs!$B$29,IF(Skills!C26=3,120+Inputs!$B$27+Inputs!$B$29,MAX(0,(Inputs!$B$3-100)*3)+Inputs!$B$28+Inputs!$B$29)))</f>
        <v/>
      </c>
      <c r="E2591">
        <f>INDEX(FactorTable!$B$2:$Y$301, MATCH(ROUND(MIN(300,MAX(1,D2591)),0), FactorTable!$A$2:$A$301,0), Skills!M26+1)</f>
        <v/>
      </c>
      <c r="F2591">
        <f>IF(Skills!N26=TRUE,(Skills!L26/10)*(E2591/1000),Skills!L26/10)+Skills!O26</f>
        <v/>
      </c>
      <c r="G2591">
        <f>Skills!G26*IF(Skills!H26&gt;0,Skills!I26/Skills!H26,1)</f>
        <v/>
      </c>
      <c r="H2591">
        <f>1-(1-Skills!J26/100)^Skills!K26</f>
        <v/>
      </c>
      <c r="I2591" t="inlineStr">
        <is>
          <t>1</t>
        </is>
      </c>
      <c r="J2591" t="inlineStr"/>
      <c r="K2591" t="inlineStr"/>
      <c r="L2591" t="inlineStr"/>
      <c r="M2591" t="inlineStr"/>
      <c r="N2591" t="inlineStr"/>
      <c r="O2591">
        <f>(1-Summary!$B$11)*T2591+Summary!$B$11*V2591</f>
        <v/>
      </c>
      <c r="P2591">
        <f>IF(B2605=0,0,O2591/B2605)</f>
        <v/>
      </c>
      <c r="Q2591" t="n">
        <v>0</v>
      </c>
      <c r="R2591" t="n">
        <v>0</v>
      </c>
      <c r="S2591">
        <f>IFERROR(O2591/N2591,0)</f>
        <v/>
      </c>
      <c r="T2591" t="n">
        <v>0</v>
      </c>
      <c r="V2591" t="n">
        <v>0</v>
      </c>
    </row>
    <row r="2592">
      <c r="A2592">
        <f>Skills!A27</f>
        <v/>
      </c>
      <c r="B2592">
        <f>Skills!B27</f>
        <v/>
      </c>
      <c r="C2592">
        <f>Inputs!$B$3&gt;=117</f>
        <v/>
      </c>
      <c r="D2592">
        <f>IF(Skills!C27=1,60+Inputs!$B$25+Inputs!$B$29,IF(Skills!C27=2,90+Inputs!$B$26+Inputs!$B$29,IF(Skills!C27=3,120+Inputs!$B$27+Inputs!$B$29,MAX(0,(Inputs!$B$3-100)*3)+Inputs!$B$28+Inputs!$B$29)))</f>
        <v/>
      </c>
      <c r="E2592">
        <f>INDEX(FactorTable!$B$2:$Y$301, MATCH(ROUND(MIN(300,MAX(1,D2592)),0), FactorTable!$A$2:$A$301,0), Skills!M27+1)</f>
        <v/>
      </c>
      <c r="F2592">
        <f>IF(Skills!N27=TRUE,(Skills!L27/10)*(E2592/1000),Skills!L27/10)+Skills!O27</f>
        <v/>
      </c>
      <c r="G2592">
        <f>Skills!G27*IF(Skills!H27&gt;0,Skills!I27/Skills!H27,1)</f>
        <v/>
      </c>
      <c r="H2592">
        <f>1-(1-Skills!J27/100)^Skills!K27</f>
        <v/>
      </c>
      <c r="I2592" t="inlineStr">
        <is>
          <t>1</t>
        </is>
      </c>
      <c r="J2592" t="inlineStr"/>
      <c r="K2592" t="inlineStr"/>
      <c r="L2592" t="inlineStr"/>
      <c r="M2592" t="inlineStr"/>
      <c r="N2592" t="inlineStr"/>
      <c r="O2592">
        <f>(1-Summary!$B$11)*T2592+Summary!$B$11*V2592</f>
        <v/>
      </c>
      <c r="P2592">
        <f>IF(B2605=0,0,O2592/B2605)</f>
        <v/>
      </c>
      <c r="Q2592" t="n">
        <v>0</v>
      </c>
      <c r="R2592" t="n">
        <v>0</v>
      </c>
      <c r="S2592">
        <f>IFERROR(O2592/N2592,0)</f>
        <v/>
      </c>
      <c r="T2592" t="n">
        <v>0</v>
      </c>
      <c r="V2592" t="n">
        <v>0</v>
      </c>
    </row>
    <row r="2594">
      <c r="A2594" t="inlineStr">
        <is>
          <t>Attack% Bucket Multiplier</t>
        </is>
      </c>
      <c r="B2594">
        <f>(1+(((C2582=TRUE)*F2582)+((C2589=TRUE)*(F2589-Calc!F24))+(IF(ArtifactsInput!$M$21,CHOOSE(ArtifactsInput!$N$21+1,25,30,35,40,45,50)*(IF(OR(Inputs!$B$4="Chapter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95">
      <c r="A2595" t="inlineStr">
        <is>
          <t>Global Crit Rate Bonus %</t>
        </is>
      </c>
      <c r="B2595" t="n">
        <v>0</v>
      </c>
    </row>
    <row r="2596">
      <c r="A2596" t="inlineStr">
        <is>
          <t>Attack Speed Buff Bonus % (unused)</t>
        </is>
      </c>
      <c r="B2596" t="n">
        <v>0</v>
      </c>
    </row>
    <row r="2597">
      <c r="A2597" t="inlineStr">
        <is>
          <t>Actions Per Second</t>
        </is>
      </c>
      <c r="B2597">
        <f>1+MIN(150,150*(1-(1-(Inputs!$B$11+((C2585=TRUE)*(F2585-Calc!F20))+((C2586=TRUE)*(F2586-Calc!F21)))/150)*(1-B2596/150)))/100</f>
        <v/>
      </c>
    </row>
    <row r="2598">
      <c r="A2598" t="inlineStr">
        <is>
          <t>Skill + Buff Cast Rate</t>
        </is>
      </c>
      <c r="B2598">
        <f>IF(AND(Inputs!$B$38&lt;&gt;"pvp",Inputs!$B$43&gt;0),SUMPRODUCT((Skills!E2:E27=TRUE)*(C2567:C2592=TRUE)*R2567:R2592*Skills!F2:F27)/Inputs!$B$43,SUMPRODUCT((Skills!E2:E27=TRUE)*(C2567:C2592=TRUE)*Q2567:Q2592*Skills!F2:F27))</f>
        <v/>
      </c>
    </row>
    <row r="2599">
      <c r="A2599" t="inlineStr">
        <is>
          <t>Eight-Legs Easton Casts Per Second</t>
        </is>
      </c>
      <c r="B2599">
        <f>MAX(0,B2597-B2598)</f>
        <v/>
      </c>
    </row>
    <row r="2600">
      <c r="A2600" t="inlineStr">
        <is>
          <t>Global Critical Damage Bonus % (unused)</t>
        </is>
      </c>
      <c r="B2600" t="n">
        <v>0</v>
      </c>
    </row>
    <row r="2601">
      <c r="A2601" t="inlineStr">
        <is>
          <t>Global Final Damage Bonus % (Jolly Roger only)</t>
        </is>
      </c>
      <c r="B2601">
        <f>((C2583=TRUE)*F2583)</f>
        <v/>
      </c>
    </row>
    <row r="2602">
      <c r="A2602" t="inlineStr">
        <is>
          <t>Buff-Casting Startup Delay (s, fixed-duration only)</t>
        </is>
      </c>
      <c r="B2602">
        <f>IF(AND(Inputs!$B$38&lt;&gt;"pvp",Inputs!$B$43&gt;0),SUMPRODUCT((Skills!T2:T27&gt;0)*(Skills!E2:E27=TRUE)*(C2567:C2592=TRUE))/B2597,0)</f>
        <v/>
      </c>
    </row>
    <row r="2603">
      <c r="A2603" t="inlineStr">
        <is>
          <t>Boss-Only Total DPS (this block's swept value)</t>
        </is>
      </c>
      <c r="B2603">
        <f>SUM(T2567:T2592)</f>
        <v/>
      </c>
    </row>
    <row r="2604">
      <c r="A2604" t="inlineStr">
        <is>
          <t>Normal-Only Total DPS (this block's swept value)</t>
        </is>
      </c>
      <c r="B2604">
        <f>SUM(V2567:V2592)</f>
        <v/>
      </c>
    </row>
    <row r="2605">
      <c r="A2605" s="6" t="inlineStr">
        <is>
          <t>TOTAL DPS</t>
        </is>
      </c>
      <c r="B2605" s="6">
        <f>SUM(O2567:O2592)</f>
        <v/>
      </c>
    </row>
    <row r="2608">
      <c r="A2608" s="6" t="inlineStr">
        <is>
          <t>Stat: Reindeer's Spear (Equip)</t>
        </is>
      </c>
    </row>
    <row r="2609">
      <c r="A2609" s="5" t="inlineStr">
        <is>
          <t>Key</t>
        </is>
      </c>
      <c r="B2609" s="5" t="inlineStr">
        <is>
          <t>Name</t>
        </is>
      </c>
      <c r="C2609" s="5" t="inlineStr">
        <is>
          <t>Unlocked</t>
        </is>
      </c>
      <c r="D2609" s="5" t="inlineStr">
        <is>
          <t>InputLevel</t>
        </is>
      </c>
      <c r="E2609" s="5" t="inlineStr">
        <is>
          <t>Factor</t>
        </is>
      </c>
      <c r="F2609" s="5" t="inlineStr">
        <is>
          <t>CoefficientPercent</t>
        </is>
      </c>
      <c r="G2609" s="5" t="inlineStr">
        <is>
          <t>EffectiveHits</t>
        </is>
      </c>
      <c r="H2609" s="5" t="inlineStr">
        <is>
          <t>ProcProbability</t>
        </is>
      </c>
      <c r="I2609" s="5" t="inlineStr">
        <is>
          <t>MapleHeroMultiplier</t>
        </is>
      </c>
      <c r="J2609" s="5" t="inlineStr">
        <is>
          <t>BaseDamage</t>
        </is>
      </c>
      <c r="K2609" s="5" t="inlineStr">
        <is>
          <t>BaseHitDamage</t>
        </is>
      </c>
      <c r="L2609" s="5" t="inlineStr">
        <is>
          <t>NonCritAvg</t>
        </is>
      </c>
      <c r="M2609" s="5" t="inlineStr">
        <is>
          <t>CritAvg</t>
        </is>
      </c>
      <c r="N2609" s="5" t="inlineStr">
        <is>
          <t>ExpectedDamage(perHit)</t>
        </is>
      </c>
      <c r="O2609" s="5" t="inlineStr">
        <is>
          <t>DPS</t>
        </is>
      </c>
      <c r="P2609" s="5" t="inlineStr">
        <is>
          <t>% of Total</t>
        </is>
      </c>
      <c r="Q2609" s="5" t="inlineStr">
        <is>
          <t>InvCooldown</t>
        </is>
      </c>
      <c r="R2609" s="5" t="inlineStr">
        <is>
          <t>CastsInFight</t>
        </is>
      </c>
      <c r="S2609" s="5" t="inlineStr">
        <is>
          <t>HitRate(perSec)</t>
        </is>
      </c>
      <c r="U2609" t="inlineStr">
        <is>
          <t>helpers</t>
        </is>
      </c>
    </row>
    <row r="2610">
      <c r="A2610">
        <f>Skills!A2</f>
        <v/>
      </c>
      <c r="B2610">
        <f>Skills!B2</f>
        <v/>
      </c>
      <c r="C2610">
        <f>Inputs!$B$3&gt;=100</f>
        <v/>
      </c>
      <c r="D2610" t="inlineStr"/>
      <c r="E2610" t="inlineStr"/>
      <c r="F2610">
        <f>U2612+Skills!O2</f>
        <v/>
      </c>
      <c r="G2610">
        <f>Skills!G2*IF(Skills!H2&gt;0,Skills!I2/Skills!H2,1)</f>
        <v/>
      </c>
      <c r="H2610">
        <f>1-(1-Skills!J2/100)^Skills!K2</f>
        <v/>
      </c>
      <c r="I2610" t="inlineStr">
        <is>
          <t>1</t>
        </is>
      </c>
      <c r="J2610">
        <f>((Inputs!$B$6*(1+Inputs!$B$7/100))+(((Inputs!$B$12*(1+Inputs!$B$13/100))-(Inputs!$B$12*(1+Inputs!$B$13/100)))+0.25*(Inputs!$B$14-Inputs!$B$14))*(1+Inputs!$B$7/100))*(F2610/100)</f>
        <v/>
      </c>
      <c r="K2610">
        <f>J2610*(1+((Inputs!$B$12*(1+Inputs!$B$13/100))*0.01+Inputs!$B$14*0.0025)/100)*(1+Inputs!$B$15/100)*(1+Inputs!$B$16/100)*(5000/(6000+Inputs!$B$42*(1-(100*(1-(1-(Inputs!$B$19+0)/100)*(1-CHOOSE(ArtifactsInput!$N$40+1,5,6,7,8,9,10)/100)^(IF(ArtifactsInput!$M$40,FALSE,TRUE)-ArtifactsInput!$M$40)))/100)))*(1+(Inputs!$B$24+((C2634=TRUE)*(F2634-Calc!F26))+B2644)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2631=TRUE)*(F2631-Calc!F23))+((C2635=TRUE)*(F2635-Calc!F27))+(((IF(AND(ArtifactsInput!$M$42,((Inputs!$B$9+((C2627=TRUE)*(F2627-Calc!F19))+B2638+(ArtifactsInput!$M$24-ArtifactsInput!$M$24)*CHOOSE(ArtifactsInput!$N$24+1,10,12,14,16,18,20)+IF(ArtifactsInput!$M$10,CHOOSE(ArtifactsInput!$N$10+1,15,18,21,24,27,30)*(IF(Inputs!$B$38="pvp",MIN(15,15)/15,IF(AND(Inputs!$B$38&lt;&gt;"pvp",Inputs!$B$43&gt;0),MIN(15,Inputs!$B$43)/(Inputs!$B$43),0))),0)))&gt;=100),MIN(100,((Inputs!$B$9+((C2627=TRUE)*(F2627-Calc!F19))+B2638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2627=TRUE)*(F2627-Calc!F19))+B2638+(ArtifactsInput!$M$24-ArtifactsInput!$M$24)*CHOOSE(ArtifactsInput!$N$24+1,10,12,14,16,18,20)+IF(ArtifactsInput!$M$10,CHOOSE(ArtifactsInput!$N$10+1,15,18,21,24,27,30)*(IF(Inputs!$B$38="pvp",MIN(15,15)/15,IF(AND(Inputs!$B$38&lt;&gt;"pvp",Inputs!$B$43&gt;0),MIN(15,Inputs!$B$43)/(Inputs!$B$43),0))),0)))&gt;=100),CHOOSE(ArtifactsInput!$N$42+1,40,48,56,64,72,80),0))))/100)*((1+(((C2625=TRUE)*F2625)+((C2632=TRUE)*(F2632-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2610)</f>
        <v/>
      </c>
      <c r="L2610">
        <f>K2610*(MIN(Inputs!$B$22+((C2630=TRUE)*(F2630-Calc!F22)),(Inputs!$B$23+0+(IF(ArtifactsInput!$M$15,CHOOSE(ArtifactsInput!$N$15+1,25,30,35,40,45,50)/100*(Inputs!$B$11-Inputs!$B$11),0))))/100+(Inputs!$B$23+0+(IF(ArtifactsInput!$M$15,CHOOSE(ArtifactsInput!$N$15+1,25,30,35,40,45,50)/100*(Inputs!$B$11-Inputs!$B$11),0)))/100)/2</f>
        <v/>
      </c>
      <c r="M2610">
        <f>L2610*(1+(Inputs!$B$10+((C2633=TRUE)*(F2633-Calc!F25))+B2643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0">
        <f>L2610*(1-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2610*(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0">
        <f>(1-Summary!$B$11)*T2610+Summary!$B$11*V2610</f>
        <v/>
      </c>
      <c r="P2610">
        <f>IF(B2648=0,0,O2610/B2648)</f>
        <v/>
      </c>
      <c r="Q2610" t="n">
        <v>0</v>
      </c>
      <c r="R2610" t="n">
        <v>0</v>
      </c>
      <c r="S2610">
        <f>IFERROR(O2610/N2610,0)</f>
        <v/>
      </c>
      <c r="T2610">
        <f>IF(C2610,(Skills!G2*N2610*B2642)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2610*(1-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2610*(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2610*(1-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2610*(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0">
        <f>MAX(0,(Inputs!$B$3-100)*3)+Inputs!$B$28+Inputs!$B$29</f>
        <v/>
      </c>
      <c r="V2610">
        <f>IF(C2610,(Skills!G2*N2610*B2642)*IF(Inputs!$B$38="pvp",1,(1+(Inputs!$B$21+Skills!Q2+(IF(ArtifactsInput!$M$33,CHOOSE(ArtifactsInput!$N$33+1,30,36,42,48,54,60),0))+(IF(AND(ArtifactsInput!$M$35,Inputs!$B$4&lt;&gt;"Chapter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1">
      <c r="A2611">
        <f>Skills!A3</f>
        <v/>
      </c>
      <c r="B2611">
        <f>Skills!B3</f>
        <v/>
      </c>
      <c r="C2611">
        <f>Inputs!$B$3&gt;=35</f>
        <v/>
      </c>
      <c r="D2611">
        <f>IF(Skills!C3=1,60+Inputs!$B$25+Inputs!$B$29,IF(Skills!C3=2,90+Inputs!$B$26+Inputs!$B$29,IF(Skills!C3=3,120+Inputs!$B$27+Inputs!$B$29,MAX(0,(Inputs!$B$3-100)*3)+Inputs!$B$28+Inputs!$B$29)))</f>
        <v/>
      </c>
      <c r="E2611">
        <f>INDEX(FactorTable!$B$2:$Y$301, MATCH(ROUND(MIN(300,MAX(1,D2611)),0), FactorTable!$A$2:$A$301,0), Skills!M3+1)</f>
        <v/>
      </c>
      <c r="F2611">
        <f>IF(Skills!N3=TRUE,(Skills!L3/10)*(E2611/1000),Skills!L3/10)+Skills!O3</f>
        <v/>
      </c>
      <c r="G2611">
        <f>Skills!G3*IF(Skills!H3&gt;0,Skills!I3/Skills!H3,1)</f>
        <v/>
      </c>
      <c r="H2611">
        <f>1-(1-Skills!J3/100)^Skills!K3</f>
        <v/>
      </c>
      <c r="I2611" t="inlineStr">
        <is>
          <t>1</t>
        </is>
      </c>
      <c r="J2611">
        <f>((Inputs!$B$6*(1+Inputs!$B$7/100))+(((Inputs!$B$12*(1+Inputs!$B$13/100))-(Inputs!$B$12*(1+Inputs!$B$13/100)))+0.25*(Inputs!$B$14-Inputs!$B$14))*(1+Inputs!$B$7/100))*(F2611/100)</f>
        <v/>
      </c>
      <c r="K2611">
        <f>J2611*(1+((Inputs!$B$12*(1+Inputs!$B$13/100))*0.01+Inputs!$B$14*0.0025)/100)*(1+Inputs!$B$15/100)*(1+Inputs!$B$16/100)*(5000/(6000+Inputs!$B$42*(1-(100*(1-(1-(Inputs!$B$19+0)/100)*(1-CHOOSE(ArtifactsInput!$N$40+1,5,6,7,8,9,10)/100)^(IF(ArtifactsInput!$M$40,FALSE,TRUE)-ArtifactsInput!$M$40)))/100)))*(1+(Inputs!$B$24+((C2634=TRUE)*(F2634-Calc!F26))+B2644)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2623=TRUE,F2623,0)/100)*(1+(IF(Skills!A3="EIGHT_LEGS_EASTON",Inputs!$B$17+((C2631=TRUE)*(F2631-Calc!F23))+((C2635=TRUE)*(F2635-Calc!F27))+(((IF(AND(ArtifactsInput!$M$42,((Inputs!$B$9+((C2627=TRUE)*(F2627-Calc!F19))+B2638+(ArtifactsInput!$M$24-ArtifactsInput!$M$24)*CHOOSE(ArtifactsInput!$N$24+1,10,12,14,16,18,20)+IF(ArtifactsInput!$M$10,CHOOSE(ArtifactsInput!$N$10+1,15,18,21,24,27,30)*(IF(Inputs!$B$38="pvp",MIN(15,15)/15,IF(AND(Inputs!$B$38&lt;&gt;"pvp",Inputs!$B$43&gt;0),MIN(15,Inputs!$B$43)/(Inputs!$B$43),0))),0)))&gt;=100),MIN(100,((Inputs!$B$9+((C2627=TRUE)*(F2627-Calc!F19))+B2638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2627=TRUE)*(F2627-Calc!F19))+B2638+(ArtifactsInput!$M$24-ArtifactsInput!$M$24)*CHOOSE(ArtifactsInput!$N$24+1,10,12,14,16,18,20)+IF(ArtifactsInput!$M$10,CHOOSE(ArtifactsInput!$N$10+1,15,18,21,24,27,30)*(IF(Inputs!$B$38="pvp",MIN(15,15)/15,IF(AND(Inputs!$B$38&lt;&gt;"pvp",Inputs!$B$43&gt;0),MIN(15,Inputs!$B$43)/(Inputs!$B$43),0))),0)))&gt;=100),CHOOSE(ArtifactsInput!$N$42+1,40,48,56,64,72,80),0))))/100)*((1+(((C2625=TRUE)*F2625)+((C2632=TRUE)*(F2632-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2611)</f>
        <v/>
      </c>
      <c r="L2611">
        <f>K2611*(MIN(Inputs!$B$22+((C2630=TRUE)*(F2630-Calc!F22)),(Inputs!$B$23+0+(IF(ArtifactsInput!$M$15,CHOOSE(ArtifactsInput!$N$15+1,25,30,35,40,45,50)/100*(Inputs!$B$11-Inputs!$B$11),0))))/100+(Inputs!$B$23+0+(IF(ArtifactsInput!$M$15,CHOOSE(ArtifactsInput!$N$15+1,25,30,35,40,45,50)/100*(Inputs!$B$11-Inputs!$B$11),0)))/100)/2</f>
        <v/>
      </c>
      <c r="M2611">
        <f>L2611*(1+(Inputs!$B$10+((C2633=TRUE)*(F2633-Calc!F25))+B2643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1">
        <f>L2611*(1-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1">
        <f>(1-Summary!$B$11)*T2611+Summary!$B$11*V2611</f>
        <v/>
      </c>
      <c r="P2611">
        <f>IF(B2648=0,0,O2611/B2648)</f>
        <v/>
      </c>
      <c r="Q2611">
        <f>IFERROR(1/(IF(Inputs!$B$38="pvp",15,MAX(0.1,Skills!D3-IF(Skills!E3=TRUE,Inputs!$B$32,0)))*(1-IF(AND(ArtifactsInput!$M$27,Inputs!$B$4="Chapter Hunt"),CHOOSE(ArtifactsInput!$N$27+1,20,24,28,32,36,40),0)/100)),0)</f>
        <v/>
      </c>
      <c r="R2611">
        <f>IF(AND(Inputs!$B$38&lt;&gt;"pvp",Inputs!$B$43&gt;0),IF(MAX(0,Inputs!$B$43-B2645)&lt;=0,0,(INT(MAX(0,Inputs!$B$43-B2645)/(IF(Inputs!$B$38="pvp",15,MAX(0.1,Skills!D3-IF(Skills!E3=TRUE,Inputs!$B$32,0)))*(1-IF(AND(ArtifactsInput!$M$27,Inputs!$B$4="Chapter Hunt"),CHOOSE(ArtifactsInput!$N$27+1,20,24,28,32,36,40),0)/100)))+1)),0)</f>
        <v/>
      </c>
      <c r="S2611">
        <f>IFERROR(O2611/N2611,0)</f>
        <v/>
      </c>
      <c r="T2611">
        <f>IF(C2611,(H2611*N2611*IF(AND(Inputs!$B$38&lt;&gt;"pvp",Inputs!$B$43&gt;0),((Skills!G3*((R2611-1)*IF(Skills!H3&gt;0,Skills!I3/Skills!H3,1)+IF(Skills!H3&gt;0,MIN(Skills!I3,MAX(0,MAX(0,Inputs!$B$43-B2645)-((R2611-1)*(IF(Inputs!$B$38="pvp",15,MAX(0.1,Skills!D3-IF(Skills!E3=TRUE,Inputs!$B$32,0)))*(1-IF(AND(ArtifactsInput!$M$27,Inputs!$B$4="Chapter Hunt"),CHOOSE(ArtifactsInput!$N$27+1,20,24,28,32,36,40),0)/100)))))/Skills!H3,1)))/Inputs!$B$43),G2611*Q2611)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2611*(1-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1">
        <f>INDEX(FactorTable!$B$2:$Y$301, MATCH(ROUND(MIN(300,MAX(1,U2610)),0), FactorTable!$A$2:$A$301,0), 22)</f>
        <v/>
      </c>
      <c r="V2611">
        <f>IF(C2611,(H2611*N2611*IF(AND(Inputs!$B$38&lt;&gt;"pvp",Inputs!$B$43&gt;0),((Skills!G3*((R2611-1)*IF(Skills!H3&gt;0,Skills!I3/Skills!H3,1)+IF(Skills!H3&gt;0,MIN(Skills!I3,MAX(0,MAX(0,Inputs!$B$43-B2645)-((R2611-1)*(IF(Inputs!$B$38="pvp",15,MAX(0.1,Skills!D3-IF(Skills!E3=TRUE,Inputs!$B$32,0)))*(1-IF(AND(ArtifactsInput!$M$27,Inputs!$B$4="Chapter Hunt"),CHOOSE(ArtifactsInput!$N$27+1,20,24,28,32,36,40),0)/100)))))/Skills!H3,1)))/Inputs!$B$43),G2611*Q2611))*IF(Inputs!$B$38="pvp",1,(1+(Inputs!$B$21+Skills!Q3+(IF(ArtifactsInput!$M$33,CHOOSE(ArtifactsInput!$N$33+1,30,36,42,48,54,60)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2">
      <c r="A2612">
        <f>Skills!A4</f>
        <v/>
      </c>
      <c r="B2612">
        <f>Skills!B4</f>
        <v/>
      </c>
      <c r="C2612">
        <f>Inputs!$B$3&gt;=40</f>
        <v/>
      </c>
      <c r="D2612">
        <f>IF(Skills!C4=1,60+Inputs!$B$25+Inputs!$B$29,IF(Skills!C4=2,90+Inputs!$B$26+Inputs!$B$29,IF(Skills!C4=3,120+Inputs!$B$27+Inputs!$B$29,MAX(0,(Inputs!$B$3-100)*3)+Inputs!$B$28+Inputs!$B$29)))</f>
        <v/>
      </c>
      <c r="E2612">
        <f>INDEX(FactorTable!$B$2:$Y$301, MATCH(ROUND(MIN(300,MAX(1,D2612)),0), FactorTable!$A$2:$A$301,0), Skills!M4+1)</f>
        <v/>
      </c>
      <c r="F2612">
        <f>IF(Skills!N4=TRUE,(Skills!L4/10)*(E2612/1000),Skills!L4/10)+Skills!O4</f>
        <v/>
      </c>
      <c r="G2612">
        <f>Skills!G4*IF(Skills!H4&gt;0,Skills!I4/Skills!H4,1)</f>
        <v/>
      </c>
      <c r="H2612">
        <f>1-(1-Skills!J4/100)^Skills!K4</f>
        <v/>
      </c>
      <c r="I2612" t="inlineStr">
        <is>
          <t>1</t>
        </is>
      </c>
      <c r="J2612">
        <f>((Inputs!$B$6*(1+Inputs!$B$7/100))+(((Inputs!$B$12*(1+Inputs!$B$13/100))-(Inputs!$B$12*(1+Inputs!$B$13/100)))+0.25*(Inputs!$B$14-Inputs!$B$14))*(1+Inputs!$B$7/100))*(F2612/100)</f>
        <v/>
      </c>
      <c r="K2612">
        <f>J2612*(1+((Inputs!$B$12*(1+Inputs!$B$13/100))*0.01+Inputs!$B$14*0.0025)/100)*(1+Inputs!$B$15/100)*(1+Inputs!$B$16/100)*(5000/(6000+Inputs!$B$42*(1-(100*(1-(1-(Inputs!$B$19+0)/100)*(1-CHOOSE(ArtifactsInput!$N$40+1,5,6,7,8,9,10)/100)^(IF(ArtifactsInput!$M$40,FALSE,TRUE)-ArtifactsInput!$M$40)))/100)))*(1+(Inputs!$B$24+((C2634=TRUE)*(F2634-Calc!F26))+B2644)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2624=TRUE,F2624,0)/100)*(1+(IF(Skills!A4="EIGHT_LEGS_EASTON",Inputs!$B$17+((C2631=TRUE)*(F2631-Calc!F23))+((C2635=TRUE)*(F2635-Calc!F27))+(((IF(AND(ArtifactsInput!$M$42,((Inputs!$B$9+((C2627=TRUE)*(F2627-Calc!F19))+B2638+(ArtifactsInput!$M$24-ArtifactsInput!$M$24)*CHOOSE(ArtifactsInput!$N$24+1,10,12,14,16,18,20)+IF(ArtifactsInput!$M$10,CHOOSE(ArtifactsInput!$N$10+1,15,18,21,24,27,30)*(IF(Inputs!$B$38="pvp",MIN(15,15)/15,IF(AND(Inputs!$B$38&lt;&gt;"pvp",Inputs!$B$43&gt;0),MIN(15,Inputs!$B$43)/(Inputs!$B$43),0))),0)))&gt;=100),MIN(100,((Inputs!$B$9+((C2627=TRUE)*(F2627-Calc!F19))+B2638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2627=TRUE)*(F2627-Calc!F19))+B2638+(ArtifactsInput!$M$24-ArtifactsInput!$M$24)*CHOOSE(ArtifactsInput!$N$24+1,10,12,14,16,18,20)+IF(ArtifactsInput!$M$10,CHOOSE(ArtifactsInput!$N$10+1,15,18,21,24,27,30)*(IF(Inputs!$B$38="pvp",MIN(15,15)/15,IF(AND(Inputs!$B$38&lt;&gt;"pvp",Inputs!$B$43&gt;0),MIN(15,Inputs!$B$43)/(Inputs!$B$43),0))),0)))&gt;=100),CHOOSE(ArtifactsInput!$N$42+1,40,48,56,64,72,80),0))))/100)*((1+(((C2625=TRUE)*F2625)+((C2632=TRUE)*(F2632-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2612)</f>
        <v/>
      </c>
      <c r="L2612">
        <f>K2612*(MIN(Inputs!$B$22+((C2630=TRUE)*(F2630-Calc!F22)),(Inputs!$B$23+0+(IF(ArtifactsInput!$M$15,CHOOSE(ArtifactsInput!$N$15+1,25,30,35,40,45,50)/100*(Inputs!$B$11-Inputs!$B$11),0))))/100+(Inputs!$B$23+0+(IF(ArtifactsInput!$M$15,CHOOSE(ArtifactsInput!$N$15+1,25,30,35,40,45,50)/100*(Inputs!$B$11-Inputs!$B$11),0)))/100)/2</f>
        <v/>
      </c>
      <c r="M2612">
        <f>L2612*(1+(Inputs!$B$10+((C2633=TRUE)*(F2633-Calc!F25))+B2643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2">
        <f>L2612*(1-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2612*(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2">
        <f>(1-Summary!$B$11)*T2612+Summary!$B$11*V2612</f>
        <v/>
      </c>
      <c r="P2612">
        <f>IF(B2648=0,0,O2612/B2648)</f>
        <v/>
      </c>
      <c r="Q2612">
        <f>IFERROR(1/(IF(Inputs!$B$38="pvp",15,MAX(0.1,Skills!D4-IF(Skills!E4=TRUE,Inputs!$B$32,0)))*(1-IF(AND(ArtifactsInput!$M$27,Inputs!$B$4="Chapter Hunt"),CHOOSE(ArtifactsInput!$N$27+1,20,24,28,32,36,40),0)/100)),0)</f>
        <v/>
      </c>
      <c r="R2612">
        <f>IF(AND(Inputs!$B$38&lt;&gt;"pvp",Inputs!$B$43&gt;0),IF(MAX(0,Inputs!$B$43-B2645)&lt;=0,0,(INT(MAX(0,Inputs!$B$43-B2645)/(IF(Inputs!$B$38="pvp",15,MAX(0.1,Skills!D4-IF(Skills!E4=TRUE,Inputs!$B$32,0)))*(1-IF(AND(ArtifactsInput!$M$27,Inputs!$B$4="Chapter Hunt"),CHOOSE(ArtifactsInput!$N$27+1,20,24,28,32,36,40),0)/100)))+1)),0)</f>
        <v/>
      </c>
      <c r="S2612">
        <f>IFERROR(O2612/N2612,0)</f>
        <v/>
      </c>
      <c r="T2612">
        <f>IF(C2612,(H2612*N2612*IF(AND(Inputs!$B$38&lt;&gt;"pvp",Inputs!$B$43&gt;0),((Skills!G4*((R2612-1)*IF(Skills!H4&gt;0,Skills!I4/Skills!H4,1)+IF(Skills!H4&gt;0,MIN(Skills!I4,MAX(0,MAX(0,Inputs!$B$43-B2645)-((R2612-1)*(IF(Inputs!$B$38="pvp",15,MAX(0.1,Skills!D4-IF(Skills!E4=TRUE,Inputs!$B$32,0)))*(1-IF(AND(ArtifactsInput!$M$27,Inputs!$B$4="Chapter Hunt"),CHOOSE(ArtifactsInput!$N$27+1,20,24,28,32,36,40),0)/100)))))/Skills!H4,1)))/Inputs!$B$43),G2612*Q2612)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2612*(1-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2612*(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2612*(1-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2612*(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2">
        <f>290*U2611/1000</f>
        <v/>
      </c>
      <c r="V2612">
        <f>IF(C2612,(H2612*N2612*IF(AND(Inputs!$B$38&lt;&gt;"pvp",Inputs!$B$43&gt;0),((Skills!G4*((R2612-1)*IF(Skills!H4&gt;0,Skills!I4/Skills!H4,1)+IF(Skills!H4&gt;0,MIN(Skills!I4,MAX(0,MAX(0,Inputs!$B$43-B2645)-((R2612-1)*(IF(Inputs!$B$38="pvp",15,MAX(0.1,Skills!D4-IF(Skills!E4=TRUE,Inputs!$B$32,0)))*(1-IF(AND(ArtifactsInput!$M$27,Inputs!$B$4="Chapter Hunt"),CHOOSE(ArtifactsInput!$N$27+1,20,24,28,32,36,40),0)/100)))))/Skills!H4,1)))/Inputs!$B$43),G2612*Q2612))*IF(Inputs!$B$38="pvp",1,(1+(Inputs!$B$21+Skills!Q4+(IF(ArtifactsInput!$M$33,CHOOSE(ArtifactsInput!$N$33+1,30,36,42,48,54,60)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3">
      <c r="A2613">
        <f>Skills!A5</f>
        <v/>
      </c>
      <c r="B2613">
        <f>Skills!B5</f>
        <v/>
      </c>
      <c r="C2613">
        <f>Inputs!$B$3&gt;=45</f>
        <v/>
      </c>
      <c r="D2613">
        <f>IF(Skills!C5=1,60+Inputs!$B$25+Inputs!$B$29,IF(Skills!C5=2,90+Inputs!$B$26+Inputs!$B$29,IF(Skills!C5=3,120+Inputs!$B$27+Inputs!$B$29,MAX(0,(Inputs!$B$3-100)*3)+Inputs!$B$28+Inputs!$B$29)))</f>
        <v/>
      </c>
      <c r="E2613">
        <f>INDEX(FactorTable!$B$2:$Y$301, MATCH(ROUND(MIN(300,MAX(1,D2613)),0), FactorTable!$A$2:$A$301,0), Skills!M5+1)</f>
        <v/>
      </c>
      <c r="F2613">
        <f>IF(Skills!N5=TRUE,(Skills!L5/10)*(E2613/1000),Skills!L5/10)+Skills!O5</f>
        <v/>
      </c>
      <c r="G2613">
        <f>Skills!G5*IF(Skills!H5&gt;0,Skills!I5/Skills!H5,1)</f>
        <v/>
      </c>
      <c r="H2613">
        <f>1-(1-Skills!J5/100)^Skills!K5</f>
        <v/>
      </c>
      <c r="I2613" t="inlineStr">
        <is>
          <t>1</t>
        </is>
      </c>
      <c r="J2613">
        <f>((Inputs!$B$6*(1+Inputs!$B$7/100))+(((Inputs!$B$12*(1+Inputs!$B$13/100))-(Inputs!$B$12*(1+Inputs!$B$13/100)))+0.25*(Inputs!$B$14-Inputs!$B$14))*(1+Inputs!$B$7/100))*(F2613/100)</f>
        <v/>
      </c>
      <c r="K2613">
        <f>J2613*(1+((Inputs!$B$12*(1+Inputs!$B$13/100))*0.01+Inputs!$B$14*0.0025)/100)*(1+Inputs!$B$15/100)*(1+Inputs!$B$16/100)*(5000/(6000+Inputs!$B$42*(1-(100*(1-(1-(Inputs!$B$19+0)/100)*(1-CHOOSE(ArtifactsInput!$N$40+1,5,6,7,8,9,10)/100)^(IF(ArtifactsInput!$M$40,FALSE,TRUE)-ArtifactsInput!$M$40)))/100)))*(1+(Inputs!$B$24+((C2634=TRUE)*(F2634-Calc!F26))+B2644)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2624=TRUE,F2624,0)/100)*(1+(IF(Skills!A5="EIGHT_LEGS_EASTON",Inputs!$B$17+((C2631=TRUE)*(F2631-Calc!F23))+((C2635=TRUE)*(F2635-Calc!F27))+(((IF(AND(ArtifactsInput!$M$42,((Inputs!$B$9+((C2627=TRUE)*(F2627-Calc!F19))+B2638+(ArtifactsInput!$M$24-ArtifactsInput!$M$24)*CHOOSE(ArtifactsInput!$N$24+1,10,12,14,16,18,20)+IF(ArtifactsInput!$M$10,CHOOSE(ArtifactsInput!$N$10+1,15,18,21,24,27,30)*(IF(Inputs!$B$38="pvp",MIN(15,15)/15,IF(AND(Inputs!$B$38&lt;&gt;"pvp",Inputs!$B$43&gt;0),MIN(15,Inputs!$B$43)/(Inputs!$B$43),0))),0)))&gt;=100),MIN(100,((Inputs!$B$9+((C2627=TRUE)*(F2627-Calc!F19))+B2638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2627=TRUE)*(F2627-Calc!F19))+B2638+(ArtifactsInput!$M$24-ArtifactsInput!$M$24)*CHOOSE(ArtifactsInput!$N$24+1,10,12,14,16,18,20)+IF(ArtifactsInput!$M$10,CHOOSE(ArtifactsInput!$N$10+1,15,18,21,24,27,30)*(IF(Inputs!$B$38="pvp",MIN(15,15)/15,IF(AND(Inputs!$B$38&lt;&gt;"pvp",Inputs!$B$43&gt;0),MIN(15,Inputs!$B$43)/(Inputs!$B$43),0))),0)))&gt;=100),CHOOSE(ArtifactsInput!$N$42+1,40,48,56,64,72,80),0))))/100)*((1+(((C2625=TRUE)*F2625)+((C2632=TRUE)*(F2632-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2613)</f>
        <v/>
      </c>
      <c r="L2613">
        <f>K2613*(MIN(Inputs!$B$22+((C2630=TRUE)*(F2630-Calc!F22)),(Inputs!$B$23+0+(IF(ArtifactsInput!$M$15,CHOOSE(ArtifactsInput!$N$15+1,25,30,35,40,45,50)/100*(Inputs!$B$11-Inputs!$B$11),0))))/100+(Inputs!$B$23+0+(IF(ArtifactsInput!$M$15,CHOOSE(ArtifactsInput!$N$15+1,25,30,35,40,45,50)/100*(Inputs!$B$11-Inputs!$B$11),0)))/100)/2</f>
        <v/>
      </c>
      <c r="M2613">
        <f>L2613*(1+(Inputs!$B$10+((C2633=TRUE)*(F2633-Calc!F25))+B2643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3">
        <f>L2613*(1-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2613*(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3">
        <f>(1-Summary!$B$11)*T2613+Summary!$B$11*V2613</f>
        <v/>
      </c>
      <c r="P2613">
        <f>IF(B2648=0,0,O2613/B2648)</f>
        <v/>
      </c>
      <c r="Q2613">
        <f>IFERROR(1/(IF(Inputs!$B$38="pvp",15,MAX(0.1,Skills!D5-IF(Skills!E5=TRUE,Inputs!$B$32,0)))*(1-IF(AND(ArtifactsInput!$M$27,Inputs!$B$4="Chapter Hunt"),CHOOSE(ArtifactsInput!$N$27+1,20,24,28,32,36,40),0)/100)),0)</f>
        <v/>
      </c>
      <c r="R2613">
        <f>IF(AND(Inputs!$B$38&lt;&gt;"pvp",Inputs!$B$43&gt;0),IF(MAX(0,Inputs!$B$43-B2645)&lt;=0,0,(INT(MAX(0,Inputs!$B$43-B2645)/(IF(Inputs!$B$38="pvp",15,MAX(0.1,Skills!D5-IF(Skills!E5=TRUE,Inputs!$B$32,0)))*(1-IF(AND(ArtifactsInput!$M$27,Inputs!$B$4="Chapter Hunt"),CHOOSE(ArtifactsInput!$N$27+1,20,24,28,32,36,40),0)/100)))+1)),0)</f>
        <v/>
      </c>
      <c r="S2613">
        <f>IFERROR(O2613/N2613,0)</f>
        <v/>
      </c>
      <c r="T2613">
        <f>IF(C2613,(H2613*N2613*IF(AND(Inputs!$B$38&lt;&gt;"pvp",Inputs!$B$43&gt;0),((Skills!G5*((R2613-1)*IF(Skills!H5&gt;0,Skills!I5/Skills!H5,1)+IF(Skills!H5&gt;0,MIN(Skills!I5,MAX(0,MAX(0,Inputs!$B$43-B2645)-((R2613-1)*(IF(Inputs!$B$38="pvp",15,MAX(0.1,Skills!D5-IF(Skills!E5=TRUE,Inputs!$B$32,0)))*(1-IF(AND(ArtifactsInput!$M$27,Inputs!$B$4="Chapter Hunt"),CHOOSE(ArtifactsInput!$N$27+1,20,24,28,32,36,40),0)/100)))))/Skills!H5,1)))/Inputs!$B$43),G2613*Q2613)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2613*(1-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2613*(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2613*(1-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2613*(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3">
        <f>IF(C2613,(H2613*N2613*IF(AND(Inputs!$B$38&lt;&gt;"pvp",Inputs!$B$43&gt;0),((Skills!G5*((R2613-1)*IF(Skills!H5&gt;0,Skills!I5/Skills!H5,1)+IF(Skills!H5&gt;0,MIN(Skills!I5,MAX(0,MAX(0,Inputs!$B$43-B2645)-((R2613-1)*(IF(Inputs!$B$38="pvp",15,MAX(0.1,Skills!D5-IF(Skills!E5=TRUE,Inputs!$B$32,0)))*(1-IF(AND(ArtifactsInput!$M$27,Inputs!$B$4="Chapter Hunt"),CHOOSE(ArtifactsInput!$N$27+1,20,24,28,32,36,40),0)/100)))))/Skills!H5,1)))/Inputs!$B$43),G2613*Q2613))*IF(Inputs!$B$38="pvp",1,(1+(Inputs!$B$21+Skills!Q5+(IF(ArtifactsInput!$M$33,CHOOSE(ArtifactsInput!$N$33+1,30,36,42,48,54,60)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4">
      <c r="A2614">
        <f>Skills!A6</f>
        <v/>
      </c>
      <c r="B2614">
        <f>Skills!B6</f>
        <v/>
      </c>
      <c r="C2614">
        <f>Inputs!$B$3&gt;=63</f>
        <v/>
      </c>
      <c r="D2614">
        <f>IF(Skills!C6=1,60+Inputs!$B$25+Inputs!$B$29,IF(Skills!C6=2,90+Inputs!$B$26+Inputs!$B$29,IF(Skills!C6=3,120+Inputs!$B$27+Inputs!$B$29,MAX(0,(Inputs!$B$3-100)*3)+Inputs!$B$28+Inputs!$B$29)))</f>
        <v/>
      </c>
      <c r="E2614">
        <f>INDEX(FactorTable!$B$2:$Y$301, MATCH(ROUND(MIN(300,MAX(1,D2614)),0), FactorTable!$A$2:$A$301,0), Skills!M6+1)</f>
        <v/>
      </c>
      <c r="F2614">
        <f>IF(Skills!N6=TRUE,(Skills!L6/10)*(E2614/1000),Skills!L6/10)+Skills!O6</f>
        <v/>
      </c>
      <c r="G2614">
        <f>Skills!G6*IF(Skills!H6&gt;0,Skills!I6/Skills!H6,1)</f>
        <v/>
      </c>
      <c r="H2614">
        <f>1-(1-Skills!J6/100)^Skills!K6</f>
        <v/>
      </c>
      <c r="I2614" t="inlineStr">
        <is>
          <t>1</t>
        </is>
      </c>
      <c r="J2614">
        <f>((Inputs!$B$6*(1+Inputs!$B$7/100))+(((Inputs!$B$12*(1+Inputs!$B$13/100))-(Inputs!$B$12*(1+Inputs!$B$13/100)))+0.25*(Inputs!$B$14-Inputs!$B$14))*(1+Inputs!$B$7/100))*(F2614/100)</f>
        <v/>
      </c>
      <c r="K2614">
        <f>J2614*(1+((Inputs!$B$12*(1+Inputs!$B$13/100))*0.01+Inputs!$B$14*0.0025)/100)*(1+Inputs!$B$15/100)*(1+Inputs!$B$16/100)*(5000/(6000+Inputs!$B$42*(1-(100*(1-(1-(Inputs!$B$19+0)/100)*(1-CHOOSE(ArtifactsInput!$N$40+1,5,6,7,8,9,10)/100)^(IF(ArtifactsInput!$M$40,FALSE,TRUE)-ArtifactsInput!$M$40)))/100)))*(1+(Inputs!$B$24+((C2634=TRUE)*(F2634-Calc!F26))+B2644)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2623=TRUE,F2623,0)/100)*(1+(IF(Skills!A6="EIGHT_LEGS_EASTON",Inputs!$B$17+((C2631=TRUE)*(F2631-Calc!F23))+((C2635=TRUE)*(F2635-Calc!F27))+(((IF(AND(ArtifactsInput!$M$42,((Inputs!$B$9+((C2627=TRUE)*(F2627-Calc!F19))+B2638+(ArtifactsInput!$M$24-ArtifactsInput!$M$24)*CHOOSE(ArtifactsInput!$N$24+1,10,12,14,16,18,20)+IF(ArtifactsInput!$M$10,CHOOSE(ArtifactsInput!$N$10+1,15,18,21,24,27,30)*(IF(Inputs!$B$38="pvp",MIN(15,15)/15,IF(AND(Inputs!$B$38&lt;&gt;"pvp",Inputs!$B$43&gt;0),MIN(15,Inputs!$B$43)/(Inputs!$B$43),0))),0)))&gt;=100),MIN(100,((Inputs!$B$9+((C2627=TRUE)*(F2627-Calc!F19))+B2638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2627=TRUE)*(F2627-Calc!F19))+B2638+(ArtifactsInput!$M$24-ArtifactsInput!$M$24)*CHOOSE(ArtifactsInput!$N$24+1,10,12,14,16,18,20)+IF(ArtifactsInput!$M$10,CHOOSE(ArtifactsInput!$N$10+1,15,18,21,24,27,30)*(IF(Inputs!$B$38="pvp",MIN(15,15)/15,IF(AND(Inputs!$B$38&lt;&gt;"pvp",Inputs!$B$43&gt;0),MIN(15,Inputs!$B$43)/(Inputs!$B$43),0))),0)))&gt;=100),CHOOSE(ArtifactsInput!$N$42+1,40,48,56,64,72,80),0))))/100)*((1+(((C2625=TRUE)*F2625)+((C2632=TRUE)*(F2632-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2614)</f>
        <v/>
      </c>
      <c r="L2614">
        <f>K2614*(MIN(Inputs!$B$22+((C2630=TRUE)*(F2630-Calc!F22)),(Inputs!$B$23+0+(IF(ArtifactsInput!$M$15,CHOOSE(ArtifactsInput!$N$15+1,25,30,35,40,45,50)/100*(Inputs!$B$11-Inputs!$B$11),0))))/100+(Inputs!$B$23+0+(IF(ArtifactsInput!$M$15,CHOOSE(ArtifactsInput!$N$15+1,25,30,35,40,45,50)/100*(Inputs!$B$11-Inputs!$B$11),0)))/100)/2</f>
        <v/>
      </c>
      <c r="M2614">
        <f>L2614*(1+(Inputs!$B$10+((C2633=TRUE)*(F2633-Calc!F25))+B2643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4">
        <f>L2614*(1-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2614*(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4">
        <f>(1-Summary!$B$11)*T2614+Summary!$B$11*V2614</f>
        <v/>
      </c>
      <c r="P2614">
        <f>IF(B2648=0,0,O2614/B2648)</f>
        <v/>
      </c>
      <c r="Q2614">
        <f>IFERROR(1/(IF(Inputs!$B$38="pvp",15,MAX(0.1,Skills!D6-IF(Skills!E6=TRUE,Inputs!$B$32,0)))*(1-IF(AND(ArtifactsInput!$M$27,Inputs!$B$4="Chapter Hunt"),CHOOSE(ArtifactsInput!$N$27+1,20,24,28,32,36,40),0)/100)),0)</f>
        <v/>
      </c>
      <c r="R2614">
        <f>IF(AND(Inputs!$B$38&lt;&gt;"pvp",Inputs!$B$43&gt;0),IF(MAX(0,Inputs!$B$43-B2645)&lt;=0,0,(INT(MAX(0,Inputs!$B$43-B2645)/(IF(Inputs!$B$38="pvp",15,MAX(0.1,Skills!D6-IF(Skills!E6=TRUE,Inputs!$B$32,0)))*(1-IF(AND(ArtifactsInput!$M$27,Inputs!$B$4="Chapter Hunt"),CHOOSE(ArtifactsInput!$N$27+1,20,24,28,32,36,40),0)/100)))+1)),0)</f>
        <v/>
      </c>
      <c r="S2614">
        <f>IFERROR(O2614/N2614,0)</f>
        <v/>
      </c>
      <c r="T2614">
        <f>IF(C2614,(H2614*N2614*IF(AND(Inputs!$B$38&lt;&gt;"pvp",Inputs!$B$43&gt;0),((Skills!G6*((R2614-1)*IF(Skills!H6&gt;0,Skills!I6/Skills!H6,1)+IF(Skills!H6&gt;0,MIN(Skills!I6,MAX(0,MAX(0,Inputs!$B$43-B2645)-((R2614-1)*(IF(Inputs!$B$38="pvp",15,MAX(0.1,Skills!D6-IF(Skills!E6=TRUE,Inputs!$B$32,0)))*(1-IF(AND(ArtifactsInput!$M$27,Inputs!$B$4="Chapter Hunt"),CHOOSE(ArtifactsInput!$N$27+1,20,24,28,32,36,40),0)/100)))))/Skills!H6,1)))/Inputs!$B$43),G2614*Q2614)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2614*(1-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2614*(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2614*(1-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2614*(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4">
        <f>IF(C2614,(H2614*N2614*IF(AND(Inputs!$B$38&lt;&gt;"pvp",Inputs!$B$43&gt;0),((Skills!G6*((R2614-1)*IF(Skills!H6&gt;0,Skills!I6/Skills!H6,1)+IF(Skills!H6&gt;0,MIN(Skills!I6,MAX(0,MAX(0,Inputs!$B$43-B2645)-((R2614-1)*(IF(Inputs!$B$38="pvp",15,MAX(0.1,Skills!D6-IF(Skills!E6=TRUE,Inputs!$B$32,0)))*(1-IF(AND(ArtifactsInput!$M$27,Inputs!$B$4="Chapter Hunt"),CHOOSE(ArtifactsInput!$N$27+1,20,24,28,32,36,40),0)/100)))))/Skills!H6,1)))/Inputs!$B$43),G2614*Q2614))*IF(Inputs!$B$38="pvp",1,(1+(Inputs!$B$21+Skills!Q6+(IF(ArtifactsInput!$M$33,CHOOSE(ArtifactsInput!$N$33+1,30,36,42,48,54,60)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5">
      <c r="A2615">
        <f>Skills!A7</f>
        <v/>
      </c>
      <c r="B2615">
        <f>Skills!B7</f>
        <v/>
      </c>
      <c r="C2615">
        <f>Inputs!$B$3&gt;=66</f>
        <v/>
      </c>
      <c r="D2615">
        <f>IF(Skills!C7=1,60+Inputs!$B$25+Inputs!$B$29,IF(Skills!C7=2,90+Inputs!$B$26+Inputs!$B$29,IF(Skills!C7=3,120+Inputs!$B$27+Inputs!$B$29,MAX(0,(Inputs!$B$3-100)*3)+Inputs!$B$28+Inputs!$B$29)))</f>
        <v/>
      </c>
      <c r="E2615">
        <f>INDEX(FactorTable!$B$2:$Y$301, MATCH(ROUND(MIN(300,MAX(1,D2615)),0), FactorTable!$A$2:$A$301,0), Skills!M7+1)</f>
        <v/>
      </c>
      <c r="F2615">
        <f>IF(Skills!N7=TRUE,(Skills!L7/10)*(E2615/1000),Skills!L7/10)+Skills!O7</f>
        <v/>
      </c>
      <c r="G2615">
        <f>Skills!G7*IF(Skills!H7&gt;0,Skills!I7/Skills!H7,1)</f>
        <v/>
      </c>
      <c r="H2615">
        <f>1-(1-Skills!J7/100)^Skills!K7</f>
        <v/>
      </c>
      <c r="I2615" t="inlineStr">
        <is>
          <t>1</t>
        </is>
      </c>
      <c r="J2615">
        <f>((Inputs!$B$6*(1+Inputs!$B$7/100))+(((Inputs!$B$12*(1+Inputs!$B$13/100))-(Inputs!$B$12*(1+Inputs!$B$13/100)))+0.25*(Inputs!$B$14-Inputs!$B$14))*(1+Inputs!$B$7/100))*(F2615/100)</f>
        <v/>
      </c>
      <c r="K2615">
        <f>J2615*(1+((Inputs!$B$12*(1+Inputs!$B$13/100))*0.01+Inputs!$B$14*0.0025)/100)*(1+Inputs!$B$15/100)*(1+Inputs!$B$16/100)*(5000/(6000+Inputs!$B$42*(1-(100*(1-(1-(Inputs!$B$19+0)/100)*(1-CHOOSE(ArtifactsInput!$N$40+1,5,6,7,8,9,10)/100)^(IF(ArtifactsInput!$M$40,FALSE,TRUE)-ArtifactsInput!$M$40)))/100)))*(1+(Inputs!$B$24+((C2634=TRUE)*(F2634-Calc!F26))+B2644)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2623=TRUE,F2623,0)/100)*(1+(IF(Skills!A7="EIGHT_LEGS_EASTON",Inputs!$B$17+((C2631=TRUE)*(F2631-Calc!F23))+((C2635=TRUE)*(F2635-Calc!F27))+(((IF(AND(ArtifactsInput!$M$42,((Inputs!$B$9+((C2627=TRUE)*(F2627-Calc!F19))+B2638+(ArtifactsInput!$M$24-ArtifactsInput!$M$24)*CHOOSE(ArtifactsInput!$N$24+1,10,12,14,16,18,20)+IF(ArtifactsInput!$M$10,CHOOSE(ArtifactsInput!$N$10+1,15,18,21,24,27,30)*(IF(Inputs!$B$38="pvp",MIN(15,15)/15,IF(AND(Inputs!$B$38&lt;&gt;"pvp",Inputs!$B$43&gt;0),MIN(15,Inputs!$B$43)/(Inputs!$B$43),0))),0)))&gt;=100),MIN(100,((Inputs!$B$9+((C2627=TRUE)*(F2627-Calc!F19))+B2638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2627=TRUE)*(F2627-Calc!F19))+B2638+(ArtifactsInput!$M$24-ArtifactsInput!$M$24)*CHOOSE(ArtifactsInput!$N$24+1,10,12,14,16,18,20)+IF(ArtifactsInput!$M$10,CHOOSE(ArtifactsInput!$N$10+1,15,18,21,24,27,30)*(IF(Inputs!$B$38="pvp",MIN(15,15)/15,IF(AND(Inputs!$B$38&lt;&gt;"pvp",Inputs!$B$43&gt;0),MIN(15,Inputs!$B$43)/(Inputs!$B$43),0))),0)))&gt;=100),CHOOSE(ArtifactsInput!$N$42+1,40,48,56,64,72,80),0))))/100)*((1+(((C2625=TRUE)*F2625)+((C2632=TRUE)*(F2632-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2615)</f>
        <v/>
      </c>
      <c r="L2615">
        <f>K2615*(MIN(Inputs!$B$22+((C2630=TRUE)*(F2630-Calc!F22)),(Inputs!$B$23+0+(IF(ArtifactsInput!$M$15,CHOOSE(ArtifactsInput!$N$15+1,25,30,35,40,45,50)/100*(Inputs!$B$11-Inputs!$B$11),0))))/100+(Inputs!$B$23+0+(IF(ArtifactsInput!$M$15,CHOOSE(ArtifactsInput!$N$15+1,25,30,35,40,45,50)/100*(Inputs!$B$11-Inputs!$B$11),0)))/100)/2</f>
        <v/>
      </c>
      <c r="M2615">
        <f>L2615*(1+(Inputs!$B$10+((C2633=TRUE)*(F2633-Calc!F25))+B2643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5">
        <f>L2615*(1-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2615*(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5">
        <f>(1-Summary!$B$11)*T2615+Summary!$B$11*V2615</f>
        <v/>
      </c>
      <c r="P2615">
        <f>IF(B2648=0,0,O2615/B2648)</f>
        <v/>
      </c>
      <c r="Q2615">
        <f>IFERROR(1/(IF(Inputs!$B$38="pvp",15,MAX(0.1,Skills!D7-IF(Skills!E7=TRUE,Inputs!$B$32,0)))*(1-IF(AND(ArtifactsInput!$M$27,Inputs!$B$4="Chapter Hunt"),CHOOSE(ArtifactsInput!$N$27+1,20,24,28,32,36,40),0)/100)),0)</f>
        <v/>
      </c>
      <c r="R2615">
        <f>IF(AND(Inputs!$B$38&lt;&gt;"pvp",Inputs!$B$43&gt;0),IF(MAX(0,Inputs!$B$43-B2645)&lt;=0,0,(INT(MAX(0,Inputs!$B$43-B2645)/(IF(Inputs!$B$38="pvp",15,MAX(0.1,Skills!D7-IF(Skills!E7=TRUE,Inputs!$B$32,0)))*(1-IF(AND(ArtifactsInput!$M$27,Inputs!$B$4="Chapter Hunt"),CHOOSE(ArtifactsInput!$N$27+1,20,24,28,32,36,40),0)/100)))+1)),0)</f>
        <v/>
      </c>
      <c r="S2615">
        <f>IFERROR(O2615/N2615,0)</f>
        <v/>
      </c>
      <c r="T2615">
        <f>IF(C2615,(H2615*N2615*IF(AND(Inputs!$B$38&lt;&gt;"pvp",Inputs!$B$43&gt;0),((Skills!G7*((R2615-1)*IF(Skills!H7&gt;0,Skills!I7/Skills!H7,1)+IF(Skills!H7&gt;0,MIN(Skills!I7,MAX(0,MAX(0,Inputs!$B$43-B2645)-((R2615-1)*(IF(Inputs!$B$38="pvp",15,MAX(0.1,Skills!D7-IF(Skills!E7=TRUE,Inputs!$B$32,0)))*(1-IF(AND(ArtifactsInput!$M$27,Inputs!$B$4="Chapter Hunt"),CHOOSE(ArtifactsInput!$N$27+1,20,24,28,32,36,40),0)/100)))))/Skills!H7,1)))/Inputs!$B$43),G2615*Q2615)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2615*(1-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2615*(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2615*(1-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2615*(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5">
        <f>IF(C2615,(H2615*N2615*IF(AND(Inputs!$B$38&lt;&gt;"pvp",Inputs!$B$43&gt;0),((Skills!G7*((R2615-1)*IF(Skills!H7&gt;0,Skills!I7/Skills!H7,1)+IF(Skills!H7&gt;0,MIN(Skills!I7,MAX(0,MAX(0,Inputs!$B$43-B2645)-((R2615-1)*(IF(Inputs!$B$38="pvp",15,MAX(0.1,Skills!D7-IF(Skills!E7=TRUE,Inputs!$B$32,0)))*(1-IF(AND(ArtifactsInput!$M$27,Inputs!$B$4="Chapter Hunt"),CHOOSE(ArtifactsInput!$N$27+1,20,24,28,32,36,40),0)/100)))))/Skills!H7,1)))/Inputs!$B$43),G2615*Q2615))*IF(Inputs!$B$38="pvp",1,(1+(Inputs!$B$21+Skills!Q7+(IF(ArtifactsInput!$M$33,CHOOSE(ArtifactsInput!$N$33+1,30,36,42,48,54,60)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6">
      <c r="A2616">
        <f>Skills!A8</f>
        <v/>
      </c>
      <c r="B2616">
        <f>Skills!B8</f>
        <v/>
      </c>
      <c r="C2616">
        <f>Inputs!$B$3&gt;=100</f>
        <v/>
      </c>
      <c r="D2616">
        <f>IF(Skills!C8=1,60+Inputs!$B$25+Inputs!$B$29,IF(Skills!C8=2,90+Inputs!$B$26+Inputs!$B$29,IF(Skills!C8=3,120+Inputs!$B$27+Inputs!$B$29,MAX(0,(Inputs!$B$3-100)*3)+Inputs!$B$28+Inputs!$B$29)))</f>
        <v/>
      </c>
      <c r="E2616">
        <f>INDEX(FactorTable!$B$2:$Y$301, MATCH(ROUND(MIN(300,MAX(1,D2616)),0), FactorTable!$A$2:$A$301,0), Skills!M8+1)</f>
        <v/>
      </c>
      <c r="F2616">
        <f>IF(Skills!N8=TRUE,(Skills!L8/10)*(E2616/1000),Skills!L8/10)+Skills!O8</f>
        <v/>
      </c>
      <c r="G2616">
        <f>Skills!G8*IF(Skills!H8&gt;0,Skills!I8/Skills!H8,1)</f>
        <v/>
      </c>
      <c r="H2616">
        <f>1-(1-Skills!J8/100)^Skills!K8</f>
        <v/>
      </c>
      <c r="I2616" t="inlineStr">
        <is>
          <t>1</t>
        </is>
      </c>
      <c r="J2616">
        <f>((Inputs!$B$6*(1+Inputs!$B$7/100))+(((Inputs!$B$12*(1+Inputs!$B$13/100))-(Inputs!$B$12*(1+Inputs!$B$13/100)))+0.25*(Inputs!$B$14-Inputs!$B$14))*(1+Inputs!$B$7/100))*(F2616/100)</f>
        <v/>
      </c>
      <c r="K2616">
        <f>J2616*(1+((Inputs!$B$12*(1+Inputs!$B$13/100))*0.01+Inputs!$B$14*0.0025)/100)*(1+Inputs!$B$15/100)*(1+Inputs!$B$16/100)*(5000/(6000+Inputs!$B$42*(1-(100*(1-(1-(Inputs!$B$19+0)/100)*(1-CHOOSE(ArtifactsInput!$N$40+1,5,6,7,8,9,10)/100)^(IF(ArtifactsInput!$M$40,FALSE,TRUE)-ArtifactsInput!$M$40)))/100)))*(1+(Inputs!$B$24+((C2634=TRUE)*(F2634-Calc!F26))+B2644)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2631=TRUE)*(F2631-Calc!F23))+((C2635=TRUE)*(F2635-Calc!F27))+(((IF(AND(ArtifactsInput!$M$42,((Inputs!$B$9+((C2627=TRUE)*(F2627-Calc!F19))+B2638+(ArtifactsInput!$M$24-ArtifactsInput!$M$24)*CHOOSE(ArtifactsInput!$N$24+1,10,12,14,16,18,20)+IF(ArtifactsInput!$M$10,CHOOSE(ArtifactsInput!$N$10+1,15,18,21,24,27,30)*(IF(Inputs!$B$38="pvp",MIN(15,15)/15,IF(AND(Inputs!$B$38&lt;&gt;"pvp",Inputs!$B$43&gt;0),MIN(15,Inputs!$B$43)/(Inputs!$B$43),0))),0)))&gt;=100),MIN(100,((Inputs!$B$9+((C2627=TRUE)*(F2627-Calc!F19))+B2638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2627=TRUE)*(F2627-Calc!F19))+B2638+(ArtifactsInput!$M$24-ArtifactsInput!$M$24)*CHOOSE(ArtifactsInput!$N$24+1,10,12,14,16,18,20)+IF(ArtifactsInput!$M$10,CHOOSE(ArtifactsInput!$N$10+1,15,18,21,24,27,30)*(IF(Inputs!$B$38="pvp",MIN(15,15)/15,IF(AND(Inputs!$B$38&lt;&gt;"pvp",Inputs!$B$43&gt;0),MIN(15,Inputs!$B$43)/(Inputs!$B$43),0))),0)))&gt;=100),CHOOSE(ArtifactsInput!$N$42+1,40,48,56,64,72,80),0))))/100)*((1+(((C2625=TRUE)*F2625)+((C2632=TRUE)*(F2632-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2616)</f>
        <v/>
      </c>
      <c r="L2616">
        <f>K2616*(MIN(Inputs!$B$22+((C2630=TRUE)*(F2630-Calc!F22)),(Inputs!$B$23+0+(IF(ArtifactsInput!$M$15,CHOOSE(ArtifactsInput!$N$15+1,25,30,35,40,45,50)/100*(Inputs!$B$11-Inputs!$B$11),0))))/100+(Inputs!$B$23+0+(IF(ArtifactsInput!$M$15,CHOOSE(ArtifactsInput!$N$15+1,25,30,35,40,45,50)/100*(Inputs!$B$11-Inputs!$B$11),0)))/100)/2</f>
        <v/>
      </c>
      <c r="M2616">
        <f>L2616*(1+(Inputs!$B$10+((C2633=TRUE)*(F2633-Calc!F25))+B2643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6">
        <f>L2616*(1-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2616*(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6">
        <f>(1-Summary!$B$11)*T2616+Summary!$B$11*V2616</f>
        <v/>
      </c>
      <c r="P2616">
        <f>IF(B2648=0,0,O2616/B2648)</f>
        <v/>
      </c>
      <c r="Q2616">
        <f>IFERROR(1/(IF(Inputs!$B$38="pvp",15,MAX(0.1,Skills!D8-IF(Skills!E8=TRUE,Inputs!$B$32,0)))*(1-IF(AND(ArtifactsInput!$M$27,Inputs!$B$4="Chapter Hunt"),CHOOSE(ArtifactsInput!$N$27+1,20,24,28,32,36,40),0)/100)),0)</f>
        <v/>
      </c>
      <c r="R2616">
        <f>IF(AND(Inputs!$B$38&lt;&gt;"pvp",Inputs!$B$43&gt;0),IF(MAX(0,Inputs!$B$43-B2645)&lt;=0,0,(INT(MAX(0,Inputs!$B$43-B2645)/(IF(Inputs!$B$38="pvp",15,MAX(0.1,Skills!D8-IF(Skills!E8=TRUE,Inputs!$B$32,0)))*(1-IF(AND(ArtifactsInput!$M$27,Inputs!$B$4="Chapter Hunt"),CHOOSE(ArtifactsInput!$N$27+1,20,24,28,32,36,40),0)/100)))+1)),0)</f>
        <v/>
      </c>
      <c r="S2616">
        <f>IFERROR(O2616/N2616,0)</f>
        <v/>
      </c>
      <c r="T2616">
        <f>IF(C2616,(H2616*N2616*IF(AND(Inputs!$B$38&lt;&gt;"pvp",Inputs!$B$43&gt;0),((Skills!G8*((R2616-1)*IF(Skills!H8&gt;0,Skills!I8/Skills!H8,1)+IF(Skills!H8&gt;0,MIN(Skills!I8,MAX(0,MAX(0,Inputs!$B$43-B2645)-((R2616-1)*(IF(Inputs!$B$38="pvp",15,MAX(0.1,Skills!D8-IF(Skills!E8=TRUE,Inputs!$B$32,0)))*(1-IF(AND(ArtifactsInput!$M$27,Inputs!$B$4="Chapter Hunt"),CHOOSE(ArtifactsInput!$N$27+1,20,24,28,32,36,40),0)/100)))))/Skills!H8,1)))/Inputs!$B$43),G2616*Q2616)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2616*(1-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2616*(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2616*(1-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2616*(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6">
        <f>IF(C2616,(H2616*N2616*IF(AND(Inputs!$B$38&lt;&gt;"pvp",Inputs!$B$43&gt;0),((Skills!G8*((R2616-1)*IF(Skills!H8&gt;0,Skills!I8/Skills!H8,1)+IF(Skills!H8&gt;0,MIN(Skills!I8,MAX(0,MAX(0,Inputs!$B$43-B2645)-((R2616-1)*(IF(Inputs!$B$38="pvp",15,MAX(0.1,Skills!D8-IF(Skills!E8=TRUE,Inputs!$B$32,0)))*(1-IF(AND(ArtifactsInput!$M$27,Inputs!$B$4="Chapter Hunt"),CHOOSE(ArtifactsInput!$N$27+1,20,24,28,32,36,40),0)/100)))))/Skills!H8,1)))/Inputs!$B$43),G2616*Q2616))*IF(Inputs!$B$38="pvp",1,(1+(Inputs!$B$21+Skills!Q8+(IF(ArtifactsInput!$M$33,CHOOSE(ArtifactsInput!$N$33+1,30,36,42,48,54,60)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7">
      <c r="A2617">
        <f>Skills!A9</f>
        <v/>
      </c>
      <c r="B2617">
        <f>Skills!B9</f>
        <v/>
      </c>
      <c r="C2617">
        <f>Inputs!$B$3&gt;=103</f>
        <v/>
      </c>
      <c r="D2617">
        <f>IF(Skills!C9=1,60+Inputs!$B$25+Inputs!$B$29,IF(Skills!C9=2,90+Inputs!$B$26+Inputs!$B$29,IF(Skills!C9=3,120+Inputs!$B$27+Inputs!$B$29,MAX(0,(Inputs!$B$3-100)*3)+Inputs!$B$28+Inputs!$B$29)))</f>
        <v/>
      </c>
      <c r="E2617">
        <f>INDEX(FactorTable!$B$2:$Y$301, MATCH(ROUND(MIN(300,MAX(1,D2617)),0), FactorTable!$A$2:$A$301,0), Skills!M9+1)</f>
        <v/>
      </c>
      <c r="F2617">
        <f>IF(Skills!N9=TRUE,(Skills!L9/10)*(E2617/1000),Skills!L9/10)+Skills!O9</f>
        <v/>
      </c>
      <c r="G2617">
        <f>Skills!G9*IF(Skills!H9&gt;0,Skills!I9/Skills!H9,1)</f>
        <v/>
      </c>
      <c r="H2617">
        <f>1-(1-Skills!J9/100)^Skills!K9</f>
        <v/>
      </c>
      <c r="I2617" t="inlineStr">
        <is>
          <t>1</t>
        </is>
      </c>
      <c r="J2617">
        <f>((Inputs!$B$6*(1+Inputs!$B$7/100))+(((Inputs!$B$12*(1+Inputs!$B$13/100))-(Inputs!$B$12*(1+Inputs!$B$13/100)))+0.25*(Inputs!$B$14-Inputs!$B$14))*(1+Inputs!$B$7/100))*(F2617/100)</f>
        <v/>
      </c>
      <c r="K2617">
        <f>J2617*(1+((Inputs!$B$12*(1+Inputs!$B$13/100))*0.01+Inputs!$B$14*0.0025)/100)*(1+Inputs!$B$15/100)*(1+Inputs!$B$16/100)*(5000/(6000+Inputs!$B$42*(1-(100*(1-(1-(Inputs!$B$19+0)/100)*(1-CHOOSE(ArtifactsInput!$N$40+1,5,6,7,8,9,10)/100)^(IF(ArtifactsInput!$M$40,FALSE,TRUE)-ArtifactsInput!$M$40)))/100)))*(1+(Inputs!$B$24+((C2634=TRUE)*(F2634-Calc!F26))+B2644)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2631=TRUE)*(F2631-Calc!F23))+((C2635=TRUE)*(F2635-Calc!F27))+(((IF(AND(ArtifactsInput!$M$42,((Inputs!$B$9+((C2627=TRUE)*(F2627-Calc!F19))+B2638+(ArtifactsInput!$M$24-ArtifactsInput!$M$24)*CHOOSE(ArtifactsInput!$N$24+1,10,12,14,16,18,20)+IF(ArtifactsInput!$M$10,CHOOSE(ArtifactsInput!$N$10+1,15,18,21,24,27,30)*(IF(Inputs!$B$38="pvp",MIN(15,15)/15,IF(AND(Inputs!$B$38&lt;&gt;"pvp",Inputs!$B$43&gt;0),MIN(15,Inputs!$B$43)/(Inputs!$B$43),0))),0)))&gt;=100),MIN(100,((Inputs!$B$9+((C2627=TRUE)*(F2627-Calc!F19))+B2638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2627=TRUE)*(F2627-Calc!F19))+B2638+(ArtifactsInput!$M$24-ArtifactsInput!$M$24)*CHOOSE(ArtifactsInput!$N$24+1,10,12,14,16,18,20)+IF(ArtifactsInput!$M$10,CHOOSE(ArtifactsInput!$N$10+1,15,18,21,24,27,30)*(IF(Inputs!$B$38="pvp",MIN(15,15)/15,IF(AND(Inputs!$B$38&lt;&gt;"pvp",Inputs!$B$43&gt;0),MIN(15,Inputs!$B$43)/(Inputs!$B$43),0))),0)))&gt;=100),CHOOSE(ArtifactsInput!$N$42+1,40,48,56,64,72,80),0))))/100)*((1+(((C2625=TRUE)*F2625)+((C2632=TRUE)*(F2632-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2617)</f>
        <v/>
      </c>
      <c r="L2617">
        <f>K2617*(MIN(Inputs!$B$22+((C2630=TRUE)*(F2630-Calc!F22)),(Inputs!$B$23+0+(IF(ArtifactsInput!$M$15,CHOOSE(ArtifactsInput!$N$15+1,25,30,35,40,45,50)/100*(Inputs!$B$11-Inputs!$B$11),0))))/100+(Inputs!$B$23+0+(IF(ArtifactsInput!$M$15,CHOOSE(ArtifactsInput!$N$15+1,25,30,35,40,45,50)/100*(Inputs!$B$11-Inputs!$B$11),0)))/100)/2</f>
        <v/>
      </c>
      <c r="M2617">
        <f>L2617*(1+(Inputs!$B$10+((C2633=TRUE)*(F2633-Calc!F25))+B2643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7">
        <f>L2617*(1-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2617*(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7">
        <f>(1-Summary!$B$11)*T2617+Summary!$B$11*V2617</f>
        <v/>
      </c>
      <c r="P2617">
        <f>IF(B2648=0,0,O2617/B2648)</f>
        <v/>
      </c>
      <c r="Q2617">
        <f>IFERROR(1/(IF(Inputs!$B$38="pvp",15,MAX(0.1,Skills!D9-IF(Skills!E9=TRUE,Inputs!$B$32,0)))*(1-IF(AND(ArtifactsInput!$M$27,Inputs!$B$4="Chapter Hunt"),CHOOSE(ArtifactsInput!$N$27+1,20,24,28,32,36,40),0)/100)),0)</f>
        <v/>
      </c>
      <c r="R2617">
        <f>IF(AND(Inputs!$B$38&lt;&gt;"pvp",Inputs!$B$43&gt;0),IF(MAX(0,Inputs!$B$43-B2645)&lt;=0,0,(INT(MAX(0,Inputs!$B$43-B2645)/(IF(Inputs!$B$38="pvp",15,MAX(0.1,Skills!D9-IF(Skills!E9=TRUE,Inputs!$B$32,0)))*(1-IF(AND(ArtifactsInput!$M$27,Inputs!$B$4="Chapter Hunt"),CHOOSE(ArtifactsInput!$N$27+1,20,24,28,32,36,40),0)/100)))+1)),0)</f>
        <v/>
      </c>
      <c r="S2617">
        <f>IFERROR(O2617/N2617,0)</f>
        <v/>
      </c>
      <c r="T2617">
        <f>IF(C2617,(H2617*N2617*IF(AND(Inputs!$B$38&lt;&gt;"pvp",Inputs!$B$43&gt;0),((Skills!G9*((R2617-1)*IF(Skills!H9&gt;0,Skills!I9/Skills!H9,1)+IF(Skills!H9&gt;0,MIN(Skills!I9,MAX(0,MAX(0,Inputs!$B$43-B2645)-((R2617-1)*(IF(Inputs!$B$38="pvp",15,MAX(0.1,Skills!D9-IF(Skills!E9=TRUE,Inputs!$B$32,0)))*(1-IF(AND(ArtifactsInput!$M$27,Inputs!$B$4="Chapter Hunt"),CHOOSE(ArtifactsInput!$N$27+1,20,24,28,32,36,40),0)/100)))))/Skills!H9,1)))/Inputs!$B$43),G2617*Q2617)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2617*(1-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2617*(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2617*(1-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2617*(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7">
        <f>IF(C2617,(H2617*N2617*IF(AND(Inputs!$B$38&lt;&gt;"pvp",Inputs!$B$43&gt;0),((Skills!G9*((R2617-1)*IF(Skills!H9&gt;0,Skills!I9/Skills!H9,1)+IF(Skills!H9&gt;0,MIN(Skills!I9,MAX(0,MAX(0,Inputs!$B$43-B2645)-((R2617-1)*(IF(Inputs!$B$38="pvp",15,MAX(0.1,Skills!D9-IF(Skills!E9=TRUE,Inputs!$B$32,0)))*(1-IF(AND(ArtifactsInput!$M$27,Inputs!$B$4="Chapter Hunt"),CHOOSE(ArtifactsInput!$N$27+1,20,24,28,32,36,40),0)/100)))))/Skills!H9,1)))/Inputs!$B$43),G2617*Q2617))*IF(Inputs!$B$38="pvp",1,(1+(Inputs!$B$21+Skills!Q9+(IF(ArtifactsInput!$M$33,CHOOSE(ArtifactsInput!$N$33+1,30,36,42,48,54,60)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8">
      <c r="A2618">
        <f>Skills!A10</f>
        <v/>
      </c>
      <c r="B2618">
        <f>Skills!B10</f>
        <v/>
      </c>
      <c r="C2618">
        <f>Inputs!$B$3&gt;=113</f>
        <v/>
      </c>
      <c r="D2618">
        <f>IF(Skills!C10=1,60+Inputs!$B$25+Inputs!$B$29,IF(Skills!C10=2,90+Inputs!$B$26+Inputs!$B$29,IF(Skills!C10=3,120+Inputs!$B$27+Inputs!$B$29,MAX(0,(Inputs!$B$3-100)*3)+Inputs!$B$28+Inputs!$B$29)))</f>
        <v/>
      </c>
      <c r="E2618">
        <f>INDEX(FactorTable!$B$2:$Y$301, MATCH(ROUND(MIN(300,MAX(1,D2618)),0), FactorTable!$A$2:$A$301,0), Skills!M10+1)</f>
        <v/>
      </c>
      <c r="F2618">
        <f>IF(Skills!N10=TRUE,(Skills!L10/10)*(E2618/1000),Skills!L10/10)+Skills!O10</f>
        <v/>
      </c>
      <c r="G2618">
        <f>Skills!G10*IF(Skills!H10&gt;0,Skills!I10/Skills!H10,1)</f>
        <v/>
      </c>
      <c r="H2618">
        <f>1-(1-Skills!J10/100)^Skills!K10</f>
        <v/>
      </c>
      <c r="I2618" t="inlineStr">
        <is>
          <t>1</t>
        </is>
      </c>
      <c r="J2618">
        <f>((Inputs!$B$6*(1+Inputs!$B$7/100))+(((Inputs!$B$12*(1+Inputs!$B$13/100))-(Inputs!$B$12*(1+Inputs!$B$13/100)))+0.25*(Inputs!$B$14-Inputs!$B$14))*(1+Inputs!$B$7/100))*(F2618/100)</f>
        <v/>
      </c>
      <c r="K2618">
        <f>J2618*(1+((Inputs!$B$12*(1+Inputs!$B$13/100))*0.01+Inputs!$B$14*0.0025)/100)*(1+Inputs!$B$15/100)*(1+Inputs!$B$16/100)*(5000/(6000+Inputs!$B$42*(1-(100*(1-(1-(Inputs!$B$19+0)/100)*(1-CHOOSE(ArtifactsInput!$N$40+1,5,6,7,8,9,10)/100)^(IF(ArtifactsInput!$M$40,FALSE,TRUE)-ArtifactsInput!$M$40)))/100)))*(1+(Inputs!$B$24+((C2634=TRUE)*(F2634-Calc!F26))+B2644)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2631=TRUE)*(F2631-Calc!F23))+((C2635=TRUE)*(F2635-Calc!F27))+(((IF(AND(ArtifactsInput!$M$42,((Inputs!$B$9+((C2627=TRUE)*(F2627-Calc!F19))+B2638+(ArtifactsInput!$M$24-ArtifactsInput!$M$24)*CHOOSE(ArtifactsInput!$N$24+1,10,12,14,16,18,20)+IF(ArtifactsInput!$M$10,CHOOSE(ArtifactsInput!$N$10+1,15,18,21,24,27,30)*(IF(Inputs!$B$38="pvp",MIN(15,15)/15,IF(AND(Inputs!$B$38&lt;&gt;"pvp",Inputs!$B$43&gt;0),MIN(15,Inputs!$B$43)/(Inputs!$B$43),0))),0)))&gt;=100),MIN(100,((Inputs!$B$9+((C2627=TRUE)*(F2627-Calc!F19))+B2638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2627=TRUE)*(F2627-Calc!F19))+B2638+(ArtifactsInput!$M$24-ArtifactsInput!$M$24)*CHOOSE(ArtifactsInput!$N$24+1,10,12,14,16,18,20)+IF(ArtifactsInput!$M$10,CHOOSE(ArtifactsInput!$N$10+1,15,18,21,24,27,30)*(IF(Inputs!$B$38="pvp",MIN(15,15)/15,IF(AND(Inputs!$B$38&lt;&gt;"pvp",Inputs!$B$43&gt;0),MIN(15,Inputs!$B$43)/(Inputs!$B$43),0))),0)))&gt;=100),CHOOSE(ArtifactsInput!$N$42+1,40,48,56,64,72,80),0))))/100)*((1+(((C2625=TRUE)*F2625)+((C2632=TRUE)*(F2632-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2618)</f>
        <v/>
      </c>
      <c r="L2618">
        <f>K2618*(MIN(Inputs!$B$22+((C2630=TRUE)*(F2630-Calc!F22)),(Inputs!$B$23+0+(IF(ArtifactsInput!$M$15,CHOOSE(ArtifactsInput!$N$15+1,25,30,35,40,45,50)/100*(Inputs!$B$11-Inputs!$B$11),0))))/100+(Inputs!$B$23+0+(IF(ArtifactsInput!$M$15,CHOOSE(ArtifactsInput!$N$15+1,25,30,35,40,45,50)/100*(Inputs!$B$11-Inputs!$B$11),0)))/100)/2</f>
        <v/>
      </c>
      <c r="M2618">
        <f>L2618*(1+(Inputs!$B$10+((C2633=TRUE)*(F2633-Calc!F25))+B2643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8">
        <f>L2618*(1-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2618*(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8">
        <f>(1-Summary!$B$11)*T2618+Summary!$B$11*V2618</f>
        <v/>
      </c>
      <c r="P2618">
        <f>IF(B2648=0,0,O2618/B2648)</f>
        <v/>
      </c>
      <c r="Q2618">
        <f>IFERROR(1/(IF(Inputs!$B$38="pvp",15,MAX(0.1,Skills!D10-IF(Skills!E10=TRUE,Inputs!$B$32,0)))*(1-IF(AND(ArtifactsInput!$M$27,Inputs!$B$4="Chapter Hunt"),CHOOSE(ArtifactsInput!$N$27+1,20,24,28,32,36,40),0)/100)),0)</f>
        <v/>
      </c>
      <c r="R2618">
        <f>IF(AND(Inputs!$B$38&lt;&gt;"pvp",Inputs!$B$43&gt;0),IF(MAX(0,Inputs!$B$43-B2645)&lt;=0,0,(INT(MAX(0,Inputs!$B$43-B2645)/(IF(Inputs!$B$38="pvp",15,MAX(0.1,Skills!D10-IF(Skills!E10=TRUE,Inputs!$B$32,0)))*(1-IF(AND(ArtifactsInput!$M$27,Inputs!$B$4="Chapter Hunt"),CHOOSE(ArtifactsInput!$N$27+1,20,24,28,32,36,40),0)/100)))+1)),0)</f>
        <v/>
      </c>
      <c r="S2618">
        <f>IFERROR(O2618/N2618,0)</f>
        <v/>
      </c>
      <c r="T2618">
        <f>IF(C2618,(H2618*N2618*IF(AND(Inputs!$B$38&lt;&gt;"pvp",Inputs!$B$43&gt;0),((Skills!G10*((R2618-1)*IF(Skills!H10&gt;0,Skills!I10/Skills!H10,1)+IF(Skills!H10&gt;0,MIN(Skills!I10,MAX(0,MAX(0,Inputs!$B$43-B2645)-((R2618-1)*(IF(Inputs!$B$38="pvp",15,MAX(0.1,Skills!D10-IF(Skills!E10=TRUE,Inputs!$B$32,0)))*(1-IF(AND(ArtifactsInput!$M$27,Inputs!$B$4="Chapter Hunt"),CHOOSE(ArtifactsInput!$N$27+1,20,24,28,32,36,40),0)/100)))))/Skills!H10,1)))/Inputs!$B$43),G2618*Q2618)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2618*(1-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2618*(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2618*(1-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2618*(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8">
        <f>IF(C2618,(H2618*N2618*IF(AND(Inputs!$B$38&lt;&gt;"pvp",Inputs!$B$43&gt;0),((Skills!G10*((R2618-1)*IF(Skills!H10&gt;0,Skills!I10/Skills!H10,1)+IF(Skills!H10&gt;0,MIN(Skills!I10,MAX(0,MAX(0,Inputs!$B$43-B2645)-((R2618-1)*(IF(Inputs!$B$38="pvp",15,MAX(0.1,Skills!D10-IF(Skills!E10=TRUE,Inputs!$B$32,0)))*(1-IF(AND(ArtifactsInput!$M$27,Inputs!$B$4="Chapter Hunt"),CHOOSE(ArtifactsInput!$N$27+1,20,24,28,32,36,40),0)/100)))))/Skills!H10,1)))/Inputs!$B$43),G2618*Q2618))*IF(Inputs!$B$38="pvp",1,(1+(Inputs!$B$21+Skills!Q10+(IF(ArtifactsInput!$M$33,CHOOSE(ArtifactsInput!$N$33+1,30,36,42,48,54,60)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9">
      <c r="A2619">
        <f>Skills!A11</f>
        <v/>
      </c>
      <c r="B2619">
        <f>Skills!B11</f>
        <v/>
      </c>
      <c r="C2619">
        <f>Inputs!$B$3&gt;=107</f>
        <v/>
      </c>
      <c r="D2619">
        <f>IF(Skills!C11=1,60+Inputs!$B$25+Inputs!$B$29,IF(Skills!C11=2,90+Inputs!$B$26+Inputs!$B$29,IF(Skills!C11=3,120+Inputs!$B$27+Inputs!$B$29,MAX(0,(Inputs!$B$3-100)*3)+Inputs!$B$28+Inputs!$B$29)))</f>
        <v/>
      </c>
      <c r="E2619">
        <f>INDEX(FactorTable!$B$2:$Y$301, MATCH(ROUND(MIN(300,MAX(1,D2619)),0), FactorTable!$A$2:$A$301,0), Skills!M11+1)</f>
        <v/>
      </c>
      <c r="F2619">
        <f>IF(Skills!N11=TRUE,(Skills!L11/10)*(E2619/1000),Skills!L11/10)+Skills!O11</f>
        <v/>
      </c>
      <c r="G2619">
        <f>Skills!G11*IF(Skills!H11&gt;0,Skills!I11/Skills!H11,1)</f>
        <v/>
      </c>
      <c r="H2619">
        <f>1-(1-Skills!J11/100)^Skills!K11</f>
        <v/>
      </c>
      <c r="I2619" t="inlineStr">
        <is>
          <t>1</t>
        </is>
      </c>
      <c r="J2619">
        <f>((Inputs!$B$6*(1+Inputs!$B$7/100))+(((Inputs!$B$12*(1+Inputs!$B$13/100))-(Inputs!$B$12*(1+Inputs!$B$13/100)))+0.25*(Inputs!$B$14-Inputs!$B$14))*(1+Inputs!$B$7/100))*(F2619/100)</f>
        <v/>
      </c>
      <c r="K2619">
        <f>J2619*(1+((Inputs!$B$12*(1+Inputs!$B$13/100))*0.01+Inputs!$B$14*0.0025)/100)*(1+Inputs!$B$15/100)*(1+Inputs!$B$16/100)*(5000/(6000+Inputs!$B$42*(1-(100*(1-(1-(Inputs!$B$19+0)/100)*(1-CHOOSE(ArtifactsInput!$N$40+1,5,6,7,8,9,10)/100)^(IF(ArtifactsInput!$M$40,FALSE,TRUE)-ArtifactsInput!$M$40)))/100)))*(1+(Inputs!$B$24+((C2634=TRUE)*(F2634-Calc!F26))+B2644)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2631=TRUE)*(F2631-Calc!F23))+((C2635=TRUE)*(F2635-Calc!F27))+(((IF(AND(ArtifactsInput!$M$42,((Inputs!$B$9+((C2627=TRUE)*(F2627-Calc!F19))+B2638+(ArtifactsInput!$M$24-ArtifactsInput!$M$24)*CHOOSE(ArtifactsInput!$N$24+1,10,12,14,16,18,20)+IF(ArtifactsInput!$M$10,CHOOSE(ArtifactsInput!$N$10+1,15,18,21,24,27,30)*(IF(Inputs!$B$38="pvp",MIN(15,15)/15,IF(AND(Inputs!$B$38&lt;&gt;"pvp",Inputs!$B$43&gt;0),MIN(15,Inputs!$B$43)/(Inputs!$B$43),0))),0)))&gt;=100),MIN(100,((Inputs!$B$9+((C2627=TRUE)*(F2627-Calc!F19))+B2638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2627=TRUE)*(F2627-Calc!F19))+B2638+(ArtifactsInput!$M$24-ArtifactsInput!$M$24)*CHOOSE(ArtifactsInput!$N$24+1,10,12,14,16,18,20)+IF(ArtifactsInput!$M$10,CHOOSE(ArtifactsInput!$N$10+1,15,18,21,24,27,30)*(IF(Inputs!$B$38="pvp",MIN(15,15)/15,IF(AND(Inputs!$B$38&lt;&gt;"pvp",Inputs!$B$43&gt;0),MIN(15,Inputs!$B$43)/(Inputs!$B$43),0))),0)))&gt;=100),CHOOSE(ArtifactsInput!$N$42+1,40,48,56,64,72,80),0))))/100)*((1+(((C2625=TRUE)*F2625)+((C2632=TRUE)*(F2632-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2619)</f>
        <v/>
      </c>
      <c r="L2619">
        <f>K2619*(MIN(Inputs!$B$22+((C2630=TRUE)*(F2630-Calc!F22)),(Inputs!$B$23+0+(IF(ArtifactsInput!$M$15,CHOOSE(ArtifactsInput!$N$15+1,25,30,35,40,45,50)/100*(Inputs!$B$11-Inputs!$B$11),0))))/100+(Inputs!$B$23+0+(IF(ArtifactsInput!$M$15,CHOOSE(ArtifactsInput!$N$15+1,25,30,35,40,45,50)/100*(Inputs!$B$11-Inputs!$B$11),0)))/100)/2</f>
        <v/>
      </c>
      <c r="M2619">
        <f>L2619*(1+(Inputs!$B$10+((C2633=TRUE)*(F2633-Calc!F25))+B2643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9">
        <f>L2619*(1-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2619*(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9">
        <f>(1-Summary!$B$11)*T2619+Summary!$B$11*V2619</f>
        <v/>
      </c>
      <c r="P2619">
        <f>IF(B2648=0,0,O2619/B2648)</f>
        <v/>
      </c>
      <c r="Q2619">
        <f>IFERROR(1/(IF(Inputs!$B$38="pvp",15,MAX(0.1,Skills!D11-IF(Skills!E11=TRUE,Inputs!$B$32,0)))*(1-IF(AND(ArtifactsInput!$M$27,Inputs!$B$4="Chapter Hunt"),CHOOSE(ArtifactsInput!$N$27+1,20,24,28,32,36,40),0)/100)),0)</f>
        <v/>
      </c>
      <c r="R2619">
        <f>IF(AND(Inputs!$B$38&lt;&gt;"pvp",Inputs!$B$43&gt;0),IF(MAX(0,Inputs!$B$43-B2645)&lt;=0,0,(INT(MAX(0,Inputs!$B$43-B2645)/(IF(Inputs!$B$38="pvp",15,MAX(0.1,Skills!D11-IF(Skills!E11=TRUE,Inputs!$B$32,0)))*(1-IF(AND(ArtifactsInput!$M$27,Inputs!$B$4="Chapter Hunt"),CHOOSE(ArtifactsInput!$N$27+1,20,24,28,32,36,40),0)/100)))+1)),0)</f>
        <v/>
      </c>
      <c r="S2619">
        <f>IFERROR(O2619/N2619,0)</f>
        <v/>
      </c>
      <c r="T2619">
        <f>IF(C2619,(H2619*N2619*IF(AND(Inputs!$B$38&lt;&gt;"pvp",Inputs!$B$43&gt;0),((Skills!G11*((R2619-1)*IF(Skills!H11&gt;0,Skills!I11/Skills!H11,1)+IF(Skills!H11&gt;0,MIN(Skills!I11,MAX(0,MAX(0,Inputs!$B$43-B2645)-((R2619-1)*(IF(Inputs!$B$38="pvp",15,MAX(0.1,Skills!D11-IF(Skills!E11=TRUE,Inputs!$B$32,0)))*(1-IF(AND(ArtifactsInput!$M$27,Inputs!$B$4="Chapter Hunt"),CHOOSE(ArtifactsInput!$N$27+1,20,24,28,32,36,40),0)/100)))))/Skills!H11,1)))/Inputs!$B$43),G2619*Q2619)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2619*(1-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2619*(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2619*(1-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2619*(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9">
        <f>IF(C2619,(H2619*N2619*IF(AND(Inputs!$B$38&lt;&gt;"pvp",Inputs!$B$43&gt;0),((Skills!G11*((R2619-1)*IF(Skills!H11&gt;0,Skills!I11/Skills!H11,1)+IF(Skills!H11&gt;0,MIN(Skills!I11,MAX(0,MAX(0,Inputs!$B$43-B2645)-((R2619-1)*(IF(Inputs!$B$38="pvp",15,MAX(0.1,Skills!D11-IF(Skills!E11=TRUE,Inputs!$B$32,0)))*(1-IF(AND(ArtifactsInput!$M$27,Inputs!$B$4="Chapter Hunt"),CHOOSE(ArtifactsInput!$N$27+1,20,24,28,32,36,40),0)/100)))))/Skills!H11,1)))/Inputs!$B$43),G2619*Q2619))*IF(Inputs!$B$38="pvp",1,(1+(Inputs!$B$21+Skills!Q11+(IF(ArtifactsInput!$M$33,CHOOSE(ArtifactsInput!$N$33+1,30,36,42,48,54,60)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0">
      <c r="A2620">
        <f>Skills!A12</f>
        <v/>
      </c>
      <c r="B2620">
        <f>Skills!B12</f>
        <v/>
      </c>
      <c r="C2620">
        <f>Inputs!$B$3&gt;=110</f>
        <v/>
      </c>
      <c r="D2620">
        <f>IF(Skills!C12=1,60+Inputs!$B$25+Inputs!$B$29,IF(Skills!C12=2,90+Inputs!$B$26+Inputs!$B$29,IF(Skills!C12=3,120+Inputs!$B$27+Inputs!$B$29,MAX(0,(Inputs!$B$3-100)*3)+Inputs!$B$28+Inputs!$B$29)))</f>
        <v/>
      </c>
      <c r="E2620">
        <f>INDEX(FactorTable!$B$2:$Y$301, MATCH(ROUND(MIN(300,MAX(1,D2620)),0), FactorTable!$A$2:$A$301,0), Skills!M12+1)</f>
        <v/>
      </c>
      <c r="F2620">
        <f>IF(Skills!N12=TRUE,(Skills!L12/10)*(E2620/1000),Skills!L12/10)+Skills!O12</f>
        <v/>
      </c>
      <c r="G2620">
        <f>Skills!G12*IF(Skills!H12&gt;0,Skills!I12/Skills!H12,1)</f>
        <v/>
      </c>
      <c r="H2620">
        <f>1-(1-Skills!J12/100)^Skills!K12</f>
        <v/>
      </c>
      <c r="I2620" t="inlineStr">
        <is>
          <t>1</t>
        </is>
      </c>
      <c r="J2620">
        <f>((Inputs!$B$6*(1+Inputs!$B$7/100))+(((Inputs!$B$12*(1+Inputs!$B$13/100))-(Inputs!$B$12*(1+Inputs!$B$13/100)))+0.25*(Inputs!$B$14-Inputs!$B$14))*(1+Inputs!$B$7/100))*(F2620/100)</f>
        <v/>
      </c>
      <c r="K2620">
        <f>J2620*(1+((Inputs!$B$12*(1+Inputs!$B$13/100))*0.01+Inputs!$B$14*0.0025)/100)*(1+Inputs!$B$15/100)*(1+Inputs!$B$16/100)*(5000/(6000+Inputs!$B$42*(1-(100*(1-(1-(Inputs!$B$19+0)/100)*(1-CHOOSE(ArtifactsInput!$N$40+1,5,6,7,8,9,10)/100)^(IF(ArtifactsInput!$M$40,FALSE,TRUE)-ArtifactsInput!$M$40)))/100)))*(1+(Inputs!$B$24+((C2634=TRUE)*(F2634-Calc!F26))+B2644)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2631=TRUE)*(F2631-Calc!F23))+((C2635=TRUE)*(F2635-Calc!F27))+(((IF(AND(ArtifactsInput!$M$42,((Inputs!$B$9+((C2627=TRUE)*(F2627-Calc!F19))+B2638+(ArtifactsInput!$M$24-ArtifactsInput!$M$24)*CHOOSE(ArtifactsInput!$N$24+1,10,12,14,16,18,20)+IF(ArtifactsInput!$M$10,CHOOSE(ArtifactsInput!$N$10+1,15,18,21,24,27,30)*(IF(Inputs!$B$38="pvp",MIN(15,15)/15,IF(AND(Inputs!$B$38&lt;&gt;"pvp",Inputs!$B$43&gt;0),MIN(15,Inputs!$B$43)/(Inputs!$B$43),0))),0)))&gt;=100),MIN(100,((Inputs!$B$9+((C2627=TRUE)*(F2627-Calc!F19))+B2638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2627=TRUE)*(F2627-Calc!F19))+B2638+(ArtifactsInput!$M$24-ArtifactsInput!$M$24)*CHOOSE(ArtifactsInput!$N$24+1,10,12,14,16,18,20)+IF(ArtifactsInput!$M$10,CHOOSE(ArtifactsInput!$N$10+1,15,18,21,24,27,30)*(IF(Inputs!$B$38="pvp",MIN(15,15)/15,IF(AND(Inputs!$B$38&lt;&gt;"pvp",Inputs!$B$43&gt;0),MIN(15,Inputs!$B$43)/(Inputs!$B$43),0))),0)))&gt;=100),CHOOSE(ArtifactsInput!$N$42+1,40,48,56,64,72,80),0))))/100)*((1+(((C2625=TRUE)*F2625)+((C2632=TRUE)*(F2632-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2620)</f>
        <v/>
      </c>
      <c r="L2620">
        <f>K2620*(MIN(Inputs!$B$22+((C2630=TRUE)*(F2630-Calc!F22)),(Inputs!$B$23+0+(IF(ArtifactsInput!$M$15,CHOOSE(ArtifactsInput!$N$15+1,25,30,35,40,45,50)/100*(Inputs!$B$11-Inputs!$B$11),0))))/100+(Inputs!$B$23+0+(IF(ArtifactsInput!$M$15,CHOOSE(ArtifactsInput!$N$15+1,25,30,35,40,45,50)/100*(Inputs!$B$11-Inputs!$B$11),0)))/100)/2</f>
        <v/>
      </c>
      <c r="M2620">
        <f>L2620*(1+(Inputs!$B$10+((C2633=TRUE)*(F2633-Calc!F25))+B2643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0">
        <f>L2620*(1-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2620*(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0">
        <f>(1-Summary!$B$11)*T2620+Summary!$B$11*V2620</f>
        <v/>
      </c>
      <c r="P2620">
        <f>IF(B2648=0,0,O2620/B2648)</f>
        <v/>
      </c>
      <c r="Q2620">
        <f>IFERROR(1/(IF(Inputs!$B$38="pvp",15,MAX(0.1,Skills!D12-IF(Skills!E12=TRUE,Inputs!$B$32,0)))*(1-IF(AND(ArtifactsInput!$M$27,Inputs!$B$4="Chapter Hunt"),CHOOSE(ArtifactsInput!$N$27+1,20,24,28,32,36,40),0)/100)),0)</f>
        <v/>
      </c>
      <c r="R2620">
        <f>IF(AND(Inputs!$B$38&lt;&gt;"pvp",Inputs!$B$43&gt;0),IF(MAX(0,Inputs!$B$43-B2645)&lt;=0,0,(INT(MAX(0,Inputs!$B$43-B2645)/(IF(Inputs!$B$38="pvp",15,MAX(0.1,Skills!D12-IF(Skills!E12=TRUE,Inputs!$B$32,0)))*(1-IF(AND(ArtifactsInput!$M$27,Inputs!$B$4="Chapter Hunt"),CHOOSE(ArtifactsInput!$N$27+1,20,24,28,32,36,40),0)/100)))+1)),0)</f>
        <v/>
      </c>
      <c r="S2620">
        <f>IFERROR(O2620/N2620,0)</f>
        <v/>
      </c>
      <c r="T2620">
        <f>IF(C2620,(H2620*N2620*IF(AND(Inputs!$B$38&lt;&gt;"pvp",Inputs!$B$43&gt;0),((Skills!G12*((R2620-1)*IF(Skills!H12&gt;0,Skills!I12/Skills!H12,1)+IF(Skills!H12&gt;0,MIN(Skills!I12,MAX(0,MAX(0,Inputs!$B$43-B2645)-((R2620-1)*(IF(Inputs!$B$38="pvp",15,MAX(0.1,Skills!D12-IF(Skills!E12=TRUE,Inputs!$B$32,0)))*(1-IF(AND(ArtifactsInput!$M$27,Inputs!$B$4="Chapter Hunt"),CHOOSE(ArtifactsInput!$N$27+1,20,24,28,32,36,40),0)/100)))))/Skills!H12,1)))/Inputs!$B$43),G2620*Q2620)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2620*(1-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2620*(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2620*(1-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2620*(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0">
        <f>IF(C2620,(H2620*N2620*IF(AND(Inputs!$B$38&lt;&gt;"pvp",Inputs!$B$43&gt;0),((Skills!G12*((R2620-1)*IF(Skills!H12&gt;0,Skills!I12/Skills!H12,1)+IF(Skills!H12&gt;0,MIN(Skills!I12,MAX(0,MAX(0,Inputs!$B$43-B2645)-((R2620-1)*(IF(Inputs!$B$38="pvp",15,MAX(0.1,Skills!D12-IF(Skills!E12=TRUE,Inputs!$B$32,0)))*(1-IF(AND(ArtifactsInput!$M$27,Inputs!$B$4="Chapter Hunt"),CHOOSE(ArtifactsInput!$N$27+1,20,24,28,32,36,40),0)/100)))))/Skills!H12,1)))/Inputs!$B$43),G2620*Q2620))*IF(Inputs!$B$38="pvp",1,(1+(Inputs!$B$21+Skills!Q12+(IF(ArtifactsInput!$M$33,CHOOSE(ArtifactsInput!$N$33+1,30,36,42,48,54,60)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1">
      <c r="A2621">
        <f>Skills!A13</f>
        <v/>
      </c>
      <c r="B2621">
        <f>Skills!B13</f>
        <v/>
      </c>
      <c r="C2621">
        <f>Inputs!$B$3&gt;=110</f>
        <v/>
      </c>
      <c r="D2621">
        <f>IF(Skills!C13=1,60+Inputs!$B$25+Inputs!$B$29,IF(Skills!C13=2,90+Inputs!$B$26+Inputs!$B$29,IF(Skills!C13=3,120+Inputs!$B$27+Inputs!$B$29,MAX(0,(Inputs!$B$3-100)*3)+Inputs!$B$28+Inputs!$B$29)))</f>
        <v/>
      </c>
      <c r="E2621">
        <f>INDEX(FactorTable!$B$2:$Y$301, MATCH(ROUND(MIN(300,MAX(1,D2621)),0), FactorTable!$A$2:$A$301,0), Skills!M13+1)</f>
        <v/>
      </c>
      <c r="F2621">
        <f>IF(Skills!N13=TRUE,(Skills!L13/10)*(E2621/1000),Skills!L13/10)+Skills!O13</f>
        <v/>
      </c>
      <c r="G2621">
        <f>Skills!G13*IF(Skills!H13&gt;0,Skills!I13/Skills!H13,1)</f>
        <v/>
      </c>
      <c r="H2621">
        <f>1-(1-Skills!J13/100)^Skills!K13</f>
        <v/>
      </c>
      <c r="I2621" t="inlineStr">
        <is>
          <t>1</t>
        </is>
      </c>
      <c r="J2621">
        <f>((Inputs!$B$6*(1+Inputs!$B$7/100))+(((Inputs!$B$12*(1+Inputs!$B$13/100))-(Inputs!$B$12*(1+Inputs!$B$13/100)))+0.25*(Inputs!$B$14-Inputs!$B$14))*(1+Inputs!$B$7/100))*(F2621/100)</f>
        <v/>
      </c>
      <c r="K2621">
        <f>J2621*(1+((Inputs!$B$12*(1+Inputs!$B$13/100))*0.01+Inputs!$B$14*0.0025)/100)*(1+Inputs!$B$15/100)*(1+Inputs!$B$16/100)*(5000/(6000+Inputs!$B$42*(1-(100*(1-(1-(Inputs!$B$19+0)/100)*(1-CHOOSE(ArtifactsInput!$N$40+1,5,6,7,8,9,10)/100)^(IF(ArtifactsInput!$M$40,FALSE,TRUE)-ArtifactsInput!$M$40)))/100)))*(1+(Inputs!$B$24+((C2634=TRUE)*(F2634-Calc!F26))+B2644)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2631=TRUE)*(F2631-Calc!F23))+((C2635=TRUE)*(F2635-Calc!F27))+(((IF(AND(ArtifactsInput!$M$42,((Inputs!$B$9+((C2627=TRUE)*(F2627-Calc!F19))+B2638+(ArtifactsInput!$M$24-ArtifactsInput!$M$24)*CHOOSE(ArtifactsInput!$N$24+1,10,12,14,16,18,20)+IF(ArtifactsInput!$M$10,CHOOSE(ArtifactsInput!$N$10+1,15,18,21,24,27,30)*(IF(Inputs!$B$38="pvp",MIN(15,15)/15,IF(AND(Inputs!$B$38&lt;&gt;"pvp",Inputs!$B$43&gt;0),MIN(15,Inputs!$B$43)/(Inputs!$B$43),0))),0)))&gt;=100),MIN(100,((Inputs!$B$9+((C2627=TRUE)*(F2627-Calc!F19))+B2638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2627=TRUE)*(F2627-Calc!F19))+B2638+(ArtifactsInput!$M$24-ArtifactsInput!$M$24)*CHOOSE(ArtifactsInput!$N$24+1,10,12,14,16,18,20)+IF(ArtifactsInput!$M$10,CHOOSE(ArtifactsInput!$N$10+1,15,18,21,24,27,30)*(IF(Inputs!$B$38="pvp",MIN(15,15)/15,IF(AND(Inputs!$B$38&lt;&gt;"pvp",Inputs!$B$43&gt;0),MIN(15,Inputs!$B$43)/(Inputs!$B$43),0))),0)))&gt;=100),CHOOSE(ArtifactsInput!$N$42+1,40,48,56,64,72,80),0))))/100)*((1+(((C2625=TRUE)*F2625)+((C2632=TRUE)*(F2632-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2621)</f>
        <v/>
      </c>
      <c r="L2621">
        <f>K2621*(MIN(Inputs!$B$22+((C2630=TRUE)*(F2630-Calc!F22)),(Inputs!$B$23+0+(IF(ArtifactsInput!$M$15,CHOOSE(ArtifactsInput!$N$15+1,25,30,35,40,45,50)/100*(Inputs!$B$11-Inputs!$B$11),0))))/100+(Inputs!$B$23+0+(IF(ArtifactsInput!$M$15,CHOOSE(ArtifactsInput!$N$15+1,25,30,35,40,45,50)/100*(Inputs!$B$11-Inputs!$B$11),0)))/100)/2</f>
        <v/>
      </c>
      <c r="M2621">
        <f>L2621*(1+(Inputs!$B$10+((C2633=TRUE)*(F2633-Calc!F25))+B2643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1">
        <f>L2621*(1-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1">
        <f>(1-Summary!$B$11)*T2621+Summary!$B$11*V2621</f>
        <v/>
      </c>
      <c r="P2621">
        <f>IF(B2648=0,0,O2621/B2648)</f>
        <v/>
      </c>
      <c r="Q2621">
        <f>IFERROR(1/(IF(Inputs!$B$38="pvp",15,MAX(0.1,Skills!D13-IF(Skills!E13=TRUE,Inputs!$B$32,0)))*(1-IF(AND(ArtifactsInput!$M$27,Inputs!$B$4="Chapter Hunt"),CHOOSE(ArtifactsInput!$N$27+1,20,24,28,32,36,40),0)/100)),0)</f>
        <v/>
      </c>
      <c r="R2621">
        <f>IF(AND(Inputs!$B$38&lt;&gt;"pvp",Inputs!$B$43&gt;0),IF(MAX(0,Inputs!$B$43-B2645)&lt;=0,0,(INT(MAX(0,Inputs!$B$43-B2645)/(IF(Inputs!$B$38="pvp",15,MAX(0.1,Skills!D13-IF(Skills!E13=TRUE,Inputs!$B$32,0)))*(1-IF(AND(ArtifactsInput!$M$27,Inputs!$B$4="Chapter Hunt"),CHOOSE(ArtifactsInput!$N$27+1,20,24,28,32,36,40),0)/100)))+1)),0)</f>
        <v/>
      </c>
      <c r="S2621">
        <f>IFERROR(O2621/N2621,0)</f>
        <v/>
      </c>
      <c r="T2621">
        <f>IF(C2621,(H2621*N2621*IF(AND(Inputs!$B$38&lt;&gt;"pvp",Inputs!$B$43&gt;0),((Skills!G13*((R2621-1)*IF(Skills!H13&gt;0,Skills!I13/Skills!H13,1)+IF(Skills!H13&gt;0,MIN(Skills!I13,MAX(0,MAX(0,Inputs!$B$43-B2645)-((R2621-1)*(IF(Inputs!$B$38="pvp",15,MAX(0.1,Skills!D13-IF(Skills!E13=TRUE,Inputs!$B$32,0)))*(1-IF(AND(ArtifactsInput!$M$27,Inputs!$B$4="Chapter Hunt"),CHOOSE(ArtifactsInput!$N$27+1,20,24,28,32,36,40),0)/100)))))/Skills!H13,1)))/Inputs!$B$43),G2621*Q2621))*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2621*(1-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2621*(1-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1">
        <f>IF(C2621,(H2621*N2621*IF(AND(Inputs!$B$38&lt;&gt;"pvp",Inputs!$B$43&gt;0),((Skills!G13*((R2621-1)*IF(Skills!H13&gt;0,Skills!I13/Skills!H13,1)+IF(Skills!H13&gt;0,MIN(Skills!I13,MAX(0,MAX(0,Inputs!$B$43-B2645)-((R2621-1)*(IF(Inputs!$B$38="pvp",15,MAX(0.1,Skills!D13-IF(Skills!E13=TRUE,Inputs!$B$32,0)))*(1-IF(AND(ArtifactsInput!$M$27,Inputs!$B$4="Chapter Hunt"),CHOOSE(ArtifactsInput!$N$27+1,20,24,28,32,36,40),0)/100)))))/Skills!H13,1)))/Inputs!$B$43),G2621*Q2621))*IF(Inputs!$B$38="pvp",1,(1+(Inputs!$B$21+Skills!Q13+(IF(ArtifactsInput!$M$33,CHOOSE(ArtifactsInput!$N$33+1,30,36,42,48,54,60)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2">
      <c r="A2622">
        <f>Skills!A14</f>
        <v/>
      </c>
      <c r="B2622">
        <f>Skills!B14</f>
        <v/>
      </c>
      <c r="C2622">
        <f>Inputs!$B$3&gt;=125</f>
        <v/>
      </c>
      <c r="D2622">
        <f>IF(Skills!C14=1,60+Inputs!$B$25+Inputs!$B$29,IF(Skills!C14=2,90+Inputs!$B$26+Inputs!$B$29,IF(Skills!C14=3,120+Inputs!$B$27+Inputs!$B$29,MAX(0,(Inputs!$B$3-100)*3)+Inputs!$B$28+Inputs!$B$29)))</f>
        <v/>
      </c>
      <c r="E2622">
        <f>INDEX(FactorTable!$B$2:$Y$301, MATCH(ROUND(MIN(300,MAX(1,D2622)),0), FactorTable!$A$2:$A$301,0), Skills!M14+1)</f>
        <v/>
      </c>
      <c r="F2622">
        <f>IF(Skills!N14=TRUE,(Skills!L14/10)*(E2622/1000),Skills!L14/10)+Skills!O14</f>
        <v/>
      </c>
      <c r="G2622">
        <f>Skills!G14*IF(Skills!H14&gt;0,Skills!I14/Skills!H14,1)</f>
        <v/>
      </c>
      <c r="H2622">
        <f>1-(1-Skills!J14/100)^Skills!K14</f>
        <v/>
      </c>
      <c r="I2622" t="inlineStr">
        <is>
          <t>1</t>
        </is>
      </c>
      <c r="J2622">
        <f>((Inputs!$B$6*(1+Inputs!$B$7/100))+(((Inputs!$B$12*(1+Inputs!$B$13/100))-(Inputs!$B$12*(1+Inputs!$B$13/100)))+0.25*(Inputs!$B$14-Inputs!$B$14))*(1+Inputs!$B$7/100))*(F2622/100)</f>
        <v/>
      </c>
      <c r="K2622">
        <f>J2622*(1+((Inputs!$B$12*(1+Inputs!$B$13/100))*0.01+Inputs!$B$14*0.0025)/100)*(1+Inputs!$B$15/100)*(1+Inputs!$B$16/100)*(5000/(6000+Inputs!$B$42*(1-(100*(1-(1-(Inputs!$B$19+0)/100)*(1-CHOOSE(ArtifactsInput!$N$40+1,5,6,7,8,9,10)/100)^(IF(ArtifactsInput!$M$40,FALSE,TRUE)-ArtifactsInput!$M$40)))/100)))*(1+(Inputs!$B$24+((C2634=TRUE)*(F2634-Calc!F26))+B2644)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2631=TRUE)*(F2631-Calc!F23))+((C2635=TRUE)*(F2635-Calc!F27))+(((IF(AND(ArtifactsInput!$M$42,((Inputs!$B$9+((C2627=TRUE)*(F2627-Calc!F19))+B2638+(ArtifactsInput!$M$24-ArtifactsInput!$M$24)*CHOOSE(ArtifactsInput!$N$24+1,10,12,14,16,18,20)+IF(ArtifactsInput!$M$10,CHOOSE(ArtifactsInput!$N$10+1,15,18,21,24,27,30)*(IF(Inputs!$B$38="pvp",MIN(15,15)/15,IF(AND(Inputs!$B$38&lt;&gt;"pvp",Inputs!$B$43&gt;0),MIN(15,Inputs!$B$43)/(Inputs!$B$43),0))),0)))&gt;=100),MIN(100,((Inputs!$B$9+((C2627=TRUE)*(F2627-Calc!F19))+B2638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2627=TRUE)*(F2627-Calc!F19))+B2638+(ArtifactsInput!$M$24-ArtifactsInput!$M$24)*CHOOSE(ArtifactsInput!$N$24+1,10,12,14,16,18,20)+IF(ArtifactsInput!$M$10,CHOOSE(ArtifactsInput!$N$10+1,15,18,21,24,27,30)*(IF(Inputs!$B$38="pvp",MIN(15,15)/15,IF(AND(Inputs!$B$38&lt;&gt;"pvp",Inputs!$B$43&gt;0),MIN(15,Inputs!$B$43)/(Inputs!$B$43),0))),0)))&gt;=100),CHOOSE(ArtifactsInput!$N$42+1,40,48,56,64,72,80),0))))/100)*((1+(((C2625=TRUE)*F2625)+((C2632=TRUE)*(F2632-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2622)</f>
        <v/>
      </c>
      <c r="L2622">
        <f>K2622*(MIN(Inputs!$B$22+((C2630=TRUE)*(F2630-Calc!F22)),(Inputs!$B$23+0+(IF(ArtifactsInput!$M$15,CHOOSE(ArtifactsInput!$N$15+1,25,30,35,40,45,50)/100*(Inputs!$B$11-Inputs!$B$11),0))))/100+(Inputs!$B$23+0+(IF(ArtifactsInput!$M$15,CHOOSE(ArtifactsInput!$N$15+1,25,30,35,40,45,50)/100*(Inputs!$B$11-Inputs!$B$11),0)))/100)/2</f>
        <v/>
      </c>
      <c r="M2622">
        <f>L2622*(1+(Inputs!$B$10+((C2633=TRUE)*(F2633-Calc!F25))+B2643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2">
        <f>L2622*(1-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2622*(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2">
        <f>(1-Summary!$B$11)*T2622+Summary!$B$11*V2622</f>
        <v/>
      </c>
      <c r="P2622">
        <f>IF(B2648=0,0,O2622/B2648)</f>
        <v/>
      </c>
      <c r="Q2622" t="n">
        <v>0</v>
      </c>
      <c r="R2622" t="n">
        <v>0</v>
      </c>
      <c r="S2622">
        <f>IFERROR(O2622/N2622,0)</f>
        <v/>
      </c>
      <c r="T2622">
        <f>IF(C2622,(H2622*N2622*(B2642+IF(AND(Inputs!$B$38&lt;&gt;"pvp",Inputs!$B$43&gt;0),((Skills!G8*((R2616-1)*IF(Skills!H8&gt;0,Skills!I8/Skills!H8,1)+IF(Skills!H8&gt;0,MIN(Skills!I8,MAX(0,MAX(0,Inputs!$B$43-B2645)-((R2616-1)*(IF(Inputs!$B$38="pvp",15,MAX(0.1,Skills!D8-IF(Skills!E8=TRUE,Inputs!$B$32,0)))*(1-IF(AND(ArtifactsInput!$M$27,Inputs!$B$4="Chapter Hunt"),CHOOSE(ArtifactsInput!$N$27+1,20,24,28,32,36,40),0)/100)))))/Skills!H8,1)))/Inputs!$B$43),G2616*Q2616)+IF(AND(Inputs!$B$38&lt;&gt;"pvp",Inputs!$B$43&gt;0),((Skills!G11*((R2619-1)*IF(Skills!H11&gt;0,Skills!I11/Skills!H11,1)+IF(Skills!H11&gt;0,MIN(Skills!I11,MAX(0,MAX(0,Inputs!$B$43-B2645)-((R2619-1)*(IF(Inputs!$B$38="pvp",15,MAX(0.1,Skills!D11-IF(Skills!E11=TRUE,Inputs!$B$32,0)))*(1-IF(AND(ArtifactsInput!$M$27,Inputs!$B$4="Chapter Hunt"),CHOOSE(ArtifactsInput!$N$27+1,20,24,28,32,36,40),0)/100)))))/Skills!H11,1)))/Inputs!$B$43),G2619*Q2619)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2622*(1-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2622*(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2622*(1-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2622*(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2">
        <f>IF(C2622,(H2622*N2622*(B2642+IF(AND(Inputs!$B$38&lt;&gt;"pvp",Inputs!$B$43&gt;0),((Skills!G8*((R2616-1)*IF(Skills!H8&gt;0,Skills!I8/Skills!H8,1)+IF(Skills!H8&gt;0,MIN(Skills!I8,MAX(0,MAX(0,Inputs!$B$43-B2645)-((R2616-1)*(IF(Inputs!$B$38="pvp",15,MAX(0.1,Skills!D8-IF(Skills!E8=TRUE,Inputs!$B$32,0)))*(1-IF(AND(ArtifactsInput!$M$27,Inputs!$B$4="Chapter Hunt"),CHOOSE(ArtifactsInput!$N$27+1,20,24,28,32,36,40),0)/100)))))/Skills!H8,1)))/Inputs!$B$43),G2616*Q2616)+IF(AND(Inputs!$B$38&lt;&gt;"pvp",Inputs!$B$43&gt;0),((Skills!G11*((R2619-1)*IF(Skills!H11&gt;0,Skills!I11/Skills!H11,1)+IF(Skills!H11&gt;0,MIN(Skills!I11,MAX(0,MAX(0,Inputs!$B$43-B2645)-((R2619-1)*(IF(Inputs!$B$38="pvp",15,MAX(0.1,Skills!D11-IF(Skills!E11=TRUE,Inputs!$B$32,0)))*(1-IF(AND(ArtifactsInput!$M$27,Inputs!$B$4="Chapter Hunt"),CHOOSE(ArtifactsInput!$N$27+1,20,24,28,32,36,40),0)/100)))))/Skills!H11,1)))/Inputs!$B$43),G2619*Q2619)))*IF(Inputs!$B$38="pvp",1,(1+(Inputs!$B$21+Skills!Q14+(IF(ArtifactsInput!$M$33,CHOOSE(ArtifactsInput!$N$33+1,30,36,42,48,54,60)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3">
      <c r="A2623">
        <f>Skills!A15</f>
        <v/>
      </c>
      <c r="B2623">
        <f>Skills!B15</f>
        <v/>
      </c>
      <c r="C2623">
        <f>Inputs!$B$3&gt;=100</f>
        <v/>
      </c>
      <c r="D2623">
        <f>IF(Skills!C15=1,60+Inputs!$B$25+Inputs!$B$29,IF(Skills!C15=2,90+Inputs!$B$26+Inputs!$B$29,IF(Skills!C15=3,120+Inputs!$B$27+Inputs!$B$29,MAX(0,(Inputs!$B$3-100)*3)+Inputs!$B$28+Inputs!$B$29)))</f>
        <v/>
      </c>
      <c r="E2623">
        <f>INDEX(FactorTable!$B$2:$Y$301, MATCH(ROUND(MIN(300,MAX(1,D2623)),0), FactorTable!$A$2:$A$301,0), Skills!M15+1)</f>
        <v/>
      </c>
      <c r="F2623">
        <f>IF(Skills!N15=TRUE,(Skills!L15/10)*(E2623/1000),Skills!L15/10)+Skills!O15</f>
        <v/>
      </c>
      <c r="G2623" t="inlineStr"/>
      <c r="H2623" t="inlineStr"/>
      <c r="I2623" t="inlineStr">
        <is>
          <t>1</t>
        </is>
      </c>
      <c r="J2623" t="inlineStr"/>
      <c r="K2623" t="inlineStr"/>
      <c r="L2623" t="inlineStr"/>
      <c r="M2623" t="inlineStr"/>
      <c r="N2623" t="inlineStr"/>
      <c r="O2623" t="inlineStr"/>
      <c r="P2623" t="inlineStr"/>
      <c r="Q2623" t="inlineStr"/>
      <c r="R2623" t="inlineStr"/>
      <c r="S2623" t="inlineStr"/>
    </row>
    <row r="2624">
      <c r="A2624">
        <f>Skills!A16</f>
        <v/>
      </c>
      <c r="B2624">
        <f>Skills!B16</f>
        <v/>
      </c>
      <c r="C2624">
        <f>Inputs!$B$3&gt;=120</f>
        <v/>
      </c>
      <c r="D2624">
        <f>IF(Skills!C16=1,60+Inputs!$B$25+Inputs!$B$29,IF(Skills!C16=2,90+Inputs!$B$26+Inputs!$B$29,IF(Skills!C16=3,120+Inputs!$B$27+Inputs!$B$29,MAX(0,(Inputs!$B$3-100)*3)+Inputs!$B$28+Inputs!$B$29)))</f>
        <v/>
      </c>
      <c r="E2624">
        <f>INDEX(FactorTable!$B$2:$Y$301, MATCH(ROUND(MIN(300,MAX(1,D2624)),0), FactorTable!$A$2:$A$301,0), Skills!M16+1)</f>
        <v/>
      </c>
      <c r="F2624">
        <f>IF(Skills!N16=TRUE,(Skills!L16/10)*(E2624/1000),Skills!L16/10)+Skills!O16</f>
        <v/>
      </c>
      <c r="G2624" t="inlineStr"/>
      <c r="H2624" t="inlineStr"/>
      <c r="I2624" t="inlineStr">
        <is>
          <t>1</t>
        </is>
      </c>
      <c r="J2624" t="inlineStr"/>
      <c r="K2624" t="inlineStr"/>
      <c r="L2624" t="inlineStr"/>
      <c r="M2624" t="inlineStr"/>
      <c r="N2624" t="inlineStr"/>
      <c r="O2624" t="inlineStr"/>
      <c r="P2624" t="inlineStr"/>
      <c r="Q2624" t="inlineStr"/>
      <c r="R2624" t="inlineStr"/>
      <c r="S2624" t="inlineStr"/>
    </row>
    <row r="2625">
      <c r="A2625">
        <f>Skills!A17</f>
        <v/>
      </c>
      <c r="B2625">
        <f>Skills!B17</f>
        <v/>
      </c>
      <c r="C2625">
        <f>Inputs!$B$3&gt;=66</f>
        <v/>
      </c>
      <c r="D2625">
        <f>IF(Skills!C17=1,60+Inputs!$B$25+Inputs!$B$29,IF(Skills!C17=2,90+Inputs!$B$26+Inputs!$B$29,IF(Skills!C17=3,120+Inputs!$B$27+Inputs!$B$29,MAX(0,(Inputs!$B$3-100)*3)+Inputs!$B$28+Inputs!$B$29)))</f>
        <v/>
      </c>
      <c r="E2625">
        <f>INDEX(FactorTable!$B$2:$Y$301, MATCH(ROUND(MIN(300,MAX(1,D2625)),0), FactorTable!$A$2:$A$301,0), Skills!M17+1)</f>
        <v/>
      </c>
      <c r="F2625">
        <f>IF(Skills!N17=TRUE,(Skills!L17/10)*(E2625/1000),Skills!L17/10)+Skills!O17</f>
        <v/>
      </c>
      <c r="G2625">
        <f>Skills!G17*IF(Skills!H17&gt;0,Skills!I17/Skills!H17,1)</f>
        <v/>
      </c>
      <c r="H2625">
        <f>1-(1-Skills!J17/100)^Skills!K17</f>
        <v/>
      </c>
      <c r="I2625" t="inlineStr">
        <is>
          <t>1</t>
        </is>
      </c>
      <c r="J2625" t="inlineStr"/>
      <c r="K2625" t="inlineStr"/>
      <c r="L2625" t="inlineStr"/>
      <c r="M2625" t="inlineStr"/>
      <c r="N2625" t="inlineStr"/>
      <c r="O2625">
        <f>(1-Summary!$B$11)*T2625+Summary!$B$11*V2625</f>
        <v/>
      </c>
      <c r="P2625">
        <f>IF(B2648=0,0,O2625/B2648)</f>
        <v/>
      </c>
      <c r="Q2625" t="n">
        <v>0</v>
      </c>
      <c r="R2625" t="n">
        <v>0</v>
      </c>
      <c r="S2625">
        <f>IFERROR(O2625/N2625,0)</f>
        <v/>
      </c>
      <c r="T2625" t="n">
        <v>0</v>
      </c>
      <c r="V2625" t="n">
        <v>0</v>
      </c>
    </row>
    <row r="2626">
      <c r="A2626">
        <f>Skills!A18</f>
        <v/>
      </c>
      <c r="B2626">
        <f>Skills!B18</f>
        <v/>
      </c>
      <c r="C2626">
        <f>Inputs!$B$3&gt;=115</f>
        <v/>
      </c>
      <c r="D2626">
        <f>IF(Skills!C18=1,60+Inputs!$B$25+Inputs!$B$29,IF(Skills!C18=2,90+Inputs!$B$26+Inputs!$B$29,IF(Skills!C18=3,120+Inputs!$B$27+Inputs!$B$29,MAX(0,(Inputs!$B$3-100)*3)+Inputs!$B$28+Inputs!$B$29)))</f>
        <v/>
      </c>
      <c r="E2626">
        <f>INDEX(FactorTable!$B$2:$Y$301, MATCH(ROUND(MIN(300,MAX(1,D2626)),0), FactorTable!$A$2:$A$301,0), Skills!M18+1)</f>
        <v/>
      </c>
      <c r="F2626">
        <f>IF(Skills!N18=TRUE,(Skills!L18/10)*(E2626/1000),Skills!L18/10)+Skills!O18</f>
        <v/>
      </c>
      <c r="G2626">
        <f>Skills!G18*IF(Skills!H18&gt;0,Skills!I18/Skills!H18,1)</f>
        <v/>
      </c>
      <c r="H2626">
        <f>1-(1-Skills!J18/100)^Skills!K18</f>
        <v/>
      </c>
      <c r="I2626" t="inlineStr">
        <is>
          <t>1</t>
        </is>
      </c>
      <c r="J2626" t="inlineStr"/>
      <c r="K2626" t="inlineStr"/>
      <c r="L2626" t="inlineStr"/>
      <c r="M2626" t="inlineStr"/>
      <c r="N2626" t="inlineStr"/>
      <c r="O2626">
        <f>(1-Summary!$B$11)*T2626+Summary!$B$11*V2626</f>
        <v/>
      </c>
      <c r="P2626">
        <f>IF(B2648=0,0,O2626/B2648)</f>
        <v/>
      </c>
      <c r="Q2626" t="n">
        <v>0</v>
      </c>
      <c r="R2626" t="n">
        <v>0</v>
      </c>
      <c r="S2626">
        <f>IFERROR(O2626/N2626,0)</f>
        <v/>
      </c>
      <c r="T2626" t="n">
        <v>0</v>
      </c>
      <c r="V2626" t="n">
        <v>0</v>
      </c>
    </row>
    <row r="2627">
      <c r="A2627">
        <f>Skills!A19</f>
        <v/>
      </c>
      <c r="B2627">
        <f>Skills!B19</f>
        <v/>
      </c>
      <c r="C2627">
        <f>Inputs!$B$3&gt;=15</f>
        <v/>
      </c>
      <c r="D2627">
        <f>IF(Skills!C19=1,60+Inputs!$B$25+Inputs!$B$29,IF(Skills!C19=2,90+Inputs!$B$26+Inputs!$B$29,IF(Skills!C19=3,120+Inputs!$B$27+Inputs!$B$29,MAX(0,(Inputs!$B$3-100)*3)+Inputs!$B$28+Inputs!$B$29)))</f>
        <v/>
      </c>
      <c r="E2627">
        <f>INDEX(FactorTable!$B$2:$Y$301, MATCH(ROUND(MIN(300,MAX(1,D2627)),0), FactorTable!$A$2:$A$301,0), Skills!M19+1)</f>
        <v/>
      </c>
      <c r="F2627">
        <f>IF(Skills!N19=TRUE,(Skills!L19/10)*(E2627/1000),Skills!L19/10)+Skills!O19</f>
        <v/>
      </c>
      <c r="G2627">
        <f>Skills!G19*IF(Skills!H19&gt;0,Skills!I19/Skills!H19,1)</f>
        <v/>
      </c>
      <c r="H2627">
        <f>1-(1-Skills!J19/100)^Skills!K19</f>
        <v/>
      </c>
      <c r="I2627" t="inlineStr">
        <is>
          <t>1</t>
        </is>
      </c>
      <c r="J2627" t="inlineStr"/>
      <c r="K2627" t="inlineStr"/>
      <c r="L2627" t="inlineStr"/>
      <c r="M2627" t="inlineStr"/>
      <c r="N2627" t="inlineStr"/>
      <c r="O2627">
        <f>(1-Summary!$B$11)*T2627+Summary!$B$11*V2627</f>
        <v/>
      </c>
      <c r="P2627">
        <f>IF(B2648=0,0,O2627/B2648)</f>
        <v/>
      </c>
      <c r="Q2627" t="n">
        <v>0</v>
      </c>
      <c r="R2627" t="n">
        <v>0</v>
      </c>
      <c r="S2627">
        <f>IFERROR(O2627/N2627,0)</f>
        <v/>
      </c>
      <c r="T2627" t="n">
        <v>0</v>
      </c>
      <c r="V2627" t="n">
        <v>0</v>
      </c>
    </row>
    <row r="2628">
      <c r="A2628">
        <f>Skills!A20</f>
        <v/>
      </c>
      <c r="B2628">
        <f>Skills!B20</f>
        <v/>
      </c>
      <c r="C2628">
        <f>Inputs!$B$3&gt;=10</f>
        <v/>
      </c>
      <c r="D2628">
        <f>IF(Skills!C20=1,60+Inputs!$B$25+Inputs!$B$29,IF(Skills!C20=2,90+Inputs!$B$26+Inputs!$B$29,IF(Skills!C20=3,120+Inputs!$B$27+Inputs!$B$29,MAX(0,(Inputs!$B$3-100)*3)+Inputs!$B$28+Inputs!$B$29)))</f>
        <v/>
      </c>
      <c r="E2628">
        <f>INDEX(FactorTable!$B$2:$Y$301, MATCH(ROUND(MIN(300,MAX(1,D2628)),0), FactorTable!$A$2:$A$301,0), Skills!M20+1)</f>
        <v/>
      </c>
      <c r="F2628">
        <f>IF(Skills!N20=TRUE,(Skills!L20/10)*(E2628/1000),Skills!L20/10)+Skills!O20</f>
        <v/>
      </c>
      <c r="G2628">
        <f>Skills!G20*IF(Skills!H20&gt;0,Skills!I20/Skills!H20,1)</f>
        <v/>
      </c>
      <c r="H2628">
        <f>1-(1-Skills!J20/100)^Skills!K20</f>
        <v/>
      </c>
      <c r="I2628" t="inlineStr">
        <is>
          <t>1</t>
        </is>
      </c>
      <c r="J2628" t="inlineStr"/>
      <c r="K2628" t="inlineStr"/>
      <c r="L2628" t="inlineStr"/>
      <c r="M2628" t="inlineStr"/>
      <c r="N2628" t="inlineStr"/>
      <c r="O2628">
        <f>(1-Summary!$B$11)*T2628+Summary!$B$11*V2628</f>
        <v/>
      </c>
      <c r="P2628">
        <f>IF(B2648=0,0,O2628/B2648)</f>
        <v/>
      </c>
      <c r="Q2628" t="n">
        <v>0</v>
      </c>
      <c r="R2628" t="n">
        <v>0</v>
      </c>
      <c r="S2628">
        <f>IFERROR(O2628/N2628,0)</f>
        <v/>
      </c>
      <c r="T2628" t="n">
        <v>0</v>
      </c>
      <c r="V2628" t="n">
        <v>0</v>
      </c>
    </row>
    <row r="2629">
      <c r="A2629">
        <f>Skills!A21</f>
        <v/>
      </c>
      <c r="B2629">
        <f>Skills!B21</f>
        <v/>
      </c>
      <c r="C2629">
        <f>Inputs!$B$3&gt;=33</f>
        <v/>
      </c>
      <c r="D2629">
        <f>IF(Skills!C21=1,60+Inputs!$B$25+Inputs!$B$29,IF(Skills!C21=2,90+Inputs!$B$26+Inputs!$B$29,IF(Skills!C21=3,120+Inputs!$B$27+Inputs!$B$29,MAX(0,(Inputs!$B$3-100)*3)+Inputs!$B$28+Inputs!$B$29)))</f>
        <v/>
      </c>
      <c r="E2629">
        <f>INDEX(FactorTable!$B$2:$Y$301, MATCH(ROUND(MIN(300,MAX(1,D2629)),0), FactorTable!$A$2:$A$301,0), Skills!M21+1)</f>
        <v/>
      </c>
      <c r="F2629">
        <f>IF(Skills!N21=TRUE,(Skills!L21/10)*(E2629/1000),Skills!L21/10)+Skills!O21</f>
        <v/>
      </c>
      <c r="G2629">
        <f>Skills!G21*IF(Skills!H21&gt;0,Skills!I21/Skills!H21,1)</f>
        <v/>
      </c>
      <c r="H2629">
        <f>1-(1-Skills!J21/100)^Skills!K21</f>
        <v/>
      </c>
      <c r="I2629" t="inlineStr">
        <is>
          <t>1</t>
        </is>
      </c>
      <c r="J2629" t="inlineStr"/>
      <c r="K2629" t="inlineStr"/>
      <c r="L2629" t="inlineStr"/>
      <c r="M2629" t="inlineStr"/>
      <c r="N2629" t="inlineStr"/>
      <c r="O2629">
        <f>(1-Summary!$B$11)*T2629+Summary!$B$11*V2629</f>
        <v/>
      </c>
      <c r="P2629">
        <f>IF(B2648=0,0,O2629/B2648)</f>
        <v/>
      </c>
      <c r="Q2629" t="n">
        <v>0</v>
      </c>
      <c r="R2629" t="n">
        <v>0</v>
      </c>
      <c r="S2629">
        <f>IFERROR(O2629/N2629,0)</f>
        <v/>
      </c>
      <c r="T2629" t="n">
        <v>0</v>
      </c>
      <c r="V2629" t="n">
        <v>0</v>
      </c>
    </row>
    <row r="2630">
      <c r="A2630">
        <f>Skills!A22</f>
        <v/>
      </c>
      <c r="B2630">
        <f>Skills!B22</f>
        <v/>
      </c>
      <c r="C2630">
        <f>Inputs!$B$3&gt;=43</f>
        <v/>
      </c>
      <c r="D2630">
        <f>IF(Skills!C22=1,60+Inputs!$B$25+Inputs!$B$29,IF(Skills!C22=2,90+Inputs!$B$26+Inputs!$B$29,IF(Skills!C22=3,120+Inputs!$B$27+Inputs!$B$29,MAX(0,(Inputs!$B$3-100)*3)+Inputs!$B$28+Inputs!$B$29)))</f>
        <v/>
      </c>
      <c r="E2630">
        <f>INDEX(FactorTable!$B$2:$Y$301, MATCH(ROUND(MIN(300,MAX(1,D2630)),0), FactorTable!$A$2:$A$301,0), Skills!M22+1)</f>
        <v/>
      </c>
      <c r="F2630">
        <f>IF(Skills!N22=TRUE,(Skills!L22/10)*(E2630/1000),Skills!L22/10)+Skills!O22</f>
        <v/>
      </c>
      <c r="G2630">
        <f>Skills!G22*IF(Skills!H22&gt;0,Skills!I22/Skills!H22,1)</f>
        <v/>
      </c>
      <c r="H2630">
        <f>1-(1-Skills!J22/100)^Skills!K22</f>
        <v/>
      </c>
      <c r="I2630" t="inlineStr">
        <is>
          <t>1</t>
        </is>
      </c>
      <c r="J2630" t="inlineStr"/>
      <c r="K2630" t="inlineStr"/>
      <c r="L2630" t="inlineStr"/>
      <c r="M2630" t="inlineStr"/>
      <c r="N2630" t="inlineStr"/>
      <c r="O2630">
        <f>(1-Summary!$B$11)*T2630+Summary!$B$11*V2630</f>
        <v/>
      </c>
      <c r="P2630">
        <f>IF(B2648=0,0,O2630/B2648)</f>
        <v/>
      </c>
      <c r="Q2630" t="n">
        <v>0</v>
      </c>
      <c r="R2630" t="n">
        <v>0</v>
      </c>
      <c r="S2630">
        <f>IFERROR(O2630/N2630,0)</f>
        <v/>
      </c>
      <c r="T2630" t="n">
        <v>0</v>
      </c>
      <c r="V2630" t="n">
        <v>0</v>
      </c>
    </row>
    <row r="2631">
      <c r="A2631">
        <f>Skills!A23</f>
        <v/>
      </c>
      <c r="B2631">
        <f>Skills!B23</f>
        <v/>
      </c>
      <c r="C2631">
        <f>Inputs!$B$3&gt;=38</f>
        <v/>
      </c>
      <c r="D2631">
        <f>IF(Skills!C23=1,60+Inputs!$B$25+Inputs!$B$29,IF(Skills!C23=2,90+Inputs!$B$26+Inputs!$B$29,IF(Skills!C23=3,120+Inputs!$B$27+Inputs!$B$29,MAX(0,(Inputs!$B$3-100)*3)+Inputs!$B$28+Inputs!$B$29)))</f>
        <v/>
      </c>
      <c r="E2631">
        <f>INDEX(FactorTable!$B$2:$Y$301, MATCH(ROUND(MIN(300,MAX(1,D2631)),0), FactorTable!$A$2:$A$301,0), Skills!M23+1)</f>
        <v/>
      </c>
      <c r="F2631">
        <f>IF(Skills!N23=TRUE,(Skills!L23/10)*(E2631/1000),Skills!L23/10)+Skills!O23</f>
        <v/>
      </c>
      <c r="G2631">
        <f>Skills!G23*IF(Skills!H23&gt;0,Skills!I23/Skills!H23,1)</f>
        <v/>
      </c>
      <c r="H2631">
        <f>1-(1-Skills!J23/100)^Skills!K23</f>
        <v/>
      </c>
      <c r="I2631" t="inlineStr">
        <is>
          <t>1</t>
        </is>
      </c>
      <c r="J2631" t="inlineStr"/>
      <c r="K2631" t="inlineStr"/>
      <c r="L2631" t="inlineStr"/>
      <c r="M2631" t="inlineStr"/>
      <c r="N2631" t="inlineStr"/>
      <c r="O2631">
        <f>(1-Summary!$B$11)*T2631+Summary!$B$11*V2631</f>
        <v/>
      </c>
      <c r="P2631">
        <f>IF(B2648=0,0,O2631/B2648)</f>
        <v/>
      </c>
      <c r="Q2631" t="n">
        <v>0</v>
      </c>
      <c r="R2631" t="n">
        <v>0</v>
      </c>
      <c r="S2631">
        <f>IFERROR(O2631/N2631,0)</f>
        <v/>
      </c>
      <c r="T2631" t="n">
        <v>0</v>
      </c>
      <c r="V2631" t="n">
        <v>0</v>
      </c>
    </row>
    <row r="2632">
      <c r="A2632">
        <f>Skills!A24</f>
        <v/>
      </c>
      <c r="B2632">
        <f>Skills!B24</f>
        <v/>
      </c>
      <c r="C2632">
        <f>Inputs!$B$3&gt;=40</f>
        <v/>
      </c>
      <c r="D2632">
        <f>IF(Skills!C24=1,60+Inputs!$B$25+Inputs!$B$29,IF(Skills!C24=2,90+Inputs!$B$26+Inputs!$B$29,IF(Skills!C24=3,120+Inputs!$B$27+Inputs!$B$29,MAX(0,(Inputs!$B$3-100)*3)+Inputs!$B$28+Inputs!$B$29)))</f>
        <v/>
      </c>
      <c r="E2632">
        <f>INDEX(FactorTable!$B$2:$Y$301, MATCH(ROUND(MIN(300,MAX(1,D2632)),0), FactorTable!$A$2:$A$301,0), Skills!M24+1)</f>
        <v/>
      </c>
      <c r="F2632">
        <f>IF(Skills!N24=TRUE,(Skills!L24/10)*(E2632/1000),Skills!L24/10)+Skills!O24</f>
        <v/>
      </c>
      <c r="G2632">
        <f>Skills!G24*IF(Skills!H24&gt;0,Skills!I24/Skills!H24,1)</f>
        <v/>
      </c>
      <c r="H2632">
        <f>1-(1-Skills!J24/100)^Skills!K24</f>
        <v/>
      </c>
      <c r="I2632" t="inlineStr">
        <is>
          <t>1</t>
        </is>
      </c>
      <c r="J2632" t="inlineStr"/>
      <c r="K2632" t="inlineStr"/>
      <c r="L2632" t="inlineStr"/>
      <c r="M2632" t="inlineStr"/>
      <c r="N2632" t="inlineStr"/>
      <c r="O2632">
        <f>(1-Summary!$B$11)*T2632+Summary!$B$11*V2632</f>
        <v/>
      </c>
      <c r="P2632">
        <f>IF(B2648=0,0,O2632/B2648)</f>
        <v/>
      </c>
      <c r="Q2632" t="n">
        <v>0</v>
      </c>
      <c r="R2632" t="n">
        <v>0</v>
      </c>
      <c r="S2632">
        <f>IFERROR(O2632/N2632,0)</f>
        <v/>
      </c>
      <c r="T2632" t="n">
        <v>0</v>
      </c>
      <c r="V2632" t="n">
        <v>0</v>
      </c>
    </row>
    <row r="2633">
      <c r="A2633">
        <f>Skills!A25</f>
        <v/>
      </c>
      <c r="B2633">
        <f>Skills!B25</f>
        <v/>
      </c>
      <c r="C2633">
        <f>Inputs!$B$3&gt;=72</f>
        <v/>
      </c>
      <c r="D2633">
        <f>IF(Skills!C25=1,60+Inputs!$B$25+Inputs!$B$29,IF(Skills!C25=2,90+Inputs!$B$26+Inputs!$B$29,IF(Skills!C25=3,120+Inputs!$B$27+Inputs!$B$29,MAX(0,(Inputs!$B$3-100)*3)+Inputs!$B$28+Inputs!$B$29)))</f>
        <v/>
      </c>
      <c r="E2633">
        <f>INDEX(FactorTable!$B$2:$Y$301, MATCH(ROUND(MIN(300,MAX(1,D2633)),0), FactorTable!$A$2:$A$301,0), Skills!M25+1)</f>
        <v/>
      </c>
      <c r="F2633">
        <f>IF(Skills!N25=TRUE,(Skills!L25/10)*(E2633/1000),Skills!L25/10)+Skills!O25</f>
        <v/>
      </c>
      <c r="G2633">
        <f>Skills!G25*IF(Skills!H25&gt;0,Skills!I25/Skills!H25,1)</f>
        <v/>
      </c>
      <c r="H2633">
        <f>1-(1-Skills!J25/100)^Skills!K25</f>
        <v/>
      </c>
      <c r="I2633" t="inlineStr">
        <is>
          <t>1</t>
        </is>
      </c>
      <c r="J2633" t="inlineStr"/>
      <c r="K2633" t="inlineStr"/>
      <c r="L2633" t="inlineStr"/>
      <c r="M2633" t="inlineStr"/>
      <c r="N2633" t="inlineStr"/>
      <c r="O2633">
        <f>(1-Summary!$B$11)*T2633+Summary!$B$11*V2633</f>
        <v/>
      </c>
      <c r="P2633">
        <f>IF(B2648=0,0,O2633/B2648)</f>
        <v/>
      </c>
      <c r="Q2633" t="n">
        <v>0</v>
      </c>
      <c r="R2633" t="n">
        <v>0</v>
      </c>
      <c r="S2633">
        <f>IFERROR(O2633/N2633,0)</f>
        <v/>
      </c>
      <c r="T2633" t="n">
        <v>0</v>
      </c>
      <c r="V2633" t="n">
        <v>0</v>
      </c>
    </row>
    <row r="2634">
      <c r="A2634">
        <f>Skills!A26</f>
        <v/>
      </c>
      <c r="B2634">
        <f>Skills!B26</f>
        <v/>
      </c>
      <c r="C2634">
        <f>Inputs!$B$3&gt;=75</f>
        <v/>
      </c>
      <c r="D2634">
        <f>IF(Skills!C26=1,60+Inputs!$B$25+Inputs!$B$29,IF(Skills!C26=2,90+Inputs!$B$26+Inputs!$B$29,IF(Skills!C26=3,120+Inputs!$B$27+Inputs!$B$29,MAX(0,(Inputs!$B$3-100)*3)+Inputs!$B$28+Inputs!$B$29)))</f>
        <v/>
      </c>
      <c r="E2634">
        <f>INDEX(FactorTable!$B$2:$Y$301, MATCH(ROUND(MIN(300,MAX(1,D2634)),0), FactorTable!$A$2:$A$301,0), Skills!M26+1)</f>
        <v/>
      </c>
      <c r="F2634">
        <f>IF(Skills!N26=TRUE,(Skills!L26/10)*(E2634/1000),Skills!L26/10)+Skills!O26</f>
        <v/>
      </c>
      <c r="G2634">
        <f>Skills!G26*IF(Skills!H26&gt;0,Skills!I26/Skills!H26,1)</f>
        <v/>
      </c>
      <c r="H2634">
        <f>1-(1-Skills!J26/100)^Skills!K26</f>
        <v/>
      </c>
      <c r="I2634" t="inlineStr">
        <is>
          <t>1</t>
        </is>
      </c>
      <c r="J2634" t="inlineStr"/>
      <c r="K2634" t="inlineStr"/>
      <c r="L2634" t="inlineStr"/>
      <c r="M2634" t="inlineStr"/>
      <c r="N2634" t="inlineStr"/>
      <c r="O2634">
        <f>(1-Summary!$B$11)*T2634+Summary!$B$11*V2634</f>
        <v/>
      </c>
      <c r="P2634">
        <f>IF(B2648=0,0,O2634/B2648)</f>
        <v/>
      </c>
      <c r="Q2634" t="n">
        <v>0</v>
      </c>
      <c r="R2634" t="n">
        <v>0</v>
      </c>
      <c r="S2634">
        <f>IFERROR(O2634/N2634,0)</f>
        <v/>
      </c>
      <c r="T2634" t="n">
        <v>0</v>
      </c>
      <c r="V2634" t="n">
        <v>0</v>
      </c>
    </row>
    <row r="2635">
      <c r="A2635">
        <f>Skills!A27</f>
        <v/>
      </c>
      <c r="B2635">
        <f>Skills!B27</f>
        <v/>
      </c>
      <c r="C2635">
        <f>Inputs!$B$3&gt;=117</f>
        <v/>
      </c>
      <c r="D2635">
        <f>IF(Skills!C27=1,60+Inputs!$B$25+Inputs!$B$29,IF(Skills!C27=2,90+Inputs!$B$26+Inputs!$B$29,IF(Skills!C27=3,120+Inputs!$B$27+Inputs!$B$29,MAX(0,(Inputs!$B$3-100)*3)+Inputs!$B$28+Inputs!$B$29)))</f>
        <v/>
      </c>
      <c r="E2635">
        <f>INDEX(FactorTable!$B$2:$Y$301, MATCH(ROUND(MIN(300,MAX(1,D2635)),0), FactorTable!$A$2:$A$301,0), Skills!M27+1)</f>
        <v/>
      </c>
      <c r="F2635">
        <f>IF(Skills!N27=TRUE,(Skills!L27/10)*(E2635/1000),Skills!L27/10)+Skills!O27</f>
        <v/>
      </c>
      <c r="G2635">
        <f>Skills!G27*IF(Skills!H27&gt;0,Skills!I27/Skills!H27,1)</f>
        <v/>
      </c>
      <c r="H2635">
        <f>1-(1-Skills!J27/100)^Skills!K27</f>
        <v/>
      </c>
      <c r="I2635" t="inlineStr">
        <is>
          <t>1</t>
        </is>
      </c>
      <c r="J2635" t="inlineStr"/>
      <c r="K2635" t="inlineStr"/>
      <c r="L2635" t="inlineStr"/>
      <c r="M2635" t="inlineStr"/>
      <c r="N2635" t="inlineStr"/>
      <c r="O2635">
        <f>(1-Summary!$B$11)*T2635+Summary!$B$11*V2635</f>
        <v/>
      </c>
      <c r="P2635">
        <f>IF(B2648=0,0,O2635/B2648)</f>
        <v/>
      </c>
      <c r="Q2635" t="n">
        <v>0</v>
      </c>
      <c r="R2635" t="n">
        <v>0</v>
      </c>
      <c r="S2635">
        <f>IFERROR(O2635/N2635,0)</f>
        <v/>
      </c>
      <c r="T2635" t="n">
        <v>0</v>
      </c>
      <c r="V2635" t="n">
        <v>0</v>
      </c>
    </row>
    <row r="2637">
      <c r="A2637" t="inlineStr">
        <is>
          <t>Attack% Bucket Multiplier</t>
        </is>
      </c>
      <c r="B2637">
        <f>(1+(((C2625=TRUE)*F2625)+((C2632=TRUE)*(F2632-Calc!F24))+(IF(ArtifactsInput!$M$21,CHOOSE(ArtifactsInput!$N$21+1,25,30,35,40,45,50)*(IF(OR(Inputs!$B$4="Chapter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38">
      <c r="A2638" t="inlineStr">
        <is>
          <t>Global Crit Rate Bonus %</t>
        </is>
      </c>
      <c r="B2638" t="n">
        <v>0</v>
      </c>
    </row>
    <row r="2639">
      <c r="A2639" t="inlineStr">
        <is>
          <t>Attack Speed Buff Bonus % (unused)</t>
        </is>
      </c>
      <c r="B2639" t="n">
        <v>0</v>
      </c>
    </row>
    <row r="2640">
      <c r="A2640" t="inlineStr">
        <is>
          <t>Actions Per Second</t>
        </is>
      </c>
      <c r="B2640">
        <f>1+MIN(150,150*(1-(1-(Inputs!$B$11+((C2628=TRUE)*(F2628-Calc!F20))+((C2629=TRUE)*(F2629-Calc!F21)))/150)*(1-B2639/150)))/100</f>
        <v/>
      </c>
    </row>
    <row r="2641">
      <c r="A2641" t="inlineStr">
        <is>
          <t>Skill + Buff Cast Rate</t>
        </is>
      </c>
      <c r="B2641">
        <f>IF(AND(Inputs!$B$38&lt;&gt;"pvp",Inputs!$B$43&gt;0),SUMPRODUCT((Skills!E2:E27=TRUE)*(C2610:C2635=TRUE)*R2610:R2635*Skills!F2:F27)/Inputs!$B$43,SUMPRODUCT((Skills!E2:E27=TRUE)*(C2610:C2635=TRUE)*Q2610:Q2635*Skills!F2:F27))</f>
        <v/>
      </c>
    </row>
    <row r="2642">
      <c r="A2642" t="inlineStr">
        <is>
          <t>Eight-Legs Easton Casts Per Second</t>
        </is>
      </c>
      <c r="B2642">
        <f>MAX(0,B2640-B2641)</f>
        <v/>
      </c>
    </row>
    <row r="2643">
      <c r="A2643" t="inlineStr">
        <is>
          <t>Global Critical Damage Bonus % (unused)</t>
        </is>
      </c>
      <c r="B2643" t="n">
        <v>0</v>
      </c>
    </row>
    <row r="2644">
      <c r="A2644" t="inlineStr">
        <is>
          <t>Global Final Damage Bonus % (Jolly Roger only)</t>
        </is>
      </c>
      <c r="B2644">
        <f>((C2626=TRUE)*F2626)</f>
        <v/>
      </c>
    </row>
    <row r="2645">
      <c r="A2645" t="inlineStr">
        <is>
          <t>Buff-Casting Startup Delay (s, fixed-duration only)</t>
        </is>
      </c>
      <c r="B2645">
        <f>IF(AND(Inputs!$B$38&lt;&gt;"pvp",Inputs!$B$43&gt;0),SUMPRODUCT((Skills!T2:T27&gt;0)*(Skills!E2:E27=TRUE)*(C2610:C2635=TRUE))/B2640,0)</f>
        <v/>
      </c>
    </row>
    <row r="2646">
      <c r="A2646" t="inlineStr">
        <is>
          <t>Boss-Only Total DPS (this block's swept value)</t>
        </is>
      </c>
      <c r="B2646">
        <f>SUM(T2610:T2635)</f>
        <v/>
      </c>
    </row>
    <row r="2647">
      <c r="A2647" t="inlineStr">
        <is>
          <t>Normal-Only Total DPS (this block's swept value)</t>
        </is>
      </c>
      <c r="B2647">
        <f>SUM(V2610:V2635)</f>
        <v/>
      </c>
    </row>
    <row r="2648">
      <c r="A2648" s="6" t="inlineStr">
        <is>
          <t>TOTAL DPS</t>
        </is>
      </c>
      <c r="B2648" s="6">
        <f>SUM(O2610:O2635)</f>
        <v/>
      </c>
    </row>
    <row r="2651">
      <c r="A2651" s="6" t="inlineStr">
        <is>
          <t>Stat: Secret Map (Equip)</t>
        </is>
      </c>
    </row>
    <row r="2652">
      <c r="A2652" s="5" t="inlineStr">
        <is>
          <t>Key</t>
        </is>
      </c>
      <c r="B2652" s="5" t="inlineStr">
        <is>
          <t>Name</t>
        </is>
      </c>
      <c r="C2652" s="5" t="inlineStr">
        <is>
          <t>Unlocked</t>
        </is>
      </c>
      <c r="D2652" s="5" t="inlineStr">
        <is>
          <t>InputLevel</t>
        </is>
      </c>
      <c r="E2652" s="5" t="inlineStr">
        <is>
          <t>Factor</t>
        </is>
      </c>
      <c r="F2652" s="5" t="inlineStr">
        <is>
          <t>CoefficientPercent</t>
        </is>
      </c>
      <c r="G2652" s="5" t="inlineStr">
        <is>
          <t>EffectiveHits</t>
        </is>
      </c>
      <c r="H2652" s="5" t="inlineStr">
        <is>
          <t>ProcProbability</t>
        </is>
      </c>
      <c r="I2652" s="5" t="inlineStr">
        <is>
          <t>MapleHeroMultiplier</t>
        </is>
      </c>
      <c r="J2652" s="5" t="inlineStr">
        <is>
          <t>BaseDamage</t>
        </is>
      </c>
      <c r="K2652" s="5" t="inlineStr">
        <is>
          <t>BaseHitDamage</t>
        </is>
      </c>
      <c r="L2652" s="5" t="inlineStr">
        <is>
          <t>NonCritAvg</t>
        </is>
      </c>
      <c r="M2652" s="5" t="inlineStr">
        <is>
          <t>CritAvg</t>
        </is>
      </c>
      <c r="N2652" s="5" t="inlineStr">
        <is>
          <t>ExpectedDamage(perHit)</t>
        </is>
      </c>
      <c r="O2652" s="5" t="inlineStr">
        <is>
          <t>DPS</t>
        </is>
      </c>
      <c r="P2652" s="5" t="inlineStr">
        <is>
          <t>% of Total</t>
        </is>
      </c>
      <c r="Q2652" s="5" t="inlineStr">
        <is>
          <t>InvCooldown</t>
        </is>
      </c>
      <c r="R2652" s="5" t="inlineStr">
        <is>
          <t>CastsInFight</t>
        </is>
      </c>
      <c r="S2652" s="5" t="inlineStr">
        <is>
          <t>HitRate(perSec)</t>
        </is>
      </c>
      <c r="U2652" t="inlineStr">
        <is>
          <t>helpers</t>
        </is>
      </c>
    </row>
    <row r="2653">
      <c r="A2653">
        <f>Skills!A2</f>
        <v/>
      </c>
      <c r="B2653">
        <f>Skills!B2</f>
        <v/>
      </c>
      <c r="C2653">
        <f>Inputs!$B$3&gt;=100</f>
        <v/>
      </c>
      <c r="D2653" t="inlineStr"/>
      <c r="E2653" t="inlineStr"/>
      <c r="F2653">
        <f>U2655+Skills!O2</f>
        <v/>
      </c>
      <c r="G2653">
        <f>Skills!G2*IF(Skills!H2&gt;0,Skills!I2/Skills!H2,1)</f>
        <v/>
      </c>
      <c r="H2653">
        <f>1-(1-Skills!J2/100)^Skills!K2</f>
        <v/>
      </c>
      <c r="I2653" t="inlineStr">
        <is>
          <t>1</t>
        </is>
      </c>
      <c r="J2653">
        <f>((Inputs!$B$6*(1+Inputs!$B$7/100))+(((Inputs!$B$12*(1+Inputs!$B$13/100))-(Inputs!$B$12*(1+Inputs!$B$13/100)))+0.25*(Inputs!$B$14-Inputs!$B$14))*(1+Inputs!$B$7/100))*(F2653/100)</f>
        <v/>
      </c>
      <c r="K2653">
        <f>J2653*(1+((Inputs!$B$12*(1+Inputs!$B$13/100))*0.01+Inputs!$B$14*0.0025)/100)*(1+Inputs!$B$15/100)*(1+Inputs!$B$16/100)*(5000/(6000+Inputs!$B$42*(1-(100*(1-(1-(Inputs!$B$19+0)/100)*(1-CHOOSE(ArtifactsInput!$N$40+1,5,6,7,8,9,10)/100)^(ArtifactsInput!$M$40-ArtifactsInput!$M$40)))/100)))*(1+(Inputs!$B$24+((C2677=TRUE)*(F2677-Calc!F26))+B2687)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2674=TRUE)*(F2674-Calc!F23))+((C2678=TRUE)*(F2678-Calc!F27))+(((IF(AND(ArtifactsInput!$M$42,((Inputs!$B$9+((C2670=TRUE)*(F2670-Calc!F19))+B2681+(ArtifactsInput!$M$24-ArtifactsInput!$M$24)*CHOOSE(ArtifactsInput!$N$24+1,10,12,14,16,18,20)+IF(ArtifactsInput!$M$10,CHOOSE(ArtifactsInput!$N$10+1,15,18,21,24,27,30)*(IF(Inputs!$B$38="pvp",MIN(15,15)/15,IF(AND(Inputs!$B$38&lt;&gt;"pvp",Inputs!$B$43&gt;0),MIN(15,Inputs!$B$43)/(Inputs!$B$43),0))),0)))&gt;=100),MIN(100,((Inputs!$B$9+((C2670=TRUE)*(F2670-Calc!F19))+B2681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2670=TRUE)*(F2670-Calc!F19))+B2681+(ArtifactsInput!$M$24-ArtifactsInput!$M$24)*CHOOSE(ArtifactsInput!$N$24+1,10,12,14,16,18,20)+IF(ArtifactsInput!$M$10,CHOOSE(ArtifactsInput!$N$10+1,15,18,21,24,27,30)*(IF(Inputs!$B$38="pvp",MIN(15,15)/15,IF(AND(Inputs!$B$38&lt;&gt;"pvp",Inputs!$B$43&gt;0),MIN(15,Inputs!$B$43)/(Inputs!$B$43),0))),0)))&gt;=100),CHOOSE(ArtifactsInput!$N$42+1,40,48,56,64,72,80),0))))/100)*((1+(((C2668=TRUE)*F2668)+((C2675=TRUE)*(F2675-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2653)</f>
        <v/>
      </c>
      <c r="L2653">
        <f>K2653*(MIN(Inputs!$B$22+((C2673=TRUE)*(F2673-Calc!F22)),(Inputs!$B$23+0+(IF(ArtifactsInput!$M$15,CHOOSE(ArtifactsInput!$N$15+1,25,30,35,40,45,50)/100*(Inputs!$B$11-Inputs!$B$11),0))))/100+(Inputs!$B$23+0+(IF(ArtifactsInput!$M$15,CHOOSE(ArtifactsInput!$N$15+1,25,30,35,40,45,50)/100*(Inputs!$B$11-Inputs!$B$11),0)))/100)/2</f>
        <v/>
      </c>
      <c r="M2653">
        <f>L2653*(1+(Inputs!$B$10+((C2676=TRUE)*(F2676-Calc!F25))+B2686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3">
        <f>L2653*(1-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2653*(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3">
        <f>(1-Summary!$B$11)*T2653+Summary!$B$11*V2653</f>
        <v/>
      </c>
      <c r="P2653">
        <f>IF(B2691=0,0,O2653/B2691)</f>
        <v/>
      </c>
      <c r="Q2653" t="n">
        <v>0</v>
      </c>
      <c r="R2653" t="n">
        <v>0</v>
      </c>
      <c r="S2653">
        <f>IFERROR(O2653/N2653,0)</f>
        <v/>
      </c>
      <c r="T2653">
        <f>IF(C2653,(Skills!G2*N2653*B2685)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2653*(1-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2653*(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2653*(1-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2653*(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3">
        <f>MAX(0,(Inputs!$B$3-100)*3)+Inputs!$B$28+Inputs!$B$29</f>
        <v/>
      </c>
      <c r="V2653">
        <f>IF(C2653,(Skills!G2*N2653*B2685)*IF(Inputs!$B$38="pvp",1,(1+(Inputs!$B$21+Skills!Q2+(IF(ArtifactsInput!$M$33,CHOOSE(ArtifactsInput!$N$33+1,30,36,42,48,54,60),0))+(IF(AND(ArtifactsInput!$M$35,Inputs!$B$4&lt;&gt;"Chapter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4">
      <c r="A2654">
        <f>Skills!A3</f>
        <v/>
      </c>
      <c r="B2654">
        <f>Skills!B3</f>
        <v/>
      </c>
      <c r="C2654">
        <f>Inputs!$B$3&gt;=35</f>
        <v/>
      </c>
      <c r="D2654">
        <f>IF(Skills!C3=1,60+Inputs!$B$25+Inputs!$B$29,IF(Skills!C3=2,90+Inputs!$B$26+Inputs!$B$29,IF(Skills!C3=3,120+Inputs!$B$27+Inputs!$B$29,MAX(0,(Inputs!$B$3-100)*3)+Inputs!$B$28+Inputs!$B$29)))</f>
        <v/>
      </c>
      <c r="E2654">
        <f>INDEX(FactorTable!$B$2:$Y$301, MATCH(ROUND(MIN(300,MAX(1,D2654)),0), FactorTable!$A$2:$A$301,0), Skills!M3+1)</f>
        <v/>
      </c>
      <c r="F2654">
        <f>IF(Skills!N3=TRUE,(Skills!L3/10)*(E2654/1000),Skills!L3/10)+Skills!O3</f>
        <v/>
      </c>
      <c r="G2654">
        <f>Skills!G3*IF(Skills!H3&gt;0,Skills!I3/Skills!H3,1)</f>
        <v/>
      </c>
      <c r="H2654">
        <f>1-(1-Skills!J3/100)^Skills!K3</f>
        <v/>
      </c>
      <c r="I2654" t="inlineStr">
        <is>
          <t>1</t>
        </is>
      </c>
      <c r="J2654">
        <f>((Inputs!$B$6*(1+Inputs!$B$7/100))+(((Inputs!$B$12*(1+Inputs!$B$13/100))-(Inputs!$B$12*(1+Inputs!$B$13/100)))+0.25*(Inputs!$B$14-Inputs!$B$14))*(1+Inputs!$B$7/100))*(F2654/100)</f>
        <v/>
      </c>
      <c r="K2654">
        <f>J2654*(1+((Inputs!$B$12*(1+Inputs!$B$13/100))*0.01+Inputs!$B$14*0.0025)/100)*(1+Inputs!$B$15/100)*(1+Inputs!$B$16/100)*(5000/(6000+Inputs!$B$42*(1-(100*(1-(1-(Inputs!$B$19+0)/100)*(1-CHOOSE(ArtifactsInput!$N$40+1,5,6,7,8,9,10)/100)^(ArtifactsInput!$M$40-ArtifactsInput!$M$40)))/100)))*(1+(Inputs!$B$24+((C2677=TRUE)*(F2677-Calc!F26))+B2687)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2666=TRUE,F2666,0)/100)*(1+(IF(Skills!A3="EIGHT_LEGS_EASTON",Inputs!$B$17+((C2674=TRUE)*(F2674-Calc!F23))+((C2678=TRUE)*(F2678-Calc!F27))+(((IF(AND(ArtifactsInput!$M$42,((Inputs!$B$9+((C2670=TRUE)*(F2670-Calc!F19))+B2681+(ArtifactsInput!$M$24-ArtifactsInput!$M$24)*CHOOSE(ArtifactsInput!$N$24+1,10,12,14,16,18,20)+IF(ArtifactsInput!$M$10,CHOOSE(ArtifactsInput!$N$10+1,15,18,21,24,27,30)*(IF(Inputs!$B$38="pvp",MIN(15,15)/15,IF(AND(Inputs!$B$38&lt;&gt;"pvp",Inputs!$B$43&gt;0),MIN(15,Inputs!$B$43)/(Inputs!$B$43),0))),0)))&gt;=100),MIN(100,((Inputs!$B$9+((C2670=TRUE)*(F2670-Calc!F19))+B2681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2670=TRUE)*(F2670-Calc!F19))+B2681+(ArtifactsInput!$M$24-ArtifactsInput!$M$24)*CHOOSE(ArtifactsInput!$N$24+1,10,12,14,16,18,20)+IF(ArtifactsInput!$M$10,CHOOSE(ArtifactsInput!$N$10+1,15,18,21,24,27,30)*(IF(Inputs!$B$38="pvp",MIN(15,15)/15,IF(AND(Inputs!$B$38&lt;&gt;"pvp",Inputs!$B$43&gt;0),MIN(15,Inputs!$B$43)/(Inputs!$B$43),0))),0)))&gt;=100),CHOOSE(ArtifactsInput!$N$42+1,40,48,56,64,72,80),0))))/100)*((1+(((C2668=TRUE)*F2668)+((C2675=TRUE)*(F2675-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2654)</f>
        <v/>
      </c>
      <c r="L2654">
        <f>K2654*(MIN(Inputs!$B$22+((C2673=TRUE)*(F2673-Calc!F22)),(Inputs!$B$23+0+(IF(ArtifactsInput!$M$15,CHOOSE(ArtifactsInput!$N$15+1,25,30,35,40,45,50)/100*(Inputs!$B$11-Inputs!$B$11),0))))/100+(Inputs!$B$23+0+(IF(ArtifactsInput!$M$15,CHOOSE(ArtifactsInput!$N$15+1,25,30,35,40,45,50)/100*(Inputs!$B$11-Inputs!$B$11),0)))/100)/2</f>
        <v/>
      </c>
      <c r="M2654">
        <f>L2654*(1+(Inputs!$B$10+((C2676=TRUE)*(F2676-Calc!F25))+B2686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4">
        <f>L2654*(1-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2654*(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4">
        <f>(1-Summary!$B$11)*T2654+Summary!$B$11*V2654</f>
        <v/>
      </c>
      <c r="P2654">
        <f>IF(B2691=0,0,O2654/B2691)</f>
        <v/>
      </c>
      <c r="Q2654">
        <f>IFERROR(1/(IF(Inputs!$B$38="pvp",15,MAX(0.1,Skills!D3-IF(Skills!E3=TRUE,Inputs!$B$32,0)))*(1-IF(AND(ArtifactsInput!$M$27,Inputs!$B$4="Chapter Hunt"),CHOOSE(ArtifactsInput!$N$27+1,20,24,28,32,36,40),0)/100)),0)</f>
        <v/>
      </c>
      <c r="R2654">
        <f>IF(AND(Inputs!$B$38&lt;&gt;"pvp",Inputs!$B$43&gt;0),IF(MAX(0,Inputs!$B$43-B2688)&lt;=0,0,(INT(MAX(0,Inputs!$B$43-B2688)/(IF(Inputs!$B$38="pvp",15,MAX(0.1,Skills!D3-IF(Skills!E3=TRUE,Inputs!$B$32,0)))*(1-IF(AND(ArtifactsInput!$M$27,Inputs!$B$4="Chapter Hunt"),CHOOSE(ArtifactsInput!$N$27+1,20,24,28,32,36,40),0)/100)))+1)),0)</f>
        <v/>
      </c>
      <c r="S2654">
        <f>IFERROR(O2654/N2654,0)</f>
        <v/>
      </c>
      <c r="T2654">
        <f>IF(C2654,(H2654*N2654*IF(AND(Inputs!$B$38&lt;&gt;"pvp",Inputs!$B$43&gt;0),((Skills!G3*((R2654-1)*IF(Skills!H3&gt;0,Skills!I3/Skills!H3,1)+IF(Skills!H3&gt;0,MIN(Skills!I3,MAX(0,MAX(0,Inputs!$B$43-B2688)-((R2654-1)*(IF(Inputs!$B$38="pvp",15,MAX(0.1,Skills!D3-IF(Skills!E3=TRUE,Inputs!$B$32,0)))*(1-IF(AND(ArtifactsInput!$M$27,Inputs!$B$4="Chapter Hunt"),CHOOSE(ArtifactsInput!$N$27+1,20,24,28,32,36,40),0)/100)))))/Skills!H3,1)))/Inputs!$B$43),G2654*Q2654)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2654*(1-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2654*(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2654*(1-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2654*(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4">
        <f>INDEX(FactorTable!$B$2:$Y$301, MATCH(ROUND(MIN(300,MAX(1,U2653)),0), FactorTable!$A$2:$A$301,0), 22)</f>
        <v/>
      </c>
      <c r="V2654">
        <f>IF(C2654,(H2654*N2654*IF(AND(Inputs!$B$38&lt;&gt;"pvp",Inputs!$B$43&gt;0),((Skills!G3*((R2654-1)*IF(Skills!H3&gt;0,Skills!I3/Skills!H3,1)+IF(Skills!H3&gt;0,MIN(Skills!I3,MAX(0,MAX(0,Inputs!$B$43-B2688)-((R2654-1)*(IF(Inputs!$B$38="pvp",15,MAX(0.1,Skills!D3-IF(Skills!E3=TRUE,Inputs!$B$32,0)))*(1-IF(AND(ArtifactsInput!$M$27,Inputs!$B$4="Chapter Hunt"),CHOOSE(ArtifactsInput!$N$27+1,20,24,28,32,36,40),0)/100)))))/Skills!H3,1)))/Inputs!$B$43),G2654*Q2654))*IF(Inputs!$B$38="pvp",1,(1+(Inputs!$B$21+Skills!Q3+(IF(ArtifactsInput!$M$33,CHOOSE(ArtifactsInput!$N$33+1,30,36,42,48,54,60)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MIN(Skills!R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5">
      <c r="A2655">
        <f>Skills!A4</f>
        <v/>
      </c>
      <c r="B2655">
        <f>Skills!B4</f>
        <v/>
      </c>
      <c r="C2655">
        <f>Inputs!$B$3&gt;=40</f>
        <v/>
      </c>
      <c r="D2655">
        <f>IF(Skills!C4=1,60+Inputs!$B$25+Inputs!$B$29,IF(Skills!C4=2,90+Inputs!$B$26+Inputs!$B$29,IF(Skills!C4=3,120+Inputs!$B$27+Inputs!$B$29,MAX(0,(Inputs!$B$3-100)*3)+Inputs!$B$28+Inputs!$B$29)))</f>
        <v/>
      </c>
      <c r="E2655">
        <f>INDEX(FactorTable!$B$2:$Y$301, MATCH(ROUND(MIN(300,MAX(1,D2655)),0), FactorTable!$A$2:$A$301,0), Skills!M4+1)</f>
        <v/>
      </c>
      <c r="F2655">
        <f>IF(Skills!N4=TRUE,(Skills!L4/10)*(E2655/1000),Skills!L4/10)+Skills!O4</f>
        <v/>
      </c>
      <c r="G2655">
        <f>Skills!G4*IF(Skills!H4&gt;0,Skills!I4/Skills!H4,1)</f>
        <v/>
      </c>
      <c r="H2655">
        <f>1-(1-Skills!J4/100)^Skills!K4</f>
        <v/>
      </c>
      <c r="I2655" t="inlineStr">
        <is>
          <t>1</t>
        </is>
      </c>
      <c r="J2655">
        <f>((Inputs!$B$6*(1+Inputs!$B$7/100))+(((Inputs!$B$12*(1+Inputs!$B$13/100))-(Inputs!$B$12*(1+Inputs!$B$13/100)))+0.25*(Inputs!$B$14-Inputs!$B$14))*(1+Inputs!$B$7/100))*(F2655/100)</f>
        <v/>
      </c>
      <c r="K2655">
        <f>J2655*(1+((Inputs!$B$12*(1+Inputs!$B$13/100))*0.01+Inputs!$B$14*0.0025)/100)*(1+Inputs!$B$15/100)*(1+Inputs!$B$16/100)*(5000/(6000+Inputs!$B$42*(1-(100*(1-(1-(Inputs!$B$19+0)/100)*(1-CHOOSE(ArtifactsInput!$N$40+1,5,6,7,8,9,10)/100)^(ArtifactsInput!$M$40-ArtifactsInput!$M$40)))/100)))*(1+(Inputs!$B$24+((C2677=TRUE)*(F2677-Calc!F26))+B2687)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2667=TRUE,F2667,0)/100)*(1+(IF(Skills!A4="EIGHT_LEGS_EASTON",Inputs!$B$17+((C2674=TRUE)*(F2674-Calc!F23))+((C2678=TRUE)*(F2678-Calc!F27))+(((IF(AND(ArtifactsInput!$M$42,((Inputs!$B$9+((C2670=TRUE)*(F2670-Calc!F19))+B2681+(ArtifactsInput!$M$24-ArtifactsInput!$M$24)*CHOOSE(ArtifactsInput!$N$24+1,10,12,14,16,18,20)+IF(ArtifactsInput!$M$10,CHOOSE(ArtifactsInput!$N$10+1,15,18,21,24,27,30)*(IF(Inputs!$B$38="pvp",MIN(15,15)/15,IF(AND(Inputs!$B$38&lt;&gt;"pvp",Inputs!$B$43&gt;0),MIN(15,Inputs!$B$43)/(Inputs!$B$43),0))),0)))&gt;=100),MIN(100,((Inputs!$B$9+((C2670=TRUE)*(F2670-Calc!F19))+B2681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2670=TRUE)*(F2670-Calc!F19))+B2681+(ArtifactsInput!$M$24-ArtifactsInput!$M$24)*CHOOSE(ArtifactsInput!$N$24+1,10,12,14,16,18,20)+IF(ArtifactsInput!$M$10,CHOOSE(ArtifactsInput!$N$10+1,15,18,21,24,27,30)*(IF(Inputs!$B$38="pvp",MIN(15,15)/15,IF(AND(Inputs!$B$38&lt;&gt;"pvp",Inputs!$B$43&gt;0),MIN(15,Inputs!$B$43)/(Inputs!$B$43),0))),0)))&gt;=100),CHOOSE(ArtifactsInput!$N$42+1,40,48,56,64,72,80),0))))/100)*((1+(((C2668=TRUE)*F2668)+((C2675=TRUE)*(F2675-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2655)</f>
        <v/>
      </c>
      <c r="L2655">
        <f>K2655*(MIN(Inputs!$B$22+((C2673=TRUE)*(F2673-Calc!F22)),(Inputs!$B$23+0+(IF(ArtifactsInput!$M$15,CHOOSE(ArtifactsInput!$N$15+1,25,30,35,40,45,50)/100*(Inputs!$B$11-Inputs!$B$11),0))))/100+(Inputs!$B$23+0+(IF(ArtifactsInput!$M$15,CHOOSE(ArtifactsInput!$N$15+1,25,30,35,40,45,50)/100*(Inputs!$B$11-Inputs!$B$11),0)))/100)/2</f>
        <v/>
      </c>
      <c r="M2655">
        <f>L2655*(1+(Inputs!$B$10+((C2676=TRUE)*(F2676-Calc!F25))+B2686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5">
        <f>L2655*(1-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2655*(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5">
        <f>(1-Summary!$B$11)*T2655+Summary!$B$11*V2655</f>
        <v/>
      </c>
      <c r="P2655">
        <f>IF(B2691=0,0,O2655/B2691)</f>
        <v/>
      </c>
      <c r="Q2655">
        <f>IFERROR(1/(IF(Inputs!$B$38="pvp",15,MAX(0.1,Skills!D4-IF(Skills!E4=TRUE,Inputs!$B$32,0)))*(1-IF(AND(ArtifactsInput!$M$27,Inputs!$B$4="Chapter Hunt"),CHOOSE(ArtifactsInput!$N$27+1,20,24,28,32,36,40),0)/100)),0)</f>
        <v/>
      </c>
      <c r="R2655">
        <f>IF(AND(Inputs!$B$38&lt;&gt;"pvp",Inputs!$B$43&gt;0),IF(MAX(0,Inputs!$B$43-B2688)&lt;=0,0,(INT(MAX(0,Inputs!$B$43-B2688)/(IF(Inputs!$B$38="pvp",15,MAX(0.1,Skills!D4-IF(Skills!E4=TRUE,Inputs!$B$32,0)))*(1-IF(AND(ArtifactsInput!$M$27,Inputs!$B$4="Chapter Hunt"),CHOOSE(ArtifactsInput!$N$27+1,20,24,28,32,36,40),0)/100)))+1)),0)</f>
        <v/>
      </c>
      <c r="S2655">
        <f>IFERROR(O2655/N2655,0)</f>
        <v/>
      </c>
      <c r="T2655">
        <f>IF(C2655,(H2655*N2655*IF(AND(Inputs!$B$38&lt;&gt;"pvp",Inputs!$B$43&gt;0),((Skills!G4*((R2655-1)*IF(Skills!H4&gt;0,Skills!I4/Skills!H4,1)+IF(Skills!H4&gt;0,MIN(Skills!I4,MAX(0,MAX(0,Inputs!$B$43-B2688)-((R2655-1)*(IF(Inputs!$B$38="pvp",15,MAX(0.1,Skills!D4-IF(Skills!E4=TRUE,Inputs!$B$32,0)))*(1-IF(AND(ArtifactsInput!$M$27,Inputs!$B$4="Chapter Hunt"),CHOOSE(ArtifactsInput!$N$27+1,20,24,28,32,36,40),0)/100)))))/Skills!H4,1)))/Inputs!$B$43),G2655*Q2655)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2655*(1-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2655*(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2655*(1-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2655*(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5">
        <f>290*U2654/1000</f>
        <v/>
      </c>
      <c r="V2655">
        <f>IF(C2655,(H2655*N2655*IF(AND(Inputs!$B$38&lt;&gt;"pvp",Inputs!$B$43&gt;0),((Skills!G4*((R2655-1)*IF(Skills!H4&gt;0,Skills!I4/Skills!H4,1)+IF(Skills!H4&gt;0,MIN(Skills!I4,MAX(0,MAX(0,Inputs!$B$43-B2688)-((R2655-1)*(IF(Inputs!$B$38="pvp",15,MAX(0.1,Skills!D4-IF(Skills!E4=TRUE,Inputs!$B$32,0)))*(1-IF(AND(ArtifactsInput!$M$27,Inputs!$B$4="Chapter Hunt"),CHOOSE(ArtifactsInput!$N$27+1,20,24,28,32,36,40),0)/100)))))/Skills!H4,1)))/Inputs!$B$43),G2655*Q2655))*IF(Inputs!$B$38="pvp",1,(1+(Inputs!$B$21+Skills!Q4+(IF(ArtifactsInput!$M$33,CHOOSE(ArtifactsInput!$N$33+1,30,36,42,48,54,60)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MIN(Skills!R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6">
      <c r="A2656">
        <f>Skills!A5</f>
        <v/>
      </c>
      <c r="B2656">
        <f>Skills!B5</f>
        <v/>
      </c>
      <c r="C2656">
        <f>Inputs!$B$3&gt;=45</f>
        <v/>
      </c>
      <c r="D2656">
        <f>IF(Skills!C5=1,60+Inputs!$B$25+Inputs!$B$29,IF(Skills!C5=2,90+Inputs!$B$26+Inputs!$B$29,IF(Skills!C5=3,120+Inputs!$B$27+Inputs!$B$29,MAX(0,(Inputs!$B$3-100)*3)+Inputs!$B$28+Inputs!$B$29)))</f>
        <v/>
      </c>
      <c r="E2656">
        <f>INDEX(FactorTable!$B$2:$Y$301, MATCH(ROUND(MIN(300,MAX(1,D2656)),0), FactorTable!$A$2:$A$301,0), Skills!M5+1)</f>
        <v/>
      </c>
      <c r="F2656">
        <f>IF(Skills!N5=TRUE,(Skills!L5/10)*(E2656/1000),Skills!L5/10)+Skills!O5</f>
        <v/>
      </c>
      <c r="G2656">
        <f>Skills!G5*IF(Skills!H5&gt;0,Skills!I5/Skills!H5,1)</f>
        <v/>
      </c>
      <c r="H2656">
        <f>1-(1-Skills!J5/100)^Skills!K5</f>
        <v/>
      </c>
      <c r="I2656" t="inlineStr">
        <is>
          <t>1</t>
        </is>
      </c>
      <c r="J2656">
        <f>((Inputs!$B$6*(1+Inputs!$B$7/100))+(((Inputs!$B$12*(1+Inputs!$B$13/100))-(Inputs!$B$12*(1+Inputs!$B$13/100)))+0.25*(Inputs!$B$14-Inputs!$B$14))*(1+Inputs!$B$7/100))*(F2656/100)</f>
        <v/>
      </c>
      <c r="K2656">
        <f>J2656*(1+((Inputs!$B$12*(1+Inputs!$B$13/100))*0.01+Inputs!$B$14*0.0025)/100)*(1+Inputs!$B$15/100)*(1+Inputs!$B$16/100)*(5000/(6000+Inputs!$B$42*(1-(100*(1-(1-(Inputs!$B$19+0)/100)*(1-CHOOSE(ArtifactsInput!$N$40+1,5,6,7,8,9,10)/100)^(ArtifactsInput!$M$40-ArtifactsInput!$M$40)))/100)))*(1+(Inputs!$B$24+((C2677=TRUE)*(F2677-Calc!F26))+B2687)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2667=TRUE,F2667,0)/100)*(1+(IF(Skills!A5="EIGHT_LEGS_EASTON",Inputs!$B$17+((C2674=TRUE)*(F2674-Calc!F23))+((C2678=TRUE)*(F2678-Calc!F27))+(((IF(AND(ArtifactsInput!$M$42,((Inputs!$B$9+((C2670=TRUE)*(F2670-Calc!F19))+B2681+(ArtifactsInput!$M$24-ArtifactsInput!$M$24)*CHOOSE(ArtifactsInput!$N$24+1,10,12,14,16,18,20)+IF(ArtifactsInput!$M$10,CHOOSE(ArtifactsInput!$N$10+1,15,18,21,24,27,30)*(IF(Inputs!$B$38="pvp",MIN(15,15)/15,IF(AND(Inputs!$B$38&lt;&gt;"pvp",Inputs!$B$43&gt;0),MIN(15,Inputs!$B$43)/(Inputs!$B$43),0))),0)))&gt;=100),MIN(100,((Inputs!$B$9+((C2670=TRUE)*(F2670-Calc!F19))+B2681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2670=TRUE)*(F2670-Calc!F19))+B2681+(ArtifactsInput!$M$24-ArtifactsInput!$M$24)*CHOOSE(ArtifactsInput!$N$24+1,10,12,14,16,18,20)+IF(ArtifactsInput!$M$10,CHOOSE(ArtifactsInput!$N$10+1,15,18,21,24,27,30)*(IF(Inputs!$B$38="pvp",MIN(15,15)/15,IF(AND(Inputs!$B$38&lt;&gt;"pvp",Inputs!$B$43&gt;0),MIN(15,Inputs!$B$43)/(Inputs!$B$43),0))),0)))&gt;=100),CHOOSE(ArtifactsInput!$N$42+1,40,48,56,64,72,80),0))))/100)*((1+(((C2668=TRUE)*F2668)+((C2675=TRUE)*(F2675-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2656)</f>
        <v/>
      </c>
      <c r="L2656">
        <f>K2656*(MIN(Inputs!$B$22+((C2673=TRUE)*(F2673-Calc!F22)),(Inputs!$B$23+0+(IF(ArtifactsInput!$M$15,CHOOSE(ArtifactsInput!$N$15+1,25,30,35,40,45,50)/100*(Inputs!$B$11-Inputs!$B$11),0))))/100+(Inputs!$B$23+0+(IF(ArtifactsInput!$M$15,CHOOSE(ArtifactsInput!$N$15+1,25,30,35,40,45,50)/100*(Inputs!$B$11-Inputs!$B$11),0)))/100)/2</f>
        <v/>
      </c>
      <c r="M2656">
        <f>L2656*(1+(Inputs!$B$10+((C2676=TRUE)*(F2676-Calc!F25))+B2686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6">
        <f>L2656*(1-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2656*(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6">
        <f>(1-Summary!$B$11)*T2656+Summary!$B$11*V2656</f>
        <v/>
      </c>
      <c r="P2656">
        <f>IF(B2691=0,0,O2656/B2691)</f>
        <v/>
      </c>
      <c r="Q2656">
        <f>IFERROR(1/(IF(Inputs!$B$38="pvp",15,MAX(0.1,Skills!D5-IF(Skills!E5=TRUE,Inputs!$B$32,0)))*(1-IF(AND(ArtifactsInput!$M$27,Inputs!$B$4="Chapter Hunt"),CHOOSE(ArtifactsInput!$N$27+1,20,24,28,32,36,40),0)/100)),0)</f>
        <v/>
      </c>
      <c r="R2656">
        <f>IF(AND(Inputs!$B$38&lt;&gt;"pvp",Inputs!$B$43&gt;0),IF(MAX(0,Inputs!$B$43-B2688)&lt;=0,0,(INT(MAX(0,Inputs!$B$43-B2688)/(IF(Inputs!$B$38="pvp",15,MAX(0.1,Skills!D5-IF(Skills!E5=TRUE,Inputs!$B$32,0)))*(1-IF(AND(ArtifactsInput!$M$27,Inputs!$B$4="Chapter Hunt"),CHOOSE(ArtifactsInput!$N$27+1,20,24,28,32,36,40),0)/100)))+1)),0)</f>
        <v/>
      </c>
      <c r="S2656">
        <f>IFERROR(O2656/N2656,0)</f>
        <v/>
      </c>
      <c r="T2656">
        <f>IF(C2656,(H2656*N2656*IF(AND(Inputs!$B$38&lt;&gt;"pvp",Inputs!$B$43&gt;0),((Skills!G5*((R2656-1)*IF(Skills!H5&gt;0,Skills!I5/Skills!H5,1)+IF(Skills!H5&gt;0,MIN(Skills!I5,MAX(0,MAX(0,Inputs!$B$43-B2688)-((R2656-1)*(IF(Inputs!$B$38="pvp",15,MAX(0.1,Skills!D5-IF(Skills!E5=TRUE,Inputs!$B$32,0)))*(1-IF(AND(ArtifactsInput!$M$27,Inputs!$B$4="Chapter Hunt"),CHOOSE(ArtifactsInput!$N$27+1,20,24,28,32,36,40),0)/100)))))/Skills!H5,1)))/Inputs!$B$43),G2656*Q2656)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2656*(1-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2656*(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2656*(1-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2656*(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6">
        <f>IF(C2656,(H2656*N2656*IF(AND(Inputs!$B$38&lt;&gt;"pvp",Inputs!$B$43&gt;0),((Skills!G5*((R2656-1)*IF(Skills!H5&gt;0,Skills!I5/Skills!H5,1)+IF(Skills!H5&gt;0,MIN(Skills!I5,MAX(0,MAX(0,Inputs!$B$43-B2688)-((R2656-1)*(IF(Inputs!$B$38="pvp",15,MAX(0.1,Skills!D5-IF(Skills!E5=TRUE,Inputs!$B$32,0)))*(1-IF(AND(ArtifactsInput!$M$27,Inputs!$B$4="Chapter Hunt"),CHOOSE(ArtifactsInput!$N$27+1,20,24,28,32,36,40),0)/100)))))/Skills!H5,1)))/Inputs!$B$43),G2656*Q2656))*IF(Inputs!$B$38="pvp",1,(1+(Inputs!$B$21+Skills!Q5+(IF(ArtifactsInput!$M$33,CHOOSE(ArtifactsInput!$N$33+1,30,36,42,48,54,60)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7">
      <c r="A2657">
        <f>Skills!A6</f>
        <v/>
      </c>
      <c r="B2657">
        <f>Skills!B6</f>
        <v/>
      </c>
      <c r="C2657">
        <f>Inputs!$B$3&gt;=63</f>
        <v/>
      </c>
      <c r="D2657">
        <f>IF(Skills!C6=1,60+Inputs!$B$25+Inputs!$B$29,IF(Skills!C6=2,90+Inputs!$B$26+Inputs!$B$29,IF(Skills!C6=3,120+Inputs!$B$27+Inputs!$B$29,MAX(0,(Inputs!$B$3-100)*3)+Inputs!$B$28+Inputs!$B$29)))</f>
        <v/>
      </c>
      <c r="E2657">
        <f>INDEX(FactorTable!$B$2:$Y$301, MATCH(ROUND(MIN(300,MAX(1,D2657)),0), FactorTable!$A$2:$A$301,0), Skills!M6+1)</f>
        <v/>
      </c>
      <c r="F2657">
        <f>IF(Skills!N6=TRUE,(Skills!L6/10)*(E2657/1000),Skills!L6/10)+Skills!O6</f>
        <v/>
      </c>
      <c r="G2657">
        <f>Skills!G6*IF(Skills!H6&gt;0,Skills!I6/Skills!H6,1)</f>
        <v/>
      </c>
      <c r="H2657">
        <f>1-(1-Skills!J6/100)^Skills!K6</f>
        <v/>
      </c>
      <c r="I2657" t="inlineStr">
        <is>
          <t>1</t>
        </is>
      </c>
      <c r="J2657">
        <f>((Inputs!$B$6*(1+Inputs!$B$7/100))+(((Inputs!$B$12*(1+Inputs!$B$13/100))-(Inputs!$B$12*(1+Inputs!$B$13/100)))+0.25*(Inputs!$B$14-Inputs!$B$14))*(1+Inputs!$B$7/100))*(F2657/100)</f>
        <v/>
      </c>
      <c r="K2657">
        <f>J2657*(1+((Inputs!$B$12*(1+Inputs!$B$13/100))*0.01+Inputs!$B$14*0.0025)/100)*(1+Inputs!$B$15/100)*(1+Inputs!$B$16/100)*(5000/(6000+Inputs!$B$42*(1-(100*(1-(1-(Inputs!$B$19+0)/100)*(1-CHOOSE(ArtifactsInput!$N$40+1,5,6,7,8,9,10)/100)^(ArtifactsInput!$M$40-ArtifactsInput!$M$40)))/100)))*(1+(Inputs!$B$24+((C2677=TRUE)*(F2677-Calc!F26))+B2687)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2666=TRUE,F2666,0)/100)*(1+(IF(Skills!A6="EIGHT_LEGS_EASTON",Inputs!$B$17+((C2674=TRUE)*(F2674-Calc!F23))+((C2678=TRUE)*(F2678-Calc!F27))+(((IF(AND(ArtifactsInput!$M$42,((Inputs!$B$9+((C2670=TRUE)*(F2670-Calc!F19))+B2681+(ArtifactsInput!$M$24-ArtifactsInput!$M$24)*CHOOSE(ArtifactsInput!$N$24+1,10,12,14,16,18,20)+IF(ArtifactsInput!$M$10,CHOOSE(ArtifactsInput!$N$10+1,15,18,21,24,27,30)*(IF(Inputs!$B$38="pvp",MIN(15,15)/15,IF(AND(Inputs!$B$38&lt;&gt;"pvp",Inputs!$B$43&gt;0),MIN(15,Inputs!$B$43)/(Inputs!$B$43),0))),0)))&gt;=100),MIN(100,((Inputs!$B$9+((C2670=TRUE)*(F2670-Calc!F19))+B2681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2670=TRUE)*(F2670-Calc!F19))+B2681+(ArtifactsInput!$M$24-ArtifactsInput!$M$24)*CHOOSE(ArtifactsInput!$N$24+1,10,12,14,16,18,20)+IF(ArtifactsInput!$M$10,CHOOSE(ArtifactsInput!$N$10+1,15,18,21,24,27,30)*(IF(Inputs!$B$38="pvp",MIN(15,15)/15,IF(AND(Inputs!$B$38&lt;&gt;"pvp",Inputs!$B$43&gt;0),MIN(15,Inputs!$B$43)/(Inputs!$B$43),0))),0)))&gt;=100),CHOOSE(ArtifactsInput!$N$42+1,40,48,56,64,72,80),0))))/100)*((1+(((C2668=TRUE)*F2668)+((C2675=TRUE)*(F2675-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2657)</f>
        <v/>
      </c>
      <c r="L2657">
        <f>K2657*(MIN(Inputs!$B$22+((C2673=TRUE)*(F2673-Calc!F22)),(Inputs!$B$23+0+(IF(ArtifactsInput!$M$15,CHOOSE(ArtifactsInput!$N$15+1,25,30,35,40,45,50)/100*(Inputs!$B$11-Inputs!$B$11),0))))/100+(Inputs!$B$23+0+(IF(ArtifactsInput!$M$15,CHOOSE(ArtifactsInput!$N$15+1,25,30,35,40,45,50)/100*(Inputs!$B$11-Inputs!$B$11),0)))/100)/2</f>
        <v/>
      </c>
      <c r="M2657">
        <f>L2657*(1+(Inputs!$B$10+((C2676=TRUE)*(F2676-Calc!F25))+B2686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7">
        <f>L2657*(1-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2657*(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7">
        <f>(1-Summary!$B$11)*T2657+Summary!$B$11*V2657</f>
        <v/>
      </c>
      <c r="P2657">
        <f>IF(B2691=0,0,O2657/B2691)</f>
        <v/>
      </c>
      <c r="Q2657">
        <f>IFERROR(1/(IF(Inputs!$B$38="pvp",15,MAX(0.1,Skills!D6-IF(Skills!E6=TRUE,Inputs!$B$32,0)))*(1-IF(AND(ArtifactsInput!$M$27,Inputs!$B$4="Chapter Hunt"),CHOOSE(ArtifactsInput!$N$27+1,20,24,28,32,36,40),0)/100)),0)</f>
        <v/>
      </c>
      <c r="R2657">
        <f>IF(AND(Inputs!$B$38&lt;&gt;"pvp",Inputs!$B$43&gt;0),IF(MAX(0,Inputs!$B$43-B2688)&lt;=0,0,(INT(MAX(0,Inputs!$B$43-B2688)/(IF(Inputs!$B$38="pvp",15,MAX(0.1,Skills!D6-IF(Skills!E6=TRUE,Inputs!$B$32,0)))*(1-IF(AND(ArtifactsInput!$M$27,Inputs!$B$4="Chapter Hunt"),CHOOSE(ArtifactsInput!$N$27+1,20,24,28,32,36,40),0)/100)))+1)),0)</f>
        <v/>
      </c>
      <c r="S2657">
        <f>IFERROR(O2657/N2657,0)</f>
        <v/>
      </c>
      <c r="T2657">
        <f>IF(C2657,(H2657*N2657*IF(AND(Inputs!$B$38&lt;&gt;"pvp",Inputs!$B$43&gt;0),((Skills!G6*((R2657-1)*IF(Skills!H6&gt;0,Skills!I6/Skills!H6,1)+IF(Skills!H6&gt;0,MIN(Skills!I6,MAX(0,MAX(0,Inputs!$B$43-B2688)-((R2657-1)*(IF(Inputs!$B$38="pvp",15,MAX(0.1,Skills!D6-IF(Skills!E6=TRUE,Inputs!$B$32,0)))*(1-IF(AND(ArtifactsInput!$M$27,Inputs!$B$4="Chapter Hunt"),CHOOSE(ArtifactsInput!$N$27+1,20,24,28,32,36,40),0)/100)))))/Skills!H6,1)))/Inputs!$B$43),G2657*Q2657)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2657*(1-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2657*(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2657*(1-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2657*(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7">
        <f>IF(C2657,(H2657*N2657*IF(AND(Inputs!$B$38&lt;&gt;"pvp",Inputs!$B$43&gt;0),((Skills!G6*((R2657-1)*IF(Skills!H6&gt;0,Skills!I6/Skills!H6,1)+IF(Skills!H6&gt;0,MIN(Skills!I6,MAX(0,MAX(0,Inputs!$B$43-B2688)-((R2657-1)*(IF(Inputs!$B$38="pvp",15,MAX(0.1,Skills!D6-IF(Skills!E6=TRUE,Inputs!$B$32,0)))*(1-IF(AND(ArtifactsInput!$M$27,Inputs!$B$4="Chapter Hunt"),CHOOSE(ArtifactsInput!$N$27+1,20,24,28,32,36,40),0)/100)))))/Skills!H6,1)))/Inputs!$B$43),G2657*Q2657))*IF(Inputs!$B$38="pvp",1,(1+(Inputs!$B$21+Skills!Q6+(IF(ArtifactsInput!$M$33,CHOOSE(ArtifactsInput!$N$33+1,30,36,42,48,54,60)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8">
      <c r="A2658">
        <f>Skills!A7</f>
        <v/>
      </c>
      <c r="B2658">
        <f>Skills!B7</f>
        <v/>
      </c>
      <c r="C2658">
        <f>Inputs!$B$3&gt;=66</f>
        <v/>
      </c>
      <c r="D2658">
        <f>IF(Skills!C7=1,60+Inputs!$B$25+Inputs!$B$29,IF(Skills!C7=2,90+Inputs!$B$26+Inputs!$B$29,IF(Skills!C7=3,120+Inputs!$B$27+Inputs!$B$29,MAX(0,(Inputs!$B$3-100)*3)+Inputs!$B$28+Inputs!$B$29)))</f>
        <v/>
      </c>
      <c r="E2658">
        <f>INDEX(FactorTable!$B$2:$Y$301, MATCH(ROUND(MIN(300,MAX(1,D2658)),0), FactorTable!$A$2:$A$301,0), Skills!M7+1)</f>
        <v/>
      </c>
      <c r="F2658">
        <f>IF(Skills!N7=TRUE,(Skills!L7/10)*(E2658/1000),Skills!L7/10)+Skills!O7</f>
        <v/>
      </c>
      <c r="G2658">
        <f>Skills!G7*IF(Skills!H7&gt;0,Skills!I7/Skills!H7,1)</f>
        <v/>
      </c>
      <c r="H2658">
        <f>1-(1-Skills!J7/100)^Skills!K7</f>
        <v/>
      </c>
      <c r="I2658" t="inlineStr">
        <is>
          <t>1</t>
        </is>
      </c>
      <c r="J2658">
        <f>((Inputs!$B$6*(1+Inputs!$B$7/100))+(((Inputs!$B$12*(1+Inputs!$B$13/100))-(Inputs!$B$12*(1+Inputs!$B$13/100)))+0.25*(Inputs!$B$14-Inputs!$B$14))*(1+Inputs!$B$7/100))*(F2658/100)</f>
        <v/>
      </c>
      <c r="K2658">
        <f>J2658*(1+((Inputs!$B$12*(1+Inputs!$B$13/100))*0.01+Inputs!$B$14*0.0025)/100)*(1+Inputs!$B$15/100)*(1+Inputs!$B$16/100)*(5000/(6000+Inputs!$B$42*(1-(100*(1-(1-(Inputs!$B$19+0)/100)*(1-CHOOSE(ArtifactsInput!$N$40+1,5,6,7,8,9,10)/100)^(ArtifactsInput!$M$40-ArtifactsInput!$M$40)))/100)))*(1+(Inputs!$B$24+((C2677=TRUE)*(F2677-Calc!F26))+B2687)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2666=TRUE,F2666,0)/100)*(1+(IF(Skills!A7="EIGHT_LEGS_EASTON",Inputs!$B$17+((C2674=TRUE)*(F2674-Calc!F23))+((C2678=TRUE)*(F2678-Calc!F27))+(((IF(AND(ArtifactsInput!$M$42,((Inputs!$B$9+((C2670=TRUE)*(F2670-Calc!F19))+B2681+(ArtifactsInput!$M$24-ArtifactsInput!$M$24)*CHOOSE(ArtifactsInput!$N$24+1,10,12,14,16,18,20)+IF(ArtifactsInput!$M$10,CHOOSE(ArtifactsInput!$N$10+1,15,18,21,24,27,30)*(IF(Inputs!$B$38="pvp",MIN(15,15)/15,IF(AND(Inputs!$B$38&lt;&gt;"pvp",Inputs!$B$43&gt;0),MIN(15,Inputs!$B$43)/(Inputs!$B$43),0))),0)))&gt;=100),MIN(100,((Inputs!$B$9+((C2670=TRUE)*(F2670-Calc!F19))+B2681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2670=TRUE)*(F2670-Calc!F19))+B2681+(ArtifactsInput!$M$24-ArtifactsInput!$M$24)*CHOOSE(ArtifactsInput!$N$24+1,10,12,14,16,18,20)+IF(ArtifactsInput!$M$10,CHOOSE(ArtifactsInput!$N$10+1,15,18,21,24,27,30)*(IF(Inputs!$B$38="pvp",MIN(15,15)/15,IF(AND(Inputs!$B$38&lt;&gt;"pvp",Inputs!$B$43&gt;0),MIN(15,Inputs!$B$43)/(Inputs!$B$43),0))),0)))&gt;=100),CHOOSE(ArtifactsInput!$N$42+1,40,48,56,64,72,80),0))))/100)*((1+(((C2668=TRUE)*F2668)+((C2675=TRUE)*(F2675-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2658)</f>
        <v/>
      </c>
      <c r="L2658">
        <f>K2658*(MIN(Inputs!$B$22+((C2673=TRUE)*(F2673-Calc!F22)),(Inputs!$B$23+0+(IF(ArtifactsInput!$M$15,CHOOSE(ArtifactsInput!$N$15+1,25,30,35,40,45,50)/100*(Inputs!$B$11-Inputs!$B$11),0))))/100+(Inputs!$B$23+0+(IF(ArtifactsInput!$M$15,CHOOSE(ArtifactsInput!$N$15+1,25,30,35,40,45,50)/100*(Inputs!$B$11-Inputs!$B$11),0)))/100)/2</f>
        <v/>
      </c>
      <c r="M2658">
        <f>L2658*(1+(Inputs!$B$10+((C2676=TRUE)*(F2676-Calc!F25))+B2686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8">
        <f>L2658*(1-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2658*(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8">
        <f>(1-Summary!$B$11)*T2658+Summary!$B$11*V2658</f>
        <v/>
      </c>
      <c r="P2658">
        <f>IF(B2691=0,0,O2658/B2691)</f>
        <v/>
      </c>
      <c r="Q2658">
        <f>IFERROR(1/(IF(Inputs!$B$38="pvp",15,MAX(0.1,Skills!D7-IF(Skills!E7=TRUE,Inputs!$B$32,0)))*(1-IF(AND(ArtifactsInput!$M$27,Inputs!$B$4="Chapter Hunt"),CHOOSE(ArtifactsInput!$N$27+1,20,24,28,32,36,40),0)/100)),0)</f>
        <v/>
      </c>
      <c r="R2658">
        <f>IF(AND(Inputs!$B$38&lt;&gt;"pvp",Inputs!$B$43&gt;0),IF(MAX(0,Inputs!$B$43-B2688)&lt;=0,0,(INT(MAX(0,Inputs!$B$43-B2688)/(IF(Inputs!$B$38="pvp",15,MAX(0.1,Skills!D7-IF(Skills!E7=TRUE,Inputs!$B$32,0)))*(1-IF(AND(ArtifactsInput!$M$27,Inputs!$B$4="Chapter Hunt"),CHOOSE(ArtifactsInput!$N$27+1,20,24,28,32,36,40),0)/100)))+1)),0)</f>
        <v/>
      </c>
      <c r="S2658">
        <f>IFERROR(O2658/N2658,0)</f>
        <v/>
      </c>
      <c r="T2658">
        <f>IF(C2658,(H2658*N2658*IF(AND(Inputs!$B$38&lt;&gt;"pvp",Inputs!$B$43&gt;0),((Skills!G7*((R2658-1)*IF(Skills!H7&gt;0,Skills!I7/Skills!H7,1)+IF(Skills!H7&gt;0,MIN(Skills!I7,MAX(0,MAX(0,Inputs!$B$43-B2688)-((R2658-1)*(IF(Inputs!$B$38="pvp",15,MAX(0.1,Skills!D7-IF(Skills!E7=TRUE,Inputs!$B$32,0)))*(1-IF(AND(ArtifactsInput!$M$27,Inputs!$B$4="Chapter Hunt"),CHOOSE(ArtifactsInput!$N$27+1,20,24,28,32,36,40),0)/100)))))/Skills!H7,1)))/Inputs!$B$43),G2658*Q2658)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2658*(1-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2658*(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2658*(1-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2658*(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8">
        <f>IF(C2658,(H2658*N2658*IF(AND(Inputs!$B$38&lt;&gt;"pvp",Inputs!$B$43&gt;0),((Skills!G7*((R2658-1)*IF(Skills!H7&gt;0,Skills!I7/Skills!H7,1)+IF(Skills!H7&gt;0,MIN(Skills!I7,MAX(0,MAX(0,Inputs!$B$43-B2688)-((R2658-1)*(IF(Inputs!$B$38="pvp",15,MAX(0.1,Skills!D7-IF(Skills!E7=TRUE,Inputs!$B$32,0)))*(1-IF(AND(ArtifactsInput!$M$27,Inputs!$B$4="Chapter Hunt"),CHOOSE(ArtifactsInput!$N$27+1,20,24,28,32,36,40),0)/100)))))/Skills!H7,1)))/Inputs!$B$43),G2658*Q2658))*IF(Inputs!$B$38="pvp",1,(1+(Inputs!$B$21+Skills!Q7+(IF(ArtifactsInput!$M$33,CHOOSE(ArtifactsInput!$N$33+1,30,36,42,48,54,60)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9">
      <c r="A2659">
        <f>Skills!A8</f>
        <v/>
      </c>
      <c r="B2659">
        <f>Skills!B8</f>
        <v/>
      </c>
      <c r="C2659">
        <f>Inputs!$B$3&gt;=100</f>
        <v/>
      </c>
      <c r="D2659">
        <f>IF(Skills!C8=1,60+Inputs!$B$25+Inputs!$B$29,IF(Skills!C8=2,90+Inputs!$B$26+Inputs!$B$29,IF(Skills!C8=3,120+Inputs!$B$27+Inputs!$B$29,MAX(0,(Inputs!$B$3-100)*3)+Inputs!$B$28+Inputs!$B$29)))</f>
        <v/>
      </c>
      <c r="E2659">
        <f>INDEX(FactorTable!$B$2:$Y$301, MATCH(ROUND(MIN(300,MAX(1,D2659)),0), FactorTable!$A$2:$A$301,0), Skills!M8+1)</f>
        <v/>
      </c>
      <c r="F2659">
        <f>IF(Skills!N8=TRUE,(Skills!L8/10)*(E2659/1000),Skills!L8/10)+Skills!O8</f>
        <v/>
      </c>
      <c r="G2659">
        <f>Skills!G8*IF(Skills!H8&gt;0,Skills!I8/Skills!H8,1)</f>
        <v/>
      </c>
      <c r="H2659">
        <f>1-(1-Skills!J8/100)^Skills!K8</f>
        <v/>
      </c>
      <c r="I2659" t="inlineStr">
        <is>
          <t>1</t>
        </is>
      </c>
      <c r="J2659">
        <f>((Inputs!$B$6*(1+Inputs!$B$7/100))+(((Inputs!$B$12*(1+Inputs!$B$13/100))-(Inputs!$B$12*(1+Inputs!$B$13/100)))+0.25*(Inputs!$B$14-Inputs!$B$14))*(1+Inputs!$B$7/100))*(F2659/100)</f>
        <v/>
      </c>
      <c r="K2659">
        <f>J2659*(1+((Inputs!$B$12*(1+Inputs!$B$13/100))*0.01+Inputs!$B$14*0.0025)/100)*(1+Inputs!$B$15/100)*(1+Inputs!$B$16/100)*(5000/(6000+Inputs!$B$42*(1-(100*(1-(1-(Inputs!$B$19+0)/100)*(1-CHOOSE(ArtifactsInput!$N$40+1,5,6,7,8,9,10)/100)^(ArtifactsInput!$M$40-ArtifactsInput!$M$40)))/100)))*(1+(Inputs!$B$24+((C2677=TRUE)*(F2677-Calc!F26))+B2687)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2674=TRUE)*(F2674-Calc!F23))+((C2678=TRUE)*(F2678-Calc!F27))+(((IF(AND(ArtifactsInput!$M$42,((Inputs!$B$9+((C2670=TRUE)*(F2670-Calc!F19))+B2681+(ArtifactsInput!$M$24-ArtifactsInput!$M$24)*CHOOSE(ArtifactsInput!$N$24+1,10,12,14,16,18,20)+IF(ArtifactsInput!$M$10,CHOOSE(ArtifactsInput!$N$10+1,15,18,21,24,27,30)*(IF(Inputs!$B$38="pvp",MIN(15,15)/15,IF(AND(Inputs!$B$38&lt;&gt;"pvp",Inputs!$B$43&gt;0),MIN(15,Inputs!$B$43)/(Inputs!$B$43),0))),0)))&gt;=100),MIN(100,((Inputs!$B$9+((C2670=TRUE)*(F2670-Calc!F19))+B2681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2670=TRUE)*(F2670-Calc!F19))+B2681+(ArtifactsInput!$M$24-ArtifactsInput!$M$24)*CHOOSE(ArtifactsInput!$N$24+1,10,12,14,16,18,20)+IF(ArtifactsInput!$M$10,CHOOSE(ArtifactsInput!$N$10+1,15,18,21,24,27,30)*(IF(Inputs!$B$38="pvp",MIN(15,15)/15,IF(AND(Inputs!$B$38&lt;&gt;"pvp",Inputs!$B$43&gt;0),MIN(15,Inputs!$B$43)/(Inputs!$B$43),0))),0)))&gt;=100),CHOOSE(ArtifactsInput!$N$42+1,40,48,56,64,72,80),0))))/100)*((1+(((C2668=TRUE)*F2668)+((C2675=TRUE)*(F2675-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2659)</f>
        <v/>
      </c>
      <c r="L2659">
        <f>K2659*(MIN(Inputs!$B$22+((C2673=TRUE)*(F2673-Calc!F22)),(Inputs!$B$23+0+(IF(ArtifactsInput!$M$15,CHOOSE(ArtifactsInput!$N$15+1,25,30,35,40,45,50)/100*(Inputs!$B$11-Inputs!$B$11),0))))/100+(Inputs!$B$23+0+(IF(ArtifactsInput!$M$15,CHOOSE(ArtifactsInput!$N$15+1,25,30,35,40,45,50)/100*(Inputs!$B$11-Inputs!$B$11),0)))/100)/2</f>
        <v/>
      </c>
      <c r="M2659">
        <f>L2659*(1+(Inputs!$B$10+((C2676=TRUE)*(F2676-Calc!F25))+B2686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9">
        <f>L2659*(1-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2659*(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9">
        <f>(1-Summary!$B$11)*T2659+Summary!$B$11*V2659</f>
        <v/>
      </c>
      <c r="P2659">
        <f>IF(B2691=0,0,O2659/B2691)</f>
        <v/>
      </c>
      <c r="Q2659">
        <f>IFERROR(1/(IF(Inputs!$B$38="pvp",15,MAX(0.1,Skills!D8-IF(Skills!E8=TRUE,Inputs!$B$32,0)))*(1-IF(AND(ArtifactsInput!$M$27,Inputs!$B$4="Chapter Hunt"),CHOOSE(ArtifactsInput!$N$27+1,20,24,28,32,36,40),0)/100)),0)</f>
        <v/>
      </c>
      <c r="R2659">
        <f>IF(AND(Inputs!$B$38&lt;&gt;"pvp",Inputs!$B$43&gt;0),IF(MAX(0,Inputs!$B$43-B2688)&lt;=0,0,(INT(MAX(0,Inputs!$B$43-B2688)/(IF(Inputs!$B$38="pvp",15,MAX(0.1,Skills!D8-IF(Skills!E8=TRUE,Inputs!$B$32,0)))*(1-IF(AND(ArtifactsInput!$M$27,Inputs!$B$4="Chapter Hunt"),CHOOSE(ArtifactsInput!$N$27+1,20,24,28,32,36,40),0)/100)))+1)),0)</f>
        <v/>
      </c>
      <c r="S2659">
        <f>IFERROR(O2659/N2659,0)</f>
        <v/>
      </c>
      <c r="T2659">
        <f>IF(C2659,(H2659*N2659*IF(AND(Inputs!$B$38&lt;&gt;"pvp",Inputs!$B$43&gt;0),((Skills!G8*((R2659-1)*IF(Skills!H8&gt;0,Skills!I8/Skills!H8,1)+IF(Skills!H8&gt;0,MIN(Skills!I8,MAX(0,MAX(0,Inputs!$B$43-B2688)-((R2659-1)*(IF(Inputs!$B$38="pvp",15,MAX(0.1,Skills!D8-IF(Skills!E8=TRUE,Inputs!$B$32,0)))*(1-IF(AND(ArtifactsInput!$M$27,Inputs!$B$4="Chapter Hunt"),CHOOSE(ArtifactsInput!$N$27+1,20,24,28,32,36,40),0)/100)))))/Skills!H8,1)))/Inputs!$B$43),G2659*Q2659)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2659*(1-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2659*(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2659*(1-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2659*(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9">
        <f>IF(C2659,(H2659*N2659*IF(AND(Inputs!$B$38&lt;&gt;"pvp",Inputs!$B$43&gt;0),((Skills!G8*((R2659-1)*IF(Skills!H8&gt;0,Skills!I8/Skills!H8,1)+IF(Skills!H8&gt;0,MIN(Skills!I8,MAX(0,MAX(0,Inputs!$B$43-B2688)-((R2659-1)*(IF(Inputs!$B$38="pvp",15,MAX(0.1,Skills!D8-IF(Skills!E8=TRUE,Inputs!$B$32,0)))*(1-IF(AND(ArtifactsInput!$M$27,Inputs!$B$4="Chapter Hunt"),CHOOSE(ArtifactsInput!$N$27+1,20,24,28,32,36,40),0)/100)))))/Skills!H8,1)))/Inputs!$B$43),G2659*Q2659))*IF(Inputs!$B$38="pvp",1,(1+(Inputs!$B$21+Skills!Q8+(IF(ArtifactsInput!$M$33,CHOOSE(ArtifactsInput!$N$33+1,30,36,42,48,54,60)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0">
      <c r="A2660">
        <f>Skills!A9</f>
        <v/>
      </c>
      <c r="B2660">
        <f>Skills!B9</f>
        <v/>
      </c>
      <c r="C2660">
        <f>Inputs!$B$3&gt;=103</f>
        <v/>
      </c>
      <c r="D2660">
        <f>IF(Skills!C9=1,60+Inputs!$B$25+Inputs!$B$29,IF(Skills!C9=2,90+Inputs!$B$26+Inputs!$B$29,IF(Skills!C9=3,120+Inputs!$B$27+Inputs!$B$29,MAX(0,(Inputs!$B$3-100)*3)+Inputs!$B$28+Inputs!$B$29)))</f>
        <v/>
      </c>
      <c r="E2660">
        <f>INDEX(FactorTable!$B$2:$Y$301, MATCH(ROUND(MIN(300,MAX(1,D2660)),0), FactorTable!$A$2:$A$301,0), Skills!M9+1)</f>
        <v/>
      </c>
      <c r="F2660">
        <f>IF(Skills!N9=TRUE,(Skills!L9/10)*(E2660/1000),Skills!L9/10)+Skills!O9</f>
        <v/>
      </c>
      <c r="G2660">
        <f>Skills!G9*IF(Skills!H9&gt;0,Skills!I9/Skills!H9,1)</f>
        <v/>
      </c>
      <c r="H2660">
        <f>1-(1-Skills!J9/100)^Skills!K9</f>
        <v/>
      </c>
      <c r="I2660" t="inlineStr">
        <is>
          <t>1</t>
        </is>
      </c>
      <c r="J2660">
        <f>((Inputs!$B$6*(1+Inputs!$B$7/100))+(((Inputs!$B$12*(1+Inputs!$B$13/100))-(Inputs!$B$12*(1+Inputs!$B$13/100)))+0.25*(Inputs!$B$14-Inputs!$B$14))*(1+Inputs!$B$7/100))*(F2660/100)</f>
        <v/>
      </c>
      <c r="K2660">
        <f>J2660*(1+((Inputs!$B$12*(1+Inputs!$B$13/100))*0.01+Inputs!$B$14*0.0025)/100)*(1+Inputs!$B$15/100)*(1+Inputs!$B$16/100)*(5000/(6000+Inputs!$B$42*(1-(100*(1-(1-(Inputs!$B$19+0)/100)*(1-CHOOSE(ArtifactsInput!$N$40+1,5,6,7,8,9,10)/100)^(ArtifactsInput!$M$40-ArtifactsInput!$M$40)))/100)))*(1+(Inputs!$B$24+((C2677=TRUE)*(F2677-Calc!F26))+B2687)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2674=TRUE)*(F2674-Calc!F23))+((C2678=TRUE)*(F2678-Calc!F27))+(((IF(AND(ArtifactsInput!$M$42,((Inputs!$B$9+((C2670=TRUE)*(F2670-Calc!F19))+B2681+(ArtifactsInput!$M$24-ArtifactsInput!$M$24)*CHOOSE(ArtifactsInput!$N$24+1,10,12,14,16,18,20)+IF(ArtifactsInput!$M$10,CHOOSE(ArtifactsInput!$N$10+1,15,18,21,24,27,30)*(IF(Inputs!$B$38="pvp",MIN(15,15)/15,IF(AND(Inputs!$B$38&lt;&gt;"pvp",Inputs!$B$43&gt;0),MIN(15,Inputs!$B$43)/(Inputs!$B$43),0))),0)))&gt;=100),MIN(100,((Inputs!$B$9+((C2670=TRUE)*(F2670-Calc!F19))+B2681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2670=TRUE)*(F2670-Calc!F19))+B2681+(ArtifactsInput!$M$24-ArtifactsInput!$M$24)*CHOOSE(ArtifactsInput!$N$24+1,10,12,14,16,18,20)+IF(ArtifactsInput!$M$10,CHOOSE(ArtifactsInput!$N$10+1,15,18,21,24,27,30)*(IF(Inputs!$B$38="pvp",MIN(15,15)/15,IF(AND(Inputs!$B$38&lt;&gt;"pvp",Inputs!$B$43&gt;0),MIN(15,Inputs!$B$43)/(Inputs!$B$43),0))),0)))&gt;=100),CHOOSE(ArtifactsInput!$N$42+1,40,48,56,64,72,80),0))))/100)*((1+(((C2668=TRUE)*F2668)+((C2675=TRUE)*(F2675-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2660)</f>
        <v/>
      </c>
      <c r="L2660">
        <f>K2660*(MIN(Inputs!$B$22+((C2673=TRUE)*(F2673-Calc!F22)),(Inputs!$B$23+0+(IF(ArtifactsInput!$M$15,CHOOSE(ArtifactsInput!$N$15+1,25,30,35,40,45,50)/100*(Inputs!$B$11-Inputs!$B$11),0))))/100+(Inputs!$B$23+0+(IF(ArtifactsInput!$M$15,CHOOSE(ArtifactsInput!$N$15+1,25,30,35,40,45,50)/100*(Inputs!$B$11-Inputs!$B$11),0)))/100)/2</f>
        <v/>
      </c>
      <c r="M2660">
        <f>L2660*(1+(Inputs!$B$10+((C2676=TRUE)*(F2676-Calc!F25))+B2686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0">
        <f>L2660*(1-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2660*(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0">
        <f>(1-Summary!$B$11)*T2660+Summary!$B$11*V2660</f>
        <v/>
      </c>
      <c r="P2660">
        <f>IF(B2691=0,0,O2660/B2691)</f>
        <v/>
      </c>
      <c r="Q2660">
        <f>IFERROR(1/(IF(Inputs!$B$38="pvp",15,MAX(0.1,Skills!D9-IF(Skills!E9=TRUE,Inputs!$B$32,0)))*(1-IF(AND(ArtifactsInput!$M$27,Inputs!$B$4="Chapter Hunt"),CHOOSE(ArtifactsInput!$N$27+1,20,24,28,32,36,40),0)/100)),0)</f>
        <v/>
      </c>
      <c r="R2660">
        <f>IF(AND(Inputs!$B$38&lt;&gt;"pvp",Inputs!$B$43&gt;0),IF(MAX(0,Inputs!$B$43-B2688)&lt;=0,0,(INT(MAX(0,Inputs!$B$43-B2688)/(IF(Inputs!$B$38="pvp",15,MAX(0.1,Skills!D9-IF(Skills!E9=TRUE,Inputs!$B$32,0)))*(1-IF(AND(ArtifactsInput!$M$27,Inputs!$B$4="Chapter Hunt"),CHOOSE(ArtifactsInput!$N$27+1,20,24,28,32,36,40),0)/100)))+1)),0)</f>
        <v/>
      </c>
      <c r="S2660">
        <f>IFERROR(O2660/N2660,0)</f>
        <v/>
      </c>
      <c r="T2660">
        <f>IF(C2660,(H2660*N2660*IF(AND(Inputs!$B$38&lt;&gt;"pvp",Inputs!$B$43&gt;0),((Skills!G9*((R2660-1)*IF(Skills!H9&gt;0,Skills!I9/Skills!H9,1)+IF(Skills!H9&gt;0,MIN(Skills!I9,MAX(0,MAX(0,Inputs!$B$43-B2688)-((R2660-1)*(IF(Inputs!$B$38="pvp",15,MAX(0.1,Skills!D9-IF(Skills!E9=TRUE,Inputs!$B$32,0)))*(1-IF(AND(ArtifactsInput!$M$27,Inputs!$B$4="Chapter Hunt"),CHOOSE(ArtifactsInput!$N$27+1,20,24,28,32,36,40),0)/100)))))/Skills!H9,1)))/Inputs!$B$43),G2660*Q2660)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2660*(1-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2660*(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2660*(1-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2660*(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0">
        <f>IF(C2660,(H2660*N2660*IF(AND(Inputs!$B$38&lt;&gt;"pvp",Inputs!$B$43&gt;0),((Skills!G9*((R2660-1)*IF(Skills!H9&gt;0,Skills!I9/Skills!H9,1)+IF(Skills!H9&gt;0,MIN(Skills!I9,MAX(0,MAX(0,Inputs!$B$43-B2688)-((R2660-1)*(IF(Inputs!$B$38="pvp",15,MAX(0.1,Skills!D9-IF(Skills!E9=TRUE,Inputs!$B$32,0)))*(1-IF(AND(ArtifactsInput!$M$27,Inputs!$B$4="Chapter Hunt"),CHOOSE(ArtifactsInput!$N$27+1,20,24,28,32,36,40),0)/100)))))/Skills!H9,1)))/Inputs!$B$43),G2660*Q2660))*IF(Inputs!$B$38="pvp",1,(1+(Inputs!$B$21+Skills!Q9+(IF(ArtifactsInput!$M$33,CHOOSE(ArtifactsInput!$N$33+1,30,36,42,48,54,60)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1">
      <c r="A2661">
        <f>Skills!A10</f>
        <v/>
      </c>
      <c r="B2661">
        <f>Skills!B10</f>
        <v/>
      </c>
      <c r="C2661">
        <f>Inputs!$B$3&gt;=113</f>
        <v/>
      </c>
      <c r="D2661">
        <f>IF(Skills!C10=1,60+Inputs!$B$25+Inputs!$B$29,IF(Skills!C10=2,90+Inputs!$B$26+Inputs!$B$29,IF(Skills!C10=3,120+Inputs!$B$27+Inputs!$B$29,MAX(0,(Inputs!$B$3-100)*3)+Inputs!$B$28+Inputs!$B$29)))</f>
        <v/>
      </c>
      <c r="E2661">
        <f>INDEX(FactorTable!$B$2:$Y$301, MATCH(ROUND(MIN(300,MAX(1,D2661)),0), FactorTable!$A$2:$A$301,0), Skills!M10+1)</f>
        <v/>
      </c>
      <c r="F2661">
        <f>IF(Skills!N10=TRUE,(Skills!L10/10)*(E2661/1000),Skills!L10/10)+Skills!O10</f>
        <v/>
      </c>
      <c r="G2661">
        <f>Skills!G10*IF(Skills!H10&gt;0,Skills!I10/Skills!H10,1)</f>
        <v/>
      </c>
      <c r="H2661">
        <f>1-(1-Skills!J10/100)^Skills!K10</f>
        <v/>
      </c>
      <c r="I2661" t="inlineStr">
        <is>
          <t>1</t>
        </is>
      </c>
      <c r="J2661">
        <f>((Inputs!$B$6*(1+Inputs!$B$7/100))+(((Inputs!$B$12*(1+Inputs!$B$13/100))-(Inputs!$B$12*(1+Inputs!$B$13/100)))+0.25*(Inputs!$B$14-Inputs!$B$14))*(1+Inputs!$B$7/100))*(F2661/100)</f>
        <v/>
      </c>
      <c r="K2661">
        <f>J2661*(1+((Inputs!$B$12*(1+Inputs!$B$13/100))*0.01+Inputs!$B$14*0.0025)/100)*(1+Inputs!$B$15/100)*(1+Inputs!$B$16/100)*(5000/(6000+Inputs!$B$42*(1-(100*(1-(1-(Inputs!$B$19+0)/100)*(1-CHOOSE(ArtifactsInput!$N$40+1,5,6,7,8,9,10)/100)^(ArtifactsInput!$M$40-ArtifactsInput!$M$40)))/100)))*(1+(Inputs!$B$24+((C2677=TRUE)*(F2677-Calc!F26))+B2687)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2674=TRUE)*(F2674-Calc!F23))+((C2678=TRUE)*(F2678-Calc!F27))+(((IF(AND(ArtifactsInput!$M$42,((Inputs!$B$9+((C2670=TRUE)*(F2670-Calc!F19))+B2681+(ArtifactsInput!$M$24-ArtifactsInput!$M$24)*CHOOSE(ArtifactsInput!$N$24+1,10,12,14,16,18,20)+IF(ArtifactsInput!$M$10,CHOOSE(ArtifactsInput!$N$10+1,15,18,21,24,27,30)*(IF(Inputs!$B$38="pvp",MIN(15,15)/15,IF(AND(Inputs!$B$38&lt;&gt;"pvp",Inputs!$B$43&gt;0),MIN(15,Inputs!$B$43)/(Inputs!$B$43),0))),0)))&gt;=100),MIN(100,((Inputs!$B$9+((C2670=TRUE)*(F2670-Calc!F19))+B2681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2670=TRUE)*(F2670-Calc!F19))+B2681+(ArtifactsInput!$M$24-ArtifactsInput!$M$24)*CHOOSE(ArtifactsInput!$N$24+1,10,12,14,16,18,20)+IF(ArtifactsInput!$M$10,CHOOSE(ArtifactsInput!$N$10+1,15,18,21,24,27,30)*(IF(Inputs!$B$38="pvp",MIN(15,15)/15,IF(AND(Inputs!$B$38&lt;&gt;"pvp",Inputs!$B$43&gt;0),MIN(15,Inputs!$B$43)/(Inputs!$B$43),0))),0)))&gt;=100),CHOOSE(ArtifactsInput!$N$42+1,40,48,56,64,72,80),0))))/100)*((1+(((C2668=TRUE)*F2668)+((C2675=TRUE)*(F2675-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2661)</f>
        <v/>
      </c>
      <c r="L2661">
        <f>K2661*(MIN(Inputs!$B$22+((C2673=TRUE)*(F2673-Calc!F22)),(Inputs!$B$23+0+(IF(ArtifactsInput!$M$15,CHOOSE(ArtifactsInput!$N$15+1,25,30,35,40,45,50)/100*(Inputs!$B$11-Inputs!$B$11),0))))/100+(Inputs!$B$23+0+(IF(ArtifactsInput!$M$15,CHOOSE(ArtifactsInput!$N$15+1,25,30,35,40,45,50)/100*(Inputs!$B$11-Inputs!$B$11),0)))/100)/2</f>
        <v/>
      </c>
      <c r="M2661">
        <f>L2661*(1+(Inputs!$B$10+((C2676=TRUE)*(F2676-Calc!F25))+B2686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1">
        <f>L2661*(1-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2661*(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1">
        <f>(1-Summary!$B$11)*T2661+Summary!$B$11*V2661</f>
        <v/>
      </c>
      <c r="P2661">
        <f>IF(B2691=0,0,O2661/B2691)</f>
        <v/>
      </c>
      <c r="Q2661">
        <f>IFERROR(1/(IF(Inputs!$B$38="pvp",15,MAX(0.1,Skills!D10-IF(Skills!E10=TRUE,Inputs!$B$32,0)))*(1-IF(AND(ArtifactsInput!$M$27,Inputs!$B$4="Chapter Hunt"),CHOOSE(ArtifactsInput!$N$27+1,20,24,28,32,36,40),0)/100)),0)</f>
        <v/>
      </c>
      <c r="R2661">
        <f>IF(AND(Inputs!$B$38&lt;&gt;"pvp",Inputs!$B$43&gt;0),IF(MAX(0,Inputs!$B$43-B2688)&lt;=0,0,(INT(MAX(0,Inputs!$B$43-B2688)/(IF(Inputs!$B$38="pvp",15,MAX(0.1,Skills!D10-IF(Skills!E10=TRUE,Inputs!$B$32,0)))*(1-IF(AND(ArtifactsInput!$M$27,Inputs!$B$4="Chapter Hunt"),CHOOSE(ArtifactsInput!$N$27+1,20,24,28,32,36,40),0)/100)))+1)),0)</f>
        <v/>
      </c>
      <c r="S2661">
        <f>IFERROR(O2661/N2661,0)</f>
        <v/>
      </c>
      <c r="T2661">
        <f>IF(C2661,(H2661*N2661*IF(AND(Inputs!$B$38&lt;&gt;"pvp",Inputs!$B$43&gt;0),((Skills!G10*((R2661-1)*IF(Skills!H10&gt;0,Skills!I10/Skills!H10,1)+IF(Skills!H10&gt;0,MIN(Skills!I10,MAX(0,MAX(0,Inputs!$B$43-B2688)-((R2661-1)*(IF(Inputs!$B$38="pvp",15,MAX(0.1,Skills!D10-IF(Skills!E10=TRUE,Inputs!$B$32,0)))*(1-IF(AND(ArtifactsInput!$M$27,Inputs!$B$4="Chapter Hunt"),CHOOSE(ArtifactsInput!$N$27+1,20,24,28,32,36,40),0)/100)))))/Skills!H10,1)))/Inputs!$B$43),G2661*Q2661)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2661*(1-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2661*(1-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1">
        <f>IF(C2661,(H2661*N2661*IF(AND(Inputs!$B$38&lt;&gt;"pvp",Inputs!$B$43&gt;0),((Skills!G10*((R2661-1)*IF(Skills!H10&gt;0,Skills!I10/Skills!H10,1)+IF(Skills!H10&gt;0,MIN(Skills!I10,MAX(0,MAX(0,Inputs!$B$43-B2688)-((R2661-1)*(IF(Inputs!$B$38="pvp",15,MAX(0.1,Skills!D10-IF(Skills!E10=TRUE,Inputs!$B$32,0)))*(1-IF(AND(ArtifactsInput!$M$27,Inputs!$B$4="Chapter Hunt"),CHOOSE(ArtifactsInput!$N$27+1,20,24,28,32,36,40),0)/100)))))/Skills!H10,1)))/Inputs!$B$43),G2661*Q2661))*IF(Inputs!$B$38="pvp",1,(1+(Inputs!$B$21+Skills!Q10+(IF(ArtifactsInput!$M$33,CHOOSE(ArtifactsInput!$N$33+1,30,36,42,48,54,60)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2">
      <c r="A2662">
        <f>Skills!A11</f>
        <v/>
      </c>
      <c r="B2662">
        <f>Skills!B11</f>
        <v/>
      </c>
      <c r="C2662">
        <f>Inputs!$B$3&gt;=107</f>
        <v/>
      </c>
      <c r="D2662">
        <f>IF(Skills!C11=1,60+Inputs!$B$25+Inputs!$B$29,IF(Skills!C11=2,90+Inputs!$B$26+Inputs!$B$29,IF(Skills!C11=3,120+Inputs!$B$27+Inputs!$B$29,MAX(0,(Inputs!$B$3-100)*3)+Inputs!$B$28+Inputs!$B$29)))</f>
        <v/>
      </c>
      <c r="E2662">
        <f>INDEX(FactorTable!$B$2:$Y$301, MATCH(ROUND(MIN(300,MAX(1,D2662)),0), FactorTable!$A$2:$A$301,0), Skills!M11+1)</f>
        <v/>
      </c>
      <c r="F2662">
        <f>IF(Skills!N11=TRUE,(Skills!L11/10)*(E2662/1000),Skills!L11/10)+Skills!O11</f>
        <v/>
      </c>
      <c r="G2662">
        <f>Skills!G11*IF(Skills!H11&gt;0,Skills!I11/Skills!H11,1)</f>
        <v/>
      </c>
      <c r="H2662">
        <f>1-(1-Skills!J11/100)^Skills!K11</f>
        <v/>
      </c>
      <c r="I2662" t="inlineStr">
        <is>
          <t>1</t>
        </is>
      </c>
      <c r="J2662">
        <f>((Inputs!$B$6*(1+Inputs!$B$7/100))+(((Inputs!$B$12*(1+Inputs!$B$13/100))-(Inputs!$B$12*(1+Inputs!$B$13/100)))+0.25*(Inputs!$B$14-Inputs!$B$14))*(1+Inputs!$B$7/100))*(F2662/100)</f>
        <v/>
      </c>
      <c r="K2662">
        <f>J2662*(1+((Inputs!$B$12*(1+Inputs!$B$13/100))*0.01+Inputs!$B$14*0.0025)/100)*(1+Inputs!$B$15/100)*(1+Inputs!$B$16/100)*(5000/(6000+Inputs!$B$42*(1-(100*(1-(1-(Inputs!$B$19+0)/100)*(1-CHOOSE(ArtifactsInput!$N$40+1,5,6,7,8,9,10)/100)^(ArtifactsInput!$M$40-ArtifactsInput!$M$40)))/100)))*(1+(Inputs!$B$24+((C2677=TRUE)*(F2677-Calc!F26))+B2687)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2674=TRUE)*(F2674-Calc!F23))+((C2678=TRUE)*(F2678-Calc!F27))+(((IF(AND(ArtifactsInput!$M$42,((Inputs!$B$9+((C2670=TRUE)*(F2670-Calc!F19))+B2681+(ArtifactsInput!$M$24-ArtifactsInput!$M$24)*CHOOSE(ArtifactsInput!$N$24+1,10,12,14,16,18,20)+IF(ArtifactsInput!$M$10,CHOOSE(ArtifactsInput!$N$10+1,15,18,21,24,27,30)*(IF(Inputs!$B$38="pvp",MIN(15,15)/15,IF(AND(Inputs!$B$38&lt;&gt;"pvp",Inputs!$B$43&gt;0),MIN(15,Inputs!$B$43)/(Inputs!$B$43),0))),0)))&gt;=100),MIN(100,((Inputs!$B$9+((C2670=TRUE)*(F2670-Calc!F19))+B2681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2670=TRUE)*(F2670-Calc!F19))+B2681+(ArtifactsInput!$M$24-ArtifactsInput!$M$24)*CHOOSE(ArtifactsInput!$N$24+1,10,12,14,16,18,20)+IF(ArtifactsInput!$M$10,CHOOSE(ArtifactsInput!$N$10+1,15,18,21,24,27,30)*(IF(Inputs!$B$38="pvp",MIN(15,15)/15,IF(AND(Inputs!$B$38&lt;&gt;"pvp",Inputs!$B$43&gt;0),MIN(15,Inputs!$B$43)/(Inputs!$B$43),0))),0)))&gt;=100),CHOOSE(ArtifactsInput!$N$42+1,40,48,56,64,72,80),0))))/100)*((1+(((C2668=TRUE)*F2668)+((C2675=TRUE)*(F2675-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2662)</f>
        <v/>
      </c>
      <c r="L2662">
        <f>K2662*(MIN(Inputs!$B$22+((C2673=TRUE)*(F2673-Calc!F22)),(Inputs!$B$23+0+(IF(ArtifactsInput!$M$15,CHOOSE(ArtifactsInput!$N$15+1,25,30,35,40,45,50)/100*(Inputs!$B$11-Inputs!$B$11),0))))/100+(Inputs!$B$23+0+(IF(ArtifactsInput!$M$15,CHOOSE(ArtifactsInput!$N$15+1,25,30,35,40,45,50)/100*(Inputs!$B$11-Inputs!$B$11),0)))/100)/2</f>
        <v/>
      </c>
      <c r="M2662">
        <f>L2662*(1+(Inputs!$B$10+((C2676=TRUE)*(F2676-Calc!F25))+B2686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2">
        <f>L2662*(1-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2662*(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2">
        <f>(1-Summary!$B$11)*T2662+Summary!$B$11*V2662</f>
        <v/>
      </c>
      <c r="P2662">
        <f>IF(B2691=0,0,O2662/B2691)</f>
        <v/>
      </c>
      <c r="Q2662">
        <f>IFERROR(1/(IF(Inputs!$B$38="pvp",15,MAX(0.1,Skills!D11-IF(Skills!E11=TRUE,Inputs!$B$32,0)))*(1-IF(AND(ArtifactsInput!$M$27,Inputs!$B$4="Chapter Hunt"),CHOOSE(ArtifactsInput!$N$27+1,20,24,28,32,36,40),0)/100)),0)</f>
        <v/>
      </c>
      <c r="R2662">
        <f>IF(AND(Inputs!$B$38&lt;&gt;"pvp",Inputs!$B$43&gt;0),IF(MAX(0,Inputs!$B$43-B2688)&lt;=0,0,(INT(MAX(0,Inputs!$B$43-B2688)/(IF(Inputs!$B$38="pvp",15,MAX(0.1,Skills!D11-IF(Skills!E11=TRUE,Inputs!$B$32,0)))*(1-IF(AND(ArtifactsInput!$M$27,Inputs!$B$4="Chapter Hunt"),CHOOSE(ArtifactsInput!$N$27+1,20,24,28,32,36,40),0)/100)))+1)),0)</f>
        <v/>
      </c>
      <c r="S2662">
        <f>IFERROR(O2662/N2662,0)</f>
        <v/>
      </c>
      <c r="T2662">
        <f>IF(C2662,(H2662*N2662*IF(AND(Inputs!$B$38&lt;&gt;"pvp",Inputs!$B$43&gt;0),((Skills!G11*((R2662-1)*IF(Skills!H11&gt;0,Skills!I11/Skills!H11,1)+IF(Skills!H11&gt;0,MIN(Skills!I11,MAX(0,MAX(0,Inputs!$B$43-B2688)-((R2662-1)*(IF(Inputs!$B$38="pvp",15,MAX(0.1,Skills!D11-IF(Skills!E11=TRUE,Inputs!$B$32,0)))*(1-IF(AND(ArtifactsInput!$M$27,Inputs!$B$4="Chapter Hunt"),CHOOSE(ArtifactsInput!$N$27+1,20,24,28,32,36,40),0)/100)))))/Skills!H11,1)))/Inputs!$B$43),G2662*Q2662)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2662*(1-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2662*(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2662*(1-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2662*(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2">
        <f>IF(C2662,(H2662*N2662*IF(AND(Inputs!$B$38&lt;&gt;"pvp",Inputs!$B$43&gt;0),((Skills!G11*((R2662-1)*IF(Skills!H11&gt;0,Skills!I11/Skills!H11,1)+IF(Skills!H11&gt;0,MIN(Skills!I11,MAX(0,MAX(0,Inputs!$B$43-B2688)-((R2662-1)*(IF(Inputs!$B$38="pvp",15,MAX(0.1,Skills!D11-IF(Skills!E11=TRUE,Inputs!$B$32,0)))*(1-IF(AND(ArtifactsInput!$M$27,Inputs!$B$4="Chapter Hunt"),CHOOSE(ArtifactsInput!$N$27+1,20,24,28,32,36,40),0)/100)))))/Skills!H11,1)))/Inputs!$B$43),G2662*Q2662))*IF(Inputs!$B$38="pvp",1,(1+(Inputs!$B$21+Skills!Q11+(IF(ArtifactsInput!$M$33,CHOOSE(ArtifactsInput!$N$33+1,30,36,42,48,54,60)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3">
      <c r="A2663">
        <f>Skills!A12</f>
        <v/>
      </c>
      <c r="B2663">
        <f>Skills!B12</f>
        <v/>
      </c>
      <c r="C2663">
        <f>Inputs!$B$3&gt;=110</f>
        <v/>
      </c>
      <c r="D2663">
        <f>IF(Skills!C12=1,60+Inputs!$B$25+Inputs!$B$29,IF(Skills!C12=2,90+Inputs!$B$26+Inputs!$B$29,IF(Skills!C12=3,120+Inputs!$B$27+Inputs!$B$29,MAX(0,(Inputs!$B$3-100)*3)+Inputs!$B$28+Inputs!$B$29)))</f>
        <v/>
      </c>
      <c r="E2663">
        <f>INDEX(FactorTable!$B$2:$Y$301, MATCH(ROUND(MIN(300,MAX(1,D2663)),0), FactorTable!$A$2:$A$301,0), Skills!M12+1)</f>
        <v/>
      </c>
      <c r="F2663">
        <f>IF(Skills!N12=TRUE,(Skills!L12/10)*(E2663/1000),Skills!L12/10)+Skills!O12</f>
        <v/>
      </c>
      <c r="G2663">
        <f>Skills!G12*IF(Skills!H12&gt;0,Skills!I12/Skills!H12,1)</f>
        <v/>
      </c>
      <c r="H2663">
        <f>1-(1-Skills!J12/100)^Skills!K12</f>
        <v/>
      </c>
      <c r="I2663" t="inlineStr">
        <is>
          <t>1</t>
        </is>
      </c>
      <c r="J2663">
        <f>((Inputs!$B$6*(1+Inputs!$B$7/100))+(((Inputs!$B$12*(1+Inputs!$B$13/100))-(Inputs!$B$12*(1+Inputs!$B$13/100)))+0.25*(Inputs!$B$14-Inputs!$B$14))*(1+Inputs!$B$7/100))*(F2663/100)</f>
        <v/>
      </c>
      <c r="K2663">
        <f>J2663*(1+((Inputs!$B$12*(1+Inputs!$B$13/100))*0.01+Inputs!$B$14*0.0025)/100)*(1+Inputs!$B$15/100)*(1+Inputs!$B$16/100)*(5000/(6000+Inputs!$B$42*(1-(100*(1-(1-(Inputs!$B$19+0)/100)*(1-CHOOSE(ArtifactsInput!$N$40+1,5,6,7,8,9,10)/100)^(ArtifactsInput!$M$40-ArtifactsInput!$M$40)))/100)))*(1+(Inputs!$B$24+((C2677=TRUE)*(F2677-Calc!F26))+B2687)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2674=TRUE)*(F2674-Calc!F23))+((C2678=TRUE)*(F2678-Calc!F27))+(((IF(AND(ArtifactsInput!$M$42,((Inputs!$B$9+((C2670=TRUE)*(F2670-Calc!F19))+B2681+(ArtifactsInput!$M$24-ArtifactsInput!$M$24)*CHOOSE(ArtifactsInput!$N$24+1,10,12,14,16,18,20)+IF(ArtifactsInput!$M$10,CHOOSE(ArtifactsInput!$N$10+1,15,18,21,24,27,30)*(IF(Inputs!$B$38="pvp",MIN(15,15)/15,IF(AND(Inputs!$B$38&lt;&gt;"pvp",Inputs!$B$43&gt;0),MIN(15,Inputs!$B$43)/(Inputs!$B$43),0))),0)))&gt;=100),MIN(100,((Inputs!$B$9+((C2670=TRUE)*(F2670-Calc!F19))+B2681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2670=TRUE)*(F2670-Calc!F19))+B2681+(ArtifactsInput!$M$24-ArtifactsInput!$M$24)*CHOOSE(ArtifactsInput!$N$24+1,10,12,14,16,18,20)+IF(ArtifactsInput!$M$10,CHOOSE(ArtifactsInput!$N$10+1,15,18,21,24,27,30)*(IF(Inputs!$B$38="pvp",MIN(15,15)/15,IF(AND(Inputs!$B$38&lt;&gt;"pvp",Inputs!$B$43&gt;0),MIN(15,Inputs!$B$43)/(Inputs!$B$43),0))),0)))&gt;=100),CHOOSE(ArtifactsInput!$N$42+1,40,48,56,64,72,80),0))))/100)*((1+(((C2668=TRUE)*F2668)+((C2675=TRUE)*(F2675-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2663)</f>
        <v/>
      </c>
      <c r="L2663">
        <f>K2663*(MIN(Inputs!$B$22+((C2673=TRUE)*(F2673-Calc!F22)),(Inputs!$B$23+0+(IF(ArtifactsInput!$M$15,CHOOSE(ArtifactsInput!$N$15+1,25,30,35,40,45,50)/100*(Inputs!$B$11-Inputs!$B$11),0))))/100+(Inputs!$B$23+0+(IF(ArtifactsInput!$M$15,CHOOSE(ArtifactsInput!$N$15+1,25,30,35,40,45,50)/100*(Inputs!$B$11-Inputs!$B$11),0)))/100)/2</f>
        <v/>
      </c>
      <c r="M2663">
        <f>L2663*(1+(Inputs!$B$10+((C2676=TRUE)*(F2676-Calc!F25))+B2686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3">
        <f>L2663*(1-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2663*(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3">
        <f>(1-Summary!$B$11)*T2663+Summary!$B$11*V2663</f>
        <v/>
      </c>
      <c r="P2663">
        <f>IF(B2691=0,0,O2663/B2691)</f>
        <v/>
      </c>
      <c r="Q2663">
        <f>IFERROR(1/(IF(Inputs!$B$38="pvp",15,MAX(0.1,Skills!D12-IF(Skills!E12=TRUE,Inputs!$B$32,0)))*(1-IF(AND(ArtifactsInput!$M$27,Inputs!$B$4="Chapter Hunt"),CHOOSE(ArtifactsInput!$N$27+1,20,24,28,32,36,40),0)/100)),0)</f>
        <v/>
      </c>
      <c r="R2663">
        <f>IF(AND(Inputs!$B$38&lt;&gt;"pvp",Inputs!$B$43&gt;0),IF(MAX(0,Inputs!$B$43-B2688)&lt;=0,0,(INT(MAX(0,Inputs!$B$43-B2688)/(IF(Inputs!$B$38="pvp",15,MAX(0.1,Skills!D12-IF(Skills!E12=TRUE,Inputs!$B$32,0)))*(1-IF(AND(ArtifactsInput!$M$27,Inputs!$B$4="Chapter Hunt"),CHOOSE(ArtifactsInput!$N$27+1,20,24,28,32,36,40),0)/100)))+1)),0)</f>
        <v/>
      </c>
      <c r="S2663">
        <f>IFERROR(O2663/N2663,0)</f>
        <v/>
      </c>
      <c r="T2663">
        <f>IF(C2663,(H2663*N2663*IF(AND(Inputs!$B$38&lt;&gt;"pvp",Inputs!$B$43&gt;0),((Skills!G12*((R2663-1)*IF(Skills!H12&gt;0,Skills!I12/Skills!H12,1)+IF(Skills!H12&gt;0,MIN(Skills!I12,MAX(0,MAX(0,Inputs!$B$43-B2688)-((R2663-1)*(IF(Inputs!$B$38="pvp",15,MAX(0.1,Skills!D12-IF(Skills!E12=TRUE,Inputs!$B$32,0)))*(1-IF(AND(ArtifactsInput!$M$27,Inputs!$B$4="Chapter Hunt"),CHOOSE(ArtifactsInput!$N$27+1,20,24,28,32,36,40),0)/100)))))/Skills!H12,1)))/Inputs!$B$43),G2663*Q2663)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2663*(1-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2663*(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2663*(1-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2663*(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3">
        <f>IF(C2663,(H2663*N2663*IF(AND(Inputs!$B$38&lt;&gt;"pvp",Inputs!$B$43&gt;0),((Skills!G12*((R2663-1)*IF(Skills!H12&gt;0,Skills!I12/Skills!H12,1)+IF(Skills!H12&gt;0,MIN(Skills!I12,MAX(0,MAX(0,Inputs!$B$43-B2688)-((R2663-1)*(IF(Inputs!$B$38="pvp",15,MAX(0.1,Skills!D12-IF(Skills!E12=TRUE,Inputs!$B$32,0)))*(1-IF(AND(ArtifactsInput!$M$27,Inputs!$B$4="Chapter Hunt"),CHOOSE(ArtifactsInput!$N$27+1,20,24,28,32,36,40),0)/100)))))/Skills!H12,1)))/Inputs!$B$43),G2663*Q2663))*IF(Inputs!$B$38="pvp",1,(1+(Inputs!$B$21+Skills!Q12+(IF(ArtifactsInput!$M$33,CHOOSE(ArtifactsInput!$N$33+1,30,36,42,48,54,60)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MIN(Skills!R12,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4">
      <c r="A2664">
        <f>Skills!A13</f>
        <v/>
      </c>
      <c r="B2664">
        <f>Skills!B13</f>
        <v/>
      </c>
      <c r="C2664">
        <f>Inputs!$B$3&gt;=110</f>
        <v/>
      </c>
      <c r="D2664">
        <f>IF(Skills!C13=1,60+Inputs!$B$25+Inputs!$B$29,IF(Skills!C13=2,90+Inputs!$B$26+Inputs!$B$29,IF(Skills!C13=3,120+Inputs!$B$27+Inputs!$B$29,MAX(0,(Inputs!$B$3-100)*3)+Inputs!$B$28+Inputs!$B$29)))</f>
        <v/>
      </c>
      <c r="E2664">
        <f>INDEX(FactorTable!$B$2:$Y$301, MATCH(ROUND(MIN(300,MAX(1,D2664)),0), FactorTable!$A$2:$A$301,0), Skills!M13+1)</f>
        <v/>
      </c>
      <c r="F2664">
        <f>IF(Skills!N13=TRUE,(Skills!L13/10)*(E2664/1000),Skills!L13/10)+Skills!O13</f>
        <v/>
      </c>
      <c r="G2664">
        <f>Skills!G13*IF(Skills!H13&gt;0,Skills!I13/Skills!H13,1)</f>
        <v/>
      </c>
      <c r="H2664">
        <f>1-(1-Skills!J13/100)^Skills!K13</f>
        <v/>
      </c>
      <c r="I2664" t="inlineStr">
        <is>
          <t>1</t>
        </is>
      </c>
      <c r="J2664">
        <f>((Inputs!$B$6*(1+Inputs!$B$7/100))+(((Inputs!$B$12*(1+Inputs!$B$13/100))-(Inputs!$B$12*(1+Inputs!$B$13/100)))+0.25*(Inputs!$B$14-Inputs!$B$14))*(1+Inputs!$B$7/100))*(F2664/100)</f>
        <v/>
      </c>
      <c r="K2664">
        <f>J2664*(1+((Inputs!$B$12*(1+Inputs!$B$13/100))*0.01+Inputs!$B$14*0.0025)/100)*(1+Inputs!$B$15/100)*(1+Inputs!$B$16/100)*(5000/(6000+Inputs!$B$42*(1-(100*(1-(1-(Inputs!$B$19+0)/100)*(1-CHOOSE(ArtifactsInput!$N$40+1,5,6,7,8,9,10)/100)^(ArtifactsInput!$M$40-ArtifactsInput!$M$40)))/100)))*(1+(Inputs!$B$24+((C2677=TRUE)*(F2677-Calc!F26))+B2687)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2674=TRUE)*(F2674-Calc!F23))+((C2678=TRUE)*(F2678-Calc!F27))+(((IF(AND(ArtifactsInput!$M$42,((Inputs!$B$9+((C2670=TRUE)*(F2670-Calc!F19))+B2681+(ArtifactsInput!$M$24-ArtifactsInput!$M$24)*CHOOSE(ArtifactsInput!$N$24+1,10,12,14,16,18,20)+IF(ArtifactsInput!$M$10,CHOOSE(ArtifactsInput!$N$10+1,15,18,21,24,27,30)*(IF(Inputs!$B$38="pvp",MIN(15,15)/15,IF(AND(Inputs!$B$38&lt;&gt;"pvp",Inputs!$B$43&gt;0),MIN(15,Inputs!$B$43)/(Inputs!$B$43),0))),0)))&gt;=100),MIN(100,((Inputs!$B$9+((C2670=TRUE)*(F2670-Calc!F19))+B2681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2670=TRUE)*(F2670-Calc!F19))+B2681+(ArtifactsInput!$M$24-ArtifactsInput!$M$24)*CHOOSE(ArtifactsInput!$N$24+1,10,12,14,16,18,20)+IF(ArtifactsInput!$M$10,CHOOSE(ArtifactsInput!$N$10+1,15,18,21,24,27,30)*(IF(Inputs!$B$38="pvp",MIN(15,15)/15,IF(AND(Inputs!$B$38&lt;&gt;"pvp",Inputs!$B$43&gt;0),MIN(15,Inputs!$B$43)/(Inputs!$B$43),0))),0)))&gt;=100),CHOOSE(ArtifactsInput!$N$42+1,40,48,56,64,72,80),0))))/100)*((1+(((C2668=TRUE)*F2668)+((C2675=TRUE)*(F2675-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2664)</f>
        <v/>
      </c>
      <c r="L2664">
        <f>K2664*(MIN(Inputs!$B$22+((C2673=TRUE)*(F2673-Calc!F22)),(Inputs!$B$23+0+(IF(ArtifactsInput!$M$15,CHOOSE(ArtifactsInput!$N$15+1,25,30,35,40,45,50)/100*(Inputs!$B$11-Inputs!$B$11),0))))/100+(Inputs!$B$23+0+(IF(ArtifactsInput!$M$15,CHOOSE(ArtifactsInput!$N$15+1,25,30,35,40,45,50)/100*(Inputs!$B$11-Inputs!$B$11),0)))/100)/2</f>
        <v/>
      </c>
      <c r="M2664">
        <f>L2664*(1+(Inputs!$B$10+((C2676=TRUE)*(F2676-Calc!F25))+B2686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4">
        <f>L2664*(1-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2664*(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4">
        <f>(1-Summary!$B$11)*T2664+Summary!$B$11*V2664</f>
        <v/>
      </c>
      <c r="P2664">
        <f>IF(B2691=0,0,O2664/B2691)</f>
        <v/>
      </c>
      <c r="Q2664">
        <f>IFERROR(1/(IF(Inputs!$B$38="pvp",15,MAX(0.1,Skills!D13-IF(Skills!E13=TRUE,Inputs!$B$32,0)))*(1-IF(AND(ArtifactsInput!$M$27,Inputs!$B$4="Chapter Hunt"),CHOOSE(ArtifactsInput!$N$27+1,20,24,28,32,36,40),0)/100)),0)</f>
        <v/>
      </c>
      <c r="R2664">
        <f>IF(AND(Inputs!$B$38&lt;&gt;"pvp",Inputs!$B$43&gt;0),IF(MAX(0,Inputs!$B$43-B2688)&lt;=0,0,(INT(MAX(0,Inputs!$B$43-B2688)/(IF(Inputs!$B$38="pvp",15,MAX(0.1,Skills!D13-IF(Skills!E13=TRUE,Inputs!$B$32,0)))*(1-IF(AND(ArtifactsInput!$M$27,Inputs!$B$4="Chapter Hunt"),CHOOSE(ArtifactsInput!$N$27+1,20,24,28,32,36,40),0)/100)))+1)),0)</f>
        <v/>
      </c>
      <c r="S2664">
        <f>IFERROR(O2664/N2664,0)</f>
        <v/>
      </c>
      <c r="T2664">
        <f>IF(C2664,(H2664*N2664*IF(AND(Inputs!$B$38&lt;&gt;"pvp",Inputs!$B$43&gt;0),((Skills!G13*((R2664-1)*IF(Skills!H13&gt;0,Skills!I13/Skills!H13,1)+IF(Skills!H13&gt;0,MIN(Skills!I13,MAX(0,MAX(0,Inputs!$B$43-B2688)-((R2664-1)*(IF(Inputs!$B$38="pvp",15,MAX(0.1,Skills!D13-IF(Skills!E13=TRUE,Inputs!$B$32,0)))*(1-IF(AND(ArtifactsInput!$M$27,Inputs!$B$4="Chapter Hunt"),CHOOSE(ArtifactsInput!$N$27+1,20,24,28,32,36,40),0)/100)))))/Skills!H13,1)))/Inputs!$B$43),G2664*Q2664)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2664*(1-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2664*(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2664*(1-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2664*(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4">
        <f>IF(C2664,(H2664*N2664*IF(AND(Inputs!$B$38&lt;&gt;"pvp",Inputs!$B$43&gt;0),((Skills!G13*((R2664-1)*IF(Skills!H13&gt;0,Skills!I13/Skills!H13,1)+IF(Skills!H13&gt;0,MIN(Skills!I13,MAX(0,MAX(0,Inputs!$B$43-B2688)-((R2664-1)*(IF(Inputs!$B$38="pvp",15,MAX(0.1,Skills!D13-IF(Skills!E13=TRUE,Inputs!$B$32,0)))*(1-IF(AND(ArtifactsInput!$M$27,Inputs!$B$4="Chapter Hunt"),CHOOSE(ArtifactsInput!$N$27+1,20,24,28,32,36,40),0)/100)))))/Skills!H13,1)))/Inputs!$B$43),G2664*Q2664))*IF(Inputs!$B$38="pvp",1,(1+(Inputs!$B$21+Skills!Q13+(IF(ArtifactsInput!$M$33,CHOOSE(ArtifactsInput!$N$33+1,30,36,42,48,54,60)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MIN(Skills!R13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5">
      <c r="A2665">
        <f>Skills!A14</f>
        <v/>
      </c>
      <c r="B2665">
        <f>Skills!B14</f>
        <v/>
      </c>
      <c r="C2665">
        <f>Inputs!$B$3&gt;=125</f>
        <v/>
      </c>
      <c r="D2665">
        <f>IF(Skills!C14=1,60+Inputs!$B$25+Inputs!$B$29,IF(Skills!C14=2,90+Inputs!$B$26+Inputs!$B$29,IF(Skills!C14=3,120+Inputs!$B$27+Inputs!$B$29,MAX(0,(Inputs!$B$3-100)*3)+Inputs!$B$28+Inputs!$B$29)))</f>
        <v/>
      </c>
      <c r="E2665">
        <f>INDEX(FactorTable!$B$2:$Y$301, MATCH(ROUND(MIN(300,MAX(1,D2665)),0), FactorTable!$A$2:$A$301,0), Skills!M14+1)</f>
        <v/>
      </c>
      <c r="F2665">
        <f>IF(Skills!N14=TRUE,(Skills!L14/10)*(E2665/1000),Skills!L14/10)+Skills!O14</f>
        <v/>
      </c>
      <c r="G2665">
        <f>Skills!G14*IF(Skills!H14&gt;0,Skills!I14/Skills!H14,1)</f>
        <v/>
      </c>
      <c r="H2665">
        <f>1-(1-Skills!J14/100)^Skills!K14</f>
        <v/>
      </c>
      <c r="I2665" t="inlineStr">
        <is>
          <t>1</t>
        </is>
      </c>
      <c r="J2665">
        <f>((Inputs!$B$6*(1+Inputs!$B$7/100))+(((Inputs!$B$12*(1+Inputs!$B$13/100))-(Inputs!$B$12*(1+Inputs!$B$13/100)))+0.25*(Inputs!$B$14-Inputs!$B$14))*(1+Inputs!$B$7/100))*(F2665/100)</f>
        <v/>
      </c>
      <c r="K2665">
        <f>J2665*(1+((Inputs!$B$12*(1+Inputs!$B$13/100))*0.01+Inputs!$B$14*0.0025)/100)*(1+Inputs!$B$15/100)*(1+Inputs!$B$16/100)*(5000/(6000+Inputs!$B$42*(1-(100*(1-(1-(Inputs!$B$19+0)/100)*(1-CHOOSE(ArtifactsInput!$N$40+1,5,6,7,8,9,10)/100)^(ArtifactsInput!$M$40-ArtifactsInput!$M$40)))/100)))*(1+(Inputs!$B$24+((C2677=TRUE)*(F2677-Calc!F26))+B2687)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2674=TRUE)*(F2674-Calc!F23))+((C2678=TRUE)*(F2678-Calc!F27))+(((IF(AND(ArtifactsInput!$M$42,((Inputs!$B$9+((C2670=TRUE)*(F2670-Calc!F19))+B2681+(ArtifactsInput!$M$24-ArtifactsInput!$M$24)*CHOOSE(ArtifactsInput!$N$24+1,10,12,14,16,18,20)+IF(ArtifactsInput!$M$10,CHOOSE(ArtifactsInput!$N$10+1,15,18,21,24,27,30)*(IF(Inputs!$B$38="pvp",MIN(15,15)/15,IF(AND(Inputs!$B$38&lt;&gt;"pvp",Inputs!$B$43&gt;0),MIN(15,Inputs!$B$43)/(Inputs!$B$43),0))),0)))&gt;=100),MIN(100,((Inputs!$B$9+((C2670=TRUE)*(F2670-Calc!F19))+B2681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2670=TRUE)*(F2670-Calc!F19))+B2681+(ArtifactsInput!$M$24-ArtifactsInput!$M$24)*CHOOSE(ArtifactsInput!$N$24+1,10,12,14,16,18,20)+IF(ArtifactsInput!$M$10,CHOOSE(ArtifactsInput!$N$10+1,15,18,21,24,27,30)*(IF(Inputs!$B$38="pvp",MIN(15,15)/15,IF(AND(Inputs!$B$38&lt;&gt;"pvp",Inputs!$B$43&gt;0),MIN(15,Inputs!$B$43)/(Inputs!$B$43),0))),0)))&gt;=100),CHOOSE(ArtifactsInput!$N$42+1,40,48,56,64,72,80),0))))/100)*((1+(((C2668=TRUE)*F2668)+((C2675=TRUE)*(F2675-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2665)</f>
        <v/>
      </c>
      <c r="L2665">
        <f>K2665*(MIN(Inputs!$B$22+((C2673=TRUE)*(F2673-Calc!F22)),(Inputs!$B$23+0+(IF(ArtifactsInput!$M$15,CHOOSE(ArtifactsInput!$N$15+1,25,30,35,40,45,50)/100*(Inputs!$B$11-Inputs!$B$11),0))))/100+(Inputs!$B$23+0+(IF(ArtifactsInput!$M$15,CHOOSE(ArtifactsInput!$N$15+1,25,30,35,40,45,50)/100*(Inputs!$B$11-Inputs!$B$11),0)))/100)/2</f>
        <v/>
      </c>
      <c r="M2665">
        <f>L2665*(1+(Inputs!$B$10+((C2676=TRUE)*(F2676-Calc!F25))+B2686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5">
        <f>L2665*(1-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2665*(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5">
        <f>(1-Summary!$B$11)*T2665+Summary!$B$11*V2665</f>
        <v/>
      </c>
      <c r="P2665">
        <f>IF(B2691=0,0,O2665/B2691)</f>
        <v/>
      </c>
      <c r="Q2665" t="n">
        <v>0</v>
      </c>
      <c r="R2665" t="n">
        <v>0</v>
      </c>
      <c r="S2665">
        <f>IFERROR(O2665/N2665,0)</f>
        <v/>
      </c>
      <c r="T2665">
        <f>IF(C2665,(H2665*N2665*(B2685+IF(AND(Inputs!$B$38&lt;&gt;"pvp",Inputs!$B$43&gt;0),((Skills!G8*((R2659-1)*IF(Skills!H8&gt;0,Skills!I8/Skills!H8,1)+IF(Skills!H8&gt;0,MIN(Skills!I8,MAX(0,MAX(0,Inputs!$B$43-B2688)-((R2659-1)*(IF(Inputs!$B$38="pvp",15,MAX(0.1,Skills!D8-IF(Skills!E8=TRUE,Inputs!$B$32,0)))*(1-IF(AND(ArtifactsInput!$M$27,Inputs!$B$4="Chapter Hunt"),CHOOSE(ArtifactsInput!$N$27+1,20,24,28,32,36,40),0)/100)))))/Skills!H8,1)))/Inputs!$B$43),G2659*Q2659)+IF(AND(Inputs!$B$38&lt;&gt;"pvp",Inputs!$B$43&gt;0),((Skills!G11*((R2662-1)*IF(Skills!H11&gt;0,Skills!I11/Skills!H11,1)+IF(Skills!H11&gt;0,MIN(Skills!I11,MAX(0,MAX(0,Inputs!$B$43-B2688)-((R2662-1)*(IF(Inputs!$B$38="pvp",15,MAX(0.1,Skills!D11-IF(Skills!E11=TRUE,Inputs!$B$32,0)))*(1-IF(AND(ArtifactsInput!$M$27,Inputs!$B$4="Chapter Hunt"),CHOOSE(ArtifactsInput!$N$27+1,20,24,28,32,36,40),0)/100)))))/Skills!H11,1)))/Inputs!$B$43),G2662*Q2662)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2665*(1-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2665*(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2665*(1-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2665*(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5">
        <f>IF(C2665,(H2665*N2665*(B2685+IF(AND(Inputs!$B$38&lt;&gt;"pvp",Inputs!$B$43&gt;0),((Skills!G8*((R2659-1)*IF(Skills!H8&gt;0,Skills!I8/Skills!H8,1)+IF(Skills!H8&gt;0,MIN(Skills!I8,MAX(0,MAX(0,Inputs!$B$43-B2688)-((R2659-1)*(IF(Inputs!$B$38="pvp",15,MAX(0.1,Skills!D8-IF(Skills!E8=TRUE,Inputs!$B$32,0)))*(1-IF(AND(ArtifactsInput!$M$27,Inputs!$B$4="Chapter Hunt"),CHOOSE(ArtifactsInput!$N$27+1,20,24,28,32,36,40),0)/100)))))/Skills!H8,1)))/Inputs!$B$43),G2659*Q2659)+IF(AND(Inputs!$B$38&lt;&gt;"pvp",Inputs!$B$43&gt;0),((Skills!G11*((R2662-1)*IF(Skills!H11&gt;0,Skills!I11/Skills!H11,1)+IF(Skills!H11&gt;0,MIN(Skills!I11,MAX(0,MAX(0,Inputs!$B$43-B2688)-((R2662-1)*(IF(Inputs!$B$38="pvp",15,MAX(0.1,Skills!D11-IF(Skills!E11=TRUE,Inputs!$B$32,0)))*(1-IF(AND(ArtifactsInput!$M$27,Inputs!$B$4="Chapter Hunt"),CHOOSE(ArtifactsInput!$N$27+1,20,24,28,32,36,40),0)/100)))))/Skills!H11,1)))/Inputs!$B$43),G2662*Q2662)))*IF(Inputs!$B$38="pvp",1,(1+(Inputs!$B$21+Skills!Q14+(IF(ArtifactsInput!$M$33,CHOOSE(ArtifactsInput!$N$33+1,30,36,42,48,54,60)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MIN(Skills!R14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6">
      <c r="A2666">
        <f>Skills!A15</f>
        <v/>
      </c>
      <c r="B2666">
        <f>Skills!B15</f>
        <v/>
      </c>
      <c r="C2666">
        <f>Inputs!$B$3&gt;=100</f>
        <v/>
      </c>
      <c r="D2666">
        <f>IF(Skills!C15=1,60+Inputs!$B$25+Inputs!$B$29,IF(Skills!C15=2,90+Inputs!$B$26+Inputs!$B$29,IF(Skills!C15=3,120+Inputs!$B$27+Inputs!$B$29,MAX(0,(Inputs!$B$3-100)*3)+Inputs!$B$28+Inputs!$B$29)))</f>
        <v/>
      </c>
      <c r="E2666">
        <f>INDEX(FactorTable!$B$2:$Y$301, MATCH(ROUND(MIN(300,MAX(1,D2666)),0), FactorTable!$A$2:$A$301,0), Skills!M15+1)</f>
        <v/>
      </c>
      <c r="F2666">
        <f>IF(Skills!N15=TRUE,(Skills!L15/10)*(E2666/1000),Skills!L15/10)+Skills!O15</f>
        <v/>
      </c>
      <c r="G2666" t="inlineStr"/>
      <c r="H2666" t="inlineStr"/>
      <c r="I2666" t="inlineStr">
        <is>
          <t>1</t>
        </is>
      </c>
      <c r="J2666" t="inlineStr"/>
      <c r="K2666" t="inlineStr"/>
      <c r="L2666" t="inlineStr"/>
      <c r="M2666" t="inlineStr"/>
      <c r="N2666" t="inlineStr"/>
      <c r="O2666" t="inlineStr"/>
      <c r="P2666" t="inlineStr"/>
      <c r="Q2666" t="inlineStr"/>
      <c r="R2666" t="inlineStr"/>
      <c r="S2666" t="inlineStr"/>
    </row>
    <row r="2667">
      <c r="A2667">
        <f>Skills!A16</f>
        <v/>
      </c>
      <c r="B2667">
        <f>Skills!B16</f>
        <v/>
      </c>
      <c r="C2667">
        <f>Inputs!$B$3&gt;=120</f>
        <v/>
      </c>
      <c r="D2667">
        <f>IF(Skills!C16=1,60+Inputs!$B$25+Inputs!$B$29,IF(Skills!C16=2,90+Inputs!$B$26+Inputs!$B$29,IF(Skills!C16=3,120+Inputs!$B$27+Inputs!$B$29,MAX(0,(Inputs!$B$3-100)*3)+Inputs!$B$28+Inputs!$B$29)))</f>
        <v/>
      </c>
      <c r="E2667">
        <f>INDEX(FactorTable!$B$2:$Y$301, MATCH(ROUND(MIN(300,MAX(1,D2667)),0), FactorTable!$A$2:$A$301,0), Skills!M16+1)</f>
        <v/>
      </c>
      <c r="F2667">
        <f>IF(Skills!N16=TRUE,(Skills!L16/10)*(E2667/1000),Skills!L16/10)+Skills!O16</f>
        <v/>
      </c>
      <c r="G2667" t="inlineStr"/>
      <c r="H2667" t="inlineStr"/>
      <c r="I2667" t="inlineStr">
        <is>
          <t>1</t>
        </is>
      </c>
      <c r="J2667" t="inlineStr"/>
      <c r="K2667" t="inlineStr"/>
      <c r="L2667" t="inlineStr"/>
      <c r="M2667" t="inlineStr"/>
      <c r="N2667" t="inlineStr"/>
      <c r="O2667" t="inlineStr"/>
      <c r="P2667" t="inlineStr"/>
      <c r="Q2667" t="inlineStr"/>
      <c r="R2667" t="inlineStr"/>
      <c r="S2667" t="inlineStr"/>
    </row>
    <row r="2668">
      <c r="A2668">
        <f>Skills!A17</f>
        <v/>
      </c>
      <c r="B2668">
        <f>Skills!B17</f>
        <v/>
      </c>
      <c r="C2668">
        <f>Inputs!$B$3&gt;=66</f>
        <v/>
      </c>
      <c r="D2668">
        <f>IF(Skills!C17=1,60+Inputs!$B$25+Inputs!$B$29,IF(Skills!C17=2,90+Inputs!$B$26+Inputs!$B$29,IF(Skills!C17=3,120+Inputs!$B$27+Inputs!$B$29,MAX(0,(Inputs!$B$3-100)*3)+Inputs!$B$28+Inputs!$B$29)))</f>
        <v/>
      </c>
      <c r="E2668">
        <f>INDEX(FactorTable!$B$2:$Y$301, MATCH(ROUND(MIN(300,MAX(1,D2668)),0), FactorTable!$A$2:$A$301,0), Skills!M17+1)</f>
        <v/>
      </c>
      <c r="F2668">
        <f>IF(Skills!N17=TRUE,(Skills!L17/10)*(E2668/1000),Skills!L17/10)+Skills!O17</f>
        <v/>
      </c>
      <c r="G2668">
        <f>Skills!G17*IF(Skills!H17&gt;0,Skills!I17/Skills!H17,1)</f>
        <v/>
      </c>
      <c r="H2668">
        <f>1-(1-Skills!J17/100)^Skills!K17</f>
        <v/>
      </c>
      <c r="I2668" t="inlineStr">
        <is>
          <t>1</t>
        </is>
      </c>
      <c r="J2668" t="inlineStr"/>
      <c r="K2668" t="inlineStr"/>
      <c r="L2668" t="inlineStr"/>
      <c r="M2668" t="inlineStr"/>
      <c r="N2668" t="inlineStr"/>
      <c r="O2668">
        <f>(1-Summary!$B$11)*T2668+Summary!$B$11*V2668</f>
        <v/>
      </c>
      <c r="P2668">
        <f>IF(B2691=0,0,O2668/B2691)</f>
        <v/>
      </c>
      <c r="Q2668" t="n">
        <v>0</v>
      </c>
      <c r="R2668" t="n">
        <v>0</v>
      </c>
      <c r="S2668">
        <f>IFERROR(O2668/N2668,0)</f>
        <v/>
      </c>
      <c r="T2668" t="n">
        <v>0</v>
      </c>
      <c r="V2668" t="n">
        <v>0</v>
      </c>
    </row>
    <row r="2669">
      <c r="A2669">
        <f>Skills!A18</f>
        <v/>
      </c>
      <c r="B2669">
        <f>Skills!B18</f>
        <v/>
      </c>
      <c r="C2669">
        <f>Inputs!$B$3&gt;=115</f>
        <v/>
      </c>
      <c r="D2669">
        <f>IF(Skills!C18=1,60+Inputs!$B$25+Inputs!$B$29,IF(Skills!C18=2,90+Inputs!$B$26+Inputs!$B$29,IF(Skills!C18=3,120+Inputs!$B$27+Inputs!$B$29,MAX(0,(Inputs!$B$3-100)*3)+Inputs!$B$28+Inputs!$B$29)))</f>
        <v/>
      </c>
      <c r="E2669">
        <f>INDEX(FactorTable!$B$2:$Y$301, MATCH(ROUND(MIN(300,MAX(1,D2669)),0), FactorTable!$A$2:$A$301,0), Skills!M18+1)</f>
        <v/>
      </c>
      <c r="F2669">
        <f>IF(Skills!N18=TRUE,(Skills!L18/10)*(E2669/1000),Skills!L18/10)+Skills!O18</f>
        <v/>
      </c>
      <c r="G2669">
        <f>Skills!G18*IF(Skills!H18&gt;0,Skills!I18/Skills!H18,1)</f>
        <v/>
      </c>
      <c r="H2669">
        <f>1-(1-Skills!J18/100)^Skills!K18</f>
        <v/>
      </c>
      <c r="I2669" t="inlineStr">
        <is>
          <t>1</t>
        </is>
      </c>
      <c r="J2669" t="inlineStr"/>
      <c r="K2669" t="inlineStr"/>
      <c r="L2669" t="inlineStr"/>
      <c r="M2669" t="inlineStr"/>
      <c r="N2669" t="inlineStr"/>
      <c r="O2669">
        <f>(1-Summary!$B$11)*T2669+Summary!$B$11*V2669</f>
        <v/>
      </c>
      <c r="P2669">
        <f>IF(B2691=0,0,O2669/B2691)</f>
        <v/>
      </c>
      <c r="Q2669" t="n">
        <v>0</v>
      </c>
      <c r="R2669" t="n">
        <v>0</v>
      </c>
      <c r="S2669">
        <f>IFERROR(O2669/N2669,0)</f>
        <v/>
      </c>
      <c r="T2669" t="n">
        <v>0</v>
      </c>
      <c r="V2669" t="n">
        <v>0</v>
      </c>
    </row>
    <row r="2670">
      <c r="A2670">
        <f>Skills!A19</f>
        <v/>
      </c>
      <c r="B2670">
        <f>Skills!B19</f>
        <v/>
      </c>
      <c r="C2670">
        <f>Inputs!$B$3&gt;=15</f>
        <v/>
      </c>
      <c r="D2670">
        <f>IF(Skills!C19=1,60+Inputs!$B$25+Inputs!$B$29,IF(Skills!C19=2,90+Inputs!$B$26+Inputs!$B$29,IF(Skills!C19=3,120+Inputs!$B$27+Inputs!$B$29,MAX(0,(Inputs!$B$3-100)*3)+Inputs!$B$28+Inputs!$B$29)))</f>
        <v/>
      </c>
      <c r="E2670">
        <f>INDEX(FactorTable!$B$2:$Y$301, MATCH(ROUND(MIN(300,MAX(1,D2670)),0), FactorTable!$A$2:$A$301,0), Skills!M19+1)</f>
        <v/>
      </c>
      <c r="F2670">
        <f>IF(Skills!N19=TRUE,(Skills!L19/10)*(E2670/1000),Skills!L19/10)+Skills!O19</f>
        <v/>
      </c>
      <c r="G2670">
        <f>Skills!G19*IF(Skills!H19&gt;0,Skills!I19/Skills!H19,1)</f>
        <v/>
      </c>
      <c r="H2670">
        <f>1-(1-Skills!J19/100)^Skills!K19</f>
        <v/>
      </c>
      <c r="I2670" t="inlineStr">
        <is>
          <t>1</t>
        </is>
      </c>
      <c r="J2670" t="inlineStr"/>
      <c r="K2670" t="inlineStr"/>
      <c r="L2670" t="inlineStr"/>
      <c r="M2670" t="inlineStr"/>
      <c r="N2670" t="inlineStr"/>
      <c r="O2670">
        <f>(1-Summary!$B$11)*T2670+Summary!$B$11*V2670</f>
        <v/>
      </c>
      <c r="P2670">
        <f>IF(B2691=0,0,O2670/B2691)</f>
        <v/>
      </c>
      <c r="Q2670" t="n">
        <v>0</v>
      </c>
      <c r="R2670" t="n">
        <v>0</v>
      </c>
      <c r="S2670">
        <f>IFERROR(O2670/N2670,0)</f>
        <v/>
      </c>
      <c r="T2670" t="n">
        <v>0</v>
      </c>
      <c r="V2670" t="n">
        <v>0</v>
      </c>
    </row>
    <row r="2671">
      <c r="A2671">
        <f>Skills!A20</f>
        <v/>
      </c>
      <c r="B2671">
        <f>Skills!B20</f>
        <v/>
      </c>
      <c r="C2671">
        <f>Inputs!$B$3&gt;=10</f>
        <v/>
      </c>
      <c r="D2671">
        <f>IF(Skills!C20=1,60+Inputs!$B$25+Inputs!$B$29,IF(Skills!C20=2,90+Inputs!$B$26+Inputs!$B$29,IF(Skills!C20=3,120+Inputs!$B$27+Inputs!$B$29,MAX(0,(Inputs!$B$3-100)*3)+Inputs!$B$28+Inputs!$B$29)))</f>
        <v/>
      </c>
      <c r="E2671">
        <f>INDEX(FactorTable!$B$2:$Y$301, MATCH(ROUND(MIN(300,MAX(1,D2671)),0), FactorTable!$A$2:$A$301,0), Skills!M20+1)</f>
        <v/>
      </c>
      <c r="F2671">
        <f>IF(Skills!N20=TRUE,(Skills!L20/10)*(E2671/1000),Skills!L20/10)+Skills!O20</f>
        <v/>
      </c>
      <c r="G2671">
        <f>Skills!G20*IF(Skills!H20&gt;0,Skills!I20/Skills!H20,1)</f>
        <v/>
      </c>
      <c r="H2671">
        <f>1-(1-Skills!J20/100)^Skills!K20</f>
        <v/>
      </c>
      <c r="I2671" t="inlineStr">
        <is>
          <t>1</t>
        </is>
      </c>
      <c r="J2671" t="inlineStr"/>
      <c r="K2671" t="inlineStr"/>
      <c r="L2671" t="inlineStr"/>
      <c r="M2671" t="inlineStr"/>
      <c r="N2671" t="inlineStr"/>
      <c r="O2671">
        <f>(1-Summary!$B$11)*T2671+Summary!$B$11*V2671</f>
        <v/>
      </c>
      <c r="P2671">
        <f>IF(B2691=0,0,O2671/B2691)</f>
        <v/>
      </c>
      <c r="Q2671" t="n">
        <v>0</v>
      </c>
      <c r="R2671" t="n">
        <v>0</v>
      </c>
      <c r="S2671">
        <f>IFERROR(O2671/N2671,0)</f>
        <v/>
      </c>
      <c r="T2671" t="n">
        <v>0</v>
      </c>
      <c r="V2671" t="n">
        <v>0</v>
      </c>
    </row>
    <row r="2672">
      <c r="A2672">
        <f>Skills!A21</f>
        <v/>
      </c>
      <c r="B2672">
        <f>Skills!B21</f>
        <v/>
      </c>
      <c r="C2672">
        <f>Inputs!$B$3&gt;=33</f>
        <v/>
      </c>
      <c r="D2672">
        <f>IF(Skills!C21=1,60+Inputs!$B$25+Inputs!$B$29,IF(Skills!C21=2,90+Inputs!$B$26+Inputs!$B$29,IF(Skills!C21=3,120+Inputs!$B$27+Inputs!$B$29,MAX(0,(Inputs!$B$3-100)*3)+Inputs!$B$28+Inputs!$B$29)))</f>
        <v/>
      </c>
      <c r="E2672">
        <f>INDEX(FactorTable!$B$2:$Y$301, MATCH(ROUND(MIN(300,MAX(1,D2672)),0), FactorTable!$A$2:$A$301,0), Skills!M21+1)</f>
        <v/>
      </c>
      <c r="F2672">
        <f>IF(Skills!N21=TRUE,(Skills!L21/10)*(E2672/1000),Skills!L21/10)+Skills!O21</f>
        <v/>
      </c>
      <c r="G2672">
        <f>Skills!G21*IF(Skills!H21&gt;0,Skills!I21/Skills!H21,1)</f>
        <v/>
      </c>
      <c r="H2672">
        <f>1-(1-Skills!J21/100)^Skills!K21</f>
        <v/>
      </c>
      <c r="I2672" t="inlineStr">
        <is>
          <t>1</t>
        </is>
      </c>
      <c r="J2672" t="inlineStr"/>
      <c r="K2672" t="inlineStr"/>
      <c r="L2672" t="inlineStr"/>
      <c r="M2672" t="inlineStr"/>
      <c r="N2672" t="inlineStr"/>
      <c r="O2672">
        <f>(1-Summary!$B$11)*T2672+Summary!$B$11*V2672</f>
        <v/>
      </c>
      <c r="P2672">
        <f>IF(B2691=0,0,O2672/B2691)</f>
        <v/>
      </c>
      <c r="Q2672" t="n">
        <v>0</v>
      </c>
      <c r="R2672" t="n">
        <v>0</v>
      </c>
      <c r="S2672">
        <f>IFERROR(O2672/N2672,0)</f>
        <v/>
      </c>
      <c r="T2672" t="n">
        <v>0</v>
      </c>
      <c r="V2672" t="n">
        <v>0</v>
      </c>
    </row>
    <row r="2673">
      <c r="A2673">
        <f>Skills!A22</f>
        <v/>
      </c>
      <c r="B2673">
        <f>Skills!B22</f>
        <v/>
      </c>
      <c r="C2673">
        <f>Inputs!$B$3&gt;=43</f>
        <v/>
      </c>
      <c r="D2673">
        <f>IF(Skills!C22=1,60+Inputs!$B$25+Inputs!$B$29,IF(Skills!C22=2,90+Inputs!$B$26+Inputs!$B$29,IF(Skills!C22=3,120+Inputs!$B$27+Inputs!$B$29,MAX(0,(Inputs!$B$3-100)*3)+Inputs!$B$28+Inputs!$B$29)))</f>
        <v/>
      </c>
      <c r="E2673">
        <f>INDEX(FactorTable!$B$2:$Y$301, MATCH(ROUND(MIN(300,MAX(1,D2673)),0), FactorTable!$A$2:$A$301,0), Skills!M22+1)</f>
        <v/>
      </c>
      <c r="F2673">
        <f>IF(Skills!N22=TRUE,(Skills!L22/10)*(E2673/1000),Skills!L22/10)+Skills!O22</f>
        <v/>
      </c>
      <c r="G2673">
        <f>Skills!G22*IF(Skills!H22&gt;0,Skills!I22/Skills!H22,1)</f>
        <v/>
      </c>
      <c r="H2673">
        <f>1-(1-Skills!J22/100)^Skills!K22</f>
        <v/>
      </c>
      <c r="I2673" t="inlineStr">
        <is>
          <t>1</t>
        </is>
      </c>
      <c r="J2673" t="inlineStr"/>
      <c r="K2673" t="inlineStr"/>
      <c r="L2673" t="inlineStr"/>
      <c r="M2673" t="inlineStr"/>
      <c r="N2673" t="inlineStr"/>
      <c r="O2673">
        <f>(1-Summary!$B$11)*T2673+Summary!$B$11*V2673</f>
        <v/>
      </c>
      <c r="P2673">
        <f>IF(B2691=0,0,O2673/B2691)</f>
        <v/>
      </c>
      <c r="Q2673" t="n">
        <v>0</v>
      </c>
      <c r="R2673" t="n">
        <v>0</v>
      </c>
      <c r="S2673">
        <f>IFERROR(O2673/N2673,0)</f>
        <v/>
      </c>
      <c r="T2673" t="n">
        <v>0</v>
      </c>
      <c r="V2673" t="n">
        <v>0</v>
      </c>
    </row>
    <row r="2674">
      <c r="A2674">
        <f>Skills!A23</f>
        <v/>
      </c>
      <c r="B2674">
        <f>Skills!B23</f>
        <v/>
      </c>
      <c r="C2674">
        <f>Inputs!$B$3&gt;=38</f>
        <v/>
      </c>
      <c r="D2674">
        <f>IF(Skills!C23=1,60+Inputs!$B$25+Inputs!$B$29,IF(Skills!C23=2,90+Inputs!$B$26+Inputs!$B$29,IF(Skills!C23=3,120+Inputs!$B$27+Inputs!$B$29,MAX(0,(Inputs!$B$3-100)*3)+Inputs!$B$28+Inputs!$B$29)))</f>
        <v/>
      </c>
      <c r="E2674">
        <f>INDEX(FactorTable!$B$2:$Y$301, MATCH(ROUND(MIN(300,MAX(1,D2674)),0), FactorTable!$A$2:$A$301,0), Skills!M23+1)</f>
        <v/>
      </c>
      <c r="F2674">
        <f>IF(Skills!N23=TRUE,(Skills!L23/10)*(E2674/1000),Skills!L23/10)+Skills!O23</f>
        <v/>
      </c>
      <c r="G2674">
        <f>Skills!G23*IF(Skills!H23&gt;0,Skills!I23/Skills!H23,1)</f>
        <v/>
      </c>
      <c r="H2674">
        <f>1-(1-Skills!J23/100)^Skills!K23</f>
        <v/>
      </c>
      <c r="I2674" t="inlineStr">
        <is>
          <t>1</t>
        </is>
      </c>
      <c r="J2674" t="inlineStr"/>
      <c r="K2674" t="inlineStr"/>
      <c r="L2674" t="inlineStr"/>
      <c r="M2674" t="inlineStr"/>
      <c r="N2674" t="inlineStr"/>
      <c r="O2674">
        <f>(1-Summary!$B$11)*T2674+Summary!$B$11*V2674</f>
        <v/>
      </c>
      <c r="P2674">
        <f>IF(B2691=0,0,O2674/B2691)</f>
        <v/>
      </c>
      <c r="Q2674" t="n">
        <v>0</v>
      </c>
      <c r="R2674" t="n">
        <v>0</v>
      </c>
      <c r="S2674">
        <f>IFERROR(O2674/N2674,0)</f>
        <v/>
      </c>
      <c r="T2674" t="n">
        <v>0</v>
      </c>
      <c r="V2674" t="n">
        <v>0</v>
      </c>
    </row>
    <row r="2675">
      <c r="A2675">
        <f>Skills!A24</f>
        <v/>
      </c>
      <c r="B2675">
        <f>Skills!B24</f>
        <v/>
      </c>
      <c r="C2675">
        <f>Inputs!$B$3&gt;=40</f>
        <v/>
      </c>
      <c r="D2675">
        <f>IF(Skills!C24=1,60+Inputs!$B$25+Inputs!$B$29,IF(Skills!C24=2,90+Inputs!$B$26+Inputs!$B$29,IF(Skills!C24=3,120+Inputs!$B$27+Inputs!$B$29,MAX(0,(Inputs!$B$3-100)*3)+Inputs!$B$28+Inputs!$B$29)))</f>
        <v/>
      </c>
      <c r="E2675">
        <f>INDEX(FactorTable!$B$2:$Y$301, MATCH(ROUND(MIN(300,MAX(1,D2675)),0), FactorTable!$A$2:$A$301,0), Skills!M24+1)</f>
        <v/>
      </c>
      <c r="F2675">
        <f>IF(Skills!N24=TRUE,(Skills!L24/10)*(E2675/1000),Skills!L24/10)+Skills!O24</f>
        <v/>
      </c>
      <c r="G2675">
        <f>Skills!G24*IF(Skills!H24&gt;0,Skills!I24/Skills!H24,1)</f>
        <v/>
      </c>
      <c r="H2675">
        <f>1-(1-Skills!J24/100)^Skills!K24</f>
        <v/>
      </c>
      <c r="I2675" t="inlineStr">
        <is>
          <t>1</t>
        </is>
      </c>
      <c r="J2675" t="inlineStr"/>
      <c r="K2675" t="inlineStr"/>
      <c r="L2675" t="inlineStr"/>
      <c r="M2675" t="inlineStr"/>
      <c r="N2675" t="inlineStr"/>
      <c r="O2675">
        <f>(1-Summary!$B$11)*T2675+Summary!$B$11*V2675</f>
        <v/>
      </c>
      <c r="P2675">
        <f>IF(B2691=0,0,O2675/B2691)</f>
        <v/>
      </c>
      <c r="Q2675" t="n">
        <v>0</v>
      </c>
      <c r="R2675" t="n">
        <v>0</v>
      </c>
      <c r="S2675">
        <f>IFERROR(O2675/N2675,0)</f>
        <v/>
      </c>
      <c r="T2675" t="n">
        <v>0</v>
      </c>
      <c r="V2675" t="n">
        <v>0</v>
      </c>
    </row>
    <row r="2676">
      <c r="A2676">
        <f>Skills!A25</f>
        <v/>
      </c>
      <c r="B2676">
        <f>Skills!B25</f>
        <v/>
      </c>
      <c r="C2676">
        <f>Inputs!$B$3&gt;=72</f>
        <v/>
      </c>
      <c r="D2676">
        <f>IF(Skills!C25=1,60+Inputs!$B$25+Inputs!$B$29,IF(Skills!C25=2,90+Inputs!$B$26+Inputs!$B$29,IF(Skills!C25=3,120+Inputs!$B$27+Inputs!$B$29,MAX(0,(Inputs!$B$3-100)*3)+Inputs!$B$28+Inputs!$B$29)))</f>
        <v/>
      </c>
      <c r="E2676">
        <f>INDEX(FactorTable!$B$2:$Y$301, MATCH(ROUND(MIN(300,MAX(1,D2676)),0), FactorTable!$A$2:$A$301,0), Skills!M25+1)</f>
        <v/>
      </c>
      <c r="F2676">
        <f>IF(Skills!N25=TRUE,(Skills!L25/10)*(E2676/1000),Skills!L25/10)+Skills!O25</f>
        <v/>
      </c>
      <c r="G2676">
        <f>Skills!G25*IF(Skills!H25&gt;0,Skills!I25/Skills!H25,1)</f>
        <v/>
      </c>
      <c r="H2676">
        <f>1-(1-Skills!J25/100)^Skills!K25</f>
        <v/>
      </c>
      <c r="I2676" t="inlineStr">
        <is>
          <t>1</t>
        </is>
      </c>
      <c r="J2676" t="inlineStr"/>
      <c r="K2676" t="inlineStr"/>
      <c r="L2676" t="inlineStr"/>
      <c r="M2676" t="inlineStr"/>
      <c r="N2676" t="inlineStr"/>
      <c r="O2676">
        <f>(1-Summary!$B$11)*T2676+Summary!$B$11*V2676</f>
        <v/>
      </c>
      <c r="P2676">
        <f>IF(B2691=0,0,O2676/B2691)</f>
        <v/>
      </c>
      <c r="Q2676" t="n">
        <v>0</v>
      </c>
      <c r="R2676" t="n">
        <v>0</v>
      </c>
      <c r="S2676">
        <f>IFERROR(O2676/N2676,0)</f>
        <v/>
      </c>
      <c r="T2676" t="n">
        <v>0</v>
      </c>
      <c r="V2676" t="n">
        <v>0</v>
      </c>
    </row>
    <row r="2677">
      <c r="A2677">
        <f>Skills!A26</f>
        <v/>
      </c>
      <c r="B2677">
        <f>Skills!B26</f>
        <v/>
      </c>
      <c r="C2677">
        <f>Inputs!$B$3&gt;=75</f>
        <v/>
      </c>
      <c r="D2677">
        <f>IF(Skills!C26=1,60+Inputs!$B$25+Inputs!$B$29,IF(Skills!C26=2,90+Inputs!$B$26+Inputs!$B$29,IF(Skills!C26=3,120+Inputs!$B$27+Inputs!$B$29,MAX(0,(Inputs!$B$3-100)*3)+Inputs!$B$28+Inputs!$B$29)))</f>
        <v/>
      </c>
      <c r="E2677">
        <f>INDEX(FactorTable!$B$2:$Y$301, MATCH(ROUND(MIN(300,MAX(1,D2677)),0), FactorTable!$A$2:$A$301,0), Skills!M26+1)</f>
        <v/>
      </c>
      <c r="F2677">
        <f>IF(Skills!N26=TRUE,(Skills!L26/10)*(E2677/1000),Skills!L26/10)+Skills!O26</f>
        <v/>
      </c>
      <c r="G2677">
        <f>Skills!G26*IF(Skills!H26&gt;0,Skills!I26/Skills!H26,1)</f>
        <v/>
      </c>
      <c r="H2677">
        <f>1-(1-Skills!J26/100)^Skills!K26</f>
        <v/>
      </c>
      <c r="I2677" t="inlineStr">
        <is>
          <t>1</t>
        </is>
      </c>
      <c r="J2677" t="inlineStr"/>
      <c r="K2677" t="inlineStr"/>
      <c r="L2677" t="inlineStr"/>
      <c r="M2677" t="inlineStr"/>
      <c r="N2677" t="inlineStr"/>
      <c r="O2677">
        <f>(1-Summary!$B$11)*T2677+Summary!$B$11*V2677</f>
        <v/>
      </c>
      <c r="P2677">
        <f>IF(B2691=0,0,O2677/B2691)</f>
        <v/>
      </c>
      <c r="Q2677" t="n">
        <v>0</v>
      </c>
      <c r="R2677" t="n">
        <v>0</v>
      </c>
      <c r="S2677">
        <f>IFERROR(O2677/N2677,0)</f>
        <v/>
      </c>
      <c r="T2677" t="n">
        <v>0</v>
      </c>
      <c r="V2677" t="n">
        <v>0</v>
      </c>
    </row>
    <row r="2678">
      <c r="A2678">
        <f>Skills!A27</f>
        <v/>
      </c>
      <c r="B2678">
        <f>Skills!B27</f>
        <v/>
      </c>
      <c r="C2678">
        <f>Inputs!$B$3&gt;=117</f>
        <v/>
      </c>
      <c r="D2678">
        <f>IF(Skills!C27=1,60+Inputs!$B$25+Inputs!$B$29,IF(Skills!C27=2,90+Inputs!$B$26+Inputs!$B$29,IF(Skills!C27=3,120+Inputs!$B$27+Inputs!$B$29,MAX(0,(Inputs!$B$3-100)*3)+Inputs!$B$28+Inputs!$B$29)))</f>
        <v/>
      </c>
      <c r="E2678">
        <f>INDEX(FactorTable!$B$2:$Y$301, MATCH(ROUND(MIN(300,MAX(1,D2678)),0), FactorTable!$A$2:$A$301,0), Skills!M27+1)</f>
        <v/>
      </c>
      <c r="F2678">
        <f>IF(Skills!N27=TRUE,(Skills!L27/10)*(E2678/1000),Skills!L27/10)+Skills!O27</f>
        <v/>
      </c>
      <c r="G2678">
        <f>Skills!G27*IF(Skills!H27&gt;0,Skills!I27/Skills!H27,1)</f>
        <v/>
      </c>
      <c r="H2678">
        <f>1-(1-Skills!J27/100)^Skills!K27</f>
        <v/>
      </c>
      <c r="I2678" t="inlineStr">
        <is>
          <t>1</t>
        </is>
      </c>
      <c r="J2678" t="inlineStr"/>
      <c r="K2678" t="inlineStr"/>
      <c r="L2678" t="inlineStr"/>
      <c r="M2678" t="inlineStr"/>
      <c r="N2678" t="inlineStr"/>
      <c r="O2678">
        <f>(1-Summary!$B$11)*T2678+Summary!$B$11*V2678</f>
        <v/>
      </c>
      <c r="P2678">
        <f>IF(B2691=0,0,O2678/B2691)</f>
        <v/>
      </c>
      <c r="Q2678" t="n">
        <v>0</v>
      </c>
      <c r="R2678" t="n">
        <v>0</v>
      </c>
      <c r="S2678">
        <f>IFERROR(O2678/N2678,0)</f>
        <v/>
      </c>
      <c r="T2678" t="n">
        <v>0</v>
      </c>
      <c r="V2678" t="n">
        <v>0</v>
      </c>
    </row>
    <row r="2680">
      <c r="A2680" t="inlineStr">
        <is>
          <t>Attack% Bucket Multiplier</t>
        </is>
      </c>
      <c r="B2680">
        <f>(1+(((C2668=TRUE)*F2668)+((C2675=TRUE)*(F2675-Calc!F24))+(IF(ArtifactsInput!$M$21,CHOOSE(ArtifactsInput!$N$21+1,25,30,35,40,45,50)*(IF(OR(Inputs!$B$4="Chapter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81">
      <c r="A2681" t="inlineStr">
        <is>
          <t>Global Crit Rate Bonus %</t>
        </is>
      </c>
      <c r="B2681" t="n">
        <v>0</v>
      </c>
    </row>
    <row r="2682">
      <c r="A2682" t="inlineStr">
        <is>
          <t>Attack Speed Buff Bonus % (unused)</t>
        </is>
      </c>
      <c r="B2682" t="n">
        <v>0</v>
      </c>
    </row>
    <row r="2683">
      <c r="A2683" t="inlineStr">
        <is>
          <t>Actions Per Second</t>
        </is>
      </c>
      <c r="B2683">
        <f>1+MIN(150,150*(1-(1-(Inputs!$B$11+((C2671=TRUE)*(F2671-Calc!F20))+((C2672=TRUE)*(F2672-Calc!F21)))/150)*(1-B2682/150)))/100</f>
        <v/>
      </c>
    </row>
    <row r="2684">
      <c r="A2684" t="inlineStr">
        <is>
          <t>Skill + Buff Cast Rate</t>
        </is>
      </c>
      <c r="B2684">
        <f>IF(AND(Inputs!$B$38&lt;&gt;"pvp",Inputs!$B$43&gt;0),SUMPRODUCT((Skills!E2:E27=TRUE)*(C2653:C2678=TRUE)*R2653:R2678*Skills!F2:F27)/Inputs!$B$43,SUMPRODUCT((Skills!E2:E27=TRUE)*(C2653:C2678=TRUE)*Q2653:Q2678*Skills!F2:F27))</f>
        <v/>
      </c>
    </row>
    <row r="2685">
      <c r="A2685" t="inlineStr">
        <is>
          <t>Eight-Legs Easton Casts Per Second</t>
        </is>
      </c>
      <c r="B2685">
        <f>MAX(0,B2683-B2684)</f>
        <v/>
      </c>
    </row>
    <row r="2686">
      <c r="A2686" t="inlineStr">
        <is>
          <t>Global Critical Damage Bonus % (unused)</t>
        </is>
      </c>
      <c r="B2686" t="n">
        <v>0</v>
      </c>
    </row>
    <row r="2687">
      <c r="A2687" t="inlineStr">
        <is>
          <t>Global Final Damage Bonus % (Jolly Roger only)</t>
        </is>
      </c>
      <c r="B2687">
        <f>((C2669=TRUE)*F2669)</f>
        <v/>
      </c>
    </row>
    <row r="2688">
      <c r="A2688" t="inlineStr">
        <is>
          <t>Buff-Casting Startup Delay (s, fixed-duration only)</t>
        </is>
      </c>
      <c r="B2688">
        <f>IF(AND(Inputs!$B$38&lt;&gt;"pvp",Inputs!$B$43&gt;0),SUMPRODUCT((Skills!T2:T27&gt;0)*(Skills!E2:E27=TRUE)*(C2653:C2678=TRUE))/B2683,0)</f>
        <v/>
      </c>
    </row>
    <row r="2689">
      <c r="A2689" t="inlineStr">
        <is>
          <t>Boss-Only Total DPS (this block's swept value)</t>
        </is>
      </c>
      <c r="B2689">
        <f>SUM(T2653:T2678)</f>
        <v/>
      </c>
    </row>
    <row r="2690">
      <c r="A2690" t="inlineStr">
        <is>
          <t>Normal-Only Total DPS (this block's swept value)</t>
        </is>
      </c>
      <c r="B2690">
        <f>SUM(V2653:V2678)</f>
        <v/>
      </c>
    </row>
    <row r="2691">
      <c r="A2691" s="6" t="inlineStr">
        <is>
          <t>TOTAL DPS</t>
        </is>
      </c>
      <c r="B2691" s="6">
        <f>SUM(O2653:O2678)</f>
        <v/>
      </c>
    </row>
    <row r="2694">
      <c r="A2694" s="6" t="inlineStr">
        <is>
          <t>Stat: Ring of Cycles (Equip)</t>
        </is>
      </c>
    </row>
    <row r="2695">
      <c r="A2695" s="5" t="inlineStr">
        <is>
          <t>Key</t>
        </is>
      </c>
      <c r="B2695" s="5" t="inlineStr">
        <is>
          <t>Name</t>
        </is>
      </c>
      <c r="C2695" s="5" t="inlineStr">
        <is>
          <t>Unlocked</t>
        </is>
      </c>
      <c r="D2695" s="5" t="inlineStr">
        <is>
          <t>InputLevel</t>
        </is>
      </c>
      <c r="E2695" s="5" t="inlineStr">
        <is>
          <t>Factor</t>
        </is>
      </c>
      <c r="F2695" s="5" t="inlineStr">
        <is>
          <t>CoefficientPercent</t>
        </is>
      </c>
      <c r="G2695" s="5" t="inlineStr">
        <is>
          <t>EffectiveHits</t>
        </is>
      </c>
      <c r="H2695" s="5" t="inlineStr">
        <is>
          <t>ProcProbability</t>
        </is>
      </c>
      <c r="I2695" s="5" t="inlineStr">
        <is>
          <t>MapleHeroMultiplier</t>
        </is>
      </c>
      <c r="J2695" s="5" t="inlineStr">
        <is>
          <t>BaseDamage</t>
        </is>
      </c>
      <c r="K2695" s="5" t="inlineStr">
        <is>
          <t>BaseHitDamage</t>
        </is>
      </c>
      <c r="L2695" s="5" t="inlineStr">
        <is>
          <t>NonCritAvg</t>
        </is>
      </c>
      <c r="M2695" s="5" t="inlineStr">
        <is>
          <t>CritAvg</t>
        </is>
      </c>
      <c r="N2695" s="5" t="inlineStr">
        <is>
          <t>ExpectedDamage(perHit)</t>
        </is>
      </c>
      <c r="O2695" s="5" t="inlineStr">
        <is>
          <t>DPS</t>
        </is>
      </c>
      <c r="P2695" s="5" t="inlineStr">
        <is>
          <t>% of Total</t>
        </is>
      </c>
      <c r="Q2695" s="5" t="inlineStr">
        <is>
          <t>InvCooldown</t>
        </is>
      </c>
      <c r="R2695" s="5" t="inlineStr">
        <is>
          <t>CastsInFight</t>
        </is>
      </c>
      <c r="S2695" s="5" t="inlineStr">
        <is>
          <t>HitRate(perSec)</t>
        </is>
      </c>
      <c r="U2695" t="inlineStr">
        <is>
          <t>helpers</t>
        </is>
      </c>
    </row>
    <row r="2696">
      <c r="A2696">
        <f>Skills!A2</f>
        <v/>
      </c>
      <c r="B2696">
        <f>Skills!B2</f>
        <v/>
      </c>
      <c r="C2696">
        <f>Inputs!$B$3&gt;=100</f>
        <v/>
      </c>
      <c r="D2696" t="inlineStr"/>
      <c r="E2696" t="inlineStr"/>
      <c r="F2696">
        <f>U2698+Skills!O2</f>
        <v/>
      </c>
      <c r="G2696">
        <f>Skills!G2*IF(Skills!H2&gt;0,Skills!I2/Skills!H2,1)</f>
        <v/>
      </c>
      <c r="H2696">
        <f>1-(1-Skills!J2/100)^Skills!K2</f>
        <v/>
      </c>
      <c r="I2696" t="inlineStr">
        <is>
          <t>1</t>
        </is>
      </c>
      <c r="J2696">
        <f>((Inputs!$B$6*(1+Inputs!$B$7/100))+(((Inputs!$B$12*(1+Inputs!$B$13/100))-(Inputs!$B$12*(1+Inputs!$B$13/100)))+0.25*(Inputs!$B$14-Inputs!$B$14))*(1+Inputs!$B$7/100))*(F2696/100)</f>
        <v/>
      </c>
      <c r="K2696">
        <f>J2696*(1+((Inputs!$B$12*(1+Inputs!$B$13/100))*0.01+Inputs!$B$14*0.0025)/100)*(1+Inputs!$B$15/100)*(1+Inputs!$B$16/100)*(5000/(6000+Inputs!$B$42*(1-(100*(1-(1-(Inputs!$B$19+0)/100)*(1-CHOOSE(ArtifactsInput!$N$40+1,5,6,7,8,9,10)/100)^(ArtifactsInput!$M$40-ArtifactsInput!$M$40)))/100)))*(1+(Inputs!$B$24+((C2720=TRUE)*(F2720-Calc!F26))+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2717=TRUE)*(F2717-Calc!F23))+((C2721=TRUE)*(F2721-Calc!F27))+(((IF(AND(IF(ArtifactsInput!$M$42,FALSE,TRUE),((Inputs!$B$9+((C2713=TRUE)*(F2713-Calc!F19))+B2724+(ArtifactsInput!$M$24-ArtifactsInput!$M$24)*CHOOSE(ArtifactsInput!$N$24+1,10,12,14,16,18,20)+IF(ArtifactsInput!$M$10,CHOOSE(ArtifactsInput!$N$10+1,15,18,21,24,27,30)*(IF(Inputs!$B$38="pvp",MIN(15,15)/15,IF(AND(Inputs!$B$38&lt;&gt;"pvp",Inputs!$B$43&gt;0),MIN(15,Inputs!$B$43)/(Inputs!$B$43),0))),0)))&gt;=100),MIN(100,((Inputs!$B$9+((C2713=TRUE)*(F2713-Calc!F19))+B2724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2713=TRUE)*(F2713-Calc!F19))+B2724+(ArtifactsInput!$M$24-ArtifactsInput!$M$24)*CHOOSE(ArtifactsInput!$N$24+1,10,12,14,16,18,20)+IF(ArtifactsInput!$M$10,CHOOSE(ArtifactsInput!$N$10+1,15,18,21,24,27,30)*(IF(Inputs!$B$38="pvp",MIN(15,15)/15,IF(AND(Inputs!$B$38&lt;&gt;"pvp",Inputs!$B$43&gt;0),MIN(15,Inputs!$B$43)/(Inputs!$B$43),0))),0)))&gt;=100),CHOOSE(ArtifactsInput!$N$42+1,40,48,56,64,72,80),0))))/100)*((1+(((C2711=TRUE)*F2711)+((C2718=TRUE)*(F2718-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2696)</f>
        <v/>
      </c>
      <c r="L2696">
        <f>K2696*(MIN(Inputs!$B$22+((C2716=TRUE)*(F2716-Calc!F22)),(Inputs!$B$23+0+(IF(ArtifactsInput!$M$15,CHOOSE(ArtifactsInput!$N$15+1,25,30,35,40,45,50)/100*(Inputs!$B$11-Inputs!$B$11),0))))/100+(Inputs!$B$23+0+(IF(ArtifactsInput!$M$15,CHOOSE(ArtifactsInput!$N$15+1,25,30,35,40,45,50)/100*(Inputs!$B$11-Inputs!$B$11),0)))/100)/2</f>
        <v/>
      </c>
      <c r="M2696">
        <f>L2696*(1+(Inputs!$B$10+((C2719=TRUE)*(F2719-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6">
        <f>L2696*(1-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2696*(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6">
        <f>(1-Summary!$B$11)*T2696+Summary!$B$11*V2696</f>
        <v/>
      </c>
      <c r="P2696">
        <f>IF(B2734=0,0,O2696/B2734)</f>
        <v/>
      </c>
      <c r="Q2696" t="n">
        <v>0</v>
      </c>
      <c r="R2696" t="n">
        <v>0</v>
      </c>
      <c r="S2696">
        <f>IFERROR(O2696/N2696,0)</f>
        <v/>
      </c>
      <c r="T2696">
        <f>IF(C2696,(Skills!G2*N2696*B2728)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2696*(1-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2696*(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2696*(1-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2696*(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6">
        <f>MAX(0,(Inputs!$B$3-100)*3)+Inputs!$B$28+Inputs!$B$29</f>
        <v/>
      </c>
      <c r="V2696">
        <f>IF(C2696,(Skills!G2*N2696*B2728)*IF(Inputs!$B$38="pvp",1,(1+(Inputs!$B$21+Skills!Q2+(IF(ArtifactsInput!$M$33,CHOOSE(ArtifactsInput!$N$33+1,30,36,42,48,54,60),0))+(IF(AND(ArtifactsInput!$M$35,Inputs!$B$4&lt;&gt;"Chapter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7">
      <c r="A2697">
        <f>Skills!A3</f>
        <v/>
      </c>
      <c r="B2697">
        <f>Skills!B3</f>
        <v/>
      </c>
      <c r="C2697">
        <f>Inputs!$B$3&gt;=35</f>
        <v/>
      </c>
      <c r="D2697">
        <f>IF(Skills!C3=1,60+Inputs!$B$25+Inputs!$B$29,IF(Skills!C3=2,90+Inputs!$B$26+Inputs!$B$29,IF(Skills!C3=3,120+Inputs!$B$27+Inputs!$B$29,MAX(0,(Inputs!$B$3-100)*3)+Inputs!$B$28+Inputs!$B$29)))</f>
        <v/>
      </c>
      <c r="E2697">
        <f>INDEX(FactorTable!$B$2:$Y$301, MATCH(ROUND(MIN(300,MAX(1,D2697)),0), FactorTable!$A$2:$A$301,0), Skills!M3+1)</f>
        <v/>
      </c>
      <c r="F2697">
        <f>IF(Skills!N3=TRUE,(Skills!L3/10)*(E2697/1000),Skills!L3/10)+Skills!O3</f>
        <v/>
      </c>
      <c r="G2697">
        <f>Skills!G3*IF(Skills!H3&gt;0,Skills!I3/Skills!H3,1)</f>
        <v/>
      </c>
      <c r="H2697">
        <f>1-(1-Skills!J3/100)^Skills!K3</f>
        <v/>
      </c>
      <c r="I2697" t="inlineStr">
        <is>
          <t>1</t>
        </is>
      </c>
      <c r="J2697">
        <f>((Inputs!$B$6*(1+Inputs!$B$7/100))+(((Inputs!$B$12*(1+Inputs!$B$13/100))-(Inputs!$B$12*(1+Inputs!$B$13/100)))+0.25*(Inputs!$B$14-Inputs!$B$14))*(1+Inputs!$B$7/100))*(F2697/100)</f>
        <v/>
      </c>
      <c r="K2697">
        <f>J2697*(1+((Inputs!$B$12*(1+Inputs!$B$13/100))*0.01+Inputs!$B$14*0.0025)/100)*(1+Inputs!$B$15/100)*(1+Inputs!$B$16/100)*(5000/(6000+Inputs!$B$42*(1-(100*(1-(1-(Inputs!$B$19+0)/100)*(1-CHOOSE(ArtifactsInput!$N$40+1,5,6,7,8,9,10)/100)^(ArtifactsInput!$M$40-ArtifactsInput!$M$40)))/100)))*(1+(Inputs!$B$24+((C2720=TRUE)*(F2720-Calc!F26))+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2709=TRUE,F2709,0)/100)*(1+(IF(Skills!A3="EIGHT_LEGS_EASTON",Inputs!$B$17+((C2717=TRUE)*(F2717-Calc!F23))+((C2721=TRUE)*(F2721-Calc!F27))+(((IF(AND(IF(ArtifactsInput!$M$42,FALSE,TRUE),((Inputs!$B$9+((C2713=TRUE)*(F2713-Calc!F19))+B2724+(ArtifactsInput!$M$24-ArtifactsInput!$M$24)*CHOOSE(ArtifactsInput!$N$24+1,10,12,14,16,18,20)+IF(ArtifactsInput!$M$10,CHOOSE(ArtifactsInput!$N$10+1,15,18,21,24,27,30)*(IF(Inputs!$B$38="pvp",MIN(15,15)/15,IF(AND(Inputs!$B$38&lt;&gt;"pvp",Inputs!$B$43&gt;0),MIN(15,Inputs!$B$43)/(Inputs!$B$43),0))),0)))&gt;=100),MIN(100,((Inputs!$B$9+((C2713=TRUE)*(F2713-Calc!F19))+B2724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2713=TRUE)*(F2713-Calc!F19))+B2724+(ArtifactsInput!$M$24-ArtifactsInput!$M$24)*CHOOSE(ArtifactsInput!$N$24+1,10,12,14,16,18,20)+IF(ArtifactsInput!$M$10,CHOOSE(ArtifactsInput!$N$10+1,15,18,21,24,27,30)*(IF(Inputs!$B$38="pvp",MIN(15,15)/15,IF(AND(Inputs!$B$38&lt;&gt;"pvp",Inputs!$B$43&gt;0),MIN(15,Inputs!$B$43)/(Inputs!$B$43),0))),0)))&gt;=100),CHOOSE(ArtifactsInput!$N$42+1,40,48,56,64,72,80),0))))/100)*((1+(((C2711=TRUE)*F2711)+((C2718=TRUE)*(F2718-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2697)</f>
        <v/>
      </c>
      <c r="L2697">
        <f>K2697*(MIN(Inputs!$B$22+((C2716=TRUE)*(F2716-Calc!F22)),(Inputs!$B$23+0+(IF(ArtifactsInput!$M$15,CHOOSE(ArtifactsInput!$N$15+1,25,30,35,40,45,50)/100*(Inputs!$B$11-Inputs!$B$11),0))))/100+(Inputs!$B$23+0+(IF(ArtifactsInput!$M$15,CHOOSE(ArtifactsInput!$N$15+1,25,30,35,40,45,50)/100*(Inputs!$B$11-Inputs!$B$11),0)))/100)/2</f>
        <v/>
      </c>
      <c r="M2697">
        <f>L2697*(1+(Inputs!$B$10+((C2719=TRUE)*(F2719-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7">
        <f>L2697*(1-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2697*(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7">
        <f>(1-Summary!$B$11)*T2697+Summary!$B$11*V2697</f>
        <v/>
      </c>
      <c r="P2697">
        <f>IF(B2734=0,0,O2697/B2734)</f>
        <v/>
      </c>
      <c r="Q2697">
        <f>IFERROR(1/(IF(Inputs!$B$38="pvp",15,MAX(0.1,Skills!D3-IF(Skills!E3=TRUE,Inputs!$B$32,0)))*(1-IF(AND(ArtifactsInput!$M$27,Inputs!$B$4="Chapter Hunt"),CHOOSE(ArtifactsInput!$N$27+1,20,24,28,32,36,40),0)/100)),0)</f>
        <v/>
      </c>
      <c r="R2697">
        <f>IF(AND(Inputs!$B$38&lt;&gt;"pvp",Inputs!$B$43&gt;0),IF(MAX(0,Inputs!$B$43-B2731)&lt;=0,0,(INT(MAX(0,Inputs!$B$43-B2731)/(IF(Inputs!$B$38="pvp",15,MAX(0.1,Skills!D3-IF(Skills!E3=TRUE,Inputs!$B$32,0)))*(1-IF(AND(ArtifactsInput!$M$27,Inputs!$B$4="Chapter Hunt"),CHOOSE(ArtifactsInput!$N$27+1,20,24,28,32,36,40),0)/100)))+1)),0)</f>
        <v/>
      </c>
      <c r="S2697">
        <f>IFERROR(O2697/N2697,0)</f>
        <v/>
      </c>
      <c r="T2697">
        <f>IF(C2697,(H2697*N2697*IF(AND(Inputs!$B$38&lt;&gt;"pvp",Inputs!$B$43&gt;0),((Skills!G3*((R2697-1)*IF(Skills!H3&gt;0,Skills!I3/Skills!H3,1)+IF(Skills!H3&gt;0,MIN(Skills!I3,MAX(0,MAX(0,Inputs!$B$43-B2731)-((R2697-1)*(IF(Inputs!$B$38="pvp",15,MAX(0.1,Skills!D3-IF(Skills!E3=TRUE,Inputs!$B$32,0)))*(1-IF(AND(ArtifactsInput!$M$27,Inputs!$B$4="Chapter Hunt"),CHOOSE(ArtifactsInput!$N$27+1,20,24,28,32,36,40),0)/100)))))/Skills!H3,1)))/Inputs!$B$43),G2697*Q2697)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2697*(1-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2697*(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2697*(1-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2697*(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7">
        <f>INDEX(FactorTable!$B$2:$Y$301, MATCH(ROUND(MIN(300,MAX(1,U2696)),0), FactorTable!$A$2:$A$301,0), 22)</f>
        <v/>
      </c>
      <c r="V2697">
        <f>IF(C2697,(H2697*N2697*IF(AND(Inputs!$B$38&lt;&gt;"pvp",Inputs!$B$43&gt;0),((Skills!G3*((R2697-1)*IF(Skills!H3&gt;0,Skills!I3/Skills!H3,1)+IF(Skills!H3&gt;0,MIN(Skills!I3,MAX(0,MAX(0,Inputs!$B$43-B2731)-((R2697-1)*(IF(Inputs!$B$38="pvp",15,MAX(0.1,Skills!D3-IF(Skills!E3=TRUE,Inputs!$B$32,0)))*(1-IF(AND(ArtifactsInput!$M$27,Inputs!$B$4="Chapter Hunt"),CHOOSE(ArtifactsInput!$N$27+1,20,24,28,32,36,40),0)/100)))))/Skills!H3,1)))/Inputs!$B$43),G2697*Q2697))*IF(Inputs!$B$38="pvp",1,(1+(Inputs!$B$21+Skills!Q3+(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8">
      <c r="A2698">
        <f>Skills!A4</f>
        <v/>
      </c>
      <c r="B2698">
        <f>Skills!B4</f>
        <v/>
      </c>
      <c r="C2698">
        <f>Inputs!$B$3&gt;=40</f>
        <v/>
      </c>
      <c r="D2698">
        <f>IF(Skills!C4=1,60+Inputs!$B$25+Inputs!$B$29,IF(Skills!C4=2,90+Inputs!$B$26+Inputs!$B$29,IF(Skills!C4=3,120+Inputs!$B$27+Inputs!$B$29,MAX(0,(Inputs!$B$3-100)*3)+Inputs!$B$28+Inputs!$B$29)))</f>
        <v/>
      </c>
      <c r="E2698">
        <f>INDEX(FactorTable!$B$2:$Y$301, MATCH(ROUND(MIN(300,MAX(1,D2698)),0), FactorTable!$A$2:$A$301,0), Skills!M4+1)</f>
        <v/>
      </c>
      <c r="F2698">
        <f>IF(Skills!N4=TRUE,(Skills!L4/10)*(E2698/1000),Skills!L4/10)+Skills!O4</f>
        <v/>
      </c>
      <c r="G2698">
        <f>Skills!G4*IF(Skills!H4&gt;0,Skills!I4/Skills!H4,1)</f>
        <v/>
      </c>
      <c r="H2698">
        <f>1-(1-Skills!J4/100)^Skills!K4</f>
        <v/>
      </c>
      <c r="I2698" t="inlineStr">
        <is>
          <t>1</t>
        </is>
      </c>
      <c r="J2698">
        <f>((Inputs!$B$6*(1+Inputs!$B$7/100))+(((Inputs!$B$12*(1+Inputs!$B$13/100))-(Inputs!$B$12*(1+Inputs!$B$13/100)))+0.25*(Inputs!$B$14-Inputs!$B$14))*(1+Inputs!$B$7/100))*(F2698/100)</f>
        <v/>
      </c>
      <c r="K2698">
        <f>J2698*(1+((Inputs!$B$12*(1+Inputs!$B$13/100))*0.01+Inputs!$B$14*0.0025)/100)*(1+Inputs!$B$15/100)*(1+Inputs!$B$16/100)*(5000/(6000+Inputs!$B$42*(1-(100*(1-(1-(Inputs!$B$19+0)/100)*(1-CHOOSE(ArtifactsInput!$N$40+1,5,6,7,8,9,10)/100)^(ArtifactsInput!$M$40-ArtifactsInput!$M$40)))/100)))*(1+(Inputs!$B$24+((C2720=TRUE)*(F2720-Calc!F26))+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2710=TRUE,F2710,0)/100)*(1+(IF(Skills!A4="EIGHT_LEGS_EASTON",Inputs!$B$17+((C2717=TRUE)*(F2717-Calc!F23))+((C2721=TRUE)*(F2721-Calc!F27))+(((IF(AND(IF(ArtifactsInput!$M$42,FALSE,TRUE),((Inputs!$B$9+((C2713=TRUE)*(F2713-Calc!F19))+B2724+(ArtifactsInput!$M$24-ArtifactsInput!$M$24)*CHOOSE(ArtifactsInput!$N$24+1,10,12,14,16,18,20)+IF(ArtifactsInput!$M$10,CHOOSE(ArtifactsInput!$N$10+1,15,18,21,24,27,30)*(IF(Inputs!$B$38="pvp",MIN(15,15)/15,IF(AND(Inputs!$B$38&lt;&gt;"pvp",Inputs!$B$43&gt;0),MIN(15,Inputs!$B$43)/(Inputs!$B$43),0))),0)))&gt;=100),MIN(100,((Inputs!$B$9+((C2713=TRUE)*(F2713-Calc!F19))+B2724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2713=TRUE)*(F2713-Calc!F19))+B2724+(ArtifactsInput!$M$24-ArtifactsInput!$M$24)*CHOOSE(ArtifactsInput!$N$24+1,10,12,14,16,18,20)+IF(ArtifactsInput!$M$10,CHOOSE(ArtifactsInput!$N$10+1,15,18,21,24,27,30)*(IF(Inputs!$B$38="pvp",MIN(15,15)/15,IF(AND(Inputs!$B$38&lt;&gt;"pvp",Inputs!$B$43&gt;0),MIN(15,Inputs!$B$43)/(Inputs!$B$43),0))),0)))&gt;=100),CHOOSE(ArtifactsInput!$N$42+1,40,48,56,64,72,80),0))))/100)*((1+(((C2711=TRUE)*F2711)+((C2718=TRUE)*(F2718-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2698)</f>
        <v/>
      </c>
      <c r="L2698">
        <f>K2698*(MIN(Inputs!$B$22+((C2716=TRUE)*(F2716-Calc!F22)),(Inputs!$B$23+0+(IF(ArtifactsInput!$M$15,CHOOSE(ArtifactsInput!$N$15+1,25,30,35,40,45,50)/100*(Inputs!$B$11-Inputs!$B$11),0))))/100+(Inputs!$B$23+0+(IF(ArtifactsInput!$M$15,CHOOSE(ArtifactsInput!$N$15+1,25,30,35,40,45,50)/100*(Inputs!$B$11-Inputs!$B$11),0)))/100)/2</f>
        <v/>
      </c>
      <c r="M2698">
        <f>L2698*(1+(Inputs!$B$10+((C2719=TRUE)*(F2719-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8">
        <f>L2698*(1-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2698*(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8">
        <f>(1-Summary!$B$11)*T2698+Summary!$B$11*V2698</f>
        <v/>
      </c>
      <c r="P2698">
        <f>IF(B2734=0,0,O2698/B2734)</f>
        <v/>
      </c>
      <c r="Q2698">
        <f>IFERROR(1/(IF(Inputs!$B$38="pvp",15,MAX(0.1,Skills!D4-IF(Skills!E4=TRUE,Inputs!$B$32,0)))*(1-IF(AND(ArtifactsInput!$M$27,Inputs!$B$4="Chapter Hunt"),CHOOSE(ArtifactsInput!$N$27+1,20,24,28,32,36,40),0)/100)),0)</f>
        <v/>
      </c>
      <c r="R2698">
        <f>IF(AND(Inputs!$B$38&lt;&gt;"pvp",Inputs!$B$43&gt;0),IF(MAX(0,Inputs!$B$43-B2731)&lt;=0,0,(INT(MAX(0,Inputs!$B$43-B2731)/(IF(Inputs!$B$38="pvp",15,MAX(0.1,Skills!D4-IF(Skills!E4=TRUE,Inputs!$B$32,0)))*(1-IF(AND(ArtifactsInput!$M$27,Inputs!$B$4="Chapter Hunt"),CHOOSE(ArtifactsInput!$N$27+1,20,24,28,32,36,40),0)/100)))+1)),0)</f>
        <v/>
      </c>
      <c r="S2698">
        <f>IFERROR(O2698/N2698,0)</f>
        <v/>
      </c>
      <c r="T2698">
        <f>IF(C2698,(H2698*N2698*IF(AND(Inputs!$B$38&lt;&gt;"pvp",Inputs!$B$43&gt;0),((Skills!G4*((R2698-1)*IF(Skills!H4&gt;0,Skills!I4/Skills!H4,1)+IF(Skills!H4&gt;0,MIN(Skills!I4,MAX(0,MAX(0,Inputs!$B$43-B2731)-((R2698-1)*(IF(Inputs!$B$38="pvp",15,MAX(0.1,Skills!D4-IF(Skills!E4=TRUE,Inputs!$B$32,0)))*(1-IF(AND(ArtifactsInput!$M$27,Inputs!$B$4="Chapter Hunt"),CHOOSE(ArtifactsInput!$N$27+1,20,24,28,32,36,40),0)/100)))))/Skills!H4,1)))/Inputs!$B$43),G2698*Q2698)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2698*(1-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2698*(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2698*(1-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2698*(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8">
        <f>290*U2697/1000</f>
        <v/>
      </c>
      <c r="V2698">
        <f>IF(C2698,(H2698*N2698*IF(AND(Inputs!$B$38&lt;&gt;"pvp",Inputs!$B$43&gt;0),((Skills!G4*((R2698-1)*IF(Skills!H4&gt;0,Skills!I4/Skills!H4,1)+IF(Skills!H4&gt;0,MIN(Skills!I4,MAX(0,MAX(0,Inputs!$B$43-B2731)-((R2698-1)*(IF(Inputs!$B$38="pvp",15,MAX(0.1,Skills!D4-IF(Skills!E4=TRUE,Inputs!$B$32,0)))*(1-IF(AND(ArtifactsInput!$M$27,Inputs!$B$4="Chapter Hunt"),CHOOSE(ArtifactsInput!$N$27+1,20,24,28,32,36,40),0)/100)))))/Skills!H4,1)))/Inputs!$B$43),G2698*Q2698))*IF(Inputs!$B$38="pvp",1,(1+(Inputs!$B$21+Skills!Q4+(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9">
      <c r="A2699">
        <f>Skills!A5</f>
        <v/>
      </c>
      <c r="B2699">
        <f>Skills!B5</f>
        <v/>
      </c>
      <c r="C2699">
        <f>Inputs!$B$3&gt;=45</f>
        <v/>
      </c>
      <c r="D2699">
        <f>IF(Skills!C5=1,60+Inputs!$B$25+Inputs!$B$29,IF(Skills!C5=2,90+Inputs!$B$26+Inputs!$B$29,IF(Skills!C5=3,120+Inputs!$B$27+Inputs!$B$29,MAX(0,(Inputs!$B$3-100)*3)+Inputs!$B$28+Inputs!$B$29)))</f>
        <v/>
      </c>
      <c r="E2699">
        <f>INDEX(FactorTable!$B$2:$Y$301, MATCH(ROUND(MIN(300,MAX(1,D2699)),0), FactorTable!$A$2:$A$301,0), Skills!M5+1)</f>
        <v/>
      </c>
      <c r="F2699">
        <f>IF(Skills!N5=TRUE,(Skills!L5/10)*(E2699/1000),Skills!L5/10)+Skills!O5</f>
        <v/>
      </c>
      <c r="G2699">
        <f>Skills!G5*IF(Skills!H5&gt;0,Skills!I5/Skills!H5,1)</f>
        <v/>
      </c>
      <c r="H2699">
        <f>1-(1-Skills!J5/100)^Skills!K5</f>
        <v/>
      </c>
      <c r="I2699" t="inlineStr">
        <is>
          <t>1</t>
        </is>
      </c>
      <c r="J2699">
        <f>((Inputs!$B$6*(1+Inputs!$B$7/100))+(((Inputs!$B$12*(1+Inputs!$B$13/100))-(Inputs!$B$12*(1+Inputs!$B$13/100)))+0.25*(Inputs!$B$14-Inputs!$B$14))*(1+Inputs!$B$7/100))*(F2699/100)</f>
        <v/>
      </c>
      <c r="K2699">
        <f>J2699*(1+((Inputs!$B$12*(1+Inputs!$B$13/100))*0.01+Inputs!$B$14*0.0025)/100)*(1+Inputs!$B$15/100)*(1+Inputs!$B$16/100)*(5000/(6000+Inputs!$B$42*(1-(100*(1-(1-(Inputs!$B$19+0)/100)*(1-CHOOSE(ArtifactsInput!$N$40+1,5,6,7,8,9,10)/100)^(ArtifactsInput!$M$40-ArtifactsInput!$M$40)))/100)))*(1+(Inputs!$B$24+((C2720=TRUE)*(F2720-Calc!F26))+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2710=TRUE,F2710,0)/100)*(1+(IF(Skills!A5="EIGHT_LEGS_EASTON",Inputs!$B$17+((C2717=TRUE)*(F2717-Calc!F23))+((C2721=TRUE)*(F2721-Calc!F27))+(((IF(AND(IF(ArtifactsInput!$M$42,FALSE,TRUE),((Inputs!$B$9+((C2713=TRUE)*(F2713-Calc!F19))+B2724+(ArtifactsInput!$M$24-ArtifactsInput!$M$24)*CHOOSE(ArtifactsInput!$N$24+1,10,12,14,16,18,20)+IF(ArtifactsInput!$M$10,CHOOSE(ArtifactsInput!$N$10+1,15,18,21,24,27,30)*(IF(Inputs!$B$38="pvp",MIN(15,15)/15,IF(AND(Inputs!$B$38&lt;&gt;"pvp",Inputs!$B$43&gt;0),MIN(15,Inputs!$B$43)/(Inputs!$B$43),0))),0)))&gt;=100),MIN(100,((Inputs!$B$9+((C2713=TRUE)*(F2713-Calc!F19))+B2724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2713=TRUE)*(F2713-Calc!F19))+B2724+(ArtifactsInput!$M$24-ArtifactsInput!$M$24)*CHOOSE(ArtifactsInput!$N$24+1,10,12,14,16,18,20)+IF(ArtifactsInput!$M$10,CHOOSE(ArtifactsInput!$N$10+1,15,18,21,24,27,30)*(IF(Inputs!$B$38="pvp",MIN(15,15)/15,IF(AND(Inputs!$B$38&lt;&gt;"pvp",Inputs!$B$43&gt;0),MIN(15,Inputs!$B$43)/(Inputs!$B$43),0))),0)))&gt;=100),CHOOSE(ArtifactsInput!$N$42+1,40,48,56,64,72,80),0))))/100)*((1+(((C2711=TRUE)*F2711)+((C2718=TRUE)*(F2718-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2699)</f>
        <v/>
      </c>
      <c r="L2699">
        <f>K2699*(MIN(Inputs!$B$22+((C2716=TRUE)*(F2716-Calc!F22)),(Inputs!$B$23+0+(IF(ArtifactsInput!$M$15,CHOOSE(ArtifactsInput!$N$15+1,25,30,35,40,45,50)/100*(Inputs!$B$11-Inputs!$B$11),0))))/100+(Inputs!$B$23+0+(IF(ArtifactsInput!$M$15,CHOOSE(ArtifactsInput!$N$15+1,25,30,35,40,45,50)/100*(Inputs!$B$11-Inputs!$B$11),0)))/100)/2</f>
        <v/>
      </c>
      <c r="M2699">
        <f>L2699*(1+(Inputs!$B$10+((C2719=TRUE)*(F2719-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9">
        <f>L2699*(1-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2699*(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9">
        <f>(1-Summary!$B$11)*T2699+Summary!$B$11*V2699</f>
        <v/>
      </c>
      <c r="P2699">
        <f>IF(B2734=0,0,O2699/B2734)</f>
        <v/>
      </c>
      <c r="Q2699">
        <f>IFERROR(1/(IF(Inputs!$B$38="pvp",15,MAX(0.1,Skills!D5-IF(Skills!E5=TRUE,Inputs!$B$32,0)))*(1-IF(AND(ArtifactsInput!$M$27,Inputs!$B$4="Chapter Hunt"),CHOOSE(ArtifactsInput!$N$27+1,20,24,28,32,36,40),0)/100)),0)</f>
        <v/>
      </c>
      <c r="R2699">
        <f>IF(AND(Inputs!$B$38&lt;&gt;"pvp",Inputs!$B$43&gt;0),IF(MAX(0,Inputs!$B$43-B2731)&lt;=0,0,(INT(MAX(0,Inputs!$B$43-B2731)/(IF(Inputs!$B$38="pvp",15,MAX(0.1,Skills!D5-IF(Skills!E5=TRUE,Inputs!$B$32,0)))*(1-IF(AND(ArtifactsInput!$M$27,Inputs!$B$4="Chapter Hunt"),CHOOSE(ArtifactsInput!$N$27+1,20,24,28,32,36,40),0)/100)))+1)),0)</f>
        <v/>
      </c>
      <c r="S2699">
        <f>IFERROR(O2699/N2699,0)</f>
        <v/>
      </c>
      <c r="T2699">
        <f>IF(C2699,(H2699*N2699*IF(AND(Inputs!$B$38&lt;&gt;"pvp",Inputs!$B$43&gt;0),((Skills!G5*((R2699-1)*IF(Skills!H5&gt;0,Skills!I5/Skills!H5,1)+IF(Skills!H5&gt;0,MIN(Skills!I5,MAX(0,MAX(0,Inputs!$B$43-B2731)-((R2699-1)*(IF(Inputs!$B$38="pvp",15,MAX(0.1,Skills!D5-IF(Skills!E5=TRUE,Inputs!$B$32,0)))*(1-IF(AND(ArtifactsInput!$M$27,Inputs!$B$4="Chapter Hunt"),CHOOSE(ArtifactsInput!$N$27+1,20,24,28,32,36,40),0)/100)))))/Skills!H5,1)))/Inputs!$B$43),G2699*Q2699)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2699*(1-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2699*(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2699*(1-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2699*(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9">
        <f>IF(C2699,(H2699*N2699*IF(AND(Inputs!$B$38&lt;&gt;"pvp",Inputs!$B$43&gt;0),((Skills!G5*((R2699-1)*IF(Skills!H5&gt;0,Skills!I5/Skills!H5,1)+IF(Skills!H5&gt;0,MIN(Skills!I5,MAX(0,MAX(0,Inputs!$B$43-B2731)-((R2699-1)*(IF(Inputs!$B$38="pvp",15,MAX(0.1,Skills!D5-IF(Skills!E5=TRUE,Inputs!$B$32,0)))*(1-IF(AND(ArtifactsInput!$M$27,Inputs!$B$4="Chapter Hunt"),CHOOSE(ArtifactsInput!$N$27+1,20,24,28,32,36,40),0)/100)))))/Skills!H5,1)))/Inputs!$B$43),G2699*Q2699))*IF(Inputs!$B$38="pvp",1,(1+(Inputs!$B$21+Skills!Q5+(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0">
      <c r="A2700">
        <f>Skills!A6</f>
        <v/>
      </c>
      <c r="B2700">
        <f>Skills!B6</f>
        <v/>
      </c>
      <c r="C2700">
        <f>Inputs!$B$3&gt;=63</f>
        <v/>
      </c>
      <c r="D2700">
        <f>IF(Skills!C6=1,60+Inputs!$B$25+Inputs!$B$29,IF(Skills!C6=2,90+Inputs!$B$26+Inputs!$B$29,IF(Skills!C6=3,120+Inputs!$B$27+Inputs!$B$29,MAX(0,(Inputs!$B$3-100)*3)+Inputs!$B$28+Inputs!$B$29)))</f>
        <v/>
      </c>
      <c r="E2700">
        <f>INDEX(FactorTable!$B$2:$Y$301, MATCH(ROUND(MIN(300,MAX(1,D2700)),0), FactorTable!$A$2:$A$301,0), Skills!M6+1)</f>
        <v/>
      </c>
      <c r="F2700">
        <f>IF(Skills!N6=TRUE,(Skills!L6/10)*(E2700/1000),Skills!L6/10)+Skills!O6</f>
        <v/>
      </c>
      <c r="G2700">
        <f>Skills!G6*IF(Skills!H6&gt;0,Skills!I6/Skills!H6,1)</f>
        <v/>
      </c>
      <c r="H2700">
        <f>1-(1-Skills!J6/100)^Skills!K6</f>
        <v/>
      </c>
      <c r="I2700" t="inlineStr">
        <is>
          <t>1</t>
        </is>
      </c>
      <c r="J2700">
        <f>((Inputs!$B$6*(1+Inputs!$B$7/100))+(((Inputs!$B$12*(1+Inputs!$B$13/100))-(Inputs!$B$12*(1+Inputs!$B$13/100)))+0.25*(Inputs!$B$14-Inputs!$B$14))*(1+Inputs!$B$7/100))*(F2700/100)</f>
        <v/>
      </c>
      <c r="K2700">
        <f>J2700*(1+((Inputs!$B$12*(1+Inputs!$B$13/100))*0.01+Inputs!$B$14*0.0025)/100)*(1+Inputs!$B$15/100)*(1+Inputs!$B$16/100)*(5000/(6000+Inputs!$B$42*(1-(100*(1-(1-(Inputs!$B$19+0)/100)*(1-CHOOSE(ArtifactsInput!$N$40+1,5,6,7,8,9,10)/100)^(ArtifactsInput!$M$40-ArtifactsInput!$M$40)))/100)))*(1+(Inputs!$B$24+((C2720=TRUE)*(F2720-Calc!F26))+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2709=TRUE,F2709,0)/100)*(1+(IF(Skills!A6="EIGHT_LEGS_EASTON",Inputs!$B$17+((C2717=TRUE)*(F2717-Calc!F23))+((C2721=TRUE)*(F2721-Calc!F27))+(((IF(AND(IF(ArtifactsInput!$M$42,FALSE,TRUE),((Inputs!$B$9+((C2713=TRUE)*(F2713-Calc!F19))+B2724+(ArtifactsInput!$M$24-ArtifactsInput!$M$24)*CHOOSE(ArtifactsInput!$N$24+1,10,12,14,16,18,20)+IF(ArtifactsInput!$M$10,CHOOSE(ArtifactsInput!$N$10+1,15,18,21,24,27,30)*(IF(Inputs!$B$38="pvp",MIN(15,15)/15,IF(AND(Inputs!$B$38&lt;&gt;"pvp",Inputs!$B$43&gt;0),MIN(15,Inputs!$B$43)/(Inputs!$B$43),0))),0)))&gt;=100),MIN(100,((Inputs!$B$9+((C2713=TRUE)*(F2713-Calc!F19))+B2724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2713=TRUE)*(F2713-Calc!F19))+B2724+(ArtifactsInput!$M$24-ArtifactsInput!$M$24)*CHOOSE(ArtifactsInput!$N$24+1,10,12,14,16,18,20)+IF(ArtifactsInput!$M$10,CHOOSE(ArtifactsInput!$N$10+1,15,18,21,24,27,30)*(IF(Inputs!$B$38="pvp",MIN(15,15)/15,IF(AND(Inputs!$B$38&lt;&gt;"pvp",Inputs!$B$43&gt;0),MIN(15,Inputs!$B$43)/(Inputs!$B$43),0))),0)))&gt;=100),CHOOSE(ArtifactsInput!$N$42+1,40,48,56,64,72,80),0))))/100)*((1+(((C2711=TRUE)*F2711)+((C2718=TRUE)*(F2718-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2700)</f>
        <v/>
      </c>
      <c r="L2700">
        <f>K2700*(MIN(Inputs!$B$22+((C2716=TRUE)*(F2716-Calc!F22)),(Inputs!$B$23+0+(IF(ArtifactsInput!$M$15,CHOOSE(ArtifactsInput!$N$15+1,25,30,35,40,45,50)/100*(Inputs!$B$11-Inputs!$B$11),0))))/100+(Inputs!$B$23+0+(IF(ArtifactsInput!$M$15,CHOOSE(ArtifactsInput!$N$15+1,25,30,35,40,45,50)/100*(Inputs!$B$11-Inputs!$B$11),0)))/100)/2</f>
        <v/>
      </c>
      <c r="M2700">
        <f>L2700*(1+(Inputs!$B$10+((C2719=TRUE)*(F2719-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0">
        <f>L2700*(1-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2700*(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0">
        <f>(1-Summary!$B$11)*T2700+Summary!$B$11*V2700</f>
        <v/>
      </c>
      <c r="P2700">
        <f>IF(B2734=0,0,O2700/B2734)</f>
        <v/>
      </c>
      <c r="Q2700">
        <f>IFERROR(1/(IF(Inputs!$B$38="pvp",15,MAX(0.1,Skills!D6-IF(Skills!E6=TRUE,Inputs!$B$32,0)))*(1-IF(AND(ArtifactsInput!$M$27,Inputs!$B$4="Chapter Hunt"),CHOOSE(ArtifactsInput!$N$27+1,20,24,28,32,36,40),0)/100)),0)</f>
        <v/>
      </c>
      <c r="R2700">
        <f>IF(AND(Inputs!$B$38&lt;&gt;"pvp",Inputs!$B$43&gt;0),IF(MAX(0,Inputs!$B$43-B2731)&lt;=0,0,(INT(MAX(0,Inputs!$B$43-B2731)/(IF(Inputs!$B$38="pvp",15,MAX(0.1,Skills!D6-IF(Skills!E6=TRUE,Inputs!$B$32,0)))*(1-IF(AND(ArtifactsInput!$M$27,Inputs!$B$4="Chapter Hunt"),CHOOSE(ArtifactsInput!$N$27+1,20,24,28,32,36,40),0)/100)))+1)),0)</f>
        <v/>
      </c>
      <c r="S2700">
        <f>IFERROR(O2700/N2700,0)</f>
        <v/>
      </c>
      <c r="T2700">
        <f>IF(C2700,(H2700*N2700*IF(AND(Inputs!$B$38&lt;&gt;"pvp",Inputs!$B$43&gt;0),((Skills!G6*((R2700-1)*IF(Skills!H6&gt;0,Skills!I6/Skills!H6,1)+IF(Skills!H6&gt;0,MIN(Skills!I6,MAX(0,MAX(0,Inputs!$B$43-B2731)-((R2700-1)*(IF(Inputs!$B$38="pvp",15,MAX(0.1,Skills!D6-IF(Skills!E6=TRUE,Inputs!$B$32,0)))*(1-IF(AND(ArtifactsInput!$M$27,Inputs!$B$4="Chapter Hunt"),CHOOSE(ArtifactsInput!$N$27+1,20,24,28,32,36,40),0)/100)))))/Skills!H6,1)))/Inputs!$B$43),G2700*Q2700)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2700*(1-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2700*(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2700*(1-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2700*(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0">
        <f>IF(C2700,(H2700*N2700*IF(AND(Inputs!$B$38&lt;&gt;"pvp",Inputs!$B$43&gt;0),((Skills!G6*((R2700-1)*IF(Skills!H6&gt;0,Skills!I6/Skills!H6,1)+IF(Skills!H6&gt;0,MIN(Skills!I6,MAX(0,MAX(0,Inputs!$B$43-B2731)-((R2700-1)*(IF(Inputs!$B$38="pvp",15,MAX(0.1,Skills!D6-IF(Skills!E6=TRUE,Inputs!$B$32,0)))*(1-IF(AND(ArtifactsInput!$M$27,Inputs!$B$4="Chapter Hunt"),CHOOSE(ArtifactsInput!$N$27+1,20,24,28,32,36,40),0)/100)))))/Skills!H6,1)))/Inputs!$B$43),G2700*Q2700))*IF(Inputs!$B$38="pvp",1,(1+(Inputs!$B$21+Skills!Q6+(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1">
      <c r="A2701">
        <f>Skills!A7</f>
        <v/>
      </c>
      <c r="B2701">
        <f>Skills!B7</f>
        <v/>
      </c>
      <c r="C2701">
        <f>Inputs!$B$3&gt;=66</f>
        <v/>
      </c>
      <c r="D2701">
        <f>IF(Skills!C7=1,60+Inputs!$B$25+Inputs!$B$29,IF(Skills!C7=2,90+Inputs!$B$26+Inputs!$B$29,IF(Skills!C7=3,120+Inputs!$B$27+Inputs!$B$29,MAX(0,(Inputs!$B$3-100)*3)+Inputs!$B$28+Inputs!$B$29)))</f>
        <v/>
      </c>
      <c r="E2701">
        <f>INDEX(FactorTable!$B$2:$Y$301, MATCH(ROUND(MIN(300,MAX(1,D2701)),0), FactorTable!$A$2:$A$301,0), Skills!M7+1)</f>
        <v/>
      </c>
      <c r="F2701">
        <f>IF(Skills!N7=TRUE,(Skills!L7/10)*(E2701/1000),Skills!L7/10)+Skills!O7</f>
        <v/>
      </c>
      <c r="G2701">
        <f>Skills!G7*IF(Skills!H7&gt;0,Skills!I7/Skills!H7,1)</f>
        <v/>
      </c>
      <c r="H2701">
        <f>1-(1-Skills!J7/100)^Skills!K7</f>
        <v/>
      </c>
      <c r="I2701" t="inlineStr">
        <is>
          <t>1</t>
        </is>
      </c>
      <c r="J2701">
        <f>((Inputs!$B$6*(1+Inputs!$B$7/100))+(((Inputs!$B$12*(1+Inputs!$B$13/100))-(Inputs!$B$12*(1+Inputs!$B$13/100)))+0.25*(Inputs!$B$14-Inputs!$B$14))*(1+Inputs!$B$7/100))*(F2701/100)</f>
        <v/>
      </c>
      <c r="K2701">
        <f>J2701*(1+((Inputs!$B$12*(1+Inputs!$B$13/100))*0.01+Inputs!$B$14*0.0025)/100)*(1+Inputs!$B$15/100)*(1+Inputs!$B$16/100)*(5000/(6000+Inputs!$B$42*(1-(100*(1-(1-(Inputs!$B$19+0)/100)*(1-CHOOSE(ArtifactsInput!$N$40+1,5,6,7,8,9,10)/100)^(ArtifactsInput!$M$40-ArtifactsInput!$M$40)))/100)))*(1+(Inputs!$B$24+((C2720=TRUE)*(F2720-Calc!F26))+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2709=TRUE,F2709,0)/100)*(1+(IF(Skills!A7="EIGHT_LEGS_EASTON",Inputs!$B$17+((C2717=TRUE)*(F2717-Calc!F23))+((C2721=TRUE)*(F2721-Calc!F27))+(((IF(AND(IF(ArtifactsInput!$M$42,FALSE,TRUE),((Inputs!$B$9+((C2713=TRUE)*(F2713-Calc!F19))+B2724+(ArtifactsInput!$M$24-ArtifactsInput!$M$24)*CHOOSE(ArtifactsInput!$N$24+1,10,12,14,16,18,20)+IF(ArtifactsInput!$M$10,CHOOSE(ArtifactsInput!$N$10+1,15,18,21,24,27,30)*(IF(Inputs!$B$38="pvp",MIN(15,15)/15,IF(AND(Inputs!$B$38&lt;&gt;"pvp",Inputs!$B$43&gt;0),MIN(15,Inputs!$B$43)/(Inputs!$B$43),0))),0)))&gt;=100),MIN(100,((Inputs!$B$9+((C2713=TRUE)*(F2713-Calc!F19))+B2724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2713=TRUE)*(F2713-Calc!F19))+B2724+(ArtifactsInput!$M$24-ArtifactsInput!$M$24)*CHOOSE(ArtifactsInput!$N$24+1,10,12,14,16,18,20)+IF(ArtifactsInput!$M$10,CHOOSE(ArtifactsInput!$N$10+1,15,18,21,24,27,30)*(IF(Inputs!$B$38="pvp",MIN(15,15)/15,IF(AND(Inputs!$B$38&lt;&gt;"pvp",Inputs!$B$43&gt;0),MIN(15,Inputs!$B$43)/(Inputs!$B$43),0))),0)))&gt;=100),CHOOSE(ArtifactsInput!$N$42+1,40,48,56,64,72,80),0))))/100)*((1+(((C2711=TRUE)*F2711)+((C2718=TRUE)*(F2718-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2701)</f>
        <v/>
      </c>
      <c r="L2701">
        <f>K2701*(MIN(Inputs!$B$22+((C2716=TRUE)*(F2716-Calc!F22)),(Inputs!$B$23+0+(IF(ArtifactsInput!$M$15,CHOOSE(ArtifactsInput!$N$15+1,25,30,35,40,45,50)/100*(Inputs!$B$11-Inputs!$B$11),0))))/100+(Inputs!$B$23+0+(IF(ArtifactsInput!$M$15,CHOOSE(ArtifactsInput!$N$15+1,25,30,35,40,45,50)/100*(Inputs!$B$11-Inputs!$B$11),0)))/100)/2</f>
        <v/>
      </c>
      <c r="M2701">
        <f>L2701*(1+(Inputs!$B$10+((C2719=TRUE)*(F2719-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1">
        <f>L2701*(1-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2701*(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1">
        <f>(1-Summary!$B$11)*T2701+Summary!$B$11*V2701</f>
        <v/>
      </c>
      <c r="P2701">
        <f>IF(B2734=0,0,O2701/B2734)</f>
        <v/>
      </c>
      <c r="Q2701">
        <f>IFERROR(1/(IF(Inputs!$B$38="pvp",15,MAX(0.1,Skills!D7-IF(Skills!E7=TRUE,Inputs!$B$32,0)))*(1-IF(AND(ArtifactsInput!$M$27,Inputs!$B$4="Chapter Hunt"),CHOOSE(ArtifactsInput!$N$27+1,20,24,28,32,36,40),0)/100)),0)</f>
        <v/>
      </c>
      <c r="R2701">
        <f>IF(AND(Inputs!$B$38&lt;&gt;"pvp",Inputs!$B$43&gt;0),IF(MAX(0,Inputs!$B$43-B2731)&lt;=0,0,(INT(MAX(0,Inputs!$B$43-B2731)/(IF(Inputs!$B$38="pvp",15,MAX(0.1,Skills!D7-IF(Skills!E7=TRUE,Inputs!$B$32,0)))*(1-IF(AND(ArtifactsInput!$M$27,Inputs!$B$4="Chapter Hunt"),CHOOSE(ArtifactsInput!$N$27+1,20,24,28,32,36,40),0)/100)))+1)),0)</f>
        <v/>
      </c>
      <c r="S2701">
        <f>IFERROR(O2701/N2701,0)</f>
        <v/>
      </c>
      <c r="T2701">
        <f>IF(C2701,(H2701*N2701*IF(AND(Inputs!$B$38&lt;&gt;"pvp",Inputs!$B$43&gt;0),((Skills!G7*((R2701-1)*IF(Skills!H7&gt;0,Skills!I7/Skills!H7,1)+IF(Skills!H7&gt;0,MIN(Skills!I7,MAX(0,MAX(0,Inputs!$B$43-B2731)-((R2701-1)*(IF(Inputs!$B$38="pvp",15,MAX(0.1,Skills!D7-IF(Skills!E7=TRUE,Inputs!$B$32,0)))*(1-IF(AND(ArtifactsInput!$M$27,Inputs!$B$4="Chapter Hunt"),CHOOSE(ArtifactsInput!$N$27+1,20,24,28,32,36,40),0)/100)))))/Skills!H7,1)))/Inputs!$B$43),G2701*Q2701)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2701*(1-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2701*(1-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1">
        <f>IF(C2701,(H2701*N2701*IF(AND(Inputs!$B$38&lt;&gt;"pvp",Inputs!$B$43&gt;0),((Skills!G7*((R2701-1)*IF(Skills!H7&gt;0,Skills!I7/Skills!H7,1)+IF(Skills!H7&gt;0,MIN(Skills!I7,MAX(0,MAX(0,Inputs!$B$43-B2731)-((R2701-1)*(IF(Inputs!$B$38="pvp",15,MAX(0.1,Skills!D7-IF(Skills!E7=TRUE,Inputs!$B$32,0)))*(1-IF(AND(ArtifactsInput!$M$27,Inputs!$B$4="Chapter Hunt"),CHOOSE(ArtifactsInput!$N$27+1,20,24,28,32,36,40),0)/100)))))/Skills!H7,1)))/Inputs!$B$43),G2701*Q2701))*IF(Inputs!$B$38="pvp",1,(1+(Inputs!$B$21+Skills!Q7+(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2">
      <c r="A2702">
        <f>Skills!A8</f>
        <v/>
      </c>
      <c r="B2702">
        <f>Skills!B8</f>
        <v/>
      </c>
      <c r="C2702">
        <f>Inputs!$B$3&gt;=100</f>
        <v/>
      </c>
      <c r="D2702">
        <f>IF(Skills!C8=1,60+Inputs!$B$25+Inputs!$B$29,IF(Skills!C8=2,90+Inputs!$B$26+Inputs!$B$29,IF(Skills!C8=3,120+Inputs!$B$27+Inputs!$B$29,MAX(0,(Inputs!$B$3-100)*3)+Inputs!$B$28+Inputs!$B$29)))</f>
        <v/>
      </c>
      <c r="E2702">
        <f>INDEX(FactorTable!$B$2:$Y$301, MATCH(ROUND(MIN(300,MAX(1,D2702)),0), FactorTable!$A$2:$A$301,0), Skills!M8+1)</f>
        <v/>
      </c>
      <c r="F2702">
        <f>IF(Skills!N8=TRUE,(Skills!L8/10)*(E2702/1000),Skills!L8/10)+Skills!O8</f>
        <v/>
      </c>
      <c r="G2702">
        <f>Skills!G8*IF(Skills!H8&gt;0,Skills!I8/Skills!H8,1)</f>
        <v/>
      </c>
      <c r="H2702">
        <f>1-(1-Skills!J8/100)^Skills!K8</f>
        <v/>
      </c>
      <c r="I2702" t="inlineStr">
        <is>
          <t>1</t>
        </is>
      </c>
      <c r="J2702">
        <f>((Inputs!$B$6*(1+Inputs!$B$7/100))+(((Inputs!$B$12*(1+Inputs!$B$13/100))-(Inputs!$B$12*(1+Inputs!$B$13/100)))+0.25*(Inputs!$B$14-Inputs!$B$14))*(1+Inputs!$B$7/100))*(F2702/100)</f>
        <v/>
      </c>
      <c r="K2702">
        <f>J2702*(1+((Inputs!$B$12*(1+Inputs!$B$13/100))*0.01+Inputs!$B$14*0.0025)/100)*(1+Inputs!$B$15/100)*(1+Inputs!$B$16/100)*(5000/(6000+Inputs!$B$42*(1-(100*(1-(1-(Inputs!$B$19+0)/100)*(1-CHOOSE(ArtifactsInput!$N$40+1,5,6,7,8,9,10)/100)^(ArtifactsInput!$M$40-ArtifactsInput!$M$40)))/100)))*(1+(Inputs!$B$24+((C2720=TRUE)*(F2720-Calc!F26))+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2717=TRUE)*(F2717-Calc!F23))+((C2721=TRUE)*(F2721-Calc!F27))+(((IF(AND(IF(ArtifactsInput!$M$42,FALSE,TRUE),((Inputs!$B$9+((C2713=TRUE)*(F2713-Calc!F19))+B2724+(ArtifactsInput!$M$24-ArtifactsInput!$M$24)*CHOOSE(ArtifactsInput!$N$24+1,10,12,14,16,18,20)+IF(ArtifactsInput!$M$10,CHOOSE(ArtifactsInput!$N$10+1,15,18,21,24,27,30)*(IF(Inputs!$B$38="pvp",MIN(15,15)/15,IF(AND(Inputs!$B$38&lt;&gt;"pvp",Inputs!$B$43&gt;0),MIN(15,Inputs!$B$43)/(Inputs!$B$43),0))),0)))&gt;=100),MIN(100,((Inputs!$B$9+((C2713=TRUE)*(F2713-Calc!F19))+B2724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2713=TRUE)*(F2713-Calc!F19))+B2724+(ArtifactsInput!$M$24-ArtifactsInput!$M$24)*CHOOSE(ArtifactsInput!$N$24+1,10,12,14,16,18,20)+IF(ArtifactsInput!$M$10,CHOOSE(ArtifactsInput!$N$10+1,15,18,21,24,27,30)*(IF(Inputs!$B$38="pvp",MIN(15,15)/15,IF(AND(Inputs!$B$38&lt;&gt;"pvp",Inputs!$B$43&gt;0),MIN(15,Inputs!$B$43)/(Inputs!$B$43),0))),0)))&gt;=100),CHOOSE(ArtifactsInput!$N$42+1,40,48,56,64,72,80),0))))/100)*((1+(((C2711=TRUE)*F2711)+((C2718=TRUE)*(F2718-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2702)</f>
        <v/>
      </c>
      <c r="L2702">
        <f>K2702*(MIN(Inputs!$B$22+((C2716=TRUE)*(F2716-Calc!F22)),(Inputs!$B$23+0+(IF(ArtifactsInput!$M$15,CHOOSE(ArtifactsInput!$N$15+1,25,30,35,40,45,50)/100*(Inputs!$B$11-Inputs!$B$11),0))))/100+(Inputs!$B$23+0+(IF(ArtifactsInput!$M$15,CHOOSE(ArtifactsInput!$N$15+1,25,30,35,40,45,50)/100*(Inputs!$B$11-Inputs!$B$11),0)))/100)/2</f>
        <v/>
      </c>
      <c r="M2702">
        <f>L2702*(1+(Inputs!$B$10+((C2719=TRUE)*(F2719-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2">
        <f>L2702*(1-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2702*(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2">
        <f>(1-Summary!$B$11)*T2702+Summary!$B$11*V2702</f>
        <v/>
      </c>
      <c r="P2702">
        <f>IF(B2734=0,0,O2702/B2734)</f>
        <v/>
      </c>
      <c r="Q2702">
        <f>IFERROR(1/(IF(Inputs!$B$38="pvp",15,MAX(0.1,Skills!D8-IF(Skills!E8=TRUE,Inputs!$B$32,0)))*(1-IF(AND(ArtifactsInput!$M$27,Inputs!$B$4="Chapter Hunt"),CHOOSE(ArtifactsInput!$N$27+1,20,24,28,32,36,40),0)/100)),0)</f>
        <v/>
      </c>
      <c r="R2702">
        <f>IF(AND(Inputs!$B$38&lt;&gt;"pvp",Inputs!$B$43&gt;0),IF(MAX(0,Inputs!$B$43-B2731)&lt;=0,0,(INT(MAX(0,Inputs!$B$43-B2731)/(IF(Inputs!$B$38="pvp",15,MAX(0.1,Skills!D8-IF(Skills!E8=TRUE,Inputs!$B$32,0)))*(1-IF(AND(ArtifactsInput!$M$27,Inputs!$B$4="Chapter Hunt"),CHOOSE(ArtifactsInput!$N$27+1,20,24,28,32,36,40),0)/100)))+1)),0)</f>
        <v/>
      </c>
      <c r="S2702">
        <f>IFERROR(O2702/N2702,0)</f>
        <v/>
      </c>
      <c r="T2702">
        <f>IF(C2702,(H2702*N2702*IF(AND(Inputs!$B$38&lt;&gt;"pvp",Inputs!$B$43&gt;0),((Skills!G8*((R2702-1)*IF(Skills!H8&gt;0,Skills!I8/Skills!H8,1)+IF(Skills!H8&gt;0,MIN(Skills!I8,MAX(0,MAX(0,Inputs!$B$43-B2731)-((R2702-1)*(IF(Inputs!$B$38="pvp",15,MAX(0.1,Skills!D8-IF(Skills!E8=TRUE,Inputs!$B$32,0)))*(1-IF(AND(ArtifactsInput!$M$27,Inputs!$B$4="Chapter Hunt"),CHOOSE(ArtifactsInput!$N$27+1,20,24,28,32,36,40),0)/100)))))/Skills!H8,1)))/Inputs!$B$43),G2702*Q2702)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2702*(1-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2702*(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2702*(1-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2702*(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2">
        <f>IF(C2702,(H2702*N2702*IF(AND(Inputs!$B$38&lt;&gt;"pvp",Inputs!$B$43&gt;0),((Skills!G8*((R2702-1)*IF(Skills!H8&gt;0,Skills!I8/Skills!H8,1)+IF(Skills!H8&gt;0,MIN(Skills!I8,MAX(0,MAX(0,Inputs!$B$43-B2731)-((R2702-1)*(IF(Inputs!$B$38="pvp",15,MAX(0.1,Skills!D8-IF(Skills!E8=TRUE,Inputs!$B$32,0)))*(1-IF(AND(ArtifactsInput!$M$27,Inputs!$B$4="Chapter Hunt"),CHOOSE(ArtifactsInput!$N$27+1,20,24,28,32,36,40),0)/100)))))/Skills!H8,1)))/Inputs!$B$43),G2702*Q2702))*IF(Inputs!$B$38="pvp",1,(1+(Inputs!$B$21+Skills!Q8+(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3">
      <c r="A2703">
        <f>Skills!A9</f>
        <v/>
      </c>
      <c r="B2703">
        <f>Skills!B9</f>
        <v/>
      </c>
      <c r="C2703">
        <f>Inputs!$B$3&gt;=103</f>
        <v/>
      </c>
      <c r="D2703">
        <f>IF(Skills!C9=1,60+Inputs!$B$25+Inputs!$B$29,IF(Skills!C9=2,90+Inputs!$B$26+Inputs!$B$29,IF(Skills!C9=3,120+Inputs!$B$27+Inputs!$B$29,MAX(0,(Inputs!$B$3-100)*3)+Inputs!$B$28+Inputs!$B$29)))</f>
        <v/>
      </c>
      <c r="E2703">
        <f>INDEX(FactorTable!$B$2:$Y$301, MATCH(ROUND(MIN(300,MAX(1,D2703)),0), FactorTable!$A$2:$A$301,0), Skills!M9+1)</f>
        <v/>
      </c>
      <c r="F2703">
        <f>IF(Skills!N9=TRUE,(Skills!L9/10)*(E2703/1000),Skills!L9/10)+Skills!O9</f>
        <v/>
      </c>
      <c r="G2703">
        <f>Skills!G9*IF(Skills!H9&gt;0,Skills!I9/Skills!H9,1)</f>
        <v/>
      </c>
      <c r="H2703">
        <f>1-(1-Skills!J9/100)^Skills!K9</f>
        <v/>
      </c>
      <c r="I2703" t="inlineStr">
        <is>
          <t>1</t>
        </is>
      </c>
      <c r="J2703">
        <f>((Inputs!$B$6*(1+Inputs!$B$7/100))+(((Inputs!$B$12*(1+Inputs!$B$13/100))-(Inputs!$B$12*(1+Inputs!$B$13/100)))+0.25*(Inputs!$B$14-Inputs!$B$14))*(1+Inputs!$B$7/100))*(F2703/100)</f>
        <v/>
      </c>
      <c r="K2703">
        <f>J2703*(1+((Inputs!$B$12*(1+Inputs!$B$13/100))*0.01+Inputs!$B$14*0.0025)/100)*(1+Inputs!$B$15/100)*(1+Inputs!$B$16/100)*(5000/(6000+Inputs!$B$42*(1-(100*(1-(1-(Inputs!$B$19+0)/100)*(1-CHOOSE(ArtifactsInput!$N$40+1,5,6,7,8,9,10)/100)^(ArtifactsInput!$M$40-ArtifactsInput!$M$40)))/100)))*(1+(Inputs!$B$24+((C2720=TRUE)*(F2720-Calc!F26))+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2717=TRUE)*(F2717-Calc!F23))+((C2721=TRUE)*(F2721-Calc!F27))+(((IF(AND(IF(ArtifactsInput!$M$42,FALSE,TRUE),((Inputs!$B$9+((C2713=TRUE)*(F2713-Calc!F19))+B2724+(ArtifactsInput!$M$24-ArtifactsInput!$M$24)*CHOOSE(ArtifactsInput!$N$24+1,10,12,14,16,18,20)+IF(ArtifactsInput!$M$10,CHOOSE(ArtifactsInput!$N$10+1,15,18,21,24,27,30)*(IF(Inputs!$B$38="pvp",MIN(15,15)/15,IF(AND(Inputs!$B$38&lt;&gt;"pvp",Inputs!$B$43&gt;0),MIN(15,Inputs!$B$43)/(Inputs!$B$43),0))),0)))&gt;=100),MIN(100,((Inputs!$B$9+((C2713=TRUE)*(F2713-Calc!F19))+B2724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2713=TRUE)*(F2713-Calc!F19))+B2724+(ArtifactsInput!$M$24-ArtifactsInput!$M$24)*CHOOSE(ArtifactsInput!$N$24+1,10,12,14,16,18,20)+IF(ArtifactsInput!$M$10,CHOOSE(ArtifactsInput!$N$10+1,15,18,21,24,27,30)*(IF(Inputs!$B$38="pvp",MIN(15,15)/15,IF(AND(Inputs!$B$38&lt;&gt;"pvp",Inputs!$B$43&gt;0),MIN(15,Inputs!$B$43)/(Inputs!$B$43),0))),0)))&gt;=100),CHOOSE(ArtifactsInput!$N$42+1,40,48,56,64,72,80),0))))/100)*((1+(((C2711=TRUE)*F2711)+((C2718=TRUE)*(F2718-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2703)</f>
        <v/>
      </c>
      <c r="L2703">
        <f>K2703*(MIN(Inputs!$B$22+((C2716=TRUE)*(F2716-Calc!F22)),(Inputs!$B$23+0+(IF(ArtifactsInput!$M$15,CHOOSE(ArtifactsInput!$N$15+1,25,30,35,40,45,50)/100*(Inputs!$B$11-Inputs!$B$11),0))))/100+(Inputs!$B$23+0+(IF(ArtifactsInput!$M$15,CHOOSE(ArtifactsInput!$N$15+1,25,30,35,40,45,50)/100*(Inputs!$B$11-Inputs!$B$11),0)))/100)/2</f>
        <v/>
      </c>
      <c r="M2703">
        <f>L2703*(1+(Inputs!$B$10+((C2719=TRUE)*(F2719-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3">
        <f>L2703*(1-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2703*(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3">
        <f>(1-Summary!$B$11)*T2703+Summary!$B$11*V2703</f>
        <v/>
      </c>
      <c r="P2703">
        <f>IF(B2734=0,0,O2703/B2734)</f>
        <v/>
      </c>
      <c r="Q2703">
        <f>IFERROR(1/(IF(Inputs!$B$38="pvp",15,MAX(0.1,Skills!D9-IF(Skills!E9=TRUE,Inputs!$B$32,0)))*(1-IF(AND(ArtifactsInput!$M$27,Inputs!$B$4="Chapter Hunt"),CHOOSE(ArtifactsInput!$N$27+1,20,24,28,32,36,40),0)/100)),0)</f>
        <v/>
      </c>
      <c r="R2703">
        <f>IF(AND(Inputs!$B$38&lt;&gt;"pvp",Inputs!$B$43&gt;0),IF(MAX(0,Inputs!$B$43-B2731)&lt;=0,0,(INT(MAX(0,Inputs!$B$43-B2731)/(IF(Inputs!$B$38="pvp",15,MAX(0.1,Skills!D9-IF(Skills!E9=TRUE,Inputs!$B$32,0)))*(1-IF(AND(ArtifactsInput!$M$27,Inputs!$B$4="Chapter Hunt"),CHOOSE(ArtifactsInput!$N$27+1,20,24,28,32,36,40),0)/100)))+1)),0)</f>
        <v/>
      </c>
      <c r="S2703">
        <f>IFERROR(O2703/N2703,0)</f>
        <v/>
      </c>
      <c r="T2703">
        <f>IF(C2703,(H2703*N2703*IF(AND(Inputs!$B$38&lt;&gt;"pvp",Inputs!$B$43&gt;0),((Skills!G9*((R2703-1)*IF(Skills!H9&gt;0,Skills!I9/Skills!H9,1)+IF(Skills!H9&gt;0,MIN(Skills!I9,MAX(0,MAX(0,Inputs!$B$43-B2731)-((R2703-1)*(IF(Inputs!$B$38="pvp",15,MAX(0.1,Skills!D9-IF(Skills!E9=TRUE,Inputs!$B$32,0)))*(1-IF(AND(ArtifactsInput!$M$27,Inputs!$B$4="Chapter Hunt"),CHOOSE(ArtifactsInput!$N$27+1,20,24,28,32,36,40),0)/100)))))/Skills!H9,1)))/Inputs!$B$43),G2703*Q2703)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2703*(1-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2703*(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2703*(1-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2703*(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3">
        <f>IF(C2703,(H2703*N2703*IF(AND(Inputs!$B$38&lt;&gt;"pvp",Inputs!$B$43&gt;0),((Skills!G9*((R2703-1)*IF(Skills!H9&gt;0,Skills!I9/Skills!H9,1)+IF(Skills!H9&gt;0,MIN(Skills!I9,MAX(0,MAX(0,Inputs!$B$43-B2731)-((R2703-1)*(IF(Inputs!$B$38="pvp",15,MAX(0.1,Skills!D9-IF(Skills!E9=TRUE,Inputs!$B$32,0)))*(1-IF(AND(ArtifactsInput!$M$27,Inputs!$B$4="Chapter Hunt"),CHOOSE(ArtifactsInput!$N$27+1,20,24,28,32,36,40),0)/100)))))/Skills!H9,1)))/Inputs!$B$43),G2703*Q2703))*IF(Inputs!$B$38="pvp",1,(1+(Inputs!$B$21+Skills!Q9+(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4">
      <c r="A2704">
        <f>Skills!A10</f>
        <v/>
      </c>
      <c r="B2704">
        <f>Skills!B10</f>
        <v/>
      </c>
      <c r="C2704">
        <f>Inputs!$B$3&gt;=113</f>
        <v/>
      </c>
      <c r="D2704">
        <f>IF(Skills!C10=1,60+Inputs!$B$25+Inputs!$B$29,IF(Skills!C10=2,90+Inputs!$B$26+Inputs!$B$29,IF(Skills!C10=3,120+Inputs!$B$27+Inputs!$B$29,MAX(0,(Inputs!$B$3-100)*3)+Inputs!$B$28+Inputs!$B$29)))</f>
        <v/>
      </c>
      <c r="E2704">
        <f>INDEX(FactorTable!$B$2:$Y$301, MATCH(ROUND(MIN(300,MAX(1,D2704)),0), FactorTable!$A$2:$A$301,0), Skills!M10+1)</f>
        <v/>
      </c>
      <c r="F2704">
        <f>IF(Skills!N10=TRUE,(Skills!L10/10)*(E2704/1000),Skills!L10/10)+Skills!O10</f>
        <v/>
      </c>
      <c r="G2704">
        <f>Skills!G10*IF(Skills!H10&gt;0,Skills!I10/Skills!H10,1)</f>
        <v/>
      </c>
      <c r="H2704">
        <f>1-(1-Skills!J10/100)^Skills!K10</f>
        <v/>
      </c>
      <c r="I2704" t="inlineStr">
        <is>
          <t>1</t>
        </is>
      </c>
      <c r="J2704">
        <f>((Inputs!$B$6*(1+Inputs!$B$7/100))+(((Inputs!$B$12*(1+Inputs!$B$13/100))-(Inputs!$B$12*(1+Inputs!$B$13/100)))+0.25*(Inputs!$B$14-Inputs!$B$14))*(1+Inputs!$B$7/100))*(F2704/100)</f>
        <v/>
      </c>
      <c r="K2704">
        <f>J2704*(1+((Inputs!$B$12*(1+Inputs!$B$13/100))*0.01+Inputs!$B$14*0.0025)/100)*(1+Inputs!$B$15/100)*(1+Inputs!$B$16/100)*(5000/(6000+Inputs!$B$42*(1-(100*(1-(1-(Inputs!$B$19+0)/100)*(1-CHOOSE(ArtifactsInput!$N$40+1,5,6,7,8,9,10)/100)^(ArtifactsInput!$M$40-ArtifactsInput!$M$40)))/100)))*(1+(Inputs!$B$24+((C2720=TRUE)*(F2720-Calc!F26))+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2717=TRUE)*(F2717-Calc!F23))+((C2721=TRUE)*(F2721-Calc!F27))+(((IF(AND(IF(ArtifactsInput!$M$42,FALSE,TRUE),((Inputs!$B$9+((C2713=TRUE)*(F2713-Calc!F19))+B2724+(ArtifactsInput!$M$24-ArtifactsInput!$M$24)*CHOOSE(ArtifactsInput!$N$24+1,10,12,14,16,18,20)+IF(ArtifactsInput!$M$10,CHOOSE(ArtifactsInput!$N$10+1,15,18,21,24,27,30)*(IF(Inputs!$B$38="pvp",MIN(15,15)/15,IF(AND(Inputs!$B$38&lt;&gt;"pvp",Inputs!$B$43&gt;0),MIN(15,Inputs!$B$43)/(Inputs!$B$43),0))),0)))&gt;=100),MIN(100,((Inputs!$B$9+((C2713=TRUE)*(F2713-Calc!F19))+B2724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2713=TRUE)*(F2713-Calc!F19))+B2724+(ArtifactsInput!$M$24-ArtifactsInput!$M$24)*CHOOSE(ArtifactsInput!$N$24+1,10,12,14,16,18,20)+IF(ArtifactsInput!$M$10,CHOOSE(ArtifactsInput!$N$10+1,15,18,21,24,27,30)*(IF(Inputs!$B$38="pvp",MIN(15,15)/15,IF(AND(Inputs!$B$38&lt;&gt;"pvp",Inputs!$B$43&gt;0),MIN(15,Inputs!$B$43)/(Inputs!$B$43),0))),0)))&gt;=100),CHOOSE(ArtifactsInput!$N$42+1,40,48,56,64,72,80),0))))/100)*((1+(((C2711=TRUE)*F2711)+((C2718=TRUE)*(F2718-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2704)</f>
        <v/>
      </c>
      <c r="L2704">
        <f>K2704*(MIN(Inputs!$B$22+((C2716=TRUE)*(F2716-Calc!F22)),(Inputs!$B$23+0+(IF(ArtifactsInput!$M$15,CHOOSE(ArtifactsInput!$N$15+1,25,30,35,40,45,50)/100*(Inputs!$B$11-Inputs!$B$11),0))))/100+(Inputs!$B$23+0+(IF(ArtifactsInput!$M$15,CHOOSE(ArtifactsInput!$N$15+1,25,30,35,40,45,50)/100*(Inputs!$B$11-Inputs!$B$11),0)))/100)/2</f>
        <v/>
      </c>
      <c r="M2704">
        <f>L2704*(1+(Inputs!$B$10+((C2719=TRUE)*(F2719-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4">
        <f>L2704*(1-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2704*(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4">
        <f>(1-Summary!$B$11)*T2704+Summary!$B$11*V2704</f>
        <v/>
      </c>
      <c r="P2704">
        <f>IF(B2734=0,0,O2704/B2734)</f>
        <v/>
      </c>
      <c r="Q2704">
        <f>IFERROR(1/(IF(Inputs!$B$38="pvp",15,MAX(0.1,Skills!D10-IF(Skills!E10=TRUE,Inputs!$B$32,0)))*(1-IF(AND(ArtifactsInput!$M$27,Inputs!$B$4="Chapter Hunt"),CHOOSE(ArtifactsInput!$N$27+1,20,24,28,32,36,40),0)/100)),0)</f>
        <v/>
      </c>
      <c r="R2704">
        <f>IF(AND(Inputs!$B$38&lt;&gt;"pvp",Inputs!$B$43&gt;0),IF(MAX(0,Inputs!$B$43-B2731)&lt;=0,0,(INT(MAX(0,Inputs!$B$43-B2731)/(IF(Inputs!$B$38="pvp",15,MAX(0.1,Skills!D10-IF(Skills!E10=TRUE,Inputs!$B$32,0)))*(1-IF(AND(ArtifactsInput!$M$27,Inputs!$B$4="Chapter Hunt"),CHOOSE(ArtifactsInput!$N$27+1,20,24,28,32,36,40),0)/100)))+1)),0)</f>
        <v/>
      </c>
      <c r="S2704">
        <f>IFERROR(O2704/N2704,0)</f>
        <v/>
      </c>
      <c r="T2704">
        <f>IF(C2704,(H2704*N2704*IF(AND(Inputs!$B$38&lt;&gt;"pvp",Inputs!$B$43&gt;0),((Skills!G10*((R2704-1)*IF(Skills!H10&gt;0,Skills!I10/Skills!H10,1)+IF(Skills!H10&gt;0,MIN(Skills!I10,MAX(0,MAX(0,Inputs!$B$43-B2731)-((R2704-1)*(IF(Inputs!$B$38="pvp",15,MAX(0.1,Skills!D10-IF(Skills!E10=TRUE,Inputs!$B$32,0)))*(1-IF(AND(ArtifactsInput!$M$27,Inputs!$B$4="Chapter Hunt"),CHOOSE(ArtifactsInput!$N$27+1,20,24,28,32,36,40),0)/100)))))/Skills!H10,1)))/Inputs!$B$43),G2704*Q2704)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2704*(1-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2704*(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2704*(1-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2704*(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4">
        <f>IF(C2704,(H2704*N2704*IF(AND(Inputs!$B$38&lt;&gt;"pvp",Inputs!$B$43&gt;0),((Skills!G10*((R2704-1)*IF(Skills!H10&gt;0,Skills!I10/Skills!H10,1)+IF(Skills!H10&gt;0,MIN(Skills!I10,MAX(0,MAX(0,Inputs!$B$43-B2731)-((R2704-1)*(IF(Inputs!$B$38="pvp",15,MAX(0.1,Skills!D10-IF(Skills!E10=TRUE,Inputs!$B$32,0)))*(1-IF(AND(ArtifactsInput!$M$27,Inputs!$B$4="Chapter Hunt"),CHOOSE(ArtifactsInput!$N$27+1,20,24,28,32,36,40),0)/100)))))/Skills!H10,1)))/Inputs!$B$43),G2704*Q2704))*IF(Inputs!$B$38="pvp",1,(1+(Inputs!$B$21+Skills!Q10+(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5">
      <c r="A2705">
        <f>Skills!A11</f>
        <v/>
      </c>
      <c r="B2705">
        <f>Skills!B11</f>
        <v/>
      </c>
      <c r="C2705">
        <f>Inputs!$B$3&gt;=107</f>
        <v/>
      </c>
      <c r="D2705">
        <f>IF(Skills!C11=1,60+Inputs!$B$25+Inputs!$B$29,IF(Skills!C11=2,90+Inputs!$B$26+Inputs!$B$29,IF(Skills!C11=3,120+Inputs!$B$27+Inputs!$B$29,MAX(0,(Inputs!$B$3-100)*3)+Inputs!$B$28+Inputs!$B$29)))</f>
        <v/>
      </c>
      <c r="E2705">
        <f>INDEX(FactorTable!$B$2:$Y$301, MATCH(ROUND(MIN(300,MAX(1,D2705)),0), FactorTable!$A$2:$A$301,0), Skills!M11+1)</f>
        <v/>
      </c>
      <c r="F2705">
        <f>IF(Skills!N11=TRUE,(Skills!L11/10)*(E2705/1000),Skills!L11/10)+Skills!O11</f>
        <v/>
      </c>
      <c r="G2705">
        <f>Skills!G11*IF(Skills!H11&gt;0,Skills!I11/Skills!H11,1)</f>
        <v/>
      </c>
      <c r="H2705">
        <f>1-(1-Skills!J11/100)^Skills!K11</f>
        <v/>
      </c>
      <c r="I2705" t="inlineStr">
        <is>
          <t>1</t>
        </is>
      </c>
      <c r="J2705">
        <f>((Inputs!$B$6*(1+Inputs!$B$7/100))+(((Inputs!$B$12*(1+Inputs!$B$13/100))-(Inputs!$B$12*(1+Inputs!$B$13/100)))+0.25*(Inputs!$B$14-Inputs!$B$14))*(1+Inputs!$B$7/100))*(F2705/100)</f>
        <v/>
      </c>
      <c r="K2705">
        <f>J2705*(1+((Inputs!$B$12*(1+Inputs!$B$13/100))*0.01+Inputs!$B$14*0.0025)/100)*(1+Inputs!$B$15/100)*(1+Inputs!$B$16/100)*(5000/(6000+Inputs!$B$42*(1-(100*(1-(1-(Inputs!$B$19+0)/100)*(1-CHOOSE(ArtifactsInput!$N$40+1,5,6,7,8,9,10)/100)^(ArtifactsInput!$M$40-ArtifactsInput!$M$40)))/100)))*(1+(Inputs!$B$24+((C2720=TRUE)*(F2720-Calc!F26))+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2717=TRUE)*(F2717-Calc!F23))+((C2721=TRUE)*(F2721-Calc!F27))+(((IF(AND(IF(ArtifactsInput!$M$42,FALSE,TRUE),((Inputs!$B$9+((C2713=TRUE)*(F2713-Calc!F19))+B2724+(ArtifactsInput!$M$24-ArtifactsInput!$M$24)*CHOOSE(ArtifactsInput!$N$24+1,10,12,14,16,18,20)+IF(ArtifactsInput!$M$10,CHOOSE(ArtifactsInput!$N$10+1,15,18,21,24,27,30)*(IF(Inputs!$B$38="pvp",MIN(15,15)/15,IF(AND(Inputs!$B$38&lt;&gt;"pvp",Inputs!$B$43&gt;0),MIN(15,Inputs!$B$43)/(Inputs!$B$43),0))),0)))&gt;=100),MIN(100,((Inputs!$B$9+((C2713=TRUE)*(F2713-Calc!F19))+B2724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2713=TRUE)*(F2713-Calc!F19))+B2724+(ArtifactsInput!$M$24-ArtifactsInput!$M$24)*CHOOSE(ArtifactsInput!$N$24+1,10,12,14,16,18,20)+IF(ArtifactsInput!$M$10,CHOOSE(ArtifactsInput!$N$10+1,15,18,21,24,27,30)*(IF(Inputs!$B$38="pvp",MIN(15,15)/15,IF(AND(Inputs!$B$38&lt;&gt;"pvp",Inputs!$B$43&gt;0),MIN(15,Inputs!$B$43)/(Inputs!$B$43),0))),0)))&gt;=100),CHOOSE(ArtifactsInput!$N$42+1,40,48,56,64,72,80),0))))/100)*((1+(((C2711=TRUE)*F2711)+((C2718=TRUE)*(F2718-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2705)</f>
        <v/>
      </c>
      <c r="L2705">
        <f>K2705*(MIN(Inputs!$B$22+((C2716=TRUE)*(F2716-Calc!F22)),(Inputs!$B$23+0+(IF(ArtifactsInput!$M$15,CHOOSE(ArtifactsInput!$N$15+1,25,30,35,40,45,50)/100*(Inputs!$B$11-Inputs!$B$11),0))))/100+(Inputs!$B$23+0+(IF(ArtifactsInput!$M$15,CHOOSE(ArtifactsInput!$N$15+1,25,30,35,40,45,50)/100*(Inputs!$B$11-Inputs!$B$11),0)))/100)/2</f>
        <v/>
      </c>
      <c r="M2705">
        <f>L2705*(1+(Inputs!$B$10+((C2719=TRUE)*(F2719-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5">
        <f>L2705*(1-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2705*(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5">
        <f>(1-Summary!$B$11)*T2705+Summary!$B$11*V2705</f>
        <v/>
      </c>
      <c r="P2705">
        <f>IF(B2734=0,0,O2705/B2734)</f>
        <v/>
      </c>
      <c r="Q2705">
        <f>IFERROR(1/(IF(Inputs!$B$38="pvp",15,MAX(0.1,Skills!D11-IF(Skills!E11=TRUE,Inputs!$B$32,0)))*(1-IF(AND(ArtifactsInput!$M$27,Inputs!$B$4="Chapter Hunt"),CHOOSE(ArtifactsInput!$N$27+1,20,24,28,32,36,40),0)/100)),0)</f>
        <v/>
      </c>
      <c r="R2705">
        <f>IF(AND(Inputs!$B$38&lt;&gt;"pvp",Inputs!$B$43&gt;0),IF(MAX(0,Inputs!$B$43-B2731)&lt;=0,0,(INT(MAX(0,Inputs!$B$43-B2731)/(IF(Inputs!$B$38="pvp",15,MAX(0.1,Skills!D11-IF(Skills!E11=TRUE,Inputs!$B$32,0)))*(1-IF(AND(ArtifactsInput!$M$27,Inputs!$B$4="Chapter Hunt"),CHOOSE(ArtifactsInput!$N$27+1,20,24,28,32,36,40),0)/100)))+1)),0)</f>
        <v/>
      </c>
      <c r="S2705">
        <f>IFERROR(O2705/N2705,0)</f>
        <v/>
      </c>
      <c r="T2705">
        <f>IF(C2705,(H2705*N2705*IF(AND(Inputs!$B$38&lt;&gt;"pvp",Inputs!$B$43&gt;0),((Skills!G11*((R2705-1)*IF(Skills!H11&gt;0,Skills!I11/Skills!H11,1)+IF(Skills!H11&gt;0,MIN(Skills!I11,MAX(0,MAX(0,Inputs!$B$43-B2731)-((R2705-1)*(IF(Inputs!$B$38="pvp",15,MAX(0.1,Skills!D11-IF(Skills!E11=TRUE,Inputs!$B$32,0)))*(1-IF(AND(ArtifactsInput!$M$27,Inputs!$B$4="Chapter Hunt"),CHOOSE(ArtifactsInput!$N$27+1,20,24,28,32,36,40),0)/100)))))/Skills!H11,1)))/Inputs!$B$43),G2705*Q2705)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2705*(1-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2705*(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2705*(1-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2705*(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5">
        <f>IF(C2705,(H2705*N2705*IF(AND(Inputs!$B$38&lt;&gt;"pvp",Inputs!$B$43&gt;0),((Skills!G11*((R2705-1)*IF(Skills!H11&gt;0,Skills!I11/Skills!H11,1)+IF(Skills!H11&gt;0,MIN(Skills!I11,MAX(0,MAX(0,Inputs!$B$43-B2731)-((R2705-1)*(IF(Inputs!$B$38="pvp",15,MAX(0.1,Skills!D11-IF(Skills!E11=TRUE,Inputs!$B$32,0)))*(1-IF(AND(ArtifactsInput!$M$27,Inputs!$B$4="Chapter Hunt"),CHOOSE(ArtifactsInput!$N$27+1,20,24,28,32,36,40),0)/100)))))/Skills!H11,1)))/Inputs!$B$43),G2705*Q2705))*IF(Inputs!$B$38="pvp",1,(1+(Inputs!$B$21+Skills!Q11+(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6">
      <c r="A2706">
        <f>Skills!A12</f>
        <v/>
      </c>
      <c r="B2706">
        <f>Skills!B12</f>
        <v/>
      </c>
      <c r="C2706">
        <f>Inputs!$B$3&gt;=110</f>
        <v/>
      </c>
      <c r="D2706">
        <f>IF(Skills!C12=1,60+Inputs!$B$25+Inputs!$B$29,IF(Skills!C12=2,90+Inputs!$B$26+Inputs!$B$29,IF(Skills!C12=3,120+Inputs!$B$27+Inputs!$B$29,MAX(0,(Inputs!$B$3-100)*3)+Inputs!$B$28+Inputs!$B$29)))</f>
        <v/>
      </c>
      <c r="E2706">
        <f>INDEX(FactorTable!$B$2:$Y$301, MATCH(ROUND(MIN(300,MAX(1,D2706)),0), FactorTable!$A$2:$A$301,0), Skills!M12+1)</f>
        <v/>
      </c>
      <c r="F2706">
        <f>IF(Skills!N12=TRUE,(Skills!L12/10)*(E2706/1000),Skills!L12/10)+Skills!O12</f>
        <v/>
      </c>
      <c r="G2706">
        <f>Skills!G12*IF(Skills!H12&gt;0,Skills!I12/Skills!H12,1)</f>
        <v/>
      </c>
      <c r="H2706">
        <f>1-(1-Skills!J12/100)^Skills!K12</f>
        <v/>
      </c>
      <c r="I2706" t="inlineStr">
        <is>
          <t>1</t>
        </is>
      </c>
      <c r="J2706">
        <f>((Inputs!$B$6*(1+Inputs!$B$7/100))+(((Inputs!$B$12*(1+Inputs!$B$13/100))-(Inputs!$B$12*(1+Inputs!$B$13/100)))+0.25*(Inputs!$B$14-Inputs!$B$14))*(1+Inputs!$B$7/100))*(F2706/100)</f>
        <v/>
      </c>
      <c r="K2706">
        <f>J2706*(1+((Inputs!$B$12*(1+Inputs!$B$13/100))*0.01+Inputs!$B$14*0.0025)/100)*(1+Inputs!$B$15/100)*(1+Inputs!$B$16/100)*(5000/(6000+Inputs!$B$42*(1-(100*(1-(1-(Inputs!$B$19+0)/100)*(1-CHOOSE(ArtifactsInput!$N$40+1,5,6,7,8,9,10)/100)^(ArtifactsInput!$M$40-ArtifactsInput!$M$40)))/100)))*(1+(Inputs!$B$24+((C2720=TRUE)*(F2720-Calc!F26))+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2717=TRUE)*(F2717-Calc!F23))+((C2721=TRUE)*(F2721-Calc!F27))+(((IF(AND(IF(ArtifactsInput!$M$42,FALSE,TRUE),((Inputs!$B$9+((C2713=TRUE)*(F2713-Calc!F19))+B2724+(ArtifactsInput!$M$24-ArtifactsInput!$M$24)*CHOOSE(ArtifactsInput!$N$24+1,10,12,14,16,18,20)+IF(ArtifactsInput!$M$10,CHOOSE(ArtifactsInput!$N$10+1,15,18,21,24,27,30)*(IF(Inputs!$B$38="pvp",MIN(15,15)/15,IF(AND(Inputs!$B$38&lt;&gt;"pvp",Inputs!$B$43&gt;0),MIN(15,Inputs!$B$43)/(Inputs!$B$43),0))),0)))&gt;=100),MIN(100,((Inputs!$B$9+((C2713=TRUE)*(F2713-Calc!F19))+B2724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2713=TRUE)*(F2713-Calc!F19))+B2724+(ArtifactsInput!$M$24-ArtifactsInput!$M$24)*CHOOSE(ArtifactsInput!$N$24+1,10,12,14,16,18,20)+IF(ArtifactsInput!$M$10,CHOOSE(ArtifactsInput!$N$10+1,15,18,21,24,27,30)*(IF(Inputs!$B$38="pvp",MIN(15,15)/15,IF(AND(Inputs!$B$38&lt;&gt;"pvp",Inputs!$B$43&gt;0),MIN(15,Inputs!$B$43)/(Inputs!$B$43),0))),0)))&gt;=100),CHOOSE(ArtifactsInput!$N$42+1,40,48,56,64,72,80),0))))/100)*((1+(((C2711=TRUE)*F2711)+((C2718=TRUE)*(F2718-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2706)</f>
        <v/>
      </c>
      <c r="L2706">
        <f>K2706*(MIN(Inputs!$B$22+((C2716=TRUE)*(F2716-Calc!F22)),(Inputs!$B$23+0+(IF(ArtifactsInput!$M$15,CHOOSE(ArtifactsInput!$N$15+1,25,30,35,40,45,50)/100*(Inputs!$B$11-Inputs!$B$11),0))))/100+(Inputs!$B$23+0+(IF(ArtifactsInput!$M$15,CHOOSE(ArtifactsInput!$N$15+1,25,30,35,40,45,50)/100*(Inputs!$B$11-Inputs!$B$11),0)))/100)/2</f>
        <v/>
      </c>
      <c r="M2706">
        <f>L2706*(1+(Inputs!$B$10+((C2719=TRUE)*(F2719-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6">
        <f>L2706*(1-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2706*(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6">
        <f>(1-Summary!$B$11)*T2706+Summary!$B$11*V2706</f>
        <v/>
      </c>
      <c r="P2706">
        <f>IF(B2734=0,0,O2706/B2734)</f>
        <v/>
      </c>
      <c r="Q2706">
        <f>IFERROR(1/(IF(Inputs!$B$38="pvp",15,MAX(0.1,Skills!D12-IF(Skills!E12=TRUE,Inputs!$B$32,0)))*(1-IF(AND(ArtifactsInput!$M$27,Inputs!$B$4="Chapter Hunt"),CHOOSE(ArtifactsInput!$N$27+1,20,24,28,32,36,40),0)/100)),0)</f>
        <v/>
      </c>
      <c r="R2706">
        <f>IF(AND(Inputs!$B$38&lt;&gt;"pvp",Inputs!$B$43&gt;0),IF(MAX(0,Inputs!$B$43-B2731)&lt;=0,0,(INT(MAX(0,Inputs!$B$43-B2731)/(IF(Inputs!$B$38="pvp",15,MAX(0.1,Skills!D12-IF(Skills!E12=TRUE,Inputs!$B$32,0)))*(1-IF(AND(ArtifactsInput!$M$27,Inputs!$B$4="Chapter Hunt"),CHOOSE(ArtifactsInput!$N$27+1,20,24,28,32,36,40),0)/100)))+1)),0)</f>
        <v/>
      </c>
      <c r="S2706">
        <f>IFERROR(O2706/N2706,0)</f>
        <v/>
      </c>
      <c r="T2706">
        <f>IF(C2706,(H2706*N2706*IF(AND(Inputs!$B$38&lt;&gt;"pvp",Inputs!$B$43&gt;0),((Skills!G12*((R2706-1)*IF(Skills!H12&gt;0,Skills!I12/Skills!H12,1)+IF(Skills!H12&gt;0,MIN(Skills!I12,MAX(0,MAX(0,Inputs!$B$43-B2731)-((R2706-1)*(IF(Inputs!$B$38="pvp",15,MAX(0.1,Skills!D12-IF(Skills!E12=TRUE,Inputs!$B$32,0)))*(1-IF(AND(ArtifactsInput!$M$27,Inputs!$B$4="Chapter Hunt"),CHOOSE(ArtifactsInput!$N$27+1,20,24,28,32,36,40),0)/100)))))/Skills!H12,1)))/Inputs!$B$43),G2706*Q2706)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2706*(1-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2706*(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2706*(1-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2706*(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6">
        <f>IF(C2706,(H2706*N2706*IF(AND(Inputs!$B$38&lt;&gt;"pvp",Inputs!$B$43&gt;0),((Skills!G12*((R2706-1)*IF(Skills!H12&gt;0,Skills!I12/Skills!H12,1)+IF(Skills!H12&gt;0,MIN(Skills!I12,MAX(0,MAX(0,Inputs!$B$43-B2731)-((R2706-1)*(IF(Inputs!$B$38="pvp",15,MAX(0.1,Skills!D12-IF(Skills!E12=TRUE,Inputs!$B$32,0)))*(1-IF(AND(ArtifactsInput!$M$27,Inputs!$B$4="Chapter Hunt"),CHOOSE(ArtifactsInput!$N$27+1,20,24,28,32,36,40),0)/100)))))/Skills!H12,1)))/Inputs!$B$43),G2706*Q2706))*IF(Inputs!$B$38="pvp",1,(1+(Inputs!$B$21+Skills!Q12+(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7">
      <c r="A2707">
        <f>Skills!A13</f>
        <v/>
      </c>
      <c r="B2707">
        <f>Skills!B13</f>
        <v/>
      </c>
      <c r="C2707">
        <f>Inputs!$B$3&gt;=110</f>
        <v/>
      </c>
      <c r="D2707">
        <f>IF(Skills!C13=1,60+Inputs!$B$25+Inputs!$B$29,IF(Skills!C13=2,90+Inputs!$B$26+Inputs!$B$29,IF(Skills!C13=3,120+Inputs!$B$27+Inputs!$B$29,MAX(0,(Inputs!$B$3-100)*3)+Inputs!$B$28+Inputs!$B$29)))</f>
        <v/>
      </c>
      <c r="E2707">
        <f>INDEX(FactorTable!$B$2:$Y$301, MATCH(ROUND(MIN(300,MAX(1,D2707)),0), FactorTable!$A$2:$A$301,0), Skills!M13+1)</f>
        <v/>
      </c>
      <c r="F2707">
        <f>IF(Skills!N13=TRUE,(Skills!L13/10)*(E2707/1000),Skills!L13/10)+Skills!O13</f>
        <v/>
      </c>
      <c r="G2707">
        <f>Skills!G13*IF(Skills!H13&gt;0,Skills!I13/Skills!H13,1)</f>
        <v/>
      </c>
      <c r="H2707">
        <f>1-(1-Skills!J13/100)^Skills!K13</f>
        <v/>
      </c>
      <c r="I2707" t="inlineStr">
        <is>
          <t>1</t>
        </is>
      </c>
      <c r="J2707">
        <f>((Inputs!$B$6*(1+Inputs!$B$7/100))+(((Inputs!$B$12*(1+Inputs!$B$13/100))-(Inputs!$B$12*(1+Inputs!$B$13/100)))+0.25*(Inputs!$B$14-Inputs!$B$14))*(1+Inputs!$B$7/100))*(F2707/100)</f>
        <v/>
      </c>
      <c r="K2707">
        <f>J2707*(1+((Inputs!$B$12*(1+Inputs!$B$13/100))*0.01+Inputs!$B$14*0.0025)/100)*(1+Inputs!$B$15/100)*(1+Inputs!$B$16/100)*(5000/(6000+Inputs!$B$42*(1-(100*(1-(1-(Inputs!$B$19+0)/100)*(1-CHOOSE(ArtifactsInput!$N$40+1,5,6,7,8,9,10)/100)^(ArtifactsInput!$M$40-ArtifactsInput!$M$40)))/100)))*(1+(Inputs!$B$24+((C2720=TRUE)*(F2720-Calc!F26))+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2717=TRUE)*(F2717-Calc!F23))+((C2721=TRUE)*(F2721-Calc!F27))+(((IF(AND(IF(ArtifactsInput!$M$42,FALSE,TRUE),((Inputs!$B$9+((C2713=TRUE)*(F2713-Calc!F19))+B2724+(ArtifactsInput!$M$24-ArtifactsInput!$M$24)*CHOOSE(ArtifactsInput!$N$24+1,10,12,14,16,18,20)+IF(ArtifactsInput!$M$10,CHOOSE(ArtifactsInput!$N$10+1,15,18,21,24,27,30)*(IF(Inputs!$B$38="pvp",MIN(15,15)/15,IF(AND(Inputs!$B$38&lt;&gt;"pvp",Inputs!$B$43&gt;0),MIN(15,Inputs!$B$43)/(Inputs!$B$43),0))),0)))&gt;=100),MIN(100,((Inputs!$B$9+((C2713=TRUE)*(F2713-Calc!F19))+B2724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2713=TRUE)*(F2713-Calc!F19))+B2724+(ArtifactsInput!$M$24-ArtifactsInput!$M$24)*CHOOSE(ArtifactsInput!$N$24+1,10,12,14,16,18,20)+IF(ArtifactsInput!$M$10,CHOOSE(ArtifactsInput!$N$10+1,15,18,21,24,27,30)*(IF(Inputs!$B$38="pvp",MIN(15,15)/15,IF(AND(Inputs!$B$38&lt;&gt;"pvp",Inputs!$B$43&gt;0),MIN(15,Inputs!$B$43)/(Inputs!$B$43),0))),0)))&gt;=100),CHOOSE(ArtifactsInput!$N$42+1,40,48,56,64,72,80),0))))/100)*((1+(((C2711=TRUE)*F2711)+((C2718=TRUE)*(F2718-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2707)</f>
        <v/>
      </c>
      <c r="L2707">
        <f>K2707*(MIN(Inputs!$B$22+((C2716=TRUE)*(F2716-Calc!F22)),(Inputs!$B$23+0+(IF(ArtifactsInput!$M$15,CHOOSE(ArtifactsInput!$N$15+1,25,30,35,40,45,50)/100*(Inputs!$B$11-Inputs!$B$11),0))))/100+(Inputs!$B$23+0+(IF(ArtifactsInput!$M$15,CHOOSE(ArtifactsInput!$N$15+1,25,30,35,40,45,50)/100*(Inputs!$B$11-Inputs!$B$11),0)))/100)/2</f>
        <v/>
      </c>
      <c r="M2707">
        <f>L2707*(1+(Inputs!$B$10+((C2719=TRUE)*(F2719-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7">
        <f>L2707*(1-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2707*(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7">
        <f>(1-Summary!$B$11)*T2707+Summary!$B$11*V2707</f>
        <v/>
      </c>
      <c r="P2707">
        <f>IF(B2734=0,0,O2707/B2734)</f>
        <v/>
      </c>
      <c r="Q2707">
        <f>IFERROR(1/(IF(Inputs!$B$38="pvp",15,MAX(0.1,Skills!D13-IF(Skills!E13=TRUE,Inputs!$B$32,0)))*(1-IF(AND(ArtifactsInput!$M$27,Inputs!$B$4="Chapter Hunt"),CHOOSE(ArtifactsInput!$N$27+1,20,24,28,32,36,40),0)/100)),0)</f>
        <v/>
      </c>
      <c r="R2707">
        <f>IF(AND(Inputs!$B$38&lt;&gt;"pvp",Inputs!$B$43&gt;0),IF(MAX(0,Inputs!$B$43-B2731)&lt;=0,0,(INT(MAX(0,Inputs!$B$43-B2731)/(IF(Inputs!$B$38="pvp",15,MAX(0.1,Skills!D13-IF(Skills!E13=TRUE,Inputs!$B$32,0)))*(1-IF(AND(ArtifactsInput!$M$27,Inputs!$B$4="Chapter Hunt"),CHOOSE(ArtifactsInput!$N$27+1,20,24,28,32,36,40),0)/100)))+1)),0)</f>
        <v/>
      </c>
      <c r="S2707">
        <f>IFERROR(O2707/N2707,0)</f>
        <v/>
      </c>
      <c r="T2707">
        <f>IF(C2707,(H2707*N2707*IF(AND(Inputs!$B$38&lt;&gt;"pvp",Inputs!$B$43&gt;0),((Skills!G13*((R2707-1)*IF(Skills!H13&gt;0,Skills!I13/Skills!H13,1)+IF(Skills!H13&gt;0,MIN(Skills!I13,MAX(0,MAX(0,Inputs!$B$43-B2731)-((R2707-1)*(IF(Inputs!$B$38="pvp",15,MAX(0.1,Skills!D13-IF(Skills!E13=TRUE,Inputs!$B$32,0)))*(1-IF(AND(ArtifactsInput!$M$27,Inputs!$B$4="Chapter Hunt"),CHOOSE(ArtifactsInput!$N$27+1,20,24,28,32,36,40),0)/100)))))/Skills!H13,1)))/Inputs!$B$43),G2707*Q2707))*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2707*(1-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2707*(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2707*(1-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2707*(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7">
        <f>IF(C2707,(H2707*N2707*IF(AND(Inputs!$B$38&lt;&gt;"pvp",Inputs!$B$43&gt;0),((Skills!G13*((R2707-1)*IF(Skills!H13&gt;0,Skills!I13/Skills!H13,1)+IF(Skills!H13&gt;0,MIN(Skills!I13,MAX(0,MAX(0,Inputs!$B$43-B2731)-((R2707-1)*(IF(Inputs!$B$38="pvp",15,MAX(0.1,Skills!D13-IF(Skills!E13=TRUE,Inputs!$B$32,0)))*(1-IF(AND(ArtifactsInput!$M$27,Inputs!$B$4="Chapter Hunt"),CHOOSE(ArtifactsInput!$N$27+1,20,24,28,32,36,40),0)/100)))))/Skills!H13,1)))/Inputs!$B$43),G2707*Q2707))*IF(Inputs!$B$38="pvp",1,(1+(Inputs!$B$21+Skills!Q13+(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8">
      <c r="A2708">
        <f>Skills!A14</f>
        <v/>
      </c>
      <c r="B2708">
        <f>Skills!B14</f>
        <v/>
      </c>
      <c r="C2708">
        <f>Inputs!$B$3&gt;=125</f>
        <v/>
      </c>
      <c r="D2708">
        <f>IF(Skills!C14=1,60+Inputs!$B$25+Inputs!$B$29,IF(Skills!C14=2,90+Inputs!$B$26+Inputs!$B$29,IF(Skills!C14=3,120+Inputs!$B$27+Inputs!$B$29,MAX(0,(Inputs!$B$3-100)*3)+Inputs!$B$28+Inputs!$B$29)))</f>
        <v/>
      </c>
      <c r="E2708">
        <f>INDEX(FactorTable!$B$2:$Y$301, MATCH(ROUND(MIN(300,MAX(1,D2708)),0), FactorTable!$A$2:$A$301,0), Skills!M14+1)</f>
        <v/>
      </c>
      <c r="F2708">
        <f>IF(Skills!N14=TRUE,(Skills!L14/10)*(E2708/1000),Skills!L14/10)+Skills!O14</f>
        <v/>
      </c>
      <c r="G2708">
        <f>Skills!G14*IF(Skills!H14&gt;0,Skills!I14/Skills!H14,1)</f>
        <v/>
      </c>
      <c r="H2708">
        <f>1-(1-Skills!J14/100)^Skills!K14</f>
        <v/>
      </c>
      <c r="I2708" t="inlineStr">
        <is>
          <t>1</t>
        </is>
      </c>
      <c r="J2708">
        <f>((Inputs!$B$6*(1+Inputs!$B$7/100))+(((Inputs!$B$12*(1+Inputs!$B$13/100))-(Inputs!$B$12*(1+Inputs!$B$13/100)))+0.25*(Inputs!$B$14-Inputs!$B$14))*(1+Inputs!$B$7/100))*(F2708/100)</f>
        <v/>
      </c>
      <c r="K2708">
        <f>J2708*(1+((Inputs!$B$12*(1+Inputs!$B$13/100))*0.01+Inputs!$B$14*0.0025)/100)*(1+Inputs!$B$15/100)*(1+Inputs!$B$16/100)*(5000/(6000+Inputs!$B$42*(1-(100*(1-(1-(Inputs!$B$19+0)/100)*(1-CHOOSE(ArtifactsInput!$N$40+1,5,6,7,8,9,10)/100)^(ArtifactsInput!$M$40-ArtifactsInput!$M$40)))/100)))*(1+(Inputs!$B$24+((C2720=TRUE)*(F2720-Calc!F26))+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2717=TRUE)*(F2717-Calc!F23))+((C2721=TRUE)*(F2721-Calc!F27))+(((IF(AND(IF(ArtifactsInput!$M$42,FALSE,TRUE),((Inputs!$B$9+((C2713=TRUE)*(F2713-Calc!F19))+B2724+(ArtifactsInput!$M$24-ArtifactsInput!$M$24)*CHOOSE(ArtifactsInput!$N$24+1,10,12,14,16,18,20)+IF(ArtifactsInput!$M$10,CHOOSE(ArtifactsInput!$N$10+1,15,18,21,24,27,30)*(IF(Inputs!$B$38="pvp",MIN(15,15)/15,IF(AND(Inputs!$B$38&lt;&gt;"pvp",Inputs!$B$43&gt;0),MIN(15,Inputs!$B$43)/(Inputs!$B$43),0))),0)))&gt;=100),MIN(100,((Inputs!$B$9+((C2713=TRUE)*(F2713-Calc!F19))+B2724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2713=TRUE)*(F2713-Calc!F19))+B2724+(ArtifactsInput!$M$24-ArtifactsInput!$M$24)*CHOOSE(ArtifactsInput!$N$24+1,10,12,14,16,18,20)+IF(ArtifactsInput!$M$10,CHOOSE(ArtifactsInput!$N$10+1,15,18,21,24,27,30)*(IF(Inputs!$B$38="pvp",MIN(15,15)/15,IF(AND(Inputs!$B$38&lt;&gt;"pvp",Inputs!$B$43&gt;0),MIN(15,Inputs!$B$43)/(Inputs!$B$43),0))),0)))&gt;=100),CHOOSE(ArtifactsInput!$N$42+1,40,48,56,64,72,80),0))))/100)*((1+(((C2711=TRUE)*F2711)+((C2718=TRUE)*(F2718-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2708)</f>
        <v/>
      </c>
      <c r="L2708">
        <f>K2708*(MIN(Inputs!$B$22+((C2716=TRUE)*(F2716-Calc!F22)),(Inputs!$B$23+0+(IF(ArtifactsInput!$M$15,CHOOSE(ArtifactsInput!$N$15+1,25,30,35,40,45,50)/100*(Inputs!$B$11-Inputs!$B$11),0))))/100+(Inputs!$B$23+0+(IF(ArtifactsInput!$M$15,CHOOSE(ArtifactsInput!$N$15+1,25,30,35,40,45,50)/100*(Inputs!$B$11-Inputs!$B$11),0)))/100)/2</f>
        <v/>
      </c>
      <c r="M2708">
        <f>L2708*(1+(Inputs!$B$10+((C2719=TRUE)*(F2719-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8">
        <f>L2708*(1-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2708*(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8">
        <f>(1-Summary!$B$11)*T2708+Summary!$B$11*V2708</f>
        <v/>
      </c>
      <c r="P2708">
        <f>IF(B2734=0,0,O2708/B2734)</f>
        <v/>
      </c>
      <c r="Q2708" t="n">
        <v>0</v>
      </c>
      <c r="R2708" t="n">
        <v>0</v>
      </c>
      <c r="S2708">
        <f>IFERROR(O2708/N2708,0)</f>
        <v/>
      </c>
      <c r="T2708">
        <f>IF(C2708,(H2708*N2708*(B2728+IF(AND(Inputs!$B$38&lt;&gt;"pvp",Inputs!$B$43&gt;0),((Skills!G8*((R2702-1)*IF(Skills!H8&gt;0,Skills!I8/Skills!H8,1)+IF(Skills!H8&gt;0,MIN(Skills!I8,MAX(0,MAX(0,Inputs!$B$43-B2731)-((R2702-1)*(IF(Inputs!$B$38="pvp",15,MAX(0.1,Skills!D8-IF(Skills!E8=TRUE,Inputs!$B$32,0)))*(1-IF(AND(ArtifactsInput!$M$27,Inputs!$B$4="Chapter Hunt"),CHOOSE(ArtifactsInput!$N$27+1,20,24,28,32,36,40),0)/100)))))/Skills!H8,1)))/Inputs!$B$43),G2702*Q2702)+IF(AND(Inputs!$B$38&lt;&gt;"pvp",Inputs!$B$43&gt;0),((Skills!G11*((R2705-1)*IF(Skills!H11&gt;0,Skills!I11/Skills!H11,1)+IF(Skills!H11&gt;0,MIN(Skills!I11,MAX(0,MAX(0,Inputs!$B$43-B2731)-((R2705-1)*(IF(Inputs!$B$38="pvp",15,MAX(0.1,Skills!D11-IF(Skills!E11=TRUE,Inputs!$B$32,0)))*(1-IF(AND(ArtifactsInput!$M$27,Inputs!$B$4="Chapter Hunt"),CHOOSE(ArtifactsInput!$N$27+1,20,24,28,32,36,40),0)/100)))))/Skills!H11,1)))/Inputs!$B$43),G2705*Q2705)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2708*(1-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2708*(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2708*(1-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2708*(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8">
        <f>IF(C2708,(H2708*N2708*(B2728+IF(AND(Inputs!$B$38&lt;&gt;"pvp",Inputs!$B$43&gt;0),((Skills!G8*((R2702-1)*IF(Skills!H8&gt;0,Skills!I8/Skills!H8,1)+IF(Skills!H8&gt;0,MIN(Skills!I8,MAX(0,MAX(0,Inputs!$B$43-B2731)-((R2702-1)*(IF(Inputs!$B$38="pvp",15,MAX(0.1,Skills!D8-IF(Skills!E8=TRUE,Inputs!$B$32,0)))*(1-IF(AND(ArtifactsInput!$M$27,Inputs!$B$4="Chapter Hunt"),CHOOSE(ArtifactsInput!$N$27+1,20,24,28,32,36,40),0)/100)))))/Skills!H8,1)))/Inputs!$B$43),G2702*Q2702)+IF(AND(Inputs!$B$38&lt;&gt;"pvp",Inputs!$B$43&gt;0),((Skills!G11*((R2705-1)*IF(Skills!H11&gt;0,Skills!I11/Skills!H11,1)+IF(Skills!H11&gt;0,MIN(Skills!I11,MAX(0,MAX(0,Inputs!$B$43-B2731)-((R2705-1)*(IF(Inputs!$B$38="pvp",15,MAX(0.1,Skills!D11-IF(Skills!E11=TRUE,Inputs!$B$32,0)))*(1-IF(AND(ArtifactsInput!$M$27,Inputs!$B$4="Chapter Hunt"),CHOOSE(ArtifactsInput!$N$27+1,20,24,28,32,36,40),0)/100)))))/Skills!H11,1)))/Inputs!$B$43),G2705*Q2705)))*IF(Inputs!$B$38="pvp",1,(1+(Inputs!$B$21+Skills!Q14+(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9">
      <c r="A2709">
        <f>Skills!A15</f>
        <v/>
      </c>
      <c r="B2709">
        <f>Skills!B15</f>
        <v/>
      </c>
      <c r="C2709">
        <f>Inputs!$B$3&gt;=100</f>
        <v/>
      </c>
      <c r="D2709">
        <f>IF(Skills!C15=1,60+Inputs!$B$25+Inputs!$B$29,IF(Skills!C15=2,90+Inputs!$B$26+Inputs!$B$29,IF(Skills!C15=3,120+Inputs!$B$27+Inputs!$B$29,MAX(0,(Inputs!$B$3-100)*3)+Inputs!$B$28+Inputs!$B$29)))</f>
        <v/>
      </c>
      <c r="E2709">
        <f>INDEX(FactorTable!$B$2:$Y$301, MATCH(ROUND(MIN(300,MAX(1,D2709)),0), FactorTable!$A$2:$A$301,0), Skills!M15+1)</f>
        <v/>
      </c>
      <c r="F2709">
        <f>IF(Skills!N15=TRUE,(Skills!L15/10)*(E2709/1000),Skills!L15/10)+Skills!O15</f>
        <v/>
      </c>
      <c r="G2709" t="inlineStr"/>
      <c r="H2709" t="inlineStr"/>
      <c r="I2709" t="inlineStr">
        <is>
          <t>1</t>
        </is>
      </c>
      <c r="J2709" t="inlineStr"/>
      <c r="K2709" t="inlineStr"/>
      <c r="L2709" t="inlineStr"/>
      <c r="M2709" t="inlineStr"/>
      <c r="N2709" t="inlineStr"/>
      <c r="O2709" t="inlineStr"/>
      <c r="P2709" t="inlineStr"/>
      <c r="Q2709" t="inlineStr"/>
      <c r="R2709" t="inlineStr"/>
      <c r="S2709" t="inlineStr"/>
    </row>
    <row r="2710">
      <c r="A2710">
        <f>Skills!A16</f>
        <v/>
      </c>
      <c r="B2710">
        <f>Skills!B16</f>
        <v/>
      </c>
      <c r="C2710">
        <f>Inputs!$B$3&gt;=120</f>
        <v/>
      </c>
      <c r="D2710">
        <f>IF(Skills!C16=1,60+Inputs!$B$25+Inputs!$B$29,IF(Skills!C16=2,90+Inputs!$B$26+Inputs!$B$29,IF(Skills!C16=3,120+Inputs!$B$27+Inputs!$B$29,MAX(0,(Inputs!$B$3-100)*3)+Inputs!$B$28+Inputs!$B$29)))</f>
        <v/>
      </c>
      <c r="E2710">
        <f>INDEX(FactorTable!$B$2:$Y$301, MATCH(ROUND(MIN(300,MAX(1,D2710)),0), FactorTable!$A$2:$A$301,0), Skills!M16+1)</f>
        <v/>
      </c>
      <c r="F2710">
        <f>IF(Skills!N16=TRUE,(Skills!L16/10)*(E2710/1000),Skills!L16/10)+Skills!O16</f>
        <v/>
      </c>
      <c r="G2710" t="inlineStr"/>
      <c r="H2710" t="inlineStr"/>
      <c r="I2710" t="inlineStr">
        <is>
          <t>1</t>
        </is>
      </c>
      <c r="J2710" t="inlineStr"/>
      <c r="K2710" t="inlineStr"/>
      <c r="L2710" t="inlineStr"/>
      <c r="M2710" t="inlineStr"/>
      <c r="N2710" t="inlineStr"/>
      <c r="O2710" t="inlineStr"/>
      <c r="P2710" t="inlineStr"/>
      <c r="Q2710" t="inlineStr"/>
      <c r="R2710" t="inlineStr"/>
      <c r="S2710" t="inlineStr"/>
    </row>
    <row r="2711">
      <c r="A2711">
        <f>Skills!A17</f>
        <v/>
      </c>
      <c r="B2711">
        <f>Skills!B17</f>
        <v/>
      </c>
      <c r="C2711">
        <f>Inputs!$B$3&gt;=66</f>
        <v/>
      </c>
      <c r="D2711">
        <f>IF(Skills!C17=1,60+Inputs!$B$25+Inputs!$B$29,IF(Skills!C17=2,90+Inputs!$B$26+Inputs!$B$29,IF(Skills!C17=3,120+Inputs!$B$27+Inputs!$B$29,MAX(0,(Inputs!$B$3-100)*3)+Inputs!$B$28+Inputs!$B$29)))</f>
        <v/>
      </c>
      <c r="E2711">
        <f>INDEX(FactorTable!$B$2:$Y$301, MATCH(ROUND(MIN(300,MAX(1,D2711)),0), FactorTable!$A$2:$A$301,0), Skills!M17+1)</f>
        <v/>
      </c>
      <c r="F2711">
        <f>IF(Skills!N17=TRUE,(Skills!L17/10)*(E2711/1000),Skills!L17/10)+Skills!O17</f>
        <v/>
      </c>
      <c r="G2711">
        <f>Skills!G17*IF(Skills!H17&gt;0,Skills!I17/Skills!H17,1)</f>
        <v/>
      </c>
      <c r="H2711">
        <f>1-(1-Skills!J17/100)^Skills!K17</f>
        <v/>
      </c>
      <c r="I2711" t="inlineStr">
        <is>
          <t>1</t>
        </is>
      </c>
      <c r="J2711" t="inlineStr"/>
      <c r="K2711" t="inlineStr"/>
      <c r="L2711" t="inlineStr"/>
      <c r="M2711" t="inlineStr"/>
      <c r="N2711" t="inlineStr"/>
      <c r="O2711">
        <f>(1-Summary!$B$11)*T2711+Summary!$B$11*V2711</f>
        <v/>
      </c>
      <c r="P2711">
        <f>IF(B2734=0,0,O2711/B2734)</f>
        <v/>
      </c>
      <c r="Q2711" t="n">
        <v>0</v>
      </c>
      <c r="R2711" t="n">
        <v>0</v>
      </c>
      <c r="S2711">
        <f>IFERROR(O2711/N2711,0)</f>
        <v/>
      </c>
      <c r="T2711" t="n">
        <v>0</v>
      </c>
      <c r="V2711" t="n">
        <v>0</v>
      </c>
    </row>
    <row r="2712">
      <c r="A2712">
        <f>Skills!A18</f>
        <v/>
      </c>
      <c r="B2712">
        <f>Skills!B18</f>
        <v/>
      </c>
      <c r="C2712">
        <f>Inputs!$B$3&gt;=115</f>
        <v/>
      </c>
      <c r="D2712">
        <f>IF(Skills!C18=1,60+Inputs!$B$25+Inputs!$B$29,IF(Skills!C18=2,90+Inputs!$B$26+Inputs!$B$29,IF(Skills!C18=3,120+Inputs!$B$27+Inputs!$B$29,MAX(0,(Inputs!$B$3-100)*3)+Inputs!$B$28+Inputs!$B$29)))</f>
        <v/>
      </c>
      <c r="E2712">
        <f>INDEX(FactorTable!$B$2:$Y$301, MATCH(ROUND(MIN(300,MAX(1,D2712)),0), FactorTable!$A$2:$A$301,0), Skills!M18+1)</f>
        <v/>
      </c>
      <c r="F2712">
        <f>IF(Skills!N18=TRUE,(Skills!L18/10)*(E2712/1000),Skills!L18/10)+Skills!O18</f>
        <v/>
      </c>
      <c r="G2712">
        <f>Skills!G18*IF(Skills!H18&gt;0,Skills!I18/Skills!H18,1)</f>
        <v/>
      </c>
      <c r="H2712">
        <f>1-(1-Skills!J18/100)^Skills!K18</f>
        <v/>
      </c>
      <c r="I2712" t="inlineStr">
        <is>
          <t>1</t>
        </is>
      </c>
      <c r="J2712" t="inlineStr"/>
      <c r="K2712" t="inlineStr"/>
      <c r="L2712" t="inlineStr"/>
      <c r="M2712" t="inlineStr"/>
      <c r="N2712" t="inlineStr"/>
      <c r="O2712">
        <f>(1-Summary!$B$11)*T2712+Summary!$B$11*V2712</f>
        <v/>
      </c>
      <c r="P2712">
        <f>IF(B2734=0,0,O2712/B2734)</f>
        <v/>
      </c>
      <c r="Q2712" t="n">
        <v>0</v>
      </c>
      <c r="R2712" t="n">
        <v>0</v>
      </c>
      <c r="S2712">
        <f>IFERROR(O2712/N2712,0)</f>
        <v/>
      </c>
      <c r="T2712" t="n">
        <v>0</v>
      </c>
      <c r="V2712" t="n">
        <v>0</v>
      </c>
    </row>
    <row r="2713">
      <c r="A2713">
        <f>Skills!A19</f>
        <v/>
      </c>
      <c r="B2713">
        <f>Skills!B19</f>
        <v/>
      </c>
      <c r="C2713">
        <f>Inputs!$B$3&gt;=15</f>
        <v/>
      </c>
      <c r="D2713">
        <f>IF(Skills!C19=1,60+Inputs!$B$25+Inputs!$B$29,IF(Skills!C19=2,90+Inputs!$B$26+Inputs!$B$29,IF(Skills!C19=3,120+Inputs!$B$27+Inputs!$B$29,MAX(0,(Inputs!$B$3-100)*3)+Inputs!$B$28+Inputs!$B$29)))</f>
        <v/>
      </c>
      <c r="E2713">
        <f>INDEX(FactorTable!$B$2:$Y$301, MATCH(ROUND(MIN(300,MAX(1,D2713)),0), FactorTable!$A$2:$A$301,0), Skills!M19+1)</f>
        <v/>
      </c>
      <c r="F2713">
        <f>IF(Skills!N19=TRUE,(Skills!L19/10)*(E2713/1000),Skills!L19/10)+Skills!O19</f>
        <v/>
      </c>
      <c r="G2713">
        <f>Skills!G19*IF(Skills!H19&gt;0,Skills!I19/Skills!H19,1)</f>
        <v/>
      </c>
      <c r="H2713">
        <f>1-(1-Skills!J19/100)^Skills!K19</f>
        <v/>
      </c>
      <c r="I2713" t="inlineStr">
        <is>
          <t>1</t>
        </is>
      </c>
      <c r="J2713" t="inlineStr"/>
      <c r="K2713" t="inlineStr"/>
      <c r="L2713" t="inlineStr"/>
      <c r="M2713" t="inlineStr"/>
      <c r="N2713" t="inlineStr"/>
      <c r="O2713">
        <f>(1-Summary!$B$11)*T2713+Summary!$B$11*V2713</f>
        <v/>
      </c>
      <c r="P2713">
        <f>IF(B2734=0,0,O2713/B2734)</f>
        <v/>
      </c>
      <c r="Q2713" t="n">
        <v>0</v>
      </c>
      <c r="R2713" t="n">
        <v>0</v>
      </c>
      <c r="S2713">
        <f>IFERROR(O2713/N2713,0)</f>
        <v/>
      </c>
      <c r="T2713" t="n">
        <v>0</v>
      </c>
      <c r="V2713" t="n">
        <v>0</v>
      </c>
    </row>
    <row r="2714">
      <c r="A2714">
        <f>Skills!A20</f>
        <v/>
      </c>
      <c r="B2714">
        <f>Skills!B20</f>
        <v/>
      </c>
      <c r="C2714">
        <f>Inputs!$B$3&gt;=10</f>
        <v/>
      </c>
      <c r="D2714">
        <f>IF(Skills!C20=1,60+Inputs!$B$25+Inputs!$B$29,IF(Skills!C20=2,90+Inputs!$B$26+Inputs!$B$29,IF(Skills!C20=3,120+Inputs!$B$27+Inputs!$B$29,MAX(0,(Inputs!$B$3-100)*3)+Inputs!$B$28+Inputs!$B$29)))</f>
        <v/>
      </c>
      <c r="E2714">
        <f>INDEX(FactorTable!$B$2:$Y$301, MATCH(ROUND(MIN(300,MAX(1,D2714)),0), FactorTable!$A$2:$A$301,0), Skills!M20+1)</f>
        <v/>
      </c>
      <c r="F2714">
        <f>IF(Skills!N20=TRUE,(Skills!L20/10)*(E2714/1000),Skills!L20/10)+Skills!O20</f>
        <v/>
      </c>
      <c r="G2714">
        <f>Skills!G20*IF(Skills!H20&gt;0,Skills!I20/Skills!H20,1)</f>
        <v/>
      </c>
      <c r="H2714">
        <f>1-(1-Skills!J20/100)^Skills!K20</f>
        <v/>
      </c>
      <c r="I2714" t="inlineStr">
        <is>
          <t>1</t>
        </is>
      </c>
      <c r="J2714" t="inlineStr"/>
      <c r="K2714" t="inlineStr"/>
      <c r="L2714" t="inlineStr"/>
      <c r="M2714" t="inlineStr"/>
      <c r="N2714" t="inlineStr"/>
      <c r="O2714">
        <f>(1-Summary!$B$11)*T2714+Summary!$B$11*V2714</f>
        <v/>
      </c>
      <c r="P2714">
        <f>IF(B2734=0,0,O2714/B2734)</f>
        <v/>
      </c>
      <c r="Q2714" t="n">
        <v>0</v>
      </c>
      <c r="R2714" t="n">
        <v>0</v>
      </c>
      <c r="S2714">
        <f>IFERROR(O2714/N2714,0)</f>
        <v/>
      </c>
      <c r="T2714" t="n">
        <v>0</v>
      </c>
      <c r="V2714" t="n">
        <v>0</v>
      </c>
    </row>
    <row r="2715">
      <c r="A2715">
        <f>Skills!A21</f>
        <v/>
      </c>
      <c r="B2715">
        <f>Skills!B21</f>
        <v/>
      </c>
      <c r="C2715">
        <f>Inputs!$B$3&gt;=33</f>
        <v/>
      </c>
      <c r="D2715">
        <f>IF(Skills!C21=1,60+Inputs!$B$25+Inputs!$B$29,IF(Skills!C21=2,90+Inputs!$B$26+Inputs!$B$29,IF(Skills!C21=3,120+Inputs!$B$27+Inputs!$B$29,MAX(0,(Inputs!$B$3-100)*3)+Inputs!$B$28+Inputs!$B$29)))</f>
        <v/>
      </c>
      <c r="E2715">
        <f>INDEX(FactorTable!$B$2:$Y$301, MATCH(ROUND(MIN(300,MAX(1,D2715)),0), FactorTable!$A$2:$A$301,0), Skills!M21+1)</f>
        <v/>
      </c>
      <c r="F2715">
        <f>IF(Skills!N21=TRUE,(Skills!L21/10)*(E2715/1000),Skills!L21/10)+Skills!O21</f>
        <v/>
      </c>
      <c r="G2715">
        <f>Skills!G21*IF(Skills!H21&gt;0,Skills!I21/Skills!H21,1)</f>
        <v/>
      </c>
      <c r="H2715">
        <f>1-(1-Skills!J21/100)^Skills!K21</f>
        <v/>
      </c>
      <c r="I2715" t="inlineStr">
        <is>
          <t>1</t>
        </is>
      </c>
      <c r="J2715" t="inlineStr"/>
      <c r="K2715" t="inlineStr"/>
      <c r="L2715" t="inlineStr"/>
      <c r="M2715" t="inlineStr"/>
      <c r="N2715" t="inlineStr"/>
      <c r="O2715">
        <f>(1-Summary!$B$11)*T2715+Summary!$B$11*V2715</f>
        <v/>
      </c>
      <c r="P2715">
        <f>IF(B2734=0,0,O2715/B2734)</f>
        <v/>
      </c>
      <c r="Q2715" t="n">
        <v>0</v>
      </c>
      <c r="R2715" t="n">
        <v>0</v>
      </c>
      <c r="S2715">
        <f>IFERROR(O2715/N2715,0)</f>
        <v/>
      </c>
      <c r="T2715" t="n">
        <v>0</v>
      </c>
      <c r="V2715" t="n">
        <v>0</v>
      </c>
    </row>
    <row r="2716">
      <c r="A2716">
        <f>Skills!A22</f>
        <v/>
      </c>
      <c r="B2716">
        <f>Skills!B22</f>
        <v/>
      </c>
      <c r="C2716">
        <f>Inputs!$B$3&gt;=43</f>
        <v/>
      </c>
      <c r="D2716">
        <f>IF(Skills!C22=1,60+Inputs!$B$25+Inputs!$B$29,IF(Skills!C22=2,90+Inputs!$B$26+Inputs!$B$29,IF(Skills!C22=3,120+Inputs!$B$27+Inputs!$B$29,MAX(0,(Inputs!$B$3-100)*3)+Inputs!$B$28+Inputs!$B$29)))</f>
        <v/>
      </c>
      <c r="E2716">
        <f>INDEX(FactorTable!$B$2:$Y$301, MATCH(ROUND(MIN(300,MAX(1,D2716)),0), FactorTable!$A$2:$A$301,0), Skills!M22+1)</f>
        <v/>
      </c>
      <c r="F2716">
        <f>IF(Skills!N22=TRUE,(Skills!L22/10)*(E2716/1000),Skills!L22/10)+Skills!O22</f>
        <v/>
      </c>
      <c r="G2716">
        <f>Skills!G22*IF(Skills!H22&gt;0,Skills!I22/Skills!H22,1)</f>
        <v/>
      </c>
      <c r="H2716">
        <f>1-(1-Skills!J22/100)^Skills!K22</f>
        <v/>
      </c>
      <c r="I2716" t="inlineStr">
        <is>
          <t>1</t>
        </is>
      </c>
      <c r="J2716" t="inlineStr"/>
      <c r="K2716" t="inlineStr"/>
      <c r="L2716" t="inlineStr"/>
      <c r="M2716" t="inlineStr"/>
      <c r="N2716" t="inlineStr"/>
      <c r="O2716">
        <f>(1-Summary!$B$11)*T2716+Summary!$B$11*V2716</f>
        <v/>
      </c>
      <c r="P2716">
        <f>IF(B2734=0,0,O2716/B2734)</f>
        <v/>
      </c>
      <c r="Q2716" t="n">
        <v>0</v>
      </c>
      <c r="R2716" t="n">
        <v>0</v>
      </c>
      <c r="S2716">
        <f>IFERROR(O2716/N2716,0)</f>
        <v/>
      </c>
      <c r="T2716" t="n">
        <v>0</v>
      </c>
      <c r="V2716" t="n">
        <v>0</v>
      </c>
    </row>
    <row r="2717">
      <c r="A2717">
        <f>Skills!A23</f>
        <v/>
      </c>
      <c r="B2717">
        <f>Skills!B23</f>
        <v/>
      </c>
      <c r="C2717">
        <f>Inputs!$B$3&gt;=38</f>
        <v/>
      </c>
      <c r="D2717">
        <f>IF(Skills!C23=1,60+Inputs!$B$25+Inputs!$B$29,IF(Skills!C23=2,90+Inputs!$B$26+Inputs!$B$29,IF(Skills!C23=3,120+Inputs!$B$27+Inputs!$B$29,MAX(0,(Inputs!$B$3-100)*3)+Inputs!$B$28+Inputs!$B$29)))</f>
        <v/>
      </c>
      <c r="E2717">
        <f>INDEX(FactorTable!$B$2:$Y$301, MATCH(ROUND(MIN(300,MAX(1,D2717)),0), FactorTable!$A$2:$A$301,0), Skills!M23+1)</f>
        <v/>
      </c>
      <c r="F2717">
        <f>IF(Skills!N23=TRUE,(Skills!L23/10)*(E2717/1000),Skills!L23/10)+Skills!O23</f>
        <v/>
      </c>
      <c r="G2717">
        <f>Skills!G23*IF(Skills!H23&gt;0,Skills!I23/Skills!H23,1)</f>
        <v/>
      </c>
      <c r="H2717">
        <f>1-(1-Skills!J23/100)^Skills!K23</f>
        <v/>
      </c>
      <c r="I2717" t="inlineStr">
        <is>
          <t>1</t>
        </is>
      </c>
      <c r="J2717" t="inlineStr"/>
      <c r="K2717" t="inlineStr"/>
      <c r="L2717" t="inlineStr"/>
      <c r="M2717" t="inlineStr"/>
      <c r="N2717" t="inlineStr"/>
      <c r="O2717">
        <f>(1-Summary!$B$11)*T2717+Summary!$B$11*V2717</f>
        <v/>
      </c>
      <c r="P2717">
        <f>IF(B2734=0,0,O2717/B2734)</f>
        <v/>
      </c>
      <c r="Q2717" t="n">
        <v>0</v>
      </c>
      <c r="R2717" t="n">
        <v>0</v>
      </c>
      <c r="S2717">
        <f>IFERROR(O2717/N2717,0)</f>
        <v/>
      </c>
      <c r="T2717" t="n">
        <v>0</v>
      </c>
      <c r="V2717" t="n">
        <v>0</v>
      </c>
    </row>
    <row r="2718">
      <c r="A2718">
        <f>Skills!A24</f>
        <v/>
      </c>
      <c r="B2718">
        <f>Skills!B24</f>
        <v/>
      </c>
      <c r="C2718">
        <f>Inputs!$B$3&gt;=40</f>
        <v/>
      </c>
      <c r="D2718">
        <f>IF(Skills!C24=1,60+Inputs!$B$25+Inputs!$B$29,IF(Skills!C24=2,90+Inputs!$B$26+Inputs!$B$29,IF(Skills!C24=3,120+Inputs!$B$27+Inputs!$B$29,MAX(0,(Inputs!$B$3-100)*3)+Inputs!$B$28+Inputs!$B$29)))</f>
        <v/>
      </c>
      <c r="E2718">
        <f>INDEX(FactorTable!$B$2:$Y$301, MATCH(ROUND(MIN(300,MAX(1,D2718)),0), FactorTable!$A$2:$A$301,0), Skills!M24+1)</f>
        <v/>
      </c>
      <c r="F2718">
        <f>IF(Skills!N24=TRUE,(Skills!L24/10)*(E2718/1000),Skills!L24/10)+Skills!O24</f>
        <v/>
      </c>
      <c r="G2718">
        <f>Skills!G24*IF(Skills!H24&gt;0,Skills!I24/Skills!H24,1)</f>
        <v/>
      </c>
      <c r="H2718">
        <f>1-(1-Skills!J24/100)^Skills!K24</f>
        <v/>
      </c>
      <c r="I2718" t="inlineStr">
        <is>
          <t>1</t>
        </is>
      </c>
      <c r="J2718" t="inlineStr"/>
      <c r="K2718" t="inlineStr"/>
      <c r="L2718" t="inlineStr"/>
      <c r="M2718" t="inlineStr"/>
      <c r="N2718" t="inlineStr"/>
      <c r="O2718">
        <f>(1-Summary!$B$11)*T2718+Summary!$B$11*V2718</f>
        <v/>
      </c>
      <c r="P2718">
        <f>IF(B2734=0,0,O2718/B2734)</f>
        <v/>
      </c>
      <c r="Q2718" t="n">
        <v>0</v>
      </c>
      <c r="R2718" t="n">
        <v>0</v>
      </c>
      <c r="S2718">
        <f>IFERROR(O2718/N2718,0)</f>
        <v/>
      </c>
      <c r="T2718" t="n">
        <v>0</v>
      </c>
      <c r="V2718" t="n">
        <v>0</v>
      </c>
    </row>
    <row r="2719">
      <c r="A2719">
        <f>Skills!A25</f>
        <v/>
      </c>
      <c r="B2719">
        <f>Skills!B25</f>
        <v/>
      </c>
      <c r="C2719">
        <f>Inputs!$B$3&gt;=72</f>
        <v/>
      </c>
      <c r="D2719">
        <f>IF(Skills!C25=1,60+Inputs!$B$25+Inputs!$B$29,IF(Skills!C25=2,90+Inputs!$B$26+Inputs!$B$29,IF(Skills!C25=3,120+Inputs!$B$27+Inputs!$B$29,MAX(0,(Inputs!$B$3-100)*3)+Inputs!$B$28+Inputs!$B$29)))</f>
        <v/>
      </c>
      <c r="E2719">
        <f>INDEX(FactorTable!$B$2:$Y$301, MATCH(ROUND(MIN(300,MAX(1,D2719)),0), FactorTable!$A$2:$A$301,0), Skills!M25+1)</f>
        <v/>
      </c>
      <c r="F2719">
        <f>IF(Skills!N25=TRUE,(Skills!L25/10)*(E2719/1000),Skills!L25/10)+Skills!O25</f>
        <v/>
      </c>
      <c r="G2719">
        <f>Skills!G25*IF(Skills!H25&gt;0,Skills!I25/Skills!H25,1)</f>
        <v/>
      </c>
      <c r="H2719">
        <f>1-(1-Skills!J25/100)^Skills!K25</f>
        <v/>
      </c>
      <c r="I2719" t="inlineStr">
        <is>
          <t>1</t>
        </is>
      </c>
      <c r="J2719" t="inlineStr"/>
      <c r="K2719" t="inlineStr"/>
      <c r="L2719" t="inlineStr"/>
      <c r="M2719" t="inlineStr"/>
      <c r="N2719" t="inlineStr"/>
      <c r="O2719">
        <f>(1-Summary!$B$11)*T2719+Summary!$B$11*V2719</f>
        <v/>
      </c>
      <c r="P2719">
        <f>IF(B2734=0,0,O2719/B2734)</f>
        <v/>
      </c>
      <c r="Q2719" t="n">
        <v>0</v>
      </c>
      <c r="R2719" t="n">
        <v>0</v>
      </c>
      <c r="S2719">
        <f>IFERROR(O2719/N2719,0)</f>
        <v/>
      </c>
      <c r="T2719" t="n">
        <v>0</v>
      </c>
      <c r="V2719" t="n">
        <v>0</v>
      </c>
    </row>
    <row r="2720">
      <c r="A2720">
        <f>Skills!A26</f>
        <v/>
      </c>
      <c r="B2720">
        <f>Skills!B26</f>
        <v/>
      </c>
      <c r="C2720">
        <f>Inputs!$B$3&gt;=75</f>
        <v/>
      </c>
      <c r="D2720">
        <f>IF(Skills!C26=1,60+Inputs!$B$25+Inputs!$B$29,IF(Skills!C26=2,90+Inputs!$B$26+Inputs!$B$29,IF(Skills!C26=3,120+Inputs!$B$27+Inputs!$B$29,MAX(0,(Inputs!$B$3-100)*3)+Inputs!$B$28+Inputs!$B$29)))</f>
        <v/>
      </c>
      <c r="E2720">
        <f>INDEX(FactorTable!$B$2:$Y$301, MATCH(ROUND(MIN(300,MAX(1,D2720)),0), FactorTable!$A$2:$A$301,0), Skills!M26+1)</f>
        <v/>
      </c>
      <c r="F2720">
        <f>IF(Skills!N26=TRUE,(Skills!L26/10)*(E2720/1000),Skills!L26/10)+Skills!O26</f>
        <v/>
      </c>
      <c r="G2720">
        <f>Skills!G26*IF(Skills!H26&gt;0,Skills!I26/Skills!H26,1)</f>
        <v/>
      </c>
      <c r="H2720">
        <f>1-(1-Skills!J26/100)^Skills!K26</f>
        <v/>
      </c>
      <c r="I2720" t="inlineStr">
        <is>
          <t>1</t>
        </is>
      </c>
      <c r="J2720" t="inlineStr"/>
      <c r="K2720" t="inlineStr"/>
      <c r="L2720" t="inlineStr"/>
      <c r="M2720" t="inlineStr"/>
      <c r="N2720" t="inlineStr"/>
      <c r="O2720">
        <f>(1-Summary!$B$11)*T2720+Summary!$B$11*V2720</f>
        <v/>
      </c>
      <c r="P2720">
        <f>IF(B2734=0,0,O2720/B2734)</f>
        <v/>
      </c>
      <c r="Q2720" t="n">
        <v>0</v>
      </c>
      <c r="R2720" t="n">
        <v>0</v>
      </c>
      <c r="S2720">
        <f>IFERROR(O2720/N2720,0)</f>
        <v/>
      </c>
      <c r="T2720" t="n">
        <v>0</v>
      </c>
      <c r="V2720" t="n">
        <v>0</v>
      </c>
    </row>
    <row r="2721">
      <c r="A2721">
        <f>Skills!A27</f>
        <v/>
      </c>
      <c r="B2721">
        <f>Skills!B27</f>
        <v/>
      </c>
      <c r="C2721">
        <f>Inputs!$B$3&gt;=117</f>
        <v/>
      </c>
      <c r="D2721">
        <f>IF(Skills!C27=1,60+Inputs!$B$25+Inputs!$B$29,IF(Skills!C27=2,90+Inputs!$B$26+Inputs!$B$29,IF(Skills!C27=3,120+Inputs!$B$27+Inputs!$B$29,MAX(0,(Inputs!$B$3-100)*3)+Inputs!$B$28+Inputs!$B$29)))</f>
        <v/>
      </c>
      <c r="E2721">
        <f>INDEX(FactorTable!$B$2:$Y$301, MATCH(ROUND(MIN(300,MAX(1,D2721)),0), FactorTable!$A$2:$A$301,0), Skills!M27+1)</f>
        <v/>
      </c>
      <c r="F2721">
        <f>IF(Skills!N27=TRUE,(Skills!L27/10)*(E2721/1000),Skills!L27/10)+Skills!O27</f>
        <v/>
      </c>
      <c r="G2721">
        <f>Skills!G27*IF(Skills!H27&gt;0,Skills!I27/Skills!H27,1)</f>
        <v/>
      </c>
      <c r="H2721">
        <f>1-(1-Skills!J27/100)^Skills!K27</f>
        <v/>
      </c>
      <c r="I2721" t="inlineStr">
        <is>
          <t>1</t>
        </is>
      </c>
      <c r="J2721" t="inlineStr"/>
      <c r="K2721" t="inlineStr"/>
      <c r="L2721" t="inlineStr"/>
      <c r="M2721" t="inlineStr"/>
      <c r="N2721" t="inlineStr"/>
      <c r="O2721">
        <f>(1-Summary!$B$11)*T2721+Summary!$B$11*V2721</f>
        <v/>
      </c>
      <c r="P2721">
        <f>IF(B2734=0,0,O2721/B2734)</f>
        <v/>
      </c>
      <c r="Q2721" t="n">
        <v>0</v>
      </c>
      <c r="R2721" t="n">
        <v>0</v>
      </c>
      <c r="S2721">
        <f>IFERROR(O2721/N2721,0)</f>
        <v/>
      </c>
      <c r="T2721" t="n">
        <v>0</v>
      </c>
      <c r="V2721" t="n">
        <v>0</v>
      </c>
    </row>
    <row r="2723">
      <c r="A2723" t="inlineStr">
        <is>
          <t>Attack% Bucket Multiplier</t>
        </is>
      </c>
      <c r="B2723">
        <f>(1+(((C2711=TRUE)*F2711)+((C2718=TRUE)*(F2718-Calc!F24))+(IF(ArtifactsInput!$M$21,CHOOSE(ArtifactsInput!$N$21+1,25,30,35,40,45,50)*(IF(OR(Inputs!$B$4="Chapter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24">
      <c r="A2724" t="inlineStr">
        <is>
          <t>Global Crit Rate Bonus %</t>
        </is>
      </c>
      <c r="B2724" t="n">
        <v>0</v>
      </c>
    </row>
    <row r="2725">
      <c r="A2725" t="inlineStr">
        <is>
          <t>Attack Speed Buff Bonus % (unused)</t>
        </is>
      </c>
      <c r="B2725" t="n">
        <v>0</v>
      </c>
    </row>
    <row r="2726">
      <c r="A2726" t="inlineStr">
        <is>
          <t>Actions Per Second</t>
        </is>
      </c>
      <c r="B2726">
        <f>1+MIN(150,150*(1-(1-(Inputs!$B$11+((C2714=TRUE)*(F2714-Calc!F20))+((C2715=TRUE)*(F2715-Calc!F21)))/150)*(1-B2725/150)))/100</f>
        <v/>
      </c>
    </row>
    <row r="2727">
      <c r="A2727" t="inlineStr">
        <is>
          <t>Skill + Buff Cast Rate</t>
        </is>
      </c>
      <c r="B2727">
        <f>IF(AND(Inputs!$B$38&lt;&gt;"pvp",Inputs!$B$43&gt;0),SUMPRODUCT((Skills!E2:E27=TRUE)*(C2696:C2721=TRUE)*R2696:R2721*Skills!F2:F27)/Inputs!$B$43,SUMPRODUCT((Skills!E2:E27=TRUE)*(C2696:C2721=TRUE)*Q2696:Q2721*Skills!F2:F27))</f>
        <v/>
      </c>
    </row>
    <row r="2728">
      <c r="A2728" t="inlineStr">
        <is>
          <t>Eight-Legs Easton Casts Per Second</t>
        </is>
      </c>
      <c r="B2728">
        <f>MAX(0,B2726-B2727)</f>
        <v/>
      </c>
    </row>
    <row r="2729">
      <c r="A2729" t="inlineStr">
        <is>
          <t>Global Critical Damage Bonus % (unused)</t>
        </is>
      </c>
      <c r="B2729" t="n">
        <v>0</v>
      </c>
    </row>
    <row r="2730">
      <c r="A2730" t="inlineStr">
        <is>
          <t>Global Final Damage Bonus % (Jolly Roger only)</t>
        </is>
      </c>
      <c r="B2730">
        <f>((C2712=TRUE)*F2712)</f>
        <v/>
      </c>
    </row>
    <row r="2731">
      <c r="A2731" t="inlineStr">
        <is>
          <t>Buff-Casting Startup Delay (s, fixed-duration only)</t>
        </is>
      </c>
      <c r="B2731">
        <f>IF(AND(Inputs!$B$38&lt;&gt;"pvp",Inputs!$B$43&gt;0),SUMPRODUCT((Skills!T2:T27&gt;0)*(Skills!E2:E27=TRUE)*(C2696:C2721=TRUE))/B2726,0)</f>
        <v/>
      </c>
    </row>
    <row r="2732">
      <c r="A2732" t="inlineStr">
        <is>
          <t>Boss-Only Total DPS (this block's swept value)</t>
        </is>
      </c>
      <c r="B2732">
        <f>SUM(T2696:T2721)</f>
        <v/>
      </c>
    </row>
    <row r="2733">
      <c r="A2733" t="inlineStr">
        <is>
          <t>Normal-Only Total DPS (this block's swept value)</t>
        </is>
      </c>
      <c r="B2733">
        <f>SUM(V2696:V2721)</f>
        <v/>
      </c>
    </row>
    <row r="2734">
      <c r="A2734" s="6" t="inlineStr">
        <is>
          <t>TOTAL DPS</t>
        </is>
      </c>
      <c r="B2734" s="6">
        <f>SUM(O2696:O2721)</f>
        <v/>
      </c>
    </row>
    <row r="2737">
      <c r="A2737" s="9" t="inlineStr">
        <is>
          <t>Cooldown Reduction Milestone Sweep (absolute CDR seconds, fixed-duration content only)</t>
        </is>
      </c>
    </row>
    <row r="2738">
      <c r="A2738" s="5" t="inlineStr">
        <is>
          <t>CDR (s)</t>
        </is>
      </c>
      <c r="B2738" s="5" t="inlineStr">
        <is>
          <t>Total DPS</t>
        </is>
      </c>
      <c r="C2738" s="5" t="inlineStr">
        <is>
          <t>DPS Gain (vs prior step)</t>
        </is>
      </c>
      <c r="D2738" s="5" t="inlineStr">
        <is>
          <t>% Gain (vs current CDR)</t>
        </is>
      </c>
    </row>
    <row r="2739">
      <c r="A2739" t="n">
        <v>0.5</v>
      </c>
      <c r="B2739">
        <f>B2791</f>
        <v/>
      </c>
      <c r="C2739" t="n">
        <v>0</v>
      </c>
      <c r="D2739">
        <f>IF(Summary!$B$3=0,0,(B2739-Summary!$B$3)/Summary!$B$3*100)</f>
        <v/>
      </c>
    </row>
    <row r="2740">
      <c r="A2740" t="n">
        <v>1</v>
      </c>
      <c r="B2740">
        <f>B2834</f>
        <v/>
      </c>
      <c r="C2740">
        <f>B2740-B2739</f>
        <v/>
      </c>
      <c r="D2740">
        <f>IF(Summary!$B$3=0,0,(B2740-Summary!$B$3)/Summary!$B$3*100)</f>
        <v/>
      </c>
    </row>
    <row r="2741">
      <c r="A2741" t="n">
        <v>1.5</v>
      </c>
      <c r="B2741">
        <f>B2877</f>
        <v/>
      </c>
      <c r="C2741">
        <f>B2741-B2740</f>
        <v/>
      </c>
      <c r="D2741">
        <f>IF(Summary!$B$3=0,0,(B2741-Summary!$B$3)/Summary!$B$3*100)</f>
        <v/>
      </c>
    </row>
    <row r="2742">
      <c r="A2742" t="n">
        <v>2</v>
      </c>
      <c r="B2742">
        <f>B2920</f>
        <v/>
      </c>
      <c r="C2742">
        <f>B2742-B2741</f>
        <v/>
      </c>
      <c r="D2742">
        <f>IF(Summary!$B$3=0,0,(B2742-Summary!$B$3)/Summary!$B$3*100)</f>
        <v/>
      </c>
    </row>
    <row r="2743">
      <c r="A2743" t="n">
        <v>2.5</v>
      </c>
      <c r="B2743">
        <f>B2963</f>
        <v/>
      </c>
      <c r="C2743">
        <f>B2743-B2742</f>
        <v/>
      </c>
      <c r="D2743">
        <f>IF(Summary!$B$3=0,0,(B2743-Summary!$B$3)/Summary!$B$3*100)</f>
        <v/>
      </c>
    </row>
    <row r="2744">
      <c r="A2744" t="n">
        <v>3</v>
      </c>
      <c r="B2744">
        <f>B3006</f>
        <v/>
      </c>
      <c r="C2744">
        <f>B2744-B2743</f>
        <v/>
      </c>
      <c r="D2744">
        <f>IF(Summary!$B$3=0,0,(B2744-Summary!$B$3)/Summary!$B$3*100)</f>
        <v/>
      </c>
    </row>
    <row r="2745">
      <c r="A2745" t="n">
        <v>3.5</v>
      </c>
      <c r="B2745">
        <f>B3049</f>
        <v/>
      </c>
      <c r="C2745">
        <f>B2745-B2744</f>
        <v/>
      </c>
      <c r="D2745">
        <f>IF(Summary!$B$3=0,0,(B2745-Summary!$B$3)/Summary!$B$3*100)</f>
        <v/>
      </c>
    </row>
    <row r="2746">
      <c r="A2746" t="n">
        <v>4</v>
      </c>
      <c r="B2746">
        <f>B3092</f>
        <v/>
      </c>
      <c r="C2746">
        <f>B2746-B2745</f>
        <v/>
      </c>
      <c r="D2746">
        <f>IF(Summary!$B$3=0,0,(B2746-Summary!$B$3)/Summary!$B$3*100)</f>
        <v/>
      </c>
    </row>
    <row r="2747">
      <c r="A2747" t="n">
        <v>4.5</v>
      </c>
      <c r="B2747">
        <f>B3135</f>
        <v/>
      </c>
      <c r="C2747">
        <f>B2747-B2746</f>
        <v/>
      </c>
      <c r="D2747">
        <f>IF(Summary!$B$3=0,0,(B2747-Summary!$B$3)/Summary!$B$3*100)</f>
        <v/>
      </c>
    </row>
    <row r="2748">
      <c r="A2748" t="n">
        <v>5</v>
      </c>
      <c r="B2748">
        <f>B3178</f>
        <v/>
      </c>
      <c r="C2748">
        <f>B2748-B2747</f>
        <v/>
      </c>
      <c r="D2748">
        <f>IF(Summary!$B$3=0,0,(B2748-Summary!$B$3)/Summary!$B$3*100)</f>
        <v/>
      </c>
    </row>
    <row r="2751">
      <c r="A2751" s="6" t="inlineStr">
        <is>
          <t>Stat: CDR = 0.5s</t>
        </is>
      </c>
    </row>
    <row r="2752">
      <c r="A2752" s="5" t="inlineStr">
        <is>
          <t>Key</t>
        </is>
      </c>
      <c r="B2752" s="5" t="inlineStr">
        <is>
          <t>Name</t>
        </is>
      </c>
      <c r="C2752" s="5" t="inlineStr">
        <is>
          <t>Unlocked</t>
        </is>
      </c>
      <c r="D2752" s="5" t="inlineStr">
        <is>
          <t>InputLevel</t>
        </is>
      </c>
      <c r="E2752" s="5" t="inlineStr">
        <is>
          <t>Factor</t>
        </is>
      </c>
      <c r="F2752" s="5" t="inlineStr">
        <is>
          <t>CoefficientPercent</t>
        </is>
      </c>
      <c r="G2752" s="5" t="inlineStr">
        <is>
          <t>EffectiveHits</t>
        </is>
      </c>
      <c r="H2752" s="5" t="inlineStr">
        <is>
          <t>ProcProbability</t>
        </is>
      </c>
      <c r="I2752" s="5" t="inlineStr">
        <is>
          <t>MapleHeroMultiplier</t>
        </is>
      </c>
      <c r="J2752" s="5" t="inlineStr">
        <is>
          <t>BaseDamage</t>
        </is>
      </c>
      <c r="K2752" s="5" t="inlineStr">
        <is>
          <t>BaseHitDamage</t>
        </is>
      </c>
      <c r="L2752" s="5" t="inlineStr">
        <is>
          <t>NonCritAvg</t>
        </is>
      </c>
      <c r="M2752" s="5" t="inlineStr">
        <is>
          <t>CritAvg</t>
        </is>
      </c>
      <c r="N2752" s="5" t="inlineStr">
        <is>
          <t>ExpectedDamage(perHit)</t>
        </is>
      </c>
      <c r="O2752" s="5" t="inlineStr">
        <is>
          <t>DPS</t>
        </is>
      </c>
      <c r="P2752" s="5" t="inlineStr">
        <is>
          <t>% of Total</t>
        </is>
      </c>
      <c r="Q2752" s="5" t="inlineStr">
        <is>
          <t>InvCooldown</t>
        </is>
      </c>
      <c r="R2752" s="5" t="inlineStr">
        <is>
          <t>CastsInFight</t>
        </is>
      </c>
      <c r="S2752" s="5" t="inlineStr">
        <is>
          <t>HitRate(perSec)</t>
        </is>
      </c>
      <c r="U2752" t="inlineStr">
        <is>
          <t>helpers</t>
        </is>
      </c>
    </row>
    <row r="2753">
      <c r="A2753">
        <f>Skills!A2</f>
        <v/>
      </c>
      <c r="B2753">
        <f>Skills!B2</f>
        <v/>
      </c>
      <c r="C2753">
        <f>Inputs!$B$3&gt;=100</f>
        <v/>
      </c>
      <c r="D2753" t="inlineStr"/>
      <c r="E2753" t="inlineStr"/>
      <c r="F2753">
        <f>U2755+Skills!O2</f>
        <v/>
      </c>
      <c r="G2753">
        <f>Skills!G2*IF(Skills!H2&gt;0,Skills!I2/Skills!H2,1)</f>
        <v/>
      </c>
      <c r="H2753">
        <f>1-(1-Skills!J2/100)^Skills!K2</f>
        <v/>
      </c>
      <c r="I2753" t="inlineStr">
        <is>
          <t>1</t>
        </is>
      </c>
      <c r="J2753">
        <f>((Inputs!$B$6*(1+Inputs!$B$7/100))+(((Inputs!$B$12*(1+Inputs!$B$13/100))-(Inputs!$B$12*(1+Inputs!$B$13/100)))+0.25*(Inputs!$B$14-Inputs!$B$14))*(1+Inputs!$B$7/100))*(F2753/100)</f>
        <v/>
      </c>
      <c r="K2753">
        <f>J2753*(1+((Inputs!$B$12*(1+Inputs!$B$13/100))*0.01+Inputs!$B$14*0.0025)/100)*(1+Inputs!$B$15/100)*(1+Inputs!$B$16/100)*(5000/(6000+Inputs!$B$42*(1-(100*(1-(1-(Inputs!$B$19+0)/100)*(1-CHOOSE(ArtifactsInput!$N$40+1,5,6,7,8,9,10)/100)^(ArtifactsInput!$M$40-ArtifactsInput!$M$40)))/100)))*(1+(Inputs!$B$24+((C2777=TRUE)*(F2777-Calc!F26))+B2787)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2774=TRUE)*(F2774-Calc!F23))+((C2778=TRUE)*(F2778-Calc!F27))+(((IF(AND(ArtifactsInput!$M$42,((Inputs!$B$9+((C2770=TRUE)*(F2770-Calc!F19))+B2781+(ArtifactsInput!$M$24-ArtifactsInput!$M$24)*CHOOSE(ArtifactsInput!$N$24+1,10,12,14,16,18,20)+IF(ArtifactsInput!$M$10,CHOOSE(ArtifactsInput!$N$10+1,15,18,21,24,27,30)*(IF(Inputs!$B$38="pvp",MIN(15,15)/15,IF(AND(Inputs!$B$38&lt;&gt;"pvp",Inputs!$B$43&gt;0),MIN(15,Inputs!$B$43)/(Inputs!$B$43),0))),0)))&gt;=100),MIN(100,((Inputs!$B$9+((C2770=TRUE)*(F2770-Calc!F19))+B2781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2770=TRUE)*(F2770-Calc!F19))+B2781+(ArtifactsInput!$M$24-ArtifactsInput!$M$24)*CHOOSE(ArtifactsInput!$N$24+1,10,12,14,16,18,20)+IF(ArtifactsInput!$M$10,CHOOSE(ArtifactsInput!$N$10+1,15,18,21,24,27,30)*(IF(Inputs!$B$38="pvp",MIN(15,15)/15,IF(AND(Inputs!$B$38&lt;&gt;"pvp",Inputs!$B$43&gt;0),MIN(15,Inputs!$B$43)/(Inputs!$B$43),0))),0)))&gt;=100),CHOOSE(ArtifactsInput!$N$42+1,40,48,56,64,72,80),0))))/100)*((1+(((C2768=TRUE)*F2768)+((C2775=TRUE)*(F2775-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2753)</f>
        <v/>
      </c>
      <c r="L2753">
        <f>K2753*(MIN(Inputs!$B$22+((C2773=TRUE)*(F2773-Calc!F22)),(Inputs!$B$23+0+(IF(ArtifactsInput!$M$15,CHOOSE(ArtifactsInput!$N$15+1,25,30,35,40,45,50)/100*(Inputs!$B$11-Inputs!$B$11),0))))/100+(Inputs!$B$23+0+(IF(ArtifactsInput!$M$15,CHOOSE(ArtifactsInput!$N$15+1,25,30,35,40,45,50)/100*(Inputs!$B$11-Inputs!$B$11),0)))/100)/2</f>
        <v/>
      </c>
      <c r="M2753">
        <f>L2753*(1+(Inputs!$B$10+((C2776=TRUE)*(F2776-Calc!F25))+B2786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3">
        <f>L2753*(1-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2753*(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3">
        <f>(1-Summary!$B$11)*T2753+Summary!$B$11*V2753</f>
        <v/>
      </c>
      <c r="P2753">
        <f>IF(B2791=0,0,O2753/B2791)</f>
        <v/>
      </c>
      <c r="Q2753" t="n">
        <v>0</v>
      </c>
      <c r="R2753" t="n">
        <v>0</v>
      </c>
      <c r="S2753">
        <f>IFERROR(O2753/N2753,0)</f>
        <v/>
      </c>
      <c r="T2753">
        <f>IF(C2753,(Skills!G2*N2753*B2785)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2753*(1-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2753*(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2753*(1-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2753*(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3">
        <f>MAX(0,(Inputs!$B$3-100)*3)+Inputs!$B$28+Inputs!$B$29</f>
        <v/>
      </c>
      <c r="V2753">
        <f>IF(C2753,(Skills!G2*N2753*B2785)*IF(Inputs!$B$38="pvp",1,(1+(Inputs!$B$21+Skills!Q2+(IF(ArtifactsInput!$M$33,CHOOSE(ArtifactsInput!$N$33+1,30,36,42,48,54,60),0))+(IF(AND(ArtifactsInput!$M$35,Inputs!$B$4&lt;&gt;"Chapter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4">
      <c r="A2754">
        <f>Skills!A3</f>
        <v/>
      </c>
      <c r="B2754">
        <f>Skills!B3</f>
        <v/>
      </c>
      <c r="C2754">
        <f>Inputs!$B$3&gt;=35</f>
        <v/>
      </c>
      <c r="D2754">
        <f>IF(Skills!C3=1,60+Inputs!$B$25+Inputs!$B$29,IF(Skills!C3=2,90+Inputs!$B$26+Inputs!$B$29,IF(Skills!C3=3,120+Inputs!$B$27+Inputs!$B$29,MAX(0,(Inputs!$B$3-100)*3)+Inputs!$B$28+Inputs!$B$29)))</f>
        <v/>
      </c>
      <c r="E2754">
        <f>INDEX(FactorTable!$B$2:$Y$301, MATCH(ROUND(MIN(300,MAX(1,D2754)),0), FactorTable!$A$2:$A$301,0), Skills!M3+1)</f>
        <v/>
      </c>
      <c r="F2754">
        <f>IF(Skills!N3=TRUE,(Skills!L3/10)*(E2754/1000),Skills!L3/10)+Skills!O3</f>
        <v/>
      </c>
      <c r="G2754">
        <f>Skills!G3*IF(Skills!H3&gt;0,Skills!I3/Skills!H3,1)</f>
        <v/>
      </c>
      <c r="H2754">
        <f>1-(1-Skills!J3/100)^Skills!K3</f>
        <v/>
      </c>
      <c r="I2754" t="inlineStr">
        <is>
          <t>1</t>
        </is>
      </c>
      <c r="J2754">
        <f>((Inputs!$B$6*(1+Inputs!$B$7/100))+(((Inputs!$B$12*(1+Inputs!$B$13/100))-(Inputs!$B$12*(1+Inputs!$B$13/100)))+0.25*(Inputs!$B$14-Inputs!$B$14))*(1+Inputs!$B$7/100))*(F2754/100)</f>
        <v/>
      </c>
      <c r="K2754">
        <f>J2754*(1+((Inputs!$B$12*(1+Inputs!$B$13/100))*0.01+Inputs!$B$14*0.0025)/100)*(1+Inputs!$B$15/100)*(1+Inputs!$B$16/100)*(5000/(6000+Inputs!$B$42*(1-(100*(1-(1-(Inputs!$B$19+0)/100)*(1-CHOOSE(ArtifactsInput!$N$40+1,5,6,7,8,9,10)/100)^(ArtifactsInput!$M$40-ArtifactsInput!$M$40)))/100)))*(1+(Inputs!$B$24+((C2777=TRUE)*(F2777-Calc!F26))+B2787)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2766=TRUE,F2766,0)/100)*(1+(IF(Skills!A3="EIGHT_LEGS_EASTON",Inputs!$B$17+((C2774=TRUE)*(F2774-Calc!F23))+((C2778=TRUE)*(F2778-Calc!F27))+(((IF(AND(ArtifactsInput!$M$42,((Inputs!$B$9+((C2770=TRUE)*(F2770-Calc!F19))+B2781+(ArtifactsInput!$M$24-ArtifactsInput!$M$24)*CHOOSE(ArtifactsInput!$N$24+1,10,12,14,16,18,20)+IF(ArtifactsInput!$M$10,CHOOSE(ArtifactsInput!$N$10+1,15,18,21,24,27,30)*(IF(Inputs!$B$38="pvp",MIN(15,15)/15,IF(AND(Inputs!$B$38&lt;&gt;"pvp",Inputs!$B$43&gt;0),MIN(15,Inputs!$B$43)/(Inputs!$B$43),0))),0)))&gt;=100),MIN(100,((Inputs!$B$9+((C2770=TRUE)*(F2770-Calc!F19))+B2781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2770=TRUE)*(F2770-Calc!F19))+B2781+(ArtifactsInput!$M$24-ArtifactsInput!$M$24)*CHOOSE(ArtifactsInput!$N$24+1,10,12,14,16,18,20)+IF(ArtifactsInput!$M$10,CHOOSE(ArtifactsInput!$N$10+1,15,18,21,24,27,30)*(IF(Inputs!$B$38="pvp",MIN(15,15)/15,IF(AND(Inputs!$B$38&lt;&gt;"pvp",Inputs!$B$43&gt;0),MIN(15,Inputs!$B$43)/(Inputs!$B$43),0))),0)))&gt;=100),CHOOSE(ArtifactsInput!$N$42+1,40,48,56,64,72,80),0))))/100)*((1+(((C2768=TRUE)*F2768)+((C2775=TRUE)*(F2775-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2754)</f>
        <v/>
      </c>
      <c r="L2754">
        <f>K2754*(MIN(Inputs!$B$22+((C2773=TRUE)*(F2773-Calc!F22)),(Inputs!$B$23+0+(IF(ArtifactsInput!$M$15,CHOOSE(ArtifactsInput!$N$15+1,25,30,35,40,45,50)/100*(Inputs!$B$11-Inputs!$B$11),0))))/100+(Inputs!$B$23+0+(IF(ArtifactsInput!$M$15,CHOOSE(ArtifactsInput!$N$15+1,25,30,35,40,45,50)/100*(Inputs!$B$11-Inputs!$B$11),0)))/100)/2</f>
        <v/>
      </c>
      <c r="M2754">
        <f>L2754*(1+(Inputs!$B$10+((C2776=TRUE)*(F2776-Calc!F25))+B2786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4">
        <f>L2754*(1-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2754*(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4">
        <f>(1-Summary!$B$11)*T2754+Summary!$B$11*V2754</f>
        <v/>
      </c>
      <c r="P2754">
        <f>IF(B2791=0,0,O2754/B2791)</f>
        <v/>
      </c>
      <c r="Q2754">
        <f>IFERROR(1/(IF(Inputs!$B$38="pvp",15,MAX(0.1,Skills!D3-IF(Skills!E3=TRUE,0.5,0)))*(1-IF(AND(ArtifactsInput!$M$27,Inputs!$B$4="Chapter Hunt"),CHOOSE(ArtifactsInput!$N$27+1,20,24,28,32,36,40),0)/100)),0)</f>
        <v/>
      </c>
      <c r="R2754">
        <f>IF(AND(Inputs!$B$38&lt;&gt;"pvp",Inputs!$B$43&gt;0),IF(MAX(0,Inputs!$B$43-B2788)&lt;=0,0,(INT(MAX(0,Inputs!$B$43-B2788)/(IF(Inputs!$B$38="pvp",15,MAX(0.1,Skills!D3-IF(Skills!E3=TRUE,0.5,0)))*(1-IF(AND(ArtifactsInput!$M$27,Inputs!$B$4="Chapter Hunt"),CHOOSE(ArtifactsInput!$N$27+1,20,24,28,32,36,40),0)/100)))+1)),0)</f>
        <v/>
      </c>
      <c r="S2754">
        <f>IFERROR(O2754/N2754,0)</f>
        <v/>
      </c>
      <c r="T2754">
        <f>IF(C2754,(H2754*N2754*IF(AND(Inputs!$B$38&lt;&gt;"pvp",Inputs!$B$43&gt;0),((Skills!G3*((R2754-1)*IF(Skills!H3&gt;0,Skills!I3/Skills!H3,1)+IF(Skills!H3&gt;0,MIN(Skills!I3,MAX(0,MAX(0,Inputs!$B$43-B2788)-((R2754-1)*(IF(Inputs!$B$38="pvp",15,MAX(0.1,Skills!D3-IF(Skills!E3=TRUE,0.5,0)))*(1-IF(AND(ArtifactsInput!$M$27,Inputs!$B$4="Chapter Hunt"),CHOOSE(ArtifactsInput!$N$27+1,20,24,28,32,36,40),0)/100)))))/Skills!H3,1)))/Inputs!$B$43),G2754*Q2754)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2754*(1-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2754*(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2754*(1-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2754*(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4">
        <f>INDEX(FactorTable!$B$2:$Y$301, MATCH(ROUND(MIN(300,MAX(1,U2753)),0), FactorTable!$A$2:$A$301,0), 22)</f>
        <v/>
      </c>
      <c r="V2754">
        <f>IF(C2754,(H2754*N2754*IF(AND(Inputs!$B$38&lt;&gt;"pvp",Inputs!$B$43&gt;0),((Skills!G3*((R2754-1)*IF(Skills!H3&gt;0,Skills!I3/Skills!H3,1)+IF(Skills!H3&gt;0,MIN(Skills!I3,MAX(0,MAX(0,Inputs!$B$43-B2788)-((R2754-1)*(IF(Inputs!$B$38="pvp",15,MAX(0.1,Skills!D3-IF(Skills!E3=TRUE,0.5,0)))*(1-IF(AND(ArtifactsInput!$M$27,Inputs!$B$4="Chapter Hunt"),CHOOSE(ArtifactsInput!$N$27+1,20,24,28,32,36,40),0)/100)))))/Skills!H3,1)))/Inputs!$B$43),G2754*Q2754))*IF(Inputs!$B$38="pvp",1,(1+(Inputs!$B$21+Skills!Q3+(IF(ArtifactsInput!$M$33,CHOOSE(ArtifactsInput!$N$33+1,30,36,42,48,54,60)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5">
      <c r="A2755">
        <f>Skills!A4</f>
        <v/>
      </c>
      <c r="B2755">
        <f>Skills!B4</f>
        <v/>
      </c>
      <c r="C2755">
        <f>Inputs!$B$3&gt;=40</f>
        <v/>
      </c>
      <c r="D2755">
        <f>IF(Skills!C4=1,60+Inputs!$B$25+Inputs!$B$29,IF(Skills!C4=2,90+Inputs!$B$26+Inputs!$B$29,IF(Skills!C4=3,120+Inputs!$B$27+Inputs!$B$29,MAX(0,(Inputs!$B$3-100)*3)+Inputs!$B$28+Inputs!$B$29)))</f>
        <v/>
      </c>
      <c r="E2755">
        <f>INDEX(FactorTable!$B$2:$Y$301, MATCH(ROUND(MIN(300,MAX(1,D2755)),0), FactorTable!$A$2:$A$301,0), Skills!M4+1)</f>
        <v/>
      </c>
      <c r="F2755">
        <f>IF(Skills!N4=TRUE,(Skills!L4/10)*(E2755/1000),Skills!L4/10)+Skills!O4</f>
        <v/>
      </c>
      <c r="G2755">
        <f>Skills!G4*IF(Skills!H4&gt;0,Skills!I4/Skills!H4,1)</f>
        <v/>
      </c>
      <c r="H2755">
        <f>1-(1-Skills!J4/100)^Skills!K4</f>
        <v/>
      </c>
      <c r="I2755" t="inlineStr">
        <is>
          <t>1</t>
        </is>
      </c>
      <c r="J2755">
        <f>((Inputs!$B$6*(1+Inputs!$B$7/100))+(((Inputs!$B$12*(1+Inputs!$B$13/100))-(Inputs!$B$12*(1+Inputs!$B$13/100)))+0.25*(Inputs!$B$14-Inputs!$B$14))*(1+Inputs!$B$7/100))*(F2755/100)</f>
        <v/>
      </c>
      <c r="K2755">
        <f>J2755*(1+((Inputs!$B$12*(1+Inputs!$B$13/100))*0.01+Inputs!$B$14*0.0025)/100)*(1+Inputs!$B$15/100)*(1+Inputs!$B$16/100)*(5000/(6000+Inputs!$B$42*(1-(100*(1-(1-(Inputs!$B$19+0)/100)*(1-CHOOSE(ArtifactsInput!$N$40+1,5,6,7,8,9,10)/100)^(ArtifactsInput!$M$40-ArtifactsInput!$M$40)))/100)))*(1+(Inputs!$B$24+((C2777=TRUE)*(F2777-Calc!F26))+B2787)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2767=TRUE,F2767,0)/100)*(1+(IF(Skills!A4="EIGHT_LEGS_EASTON",Inputs!$B$17+((C2774=TRUE)*(F2774-Calc!F23))+((C2778=TRUE)*(F2778-Calc!F27))+(((IF(AND(ArtifactsInput!$M$42,((Inputs!$B$9+((C2770=TRUE)*(F2770-Calc!F19))+B2781+(ArtifactsInput!$M$24-ArtifactsInput!$M$24)*CHOOSE(ArtifactsInput!$N$24+1,10,12,14,16,18,20)+IF(ArtifactsInput!$M$10,CHOOSE(ArtifactsInput!$N$10+1,15,18,21,24,27,30)*(IF(Inputs!$B$38="pvp",MIN(15,15)/15,IF(AND(Inputs!$B$38&lt;&gt;"pvp",Inputs!$B$43&gt;0),MIN(15,Inputs!$B$43)/(Inputs!$B$43),0))),0)))&gt;=100),MIN(100,((Inputs!$B$9+((C2770=TRUE)*(F2770-Calc!F19))+B2781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2770=TRUE)*(F2770-Calc!F19))+B2781+(ArtifactsInput!$M$24-ArtifactsInput!$M$24)*CHOOSE(ArtifactsInput!$N$24+1,10,12,14,16,18,20)+IF(ArtifactsInput!$M$10,CHOOSE(ArtifactsInput!$N$10+1,15,18,21,24,27,30)*(IF(Inputs!$B$38="pvp",MIN(15,15)/15,IF(AND(Inputs!$B$38&lt;&gt;"pvp",Inputs!$B$43&gt;0),MIN(15,Inputs!$B$43)/(Inputs!$B$43),0))),0)))&gt;=100),CHOOSE(ArtifactsInput!$N$42+1,40,48,56,64,72,80),0))))/100)*((1+(((C2768=TRUE)*F2768)+((C2775=TRUE)*(F2775-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2755)</f>
        <v/>
      </c>
      <c r="L2755">
        <f>K2755*(MIN(Inputs!$B$22+((C2773=TRUE)*(F2773-Calc!F22)),(Inputs!$B$23+0+(IF(ArtifactsInput!$M$15,CHOOSE(ArtifactsInput!$N$15+1,25,30,35,40,45,50)/100*(Inputs!$B$11-Inputs!$B$11),0))))/100+(Inputs!$B$23+0+(IF(ArtifactsInput!$M$15,CHOOSE(ArtifactsInput!$N$15+1,25,30,35,40,45,50)/100*(Inputs!$B$11-Inputs!$B$11),0)))/100)/2</f>
        <v/>
      </c>
      <c r="M2755">
        <f>L2755*(1+(Inputs!$B$10+((C2776=TRUE)*(F2776-Calc!F25))+B2786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5">
        <f>L2755*(1-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2755*(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5">
        <f>(1-Summary!$B$11)*T2755+Summary!$B$11*V2755</f>
        <v/>
      </c>
      <c r="P2755">
        <f>IF(B2791=0,0,O2755/B2791)</f>
        <v/>
      </c>
      <c r="Q2755">
        <f>IFERROR(1/(IF(Inputs!$B$38="pvp",15,MAX(0.1,Skills!D4-IF(Skills!E4=TRUE,0.5,0)))*(1-IF(AND(ArtifactsInput!$M$27,Inputs!$B$4="Chapter Hunt"),CHOOSE(ArtifactsInput!$N$27+1,20,24,28,32,36,40),0)/100)),0)</f>
        <v/>
      </c>
      <c r="R2755">
        <f>IF(AND(Inputs!$B$38&lt;&gt;"pvp",Inputs!$B$43&gt;0),IF(MAX(0,Inputs!$B$43-B2788)&lt;=0,0,(INT(MAX(0,Inputs!$B$43-B2788)/(IF(Inputs!$B$38="pvp",15,MAX(0.1,Skills!D4-IF(Skills!E4=TRUE,0.5,0)))*(1-IF(AND(ArtifactsInput!$M$27,Inputs!$B$4="Chapter Hunt"),CHOOSE(ArtifactsInput!$N$27+1,20,24,28,32,36,40),0)/100)))+1)),0)</f>
        <v/>
      </c>
      <c r="S2755">
        <f>IFERROR(O2755/N2755,0)</f>
        <v/>
      </c>
      <c r="T2755">
        <f>IF(C2755,(H2755*N2755*IF(AND(Inputs!$B$38&lt;&gt;"pvp",Inputs!$B$43&gt;0),((Skills!G4*((R2755-1)*IF(Skills!H4&gt;0,Skills!I4/Skills!H4,1)+IF(Skills!H4&gt;0,MIN(Skills!I4,MAX(0,MAX(0,Inputs!$B$43-B2788)-((R2755-1)*(IF(Inputs!$B$38="pvp",15,MAX(0.1,Skills!D4-IF(Skills!E4=TRUE,0.5,0)))*(1-IF(AND(ArtifactsInput!$M$27,Inputs!$B$4="Chapter Hunt"),CHOOSE(ArtifactsInput!$N$27+1,20,24,28,32,36,40),0)/100)))))/Skills!H4,1)))/Inputs!$B$43),G2755*Q2755)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2755*(1-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2755*(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2755*(1-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2755*(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5">
        <f>290*U2754/1000</f>
        <v/>
      </c>
      <c r="V2755">
        <f>IF(C2755,(H2755*N2755*IF(AND(Inputs!$B$38&lt;&gt;"pvp",Inputs!$B$43&gt;0),((Skills!G4*((R2755-1)*IF(Skills!H4&gt;0,Skills!I4/Skills!H4,1)+IF(Skills!H4&gt;0,MIN(Skills!I4,MAX(0,MAX(0,Inputs!$B$43-B2788)-((R2755-1)*(IF(Inputs!$B$38="pvp",15,MAX(0.1,Skills!D4-IF(Skills!E4=TRUE,0.5,0)))*(1-IF(AND(ArtifactsInput!$M$27,Inputs!$B$4="Chapter Hunt"),CHOOSE(ArtifactsInput!$N$27+1,20,24,28,32,36,40),0)/100)))))/Skills!H4,1)))/Inputs!$B$43),G2755*Q2755))*IF(Inputs!$B$38="pvp",1,(1+(Inputs!$B$21+Skills!Q4+(IF(ArtifactsInput!$M$33,CHOOSE(ArtifactsInput!$N$33+1,30,36,42,48,54,60)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6">
      <c r="A2756">
        <f>Skills!A5</f>
        <v/>
      </c>
      <c r="B2756">
        <f>Skills!B5</f>
        <v/>
      </c>
      <c r="C2756">
        <f>Inputs!$B$3&gt;=45</f>
        <v/>
      </c>
      <c r="D2756">
        <f>IF(Skills!C5=1,60+Inputs!$B$25+Inputs!$B$29,IF(Skills!C5=2,90+Inputs!$B$26+Inputs!$B$29,IF(Skills!C5=3,120+Inputs!$B$27+Inputs!$B$29,MAX(0,(Inputs!$B$3-100)*3)+Inputs!$B$28+Inputs!$B$29)))</f>
        <v/>
      </c>
      <c r="E2756">
        <f>INDEX(FactorTable!$B$2:$Y$301, MATCH(ROUND(MIN(300,MAX(1,D2756)),0), FactorTable!$A$2:$A$301,0), Skills!M5+1)</f>
        <v/>
      </c>
      <c r="F2756">
        <f>IF(Skills!N5=TRUE,(Skills!L5/10)*(E2756/1000),Skills!L5/10)+Skills!O5</f>
        <v/>
      </c>
      <c r="G2756">
        <f>Skills!G5*IF(Skills!H5&gt;0,Skills!I5/Skills!H5,1)</f>
        <v/>
      </c>
      <c r="H2756">
        <f>1-(1-Skills!J5/100)^Skills!K5</f>
        <v/>
      </c>
      <c r="I2756" t="inlineStr">
        <is>
          <t>1</t>
        </is>
      </c>
      <c r="J2756">
        <f>((Inputs!$B$6*(1+Inputs!$B$7/100))+(((Inputs!$B$12*(1+Inputs!$B$13/100))-(Inputs!$B$12*(1+Inputs!$B$13/100)))+0.25*(Inputs!$B$14-Inputs!$B$14))*(1+Inputs!$B$7/100))*(F2756/100)</f>
        <v/>
      </c>
      <c r="K2756">
        <f>J2756*(1+((Inputs!$B$12*(1+Inputs!$B$13/100))*0.01+Inputs!$B$14*0.0025)/100)*(1+Inputs!$B$15/100)*(1+Inputs!$B$16/100)*(5000/(6000+Inputs!$B$42*(1-(100*(1-(1-(Inputs!$B$19+0)/100)*(1-CHOOSE(ArtifactsInput!$N$40+1,5,6,7,8,9,10)/100)^(ArtifactsInput!$M$40-ArtifactsInput!$M$40)))/100)))*(1+(Inputs!$B$24+((C2777=TRUE)*(F2777-Calc!F26))+B2787)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2767=TRUE,F2767,0)/100)*(1+(IF(Skills!A5="EIGHT_LEGS_EASTON",Inputs!$B$17+((C2774=TRUE)*(F2774-Calc!F23))+((C2778=TRUE)*(F2778-Calc!F27))+(((IF(AND(ArtifactsInput!$M$42,((Inputs!$B$9+((C2770=TRUE)*(F2770-Calc!F19))+B2781+(ArtifactsInput!$M$24-ArtifactsInput!$M$24)*CHOOSE(ArtifactsInput!$N$24+1,10,12,14,16,18,20)+IF(ArtifactsInput!$M$10,CHOOSE(ArtifactsInput!$N$10+1,15,18,21,24,27,30)*(IF(Inputs!$B$38="pvp",MIN(15,15)/15,IF(AND(Inputs!$B$38&lt;&gt;"pvp",Inputs!$B$43&gt;0),MIN(15,Inputs!$B$43)/(Inputs!$B$43),0))),0)))&gt;=100),MIN(100,((Inputs!$B$9+((C2770=TRUE)*(F2770-Calc!F19))+B2781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2770=TRUE)*(F2770-Calc!F19))+B2781+(ArtifactsInput!$M$24-ArtifactsInput!$M$24)*CHOOSE(ArtifactsInput!$N$24+1,10,12,14,16,18,20)+IF(ArtifactsInput!$M$10,CHOOSE(ArtifactsInput!$N$10+1,15,18,21,24,27,30)*(IF(Inputs!$B$38="pvp",MIN(15,15)/15,IF(AND(Inputs!$B$38&lt;&gt;"pvp",Inputs!$B$43&gt;0),MIN(15,Inputs!$B$43)/(Inputs!$B$43),0))),0)))&gt;=100),CHOOSE(ArtifactsInput!$N$42+1,40,48,56,64,72,80),0))))/100)*((1+(((C2768=TRUE)*F2768)+((C2775=TRUE)*(F2775-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2756)</f>
        <v/>
      </c>
      <c r="L2756">
        <f>K2756*(MIN(Inputs!$B$22+((C2773=TRUE)*(F2773-Calc!F22)),(Inputs!$B$23+0+(IF(ArtifactsInput!$M$15,CHOOSE(ArtifactsInput!$N$15+1,25,30,35,40,45,50)/100*(Inputs!$B$11-Inputs!$B$11),0))))/100+(Inputs!$B$23+0+(IF(ArtifactsInput!$M$15,CHOOSE(ArtifactsInput!$N$15+1,25,30,35,40,45,50)/100*(Inputs!$B$11-Inputs!$B$11),0)))/100)/2</f>
        <v/>
      </c>
      <c r="M2756">
        <f>L2756*(1+(Inputs!$B$10+((C2776=TRUE)*(F2776-Calc!F25))+B2786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6">
        <f>L2756*(1-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2756*(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6">
        <f>(1-Summary!$B$11)*T2756+Summary!$B$11*V2756</f>
        <v/>
      </c>
      <c r="P2756">
        <f>IF(B2791=0,0,O2756/B2791)</f>
        <v/>
      </c>
      <c r="Q2756">
        <f>IFERROR(1/(IF(Inputs!$B$38="pvp",15,MAX(0.1,Skills!D5-IF(Skills!E5=TRUE,0.5,0)))*(1-IF(AND(ArtifactsInput!$M$27,Inputs!$B$4="Chapter Hunt"),CHOOSE(ArtifactsInput!$N$27+1,20,24,28,32,36,40),0)/100)),0)</f>
        <v/>
      </c>
      <c r="R2756">
        <f>IF(AND(Inputs!$B$38&lt;&gt;"pvp",Inputs!$B$43&gt;0),IF(MAX(0,Inputs!$B$43-B2788)&lt;=0,0,(INT(MAX(0,Inputs!$B$43-B2788)/(IF(Inputs!$B$38="pvp",15,MAX(0.1,Skills!D5-IF(Skills!E5=TRUE,0.5,0)))*(1-IF(AND(ArtifactsInput!$M$27,Inputs!$B$4="Chapter Hunt"),CHOOSE(ArtifactsInput!$N$27+1,20,24,28,32,36,40),0)/100)))+1)),0)</f>
        <v/>
      </c>
      <c r="S2756">
        <f>IFERROR(O2756/N2756,0)</f>
        <v/>
      </c>
      <c r="T2756">
        <f>IF(C2756,(H2756*N2756*IF(AND(Inputs!$B$38&lt;&gt;"pvp",Inputs!$B$43&gt;0),((Skills!G5*((R2756-1)*IF(Skills!H5&gt;0,Skills!I5/Skills!H5,1)+IF(Skills!H5&gt;0,MIN(Skills!I5,MAX(0,MAX(0,Inputs!$B$43-B2788)-((R2756-1)*(IF(Inputs!$B$38="pvp",15,MAX(0.1,Skills!D5-IF(Skills!E5=TRUE,0.5,0)))*(1-IF(AND(ArtifactsInput!$M$27,Inputs!$B$4="Chapter Hunt"),CHOOSE(ArtifactsInput!$N$27+1,20,24,28,32,36,40),0)/100)))))/Skills!H5,1)))/Inputs!$B$43),G2756*Q2756)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2756*(1-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2756*(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2756*(1-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2756*(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6">
        <f>IF(C2756,(H2756*N2756*IF(AND(Inputs!$B$38&lt;&gt;"pvp",Inputs!$B$43&gt;0),((Skills!G5*((R2756-1)*IF(Skills!H5&gt;0,Skills!I5/Skills!H5,1)+IF(Skills!H5&gt;0,MIN(Skills!I5,MAX(0,MAX(0,Inputs!$B$43-B2788)-((R2756-1)*(IF(Inputs!$B$38="pvp",15,MAX(0.1,Skills!D5-IF(Skills!E5=TRUE,0.5,0)))*(1-IF(AND(ArtifactsInput!$M$27,Inputs!$B$4="Chapter Hunt"),CHOOSE(ArtifactsInput!$N$27+1,20,24,28,32,36,40),0)/100)))))/Skills!H5,1)))/Inputs!$B$43),G2756*Q2756))*IF(Inputs!$B$38="pvp",1,(1+(Inputs!$B$21+Skills!Q5+(IF(ArtifactsInput!$M$33,CHOOSE(ArtifactsInput!$N$33+1,30,36,42,48,54,60)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7">
      <c r="A2757">
        <f>Skills!A6</f>
        <v/>
      </c>
      <c r="B2757">
        <f>Skills!B6</f>
        <v/>
      </c>
      <c r="C2757">
        <f>Inputs!$B$3&gt;=63</f>
        <v/>
      </c>
      <c r="D2757">
        <f>IF(Skills!C6=1,60+Inputs!$B$25+Inputs!$B$29,IF(Skills!C6=2,90+Inputs!$B$26+Inputs!$B$29,IF(Skills!C6=3,120+Inputs!$B$27+Inputs!$B$29,MAX(0,(Inputs!$B$3-100)*3)+Inputs!$B$28+Inputs!$B$29)))</f>
        <v/>
      </c>
      <c r="E2757">
        <f>INDEX(FactorTable!$B$2:$Y$301, MATCH(ROUND(MIN(300,MAX(1,D2757)),0), FactorTable!$A$2:$A$301,0), Skills!M6+1)</f>
        <v/>
      </c>
      <c r="F2757">
        <f>IF(Skills!N6=TRUE,(Skills!L6/10)*(E2757/1000),Skills!L6/10)+Skills!O6</f>
        <v/>
      </c>
      <c r="G2757">
        <f>Skills!G6*IF(Skills!H6&gt;0,Skills!I6/Skills!H6,1)</f>
        <v/>
      </c>
      <c r="H2757">
        <f>1-(1-Skills!J6/100)^Skills!K6</f>
        <v/>
      </c>
      <c r="I2757" t="inlineStr">
        <is>
          <t>1</t>
        </is>
      </c>
      <c r="J2757">
        <f>((Inputs!$B$6*(1+Inputs!$B$7/100))+(((Inputs!$B$12*(1+Inputs!$B$13/100))-(Inputs!$B$12*(1+Inputs!$B$13/100)))+0.25*(Inputs!$B$14-Inputs!$B$14))*(1+Inputs!$B$7/100))*(F2757/100)</f>
        <v/>
      </c>
      <c r="K2757">
        <f>J2757*(1+((Inputs!$B$12*(1+Inputs!$B$13/100))*0.01+Inputs!$B$14*0.0025)/100)*(1+Inputs!$B$15/100)*(1+Inputs!$B$16/100)*(5000/(6000+Inputs!$B$42*(1-(100*(1-(1-(Inputs!$B$19+0)/100)*(1-CHOOSE(ArtifactsInput!$N$40+1,5,6,7,8,9,10)/100)^(ArtifactsInput!$M$40-ArtifactsInput!$M$40)))/100)))*(1+(Inputs!$B$24+((C2777=TRUE)*(F2777-Calc!F26))+B2787)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2766=TRUE,F2766,0)/100)*(1+(IF(Skills!A6="EIGHT_LEGS_EASTON",Inputs!$B$17+((C2774=TRUE)*(F2774-Calc!F23))+((C2778=TRUE)*(F2778-Calc!F27))+(((IF(AND(ArtifactsInput!$M$42,((Inputs!$B$9+((C2770=TRUE)*(F2770-Calc!F19))+B2781+(ArtifactsInput!$M$24-ArtifactsInput!$M$24)*CHOOSE(ArtifactsInput!$N$24+1,10,12,14,16,18,20)+IF(ArtifactsInput!$M$10,CHOOSE(ArtifactsInput!$N$10+1,15,18,21,24,27,30)*(IF(Inputs!$B$38="pvp",MIN(15,15)/15,IF(AND(Inputs!$B$38&lt;&gt;"pvp",Inputs!$B$43&gt;0),MIN(15,Inputs!$B$43)/(Inputs!$B$43),0))),0)))&gt;=100),MIN(100,((Inputs!$B$9+((C2770=TRUE)*(F2770-Calc!F19))+B2781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2770=TRUE)*(F2770-Calc!F19))+B2781+(ArtifactsInput!$M$24-ArtifactsInput!$M$24)*CHOOSE(ArtifactsInput!$N$24+1,10,12,14,16,18,20)+IF(ArtifactsInput!$M$10,CHOOSE(ArtifactsInput!$N$10+1,15,18,21,24,27,30)*(IF(Inputs!$B$38="pvp",MIN(15,15)/15,IF(AND(Inputs!$B$38&lt;&gt;"pvp",Inputs!$B$43&gt;0),MIN(15,Inputs!$B$43)/(Inputs!$B$43),0))),0)))&gt;=100),CHOOSE(ArtifactsInput!$N$42+1,40,48,56,64,72,80),0))))/100)*((1+(((C2768=TRUE)*F2768)+((C2775=TRUE)*(F2775-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2757)</f>
        <v/>
      </c>
      <c r="L2757">
        <f>K2757*(MIN(Inputs!$B$22+((C2773=TRUE)*(F2773-Calc!F22)),(Inputs!$B$23+0+(IF(ArtifactsInput!$M$15,CHOOSE(ArtifactsInput!$N$15+1,25,30,35,40,45,50)/100*(Inputs!$B$11-Inputs!$B$11),0))))/100+(Inputs!$B$23+0+(IF(ArtifactsInput!$M$15,CHOOSE(ArtifactsInput!$N$15+1,25,30,35,40,45,50)/100*(Inputs!$B$11-Inputs!$B$11),0)))/100)/2</f>
        <v/>
      </c>
      <c r="M2757">
        <f>L2757*(1+(Inputs!$B$10+((C2776=TRUE)*(F2776-Calc!F25))+B2786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7">
        <f>L2757*(1-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2757*(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7">
        <f>(1-Summary!$B$11)*T2757+Summary!$B$11*V2757</f>
        <v/>
      </c>
      <c r="P2757">
        <f>IF(B2791=0,0,O2757/B2791)</f>
        <v/>
      </c>
      <c r="Q2757">
        <f>IFERROR(1/(IF(Inputs!$B$38="pvp",15,MAX(0.1,Skills!D6-IF(Skills!E6=TRUE,0.5,0)))*(1-IF(AND(ArtifactsInput!$M$27,Inputs!$B$4="Chapter Hunt"),CHOOSE(ArtifactsInput!$N$27+1,20,24,28,32,36,40),0)/100)),0)</f>
        <v/>
      </c>
      <c r="R2757">
        <f>IF(AND(Inputs!$B$38&lt;&gt;"pvp",Inputs!$B$43&gt;0),IF(MAX(0,Inputs!$B$43-B2788)&lt;=0,0,(INT(MAX(0,Inputs!$B$43-B2788)/(IF(Inputs!$B$38="pvp",15,MAX(0.1,Skills!D6-IF(Skills!E6=TRUE,0.5,0)))*(1-IF(AND(ArtifactsInput!$M$27,Inputs!$B$4="Chapter Hunt"),CHOOSE(ArtifactsInput!$N$27+1,20,24,28,32,36,40),0)/100)))+1)),0)</f>
        <v/>
      </c>
      <c r="S2757">
        <f>IFERROR(O2757/N2757,0)</f>
        <v/>
      </c>
      <c r="T2757">
        <f>IF(C2757,(H2757*N2757*IF(AND(Inputs!$B$38&lt;&gt;"pvp",Inputs!$B$43&gt;0),((Skills!G6*((R2757-1)*IF(Skills!H6&gt;0,Skills!I6/Skills!H6,1)+IF(Skills!H6&gt;0,MIN(Skills!I6,MAX(0,MAX(0,Inputs!$B$43-B2788)-((R2757-1)*(IF(Inputs!$B$38="pvp",15,MAX(0.1,Skills!D6-IF(Skills!E6=TRUE,0.5,0)))*(1-IF(AND(ArtifactsInput!$M$27,Inputs!$B$4="Chapter Hunt"),CHOOSE(ArtifactsInput!$N$27+1,20,24,28,32,36,40),0)/100)))))/Skills!H6,1)))/Inputs!$B$43),G2757*Q2757)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2757*(1-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2757*(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2757*(1-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2757*(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7">
        <f>IF(C2757,(H2757*N2757*IF(AND(Inputs!$B$38&lt;&gt;"pvp",Inputs!$B$43&gt;0),((Skills!G6*((R2757-1)*IF(Skills!H6&gt;0,Skills!I6/Skills!H6,1)+IF(Skills!H6&gt;0,MIN(Skills!I6,MAX(0,MAX(0,Inputs!$B$43-B2788)-((R2757-1)*(IF(Inputs!$B$38="pvp",15,MAX(0.1,Skills!D6-IF(Skills!E6=TRUE,0.5,0)))*(1-IF(AND(ArtifactsInput!$M$27,Inputs!$B$4="Chapter Hunt"),CHOOSE(ArtifactsInput!$N$27+1,20,24,28,32,36,40),0)/100)))))/Skills!H6,1)))/Inputs!$B$43),G2757*Q2757))*IF(Inputs!$B$38="pvp",1,(1+(Inputs!$B$21+Skills!Q6+(IF(ArtifactsInput!$M$33,CHOOSE(ArtifactsInput!$N$33+1,30,36,42,48,54,60)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8">
      <c r="A2758">
        <f>Skills!A7</f>
        <v/>
      </c>
      <c r="B2758">
        <f>Skills!B7</f>
        <v/>
      </c>
      <c r="C2758">
        <f>Inputs!$B$3&gt;=66</f>
        <v/>
      </c>
      <c r="D2758">
        <f>IF(Skills!C7=1,60+Inputs!$B$25+Inputs!$B$29,IF(Skills!C7=2,90+Inputs!$B$26+Inputs!$B$29,IF(Skills!C7=3,120+Inputs!$B$27+Inputs!$B$29,MAX(0,(Inputs!$B$3-100)*3)+Inputs!$B$28+Inputs!$B$29)))</f>
        <v/>
      </c>
      <c r="E2758">
        <f>INDEX(FactorTable!$B$2:$Y$301, MATCH(ROUND(MIN(300,MAX(1,D2758)),0), FactorTable!$A$2:$A$301,0), Skills!M7+1)</f>
        <v/>
      </c>
      <c r="F2758">
        <f>IF(Skills!N7=TRUE,(Skills!L7/10)*(E2758/1000),Skills!L7/10)+Skills!O7</f>
        <v/>
      </c>
      <c r="G2758">
        <f>Skills!G7*IF(Skills!H7&gt;0,Skills!I7/Skills!H7,1)</f>
        <v/>
      </c>
      <c r="H2758">
        <f>1-(1-Skills!J7/100)^Skills!K7</f>
        <v/>
      </c>
      <c r="I2758" t="inlineStr">
        <is>
          <t>1</t>
        </is>
      </c>
      <c r="J2758">
        <f>((Inputs!$B$6*(1+Inputs!$B$7/100))+(((Inputs!$B$12*(1+Inputs!$B$13/100))-(Inputs!$B$12*(1+Inputs!$B$13/100)))+0.25*(Inputs!$B$14-Inputs!$B$14))*(1+Inputs!$B$7/100))*(F2758/100)</f>
        <v/>
      </c>
      <c r="K2758">
        <f>J2758*(1+((Inputs!$B$12*(1+Inputs!$B$13/100))*0.01+Inputs!$B$14*0.0025)/100)*(1+Inputs!$B$15/100)*(1+Inputs!$B$16/100)*(5000/(6000+Inputs!$B$42*(1-(100*(1-(1-(Inputs!$B$19+0)/100)*(1-CHOOSE(ArtifactsInput!$N$40+1,5,6,7,8,9,10)/100)^(ArtifactsInput!$M$40-ArtifactsInput!$M$40)))/100)))*(1+(Inputs!$B$24+((C2777=TRUE)*(F2777-Calc!F26))+B2787)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2766=TRUE,F2766,0)/100)*(1+(IF(Skills!A7="EIGHT_LEGS_EASTON",Inputs!$B$17+((C2774=TRUE)*(F2774-Calc!F23))+((C2778=TRUE)*(F2778-Calc!F27))+(((IF(AND(ArtifactsInput!$M$42,((Inputs!$B$9+((C2770=TRUE)*(F2770-Calc!F19))+B2781+(ArtifactsInput!$M$24-ArtifactsInput!$M$24)*CHOOSE(ArtifactsInput!$N$24+1,10,12,14,16,18,20)+IF(ArtifactsInput!$M$10,CHOOSE(ArtifactsInput!$N$10+1,15,18,21,24,27,30)*(IF(Inputs!$B$38="pvp",MIN(15,15)/15,IF(AND(Inputs!$B$38&lt;&gt;"pvp",Inputs!$B$43&gt;0),MIN(15,Inputs!$B$43)/(Inputs!$B$43),0))),0)))&gt;=100),MIN(100,((Inputs!$B$9+((C2770=TRUE)*(F2770-Calc!F19))+B2781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2770=TRUE)*(F2770-Calc!F19))+B2781+(ArtifactsInput!$M$24-ArtifactsInput!$M$24)*CHOOSE(ArtifactsInput!$N$24+1,10,12,14,16,18,20)+IF(ArtifactsInput!$M$10,CHOOSE(ArtifactsInput!$N$10+1,15,18,21,24,27,30)*(IF(Inputs!$B$38="pvp",MIN(15,15)/15,IF(AND(Inputs!$B$38&lt;&gt;"pvp",Inputs!$B$43&gt;0),MIN(15,Inputs!$B$43)/(Inputs!$B$43),0))),0)))&gt;=100),CHOOSE(ArtifactsInput!$N$42+1,40,48,56,64,72,80),0))))/100)*((1+(((C2768=TRUE)*F2768)+((C2775=TRUE)*(F2775-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2758)</f>
        <v/>
      </c>
      <c r="L2758">
        <f>K2758*(MIN(Inputs!$B$22+((C2773=TRUE)*(F2773-Calc!F22)),(Inputs!$B$23+0+(IF(ArtifactsInput!$M$15,CHOOSE(ArtifactsInput!$N$15+1,25,30,35,40,45,50)/100*(Inputs!$B$11-Inputs!$B$11),0))))/100+(Inputs!$B$23+0+(IF(ArtifactsInput!$M$15,CHOOSE(ArtifactsInput!$N$15+1,25,30,35,40,45,50)/100*(Inputs!$B$11-Inputs!$B$11),0)))/100)/2</f>
        <v/>
      </c>
      <c r="M2758">
        <f>L2758*(1+(Inputs!$B$10+((C2776=TRUE)*(F2776-Calc!F25))+B2786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8">
        <f>L2758*(1-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2758*(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8">
        <f>(1-Summary!$B$11)*T2758+Summary!$B$11*V2758</f>
        <v/>
      </c>
      <c r="P2758">
        <f>IF(B2791=0,0,O2758/B2791)</f>
        <v/>
      </c>
      <c r="Q2758">
        <f>IFERROR(1/(IF(Inputs!$B$38="pvp",15,MAX(0.1,Skills!D7-IF(Skills!E7=TRUE,0.5,0)))*(1-IF(AND(ArtifactsInput!$M$27,Inputs!$B$4="Chapter Hunt"),CHOOSE(ArtifactsInput!$N$27+1,20,24,28,32,36,40),0)/100)),0)</f>
        <v/>
      </c>
      <c r="R2758">
        <f>IF(AND(Inputs!$B$38&lt;&gt;"pvp",Inputs!$B$43&gt;0),IF(MAX(0,Inputs!$B$43-B2788)&lt;=0,0,(INT(MAX(0,Inputs!$B$43-B2788)/(IF(Inputs!$B$38="pvp",15,MAX(0.1,Skills!D7-IF(Skills!E7=TRUE,0.5,0)))*(1-IF(AND(ArtifactsInput!$M$27,Inputs!$B$4="Chapter Hunt"),CHOOSE(ArtifactsInput!$N$27+1,20,24,28,32,36,40),0)/100)))+1)),0)</f>
        <v/>
      </c>
      <c r="S2758">
        <f>IFERROR(O2758/N2758,0)</f>
        <v/>
      </c>
      <c r="T2758">
        <f>IF(C2758,(H2758*N2758*IF(AND(Inputs!$B$38&lt;&gt;"pvp",Inputs!$B$43&gt;0),((Skills!G7*((R2758-1)*IF(Skills!H7&gt;0,Skills!I7/Skills!H7,1)+IF(Skills!H7&gt;0,MIN(Skills!I7,MAX(0,MAX(0,Inputs!$B$43-B2788)-((R2758-1)*(IF(Inputs!$B$38="pvp",15,MAX(0.1,Skills!D7-IF(Skills!E7=TRUE,0.5,0)))*(1-IF(AND(ArtifactsInput!$M$27,Inputs!$B$4="Chapter Hunt"),CHOOSE(ArtifactsInput!$N$27+1,20,24,28,32,36,40),0)/100)))))/Skills!H7,1)))/Inputs!$B$43),G2758*Q2758)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2758*(1-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2758*(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2758*(1-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2758*(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8">
        <f>IF(C2758,(H2758*N2758*IF(AND(Inputs!$B$38&lt;&gt;"pvp",Inputs!$B$43&gt;0),((Skills!G7*((R2758-1)*IF(Skills!H7&gt;0,Skills!I7/Skills!H7,1)+IF(Skills!H7&gt;0,MIN(Skills!I7,MAX(0,MAX(0,Inputs!$B$43-B2788)-((R2758-1)*(IF(Inputs!$B$38="pvp",15,MAX(0.1,Skills!D7-IF(Skills!E7=TRUE,0.5,0)))*(1-IF(AND(ArtifactsInput!$M$27,Inputs!$B$4="Chapter Hunt"),CHOOSE(ArtifactsInput!$N$27+1,20,24,28,32,36,40),0)/100)))))/Skills!H7,1)))/Inputs!$B$43),G2758*Q2758))*IF(Inputs!$B$38="pvp",1,(1+(Inputs!$B$21+Skills!Q7+(IF(ArtifactsInput!$M$33,CHOOSE(ArtifactsInput!$N$33+1,30,36,42,48,54,60)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9">
      <c r="A2759">
        <f>Skills!A8</f>
        <v/>
      </c>
      <c r="B2759">
        <f>Skills!B8</f>
        <v/>
      </c>
      <c r="C2759">
        <f>Inputs!$B$3&gt;=100</f>
        <v/>
      </c>
      <c r="D2759">
        <f>IF(Skills!C8=1,60+Inputs!$B$25+Inputs!$B$29,IF(Skills!C8=2,90+Inputs!$B$26+Inputs!$B$29,IF(Skills!C8=3,120+Inputs!$B$27+Inputs!$B$29,MAX(0,(Inputs!$B$3-100)*3)+Inputs!$B$28+Inputs!$B$29)))</f>
        <v/>
      </c>
      <c r="E2759">
        <f>INDEX(FactorTable!$B$2:$Y$301, MATCH(ROUND(MIN(300,MAX(1,D2759)),0), FactorTable!$A$2:$A$301,0), Skills!M8+1)</f>
        <v/>
      </c>
      <c r="F2759">
        <f>IF(Skills!N8=TRUE,(Skills!L8/10)*(E2759/1000),Skills!L8/10)+Skills!O8</f>
        <v/>
      </c>
      <c r="G2759">
        <f>Skills!G8*IF(Skills!H8&gt;0,Skills!I8/Skills!H8,1)</f>
        <v/>
      </c>
      <c r="H2759">
        <f>1-(1-Skills!J8/100)^Skills!K8</f>
        <v/>
      </c>
      <c r="I2759" t="inlineStr">
        <is>
          <t>1</t>
        </is>
      </c>
      <c r="J2759">
        <f>((Inputs!$B$6*(1+Inputs!$B$7/100))+(((Inputs!$B$12*(1+Inputs!$B$13/100))-(Inputs!$B$12*(1+Inputs!$B$13/100)))+0.25*(Inputs!$B$14-Inputs!$B$14))*(1+Inputs!$B$7/100))*(F2759/100)</f>
        <v/>
      </c>
      <c r="K2759">
        <f>J2759*(1+((Inputs!$B$12*(1+Inputs!$B$13/100))*0.01+Inputs!$B$14*0.0025)/100)*(1+Inputs!$B$15/100)*(1+Inputs!$B$16/100)*(5000/(6000+Inputs!$B$42*(1-(100*(1-(1-(Inputs!$B$19+0)/100)*(1-CHOOSE(ArtifactsInput!$N$40+1,5,6,7,8,9,10)/100)^(ArtifactsInput!$M$40-ArtifactsInput!$M$40)))/100)))*(1+(Inputs!$B$24+((C2777=TRUE)*(F2777-Calc!F26))+B2787)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2774=TRUE)*(F2774-Calc!F23))+((C2778=TRUE)*(F2778-Calc!F27))+(((IF(AND(ArtifactsInput!$M$42,((Inputs!$B$9+((C2770=TRUE)*(F2770-Calc!F19))+B2781+(ArtifactsInput!$M$24-ArtifactsInput!$M$24)*CHOOSE(ArtifactsInput!$N$24+1,10,12,14,16,18,20)+IF(ArtifactsInput!$M$10,CHOOSE(ArtifactsInput!$N$10+1,15,18,21,24,27,30)*(IF(Inputs!$B$38="pvp",MIN(15,15)/15,IF(AND(Inputs!$B$38&lt;&gt;"pvp",Inputs!$B$43&gt;0),MIN(15,Inputs!$B$43)/(Inputs!$B$43),0))),0)))&gt;=100),MIN(100,((Inputs!$B$9+((C2770=TRUE)*(F2770-Calc!F19))+B2781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2770=TRUE)*(F2770-Calc!F19))+B2781+(ArtifactsInput!$M$24-ArtifactsInput!$M$24)*CHOOSE(ArtifactsInput!$N$24+1,10,12,14,16,18,20)+IF(ArtifactsInput!$M$10,CHOOSE(ArtifactsInput!$N$10+1,15,18,21,24,27,30)*(IF(Inputs!$B$38="pvp",MIN(15,15)/15,IF(AND(Inputs!$B$38&lt;&gt;"pvp",Inputs!$B$43&gt;0),MIN(15,Inputs!$B$43)/(Inputs!$B$43),0))),0)))&gt;=100),CHOOSE(ArtifactsInput!$N$42+1,40,48,56,64,72,80),0))))/100)*((1+(((C2768=TRUE)*F2768)+((C2775=TRUE)*(F2775-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2759)</f>
        <v/>
      </c>
      <c r="L2759">
        <f>K2759*(MIN(Inputs!$B$22+((C2773=TRUE)*(F2773-Calc!F22)),(Inputs!$B$23+0+(IF(ArtifactsInput!$M$15,CHOOSE(ArtifactsInput!$N$15+1,25,30,35,40,45,50)/100*(Inputs!$B$11-Inputs!$B$11),0))))/100+(Inputs!$B$23+0+(IF(ArtifactsInput!$M$15,CHOOSE(ArtifactsInput!$N$15+1,25,30,35,40,45,50)/100*(Inputs!$B$11-Inputs!$B$11),0)))/100)/2</f>
        <v/>
      </c>
      <c r="M2759">
        <f>L2759*(1+(Inputs!$B$10+((C2776=TRUE)*(F2776-Calc!F25))+B2786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9">
        <f>L2759*(1-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2759*(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9">
        <f>(1-Summary!$B$11)*T2759+Summary!$B$11*V2759</f>
        <v/>
      </c>
      <c r="P2759">
        <f>IF(B2791=0,0,O2759/B2791)</f>
        <v/>
      </c>
      <c r="Q2759">
        <f>IFERROR(1/(IF(Inputs!$B$38="pvp",15,MAX(0.1,Skills!D8-IF(Skills!E8=TRUE,0.5,0)))*(1-IF(AND(ArtifactsInput!$M$27,Inputs!$B$4="Chapter Hunt"),CHOOSE(ArtifactsInput!$N$27+1,20,24,28,32,36,40),0)/100)),0)</f>
        <v/>
      </c>
      <c r="R2759">
        <f>IF(AND(Inputs!$B$38&lt;&gt;"pvp",Inputs!$B$43&gt;0),IF(MAX(0,Inputs!$B$43-B2788)&lt;=0,0,(INT(MAX(0,Inputs!$B$43-B2788)/(IF(Inputs!$B$38="pvp",15,MAX(0.1,Skills!D8-IF(Skills!E8=TRUE,0.5,0)))*(1-IF(AND(ArtifactsInput!$M$27,Inputs!$B$4="Chapter Hunt"),CHOOSE(ArtifactsInput!$N$27+1,20,24,28,32,36,40),0)/100)))+1)),0)</f>
        <v/>
      </c>
      <c r="S2759">
        <f>IFERROR(O2759/N2759,0)</f>
        <v/>
      </c>
      <c r="T2759">
        <f>IF(C2759,(H2759*N2759*IF(AND(Inputs!$B$38&lt;&gt;"pvp",Inputs!$B$43&gt;0),((Skills!G8*((R2759-1)*IF(Skills!H8&gt;0,Skills!I8/Skills!H8,1)+IF(Skills!H8&gt;0,MIN(Skills!I8,MAX(0,MAX(0,Inputs!$B$43-B2788)-((R2759-1)*(IF(Inputs!$B$38="pvp",15,MAX(0.1,Skills!D8-IF(Skills!E8=TRUE,0.5,0)))*(1-IF(AND(ArtifactsInput!$M$27,Inputs!$B$4="Chapter Hunt"),CHOOSE(ArtifactsInput!$N$27+1,20,24,28,32,36,40),0)/100)))))/Skills!H8,1)))/Inputs!$B$43),G2759*Q2759)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2759*(1-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2759*(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2759*(1-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2759*(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9">
        <f>IF(C2759,(H2759*N2759*IF(AND(Inputs!$B$38&lt;&gt;"pvp",Inputs!$B$43&gt;0),((Skills!G8*((R2759-1)*IF(Skills!H8&gt;0,Skills!I8/Skills!H8,1)+IF(Skills!H8&gt;0,MIN(Skills!I8,MAX(0,MAX(0,Inputs!$B$43-B2788)-((R2759-1)*(IF(Inputs!$B$38="pvp",15,MAX(0.1,Skills!D8-IF(Skills!E8=TRUE,0.5,0)))*(1-IF(AND(ArtifactsInput!$M$27,Inputs!$B$4="Chapter Hunt"),CHOOSE(ArtifactsInput!$N$27+1,20,24,28,32,36,40),0)/100)))))/Skills!H8,1)))/Inputs!$B$43),G2759*Q2759))*IF(Inputs!$B$38="pvp",1,(1+(Inputs!$B$21+Skills!Q8+(IF(ArtifactsInput!$M$33,CHOOSE(ArtifactsInput!$N$33+1,30,36,42,48,54,60)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0">
      <c r="A2760">
        <f>Skills!A9</f>
        <v/>
      </c>
      <c r="B2760">
        <f>Skills!B9</f>
        <v/>
      </c>
      <c r="C2760">
        <f>Inputs!$B$3&gt;=103</f>
        <v/>
      </c>
      <c r="D2760">
        <f>IF(Skills!C9=1,60+Inputs!$B$25+Inputs!$B$29,IF(Skills!C9=2,90+Inputs!$B$26+Inputs!$B$29,IF(Skills!C9=3,120+Inputs!$B$27+Inputs!$B$29,MAX(0,(Inputs!$B$3-100)*3)+Inputs!$B$28+Inputs!$B$29)))</f>
        <v/>
      </c>
      <c r="E2760">
        <f>INDEX(FactorTable!$B$2:$Y$301, MATCH(ROUND(MIN(300,MAX(1,D2760)),0), FactorTable!$A$2:$A$301,0), Skills!M9+1)</f>
        <v/>
      </c>
      <c r="F2760">
        <f>IF(Skills!N9=TRUE,(Skills!L9/10)*(E2760/1000),Skills!L9/10)+Skills!O9</f>
        <v/>
      </c>
      <c r="G2760">
        <f>Skills!G9*IF(Skills!H9&gt;0,Skills!I9/Skills!H9,1)</f>
        <v/>
      </c>
      <c r="H2760">
        <f>1-(1-Skills!J9/100)^Skills!K9</f>
        <v/>
      </c>
      <c r="I2760" t="inlineStr">
        <is>
          <t>1</t>
        </is>
      </c>
      <c r="J2760">
        <f>((Inputs!$B$6*(1+Inputs!$B$7/100))+(((Inputs!$B$12*(1+Inputs!$B$13/100))-(Inputs!$B$12*(1+Inputs!$B$13/100)))+0.25*(Inputs!$B$14-Inputs!$B$14))*(1+Inputs!$B$7/100))*(F2760/100)</f>
        <v/>
      </c>
      <c r="K2760">
        <f>J2760*(1+((Inputs!$B$12*(1+Inputs!$B$13/100))*0.01+Inputs!$B$14*0.0025)/100)*(1+Inputs!$B$15/100)*(1+Inputs!$B$16/100)*(5000/(6000+Inputs!$B$42*(1-(100*(1-(1-(Inputs!$B$19+0)/100)*(1-CHOOSE(ArtifactsInput!$N$40+1,5,6,7,8,9,10)/100)^(ArtifactsInput!$M$40-ArtifactsInput!$M$40)))/100)))*(1+(Inputs!$B$24+((C2777=TRUE)*(F2777-Calc!F26))+B2787)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2774=TRUE)*(F2774-Calc!F23))+((C2778=TRUE)*(F2778-Calc!F27))+(((IF(AND(ArtifactsInput!$M$42,((Inputs!$B$9+((C2770=TRUE)*(F2770-Calc!F19))+B2781+(ArtifactsInput!$M$24-ArtifactsInput!$M$24)*CHOOSE(ArtifactsInput!$N$24+1,10,12,14,16,18,20)+IF(ArtifactsInput!$M$10,CHOOSE(ArtifactsInput!$N$10+1,15,18,21,24,27,30)*(IF(Inputs!$B$38="pvp",MIN(15,15)/15,IF(AND(Inputs!$B$38&lt;&gt;"pvp",Inputs!$B$43&gt;0),MIN(15,Inputs!$B$43)/(Inputs!$B$43),0))),0)))&gt;=100),MIN(100,((Inputs!$B$9+((C2770=TRUE)*(F2770-Calc!F19))+B2781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2770=TRUE)*(F2770-Calc!F19))+B2781+(ArtifactsInput!$M$24-ArtifactsInput!$M$24)*CHOOSE(ArtifactsInput!$N$24+1,10,12,14,16,18,20)+IF(ArtifactsInput!$M$10,CHOOSE(ArtifactsInput!$N$10+1,15,18,21,24,27,30)*(IF(Inputs!$B$38="pvp",MIN(15,15)/15,IF(AND(Inputs!$B$38&lt;&gt;"pvp",Inputs!$B$43&gt;0),MIN(15,Inputs!$B$43)/(Inputs!$B$43),0))),0)))&gt;=100),CHOOSE(ArtifactsInput!$N$42+1,40,48,56,64,72,80),0))))/100)*((1+(((C2768=TRUE)*F2768)+((C2775=TRUE)*(F2775-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2760)</f>
        <v/>
      </c>
      <c r="L2760">
        <f>K2760*(MIN(Inputs!$B$22+((C2773=TRUE)*(F2773-Calc!F22)),(Inputs!$B$23+0+(IF(ArtifactsInput!$M$15,CHOOSE(ArtifactsInput!$N$15+1,25,30,35,40,45,50)/100*(Inputs!$B$11-Inputs!$B$11),0))))/100+(Inputs!$B$23+0+(IF(ArtifactsInput!$M$15,CHOOSE(ArtifactsInput!$N$15+1,25,30,35,40,45,50)/100*(Inputs!$B$11-Inputs!$B$11),0)))/100)/2</f>
        <v/>
      </c>
      <c r="M2760">
        <f>L2760*(1+(Inputs!$B$10+((C2776=TRUE)*(F2776-Calc!F25))+B2786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0">
        <f>L2760*(1-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2760*(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0">
        <f>(1-Summary!$B$11)*T2760+Summary!$B$11*V2760</f>
        <v/>
      </c>
      <c r="P2760">
        <f>IF(B2791=0,0,O2760/B2791)</f>
        <v/>
      </c>
      <c r="Q2760">
        <f>IFERROR(1/(IF(Inputs!$B$38="pvp",15,MAX(0.1,Skills!D9-IF(Skills!E9=TRUE,0.5,0)))*(1-IF(AND(ArtifactsInput!$M$27,Inputs!$B$4="Chapter Hunt"),CHOOSE(ArtifactsInput!$N$27+1,20,24,28,32,36,40),0)/100)),0)</f>
        <v/>
      </c>
      <c r="R2760">
        <f>IF(AND(Inputs!$B$38&lt;&gt;"pvp",Inputs!$B$43&gt;0),IF(MAX(0,Inputs!$B$43-B2788)&lt;=0,0,(INT(MAX(0,Inputs!$B$43-B2788)/(IF(Inputs!$B$38="pvp",15,MAX(0.1,Skills!D9-IF(Skills!E9=TRUE,0.5,0)))*(1-IF(AND(ArtifactsInput!$M$27,Inputs!$B$4="Chapter Hunt"),CHOOSE(ArtifactsInput!$N$27+1,20,24,28,32,36,40),0)/100)))+1)),0)</f>
        <v/>
      </c>
      <c r="S2760">
        <f>IFERROR(O2760/N2760,0)</f>
        <v/>
      </c>
      <c r="T2760">
        <f>IF(C2760,(H2760*N2760*IF(AND(Inputs!$B$38&lt;&gt;"pvp",Inputs!$B$43&gt;0),((Skills!G9*((R2760-1)*IF(Skills!H9&gt;0,Skills!I9/Skills!H9,1)+IF(Skills!H9&gt;0,MIN(Skills!I9,MAX(0,MAX(0,Inputs!$B$43-B2788)-((R2760-1)*(IF(Inputs!$B$38="pvp",15,MAX(0.1,Skills!D9-IF(Skills!E9=TRUE,0.5,0)))*(1-IF(AND(ArtifactsInput!$M$27,Inputs!$B$4="Chapter Hunt"),CHOOSE(ArtifactsInput!$N$27+1,20,24,28,32,36,40),0)/100)))))/Skills!H9,1)))/Inputs!$B$43),G2760*Q2760)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2760*(1-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2760*(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2760*(1-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2760*(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0">
        <f>IF(C2760,(H2760*N2760*IF(AND(Inputs!$B$38&lt;&gt;"pvp",Inputs!$B$43&gt;0),((Skills!G9*((R2760-1)*IF(Skills!H9&gt;0,Skills!I9/Skills!H9,1)+IF(Skills!H9&gt;0,MIN(Skills!I9,MAX(0,MAX(0,Inputs!$B$43-B2788)-((R2760-1)*(IF(Inputs!$B$38="pvp",15,MAX(0.1,Skills!D9-IF(Skills!E9=TRUE,0.5,0)))*(1-IF(AND(ArtifactsInput!$M$27,Inputs!$B$4="Chapter Hunt"),CHOOSE(ArtifactsInput!$N$27+1,20,24,28,32,36,40),0)/100)))))/Skills!H9,1)))/Inputs!$B$43),G2760*Q2760))*IF(Inputs!$B$38="pvp",1,(1+(Inputs!$B$21+Skills!Q9+(IF(ArtifactsInput!$M$33,CHOOSE(ArtifactsInput!$N$33+1,30,36,42,48,54,60)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1">
      <c r="A2761">
        <f>Skills!A10</f>
        <v/>
      </c>
      <c r="B2761">
        <f>Skills!B10</f>
        <v/>
      </c>
      <c r="C2761">
        <f>Inputs!$B$3&gt;=113</f>
        <v/>
      </c>
      <c r="D2761">
        <f>IF(Skills!C10=1,60+Inputs!$B$25+Inputs!$B$29,IF(Skills!C10=2,90+Inputs!$B$26+Inputs!$B$29,IF(Skills!C10=3,120+Inputs!$B$27+Inputs!$B$29,MAX(0,(Inputs!$B$3-100)*3)+Inputs!$B$28+Inputs!$B$29)))</f>
        <v/>
      </c>
      <c r="E2761">
        <f>INDEX(FactorTable!$B$2:$Y$301, MATCH(ROUND(MIN(300,MAX(1,D2761)),0), FactorTable!$A$2:$A$301,0), Skills!M10+1)</f>
        <v/>
      </c>
      <c r="F2761">
        <f>IF(Skills!N10=TRUE,(Skills!L10/10)*(E2761/1000),Skills!L10/10)+Skills!O10</f>
        <v/>
      </c>
      <c r="G2761">
        <f>Skills!G10*IF(Skills!H10&gt;0,Skills!I10/Skills!H10,1)</f>
        <v/>
      </c>
      <c r="H2761">
        <f>1-(1-Skills!J10/100)^Skills!K10</f>
        <v/>
      </c>
      <c r="I2761" t="inlineStr">
        <is>
          <t>1</t>
        </is>
      </c>
      <c r="J2761">
        <f>((Inputs!$B$6*(1+Inputs!$B$7/100))+(((Inputs!$B$12*(1+Inputs!$B$13/100))-(Inputs!$B$12*(1+Inputs!$B$13/100)))+0.25*(Inputs!$B$14-Inputs!$B$14))*(1+Inputs!$B$7/100))*(F2761/100)</f>
        <v/>
      </c>
      <c r="K2761">
        <f>J2761*(1+((Inputs!$B$12*(1+Inputs!$B$13/100))*0.01+Inputs!$B$14*0.0025)/100)*(1+Inputs!$B$15/100)*(1+Inputs!$B$16/100)*(5000/(6000+Inputs!$B$42*(1-(100*(1-(1-(Inputs!$B$19+0)/100)*(1-CHOOSE(ArtifactsInput!$N$40+1,5,6,7,8,9,10)/100)^(ArtifactsInput!$M$40-ArtifactsInput!$M$40)))/100)))*(1+(Inputs!$B$24+((C2777=TRUE)*(F2777-Calc!F26))+B2787)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2774=TRUE)*(F2774-Calc!F23))+((C2778=TRUE)*(F2778-Calc!F27))+(((IF(AND(ArtifactsInput!$M$42,((Inputs!$B$9+((C2770=TRUE)*(F2770-Calc!F19))+B2781+(ArtifactsInput!$M$24-ArtifactsInput!$M$24)*CHOOSE(ArtifactsInput!$N$24+1,10,12,14,16,18,20)+IF(ArtifactsInput!$M$10,CHOOSE(ArtifactsInput!$N$10+1,15,18,21,24,27,30)*(IF(Inputs!$B$38="pvp",MIN(15,15)/15,IF(AND(Inputs!$B$38&lt;&gt;"pvp",Inputs!$B$43&gt;0),MIN(15,Inputs!$B$43)/(Inputs!$B$43),0))),0)))&gt;=100),MIN(100,((Inputs!$B$9+((C2770=TRUE)*(F2770-Calc!F19))+B2781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2770=TRUE)*(F2770-Calc!F19))+B2781+(ArtifactsInput!$M$24-ArtifactsInput!$M$24)*CHOOSE(ArtifactsInput!$N$24+1,10,12,14,16,18,20)+IF(ArtifactsInput!$M$10,CHOOSE(ArtifactsInput!$N$10+1,15,18,21,24,27,30)*(IF(Inputs!$B$38="pvp",MIN(15,15)/15,IF(AND(Inputs!$B$38&lt;&gt;"pvp",Inputs!$B$43&gt;0),MIN(15,Inputs!$B$43)/(Inputs!$B$43),0))),0)))&gt;=100),CHOOSE(ArtifactsInput!$N$42+1,40,48,56,64,72,80),0))))/100)*((1+(((C2768=TRUE)*F2768)+((C2775=TRUE)*(F2775-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2761)</f>
        <v/>
      </c>
      <c r="L2761">
        <f>K2761*(MIN(Inputs!$B$22+((C2773=TRUE)*(F2773-Calc!F22)),(Inputs!$B$23+0+(IF(ArtifactsInput!$M$15,CHOOSE(ArtifactsInput!$N$15+1,25,30,35,40,45,50)/100*(Inputs!$B$11-Inputs!$B$11),0))))/100+(Inputs!$B$23+0+(IF(ArtifactsInput!$M$15,CHOOSE(ArtifactsInput!$N$15+1,25,30,35,40,45,50)/100*(Inputs!$B$11-Inputs!$B$11),0)))/100)/2</f>
        <v/>
      </c>
      <c r="M2761">
        <f>L2761*(1+(Inputs!$B$10+((C2776=TRUE)*(F2776-Calc!F25))+B2786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1">
        <f>L2761*(1-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2761*(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1">
        <f>(1-Summary!$B$11)*T2761+Summary!$B$11*V2761</f>
        <v/>
      </c>
      <c r="P2761">
        <f>IF(B2791=0,0,O2761/B2791)</f>
        <v/>
      </c>
      <c r="Q2761">
        <f>IFERROR(1/(IF(Inputs!$B$38="pvp",15,MAX(0.1,Skills!D10-IF(Skills!E10=TRUE,0.5,0)))*(1-IF(AND(ArtifactsInput!$M$27,Inputs!$B$4="Chapter Hunt"),CHOOSE(ArtifactsInput!$N$27+1,20,24,28,32,36,40),0)/100)),0)</f>
        <v/>
      </c>
      <c r="R2761">
        <f>IF(AND(Inputs!$B$38&lt;&gt;"pvp",Inputs!$B$43&gt;0),IF(MAX(0,Inputs!$B$43-B2788)&lt;=0,0,(INT(MAX(0,Inputs!$B$43-B2788)/(IF(Inputs!$B$38="pvp",15,MAX(0.1,Skills!D10-IF(Skills!E10=TRUE,0.5,0)))*(1-IF(AND(ArtifactsInput!$M$27,Inputs!$B$4="Chapter Hunt"),CHOOSE(ArtifactsInput!$N$27+1,20,24,28,32,36,40),0)/100)))+1)),0)</f>
        <v/>
      </c>
      <c r="S2761">
        <f>IFERROR(O2761/N2761,0)</f>
        <v/>
      </c>
      <c r="T2761">
        <f>IF(C2761,(H2761*N2761*IF(AND(Inputs!$B$38&lt;&gt;"pvp",Inputs!$B$43&gt;0),((Skills!G10*((R2761-1)*IF(Skills!H10&gt;0,Skills!I10/Skills!H10,1)+IF(Skills!H10&gt;0,MIN(Skills!I10,MAX(0,MAX(0,Inputs!$B$43-B2788)-((R2761-1)*(IF(Inputs!$B$38="pvp",15,MAX(0.1,Skills!D10-IF(Skills!E10=TRUE,0.5,0)))*(1-IF(AND(ArtifactsInput!$M$27,Inputs!$B$4="Chapter Hunt"),CHOOSE(ArtifactsInput!$N$27+1,20,24,28,32,36,40),0)/100)))))/Skills!H10,1)))/Inputs!$B$43),G2761*Q2761)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2761*(1-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2761*(1-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1">
        <f>IF(C2761,(H2761*N2761*IF(AND(Inputs!$B$38&lt;&gt;"pvp",Inputs!$B$43&gt;0),((Skills!G10*((R2761-1)*IF(Skills!H10&gt;0,Skills!I10/Skills!H10,1)+IF(Skills!H10&gt;0,MIN(Skills!I10,MAX(0,MAX(0,Inputs!$B$43-B2788)-((R2761-1)*(IF(Inputs!$B$38="pvp",15,MAX(0.1,Skills!D10-IF(Skills!E10=TRUE,0.5,0)))*(1-IF(AND(ArtifactsInput!$M$27,Inputs!$B$4="Chapter Hunt"),CHOOSE(ArtifactsInput!$N$27+1,20,24,28,32,36,40),0)/100)))))/Skills!H10,1)))/Inputs!$B$43),G2761*Q2761))*IF(Inputs!$B$38="pvp",1,(1+(Inputs!$B$21+Skills!Q10+(IF(ArtifactsInput!$M$33,CHOOSE(ArtifactsInput!$N$33+1,30,36,42,48,54,60)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2">
      <c r="A2762">
        <f>Skills!A11</f>
        <v/>
      </c>
      <c r="B2762">
        <f>Skills!B11</f>
        <v/>
      </c>
      <c r="C2762">
        <f>Inputs!$B$3&gt;=107</f>
        <v/>
      </c>
      <c r="D2762">
        <f>IF(Skills!C11=1,60+Inputs!$B$25+Inputs!$B$29,IF(Skills!C11=2,90+Inputs!$B$26+Inputs!$B$29,IF(Skills!C11=3,120+Inputs!$B$27+Inputs!$B$29,MAX(0,(Inputs!$B$3-100)*3)+Inputs!$B$28+Inputs!$B$29)))</f>
        <v/>
      </c>
      <c r="E2762">
        <f>INDEX(FactorTable!$B$2:$Y$301, MATCH(ROUND(MIN(300,MAX(1,D2762)),0), FactorTable!$A$2:$A$301,0), Skills!M11+1)</f>
        <v/>
      </c>
      <c r="F2762">
        <f>IF(Skills!N11=TRUE,(Skills!L11/10)*(E2762/1000),Skills!L11/10)+Skills!O11</f>
        <v/>
      </c>
      <c r="G2762">
        <f>Skills!G11*IF(Skills!H11&gt;0,Skills!I11/Skills!H11,1)</f>
        <v/>
      </c>
      <c r="H2762">
        <f>1-(1-Skills!J11/100)^Skills!K11</f>
        <v/>
      </c>
      <c r="I2762" t="inlineStr">
        <is>
          <t>1</t>
        </is>
      </c>
      <c r="J2762">
        <f>((Inputs!$B$6*(1+Inputs!$B$7/100))+(((Inputs!$B$12*(1+Inputs!$B$13/100))-(Inputs!$B$12*(1+Inputs!$B$13/100)))+0.25*(Inputs!$B$14-Inputs!$B$14))*(1+Inputs!$B$7/100))*(F2762/100)</f>
        <v/>
      </c>
      <c r="K2762">
        <f>J2762*(1+((Inputs!$B$12*(1+Inputs!$B$13/100))*0.01+Inputs!$B$14*0.0025)/100)*(1+Inputs!$B$15/100)*(1+Inputs!$B$16/100)*(5000/(6000+Inputs!$B$42*(1-(100*(1-(1-(Inputs!$B$19+0)/100)*(1-CHOOSE(ArtifactsInput!$N$40+1,5,6,7,8,9,10)/100)^(ArtifactsInput!$M$40-ArtifactsInput!$M$40)))/100)))*(1+(Inputs!$B$24+((C2777=TRUE)*(F2777-Calc!F26))+B2787)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2774=TRUE)*(F2774-Calc!F23))+((C2778=TRUE)*(F2778-Calc!F27))+(((IF(AND(ArtifactsInput!$M$42,((Inputs!$B$9+((C2770=TRUE)*(F2770-Calc!F19))+B2781+(ArtifactsInput!$M$24-ArtifactsInput!$M$24)*CHOOSE(ArtifactsInput!$N$24+1,10,12,14,16,18,20)+IF(ArtifactsInput!$M$10,CHOOSE(ArtifactsInput!$N$10+1,15,18,21,24,27,30)*(IF(Inputs!$B$38="pvp",MIN(15,15)/15,IF(AND(Inputs!$B$38&lt;&gt;"pvp",Inputs!$B$43&gt;0),MIN(15,Inputs!$B$43)/(Inputs!$B$43),0))),0)))&gt;=100),MIN(100,((Inputs!$B$9+((C2770=TRUE)*(F2770-Calc!F19))+B2781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2770=TRUE)*(F2770-Calc!F19))+B2781+(ArtifactsInput!$M$24-ArtifactsInput!$M$24)*CHOOSE(ArtifactsInput!$N$24+1,10,12,14,16,18,20)+IF(ArtifactsInput!$M$10,CHOOSE(ArtifactsInput!$N$10+1,15,18,21,24,27,30)*(IF(Inputs!$B$38="pvp",MIN(15,15)/15,IF(AND(Inputs!$B$38&lt;&gt;"pvp",Inputs!$B$43&gt;0),MIN(15,Inputs!$B$43)/(Inputs!$B$43),0))),0)))&gt;=100),CHOOSE(ArtifactsInput!$N$42+1,40,48,56,64,72,80),0))))/100)*((1+(((C2768=TRUE)*F2768)+((C2775=TRUE)*(F2775-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2762)</f>
        <v/>
      </c>
      <c r="L2762">
        <f>K2762*(MIN(Inputs!$B$22+((C2773=TRUE)*(F2773-Calc!F22)),(Inputs!$B$23+0+(IF(ArtifactsInput!$M$15,CHOOSE(ArtifactsInput!$N$15+1,25,30,35,40,45,50)/100*(Inputs!$B$11-Inputs!$B$11),0))))/100+(Inputs!$B$23+0+(IF(ArtifactsInput!$M$15,CHOOSE(ArtifactsInput!$N$15+1,25,30,35,40,45,50)/100*(Inputs!$B$11-Inputs!$B$11),0)))/100)/2</f>
        <v/>
      </c>
      <c r="M2762">
        <f>L2762*(1+(Inputs!$B$10+((C2776=TRUE)*(F2776-Calc!F25))+B2786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2">
        <f>L2762*(1-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2762*(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2">
        <f>(1-Summary!$B$11)*T2762+Summary!$B$11*V2762</f>
        <v/>
      </c>
      <c r="P2762">
        <f>IF(B2791=0,0,O2762/B2791)</f>
        <v/>
      </c>
      <c r="Q2762">
        <f>IFERROR(1/(IF(Inputs!$B$38="pvp",15,MAX(0.1,Skills!D11-IF(Skills!E11=TRUE,0.5,0)))*(1-IF(AND(ArtifactsInput!$M$27,Inputs!$B$4="Chapter Hunt"),CHOOSE(ArtifactsInput!$N$27+1,20,24,28,32,36,40),0)/100)),0)</f>
        <v/>
      </c>
      <c r="R2762">
        <f>IF(AND(Inputs!$B$38&lt;&gt;"pvp",Inputs!$B$43&gt;0),IF(MAX(0,Inputs!$B$43-B2788)&lt;=0,0,(INT(MAX(0,Inputs!$B$43-B2788)/(IF(Inputs!$B$38="pvp",15,MAX(0.1,Skills!D11-IF(Skills!E11=TRUE,0.5,0)))*(1-IF(AND(ArtifactsInput!$M$27,Inputs!$B$4="Chapter Hunt"),CHOOSE(ArtifactsInput!$N$27+1,20,24,28,32,36,40),0)/100)))+1)),0)</f>
        <v/>
      </c>
      <c r="S2762">
        <f>IFERROR(O2762/N2762,0)</f>
        <v/>
      </c>
      <c r="T2762">
        <f>IF(C2762,(H2762*N2762*IF(AND(Inputs!$B$38&lt;&gt;"pvp",Inputs!$B$43&gt;0),((Skills!G11*((R2762-1)*IF(Skills!H11&gt;0,Skills!I11/Skills!H11,1)+IF(Skills!H11&gt;0,MIN(Skills!I11,MAX(0,MAX(0,Inputs!$B$43-B2788)-((R2762-1)*(IF(Inputs!$B$38="pvp",15,MAX(0.1,Skills!D11-IF(Skills!E11=TRUE,0.5,0)))*(1-IF(AND(ArtifactsInput!$M$27,Inputs!$B$4="Chapter Hunt"),CHOOSE(ArtifactsInput!$N$27+1,20,24,28,32,36,40),0)/100)))))/Skills!H11,1)))/Inputs!$B$43),G2762*Q2762)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2762*(1-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2762*(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2762*(1-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2762*(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2">
        <f>IF(C2762,(H2762*N2762*IF(AND(Inputs!$B$38&lt;&gt;"pvp",Inputs!$B$43&gt;0),((Skills!G11*((R2762-1)*IF(Skills!H11&gt;0,Skills!I11/Skills!H11,1)+IF(Skills!H11&gt;0,MIN(Skills!I11,MAX(0,MAX(0,Inputs!$B$43-B2788)-((R2762-1)*(IF(Inputs!$B$38="pvp",15,MAX(0.1,Skills!D11-IF(Skills!E11=TRUE,0.5,0)))*(1-IF(AND(ArtifactsInput!$M$27,Inputs!$B$4="Chapter Hunt"),CHOOSE(ArtifactsInput!$N$27+1,20,24,28,32,36,40),0)/100)))))/Skills!H11,1)))/Inputs!$B$43),G2762*Q2762))*IF(Inputs!$B$38="pvp",1,(1+(Inputs!$B$21+Skills!Q11+(IF(ArtifactsInput!$M$33,CHOOSE(ArtifactsInput!$N$33+1,30,36,42,48,54,60)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3">
      <c r="A2763">
        <f>Skills!A12</f>
        <v/>
      </c>
      <c r="B2763">
        <f>Skills!B12</f>
        <v/>
      </c>
      <c r="C2763">
        <f>Inputs!$B$3&gt;=110</f>
        <v/>
      </c>
      <c r="D2763">
        <f>IF(Skills!C12=1,60+Inputs!$B$25+Inputs!$B$29,IF(Skills!C12=2,90+Inputs!$B$26+Inputs!$B$29,IF(Skills!C12=3,120+Inputs!$B$27+Inputs!$B$29,MAX(0,(Inputs!$B$3-100)*3)+Inputs!$B$28+Inputs!$B$29)))</f>
        <v/>
      </c>
      <c r="E2763">
        <f>INDEX(FactorTable!$B$2:$Y$301, MATCH(ROUND(MIN(300,MAX(1,D2763)),0), FactorTable!$A$2:$A$301,0), Skills!M12+1)</f>
        <v/>
      </c>
      <c r="F2763">
        <f>IF(Skills!N12=TRUE,(Skills!L12/10)*(E2763/1000),Skills!L12/10)+Skills!O12</f>
        <v/>
      </c>
      <c r="G2763">
        <f>Skills!G12*IF(Skills!H12&gt;0,Skills!I12/Skills!H12,1)</f>
        <v/>
      </c>
      <c r="H2763">
        <f>1-(1-Skills!J12/100)^Skills!K12</f>
        <v/>
      </c>
      <c r="I2763" t="inlineStr">
        <is>
          <t>1</t>
        </is>
      </c>
      <c r="J2763">
        <f>((Inputs!$B$6*(1+Inputs!$B$7/100))+(((Inputs!$B$12*(1+Inputs!$B$13/100))-(Inputs!$B$12*(1+Inputs!$B$13/100)))+0.25*(Inputs!$B$14-Inputs!$B$14))*(1+Inputs!$B$7/100))*(F2763/100)</f>
        <v/>
      </c>
      <c r="K2763">
        <f>J2763*(1+((Inputs!$B$12*(1+Inputs!$B$13/100))*0.01+Inputs!$B$14*0.0025)/100)*(1+Inputs!$B$15/100)*(1+Inputs!$B$16/100)*(5000/(6000+Inputs!$B$42*(1-(100*(1-(1-(Inputs!$B$19+0)/100)*(1-CHOOSE(ArtifactsInput!$N$40+1,5,6,7,8,9,10)/100)^(ArtifactsInput!$M$40-ArtifactsInput!$M$40)))/100)))*(1+(Inputs!$B$24+((C2777=TRUE)*(F2777-Calc!F26))+B2787)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2774=TRUE)*(F2774-Calc!F23))+((C2778=TRUE)*(F2778-Calc!F27))+(((IF(AND(ArtifactsInput!$M$42,((Inputs!$B$9+((C2770=TRUE)*(F2770-Calc!F19))+B2781+(ArtifactsInput!$M$24-ArtifactsInput!$M$24)*CHOOSE(ArtifactsInput!$N$24+1,10,12,14,16,18,20)+IF(ArtifactsInput!$M$10,CHOOSE(ArtifactsInput!$N$10+1,15,18,21,24,27,30)*(IF(Inputs!$B$38="pvp",MIN(15,15)/15,IF(AND(Inputs!$B$38&lt;&gt;"pvp",Inputs!$B$43&gt;0),MIN(15,Inputs!$B$43)/(Inputs!$B$43),0))),0)))&gt;=100),MIN(100,((Inputs!$B$9+((C2770=TRUE)*(F2770-Calc!F19))+B2781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2770=TRUE)*(F2770-Calc!F19))+B2781+(ArtifactsInput!$M$24-ArtifactsInput!$M$24)*CHOOSE(ArtifactsInput!$N$24+1,10,12,14,16,18,20)+IF(ArtifactsInput!$M$10,CHOOSE(ArtifactsInput!$N$10+1,15,18,21,24,27,30)*(IF(Inputs!$B$38="pvp",MIN(15,15)/15,IF(AND(Inputs!$B$38&lt;&gt;"pvp",Inputs!$B$43&gt;0),MIN(15,Inputs!$B$43)/(Inputs!$B$43),0))),0)))&gt;=100),CHOOSE(ArtifactsInput!$N$42+1,40,48,56,64,72,80),0))))/100)*((1+(((C2768=TRUE)*F2768)+((C2775=TRUE)*(F2775-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2763)</f>
        <v/>
      </c>
      <c r="L2763">
        <f>K2763*(MIN(Inputs!$B$22+((C2773=TRUE)*(F2773-Calc!F22)),(Inputs!$B$23+0+(IF(ArtifactsInput!$M$15,CHOOSE(ArtifactsInput!$N$15+1,25,30,35,40,45,50)/100*(Inputs!$B$11-Inputs!$B$11),0))))/100+(Inputs!$B$23+0+(IF(ArtifactsInput!$M$15,CHOOSE(ArtifactsInput!$N$15+1,25,30,35,40,45,50)/100*(Inputs!$B$11-Inputs!$B$11),0)))/100)/2</f>
        <v/>
      </c>
      <c r="M2763">
        <f>L2763*(1+(Inputs!$B$10+((C2776=TRUE)*(F2776-Calc!F25))+B2786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3">
        <f>L2763*(1-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2763*(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3">
        <f>(1-Summary!$B$11)*T2763+Summary!$B$11*V2763</f>
        <v/>
      </c>
      <c r="P2763">
        <f>IF(B2791=0,0,O2763/B2791)</f>
        <v/>
      </c>
      <c r="Q2763">
        <f>IFERROR(1/(IF(Inputs!$B$38="pvp",15,MAX(0.1,Skills!D12-IF(Skills!E12=TRUE,0.5,0)))*(1-IF(AND(ArtifactsInput!$M$27,Inputs!$B$4="Chapter Hunt"),CHOOSE(ArtifactsInput!$N$27+1,20,24,28,32,36,40),0)/100)),0)</f>
        <v/>
      </c>
      <c r="R2763">
        <f>IF(AND(Inputs!$B$38&lt;&gt;"pvp",Inputs!$B$43&gt;0),IF(MAX(0,Inputs!$B$43-B2788)&lt;=0,0,(INT(MAX(0,Inputs!$B$43-B2788)/(IF(Inputs!$B$38="pvp",15,MAX(0.1,Skills!D12-IF(Skills!E12=TRUE,0.5,0)))*(1-IF(AND(ArtifactsInput!$M$27,Inputs!$B$4="Chapter Hunt"),CHOOSE(ArtifactsInput!$N$27+1,20,24,28,32,36,40),0)/100)))+1)),0)</f>
        <v/>
      </c>
      <c r="S2763">
        <f>IFERROR(O2763/N2763,0)</f>
        <v/>
      </c>
      <c r="T2763">
        <f>IF(C2763,(H2763*N2763*IF(AND(Inputs!$B$38&lt;&gt;"pvp",Inputs!$B$43&gt;0),((Skills!G12*((R2763-1)*IF(Skills!H12&gt;0,Skills!I12/Skills!H12,1)+IF(Skills!H12&gt;0,MIN(Skills!I12,MAX(0,MAX(0,Inputs!$B$43-B2788)-((R2763-1)*(IF(Inputs!$B$38="pvp",15,MAX(0.1,Skills!D12-IF(Skills!E12=TRUE,0.5,0)))*(1-IF(AND(ArtifactsInput!$M$27,Inputs!$B$4="Chapter Hunt"),CHOOSE(ArtifactsInput!$N$27+1,20,24,28,32,36,40),0)/100)))))/Skills!H12,1)))/Inputs!$B$43),G2763*Q2763)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2763*(1-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2763*(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2763*(1-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2763*(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3">
        <f>IF(C2763,(H2763*N2763*IF(AND(Inputs!$B$38&lt;&gt;"pvp",Inputs!$B$43&gt;0),((Skills!G12*((R2763-1)*IF(Skills!H12&gt;0,Skills!I12/Skills!H12,1)+IF(Skills!H12&gt;0,MIN(Skills!I12,MAX(0,MAX(0,Inputs!$B$43-B2788)-((R2763-1)*(IF(Inputs!$B$38="pvp",15,MAX(0.1,Skills!D12-IF(Skills!E12=TRUE,0.5,0)))*(1-IF(AND(ArtifactsInput!$M$27,Inputs!$B$4="Chapter Hunt"),CHOOSE(ArtifactsInput!$N$27+1,20,24,28,32,36,40),0)/100)))))/Skills!H12,1)))/Inputs!$B$43),G2763*Q2763))*IF(Inputs!$B$38="pvp",1,(1+(Inputs!$B$21+Skills!Q12+(IF(ArtifactsInput!$M$33,CHOOSE(ArtifactsInput!$N$33+1,30,36,42,48,54,60)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4">
      <c r="A2764">
        <f>Skills!A13</f>
        <v/>
      </c>
      <c r="B2764">
        <f>Skills!B13</f>
        <v/>
      </c>
      <c r="C2764">
        <f>Inputs!$B$3&gt;=110</f>
        <v/>
      </c>
      <c r="D2764">
        <f>IF(Skills!C13=1,60+Inputs!$B$25+Inputs!$B$29,IF(Skills!C13=2,90+Inputs!$B$26+Inputs!$B$29,IF(Skills!C13=3,120+Inputs!$B$27+Inputs!$B$29,MAX(0,(Inputs!$B$3-100)*3)+Inputs!$B$28+Inputs!$B$29)))</f>
        <v/>
      </c>
      <c r="E2764">
        <f>INDEX(FactorTable!$B$2:$Y$301, MATCH(ROUND(MIN(300,MAX(1,D2764)),0), FactorTable!$A$2:$A$301,0), Skills!M13+1)</f>
        <v/>
      </c>
      <c r="F2764">
        <f>IF(Skills!N13=TRUE,(Skills!L13/10)*(E2764/1000),Skills!L13/10)+Skills!O13</f>
        <v/>
      </c>
      <c r="G2764">
        <f>Skills!G13*IF(Skills!H13&gt;0,Skills!I13/Skills!H13,1)</f>
        <v/>
      </c>
      <c r="H2764">
        <f>1-(1-Skills!J13/100)^Skills!K13</f>
        <v/>
      </c>
      <c r="I2764" t="inlineStr">
        <is>
          <t>1</t>
        </is>
      </c>
      <c r="J2764">
        <f>((Inputs!$B$6*(1+Inputs!$B$7/100))+(((Inputs!$B$12*(1+Inputs!$B$13/100))-(Inputs!$B$12*(1+Inputs!$B$13/100)))+0.25*(Inputs!$B$14-Inputs!$B$14))*(1+Inputs!$B$7/100))*(F2764/100)</f>
        <v/>
      </c>
      <c r="K2764">
        <f>J2764*(1+((Inputs!$B$12*(1+Inputs!$B$13/100))*0.01+Inputs!$B$14*0.0025)/100)*(1+Inputs!$B$15/100)*(1+Inputs!$B$16/100)*(5000/(6000+Inputs!$B$42*(1-(100*(1-(1-(Inputs!$B$19+0)/100)*(1-CHOOSE(ArtifactsInput!$N$40+1,5,6,7,8,9,10)/100)^(ArtifactsInput!$M$40-ArtifactsInput!$M$40)))/100)))*(1+(Inputs!$B$24+((C2777=TRUE)*(F2777-Calc!F26))+B2787)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2774=TRUE)*(F2774-Calc!F23))+((C2778=TRUE)*(F2778-Calc!F27))+(((IF(AND(ArtifactsInput!$M$42,((Inputs!$B$9+((C2770=TRUE)*(F2770-Calc!F19))+B2781+(ArtifactsInput!$M$24-ArtifactsInput!$M$24)*CHOOSE(ArtifactsInput!$N$24+1,10,12,14,16,18,20)+IF(ArtifactsInput!$M$10,CHOOSE(ArtifactsInput!$N$10+1,15,18,21,24,27,30)*(IF(Inputs!$B$38="pvp",MIN(15,15)/15,IF(AND(Inputs!$B$38&lt;&gt;"pvp",Inputs!$B$43&gt;0),MIN(15,Inputs!$B$43)/(Inputs!$B$43),0))),0)))&gt;=100),MIN(100,((Inputs!$B$9+((C2770=TRUE)*(F2770-Calc!F19))+B2781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2770=TRUE)*(F2770-Calc!F19))+B2781+(ArtifactsInput!$M$24-ArtifactsInput!$M$24)*CHOOSE(ArtifactsInput!$N$24+1,10,12,14,16,18,20)+IF(ArtifactsInput!$M$10,CHOOSE(ArtifactsInput!$N$10+1,15,18,21,24,27,30)*(IF(Inputs!$B$38="pvp",MIN(15,15)/15,IF(AND(Inputs!$B$38&lt;&gt;"pvp",Inputs!$B$43&gt;0),MIN(15,Inputs!$B$43)/(Inputs!$B$43),0))),0)))&gt;=100),CHOOSE(ArtifactsInput!$N$42+1,40,48,56,64,72,80),0))))/100)*((1+(((C2768=TRUE)*F2768)+((C2775=TRUE)*(F2775-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2764)</f>
        <v/>
      </c>
      <c r="L2764">
        <f>K2764*(MIN(Inputs!$B$22+((C2773=TRUE)*(F2773-Calc!F22)),(Inputs!$B$23+0+(IF(ArtifactsInput!$M$15,CHOOSE(ArtifactsInput!$N$15+1,25,30,35,40,45,50)/100*(Inputs!$B$11-Inputs!$B$11),0))))/100+(Inputs!$B$23+0+(IF(ArtifactsInput!$M$15,CHOOSE(ArtifactsInput!$N$15+1,25,30,35,40,45,50)/100*(Inputs!$B$11-Inputs!$B$11),0)))/100)/2</f>
        <v/>
      </c>
      <c r="M2764">
        <f>L2764*(1+(Inputs!$B$10+((C2776=TRUE)*(F2776-Calc!F25))+B2786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4">
        <f>L2764*(1-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2764*(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4">
        <f>(1-Summary!$B$11)*T2764+Summary!$B$11*V2764</f>
        <v/>
      </c>
      <c r="P2764">
        <f>IF(B2791=0,0,O2764/B2791)</f>
        <v/>
      </c>
      <c r="Q2764">
        <f>IFERROR(1/(IF(Inputs!$B$38="pvp",15,MAX(0.1,Skills!D13-IF(Skills!E13=TRUE,0.5,0)))*(1-IF(AND(ArtifactsInput!$M$27,Inputs!$B$4="Chapter Hunt"),CHOOSE(ArtifactsInput!$N$27+1,20,24,28,32,36,40),0)/100)),0)</f>
        <v/>
      </c>
      <c r="R2764">
        <f>IF(AND(Inputs!$B$38&lt;&gt;"pvp",Inputs!$B$43&gt;0),IF(MAX(0,Inputs!$B$43-B2788)&lt;=0,0,(INT(MAX(0,Inputs!$B$43-B2788)/(IF(Inputs!$B$38="pvp",15,MAX(0.1,Skills!D13-IF(Skills!E13=TRUE,0.5,0)))*(1-IF(AND(ArtifactsInput!$M$27,Inputs!$B$4="Chapter Hunt"),CHOOSE(ArtifactsInput!$N$27+1,20,24,28,32,36,40),0)/100)))+1)),0)</f>
        <v/>
      </c>
      <c r="S2764">
        <f>IFERROR(O2764/N2764,0)</f>
        <v/>
      </c>
      <c r="T2764">
        <f>IF(C2764,(H2764*N2764*IF(AND(Inputs!$B$38&lt;&gt;"pvp",Inputs!$B$43&gt;0),((Skills!G13*((R2764-1)*IF(Skills!H13&gt;0,Skills!I13/Skills!H13,1)+IF(Skills!H13&gt;0,MIN(Skills!I13,MAX(0,MAX(0,Inputs!$B$43-B2788)-((R2764-1)*(IF(Inputs!$B$38="pvp",15,MAX(0.1,Skills!D13-IF(Skills!E13=TRUE,0.5,0)))*(1-IF(AND(ArtifactsInput!$M$27,Inputs!$B$4="Chapter Hunt"),CHOOSE(ArtifactsInput!$N$27+1,20,24,28,32,36,40),0)/100)))))/Skills!H13,1)))/Inputs!$B$43),G2764*Q2764)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2764*(1-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2764*(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2764*(1-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2764*(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4">
        <f>IF(C2764,(H2764*N2764*IF(AND(Inputs!$B$38&lt;&gt;"pvp",Inputs!$B$43&gt;0),((Skills!G13*((R2764-1)*IF(Skills!H13&gt;0,Skills!I13/Skills!H13,1)+IF(Skills!H13&gt;0,MIN(Skills!I13,MAX(0,MAX(0,Inputs!$B$43-B2788)-((R2764-1)*(IF(Inputs!$B$38="pvp",15,MAX(0.1,Skills!D13-IF(Skills!E13=TRUE,0.5,0)))*(1-IF(AND(ArtifactsInput!$M$27,Inputs!$B$4="Chapter Hunt"),CHOOSE(ArtifactsInput!$N$27+1,20,24,28,32,36,40),0)/100)))))/Skills!H13,1)))/Inputs!$B$43),G2764*Q2764))*IF(Inputs!$B$38="pvp",1,(1+(Inputs!$B$21+Skills!Q13+(IF(ArtifactsInput!$M$33,CHOOSE(ArtifactsInput!$N$33+1,30,36,42,48,54,60)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5">
      <c r="A2765">
        <f>Skills!A14</f>
        <v/>
      </c>
      <c r="B2765">
        <f>Skills!B14</f>
        <v/>
      </c>
      <c r="C2765">
        <f>Inputs!$B$3&gt;=125</f>
        <v/>
      </c>
      <c r="D2765">
        <f>IF(Skills!C14=1,60+Inputs!$B$25+Inputs!$B$29,IF(Skills!C14=2,90+Inputs!$B$26+Inputs!$B$29,IF(Skills!C14=3,120+Inputs!$B$27+Inputs!$B$29,MAX(0,(Inputs!$B$3-100)*3)+Inputs!$B$28+Inputs!$B$29)))</f>
        <v/>
      </c>
      <c r="E2765">
        <f>INDEX(FactorTable!$B$2:$Y$301, MATCH(ROUND(MIN(300,MAX(1,D2765)),0), FactorTable!$A$2:$A$301,0), Skills!M14+1)</f>
        <v/>
      </c>
      <c r="F2765">
        <f>IF(Skills!N14=TRUE,(Skills!L14/10)*(E2765/1000),Skills!L14/10)+Skills!O14</f>
        <v/>
      </c>
      <c r="G2765">
        <f>Skills!G14*IF(Skills!H14&gt;0,Skills!I14/Skills!H14,1)</f>
        <v/>
      </c>
      <c r="H2765">
        <f>1-(1-Skills!J14/100)^Skills!K14</f>
        <v/>
      </c>
      <c r="I2765" t="inlineStr">
        <is>
          <t>1</t>
        </is>
      </c>
      <c r="J2765">
        <f>((Inputs!$B$6*(1+Inputs!$B$7/100))+(((Inputs!$B$12*(1+Inputs!$B$13/100))-(Inputs!$B$12*(1+Inputs!$B$13/100)))+0.25*(Inputs!$B$14-Inputs!$B$14))*(1+Inputs!$B$7/100))*(F2765/100)</f>
        <v/>
      </c>
      <c r="K2765">
        <f>J2765*(1+((Inputs!$B$12*(1+Inputs!$B$13/100))*0.01+Inputs!$B$14*0.0025)/100)*(1+Inputs!$B$15/100)*(1+Inputs!$B$16/100)*(5000/(6000+Inputs!$B$42*(1-(100*(1-(1-(Inputs!$B$19+0)/100)*(1-CHOOSE(ArtifactsInput!$N$40+1,5,6,7,8,9,10)/100)^(ArtifactsInput!$M$40-ArtifactsInput!$M$40)))/100)))*(1+(Inputs!$B$24+((C2777=TRUE)*(F2777-Calc!F26))+B2787)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2774=TRUE)*(F2774-Calc!F23))+((C2778=TRUE)*(F2778-Calc!F27))+(((IF(AND(ArtifactsInput!$M$42,((Inputs!$B$9+((C2770=TRUE)*(F2770-Calc!F19))+B2781+(ArtifactsInput!$M$24-ArtifactsInput!$M$24)*CHOOSE(ArtifactsInput!$N$24+1,10,12,14,16,18,20)+IF(ArtifactsInput!$M$10,CHOOSE(ArtifactsInput!$N$10+1,15,18,21,24,27,30)*(IF(Inputs!$B$38="pvp",MIN(15,15)/15,IF(AND(Inputs!$B$38&lt;&gt;"pvp",Inputs!$B$43&gt;0),MIN(15,Inputs!$B$43)/(Inputs!$B$43),0))),0)))&gt;=100),MIN(100,((Inputs!$B$9+((C2770=TRUE)*(F2770-Calc!F19))+B2781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2770=TRUE)*(F2770-Calc!F19))+B2781+(ArtifactsInput!$M$24-ArtifactsInput!$M$24)*CHOOSE(ArtifactsInput!$N$24+1,10,12,14,16,18,20)+IF(ArtifactsInput!$M$10,CHOOSE(ArtifactsInput!$N$10+1,15,18,21,24,27,30)*(IF(Inputs!$B$38="pvp",MIN(15,15)/15,IF(AND(Inputs!$B$38&lt;&gt;"pvp",Inputs!$B$43&gt;0),MIN(15,Inputs!$B$43)/(Inputs!$B$43),0))),0)))&gt;=100),CHOOSE(ArtifactsInput!$N$42+1,40,48,56,64,72,80),0))))/100)*((1+(((C2768=TRUE)*F2768)+((C2775=TRUE)*(F2775-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2765)</f>
        <v/>
      </c>
      <c r="L2765">
        <f>K2765*(MIN(Inputs!$B$22+((C2773=TRUE)*(F2773-Calc!F22)),(Inputs!$B$23+0+(IF(ArtifactsInput!$M$15,CHOOSE(ArtifactsInput!$N$15+1,25,30,35,40,45,50)/100*(Inputs!$B$11-Inputs!$B$11),0))))/100+(Inputs!$B$23+0+(IF(ArtifactsInput!$M$15,CHOOSE(ArtifactsInput!$N$15+1,25,30,35,40,45,50)/100*(Inputs!$B$11-Inputs!$B$11),0)))/100)/2</f>
        <v/>
      </c>
      <c r="M2765">
        <f>L2765*(1+(Inputs!$B$10+((C2776=TRUE)*(F2776-Calc!F25))+B2786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5">
        <f>L2765*(1-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2765*(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5">
        <f>(1-Summary!$B$11)*T2765+Summary!$B$11*V2765</f>
        <v/>
      </c>
      <c r="P2765">
        <f>IF(B2791=0,0,O2765/B2791)</f>
        <v/>
      </c>
      <c r="Q2765" t="n">
        <v>0</v>
      </c>
      <c r="R2765" t="n">
        <v>0</v>
      </c>
      <c r="S2765">
        <f>IFERROR(O2765/N2765,0)</f>
        <v/>
      </c>
      <c r="T2765">
        <f>IF(C2765,(H2765*N2765*(B2785+IF(AND(Inputs!$B$38&lt;&gt;"pvp",Inputs!$B$43&gt;0),((Skills!G8*((R2759-1)*IF(Skills!H8&gt;0,Skills!I8/Skills!H8,1)+IF(Skills!H8&gt;0,MIN(Skills!I8,MAX(0,MAX(0,Inputs!$B$43-B2788)-((R2759-1)*(IF(Inputs!$B$38="pvp",15,MAX(0.1,Skills!D8-IF(Skills!E8=TRUE,0.5,0)))*(1-IF(AND(ArtifactsInput!$M$27,Inputs!$B$4="Chapter Hunt"),CHOOSE(ArtifactsInput!$N$27+1,20,24,28,32,36,40),0)/100)))))/Skills!H8,1)))/Inputs!$B$43),G2759*Q2759)+IF(AND(Inputs!$B$38&lt;&gt;"pvp",Inputs!$B$43&gt;0),((Skills!G11*((R2762-1)*IF(Skills!H11&gt;0,Skills!I11/Skills!H11,1)+IF(Skills!H11&gt;0,MIN(Skills!I11,MAX(0,MAX(0,Inputs!$B$43-B2788)-((R2762-1)*(IF(Inputs!$B$38="pvp",15,MAX(0.1,Skills!D11-IF(Skills!E11=TRUE,0.5,0)))*(1-IF(AND(ArtifactsInput!$M$27,Inputs!$B$4="Chapter Hunt"),CHOOSE(ArtifactsInput!$N$27+1,20,24,28,32,36,40),0)/100)))))/Skills!H11,1)))/Inputs!$B$43),G2762*Q2762)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2765*(1-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2765*(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2765*(1-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2765*(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5">
        <f>IF(C2765,(H2765*N2765*(B2785+IF(AND(Inputs!$B$38&lt;&gt;"pvp",Inputs!$B$43&gt;0),((Skills!G8*((R2759-1)*IF(Skills!H8&gt;0,Skills!I8/Skills!H8,1)+IF(Skills!H8&gt;0,MIN(Skills!I8,MAX(0,MAX(0,Inputs!$B$43-B2788)-((R2759-1)*(IF(Inputs!$B$38="pvp",15,MAX(0.1,Skills!D8-IF(Skills!E8=TRUE,0.5,0)))*(1-IF(AND(ArtifactsInput!$M$27,Inputs!$B$4="Chapter Hunt"),CHOOSE(ArtifactsInput!$N$27+1,20,24,28,32,36,40),0)/100)))))/Skills!H8,1)))/Inputs!$B$43),G2759*Q2759)+IF(AND(Inputs!$B$38&lt;&gt;"pvp",Inputs!$B$43&gt;0),((Skills!G11*((R2762-1)*IF(Skills!H11&gt;0,Skills!I11/Skills!H11,1)+IF(Skills!H11&gt;0,MIN(Skills!I11,MAX(0,MAX(0,Inputs!$B$43-B2788)-((R2762-1)*(IF(Inputs!$B$38="pvp",15,MAX(0.1,Skills!D11-IF(Skills!E11=TRUE,0.5,0)))*(1-IF(AND(ArtifactsInput!$M$27,Inputs!$B$4="Chapter Hunt"),CHOOSE(ArtifactsInput!$N$27+1,20,24,28,32,36,40),0)/100)))))/Skills!H11,1)))/Inputs!$B$43),G2762*Q2762)))*IF(Inputs!$B$38="pvp",1,(1+(Inputs!$B$21+Skills!Q14+(IF(ArtifactsInput!$M$33,CHOOSE(ArtifactsInput!$N$33+1,30,36,42,48,54,60)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6">
      <c r="A2766">
        <f>Skills!A15</f>
        <v/>
      </c>
      <c r="B2766">
        <f>Skills!B15</f>
        <v/>
      </c>
      <c r="C2766">
        <f>Inputs!$B$3&gt;=100</f>
        <v/>
      </c>
      <c r="D2766">
        <f>IF(Skills!C15=1,60+Inputs!$B$25+Inputs!$B$29,IF(Skills!C15=2,90+Inputs!$B$26+Inputs!$B$29,IF(Skills!C15=3,120+Inputs!$B$27+Inputs!$B$29,MAX(0,(Inputs!$B$3-100)*3)+Inputs!$B$28+Inputs!$B$29)))</f>
        <v/>
      </c>
      <c r="E2766">
        <f>INDEX(FactorTable!$B$2:$Y$301, MATCH(ROUND(MIN(300,MAX(1,D2766)),0), FactorTable!$A$2:$A$301,0), Skills!M15+1)</f>
        <v/>
      </c>
      <c r="F2766">
        <f>IF(Skills!N15=TRUE,(Skills!L15/10)*(E2766/1000),Skills!L15/10)+Skills!O15</f>
        <v/>
      </c>
      <c r="G2766" t="inlineStr"/>
      <c r="H2766" t="inlineStr"/>
      <c r="I2766" t="inlineStr">
        <is>
          <t>1</t>
        </is>
      </c>
      <c r="J2766" t="inlineStr"/>
      <c r="K2766" t="inlineStr"/>
      <c r="L2766" t="inlineStr"/>
      <c r="M2766" t="inlineStr"/>
      <c r="N2766" t="inlineStr"/>
      <c r="O2766" t="inlineStr"/>
      <c r="P2766" t="inlineStr"/>
      <c r="Q2766" t="inlineStr"/>
      <c r="R2766" t="inlineStr"/>
      <c r="S2766" t="inlineStr"/>
    </row>
    <row r="2767">
      <c r="A2767">
        <f>Skills!A16</f>
        <v/>
      </c>
      <c r="B2767">
        <f>Skills!B16</f>
        <v/>
      </c>
      <c r="C2767">
        <f>Inputs!$B$3&gt;=120</f>
        <v/>
      </c>
      <c r="D2767">
        <f>IF(Skills!C16=1,60+Inputs!$B$25+Inputs!$B$29,IF(Skills!C16=2,90+Inputs!$B$26+Inputs!$B$29,IF(Skills!C16=3,120+Inputs!$B$27+Inputs!$B$29,MAX(0,(Inputs!$B$3-100)*3)+Inputs!$B$28+Inputs!$B$29)))</f>
        <v/>
      </c>
      <c r="E2767">
        <f>INDEX(FactorTable!$B$2:$Y$301, MATCH(ROUND(MIN(300,MAX(1,D2767)),0), FactorTable!$A$2:$A$301,0), Skills!M16+1)</f>
        <v/>
      </c>
      <c r="F2767">
        <f>IF(Skills!N16=TRUE,(Skills!L16/10)*(E2767/1000),Skills!L16/10)+Skills!O16</f>
        <v/>
      </c>
      <c r="G2767" t="inlineStr"/>
      <c r="H2767" t="inlineStr"/>
      <c r="I2767" t="inlineStr">
        <is>
          <t>1</t>
        </is>
      </c>
      <c r="J2767" t="inlineStr"/>
      <c r="K2767" t="inlineStr"/>
      <c r="L2767" t="inlineStr"/>
      <c r="M2767" t="inlineStr"/>
      <c r="N2767" t="inlineStr"/>
      <c r="O2767" t="inlineStr"/>
      <c r="P2767" t="inlineStr"/>
      <c r="Q2767" t="inlineStr"/>
      <c r="R2767" t="inlineStr"/>
      <c r="S2767" t="inlineStr"/>
    </row>
    <row r="2768">
      <c r="A2768">
        <f>Skills!A17</f>
        <v/>
      </c>
      <c r="B2768">
        <f>Skills!B17</f>
        <v/>
      </c>
      <c r="C2768">
        <f>Inputs!$B$3&gt;=66</f>
        <v/>
      </c>
      <c r="D2768">
        <f>IF(Skills!C17=1,60+Inputs!$B$25+Inputs!$B$29,IF(Skills!C17=2,90+Inputs!$B$26+Inputs!$B$29,IF(Skills!C17=3,120+Inputs!$B$27+Inputs!$B$29,MAX(0,(Inputs!$B$3-100)*3)+Inputs!$B$28+Inputs!$B$29)))</f>
        <v/>
      </c>
      <c r="E2768">
        <f>INDEX(FactorTable!$B$2:$Y$301, MATCH(ROUND(MIN(300,MAX(1,D2768)),0), FactorTable!$A$2:$A$301,0), Skills!M17+1)</f>
        <v/>
      </c>
      <c r="F2768">
        <f>IF(Skills!N17=TRUE,(Skills!L17/10)*(E2768/1000),Skills!L17/10)+Skills!O17</f>
        <v/>
      </c>
      <c r="G2768">
        <f>Skills!G17*IF(Skills!H17&gt;0,Skills!I17/Skills!H17,1)</f>
        <v/>
      </c>
      <c r="H2768">
        <f>1-(1-Skills!J17/100)^Skills!K17</f>
        <v/>
      </c>
      <c r="I2768" t="inlineStr">
        <is>
          <t>1</t>
        </is>
      </c>
      <c r="J2768" t="inlineStr"/>
      <c r="K2768" t="inlineStr"/>
      <c r="L2768" t="inlineStr"/>
      <c r="M2768" t="inlineStr"/>
      <c r="N2768" t="inlineStr"/>
      <c r="O2768">
        <f>(1-Summary!$B$11)*T2768+Summary!$B$11*V2768</f>
        <v/>
      </c>
      <c r="P2768">
        <f>IF(B2791=0,0,O2768/B2791)</f>
        <v/>
      </c>
      <c r="Q2768" t="n">
        <v>0</v>
      </c>
      <c r="R2768" t="n">
        <v>0</v>
      </c>
      <c r="S2768">
        <f>IFERROR(O2768/N2768,0)</f>
        <v/>
      </c>
      <c r="T2768" t="n">
        <v>0</v>
      </c>
      <c r="V2768" t="n">
        <v>0</v>
      </c>
    </row>
    <row r="2769">
      <c r="A2769">
        <f>Skills!A18</f>
        <v/>
      </c>
      <c r="B2769">
        <f>Skills!B18</f>
        <v/>
      </c>
      <c r="C2769">
        <f>Inputs!$B$3&gt;=115</f>
        <v/>
      </c>
      <c r="D2769">
        <f>IF(Skills!C18=1,60+Inputs!$B$25+Inputs!$B$29,IF(Skills!C18=2,90+Inputs!$B$26+Inputs!$B$29,IF(Skills!C18=3,120+Inputs!$B$27+Inputs!$B$29,MAX(0,(Inputs!$B$3-100)*3)+Inputs!$B$28+Inputs!$B$29)))</f>
        <v/>
      </c>
      <c r="E2769">
        <f>INDEX(FactorTable!$B$2:$Y$301, MATCH(ROUND(MIN(300,MAX(1,D2769)),0), FactorTable!$A$2:$A$301,0), Skills!M18+1)</f>
        <v/>
      </c>
      <c r="F2769">
        <f>IF(Skills!N18=TRUE,(Skills!L18/10)*(E2769/1000),Skills!L18/10)+Skills!O18</f>
        <v/>
      </c>
      <c r="G2769">
        <f>Skills!G18*IF(Skills!H18&gt;0,Skills!I18/Skills!H18,1)</f>
        <v/>
      </c>
      <c r="H2769">
        <f>1-(1-Skills!J18/100)^Skills!K18</f>
        <v/>
      </c>
      <c r="I2769" t="inlineStr">
        <is>
          <t>1</t>
        </is>
      </c>
      <c r="J2769" t="inlineStr"/>
      <c r="K2769" t="inlineStr"/>
      <c r="L2769" t="inlineStr"/>
      <c r="M2769" t="inlineStr"/>
      <c r="N2769" t="inlineStr"/>
      <c r="O2769">
        <f>(1-Summary!$B$11)*T2769+Summary!$B$11*V2769</f>
        <v/>
      </c>
      <c r="P2769">
        <f>IF(B2791=0,0,O2769/B2791)</f>
        <v/>
      </c>
      <c r="Q2769" t="n">
        <v>0</v>
      </c>
      <c r="R2769" t="n">
        <v>0</v>
      </c>
      <c r="S2769">
        <f>IFERROR(O2769/N2769,0)</f>
        <v/>
      </c>
      <c r="T2769" t="n">
        <v>0</v>
      </c>
      <c r="V2769" t="n">
        <v>0</v>
      </c>
    </row>
    <row r="2770">
      <c r="A2770">
        <f>Skills!A19</f>
        <v/>
      </c>
      <c r="B2770">
        <f>Skills!B19</f>
        <v/>
      </c>
      <c r="C2770">
        <f>Inputs!$B$3&gt;=15</f>
        <v/>
      </c>
      <c r="D2770">
        <f>IF(Skills!C19=1,60+Inputs!$B$25+Inputs!$B$29,IF(Skills!C19=2,90+Inputs!$B$26+Inputs!$B$29,IF(Skills!C19=3,120+Inputs!$B$27+Inputs!$B$29,MAX(0,(Inputs!$B$3-100)*3)+Inputs!$B$28+Inputs!$B$29)))</f>
        <v/>
      </c>
      <c r="E2770">
        <f>INDEX(FactorTable!$B$2:$Y$301, MATCH(ROUND(MIN(300,MAX(1,D2770)),0), FactorTable!$A$2:$A$301,0), Skills!M19+1)</f>
        <v/>
      </c>
      <c r="F2770">
        <f>IF(Skills!N19=TRUE,(Skills!L19/10)*(E2770/1000),Skills!L19/10)+Skills!O19</f>
        <v/>
      </c>
      <c r="G2770">
        <f>Skills!G19*IF(Skills!H19&gt;0,Skills!I19/Skills!H19,1)</f>
        <v/>
      </c>
      <c r="H2770">
        <f>1-(1-Skills!J19/100)^Skills!K19</f>
        <v/>
      </c>
      <c r="I2770" t="inlineStr">
        <is>
          <t>1</t>
        </is>
      </c>
      <c r="J2770" t="inlineStr"/>
      <c r="K2770" t="inlineStr"/>
      <c r="L2770" t="inlineStr"/>
      <c r="M2770" t="inlineStr"/>
      <c r="N2770" t="inlineStr"/>
      <c r="O2770">
        <f>(1-Summary!$B$11)*T2770+Summary!$B$11*V2770</f>
        <v/>
      </c>
      <c r="P2770">
        <f>IF(B2791=0,0,O2770/B2791)</f>
        <v/>
      </c>
      <c r="Q2770" t="n">
        <v>0</v>
      </c>
      <c r="R2770" t="n">
        <v>0</v>
      </c>
      <c r="S2770">
        <f>IFERROR(O2770/N2770,0)</f>
        <v/>
      </c>
      <c r="T2770" t="n">
        <v>0</v>
      </c>
      <c r="V2770" t="n">
        <v>0</v>
      </c>
    </row>
    <row r="2771">
      <c r="A2771">
        <f>Skills!A20</f>
        <v/>
      </c>
      <c r="B2771">
        <f>Skills!B20</f>
        <v/>
      </c>
      <c r="C2771">
        <f>Inputs!$B$3&gt;=10</f>
        <v/>
      </c>
      <c r="D2771">
        <f>IF(Skills!C20=1,60+Inputs!$B$25+Inputs!$B$29,IF(Skills!C20=2,90+Inputs!$B$26+Inputs!$B$29,IF(Skills!C20=3,120+Inputs!$B$27+Inputs!$B$29,MAX(0,(Inputs!$B$3-100)*3)+Inputs!$B$28+Inputs!$B$29)))</f>
        <v/>
      </c>
      <c r="E2771">
        <f>INDEX(FactorTable!$B$2:$Y$301, MATCH(ROUND(MIN(300,MAX(1,D2771)),0), FactorTable!$A$2:$A$301,0), Skills!M20+1)</f>
        <v/>
      </c>
      <c r="F2771">
        <f>IF(Skills!N20=TRUE,(Skills!L20/10)*(E2771/1000),Skills!L20/10)+Skills!O20</f>
        <v/>
      </c>
      <c r="G2771">
        <f>Skills!G20*IF(Skills!H20&gt;0,Skills!I20/Skills!H20,1)</f>
        <v/>
      </c>
      <c r="H2771">
        <f>1-(1-Skills!J20/100)^Skills!K20</f>
        <v/>
      </c>
      <c r="I2771" t="inlineStr">
        <is>
          <t>1</t>
        </is>
      </c>
      <c r="J2771" t="inlineStr"/>
      <c r="K2771" t="inlineStr"/>
      <c r="L2771" t="inlineStr"/>
      <c r="M2771" t="inlineStr"/>
      <c r="N2771" t="inlineStr"/>
      <c r="O2771">
        <f>(1-Summary!$B$11)*T2771+Summary!$B$11*V2771</f>
        <v/>
      </c>
      <c r="P2771">
        <f>IF(B2791=0,0,O2771/B2791)</f>
        <v/>
      </c>
      <c r="Q2771" t="n">
        <v>0</v>
      </c>
      <c r="R2771" t="n">
        <v>0</v>
      </c>
      <c r="S2771">
        <f>IFERROR(O2771/N2771,0)</f>
        <v/>
      </c>
      <c r="T2771" t="n">
        <v>0</v>
      </c>
      <c r="V2771" t="n">
        <v>0</v>
      </c>
    </row>
    <row r="2772">
      <c r="A2772">
        <f>Skills!A21</f>
        <v/>
      </c>
      <c r="B2772">
        <f>Skills!B21</f>
        <v/>
      </c>
      <c r="C2772">
        <f>Inputs!$B$3&gt;=33</f>
        <v/>
      </c>
      <c r="D2772">
        <f>IF(Skills!C21=1,60+Inputs!$B$25+Inputs!$B$29,IF(Skills!C21=2,90+Inputs!$B$26+Inputs!$B$29,IF(Skills!C21=3,120+Inputs!$B$27+Inputs!$B$29,MAX(0,(Inputs!$B$3-100)*3)+Inputs!$B$28+Inputs!$B$29)))</f>
        <v/>
      </c>
      <c r="E2772">
        <f>INDEX(FactorTable!$B$2:$Y$301, MATCH(ROUND(MIN(300,MAX(1,D2772)),0), FactorTable!$A$2:$A$301,0), Skills!M21+1)</f>
        <v/>
      </c>
      <c r="F2772">
        <f>IF(Skills!N21=TRUE,(Skills!L21/10)*(E2772/1000),Skills!L21/10)+Skills!O21</f>
        <v/>
      </c>
      <c r="G2772">
        <f>Skills!G21*IF(Skills!H21&gt;0,Skills!I21/Skills!H21,1)</f>
        <v/>
      </c>
      <c r="H2772">
        <f>1-(1-Skills!J21/100)^Skills!K21</f>
        <v/>
      </c>
      <c r="I2772" t="inlineStr">
        <is>
          <t>1</t>
        </is>
      </c>
      <c r="J2772" t="inlineStr"/>
      <c r="K2772" t="inlineStr"/>
      <c r="L2772" t="inlineStr"/>
      <c r="M2772" t="inlineStr"/>
      <c r="N2772" t="inlineStr"/>
      <c r="O2772">
        <f>(1-Summary!$B$11)*T2772+Summary!$B$11*V2772</f>
        <v/>
      </c>
      <c r="P2772">
        <f>IF(B2791=0,0,O2772/B2791)</f>
        <v/>
      </c>
      <c r="Q2772" t="n">
        <v>0</v>
      </c>
      <c r="R2772" t="n">
        <v>0</v>
      </c>
      <c r="S2772">
        <f>IFERROR(O2772/N2772,0)</f>
        <v/>
      </c>
      <c r="T2772" t="n">
        <v>0</v>
      </c>
      <c r="V2772" t="n">
        <v>0</v>
      </c>
    </row>
    <row r="2773">
      <c r="A2773">
        <f>Skills!A22</f>
        <v/>
      </c>
      <c r="B2773">
        <f>Skills!B22</f>
        <v/>
      </c>
      <c r="C2773">
        <f>Inputs!$B$3&gt;=43</f>
        <v/>
      </c>
      <c r="D2773">
        <f>IF(Skills!C22=1,60+Inputs!$B$25+Inputs!$B$29,IF(Skills!C22=2,90+Inputs!$B$26+Inputs!$B$29,IF(Skills!C22=3,120+Inputs!$B$27+Inputs!$B$29,MAX(0,(Inputs!$B$3-100)*3)+Inputs!$B$28+Inputs!$B$29)))</f>
        <v/>
      </c>
      <c r="E2773">
        <f>INDEX(FactorTable!$B$2:$Y$301, MATCH(ROUND(MIN(300,MAX(1,D2773)),0), FactorTable!$A$2:$A$301,0), Skills!M22+1)</f>
        <v/>
      </c>
      <c r="F2773">
        <f>IF(Skills!N22=TRUE,(Skills!L22/10)*(E2773/1000),Skills!L22/10)+Skills!O22</f>
        <v/>
      </c>
      <c r="G2773">
        <f>Skills!G22*IF(Skills!H22&gt;0,Skills!I22/Skills!H22,1)</f>
        <v/>
      </c>
      <c r="H2773">
        <f>1-(1-Skills!J22/100)^Skills!K22</f>
        <v/>
      </c>
      <c r="I2773" t="inlineStr">
        <is>
          <t>1</t>
        </is>
      </c>
      <c r="J2773" t="inlineStr"/>
      <c r="K2773" t="inlineStr"/>
      <c r="L2773" t="inlineStr"/>
      <c r="M2773" t="inlineStr"/>
      <c r="N2773" t="inlineStr"/>
      <c r="O2773">
        <f>(1-Summary!$B$11)*T2773+Summary!$B$11*V2773</f>
        <v/>
      </c>
      <c r="P2773">
        <f>IF(B2791=0,0,O2773/B2791)</f>
        <v/>
      </c>
      <c r="Q2773" t="n">
        <v>0</v>
      </c>
      <c r="R2773" t="n">
        <v>0</v>
      </c>
      <c r="S2773">
        <f>IFERROR(O2773/N2773,0)</f>
        <v/>
      </c>
      <c r="T2773" t="n">
        <v>0</v>
      </c>
      <c r="V2773" t="n">
        <v>0</v>
      </c>
    </row>
    <row r="2774">
      <c r="A2774">
        <f>Skills!A23</f>
        <v/>
      </c>
      <c r="B2774">
        <f>Skills!B23</f>
        <v/>
      </c>
      <c r="C2774">
        <f>Inputs!$B$3&gt;=38</f>
        <v/>
      </c>
      <c r="D2774">
        <f>IF(Skills!C23=1,60+Inputs!$B$25+Inputs!$B$29,IF(Skills!C23=2,90+Inputs!$B$26+Inputs!$B$29,IF(Skills!C23=3,120+Inputs!$B$27+Inputs!$B$29,MAX(0,(Inputs!$B$3-100)*3)+Inputs!$B$28+Inputs!$B$29)))</f>
        <v/>
      </c>
      <c r="E2774">
        <f>INDEX(FactorTable!$B$2:$Y$301, MATCH(ROUND(MIN(300,MAX(1,D2774)),0), FactorTable!$A$2:$A$301,0), Skills!M23+1)</f>
        <v/>
      </c>
      <c r="F2774">
        <f>IF(Skills!N23=TRUE,(Skills!L23/10)*(E2774/1000),Skills!L23/10)+Skills!O23</f>
        <v/>
      </c>
      <c r="G2774">
        <f>Skills!G23*IF(Skills!H23&gt;0,Skills!I23/Skills!H23,1)</f>
        <v/>
      </c>
      <c r="H2774">
        <f>1-(1-Skills!J23/100)^Skills!K23</f>
        <v/>
      </c>
      <c r="I2774" t="inlineStr">
        <is>
          <t>1</t>
        </is>
      </c>
      <c r="J2774" t="inlineStr"/>
      <c r="K2774" t="inlineStr"/>
      <c r="L2774" t="inlineStr"/>
      <c r="M2774" t="inlineStr"/>
      <c r="N2774" t="inlineStr"/>
      <c r="O2774">
        <f>(1-Summary!$B$11)*T2774+Summary!$B$11*V2774</f>
        <v/>
      </c>
      <c r="P2774">
        <f>IF(B2791=0,0,O2774/B2791)</f>
        <v/>
      </c>
      <c r="Q2774" t="n">
        <v>0</v>
      </c>
      <c r="R2774" t="n">
        <v>0</v>
      </c>
      <c r="S2774">
        <f>IFERROR(O2774/N2774,0)</f>
        <v/>
      </c>
      <c r="T2774" t="n">
        <v>0</v>
      </c>
      <c r="V2774" t="n">
        <v>0</v>
      </c>
    </row>
    <row r="2775">
      <c r="A2775">
        <f>Skills!A24</f>
        <v/>
      </c>
      <c r="B2775">
        <f>Skills!B24</f>
        <v/>
      </c>
      <c r="C2775">
        <f>Inputs!$B$3&gt;=40</f>
        <v/>
      </c>
      <c r="D2775">
        <f>IF(Skills!C24=1,60+Inputs!$B$25+Inputs!$B$29,IF(Skills!C24=2,90+Inputs!$B$26+Inputs!$B$29,IF(Skills!C24=3,120+Inputs!$B$27+Inputs!$B$29,MAX(0,(Inputs!$B$3-100)*3)+Inputs!$B$28+Inputs!$B$29)))</f>
        <v/>
      </c>
      <c r="E2775">
        <f>INDEX(FactorTable!$B$2:$Y$301, MATCH(ROUND(MIN(300,MAX(1,D2775)),0), FactorTable!$A$2:$A$301,0), Skills!M24+1)</f>
        <v/>
      </c>
      <c r="F2775">
        <f>IF(Skills!N24=TRUE,(Skills!L24/10)*(E2775/1000),Skills!L24/10)+Skills!O24</f>
        <v/>
      </c>
      <c r="G2775">
        <f>Skills!G24*IF(Skills!H24&gt;0,Skills!I24/Skills!H24,1)</f>
        <v/>
      </c>
      <c r="H2775">
        <f>1-(1-Skills!J24/100)^Skills!K24</f>
        <v/>
      </c>
      <c r="I2775" t="inlineStr">
        <is>
          <t>1</t>
        </is>
      </c>
      <c r="J2775" t="inlineStr"/>
      <c r="K2775" t="inlineStr"/>
      <c r="L2775" t="inlineStr"/>
      <c r="M2775" t="inlineStr"/>
      <c r="N2775" t="inlineStr"/>
      <c r="O2775">
        <f>(1-Summary!$B$11)*T2775+Summary!$B$11*V2775</f>
        <v/>
      </c>
      <c r="P2775">
        <f>IF(B2791=0,0,O2775/B2791)</f>
        <v/>
      </c>
      <c r="Q2775" t="n">
        <v>0</v>
      </c>
      <c r="R2775" t="n">
        <v>0</v>
      </c>
      <c r="S2775">
        <f>IFERROR(O2775/N2775,0)</f>
        <v/>
      </c>
      <c r="T2775" t="n">
        <v>0</v>
      </c>
      <c r="V2775" t="n">
        <v>0</v>
      </c>
    </row>
    <row r="2776">
      <c r="A2776">
        <f>Skills!A25</f>
        <v/>
      </c>
      <c r="B2776">
        <f>Skills!B25</f>
        <v/>
      </c>
      <c r="C2776">
        <f>Inputs!$B$3&gt;=72</f>
        <v/>
      </c>
      <c r="D2776">
        <f>IF(Skills!C25=1,60+Inputs!$B$25+Inputs!$B$29,IF(Skills!C25=2,90+Inputs!$B$26+Inputs!$B$29,IF(Skills!C25=3,120+Inputs!$B$27+Inputs!$B$29,MAX(0,(Inputs!$B$3-100)*3)+Inputs!$B$28+Inputs!$B$29)))</f>
        <v/>
      </c>
      <c r="E2776">
        <f>INDEX(FactorTable!$B$2:$Y$301, MATCH(ROUND(MIN(300,MAX(1,D2776)),0), FactorTable!$A$2:$A$301,0), Skills!M25+1)</f>
        <v/>
      </c>
      <c r="F2776">
        <f>IF(Skills!N25=TRUE,(Skills!L25/10)*(E2776/1000),Skills!L25/10)+Skills!O25</f>
        <v/>
      </c>
      <c r="G2776">
        <f>Skills!G25*IF(Skills!H25&gt;0,Skills!I25/Skills!H25,1)</f>
        <v/>
      </c>
      <c r="H2776">
        <f>1-(1-Skills!J25/100)^Skills!K25</f>
        <v/>
      </c>
      <c r="I2776" t="inlineStr">
        <is>
          <t>1</t>
        </is>
      </c>
      <c r="J2776" t="inlineStr"/>
      <c r="K2776" t="inlineStr"/>
      <c r="L2776" t="inlineStr"/>
      <c r="M2776" t="inlineStr"/>
      <c r="N2776" t="inlineStr"/>
      <c r="O2776">
        <f>(1-Summary!$B$11)*T2776+Summary!$B$11*V2776</f>
        <v/>
      </c>
      <c r="P2776">
        <f>IF(B2791=0,0,O2776/B2791)</f>
        <v/>
      </c>
      <c r="Q2776" t="n">
        <v>0</v>
      </c>
      <c r="R2776" t="n">
        <v>0</v>
      </c>
      <c r="S2776">
        <f>IFERROR(O2776/N2776,0)</f>
        <v/>
      </c>
      <c r="T2776" t="n">
        <v>0</v>
      </c>
      <c r="V2776" t="n">
        <v>0</v>
      </c>
    </row>
    <row r="2777">
      <c r="A2777">
        <f>Skills!A26</f>
        <v/>
      </c>
      <c r="B2777">
        <f>Skills!B26</f>
        <v/>
      </c>
      <c r="C2777">
        <f>Inputs!$B$3&gt;=75</f>
        <v/>
      </c>
      <c r="D2777">
        <f>IF(Skills!C26=1,60+Inputs!$B$25+Inputs!$B$29,IF(Skills!C26=2,90+Inputs!$B$26+Inputs!$B$29,IF(Skills!C26=3,120+Inputs!$B$27+Inputs!$B$29,MAX(0,(Inputs!$B$3-100)*3)+Inputs!$B$28+Inputs!$B$29)))</f>
        <v/>
      </c>
      <c r="E2777">
        <f>INDEX(FactorTable!$B$2:$Y$301, MATCH(ROUND(MIN(300,MAX(1,D2777)),0), FactorTable!$A$2:$A$301,0), Skills!M26+1)</f>
        <v/>
      </c>
      <c r="F2777">
        <f>IF(Skills!N26=TRUE,(Skills!L26/10)*(E2777/1000),Skills!L26/10)+Skills!O26</f>
        <v/>
      </c>
      <c r="G2777">
        <f>Skills!G26*IF(Skills!H26&gt;0,Skills!I26/Skills!H26,1)</f>
        <v/>
      </c>
      <c r="H2777">
        <f>1-(1-Skills!J26/100)^Skills!K26</f>
        <v/>
      </c>
      <c r="I2777" t="inlineStr">
        <is>
          <t>1</t>
        </is>
      </c>
      <c r="J2777" t="inlineStr"/>
      <c r="K2777" t="inlineStr"/>
      <c r="L2777" t="inlineStr"/>
      <c r="M2777" t="inlineStr"/>
      <c r="N2777" t="inlineStr"/>
      <c r="O2777">
        <f>(1-Summary!$B$11)*T2777+Summary!$B$11*V2777</f>
        <v/>
      </c>
      <c r="P2777">
        <f>IF(B2791=0,0,O2777/B2791)</f>
        <v/>
      </c>
      <c r="Q2777" t="n">
        <v>0</v>
      </c>
      <c r="R2777" t="n">
        <v>0</v>
      </c>
      <c r="S2777">
        <f>IFERROR(O2777/N2777,0)</f>
        <v/>
      </c>
      <c r="T2777" t="n">
        <v>0</v>
      </c>
      <c r="V2777" t="n">
        <v>0</v>
      </c>
    </row>
    <row r="2778">
      <c r="A2778">
        <f>Skills!A27</f>
        <v/>
      </c>
      <c r="B2778">
        <f>Skills!B27</f>
        <v/>
      </c>
      <c r="C2778">
        <f>Inputs!$B$3&gt;=117</f>
        <v/>
      </c>
      <c r="D2778">
        <f>IF(Skills!C27=1,60+Inputs!$B$25+Inputs!$B$29,IF(Skills!C27=2,90+Inputs!$B$26+Inputs!$B$29,IF(Skills!C27=3,120+Inputs!$B$27+Inputs!$B$29,MAX(0,(Inputs!$B$3-100)*3)+Inputs!$B$28+Inputs!$B$29)))</f>
        <v/>
      </c>
      <c r="E2778">
        <f>INDEX(FactorTable!$B$2:$Y$301, MATCH(ROUND(MIN(300,MAX(1,D2778)),0), FactorTable!$A$2:$A$301,0), Skills!M27+1)</f>
        <v/>
      </c>
      <c r="F2778">
        <f>IF(Skills!N27=TRUE,(Skills!L27/10)*(E2778/1000),Skills!L27/10)+Skills!O27</f>
        <v/>
      </c>
      <c r="G2778">
        <f>Skills!G27*IF(Skills!H27&gt;0,Skills!I27/Skills!H27,1)</f>
        <v/>
      </c>
      <c r="H2778">
        <f>1-(1-Skills!J27/100)^Skills!K27</f>
        <v/>
      </c>
      <c r="I2778" t="inlineStr">
        <is>
          <t>1</t>
        </is>
      </c>
      <c r="J2778" t="inlineStr"/>
      <c r="K2778" t="inlineStr"/>
      <c r="L2778" t="inlineStr"/>
      <c r="M2778" t="inlineStr"/>
      <c r="N2778" t="inlineStr"/>
      <c r="O2778">
        <f>(1-Summary!$B$11)*T2778+Summary!$B$11*V2778</f>
        <v/>
      </c>
      <c r="P2778">
        <f>IF(B2791=0,0,O2778/B2791)</f>
        <v/>
      </c>
      <c r="Q2778" t="n">
        <v>0</v>
      </c>
      <c r="R2778" t="n">
        <v>0</v>
      </c>
      <c r="S2778">
        <f>IFERROR(O2778/N2778,0)</f>
        <v/>
      </c>
      <c r="T2778" t="n">
        <v>0</v>
      </c>
      <c r="V2778" t="n">
        <v>0</v>
      </c>
    </row>
    <row r="2780">
      <c r="A2780" t="inlineStr">
        <is>
          <t>Attack% Bucket Multiplier</t>
        </is>
      </c>
      <c r="B2780">
        <f>(1+(((C2768=TRUE)*F2768)+((C2775=TRUE)*(F2775-Calc!F24))+(IF(ArtifactsInput!$M$21,CHOOSE(ArtifactsInput!$N$21+1,25,30,35,40,45,50)*(IF(OR(Inputs!$B$4="Chapter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81">
      <c r="A2781" t="inlineStr">
        <is>
          <t>Global Crit Rate Bonus %</t>
        </is>
      </c>
      <c r="B2781" t="n">
        <v>0</v>
      </c>
    </row>
    <row r="2782">
      <c r="A2782" t="inlineStr">
        <is>
          <t>Attack Speed Buff Bonus % (unused)</t>
        </is>
      </c>
      <c r="B2782" t="n">
        <v>0</v>
      </c>
    </row>
    <row r="2783">
      <c r="A2783" t="inlineStr">
        <is>
          <t>Actions Per Second</t>
        </is>
      </c>
      <c r="B2783">
        <f>1+MIN(150,150*(1-(1-(Inputs!$B$11+((C2771=TRUE)*(F2771-Calc!F20))+((C2772=TRUE)*(F2772-Calc!F21)))/150)*(1-B2782/150)))/100</f>
        <v/>
      </c>
    </row>
    <row r="2784">
      <c r="A2784" t="inlineStr">
        <is>
          <t>Skill + Buff Cast Rate</t>
        </is>
      </c>
      <c r="B2784">
        <f>IF(AND(Inputs!$B$38&lt;&gt;"pvp",Inputs!$B$43&gt;0),SUMPRODUCT((Skills!E2:E27=TRUE)*(C2753:C2778=TRUE)*R2753:R2778*Skills!F2:F27)/Inputs!$B$43,SUMPRODUCT((Skills!E2:E27=TRUE)*(C2753:C2778=TRUE)*Q2753:Q2778*Skills!F2:F27))</f>
        <v/>
      </c>
    </row>
    <row r="2785">
      <c r="A2785" t="inlineStr">
        <is>
          <t>Eight-Legs Easton Casts Per Second</t>
        </is>
      </c>
      <c r="B2785">
        <f>MAX(0,B2783-B2784)</f>
        <v/>
      </c>
    </row>
    <row r="2786">
      <c r="A2786" t="inlineStr">
        <is>
          <t>Global Critical Damage Bonus % (unused)</t>
        </is>
      </c>
      <c r="B2786" t="n">
        <v>0</v>
      </c>
    </row>
    <row r="2787">
      <c r="A2787" t="inlineStr">
        <is>
          <t>Global Final Damage Bonus % (Jolly Roger only)</t>
        </is>
      </c>
      <c r="B2787">
        <f>((C2769=TRUE)*F2769)</f>
        <v/>
      </c>
    </row>
    <row r="2788">
      <c r="A2788" t="inlineStr">
        <is>
          <t>Buff-Casting Startup Delay (s, fixed-duration only)</t>
        </is>
      </c>
      <c r="B2788">
        <f>IF(AND(Inputs!$B$38&lt;&gt;"pvp",Inputs!$B$43&gt;0),SUMPRODUCT((Skills!T2:T27&gt;0)*(Skills!E2:E27=TRUE)*(C2753:C2778=TRUE))/B2783,0)</f>
        <v/>
      </c>
    </row>
    <row r="2789">
      <c r="A2789" t="inlineStr">
        <is>
          <t>Boss-Only Total DPS (this block's swept value)</t>
        </is>
      </c>
      <c r="B2789">
        <f>SUM(T2753:T2778)</f>
        <v/>
      </c>
    </row>
    <row r="2790">
      <c r="A2790" t="inlineStr">
        <is>
          <t>Normal-Only Total DPS (this block's swept value)</t>
        </is>
      </c>
      <c r="B2790">
        <f>SUM(V2753:V2778)</f>
        <v/>
      </c>
    </row>
    <row r="2791">
      <c r="A2791" s="6" t="inlineStr">
        <is>
          <t>TOTAL DPS</t>
        </is>
      </c>
      <c r="B2791" s="6">
        <f>SUM(O2753:O2778)</f>
        <v/>
      </c>
    </row>
    <row r="2794">
      <c r="A2794" s="6" t="inlineStr">
        <is>
          <t>Stat: CDR = 1.0s</t>
        </is>
      </c>
    </row>
    <row r="2795">
      <c r="A2795" s="5" t="inlineStr">
        <is>
          <t>Key</t>
        </is>
      </c>
      <c r="B2795" s="5" t="inlineStr">
        <is>
          <t>Name</t>
        </is>
      </c>
      <c r="C2795" s="5" t="inlineStr">
        <is>
          <t>Unlocked</t>
        </is>
      </c>
      <c r="D2795" s="5" t="inlineStr">
        <is>
          <t>InputLevel</t>
        </is>
      </c>
      <c r="E2795" s="5" t="inlineStr">
        <is>
          <t>Factor</t>
        </is>
      </c>
      <c r="F2795" s="5" t="inlineStr">
        <is>
          <t>CoefficientPercent</t>
        </is>
      </c>
      <c r="G2795" s="5" t="inlineStr">
        <is>
          <t>EffectiveHits</t>
        </is>
      </c>
      <c r="H2795" s="5" t="inlineStr">
        <is>
          <t>ProcProbability</t>
        </is>
      </c>
      <c r="I2795" s="5" t="inlineStr">
        <is>
          <t>MapleHeroMultiplier</t>
        </is>
      </c>
      <c r="J2795" s="5" t="inlineStr">
        <is>
          <t>BaseDamage</t>
        </is>
      </c>
      <c r="K2795" s="5" t="inlineStr">
        <is>
          <t>BaseHitDamage</t>
        </is>
      </c>
      <c r="L2795" s="5" t="inlineStr">
        <is>
          <t>NonCritAvg</t>
        </is>
      </c>
      <c r="M2795" s="5" t="inlineStr">
        <is>
          <t>CritAvg</t>
        </is>
      </c>
      <c r="N2795" s="5" t="inlineStr">
        <is>
          <t>ExpectedDamage(perHit)</t>
        </is>
      </c>
      <c r="O2795" s="5" t="inlineStr">
        <is>
          <t>DPS</t>
        </is>
      </c>
      <c r="P2795" s="5" t="inlineStr">
        <is>
          <t>% of Total</t>
        </is>
      </c>
      <c r="Q2795" s="5" t="inlineStr">
        <is>
          <t>InvCooldown</t>
        </is>
      </c>
      <c r="R2795" s="5" t="inlineStr">
        <is>
          <t>CastsInFight</t>
        </is>
      </c>
      <c r="S2795" s="5" t="inlineStr">
        <is>
          <t>HitRate(perSec)</t>
        </is>
      </c>
      <c r="U2795" t="inlineStr">
        <is>
          <t>helpers</t>
        </is>
      </c>
    </row>
    <row r="2796">
      <c r="A2796">
        <f>Skills!A2</f>
        <v/>
      </c>
      <c r="B2796">
        <f>Skills!B2</f>
        <v/>
      </c>
      <c r="C2796">
        <f>Inputs!$B$3&gt;=100</f>
        <v/>
      </c>
      <c r="D2796" t="inlineStr"/>
      <c r="E2796" t="inlineStr"/>
      <c r="F2796">
        <f>U2798+Skills!O2</f>
        <v/>
      </c>
      <c r="G2796">
        <f>Skills!G2*IF(Skills!H2&gt;0,Skills!I2/Skills!H2,1)</f>
        <v/>
      </c>
      <c r="H2796">
        <f>1-(1-Skills!J2/100)^Skills!K2</f>
        <v/>
      </c>
      <c r="I2796" t="inlineStr">
        <is>
          <t>1</t>
        </is>
      </c>
      <c r="J2796">
        <f>((Inputs!$B$6*(1+Inputs!$B$7/100))+(((Inputs!$B$12*(1+Inputs!$B$13/100))-(Inputs!$B$12*(1+Inputs!$B$13/100)))+0.25*(Inputs!$B$14-Inputs!$B$14))*(1+Inputs!$B$7/100))*(F2796/100)</f>
        <v/>
      </c>
      <c r="K2796">
        <f>J2796*(1+((Inputs!$B$12*(1+Inputs!$B$13/100))*0.01+Inputs!$B$14*0.0025)/100)*(1+Inputs!$B$15/100)*(1+Inputs!$B$16/100)*(5000/(6000+Inputs!$B$42*(1-(100*(1-(1-(Inputs!$B$19+0)/100)*(1-CHOOSE(ArtifactsInput!$N$40+1,5,6,7,8,9,10)/100)^(ArtifactsInput!$M$40-ArtifactsInput!$M$40)))/100)))*(1+(Inputs!$B$24+((C2820=TRUE)*(F2820-Calc!F26))+B2830)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2817=TRUE)*(F2817-Calc!F23))+((C2821=TRUE)*(F2821-Calc!F27))+(((IF(AND(ArtifactsInput!$M$42,((Inputs!$B$9+((C2813=TRUE)*(F2813-Calc!F19))+B2824+(ArtifactsInput!$M$24-ArtifactsInput!$M$24)*CHOOSE(ArtifactsInput!$N$24+1,10,12,14,16,18,20)+IF(ArtifactsInput!$M$10,CHOOSE(ArtifactsInput!$N$10+1,15,18,21,24,27,30)*(IF(Inputs!$B$38="pvp",MIN(15,15)/15,IF(AND(Inputs!$B$38&lt;&gt;"pvp",Inputs!$B$43&gt;0),MIN(15,Inputs!$B$43)/(Inputs!$B$43),0))),0)))&gt;=100),MIN(100,((Inputs!$B$9+((C2813=TRUE)*(F2813-Calc!F19))+B2824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2813=TRUE)*(F2813-Calc!F19))+B2824+(ArtifactsInput!$M$24-ArtifactsInput!$M$24)*CHOOSE(ArtifactsInput!$N$24+1,10,12,14,16,18,20)+IF(ArtifactsInput!$M$10,CHOOSE(ArtifactsInput!$N$10+1,15,18,21,24,27,30)*(IF(Inputs!$B$38="pvp",MIN(15,15)/15,IF(AND(Inputs!$B$38&lt;&gt;"pvp",Inputs!$B$43&gt;0),MIN(15,Inputs!$B$43)/(Inputs!$B$43),0))),0)))&gt;=100),CHOOSE(ArtifactsInput!$N$42+1,40,48,56,64,72,80),0))))/100)*((1+(((C2811=TRUE)*F2811)+((C2818=TRUE)*(F2818-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2796)</f>
        <v/>
      </c>
      <c r="L2796">
        <f>K2796*(MIN(Inputs!$B$22+((C2816=TRUE)*(F2816-Calc!F22)),(Inputs!$B$23+0+(IF(ArtifactsInput!$M$15,CHOOSE(ArtifactsInput!$N$15+1,25,30,35,40,45,50)/100*(Inputs!$B$11-Inputs!$B$11),0))))/100+(Inputs!$B$23+0+(IF(ArtifactsInput!$M$15,CHOOSE(ArtifactsInput!$N$15+1,25,30,35,40,45,50)/100*(Inputs!$B$11-Inputs!$B$11),0)))/100)/2</f>
        <v/>
      </c>
      <c r="M2796">
        <f>L2796*(1+(Inputs!$B$10+((C2819=TRUE)*(F2819-Calc!F25))+B2829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6">
        <f>L2796*(1-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2796*(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6">
        <f>(1-Summary!$B$11)*T2796+Summary!$B$11*V2796</f>
        <v/>
      </c>
      <c r="P2796">
        <f>IF(B2834=0,0,O2796/B2834)</f>
        <v/>
      </c>
      <c r="Q2796" t="n">
        <v>0</v>
      </c>
      <c r="R2796" t="n">
        <v>0</v>
      </c>
      <c r="S2796">
        <f>IFERROR(O2796/N2796,0)</f>
        <v/>
      </c>
      <c r="T2796">
        <f>IF(C2796,(Skills!G2*N2796*B2828)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2796*(1-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2796*(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2796*(1-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2796*(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96">
        <f>MAX(0,(Inputs!$B$3-100)*3)+Inputs!$B$28+Inputs!$B$29</f>
        <v/>
      </c>
      <c r="V2796">
        <f>IF(C2796,(Skills!G2*N2796*B2828)*IF(Inputs!$B$38="pvp",1,(1+(Inputs!$B$21+Skills!Q2+(IF(ArtifactsInput!$M$33,CHOOSE(ArtifactsInput!$N$33+1,30,36,42,48,54,60),0))+(IF(AND(ArtifactsInput!$M$35,Inputs!$B$4&lt;&gt;"Chapter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7">
      <c r="A2797">
        <f>Skills!A3</f>
        <v/>
      </c>
      <c r="B2797">
        <f>Skills!B3</f>
        <v/>
      </c>
      <c r="C2797">
        <f>Inputs!$B$3&gt;=35</f>
        <v/>
      </c>
      <c r="D2797">
        <f>IF(Skills!C3=1,60+Inputs!$B$25+Inputs!$B$29,IF(Skills!C3=2,90+Inputs!$B$26+Inputs!$B$29,IF(Skills!C3=3,120+Inputs!$B$27+Inputs!$B$29,MAX(0,(Inputs!$B$3-100)*3)+Inputs!$B$28+Inputs!$B$29)))</f>
        <v/>
      </c>
      <c r="E2797">
        <f>INDEX(FactorTable!$B$2:$Y$301, MATCH(ROUND(MIN(300,MAX(1,D2797)),0), FactorTable!$A$2:$A$301,0), Skills!M3+1)</f>
        <v/>
      </c>
      <c r="F2797">
        <f>IF(Skills!N3=TRUE,(Skills!L3/10)*(E2797/1000),Skills!L3/10)+Skills!O3</f>
        <v/>
      </c>
      <c r="G2797">
        <f>Skills!G3*IF(Skills!H3&gt;0,Skills!I3/Skills!H3,1)</f>
        <v/>
      </c>
      <c r="H2797">
        <f>1-(1-Skills!J3/100)^Skills!K3</f>
        <v/>
      </c>
      <c r="I2797" t="inlineStr">
        <is>
          <t>1</t>
        </is>
      </c>
      <c r="J2797">
        <f>((Inputs!$B$6*(1+Inputs!$B$7/100))+(((Inputs!$B$12*(1+Inputs!$B$13/100))-(Inputs!$B$12*(1+Inputs!$B$13/100)))+0.25*(Inputs!$B$14-Inputs!$B$14))*(1+Inputs!$B$7/100))*(F2797/100)</f>
        <v/>
      </c>
      <c r="K2797">
        <f>J2797*(1+((Inputs!$B$12*(1+Inputs!$B$13/100))*0.01+Inputs!$B$14*0.0025)/100)*(1+Inputs!$B$15/100)*(1+Inputs!$B$16/100)*(5000/(6000+Inputs!$B$42*(1-(100*(1-(1-(Inputs!$B$19+0)/100)*(1-CHOOSE(ArtifactsInput!$N$40+1,5,6,7,8,9,10)/100)^(ArtifactsInput!$M$40-ArtifactsInput!$M$40)))/100)))*(1+(Inputs!$B$24+((C2820=TRUE)*(F2820-Calc!F26))+B2830)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2809=TRUE,F2809,0)/100)*(1+(IF(Skills!A3="EIGHT_LEGS_EASTON",Inputs!$B$17+((C2817=TRUE)*(F2817-Calc!F23))+((C2821=TRUE)*(F2821-Calc!F27))+(((IF(AND(ArtifactsInput!$M$42,((Inputs!$B$9+((C2813=TRUE)*(F2813-Calc!F19))+B2824+(ArtifactsInput!$M$24-ArtifactsInput!$M$24)*CHOOSE(ArtifactsInput!$N$24+1,10,12,14,16,18,20)+IF(ArtifactsInput!$M$10,CHOOSE(ArtifactsInput!$N$10+1,15,18,21,24,27,30)*(IF(Inputs!$B$38="pvp",MIN(15,15)/15,IF(AND(Inputs!$B$38&lt;&gt;"pvp",Inputs!$B$43&gt;0),MIN(15,Inputs!$B$43)/(Inputs!$B$43),0))),0)))&gt;=100),MIN(100,((Inputs!$B$9+((C2813=TRUE)*(F2813-Calc!F19))+B2824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2813=TRUE)*(F2813-Calc!F19))+B2824+(ArtifactsInput!$M$24-ArtifactsInput!$M$24)*CHOOSE(ArtifactsInput!$N$24+1,10,12,14,16,18,20)+IF(ArtifactsInput!$M$10,CHOOSE(ArtifactsInput!$N$10+1,15,18,21,24,27,30)*(IF(Inputs!$B$38="pvp",MIN(15,15)/15,IF(AND(Inputs!$B$38&lt;&gt;"pvp",Inputs!$B$43&gt;0),MIN(15,Inputs!$B$43)/(Inputs!$B$43),0))),0)))&gt;=100),CHOOSE(ArtifactsInput!$N$42+1,40,48,56,64,72,80),0))))/100)*((1+(((C2811=TRUE)*F2811)+((C2818=TRUE)*(F2818-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2797)</f>
        <v/>
      </c>
      <c r="L2797">
        <f>K2797*(MIN(Inputs!$B$22+((C2816=TRUE)*(F2816-Calc!F22)),(Inputs!$B$23+0+(IF(ArtifactsInput!$M$15,CHOOSE(ArtifactsInput!$N$15+1,25,30,35,40,45,50)/100*(Inputs!$B$11-Inputs!$B$11),0))))/100+(Inputs!$B$23+0+(IF(ArtifactsInput!$M$15,CHOOSE(ArtifactsInput!$N$15+1,25,30,35,40,45,50)/100*(Inputs!$B$11-Inputs!$B$11),0)))/100)/2</f>
        <v/>
      </c>
      <c r="M2797">
        <f>L2797*(1+(Inputs!$B$10+((C2819=TRUE)*(F2819-Calc!F25))+B2829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7">
        <f>L2797*(1-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2797*(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7">
        <f>(1-Summary!$B$11)*T2797+Summary!$B$11*V2797</f>
        <v/>
      </c>
      <c r="P2797">
        <f>IF(B2834=0,0,O2797/B2834)</f>
        <v/>
      </c>
      <c r="Q2797">
        <f>IFERROR(1/(IF(Inputs!$B$38="pvp",15,MAX(0.1,Skills!D3-IF(Skills!E3=TRUE,1.0,0)))*(1-IF(AND(ArtifactsInput!$M$27,Inputs!$B$4="Chapter Hunt"),CHOOSE(ArtifactsInput!$N$27+1,20,24,28,32,36,40),0)/100)),0)</f>
        <v/>
      </c>
      <c r="R2797">
        <f>IF(AND(Inputs!$B$38&lt;&gt;"pvp",Inputs!$B$43&gt;0),IF(MAX(0,Inputs!$B$43-B2831)&lt;=0,0,(INT(MAX(0,Inputs!$B$43-B2831)/(IF(Inputs!$B$38="pvp",15,MAX(0.1,Skills!D3-IF(Skills!E3=TRUE,1.0,0)))*(1-IF(AND(ArtifactsInput!$M$27,Inputs!$B$4="Chapter Hunt"),CHOOSE(ArtifactsInput!$N$27+1,20,24,28,32,36,40),0)/100)))+1)),0)</f>
        <v/>
      </c>
      <c r="S2797">
        <f>IFERROR(O2797/N2797,0)</f>
        <v/>
      </c>
      <c r="T2797">
        <f>IF(C2797,(H2797*N2797*IF(AND(Inputs!$B$38&lt;&gt;"pvp",Inputs!$B$43&gt;0),((Skills!G3*((R2797-1)*IF(Skills!H3&gt;0,Skills!I3/Skills!H3,1)+IF(Skills!H3&gt;0,MIN(Skills!I3,MAX(0,MAX(0,Inputs!$B$43-B2831)-((R2797-1)*(IF(Inputs!$B$38="pvp",15,MAX(0.1,Skills!D3-IF(Skills!E3=TRUE,1.0,0)))*(1-IF(AND(ArtifactsInput!$M$27,Inputs!$B$4="Chapter Hunt"),CHOOSE(ArtifactsInput!$N$27+1,20,24,28,32,36,40),0)/100)))))/Skills!H3,1)))/Inputs!$B$43),G2797*Q2797)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2797*(1-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2797*(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2797*(1-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2797*(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97">
        <f>INDEX(FactorTable!$B$2:$Y$301, MATCH(ROUND(MIN(300,MAX(1,U2796)),0), FactorTable!$A$2:$A$301,0), 22)</f>
        <v/>
      </c>
      <c r="V2797">
        <f>IF(C2797,(H2797*N2797*IF(AND(Inputs!$B$38&lt;&gt;"pvp",Inputs!$B$43&gt;0),((Skills!G3*((R2797-1)*IF(Skills!H3&gt;0,Skills!I3/Skills!H3,1)+IF(Skills!H3&gt;0,MIN(Skills!I3,MAX(0,MAX(0,Inputs!$B$43-B2831)-((R2797-1)*(IF(Inputs!$B$38="pvp",15,MAX(0.1,Skills!D3-IF(Skills!E3=TRUE,1.0,0)))*(1-IF(AND(ArtifactsInput!$M$27,Inputs!$B$4="Chapter Hunt"),CHOOSE(ArtifactsInput!$N$27+1,20,24,28,32,36,40),0)/100)))))/Skills!H3,1)))/Inputs!$B$43),G2797*Q2797))*IF(Inputs!$B$38="pvp",1,(1+(Inputs!$B$21+Skills!Q3+(IF(ArtifactsInput!$M$33,CHOOSE(ArtifactsInput!$N$33+1,30,36,42,48,54,60)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8">
      <c r="A2798">
        <f>Skills!A4</f>
        <v/>
      </c>
      <c r="B2798">
        <f>Skills!B4</f>
        <v/>
      </c>
      <c r="C2798">
        <f>Inputs!$B$3&gt;=40</f>
        <v/>
      </c>
      <c r="D2798">
        <f>IF(Skills!C4=1,60+Inputs!$B$25+Inputs!$B$29,IF(Skills!C4=2,90+Inputs!$B$26+Inputs!$B$29,IF(Skills!C4=3,120+Inputs!$B$27+Inputs!$B$29,MAX(0,(Inputs!$B$3-100)*3)+Inputs!$B$28+Inputs!$B$29)))</f>
        <v/>
      </c>
      <c r="E2798">
        <f>INDEX(FactorTable!$B$2:$Y$301, MATCH(ROUND(MIN(300,MAX(1,D2798)),0), FactorTable!$A$2:$A$301,0), Skills!M4+1)</f>
        <v/>
      </c>
      <c r="F2798">
        <f>IF(Skills!N4=TRUE,(Skills!L4/10)*(E2798/1000),Skills!L4/10)+Skills!O4</f>
        <v/>
      </c>
      <c r="G2798">
        <f>Skills!G4*IF(Skills!H4&gt;0,Skills!I4/Skills!H4,1)</f>
        <v/>
      </c>
      <c r="H2798">
        <f>1-(1-Skills!J4/100)^Skills!K4</f>
        <v/>
      </c>
      <c r="I2798" t="inlineStr">
        <is>
          <t>1</t>
        </is>
      </c>
      <c r="J2798">
        <f>((Inputs!$B$6*(1+Inputs!$B$7/100))+(((Inputs!$B$12*(1+Inputs!$B$13/100))-(Inputs!$B$12*(1+Inputs!$B$13/100)))+0.25*(Inputs!$B$14-Inputs!$B$14))*(1+Inputs!$B$7/100))*(F2798/100)</f>
        <v/>
      </c>
      <c r="K2798">
        <f>J2798*(1+((Inputs!$B$12*(1+Inputs!$B$13/100))*0.01+Inputs!$B$14*0.0025)/100)*(1+Inputs!$B$15/100)*(1+Inputs!$B$16/100)*(5000/(6000+Inputs!$B$42*(1-(100*(1-(1-(Inputs!$B$19+0)/100)*(1-CHOOSE(ArtifactsInput!$N$40+1,5,6,7,8,9,10)/100)^(ArtifactsInput!$M$40-ArtifactsInput!$M$40)))/100)))*(1+(Inputs!$B$24+((C2820=TRUE)*(F2820-Calc!F26))+B2830)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2810=TRUE,F2810,0)/100)*(1+(IF(Skills!A4="EIGHT_LEGS_EASTON",Inputs!$B$17+((C2817=TRUE)*(F2817-Calc!F23))+((C2821=TRUE)*(F2821-Calc!F27))+(((IF(AND(ArtifactsInput!$M$42,((Inputs!$B$9+((C2813=TRUE)*(F2813-Calc!F19))+B2824+(ArtifactsInput!$M$24-ArtifactsInput!$M$24)*CHOOSE(ArtifactsInput!$N$24+1,10,12,14,16,18,20)+IF(ArtifactsInput!$M$10,CHOOSE(ArtifactsInput!$N$10+1,15,18,21,24,27,30)*(IF(Inputs!$B$38="pvp",MIN(15,15)/15,IF(AND(Inputs!$B$38&lt;&gt;"pvp",Inputs!$B$43&gt;0),MIN(15,Inputs!$B$43)/(Inputs!$B$43),0))),0)))&gt;=100),MIN(100,((Inputs!$B$9+((C2813=TRUE)*(F2813-Calc!F19))+B2824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2813=TRUE)*(F2813-Calc!F19))+B2824+(ArtifactsInput!$M$24-ArtifactsInput!$M$24)*CHOOSE(ArtifactsInput!$N$24+1,10,12,14,16,18,20)+IF(ArtifactsInput!$M$10,CHOOSE(ArtifactsInput!$N$10+1,15,18,21,24,27,30)*(IF(Inputs!$B$38="pvp",MIN(15,15)/15,IF(AND(Inputs!$B$38&lt;&gt;"pvp",Inputs!$B$43&gt;0),MIN(15,Inputs!$B$43)/(Inputs!$B$43),0))),0)))&gt;=100),CHOOSE(ArtifactsInput!$N$42+1,40,48,56,64,72,80),0))))/100)*((1+(((C2811=TRUE)*F2811)+((C2818=TRUE)*(F2818-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2798)</f>
        <v/>
      </c>
      <c r="L2798">
        <f>K2798*(MIN(Inputs!$B$22+((C2816=TRUE)*(F2816-Calc!F22)),(Inputs!$B$23+0+(IF(ArtifactsInput!$M$15,CHOOSE(ArtifactsInput!$N$15+1,25,30,35,40,45,50)/100*(Inputs!$B$11-Inputs!$B$11),0))))/100+(Inputs!$B$23+0+(IF(ArtifactsInput!$M$15,CHOOSE(ArtifactsInput!$N$15+1,25,30,35,40,45,50)/100*(Inputs!$B$11-Inputs!$B$11),0)))/100)/2</f>
        <v/>
      </c>
      <c r="M2798">
        <f>L2798*(1+(Inputs!$B$10+((C2819=TRUE)*(F2819-Calc!F25))+B2829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8">
        <f>L2798*(1-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2798*(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8">
        <f>(1-Summary!$B$11)*T2798+Summary!$B$11*V2798</f>
        <v/>
      </c>
      <c r="P2798">
        <f>IF(B2834=0,0,O2798/B2834)</f>
        <v/>
      </c>
      <c r="Q2798">
        <f>IFERROR(1/(IF(Inputs!$B$38="pvp",15,MAX(0.1,Skills!D4-IF(Skills!E4=TRUE,1.0,0)))*(1-IF(AND(ArtifactsInput!$M$27,Inputs!$B$4="Chapter Hunt"),CHOOSE(ArtifactsInput!$N$27+1,20,24,28,32,36,40),0)/100)),0)</f>
        <v/>
      </c>
      <c r="R2798">
        <f>IF(AND(Inputs!$B$38&lt;&gt;"pvp",Inputs!$B$43&gt;0),IF(MAX(0,Inputs!$B$43-B2831)&lt;=0,0,(INT(MAX(0,Inputs!$B$43-B2831)/(IF(Inputs!$B$38="pvp",15,MAX(0.1,Skills!D4-IF(Skills!E4=TRUE,1.0,0)))*(1-IF(AND(ArtifactsInput!$M$27,Inputs!$B$4="Chapter Hunt"),CHOOSE(ArtifactsInput!$N$27+1,20,24,28,32,36,40),0)/100)))+1)),0)</f>
        <v/>
      </c>
      <c r="S2798">
        <f>IFERROR(O2798/N2798,0)</f>
        <v/>
      </c>
      <c r="T2798">
        <f>IF(C2798,(H2798*N2798*IF(AND(Inputs!$B$38&lt;&gt;"pvp",Inputs!$B$43&gt;0),((Skills!G4*((R2798-1)*IF(Skills!H4&gt;0,Skills!I4/Skills!H4,1)+IF(Skills!H4&gt;0,MIN(Skills!I4,MAX(0,MAX(0,Inputs!$B$43-B2831)-((R2798-1)*(IF(Inputs!$B$38="pvp",15,MAX(0.1,Skills!D4-IF(Skills!E4=TRUE,1.0,0)))*(1-IF(AND(ArtifactsInput!$M$27,Inputs!$B$4="Chapter Hunt"),CHOOSE(ArtifactsInput!$N$27+1,20,24,28,32,36,40),0)/100)))))/Skills!H4,1)))/Inputs!$B$43),G2798*Q2798)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2798*(1-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2798*(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2798*(1-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2798*(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98">
        <f>290*U2797/1000</f>
        <v/>
      </c>
      <c r="V2798">
        <f>IF(C2798,(H2798*N2798*IF(AND(Inputs!$B$38&lt;&gt;"pvp",Inputs!$B$43&gt;0),((Skills!G4*((R2798-1)*IF(Skills!H4&gt;0,Skills!I4/Skills!H4,1)+IF(Skills!H4&gt;0,MIN(Skills!I4,MAX(0,MAX(0,Inputs!$B$43-B2831)-((R2798-1)*(IF(Inputs!$B$38="pvp",15,MAX(0.1,Skills!D4-IF(Skills!E4=TRUE,1.0,0)))*(1-IF(AND(ArtifactsInput!$M$27,Inputs!$B$4="Chapter Hunt"),CHOOSE(ArtifactsInput!$N$27+1,20,24,28,32,36,40),0)/100)))))/Skills!H4,1)))/Inputs!$B$43),G2798*Q2798))*IF(Inputs!$B$38="pvp",1,(1+(Inputs!$B$21+Skills!Q4+(IF(ArtifactsInput!$M$33,CHOOSE(ArtifactsInput!$N$33+1,30,36,42,48,54,60)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9">
      <c r="A2799">
        <f>Skills!A5</f>
        <v/>
      </c>
      <c r="B2799">
        <f>Skills!B5</f>
        <v/>
      </c>
      <c r="C2799">
        <f>Inputs!$B$3&gt;=45</f>
        <v/>
      </c>
      <c r="D2799">
        <f>IF(Skills!C5=1,60+Inputs!$B$25+Inputs!$B$29,IF(Skills!C5=2,90+Inputs!$B$26+Inputs!$B$29,IF(Skills!C5=3,120+Inputs!$B$27+Inputs!$B$29,MAX(0,(Inputs!$B$3-100)*3)+Inputs!$B$28+Inputs!$B$29)))</f>
        <v/>
      </c>
      <c r="E2799">
        <f>INDEX(FactorTable!$B$2:$Y$301, MATCH(ROUND(MIN(300,MAX(1,D2799)),0), FactorTable!$A$2:$A$301,0), Skills!M5+1)</f>
        <v/>
      </c>
      <c r="F2799">
        <f>IF(Skills!N5=TRUE,(Skills!L5/10)*(E2799/1000),Skills!L5/10)+Skills!O5</f>
        <v/>
      </c>
      <c r="G2799">
        <f>Skills!G5*IF(Skills!H5&gt;0,Skills!I5/Skills!H5,1)</f>
        <v/>
      </c>
      <c r="H2799">
        <f>1-(1-Skills!J5/100)^Skills!K5</f>
        <v/>
      </c>
      <c r="I2799" t="inlineStr">
        <is>
          <t>1</t>
        </is>
      </c>
      <c r="J2799">
        <f>((Inputs!$B$6*(1+Inputs!$B$7/100))+(((Inputs!$B$12*(1+Inputs!$B$13/100))-(Inputs!$B$12*(1+Inputs!$B$13/100)))+0.25*(Inputs!$B$14-Inputs!$B$14))*(1+Inputs!$B$7/100))*(F2799/100)</f>
        <v/>
      </c>
      <c r="K2799">
        <f>J2799*(1+((Inputs!$B$12*(1+Inputs!$B$13/100))*0.01+Inputs!$B$14*0.0025)/100)*(1+Inputs!$B$15/100)*(1+Inputs!$B$16/100)*(5000/(6000+Inputs!$B$42*(1-(100*(1-(1-(Inputs!$B$19+0)/100)*(1-CHOOSE(ArtifactsInput!$N$40+1,5,6,7,8,9,10)/100)^(ArtifactsInput!$M$40-ArtifactsInput!$M$40)))/100)))*(1+(Inputs!$B$24+((C2820=TRUE)*(F2820-Calc!F26))+B2830)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2810=TRUE,F2810,0)/100)*(1+(IF(Skills!A5="EIGHT_LEGS_EASTON",Inputs!$B$17+((C2817=TRUE)*(F2817-Calc!F23))+((C2821=TRUE)*(F2821-Calc!F27))+(((IF(AND(ArtifactsInput!$M$42,((Inputs!$B$9+((C2813=TRUE)*(F2813-Calc!F19))+B2824+(ArtifactsInput!$M$24-ArtifactsInput!$M$24)*CHOOSE(ArtifactsInput!$N$24+1,10,12,14,16,18,20)+IF(ArtifactsInput!$M$10,CHOOSE(ArtifactsInput!$N$10+1,15,18,21,24,27,30)*(IF(Inputs!$B$38="pvp",MIN(15,15)/15,IF(AND(Inputs!$B$38&lt;&gt;"pvp",Inputs!$B$43&gt;0),MIN(15,Inputs!$B$43)/(Inputs!$B$43),0))),0)))&gt;=100),MIN(100,((Inputs!$B$9+((C2813=TRUE)*(F2813-Calc!F19))+B2824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2813=TRUE)*(F2813-Calc!F19))+B2824+(ArtifactsInput!$M$24-ArtifactsInput!$M$24)*CHOOSE(ArtifactsInput!$N$24+1,10,12,14,16,18,20)+IF(ArtifactsInput!$M$10,CHOOSE(ArtifactsInput!$N$10+1,15,18,21,24,27,30)*(IF(Inputs!$B$38="pvp",MIN(15,15)/15,IF(AND(Inputs!$B$38&lt;&gt;"pvp",Inputs!$B$43&gt;0),MIN(15,Inputs!$B$43)/(Inputs!$B$43),0))),0)))&gt;=100),CHOOSE(ArtifactsInput!$N$42+1,40,48,56,64,72,80),0))))/100)*((1+(((C2811=TRUE)*F2811)+((C2818=TRUE)*(F2818-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2799)</f>
        <v/>
      </c>
      <c r="L2799">
        <f>K2799*(MIN(Inputs!$B$22+((C2816=TRUE)*(F2816-Calc!F22)),(Inputs!$B$23+0+(IF(ArtifactsInput!$M$15,CHOOSE(ArtifactsInput!$N$15+1,25,30,35,40,45,50)/100*(Inputs!$B$11-Inputs!$B$11),0))))/100+(Inputs!$B$23+0+(IF(ArtifactsInput!$M$15,CHOOSE(ArtifactsInput!$N$15+1,25,30,35,40,45,50)/100*(Inputs!$B$11-Inputs!$B$11),0)))/100)/2</f>
        <v/>
      </c>
      <c r="M2799">
        <f>L2799*(1+(Inputs!$B$10+((C2819=TRUE)*(F2819-Calc!F25))+B2829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9">
        <f>L2799*(1-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2799*(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9">
        <f>(1-Summary!$B$11)*T2799+Summary!$B$11*V2799</f>
        <v/>
      </c>
      <c r="P2799">
        <f>IF(B2834=0,0,O2799/B2834)</f>
        <v/>
      </c>
      <c r="Q2799">
        <f>IFERROR(1/(IF(Inputs!$B$38="pvp",15,MAX(0.1,Skills!D5-IF(Skills!E5=TRUE,1.0,0)))*(1-IF(AND(ArtifactsInput!$M$27,Inputs!$B$4="Chapter Hunt"),CHOOSE(ArtifactsInput!$N$27+1,20,24,28,32,36,40),0)/100)),0)</f>
        <v/>
      </c>
      <c r="R2799">
        <f>IF(AND(Inputs!$B$38&lt;&gt;"pvp",Inputs!$B$43&gt;0),IF(MAX(0,Inputs!$B$43-B2831)&lt;=0,0,(INT(MAX(0,Inputs!$B$43-B2831)/(IF(Inputs!$B$38="pvp",15,MAX(0.1,Skills!D5-IF(Skills!E5=TRUE,1.0,0)))*(1-IF(AND(ArtifactsInput!$M$27,Inputs!$B$4="Chapter Hunt"),CHOOSE(ArtifactsInput!$N$27+1,20,24,28,32,36,40),0)/100)))+1)),0)</f>
        <v/>
      </c>
      <c r="S2799">
        <f>IFERROR(O2799/N2799,0)</f>
        <v/>
      </c>
      <c r="T2799">
        <f>IF(C2799,(H2799*N2799*IF(AND(Inputs!$B$38&lt;&gt;"pvp",Inputs!$B$43&gt;0),((Skills!G5*((R2799-1)*IF(Skills!H5&gt;0,Skills!I5/Skills!H5,1)+IF(Skills!H5&gt;0,MIN(Skills!I5,MAX(0,MAX(0,Inputs!$B$43-B2831)-((R2799-1)*(IF(Inputs!$B$38="pvp",15,MAX(0.1,Skills!D5-IF(Skills!E5=TRUE,1.0,0)))*(1-IF(AND(ArtifactsInput!$M$27,Inputs!$B$4="Chapter Hunt"),CHOOSE(ArtifactsInput!$N$27+1,20,24,28,32,36,40),0)/100)))))/Skills!H5,1)))/Inputs!$B$43),G2799*Q2799)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2799*(1-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2799*(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2799*(1-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2799*(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9">
        <f>IF(C2799,(H2799*N2799*IF(AND(Inputs!$B$38&lt;&gt;"pvp",Inputs!$B$43&gt;0),((Skills!G5*((R2799-1)*IF(Skills!H5&gt;0,Skills!I5/Skills!H5,1)+IF(Skills!H5&gt;0,MIN(Skills!I5,MAX(0,MAX(0,Inputs!$B$43-B2831)-((R2799-1)*(IF(Inputs!$B$38="pvp",15,MAX(0.1,Skills!D5-IF(Skills!E5=TRUE,1.0,0)))*(1-IF(AND(ArtifactsInput!$M$27,Inputs!$B$4="Chapter Hunt"),CHOOSE(ArtifactsInput!$N$27+1,20,24,28,32,36,40),0)/100)))))/Skills!H5,1)))/Inputs!$B$43),G2799*Q2799))*IF(Inputs!$B$38="pvp",1,(1+(Inputs!$B$21+Skills!Q5+(IF(ArtifactsInput!$M$33,CHOOSE(ArtifactsInput!$N$33+1,30,36,42,48,54,60)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0">
      <c r="A2800">
        <f>Skills!A6</f>
        <v/>
      </c>
      <c r="B2800">
        <f>Skills!B6</f>
        <v/>
      </c>
      <c r="C2800">
        <f>Inputs!$B$3&gt;=63</f>
        <v/>
      </c>
      <c r="D2800">
        <f>IF(Skills!C6=1,60+Inputs!$B$25+Inputs!$B$29,IF(Skills!C6=2,90+Inputs!$B$26+Inputs!$B$29,IF(Skills!C6=3,120+Inputs!$B$27+Inputs!$B$29,MAX(0,(Inputs!$B$3-100)*3)+Inputs!$B$28+Inputs!$B$29)))</f>
        <v/>
      </c>
      <c r="E2800">
        <f>INDEX(FactorTable!$B$2:$Y$301, MATCH(ROUND(MIN(300,MAX(1,D2800)),0), FactorTable!$A$2:$A$301,0), Skills!M6+1)</f>
        <v/>
      </c>
      <c r="F2800">
        <f>IF(Skills!N6=TRUE,(Skills!L6/10)*(E2800/1000),Skills!L6/10)+Skills!O6</f>
        <v/>
      </c>
      <c r="G2800">
        <f>Skills!G6*IF(Skills!H6&gt;0,Skills!I6/Skills!H6,1)</f>
        <v/>
      </c>
      <c r="H2800">
        <f>1-(1-Skills!J6/100)^Skills!K6</f>
        <v/>
      </c>
      <c r="I2800" t="inlineStr">
        <is>
          <t>1</t>
        </is>
      </c>
      <c r="J2800">
        <f>((Inputs!$B$6*(1+Inputs!$B$7/100))+(((Inputs!$B$12*(1+Inputs!$B$13/100))-(Inputs!$B$12*(1+Inputs!$B$13/100)))+0.25*(Inputs!$B$14-Inputs!$B$14))*(1+Inputs!$B$7/100))*(F2800/100)</f>
        <v/>
      </c>
      <c r="K2800">
        <f>J2800*(1+((Inputs!$B$12*(1+Inputs!$B$13/100))*0.01+Inputs!$B$14*0.0025)/100)*(1+Inputs!$B$15/100)*(1+Inputs!$B$16/100)*(5000/(6000+Inputs!$B$42*(1-(100*(1-(1-(Inputs!$B$19+0)/100)*(1-CHOOSE(ArtifactsInput!$N$40+1,5,6,7,8,9,10)/100)^(ArtifactsInput!$M$40-ArtifactsInput!$M$40)))/100)))*(1+(Inputs!$B$24+((C2820=TRUE)*(F2820-Calc!F26))+B2830)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2809=TRUE,F2809,0)/100)*(1+(IF(Skills!A6="EIGHT_LEGS_EASTON",Inputs!$B$17+((C2817=TRUE)*(F2817-Calc!F23))+((C2821=TRUE)*(F2821-Calc!F27))+(((IF(AND(ArtifactsInput!$M$42,((Inputs!$B$9+((C2813=TRUE)*(F2813-Calc!F19))+B2824+(ArtifactsInput!$M$24-ArtifactsInput!$M$24)*CHOOSE(ArtifactsInput!$N$24+1,10,12,14,16,18,20)+IF(ArtifactsInput!$M$10,CHOOSE(ArtifactsInput!$N$10+1,15,18,21,24,27,30)*(IF(Inputs!$B$38="pvp",MIN(15,15)/15,IF(AND(Inputs!$B$38&lt;&gt;"pvp",Inputs!$B$43&gt;0),MIN(15,Inputs!$B$43)/(Inputs!$B$43),0))),0)))&gt;=100),MIN(100,((Inputs!$B$9+((C2813=TRUE)*(F2813-Calc!F19))+B2824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2813=TRUE)*(F2813-Calc!F19))+B2824+(ArtifactsInput!$M$24-ArtifactsInput!$M$24)*CHOOSE(ArtifactsInput!$N$24+1,10,12,14,16,18,20)+IF(ArtifactsInput!$M$10,CHOOSE(ArtifactsInput!$N$10+1,15,18,21,24,27,30)*(IF(Inputs!$B$38="pvp",MIN(15,15)/15,IF(AND(Inputs!$B$38&lt;&gt;"pvp",Inputs!$B$43&gt;0),MIN(15,Inputs!$B$43)/(Inputs!$B$43),0))),0)))&gt;=100),CHOOSE(ArtifactsInput!$N$42+1,40,48,56,64,72,80),0))))/100)*((1+(((C2811=TRUE)*F2811)+((C2818=TRUE)*(F2818-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2800)</f>
        <v/>
      </c>
      <c r="L2800">
        <f>K2800*(MIN(Inputs!$B$22+((C2816=TRUE)*(F2816-Calc!F22)),(Inputs!$B$23+0+(IF(ArtifactsInput!$M$15,CHOOSE(ArtifactsInput!$N$15+1,25,30,35,40,45,50)/100*(Inputs!$B$11-Inputs!$B$11),0))))/100+(Inputs!$B$23+0+(IF(ArtifactsInput!$M$15,CHOOSE(ArtifactsInput!$N$15+1,25,30,35,40,45,50)/100*(Inputs!$B$11-Inputs!$B$11),0)))/100)/2</f>
        <v/>
      </c>
      <c r="M2800">
        <f>L2800*(1+(Inputs!$B$10+((C2819=TRUE)*(F2819-Calc!F25))+B2829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0">
        <f>L2800*(1-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2800*(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0">
        <f>(1-Summary!$B$11)*T2800+Summary!$B$11*V2800</f>
        <v/>
      </c>
      <c r="P2800">
        <f>IF(B2834=0,0,O2800/B2834)</f>
        <v/>
      </c>
      <c r="Q2800">
        <f>IFERROR(1/(IF(Inputs!$B$38="pvp",15,MAX(0.1,Skills!D6-IF(Skills!E6=TRUE,1.0,0)))*(1-IF(AND(ArtifactsInput!$M$27,Inputs!$B$4="Chapter Hunt"),CHOOSE(ArtifactsInput!$N$27+1,20,24,28,32,36,40),0)/100)),0)</f>
        <v/>
      </c>
      <c r="R2800">
        <f>IF(AND(Inputs!$B$38&lt;&gt;"pvp",Inputs!$B$43&gt;0),IF(MAX(0,Inputs!$B$43-B2831)&lt;=0,0,(INT(MAX(0,Inputs!$B$43-B2831)/(IF(Inputs!$B$38="pvp",15,MAX(0.1,Skills!D6-IF(Skills!E6=TRUE,1.0,0)))*(1-IF(AND(ArtifactsInput!$M$27,Inputs!$B$4="Chapter Hunt"),CHOOSE(ArtifactsInput!$N$27+1,20,24,28,32,36,40),0)/100)))+1)),0)</f>
        <v/>
      </c>
      <c r="S2800">
        <f>IFERROR(O2800/N2800,0)</f>
        <v/>
      </c>
      <c r="T2800">
        <f>IF(C2800,(H2800*N2800*IF(AND(Inputs!$B$38&lt;&gt;"pvp",Inputs!$B$43&gt;0),((Skills!G6*((R2800-1)*IF(Skills!H6&gt;0,Skills!I6/Skills!H6,1)+IF(Skills!H6&gt;0,MIN(Skills!I6,MAX(0,MAX(0,Inputs!$B$43-B2831)-((R2800-1)*(IF(Inputs!$B$38="pvp",15,MAX(0.1,Skills!D6-IF(Skills!E6=TRUE,1.0,0)))*(1-IF(AND(ArtifactsInput!$M$27,Inputs!$B$4="Chapter Hunt"),CHOOSE(ArtifactsInput!$N$27+1,20,24,28,32,36,40),0)/100)))))/Skills!H6,1)))/Inputs!$B$43),G2800*Q2800)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2800*(1-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2800*(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2800*(1-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2800*(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0">
        <f>IF(C2800,(H2800*N2800*IF(AND(Inputs!$B$38&lt;&gt;"pvp",Inputs!$B$43&gt;0),((Skills!G6*((R2800-1)*IF(Skills!H6&gt;0,Skills!I6/Skills!H6,1)+IF(Skills!H6&gt;0,MIN(Skills!I6,MAX(0,MAX(0,Inputs!$B$43-B2831)-((R2800-1)*(IF(Inputs!$B$38="pvp",15,MAX(0.1,Skills!D6-IF(Skills!E6=TRUE,1.0,0)))*(1-IF(AND(ArtifactsInput!$M$27,Inputs!$B$4="Chapter Hunt"),CHOOSE(ArtifactsInput!$N$27+1,20,24,28,32,36,40),0)/100)))))/Skills!H6,1)))/Inputs!$B$43),G2800*Q2800))*IF(Inputs!$B$38="pvp",1,(1+(Inputs!$B$21+Skills!Q6+(IF(ArtifactsInput!$M$33,CHOOSE(ArtifactsInput!$N$33+1,30,36,42,48,54,60)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1">
      <c r="A2801">
        <f>Skills!A7</f>
        <v/>
      </c>
      <c r="B2801">
        <f>Skills!B7</f>
        <v/>
      </c>
      <c r="C2801">
        <f>Inputs!$B$3&gt;=66</f>
        <v/>
      </c>
      <c r="D2801">
        <f>IF(Skills!C7=1,60+Inputs!$B$25+Inputs!$B$29,IF(Skills!C7=2,90+Inputs!$B$26+Inputs!$B$29,IF(Skills!C7=3,120+Inputs!$B$27+Inputs!$B$29,MAX(0,(Inputs!$B$3-100)*3)+Inputs!$B$28+Inputs!$B$29)))</f>
        <v/>
      </c>
      <c r="E2801">
        <f>INDEX(FactorTable!$B$2:$Y$301, MATCH(ROUND(MIN(300,MAX(1,D2801)),0), FactorTable!$A$2:$A$301,0), Skills!M7+1)</f>
        <v/>
      </c>
      <c r="F2801">
        <f>IF(Skills!N7=TRUE,(Skills!L7/10)*(E2801/1000),Skills!L7/10)+Skills!O7</f>
        <v/>
      </c>
      <c r="G2801">
        <f>Skills!G7*IF(Skills!H7&gt;0,Skills!I7/Skills!H7,1)</f>
        <v/>
      </c>
      <c r="H2801">
        <f>1-(1-Skills!J7/100)^Skills!K7</f>
        <v/>
      </c>
      <c r="I2801" t="inlineStr">
        <is>
          <t>1</t>
        </is>
      </c>
      <c r="J2801">
        <f>((Inputs!$B$6*(1+Inputs!$B$7/100))+(((Inputs!$B$12*(1+Inputs!$B$13/100))-(Inputs!$B$12*(1+Inputs!$B$13/100)))+0.25*(Inputs!$B$14-Inputs!$B$14))*(1+Inputs!$B$7/100))*(F2801/100)</f>
        <v/>
      </c>
      <c r="K2801">
        <f>J2801*(1+((Inputs!$B$12*(1+Inputs!$B$13/100))*0.01+Inputs!$B$14*0.0025)/100)*(1+Inputs!$B$15/100)*(1+Inputs!$B$16/100)*(5000/(6000+Inputs!$B$42*(1-(100*(1-(1-(Inputs!$B$19+0)/100)*(1-CHOOSE(ArtifactsInput!$N$40+1,5,6,7,8,9,10)/100)^(ArtifactsInput!$M$40-ArtifactsInput!$M$40)))/100)))*(1+(Inputs!$B$24+((C2820=TRUE)*(F2820-Calc!F26))+B2830)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2809=TRUE,F2809,0)/100)*(1+(IF(Skills!A7="EIGHT_LEGS_EASTON",Inputs!$B$17+((C2817=TRUE)*(F2817-Calc!F23))+((C2821=TRUE)*(F2821-Calc!F27))+(((IF(AND(ArtifactsInput!$M$42,((Inputs!$B$9+((C2813=TRUE)*(F2813-Calc!F19))+B2824+(ArtifactsInput!$M$24-ArtifactsInput!$M$24)*CHOOSE(ArtifactsInput!$N$24+1,10,12,14,16,18,20)+IF(ArtifactsInput!$M$10,CHOOSE(ArtifactsInput!$N$10+1,15,18,21,24,27,30)*(IF(Inputs!$B$38="pvp",MIN(15,15)/15,IF(AND(Inputs!$B$38&lt;&gt;"pvp",Inputs!$B$43&gt;0),MIN(15,Inputs!$B$43)/(Inputs!$B$43),0))),0)))&gt;=100),MIN(100,((Inputs!$B$9+((C2813=TRUE)*(F2813-Calc!F19))+B2824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2813=TRUE)*(F2813-Calc!F19))+B2824+(ArtifactsInput!$M$24-ArtifactsInput!$M$24)*CHOOSE(ArtifactsInput!$N$24+1,10,12,14,16,18,20)+IF(ArtifactsInput!$M$10,CHOOSE(ArtifactsInput!$N$10+1,15,18,21,24,27,30)*(IF(Inputs!$B$38="pvp",MIN(15,15)/15,IF(AND(Inputs!$B$38&lt;&gt;"pvp",Inputs!$B$43&gt;0),MIN(15,Inputs!$B$43)/(Inputs!$B$43),0))),0)))&gt;=100),CHOOSE(ArtifactsInput!$N$42+1,40,48,56,64,72,80),0))))/100)*((1+(((C2811=TRUE)*F2811)+((C2818=TRUE)*(F2818-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2801)</f>
        <v/>
      </c>
      <c r="L2801">
        <f>K2801*(MIN(Inputs!$B$22+((C2816=TRUE)*(F2816-Calc!F22)),(Inputs!$B$23+0+(IF(ArtifactsInput!$M$15,CHOOSE(ArtifactsInput!$N$15+1,25,30,35,40,45,50)/100*(Inputs!$B$11-Inputs!$B$11),0))))/100+(Inputs!$B$23+0+(IF(ArtifactsInput!$M$15,CHOOSE(ArtifactsInput!$N$15+1,25,30,35,40,45,50)/100*(Inputs!$B$11-Inputs!$B$11),0)))/100)/2</f>
        <v/>
      </c>
      <c r="M2801">
        <f>L2801*(1+(Inputs!$B$10+((C2819=TRUE)*(F2819-Calc!F25))+B2829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1">
        <f>L2801*(1-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2801*(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1">
        <f>(1-Summary!$B$11)*T2801+Summary!$B$11*V2801</f>
        <v/>
      </c>
      <c r="P2801">
        <f>IF(B2834=0,0,O2801/B2834)</f>
        <v/>
      </c>
      <c r="Q2801">
        <f>IFERROR(1/(IF(Inputs!$B$38="pvp",15,MAX(0.1,Skills!D7-IF(Skills!E7=TRUE,1.0,0)))*(1-IF(AND(ArtifactsInput!$M$27,Inputs!$B$4="Chapter Hunt"),CHOOSE(ArtifactsInput!$N$27+1,20,24,28,32,36,40),0)/100)),0)</f>
        <v/>
      </c>
      <c r="R2801">
        <f>IF(AND(Inputs!$B$38&lt;&gt;"pvp",Inputs!$B$43&gt;0),IF(MAX(0,Inputs!$B$43-B2831)&lt;=0,0,(INT(MAX(0,Inputs!$B$43-B2831)/(IF(Inputs!$B$38="pvp",15,MAX(0.1,Skills!D7-IF(Skills!E7=TRUE,1.0,0)))*(1-IF(AND(ArtifactsInput!$M$27,Inputs!$B$4="Chapter Hunt"),CHOOSE(ArtifactsInput!$N$27+1,20,24,28,32,36,40),0)/100)))+1)),0)</f>
        <v/>
      </c>
      <c r="S2801">
        <f>IFERROR(O2801/N2801,0)</f>
        <v/>
      </c>
      <c r="T2801">
        <f>IF(C2801,(H2801*N2801*IF(AND(Inputs!$B$38&lt;&gt;"pvp",Inputs!$B$43&gt;0),((Skills!G7*((R2801-1)*IF(Skills!H7&gt;0,Skills!I7/Skills!H7,1)+IF(Skills!H7&gt;0,MIN(Skills!I7,MAX(0,MAX(0,Inputs!$B$43-B2831)-((R2801-1)*(IF(Inputs!$B$38="pvp",15,MAX(0.1,Skills!D7-IF(Skills!E7=TRUE,1.0,0)))*(1-IF(AND(ArtifactsInput!$M$27,Inputs!$B$4="Chapter Hunt"),CHOOSE(ArtifactsInput!$N$27+1,20,24,28,32,36,40),0)/100)))))/Skills!H7,1)))/Inputs!$B$43),G2801*Q2801)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2801*(1-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2801*(1-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1">
        <f>IF(C2801,(H2801*N2801*IF(AND(Inputs!$B$38&lt;&gt;"pvp",Inputs!$B$43&gt;0),((Skills!G7*((R2801-1)*IF(Skills!H7&gt;0,Skills!I7/Skills!H7,1)+IF(Skills!H7&gt;0,MIN(Skills!I7,MAX(0,MAX(0,Inputs!$B$43-B2831)-((R2801-1)*(IF(Inputs!$B$38="pvp",15,MAX(0.1,Skills!D7-IF(Skills!E7=TRUE,1.0,0)))*(1-IF(AND(ArtifactsInput!$M$27,Inputs!$B$4="Chapter Hunt"),CHOOSE(ArtifactsInput!$N$27+1,20,24,28,32,36,40),0)/100)))))/Skills!H7,1)))/Inputs!$B$43),G2801*Q2801))*IF(Inputs!$B$38="pvp",1,(1+(Inputs!$B$21+Skills!Q7+(IF(ArtifactsInput!$M$33,CHOOSE(ArtifactsInput!$N$33+1,30,36,42,48,54,60)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2">
      <c r="A2802">
        <f>Skills!A8</f>
        <v/>
      </c>
      <c r="B2802">
        <f>Skills!B8</f>
        <v/>
      </c>
      <c r="C2802">
        <f>Inputs!$B$3&gt;=100</f>
        <v/>
      </c>
      <c r="D2802">
        <f>IF(Skills!C8=1,60+Inputs!$B$25+Inputs!$B$29,IF(Skills!C8=2,90+Inputs!$B$26+Inputs!$B$29,IF(Skills!C8=3,120+Inputs!$B$27+Inputs!$B$29,MAX(0,(Inputs!$B$3-100)*3)+Inputs!$B$28+Inputs!$B$29)))</f>
        <v/>
      </c>
      <c r="E2802">
        <f>INDEX(FactorTable!$B$2:$Y$301, MATCH(ROUND(MIN(300,MAX(1,D2802)),0), FactorTable!$A$2:$A$301,0), Skills!M8+1)</f>
        <v/>
      </c>
      <c r="F2802">
        <f>IF(Skills!N8=TRUE,(Skills!L8/10)*(E2802/1000),Skills!L8/10)+Skills!O8</f>
        <v/>
      </c>
      <c r="G2802">
        <f>Skills!G8*IF(Skills!H8&gt;0,Skills!I8/Skills!H8,1)</f>
        <v/>
      </c>
      <c r="H2802">
        <f>1-(1-Skills!J8/100)^Skills!K8</f>
        <v/>
      </c>
      <c r="I2802" t="inlineStr">
        <is>
          <t>1</t>
        </is>
      </c>
      <c r="J2802">
        <f>((Inputs!$B$6*(1+Inputs!$B$7/100))+(((Inputs!$B$12*(1+Inputs!$B$13/100))-(Inputs!$B$12*(1+Inputs!$B$13/100)))+0.25*(Inputs!$B$14-Inputs!$B$14))*(1+Inputs!$B$7/100))*(F2802/100)</f>
        <v/>
      </c>
      <c r="K2802">
        <f>J2802*(1+((Inputs!$B$12*(1+Inputs!$B$13/100))*0.01+Inputs!$B$14*0.0025)/100)*(1+Inputs!$B$15/100)*(1+Inputs!$B$16/100)*(5000/(6000+Inputs!$B$42*(1-(100*(1-(1-(Inputs!$B$19+0)/100)*(1-CHOOSE(ArtifactsInput!$N$40+1,5,6,7,8,9,10)/100)^(ArtifactsInput!$M$40-ArtifactsInput!$M$40)))/100)))*(1+(Inputs!$B$24+((C2820=TRUE)*(F2820-Calc!F26))+B2830)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2817=TRUE)*(F2817-Calc!F23))+((C2821=TRUE)*(F2821-Calc!F27))+(((IF(AND(ArtifactsInput!$M$42,((Inputs!$B$9+((C2813=TRUE)*(F2813-Calc!F19))+B2824+(ArtifactsInput!$M$24-ArtifactsInput!$M$24)*CHOOSE(ArtifactsInput!$N$24+1,10,12,14,16,18,20)+IF(ArtifactsInput!$M$10,CHOOSE(ArtifactsInput!$N$10+1,15,18,21,24,27,30)*(IF(Inputs!$B$38="pvp",MIN(15,15)/15,IF(AND(Inputs!$B$38&lt;&gt;"pvp",Inputs!$B$43&gt;0),MIN(15,Inputs!$B$43)/(Inputs!$B$43),0))),0)))&gt;=100),MIN(100,((Inputs!$B$9+((C2813=TRUE)*(F2813-Calc!F19))+B2824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2813=TRUE)*(F2813-Calc!F19))+B2824+(ArtifactsInput!$M$24-ArtifactsInput!$M$24)*CHOOSE(ArtifactsInput!$N$24+1,10,12,14,16,18,20)+IF(ArtifactsInput!$M$10,CHOOSE(ArtifactsInput!$N$10+1,15,18,21,24,27,30)*(IF(Inputs!$B$38="pvp",MIN(15,15)/15,IF(AND(Inputs!$B$38&lt;&gt;"pvp",Inputs!$B$43&gt;0),MIN(15,Inputs!$B$43)/(Inputs!$B$43),0))),0)))&gt;=100),CHOOSE(ArtifactsInput!$N$42+1,40,48,56,64,72,80),0))))/100)*((1+(((C2811=TRUE)*F2811)+((C2818=TRUE)*(F2818-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2802)</f>
        <v/>
      </c>
      <c r="L2802">
        <f>K2802*(MIN(Inputs!$B$22+((C2816=TRUE)*(F2816-Calc!F22)),(Inputs!$B$23+0+(IF(ArtifactsInput!$M$15,CHOOSE(ArtifactsInput!$N$15+1,25,30,35,40,45,50)/100*(Inputs!$B$11-Inputs!$B$11),0))))/100+(Inputs!$B$23+0+(IF(ArtifactsInput!$M$15,CHOOSE(ArtifactsInput!$N$15+1,25,30,35,40,45,50)/100*(Inputs!$B$11-Inputs!$B$11),0)))/100)/2</f>
        <v/>
      </c>
      <c r="M2802">
        <f>L2802*(1+(Inputs!$B$10+((C2819=TRUE)*(F2819-Calc!F25))+B2829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2">
        <f>L2802*(1-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2802*(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2">
        <f>(1-Summary!$B$11)*T2802+Summary!$B$11*V2802</f>
        <v/>
      </c>
      <c r="P2802">
        <f>IF(B2834=0,0,O2802/B2834)</f>
        <v/>
      </c>
      <c r="Q2802">
        <f>IFERROR(1/(IF(Inputs!$B$38="pvp",15,MAX(0.1,Skills!D8-IF(Skills!E8=TRUE,1.0,0)))*(1-IF(AND(ArtifactsInput!$M$27,Inputs!$B$4="Chapter Hunt"),CHOOSE(ArtifactsInput!$N$27+1,20,24,28,32,36,40),0)/100)),0)</f>
        <v/>
      </c>
      <c r="R2802">
        <f>IF(AND(Inputs!$B$38&lt;&gt;"pvp",Inputs!$B$43&gt;0),IF(MAX(0,Inputs!$B$43-B2831)&lt;=0,0,(INT(MAX(0,Inputs!$B$43-B2831)/(IF(Inputs!$B$38="pvp",15,MAX(0.1,Skills!D8-IF(Skills!E8=TRUE,1.0,0)))*(1-IF(AND(ArtifactsInput!$M$27,Inputs!$B$4="Chapter Hunt"),CHOOSE(ArtifactsInput!$N$27+1,20,24,28,32,36,40),0)/100)))+1)),0)</f>
        <v/>
      </c>
      <c r="S2802">
        <f>IFERROR(O2802/N2802,0)</f>
        <v/>
      </c>
      <c r="T2802">
        <f>IF(C2802,(H2802*N2802*IF(AND(Inputs!$B$38&lt;&gt;"pvp",Inputs!$B$43&gt;0),((Skills!G8*((R2802-1)*IF(Skills!H8&gt;0,Skills!I8/Skills!H8,1)+IF(Skills!H8&gt;0,MIN(Skills!I8,MAX(0,MAX(0,Inputs!$B$43-B2831)-((R2802-1)*(IF(Inputs!$B$38="pvp",15,MAX(0.1,Skills!D8-IF(Skills!E8=TRUE,1.0,0)))*(1-IF(AND(ArtifactsInput!$M$27,Inputs!$B$4="Chapter Hunt"),CHOOSE(ArtifactsInput!$N$27+1,20,24,28,32,36,40),0)/100)))))/Skills!H8,1)))/Inputs!$B$43),G2802*Q2802)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2802*(1-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2802*(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2802*(1-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2802*(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2">
        <f>IF(C2802,(H2802*N2802*IF(AND(Inputs!$B$38&lt;&gt;"pvp",Inputs!$B$43&gt;0),((Skills!G8*((R2802-1)*IF(Skills!H8&gt;0,Skills!I8/Skills!H8,1)+IF(Skills!H8&gt;0,MIN(Skills!I8,MAX(0,MAX(0,Inputs!$B$43-B2831)-((R2802-1)*(IF(Inputs!$B$38="pvp",15,MAX(0.1,Skills!D8-IF(Skills!E8=TRUE,1.0,0)))*(1-IF(AND(ArtifactsInput!$M$27,Inputs!$B$4="Chapter Hunt"),CHOOSE(ArtifactsInput!$N$27+1,20,24,28,32,36,40),0)/100)))))/Skills!H8,1)))/Inputs!$B$43),G2802*Q2802))*IF(Inputs!$B$38="pvp",1,(1+(Inputs!$B$21+Skills!Q8+(IF(ArtifactsInput!$M$33,CHOOSE(ArtifactsInput!$N$33+1,30,36,42,48,54,60)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3">
      <c r="A2803">
        <f>Skills!A9</f>
        <v/>
      </c>
      <c r="B2803">
        <f>Skills!B9</f>
        <v/>
      </c>
      <c r="C2803">
        <f>Inputs!$B$3&gt;=103</f>
        <v/>
      </c>
      <c r="D2803">
        <f>IF(Skills!C9=1,60+Inputs!$B$25+Inputs!$B$29,IF(Skills!C9=2,90+Inputs!$B$26+Inputs!$B$29,IF(Skills!C9=3,120+Inputs!$B$27+Inputs!$B$29,MAX(0,(Inputs!$B$3-100)*3)+Inputs!$B$28+Inputs!$B$29)))</f>
        <v/>
      </c>
      <c r="E2803">
        <f>INDEX(FactorTable!$B$2:$Y$301, MATCH(ROUND(MIN(300,MAX(1,D2803)),0), FactorTable!$A$2:$A$301,0), Skills!M9+1)</f>
        <v/>
      </c>
      <c r="F2803">
        <f>IF(Skills!N9=TRUE,(Skills!L9/10)*(E2803/1000),Skills!L9/10)+Skills!O9</f>
        <v/>
      </c>
      <c r="G2803">
        <f>Skills!G9*IF(Skills!H9&gt;0,Skills!I9/Skills!H9,1)</f>
        <v/>
      </c>
      <c r="H2803">
        <f>1-(1-Skills!J9/100)^Skills!K9</f>
        <v/>
      </c>
      <c r="I2803" t="inlineStr">
        <is>
          <t>1</t>
        </is>
      </c>
      <c r="J2803">
        <f>((Inputs!$B$6*(1+Inputs!$B$7/100))+(((Inputs!$B$12*(1+Inputs!$B$13/100))-(Inputs!$B$12*(1+Inputs!$B$13/100)))+0.25*(Inputs!$B$14-Inputs!$B$14))*(1+Inputs!$B$7/100))*(F2803/100)</f>
        <v/>
      </c>
      <c r="K2803">
        <f>J2803*(1+((Inputs!$B$12*(1+Inputs!$B$13/100))*0.01+Inputs!$B$14*0.0025)/100)*(1+Inputs!$B$15/100)*(1+Inputs!$B$16/100)*(5000/(6000+Inputs!$B$42*(1-(100*(1-(1-(Inputs!$B$19+0)/100)*(1-CHOOSE(ArtifactsInput!$N$40+1,5,6,7,8,9,10)/100)^(ArtifactsInput!$M$40-ArtifactsInput!$M$40)))/100)))*(1+(Inputs!$B$24+((C2820=TRUE)*(F2820-Calc!F26))+B2830)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2817=TRUE)*(F2817-Calc!F23))+((C2821=TRUE)*(F2821-Calc!F27))+(((IF(AND(ArtifactsInput!$M$42,((Inputs!$B$9+((C2813=TRUE)*(F2813-Calc!F19))+B2824+(ArtifactsInput!$M$24-ArtifactsInput!$M$24)*CHOOSE(ArtifactsInput!$N$24+1,10,12,14,16,18,20)+IF(ArtifactsInput!$M$10,CHOOSE(ArtifactsInput!$N$10+1,15,18,21,24,27,30)*(IF(Inputs!$B$38="pvp",MIN(15,15)/15,IF(AND(Inputs!$B$38&lt;&gt;"pvp",Inputs!$B$43&gt;0),MIN(15,Inputs!$B$43)/(Inputs!$B$43),0))),0)))&gt;=100),MIN(100,((Inputs!$B$9+((C2813=TRUE)*(F2813-Calc!F19))+B2824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2813=TRUE)*(F2813-Calc!F19))+B2824+(ArtifactsInput!$M$24-ArtifactsInput!$M$24)*CHOOSE(ArtifactsInput!$N$24+1,10,12,14,16,18,20)+IF(ArtifactsInput!$M$10,CHOOSE(ArtifactsInput!$N$10+1,15,18,21,24,27,30)*(IF(Inputs!$B$38="pvp",MIN(15,15)/15,IF(AND(Inputs!$B$38&lt;&gt;"pvp",Inputs!$B$43&gt;0),MIN(15,Inputs!$B$43)/(Inputs!$B$43),0))),0)))&gt;=100),CHOOSE(ArtifactsInput!$N$42+1,40,48,56,64,72,80),0))))/100)*((1+(((C2811=TRUE)*F2811)+((C2818=TRUE)*(F2818-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2803)</f>
        <v/>
      </c>
      <c r="L2803">
        <f>K2803*(MIN(Inputs!$B$22+((C2816=TRUE)*(F2816-Calc!F22)),(Inputs!$B$23+0+(IF(ArtifactsInput!$M$15,CHOOSE(ArtifactsInput!$N$15+1,25,30,35,40,45,50)/100*(Inputs!$B$11-Inputs!$B$11),0))))/100+(Inputs!$B$23+0+(IF(ArtifactsInput!$M$15,CHOOSE(ArtifactsInput!$N$15+1,25,30,35,40,45,50)/100*(Inputs!$B$11-Inputs!$B$11),0)))/100)/2</f>
        <v/>
      </c>
      <c r="M2803">
        <f>L2803*(1+(Inputs!$B$10+((C2819=TRUE)*(F2819-Calc!F25))+B2829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3">
        <f>L2803*(1-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2803*(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3">
        <f>(1-Summary!$B$11)*T2803+Summary!$B$11*V2803</f>
        <v/>
      </c>
      <c r="P2803">
        <f>IF(B2834=0,0,O2803/B2834)</f>
        <v/>
      </c>
      <c r="Q2803">
        <f>IFERROR(1/(IF(Inputs!$B$38="pvp",15,MAX(0.1,Skills!D9-IF(Skills!E9=TRUE,1.0,0)))*(1-IF(AND(ArtifactsInput!$M$27,Inputs!$B$4="Chapter Hunt"),CHOOSE(ArtifactsInput!$N$27+1,20,24,28,32,36,40),0)/100)),0)</f>
        <v/>
      </c>
      <c r="R2803">
        <f>IF(AND(Inputs!$B$38&lt;&gt;"pvp",Inputs!$B$43&gt;0),IF(MAX(0,Inputs!$B$43-B2831)&lt;=0,0,(INT(MAX(0,Inputs!$B$43-B2831)/(IF(Inputs!$B$38="pvp",15,MAX(0.1,Skills!D9-IF(Skills!E9=TRUE,1.0,0)))*(1-IF(AND(ArtifactsInput!$M$27,Inputs!$B$4="Chapter Hunt"),CHOOSE(ArtifactsInput!$N$27+1,20,24,28,32,36,40),0)/100)))+1)),0)</f>
        <v/>
      </c>
      <c r="S2803">
        <f>IFERROR(O2803/N2803,0)</f>
        <v/>
      </c>
      <c r="T2803">
        <f>IF(C2803,(H2803*N2803*IF(AND(Inputs!$B$38&lt;&gt;"pvp",Inputs!$B$43&gt;0),((Skills!G9*((R2803-1)*IF(Skills!H9&gt;0,Skills!I9/Skills!H9,1)+IF(Skills!H9&gt;0,MIN(Skills!I9,MAX(0,MAX(0,Inputs!$B$43-B2831)-((R2803-1)*(IF(Inputs!$B$38="pvp",15,MAX(0.1,Skills!D9-IF(Skills!E9=TRUE,1.0,0)))*(1-IF(AND(ArtifactsInput!$M$27,Inputs!$B$4="Chapter Hunt"),CHOOSE(ArtifactsInput!$N$27+1,20,24,28,32,36,40),0)/100)))))/Skills!H9,1)))/Inputs!$B$43),G2803*Q2803)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2803*(1-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2803*(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2803*(1-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2803*(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3">
        <f>IF(C2803,(H2803*N2803*IF(AND(Inputs!$B$38&lt;&gt;"pvp",Inputs!$B$43&gt;0),((Skills!G9*((R2803-1)*IF(Skills!H9&gt;0,Skills!I9/Skills!H9,1)+IF(Skills!H9&gt;0,MIN(Skills!I9,MAX(0,MAX(0,Inputs!$B$43-B2831)-((R2803-1)*(IF(Inputs!$B$38="pvp",15,MAX(0.1,Skills!D9-IF(Skills!E9=TRUE,1.0,0)))*(1-IF(AND(ArtifactsInput!$M$27,Inputs!$B$4="Chapter Hunt"),CHOOSE(ArtifactsInput!$N$27+1,20,24,28,32,36,40),0)/100)))))/Skills!H9,1)))/Inputs!$B$43),G2803*Q2803))*IF(Inputs!$B$38="pvp",1,(1+(Inputs!$B$21+Skills!Q9+(IF(ArtifactsInput!$M$33,CHOOSE(ArtifactsInput!$N$33+1,30,36,42,48,54,60)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4">
      <c r="A2804">
        <f>Skills!A10</f>
        <v/>
      </c>
      <c r="B2804">
        <f>Skills!B10</f>
        <v/>
      </c>
      <c r="C2804">
        <f>Inputs!$B$3&gt;=113</f>
        <v/>
      </c>
      <c r="D2804">
        <f>IF(Skills!C10=1,60+Inputs!$B$25+Inputs!$B$29,IF(Skills!C10=2,90+Inputs!$B$26+Inputs!$B$29,IF(Skills!C10=3,120+Inputs!$B$27+Inputs!$B$29,MAX(0,(Inputs!$B$3-100)*3)+Inputs!$B$28+Inputs!$B$29)))</f>
        <v/>
      </c>
      <c r="E2804">
        <f>INDEX(FactorTable!$B$2:$Y$301, MATCH(ROUND(MIN(300,MAX(1,D2804)),0), FactorTable!$A$2:$A$301,0), Skills!M10+1)</f>
        <v/>
      </c>
      <c r="F2804">
        <f>IF(Skills!N10=TRUE,(Skills!L10/10)*(E2804/1000),Skills!L10/10)+Skills!O10</f>
        <v/>
      </c>
      <c r="G2804">
        <f>Skills!G10*IF(Skills!H10&gt;0,Skills!I10/Skills!H10,1)</f>
        <v/>
      </c>
      <c r="H2804">
        <f>1-(1-Skills!J10/100)^Skills!K10</f>
        <v/>
      </c>
      <c r="I2804" t="inlineStr">
        <is>
          <t>1</t>
        </is>
      </c>
      <c r="J2804">
        <f>((Inputs!$B$6*(1+Inputs!$B$7/100))+(((Inputs!$B$12*(1+Inputs!$B$13/100))-(Inputs!$B$12*(1+Inputs!$B$13/100)))+0.25*(Inputs!$B$14-Inputs!$B$14))*(1+Inputs!$B$7/100))*(F2804/100)</f>
        <v/>
      </c>
      <c r="K2804">
        <f>J2804*(1+((Inputs!$B$12*(1+Inputs!$B$13/100))*0.01+Inputs!$B$14*0.0025)/100)*(1+Inputs!$B$15/100)*(1+Inputs!$B$16/100)*(5000/(6000+Inputs!$B$42*(1-(100*(1-(1-(Inputs!$B$19+0)/100)*(1-CHOOSE(ArtifactsInput!$N$40+1,5,6,7,8,9,10)/100)^(ArtifactsInput!$M$40-ArtifactsInput!$M$40)))/100)))*(1+(Inputs!$B$24+((C2820=TRUE)*(F2820-Calc!F26))+B2830)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2817=TRUE)*(F2817-Calc!F23))+((C2821=TRUE)*(F2821-Calc!F27))+(((IF(AND(ArtifactsInput!$M$42,((Inputs!$B$9+((C2813=TRUE)*(F2813-Calc!F19))+B2824+(ArtifactsInput!$M$24-ArtifactsInput!$M$24)*CHOOSE(ArtifactsInput!$N$24+1,10,12,14,16,18,20)+IF(ArtifactsInput!$M$10,CHOOSE(ArtifactsInput!$N$10+1,15,18,21,24,27,30)*(IF(Inputs!$B$38="pvp",MIN(15,15)/15,IF(AND(Inputs!$B$38&lt;&gt;"pvp",Inputs!$B$43&gt;0),MIN(15,Inputs!$B$43)/(Inputs!$B$43),0))),0)))&gt;=100),MIN(100,((Inputs!$B$9+((C2813=TRUE)*(F2813-Calc!F19))+B2824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2813=TRUE)*(F2813-Calc!F19))+B2824+(ArtifactsInput!$M$24-ArtifactsInput!$M$24)*CHOOSE(ArtifactsInput!$N$24+1,10,12,14,16,18,20)+IF(ArtifactsInput!$M$10,CHOOSE(ArtifactsInput!$N$10+1,15,18,21,24,27,30)*(IF(Inputs!$B$38="pvp",MIN(15,15)/15,IF(AND(Inputs!$B$38&lt;&gt;"pvp",Inputs!$B$43&gt;0),MIN(15,Inputs!$B$43)/(Inputs!$B$43),0))),0)))&gt;=100),CHOOSE(ArtifactsInput!$N$42+1,40,48,56,64,72,80),0))))/100)*((1+(((C2811=TRUE)*F2811)+((C2818=TRUE)*(F2818-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2804)</f>
        <v/>
      </c>
      <c r="L2804">
        <f>K2804*(MIN(Inputs!$B$22+((C2816=TRUE)*(F2816-Calc!F22)),(Inputs!$B$23+0+(IF(ArtifactsInput!$M$15,CHOOSE(ArtifactsInput!$N$15+1,25,30,35,40,45,50)/100*(Inputs!$B$11-Inputs!$B$11),0))))/100+(Inputs!$B$23+0+(IF(ArtifactsInput!$M$15,CHOOSE(ArtifactsInput!$N$15+1,25,30,35,40,45,50)/100*(Inputs!$B$11-Inputs!$B$11),0)))/100)/2</f>
        <v/>
      </c>
      <c r="M2804">
        <f>L2804*(1+(Inputs!$B$10+((C2819=TRUE)*(F2819-Calc!F25))+B2829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4">
        <f>L2804*(1-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2804*(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4">
        <f>(1-Summary!$B$11)*T2804+Summary!$B$11*V2804</f>
        <v/>
      </c>
      <c r="P2804">
        <f>IF(B2834=0,0,O2804/B2834)</f>
        <v/>
      </c>
      <c r="Q2804">
        <f>IFERROR(1/(IF(Inputs!$B$38="pvp",15,MAX(0.1,Skills!D10-IF(Skills!E10=TRUE,1.0,0)))*(1-IF(AND(ArtifactsInput!$M$27,Inputs!$B$4="Chapter Hunt"),CHOOSE(ArtifactsInput!$N$27+1,20,24,28,32,36,40),0)/100)),0)</f>
        <v/>
      </c>
      <c r="R2804">
        <f>IF(AND(Inputs!$B$38&lt;&gt;"pvp",Inputs!$B$43&gt;0),IF(MAX(0,Inputs!$B$43-B2831)&lt;=0,0,(INT(MAX(0,Inputs!$B$43-B2831)/(IF(Inputs!$B$38="pvp",15,MAX(0.1,Skills!D10-IF(Skills!E10=TRUE,1.0,0)))*(1-IF(AND(ArtifactsInput!$M$27,Inputs!$B$4="Chapter Hunt"),CHOOSE(ArtifactsInput!$N$27+1,20,24,28,32,36,40),0)/100)))+1)),0)</f>
        <v/>
      </c>
      <c r="S2804">
        <f>IFERROR(O2804/N2804,0)</f>
        <v/>
      </c>
      <c r="T2804">
        <f>IF(C2804,(H2804*N2804*IF(AND(Inputs!$B$38&lt;&gt;"pvp",Inputs!$B$43&gt;0),((Skills!G10*((R2804-1)*IF(Skills!H10&gt;0,Skills!I10/Skills!H10,1)+IF(Skills!H10&gt;0,MIN(Skills!I10,MAX(0,MAX(0,Inputs!$B$43-B2831)-((R2804-1)*(IF(Inputs!$B$38="pvp",15,MAX(0.1,Skills!D10-IF(Skills!E10=TRUE,1.0,0)))*(1-IF(AND(ArtifactsInput!$M$27,Inputs!$B$4="Chapter Hunt"),CHOOSE(ArtifactsInput!$N$27+1,20,24,28,32,36,40),0)/100)))))/Skills!H10,1)))/Inputs!$B$43),G2804*Q2804)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2804*(1-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2804*(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2804*(1-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2804*(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4">
        <f>IF(C2804,(H2804*N2804*IF(AND(Inputs!$B$38&lt;&gt;"pvp",Inputs!$B$43&gt;0),((Skills!G10*((R2804-1)*IF(Skills!H10&gt;0,Skills!I10/Skills!H10,1)+IF(Skills!H10&gt;0,MIN(Skills!I10,MAX(0,MAX(0,Inputs!$B$43-B2831)-((R2804-1)*(IF(Inputs!$B$38="pvp",15,MAX(0.1,Skills!D10-IF(Skills!E10=TRUE,1.0,0)))*(1-IF(AND(ArtifactsInput!$M$27,Inputs!$B$4="Chapter Hunt"),CHOOSE(ArtifactsInput!$N$27+1,20,24,28,32,36,40),0)/100)))))/Skills!H10,1)))/Inputs!$B$43),G2804*Q2804))*IF(Inputs!$B$38="pvp",1,(1+(Inputs!$B$21+Skills!Q10+(IF(ArtifactsInput!$M$33,CHOOSE(ArtifactsInput!$N$33+1,30,36,42,48,54,60)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5">
      <c r="A2805">
        <f>Skills!A11</f>
        <v/>
      </c>
      <c r="B2805">
        <f>Skills!B11</f>
        <v/>
      </c>
      <c r="C2805">
        <f>Inputs!$B$3&gt;=107</f>
        <v/>
      </c>
      <c r="D2805">
        <f>IF(Skills!C11=1,60+Inputs!$B$25+Inputs!$B$29,IF(Skills!C11=2,90+Inputs!$B$26+Inputs!$B$29,IF(Skills!C11=3,120+Inputs!$B$27+Inputs!$B$29,MAX(0,(Inputs!$B$3-100)*3)+Inputs!$B$28+Inputs!$B$29)))</f>
        <v/>
      </c>
      <c r="E2805">
        <f>INDEX(FactorTable!$B$2:$Y$301, MATCH(ROUND(MIN(300,MAX(1,D2805)),0), FactorTable!$A$2:$A$301,0), Skills!M11+1)</f>
        <v/>
      </c>
      <c r="F2805">
        <f>IF(Skills!N11=TRUE,(Skills!L11/10)*(E2805/1000),Skills!L11/10)+Skills!O11</f>
        <v/>
      </c>
      <c r="G2805">
        <f>Skills!G11*IF(Skills!H11&gt;0,Skills!I11/Skills!H11,1)</f>
        <v/>
      </c>
      <c r="H2805">
        <f>1-(1-Skills!J11/100)^Skills!K11</f>
        <v/>
      </c>
      <c r="I2805" t="inlineStr">
        <is>
          <t>1</t>
        </is>
      </c>
      <c r="J2805">
        <f>((Inputs!$B$6*(1+Inputs!$B$7/100))+(((Inputs!$B$12*(1+Inputs!$B$13/100))-(Inputs!$B$12*(1+Inputs!$B$13/100)))+0.25*(Inputs!$B$14-Inputs!$B$14))*(1+Inputs!$B$7/100))*(F2805/100)</f>
        <v/>
      </c>
      <c r="K2805">
        <f>J2805*(1+((Inputs!$B$12*(1+Inputs!$B$13/100))*0.01+Inputs!$B$14*0.0025)/100)*(1+Inputs!$B$15/100)*(1+Inputs!$B$16/100)*(5000/(6000+Inputs!$B$42*(1-(100*(1-(1-(Inputs!$B$19+0)/100)*(1-CHOOSE(ArtifactsInput!$N$40+1,5,6,7,8,9,10)/100)^(ArtifactsInput!$M$40-ArtifactsInput!$M$40)))/100)))*(1+(Inputs!$B$24+((C2820=TRUE)*(F2820-Calc!F26))+B2830)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2817=TRUE)*(F2817-Calc!F23))+((C2821=TRUE)*(F2821-Calc!F27))+(((IF(AND(ArtifactsInput!$M$42,((Inputs!$B$9+((C2813=TRUE)*(F2813-Calc!F19))+B2824+(ArtifactsInput!$M$24-ArtifactsInput!$M$24)*CHOOSE(ArtifactsInput!$N$24+1,10,12,14,16,18,20)+IF(ArtifactsInput!$M$10,CHOOSE(ArtifactsInput!$N$10+1,15,18,21,24,27,30)*(IF(Inputs!$B$38="pvp",MIN(15,15)/15,IF(AND(Inputs!$B$38&lt;&gt;"pvp",Inputs!$B$43&gt;0),MIN(15,Inputs!$B$43)/(Inputs!$B$43),0))),0)))&gt;=100),MIN(100,((Inputs!$B$9+((C2813=TRUE)*(F2813-Calc!F19))+B2824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2813=TRUE)*(F2813-Calc!F19))+B2824+(ArtifactsInput!$M$24-ArtifactsInput!$M$24)*CHOOSE(ArtifactsInput!$N$24+1,10,12,14,16,18,20)+IF(ArtifactsInput!$M$10,CHOOSE(ArtifactsInput!$N$10+1,15,18,21,24,27,30)*(IF(Inputs!$B$38="pvp",MIN(15,15)/15,IF(AND(Inputs!$B$38&lt;&gt;"pvp",Inputs!$B$43&gt;0),MIN(15,Inputs!$B$43)/(Inputs!$B$43),0))),0)))&gt;=100),CHOOSE(ArtifactsInput!$N$42+1,40,48,56,64,72,80),0))))/100)*((1+(((C2811=TRUE)*F2811)+((C2818=TRUE)*(F2818-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2805)</f>
        <v/>
      </c>
      <c r="L2805">
        <f>K2805*(MIN(Inputs!$B$22+((C2816=TRUE)*(F2816-Calc!F22)),(Inputs!$B$23+0+(IF(ArtifactsInput!$M$15,CHOOSE(ArtifactsInput!$N$15+1,25,30,35,40,45,50)/100*(Inputs!$B$11-Inputs!$B$11),0))))/100+(Inputs!$B$23+0+(IF(ArtifactsInput!$M$15,CHOOSE(ArtifactsInput!$N$15+1,25,30,35,40,45,50)/100*(Inputs!$B$11-Inputs!$B$11),0)))/100)/2</f>
        <v/>
      </c>
      <c r="M2805">
        <f>L2805*(1+(Inputs!$B$10+((C2819=TRUE)*(F2819-Calc!F25))+B2829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5">
        <f>L2805*(1-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2805*(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5">
        <f>(1-Summary!$B$11)*T2805+Summary!$B$11*V2805</f>
        <v/>
      </c>
      <c r="P2805">
        <f>IF(B2834=0,0,O2805/B2834)</f>
        <v/>
      </c>
      <c r="Q2805">
        <f>IFERROR(1/(IF(Inputs!$B$38="pvp",15,MAX(0.1,Skills!D11-IF(Skills!E11=TRUE,1.0,0)))*(1-IF(AND(ArtifactsInput!$M$27,Inputs!$B$4="Chapter Hunt"),CHOOSE(ArtifactsInput!$N$27+1,20,24,28,32,36,40),0)/100)),0)</f>
        <v/>
      </c>
      <c r="R2805">
        <f>IF(AND(Inputs!$B$38&lt;&gt;"pvp",Inputs!$B$43&gt;0),IF(MAX(0,Inputs!$B$43-B2831)&lt;=0,0,(INT(MAX(0,Inputs!$B$43-B2831)/(IF(Inputs!$B$38="pvp",15,MAX(0.1,Skills!D11-IF(Skills!E11=TRUE,1.0,0)))*(1-IF(AND(ArtifactsInput!$M$27,Inputs!$B$4="Chapter Hunt"),CHOOSE(ArtifactsInput!$N$27+1,20,24,28,32,36,40),0)/100)))+1)),0)</f>
        <v/>
      </c>
      <c r="S2805">
        <f>IFERROR(O2805/N2805,0)</f>
        <v/>
      </c>
      <c r="T2805">
        <f>IF(C2805,(H2805*N2805*IF(AND(Inputs!$B$38&lt;&gt;"pvp",Inputs!$B$43&gt;0),((Skills!G11*((R2805-1)*IF(Skills!H11&gt;0,Skills!I11/Skills!H11,1)+IF(Skills!H11&gt;0,MIN(Skills!I11,MAX(0,MAX(0,Inputs!$B$43-B2831)-((R2805-1)*(IF(Inputs!$B$38="pvp",15,MAX(0.1,Skills!D11-IF(Skills!E11=TRUE,1.0,0)))*(1-IF(AND(ArtifactsInput!$M$27,Inputs!$B$4="Chapter Hunt"),CHOOSE(ArtifactsInput!$N$27+1,20,24,28,32,36,40),0)/100)))))/Skills!H11,1)))/Inputs!$B$43),G2805*Q2805)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2805*(1-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2805*(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2805*(1-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2805*(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5">
        <f>IF(C2805,(H2805*N2805*IF(AND(Inputs!$B$38&lt;&gt;"pvp",Inputs!$B$43&gt;0),((Skills!G11*((R2805-1)*IF(Skills!H11&gt;0,Skills!I11/Skills!H11,1)+IF(Skills!H11&gt;0,MIN(Skills!I11,MAX(0,MAX(0,Inputs!$B$43-B2831)-((R2805-1)*(IF(Inputs!$B$38="pvp",15,MAX(0.1,Skills!D11-IF(Skills!E11=TRUE,1.0,0)))*(1-IF(AND(ArtifactsInput!$M$27,Inputs!$B$4="Chapter Hunt"),CHOOSE(ArtifactsInput!$N$27+1,20,24,28,32,36,40),0)/100)))))/Skills!H11,1)))/Inputs!$B$43),G2805*Q2805))*IF(Inputs!$B$38="pvp",1,(1+(Inputs!$B$21+Skills!Q11+(IF(ArtifactsInput!$M$33,CHOOSE(ArtifactsInput!$N$33+1,30,36,42,48,54,60)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6">
      <c r="A2806">
        <f>Skills!A12</f>
        <v/>
      </c>
      <c r="B2806">
        <f>Skills!B12</f>
        <v/>
      </c>
      <c r="C2806">
        <f>Inputs!$B$3&gt;=110</f>
        <v/>
      </c>
      <c r="D2806">
        <f>IF(Skills!C12=1,60+Inputs!$B$25+Inputs!$B$29,IF(Skills!C12=2,90+Inputs!$B$26+Inputs!$B$29,IF(Skills!C12=3,120+Inputs!$B$27+Inputs!$B$29,MAX(0,(Inputs!$B$3-100)*3)+Inputs!$B$28+Inputs!$B$29)))</f>
        <v/>
      </c>
      <c r="E2806">
        <f>INDEX(FactorTable!$B$2:$Y$301, MATCH(ROUND(MIN(300,MAX(1,D2806)),0), FactorTable!$A$2:$A$301,0), Skills!M12+1)</f>
        <v/>
      </c>
      <c r="F2806">
        <f>IF(Skills!N12=TRUE,(Skills!L12/10)*(E2806/1000),Skills!L12/10)+Skills!O12</f>
        <v/>
      </c>
      <c r="G2806">
        <f>Skills!G12*IF(Skills!H12&gt;0,Skills!I12/Skills!H12,1)</f>
        <v/>
      </c>
      <c r="H2806">
        <f>1-(1-Skills!J12/100)^Skills!K12</f>
        <v/>
      </c>
      <c r="I2806" t="inlineStr">
        <is>
          <t>1</t>
        </is>
      </c>
      <c r="J2806">
        <f>((Inputs!$B$6*(1+Inputs!$B$7/100))+(((Inputs!$B$12*(1+Inputs!$B$13/100))-(Inputs!$B$12*(1+Inputs!$B$13/100)))+0.25*(Inputs!$B$14-Inputs!$B$14))*(1+Inputs!$B$7/100))*(F2806/100)</f>
        <v/>
      </c>
      <c r="K2806">
        <f>J2806*(1+((Inputs!$B$12*(1+Inputs!$B$13/100))*0.01+Inputs!$B$14*0.0025)/100)*(1+Inputs!$B$15/100)*(1+Inputs!$B$16/100)*(5000/(6000+Inputs!$B$42*(1-(100*(1-(1-(Inputs!$B$19+0)/100)*(1-CHOOSE(ArtifactsInput!$N$40+1,5,6,7,8,9,10)/100)^(ArtifactsInput!$M$40-ArtifactsInput!$M$40)))/100)))*(1+(Inputs!$B$24+((C2820=TRUE)*(F2820-Calc!F26))+B2830)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2817=TRUE)*(F2817-Calc!F23))+((C2821=TRUE)*(F2821-Calc!F27))+(((IF(AND(ArtifactsInput!$M$42,((Inputs!$B$9+((C2813=TRUE)*(F2813-Calc!F19))+B2824+(ArtifactsInput!$M$24-ArtifactsInput!$M$24)*CHOOSE(ArtifactsInput!$N$24+1,10,12,14,16,18,20)+IF(ArtifactsInput!$M$10,CHOOSE(ArtifactsInput!$N$10+1,15,18,21,24,27,30)*(IF(Inputs!$B$38="pvp",MIN(15,15)/15,IF(AND(Inputs!$B$38&lt;&gt;"pvp",Inputs!$B$43&gt;0),MIN(15,Inputs!$B$43)/(Inputs!$B$43),0))),0)))&gt;=100),MIN(100,((Inputs!$B$9+((C2813=TRUE)*(F2813-Calc!F19))+B2824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2813=TRUE)*(F2813-Calc!F19))+B2824+(ArtifactsInput!$M$24-ArtifactsInput!$M$24)*CHOOSE(ArtifactsInput!$N$24+1,10,12,14,16,18,20)+IF(ArtifactsInput!$M$10,CHOOSE(ArtifactsInput!$N$10+1,15,18,21,24,27,30)*(IF(Inputs!$B$38="pvp",MIN(15,15)/15,IF(AND(Inputs!$B$38&lt;&gt;"pvp",Inputs!$B$43&gt;0),MIN(15,Inputs!$B$43)/(Inputs!$B$43),0))),0)))&gt;=100),CHOOSE(ArtifactsInput!$N$42+1,40,48,56,64,72,80),0))))/100)*((1+(((C2811=TRUE)*F2811)+((C2818=TRUE)*(F2818-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2806)</f>
        <v/>
      </c>
      <c r="L2806">
        <f>K2806*(MIN(Inputs!$B$22+((C2816=TRUE)*(F2816-Calc!F22)),(Inputs!$B$23+0+(IF(ArtifactsInput!$M$15,CHOOSE(ArtifactsInput!$N$15+1,25,30,35,40,45,50)/100*(Inputs!$B$11-Inputs!$B$11),0))))/100+(Inputs!$B$23+0+(IF(ArtifactsInput!$M$15,CHOOSE(ArtifactsInput!$N$15+1,25,30,35,40,45,50)/100*(Inputs!$B$11-Inputs!$B$11),0)))/100)/2</f>
        <v/>
      </c>
      <c r="M2806">
        <f>L2806*(1+(Inputs!$B$10+((C2819=TRUE)*(F2819-Calc!F25))+B2829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6">
        <f>L2806*(1-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2806*(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6">
        <f>(1-Summary!$B$11)*T2806+Summary!$B$11*V2806</f>
        <v/>
      </c>
      <c r="P2806">
        <f>IF(B2834=0,0,O2806/B2834)</f>
        <v/>
      </c>
      <c r="Q2806">
        <f>IFERROR(1/(IF(Inputs!$B$38="pvp",15,MAX(0.1,Skills!D12-IF(Skills!E12=TRUE,1.0,0)))*(1-IF(AND(ArtifactsInput!$M$27,Inputs!$B$4="Chapter Hunt"),CHOOSE(ArtifactsInput!$N$27+1,20,24,28,32,36,40),0)/100)),0)</f>
        <v/>
      </c>
      <c r="R2806">
        <f>IF(AND(Inputs!$B$38&lt;&gt;"pvp",Inputs!$B$43&gt;0),IF(MAX(0,Inputs!$B$43-B2831)&lt;=0,0,(INT(MAX(0,Inputs!$B$43-B2831)/(IF(Inputs!$B$38="pvp",15,MAX(0.1,Skills!D12-IF(Skills!E12=TRUE,1.0,0)))*(1-IF(AND(ArtifactsInput!$M$27,Inputs!$B$4="Chapter Hunt"),CHOOSE(ArtifactsInput!$N$27+1,20,24,28,32,36,40),0)/100)))+1)),0)</f>
        <v/>
      </c>
      <c r="S2806">
        <f>IFERROR(O2806/N2806,0)</f>
        <v/>
      </c>
      <c r="T2806">
        <f>IF(C2806,(H2806*N2806*IF(AND(Inputs!$B$38&lt;&gt;"pvp",Inputs!$B$43&gt;0),((Skills!G12*((R2806-1)*IF(Skills!H12&gt;0,Skills!I12/Skills!H12,1)+IF(Skills!H12&gt;0,MIN(Skills!I12,MAX(0,MAX(0,Inputs!$B$43-B2831)-((R2806-1)*(IF(Inputs!$B$38="pvp",15,MAX(0.1,Skills!D12-IF(Skills!E12=TRUE,1.0,0)))*(1-IF(AND(ArtifactsInput!$M$27,Inputs!$B$4="Chapter Hunt"),CHOOSE(ArtifactsInput!$N$27+1,20,24,28,32,36,40),0)/100)))))/Skills!H12,1)))/Inputs!$B$43),G2806*Q2806)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2806*(1-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2806*(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2806*(1-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2806*(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6">
        <f>IF(C2806,(H2806*N2806*IF(AND(Inputs!$B$38&lt;&gt;"pvp",Inputs!$B$43&gt;0),((Skills!G12*((R2806-1)*IF(Skills!H12&gt;0,Skills!I12/Skills!H12,1)+IF(Skills!H12&gt;0,MIN(Skills!I12,MAX(0,MAX(0,Inputs!$B$43-B2831)-((R2806-1)*(IF(Inputs!$B$38="pvp",15,MAX(0.1,Skills!D12-IF(Skills!E12=TRUE,1.0,0)))*(1-IF(AND(ArtifactsInput!$M$27,Inputs!$B$4="Chapter Hunt"),CHOOSE(ArtifactsInput!$N$27+1,20,24,28,32,36,40),0)/100)))))/Skills!H12,1)))/Inputs!$B$43),G2806*Q2806))*IF(Inputs!$B$38="pvp",1,(1+(Inputs!$B$21+Skills!Q12+(IF(ArtifactsInput!$M$33,CHOOSE(ArtifactsInput!$N$33+1,30,36,42,48,54,60)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7">
      <c r="A2807">
        <f>Skills!A13</f>
        <v/>
      </c>
      <c r="B2807">
        <f>Skills!B13</f>
        <v/>
      </c>
      <c r="C2807">
        <f>Inputs!$B$3&gt;=110</f>
        <v/>
      </c>
      <c r="D2807">
        <f>IF(Skills!C13=1,60+Inputs!$B$25+Inputs!$B$29,IF(Skills!C13=2,90+Inputs!$B$26+Inputs!$B$29,IF(Skills!C13=3,120+Inputs!$B$27+Inputs!$B$29,MAX(0,(Inputs!$B$3-100)*3)+Inputs!$B$28+Inputs!$B$29)))</f>
        <v/>
      </c>
      <c r="E2807">
        <f>INDEX(FactorTable!$B$2:$Y$301, MATCH(ROUND(MIN(300,MAX(1,D2807)),0), FactorTable!$A$2:$A$301,0), Skills!M13+1)</f>
        <v/>
      </c>
      <c r="F2807">
        <f>IF(Skills!N13=TRUE,(Skills!L13/10)*(E2807/1000),Skills!L13/10)+Skills!O13</f>
        <v/>
      </c>
      <c r="G2807">
        <f>Skills!G13*IF(Skills!H13&gt;0,Skills!I13/Skills!H13,1)</f>
        <v/>
      </c>
      <c r="H2807">
        <f>1-(1-Skills!J13/100)^Skills!K13</f>
        <v/>
      </c>
      <c r="I2807" t="inlineStr">
        <is>
          <t>1</t>
        </is>
      </c>
      <c r="J2807">
        <f>((Inputs!$B$6*(1+Inputs!$B$7/100))+(((Inputs!$B$12*(1+Inputs!$B$13/100))-(Inputs!$B$12*(1+Inputs!$B$13/100)))+0.25*(Inputs!$B$14-Inputs!$B$14))*(1+Inputs!$B$7/100))*(F2807/100)</f>
        <v/>
      </c>
      <c r="K2807">
        <f>J2807*(1+((Inputs!$B$12*(1+Inputs!$B$13/100))*0.01+Inputs!$B$14*0.0025)/100)*(1+Inputs!$B$15/100)*(1+Inputs!$B$16/100)*(5000/(6000+Inputs!$B$42*(1-(100*(1-(1-(Inputs!$B$19+0)/100)*(1-CHOOSE(ArtifactsInput!$N$40+1,5,6,7,8,9,10)/100)^(ArtifactsInput!$M$40-ArtifactsInput!$M$40)))/100)))*(1+(Inputs!$B$24+((C2820=TRUE)*(F2820-Calc!F26))+B2830)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2817=TRUE)*(F2817-Calc!F23))+((C2821=TRUE)*(F2821-Calc!F27))+(((IF(AND(ArtifactsInput!$M$42,((Inputs!$B$9+((C2813=TRUE)*(F2813-Calc!F19))+B2824+(ArtifactsInput!$M$24-ArtifactsInput!$M$24)*CHOOSE(ArtifactsInput!$N$24+1,10,12,14,16,18,20)+IF(ArtifactsInput!$M$10,CHOOSE(ArtifactsInput!$N$10+1,15,18,21,24,27,30)*(IF(Inputs!$B$38="pvp",MIN(15,15)/15,IF(AND(Inputs!$B$38&lt;&gt;"pvp",Inputs!$B$43&gt;0),MIN(15,Inputs!$B$43)/(Inputs!$B$43),0))),0)))&gt;=100),MIN(100,((Inputs!$B$9+((C2813=TRUE)*(F2813-Calc!F19))+B2824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2813=TRUE)*(F2813-Calc!F19))+B2824+(ArtifactsInput!$M$24-ArtifactsInput!$M$24)*CHOOSE(ArtifactsInput!$N$24+1,10,12,14,16,18,20)+IF(ArtifactsInput!$M$10,CHOOSE(ArtifactsInput!$N$10+1,15,18,21,24,27,30)*(IF(Inputs!$B$38="pvp",MIN(15,15)/15,IF(AND(Inputs!$B$38&lt;&gt;"pvp",Inputs!$B$43&gt;0),MIN(15,Inputs!$B$43)/(Inputs!$B$43),0))),0)))&gt;=100),CHOOSE(ArtifactsInput!$N$42+1,40,48,56,64,72,80),0))))/100)*((1+(((C2811=TRUE)*F2811)+((C2818=TRUE)*(F2818-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2807)</f>
        <v/>
      </c>
      <c r="L2807">
        <f>K2807*(MIN(Inputs!$B$22+((C2816=TRUE)*(F2816-Calc!F22)),(Inputs!$B$23+0+(IF(ArtifactsInput!$M$15,CHOOSE(ArtifactsInput!$N$15+1,25,30,35,40,45,50)/100*(Inputs!$B$11-Inputs!$B$11),0))))/100+(Inputs!$B$23+0+(IF(ArtifactsInput!$M$15,CHOOSE(ArtifactsInput!$N$15+1,25,30,35,40,45,50)/100*(Inputs!$B$11-Inputs!$B$11),0)))/100)/2</f>
        <v/>
      </c>
      <c r="M2807">
        <f>L2807*(1+(Inputs!$B$10+((C2819=TRUE)*(F2819-Calc!F25))+B2829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7">
        <f>L2807*(1-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2807*(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7">
        <f>(1-Summary!$B$11)*T2807+Summary!$B$11*V2807</f>
        <v/>
      </c>
      <c r="P2807">
        <f>IF(B2834=0,0,O2807/B2834)</f>
        <v/>
      </c>
      <c r="Q2807">
        <f>IFERROR(1/(IF(Inputs!$B$38="pvp",15,MAX(0.1,Skills!D13-IF(Skills!E13=TRUE,1.0,0)))*(1-IF(AND(ArtifactsInput!$M$27,Inputs!$B$4="Chapter Hunt"),CHOOSE(ArtifactsInput!$N$27+1,20,24,28,32,36,40),0)/100)),0)</f>
        <v/>
      </c>
      <c r="R2807">
        <f>IF(AND(Inputs!$B$38&lt;&gt;"pvp",Inputs!$B$43&gt;0),IF(MAX(0,Inputs!$B$43-B2831)&lt;=0,0,(INT(MAX(0,Inputs!$B$43-B2831)/(IF(Inputs!$B$38="pvp",15,MAX(0.1,Skills!D13-IF(Skills!E13=TRUE,1.0,0)))*(1-IF(AND(ArtifactsInput!$M$27,Inputs!$B$4="Chapter Hunt"),CHOOSE(ArtifactsInput!$N$27+1,20,24,28,32,36,40),0)/100)))+1)),0)</f>
        <v/>
      </c>
      <c r="S2807">
        <f>IFERROR(O2807/N2807,0)</f>
        <v/>
      </c>
      <c r="T2807">
        <f>IF(C2807,(H2807*N2807*IF(AND(Inputs!$B$38&lt;&gt;"pvp",Inputs!$B$43&gt;0),((Skills!G13*((R2807-1)*IF(Skills!H13&gt;0,Skills!I13/Skills!H13,1)+IF(Skills!H13&gt;0,MIN(Skills!I13,MAX(0,MAX(0,Inputs!$B$43-B2831)-((R2807-1)*(IF(Inputs!$B$38="pvp",15,MAX(0.1,Skills!D13-IF(Skills!E13=TRUE,1.0,0)))*(1-IF(AND(ArtifactsInput!$M$27,Inputs!$B$4="Chapter Hunt"),CHOOSE(ArtifactsInput!$N$27+1,20,24,28,32,36,40),0)/100)))))/Skills!H13,1)))/Inputs!$B$43),G2807*Q2807))*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2807*(1-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2807*(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2807*(1-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2807*(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7">
        <f>IF(C2807,(H2807*N2807*IF(AND(Inputs!$B$38&lt;&gt;"pvp",Inputs!$B$43&gt;0),((Skills!G13*((R2807-1)*IF(Skills!H13&gt;0,Skills!I13/Skills!H13,1)+IF(Skills!H13&gt;0,MIN(Skills!I13,MAX(0,MAX(0,Inputs!$B$43-B2831)-((R2807-1)*(IF(Inputs!$B$38="pvp",15,MAX(0.1,Skills!D13-IF(Skills!E13=TRUE,1.0,0)))*(1-IF(AND(ArtifactsInput!$M$27,Inputs!$B$4="Chapter Hunt"),CHOOSE(ArtifactsInput!$N$27+1,20,24,28,32,36,40),0)/100)))))/Skills!H13,1)))/Inputs!$B$43),G2807*Q2807))*IF(Inputs!$B$38="pvp",1,(1+(Inputs!$B$21+Skills!Q13+(IF(ArtifactsInput!$M$33,CHOOSE(ArtifactsInput!$N$33+1,30,36,42,48,54,60)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8">
      <c r="A2808">
        <f>Skills!A14</f>
        <v/>
      </c>
      <c r="B2808">
        <f>Skills!B14</f>
        <v/>
      </c>
      <c r="C2808">
        <f>Inputs!$B$3&gt;=125</f>
        <v/>
      </c>
      <c r="D2808">
        <f>IF(Skills!C14=1,60+Inputs!$B$25+Inputs!$B$29,IF(Skills!C14=2,90+Inputs!$B$26+Inputs!$B$29,IF(Skills!C14=3,120+Inputs!$B$27+Inputs!$B$29,MAX(0,(Inputs!$B$3-100)*3)+Inputs!$B$28+Inputs!$B$29)))</f>
        <v/>
      </c>
      <c r="E2808">
        <f>INDEX(FactorTable!$B$2:$Y$301, MATCH(ROUND(MIN(300,MAX(1,D2808)),0), FactorTable!$A$2:$A$301,0), Skills!M14+1)</f>
        <v/>
      </c>
      <c r="F2808">
        <f>IF(Skills!N14=TRUE,(Skills!L14/10)*(E2808/1000),Skills!L14/10)+Skills!O14</f>
        <v/>
      </c>
      <c r="G2808">
        <f>Skills!G14*IF(Skills!H14&gt;0,Skills!I14/Skills!H14,1)</f>
        <v/>
      </c>
      <c r="H2808">
        <f>1-(1-Skills!J14/100)^Skills!K14</f>
        <v/>
      </c>
      <c r="I2808" t="inlineStr">
        <is>
          <t>1</t>
        </is>
      </c>
      <c r="J2808">
        <f>((Inputs!$B$6*(1+Inputs!$B$7/100))+(((Inputs!$B$12*(1+Inputs!$B$13/100))-(Inputs!$B$12*(1+Inputs!$B$13/100)))+0.25*(Inputs!$B$14-Inputs!$B$14))*(1+Inputs!$B$7/100))*(F2808/100)</f>
        <v/>
      </c>
      <c r="K2808">
        <f>J2808*(1+((Inputs!$B$12*(1+Inputs!$B$13/100))*0.01+Inputs!$B$14*0.0025)/100)*(1+Inputs!$B$15/100)*(1+Inputs!$B$16/100)*(5000/(6000+Inputs!$B$42*(1-(100*(1-(1-(Inputs!$B$19+0)/100)*(1-CHOOSE(ArtifactsInput!$N$40+1,5,6,7,8,9,10)/100)^(ArtifactsInput!$M$40-ArtifactsInput!$M$40)))/100)))*(1+(Inputs!$B$24+((C2820=TRUE)*(F2820-Calc!F26))+B2830)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2817=TRUE)*(F2817-Calc!F23))+((C2821=TRUE)*(F2821-Calc!F27))+(((IF(AND(ArtifactsInput!$M$42,((Inputs!$B$9+((C2813=TRUE)*(F2813-Calc!F19))+B2824+(ArtifactsInput!$M$24-ArtifactsInput!$M$24)*CHOOSE(ArtifactsInput!$N$24+1,10,12,14,16,18,20)+IF(ArtifactsInput!$M$10,CHOOSE(ArtifactsInput!$N$10+1,15,18,21,24,27,30)*(IF(Inputs!$B$38="pvp",MIN(15,15)/15,IF(AND(Inputs!$B$38&lt;&gt;"pvp",Inputs!$B$43&gt;0),MIN(15,Inputs!$B$43)/(Inputs!$B$43),0))),0)))&gt;=100),MIN(100,((Inputs!$B$9+((C2813=TRUE)*(F2813-Calc!F19))+B2824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2813=TRUE)*(F2813-Calc!F19))+B2824+(ArtifactsInput!$M$24-ArtifactsInput!$M$24)*CHOOSE(ArtifactsInput!$N$24+1,10,12,14,16,18,20)+IF(ArtifactsInput!$M$10,CHOOSE(ArtifactsInput!$N$10+1,15,18,21,24,27,30)*(IF(Inputs!$B$38="pvp",MIN(15,15)/15,IF(AND(Inputs!$B$38&lt;&gt;"pvp",Inputs!$B$43&gt;0),MIN(15,Inputs!$B$43)/(Inputs!$B$43),0))),0)))&gt;=100),CHOOSE(ArtifactsInput!$N$42+1,40,48,56,64,72,80),0))))/100)*((1+(((C2811=TRUE)*F2811)+((C2818=TRUE)*(F2818-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2808)</f>
        <v/>
      </c>
      <c r="L2808">
        <f>K2808*(MIN(Inputs!$B$22+((C2816=TRUE)*(F2816-Calc!F22)),(Inputs!$B$23+0+(IF(ArtifactsInput!$M$15,CHOOSE(ArtifactsInput!$N$15+1,25,30,35,40,45,50)/100*(Inputs!$B$11-Inputs!$B$11),0))))/100+(Inputs!$B$23+0+(IF(ArtifactsInput!$M$15,CHOOSE(ArtifactsInput!$N$15+1,25,30,35,40,45,50)/100*(Inputs!$B$11-Inputs!$B$11),0)))/100)/2</f>
        <v/>
      </c>
      <c r="M2808">
        <f>L2808*(1+(Inputs!$B$10+((C2819=TRUE)*(F2819-Calc!F25))+B2829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8">
        <f>L2808*(1-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2808*(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8">
        <f>(1-Summary!$B$11)*T2808+Summary!$B$11*V2808</f>
        <v/>
      </c>
      <c r="P2808">
        <f>IF(B2834=0,0,O2808/B2834)</f>
        <v/>
      </c>
      <c r="Q2808" t="n">
        <v>0</v>
      </c>
      <c r="R2808" t="n">
        <v>0</v>
      </c>
      <c r="S2808">
        <f>IFERROR(O2808/N2808,0)</f>
        <v/>
      </c>
      <c r="T2808">
        <f>IF(C2808,(H2808*N2808*(B2828+IF(AND(Inputs!$B$38&lt;&gt;"pvp",Inputs!$B$43&gt;0),((Skills!G8*((R2802-1)*IF(Skills!H8&gt;0,Skills!I8/Skills!H8,1)+IF(Skills!H8&gt;0,MIN(Skills!I8,MAX(0,MAX(0,Inputs!$B$43-B2831)-((R2802-1)*(IF(Inputs!$B$38="pvp",15,MAX(0.1,Skills!D8-IF(Skills!E8=TRUE,1.0,0)))*(1-IF(AND(ArtifactsInput!$M$27,Inputs!$B$4="Chapter Hunt"),CHOOSE(ArtifactsInput!$N$27+1,20,24,28,32,36,40),0)/100)))))/Skills!H8,1)))/Inputs!$B$43),G2802*Q2802)+IF(AND(Inputs!$B$38&lt;&gt;"pvp",Inputs!$B$43&gt;0),((Skills!G11*((R2805-1)*IF(Skills!H11&gt;0,Skills!I11/Skills!H11,1)+IF(Skills!H11&gt;0,MIN(Skills!I11,MAX(0,MAX(0,Inputs!$B$43-B2831)-((R2805-1)*(IF(Inputs!$B$38="pvp",15,MAX(0.1,Skills!D11-IF(Skills!E11=TRUE,1.0,0)))*(1-IF(AND(ArtifactsInput!$M$27,Inputs!$B$4="Chapter Hunt"),CHOOSE(ArtifactsInput!$N$27+1,20,24,28,32,36,40),0)/100)))))/Skills!H11,1)))/Inputs!$B$43),G2805*Q2805)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2808*(1-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2808*(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2808*(1-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2808*(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8">
        <f>IF(C2808,(H2808*N2808*(B2828+IF(AND(Inputs!$B$38&lt;&gt;"pvp",Inputs!$B$43&gt;0),((Skills!G8*((R2802-1)*IF(Skills!H8&gt;0,Skills!I8/Skills!H8,1)+IF(Skills!H8&gt;0,MIN(Skills!I8,MAX(0,MAX(0,Inputs!$B$43-B2831)-((R2802-1)*(IF(Inputs!$B$38="pvp",15,MAX(0.1,Skills!D8-IF(Skills!E8=TRUE,1.0,0)))*(1-IF(AND(ArtifactsInput!$M$27,Inputs!$B$4="Chapter Hunt"),CHOOSE(ArtifactsInput!$N$27+1,20,24,28,32,36,40),0)/100)))))/Skills!H8,1)))/Inputs!$B$43),G2802*Q2802)+IF(AND(Inputs!$B$38&lt;&gt;"pvp",Inputs!$B$43&gt;0),((Skills!G11*((R2805-1)*IF(Skills!H11&gt;0,Skills!I11/Skills!H11,1)+IF(Skills!H11&gt;0,MIN(Skills!I11,MAX(0,MAX(0,Inputs!$B$43-B2831)-((R2805-1)*(IF(Inputs!$B$38="pvp",15,MAX(0.1,Skills!D11-IF(Skills!E11=TRUE,1.0,0)))*(1-IF(AND(ArtifactsInput!$M$27,Inputs!$B$4="Chapter Hunt"),CHOOSE(ArtifactsInput!$N$27+1,20,24,28,32,36,40),0)/100)))))/Skills!H11,1)))/Inputs!$B$43),G2805*Q2805)))*IF(Inputs!$B$38="pvp",1,(1+(Inputs!$B$21+Skills!Q14+(IF(ArtifactsInput!$M$33,CHOOSE(ArtifactsInput!$N$33+1,30,36,42,48,54,60)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9">
      <c r="A2809">
        <f>Skills!A15</f>
        <v/>
      </c>
      <c r="B2809">
        <f>Skills!B15</f>
        <v/>
      </c>
      <c r="C2809">
        <f>Inputs!$B$3&gt;=100</f>
        <v/>
      </c>
      <c r="D2809">
        <f>IF(Skills!C15=1,60+Inputs!$B$25+Inputs!$B$29,IF(Skills!C15=2,90+Inputs!$B$26+Inputs!$B$29,IF(Skills!C15=3,120+Inputs!$B$27+Inputs!$B$29,MAX(0,(Inputs!$B$3-100)*3)+Inputs!$B$28+Inputs!$B$29)))</f>
        <v/>
      </c>
      <c r="E2809">
        <f>INDEX(FactorTable!$B$2:$Y$301, MATCH(ROUND(MIN(300,MAX(1,D2809)),0), FactorTable!$A$2:$A$301,0), Skills!M15+1)</f>
        <v/>
      </c>
      <c r="F2809">
        <f>IF(Skills!N15=TRUE,(Skills!L15/10)*(E2809/1000),Skills!L15/10)+Skills!O15</f>
        <v/>
      </c>
      <c r="G2809" t="inlineStr"/>
      <c r="H2809" t="inlineStr"/>
      <c r="I2809" t="inlineStr">
        <is>
          <t>1</t>
        </is>
      </c>
      <c r="J2809" t="inlineStr"/>
      <c r="K2809" t="inlineStr"/>
      <c r="L2809" t="inlineStr"/>
      <c r="M2809" t="inlineStr"/>
      <c r="N2809" t="inlineStr"/>
      <c r="O2809" t="inlineStr"/>
      <c r="P2809" t="inlineStr"/>
      <c r="Q2809" t="inlineStr"/>
      <c r="R2809" t="inlineStr"/>
      <c r="S2809" t="inlineStr"/>
    </row>
    <row r="2810">
      <c r="A2810">
        <f>Skills!A16</f>
        <v/>
      </c>
      <c r="B2810">
        <f>Skills!B16</f>
        <v/>
      </c>
      <c r="C2810">
        <f>Inputs!$B$3&gt;=120</f>
        <v/>
      </c>
      <c r="D2810">
        <f>IF(Skills!C16=1,60+Inputs!$B$25+Inputs!$B$29,IF(Skills!C16=2,90+Inputs!$B$26+Inputs!$B$29,IF(Skills!C16=3,120+Inputs!$B$27+Inputs!$B$29,MAX(0,(Inputs!$B$3-100)*3)+Inputs!$B$28+Inputs!$B$29)))</f>
        <v/>
      </c>
      <c r="E2810">
        <f>INDEX(FactorTable!$B$2:$Y$301, MATCH(ROUND(MIN(300,MAX(1,D2810)),0), FactorTable!$A$2:$A$301,0), Skills!M16+1)</f>
        <v/>
      </c>
      <c r="F2810">
        <f>IF(Skills!N16=TRUE,(Skills!L16/10)*(E2810/1000),Skills!L16/10)+Skills!O16</f>
        <v/>
      </c>
      <c r="G2810" t="inlineStr"/>
      <c r="H2810" t="inlineStr"/>
      <c r="I2810" t="inlineStr">
        <is>
          <t>1</t>
        </is>
      </c>
      <c r="J2810" t="inlineStr"/>
      <c r="K2810" t="inlineStr"/>
      <c r="L2810" t="inlineStr"/>
      <c r="M2810" t="inlineStr"/>
      <c r="N2810" t="inlineStr"/>
      <c r="O2810" t="inlineStr"/>
      <c r="P2810" t="inlineStr"/>
      <c r="Q2810" t="inlineStr"/>
      <c r="R2810" t="inlineStr"/>
      <c r="S2810" t="inlineStr"/>
    </row>
    <row r="2811">
      <c r="A2811">
        <f>Skills!A17</f>
        <v/>
      </c>
      <c r="B2811">
        <f>Skills!B17</f>
        <v/>
      </c>
      <c r="C2811">
        <f>Inputs!$B$3&gt;=66</f>
        <v/>
      </c>
      <c r="D2811">
        <f>IF(Skills!C17=1,60+Inputs!$B$25+Inputs!$B$29,IF(Skills!C17=2,90+Inputs!$B$26+Inputs!$B$29,IF(Skills!C17=3,120+Inputs!$B$27+Inputs!$B$29,MAX(0,(Inputs!$B$3-100)*3)+Inputs!$B$28+Inputs!$B$29)))</f>
        <v/>
      </c>
      <c r="E2811">
        <f>INDEX(FactorTable!$B$2:$Y$301, MATCH(ROUND(MIN(300,MAX(1,D2811)),0), FactorTable!$A$2:$A$301,0), Skills!M17+1)</f>
        <v/>
      </c>
      <c r="F2811">
        <f>IF(Skills!N17=TRUE,(Skills!L17/10)*(E2811/1000),Skills!L17/10)+Skills!O17</f>
        <v/>
      </c>
      <c r="G2811">
        <f>Skills!G17*IF(Skills!H17&gt;0,Skills!I17/Skills!H17,1)</f>
        <v/>
      </c>
      <c r="H2811">
        <f>1-(1-Skills!J17/100)^Skills!K17</f>
        <v/>
      </c>
      <c r="I2811" t="inlineStr">
        <is>
          <t>1</t>
        </is>
      </c>
      <c r="J2811" t="inlineStr"/>
      <c r="K2811" t="inlineStr"/>
      <c r="L2811" t="inlineStr"/>
      <c r="M2811" t="inlineStr"/>
      <c r="N2811" t="inlineStr"/>
      <c r="O2811">
        <f>(1-Summary!$B$11)*T2811+Summary!$B$11*V2811</f>
        <v/>
      </c>
      <c r="P2811">
        <f>IF(B2834=0,0,O2811/B2834)</f>
        <v/>
      </c>
      <c r="Q2811" t="n">
        <v>0</v>
      </c>
      <c r="R2811" t="n">
        <v>0</v>
      </c>
      <c r="S2811">
        <f>IFERROR(O2811/N2811,0)</f>
        <v/>
      </c>
      <c r="T2811" t="n">
        <v>0</v>
      </c>
      <c r="V2811" t="n">
        <v>0</v>
      </c>
    </row>
    <row r="2812">
      <c r="A2812">
        <f>Skills!A18</f>
        <v/>
      </c>
      <c r="B2812">
        <f>Skills!B18</f>
        <v/>
      </c>
      <c r="C2812">
        <f>Inputs!$B$3&gt;=115</f>
        <v/>
      </c>
      <c r="D2812">
        <f>IF(Skills!C18=1,60+Inputs!$B$25+Inputs!$B$29,IF(Skills!C18=2,90+Inputs!$B$26+Inputs!$B$29,IF(Skills!C18=3,120+Inputs!$B$27+Inputs!$B$29,MAX(0,(Inputs!$B$3-100)*3)+Inputs!$B$28+Inputs!$B$29)))</f>
        <v/>
      </c>
      <c r="E2812">
        <f>INDEX(FactorTable!$B$2:$Y$301, MATCH(ROUND(MIN(300,MAX(1,D2812)),0), FactorTable!$A$2:$A$301,0), Skills!M18+1)</f>
        <v/>
      </c>
      <c r="F2812">
        <f>IF(Skills!N18=TRUE,(Skills!L18/10)*(E2812/1000),Skills!L18/10)+Skills!O18</f>
        <v/>
      </c>
      <c r="G2812">
        <f>Skills!G18*IF(Skills!H18&gt;0,Skills!I18/Skills!H18,1)</f>
        <v/>
      </c>
      <c r="H2812">
        <f>1-(1-Skills!J18/100)^Skills!K18</f>
        <v/>
      </c>
      <c r="I2812" t="inlineStr">
        <is>
          <t>1</t>
        </is>
      </c>
      <c r="J2812" t="inlineStr"/>
      <c r="K2812" t="inlineStr"/>
      <c r="L2812" t="inlineStr"/>
      <c r="M2812" t="inlineStr"/>
      <c r="N2812" t="inlineStr"/>
      <c r="O2812">
        <f>(1-Summary!$B$11)*T2812+Summary!$B$11*V2812</f>
        <v/>
      </c>
      <c r="P2812">
        <f>IF(B2834=0,0,O2812/B2834)</f>
        <v/>
      </c>
      <c r="Q2812" t="n">
        <v>0</v>
      </c>
      <c r="R2812" t="n">
        <v>0</v>
      </c>
      <c r="S2812">
        <f>IFERROR(O2812/N2812,0)</f>
        <v/>
      </c>
      <c r="T2812" t="n">
        <v>0</v>
      </c>
      <c r="V2812" t="n">
        <v>0</v>
      </c>
    </row>
    <row r="2813">
      <c r="A2813">
        <f>Skills!A19</f>
        <v/>
      </c>
      <c r="B2813">
        <f>Skills!B19</f>
        <v/>
      </c>
      <c r="C2813">
        <f>Inputs!$B$3&gt;=15</f>
        <v/>
      </c>
      <c r="D2813">
        <f>IF(Skills!C19=1,60+Inputs!$B$25+Inputs!$B$29,IF(Skills!C19=2,90+Inputs!$B$26+Inputs!$B$29,IF(Skills!C19=3,120+Inputs!$B$27+Inputs!$B$29,MAX(0,(Inputs!$B$3-100)*3)+Inputs!$B$28+Inputs!$B$29)))</f>
        <v/>
      </c>
      <c r="E2813">
        <f>INDEX(FactorTable!$B$2:$Y$301, MATCH(ROUND(MIN(300,MAX(1,D2813)),0), FactorTable!$A$2:$A$301,0), Skills!M19+1)</f>
        <v/>
      </c>
      <c r="F2813">
        <f>IF(Skills!N19=TRUE,(Skills!L19/10)*(E2813/1000),Skills!L19/10)+Skills!O19</f>
        <v/>
      </c>
      <c r="G2813">
        <f>Skills!G19*IF(Skills!H19&gt;0,Skills!I19/Skills!H19,1)</f>
        <v/>
      </c>
      <c r="H2813">
        <f>1-(1-Skills!J19/100)^Skills!K19</f>
        <v/>
      </c>
      <c r="I2813" t="inlineStr">
        <is>
          <t>1</t>
        </is>
      </c>
      <c r="J2813" t="inlineStr"/>
      <c r="K2813" t="inlineStr"/>
      <c r="L2813" t="inlineStr"/>
      <c r="M2813" t="inlineStr"/>
      <c r="N2813" t="inlineStr"/>
      <c r="O2813">
        <f>(1-Summary!$B$11)*T2813+Summary!$B$11*V2813</f>
        <v/>
      </c>
      <c r="P2813">
        <f>IF(B2834=0,0,O2813/B2834)</f>
        <v/>
      </c>
      <c r="Q2813" t="n">
        <v>0</v>
      </c>
      <c r="R2813" t="n">
        <v>0</v>
      </c>
      <c r="S2813">
        <f>IFERROR(O2813/N2813,0)</f>
        <v/>
      </c>
      <c r="T2813" t="n">
        <v>0</v>
      </c>
      <c r="V2813" t="n">
        <v>0</v>
      </c>
    </row>
    <row r="2814">
      <c r="A2814">
        <f>Skills!A20</f>
        <v/>
      </c>
      <c r="B2814">
        <f>Skills!B20</f>
        <v/>
      </c>
      <c r="C2814">
        <f>Inputs!$B$3&gt;=10</f>
        <v/>
      </c>
      <c r="D2814">
        <f>IF(Skills!C20=1,60+Inputs!$B$25+Inputs!$B$29,IF(Skills!C20=2,90+Inputs!$B$26+Inputs!$B$29,IF(Skills!C20=3,120+Inputs!$B$27+Inputs!$B$29,MAX(0,(Inputs!$B$3-100)*3)+Inputs!$B$28+Inputs!$B$29)))</f>
        <v/>
      </c>
      <c r="E2814">
        <f>INDEX(FactorTable!$B$2:$Y$301, MATCH(ROUND(MIN(300,MAX(1,D2814)),0), FactorTable!$A$2:$A$301,0), Skills!M20+1)</f>
        <v/>
      </c>
      <c r="F2814">
        <f>IF(Skills!N20=TRUE,(Skills!L20/10)*(E2814/1000),Skills!L20/10)+Skills!O20</f>
        <v/>
      </c>
      <c r="G2814">
        <f>Skills!G20*IF(Skills!H20&gt;0,Skills!I20/Skills!H20,1)</f>
        <v/>
      </c>
      <c r="H2814">
        <f>1-(1-Skills!J20/100)^Skills!K20</f>
        <v/>
      </c>
      <c r="I2814" t="inlineStr">
        <is>
          <t>1</t>
        </is>
      </c>
      <c r="J2814" t="inlineStr"/>
      <c r="K2814" t="inlineStr"/>
      <c r="L2814" t="inlineStr"/>
      <c r="M2814" t="inlineStr"/>
      <c r="N2814" t="inlineStr"/>
      <c r="O2814">
        <f>(1-Summary!$B$11)*T2814+Summary!$B$11*V2814</f>
        <v/>
      </c>
      <c r="P2814">
        <f>IF(B2834=0,0,O2814/B2834)</f>
        <v/>
      </c>
      <c r="Q2814" t="n">
        <v>0</v>
      </c>
      <c r="R2814" t="n">
        <v>0</v>
      </c>
      <c r="S2814">
        <f>IFERROR(O2814/N2814,0)</f>
        <v/>
      </c>
      <c r="T2814" t="n">
        <v>0</v>
      </c>
      <c r="V2814" t="n">
        <v>0</v>
      </c>
    </row>
    <row r="2815">
      <c r="A2815">
        <f>Skills!A21</f>
        <v/>
      </c>
      <c r="B2815">
        <f>Skills!B21</f>
        <v/>
      </c>
      <c r="C2815">
        <f>Inputs!$B$3&gt;=33</f>
        <v/>
      </c>
      <c r="D2815">
        <f>IF(Skills!C21=1,60+Inputs!$B$25+Inputs!$B$29,IF(Skills!C21=2,90+Inputs!$B$26+Inputs!$B$29,IF(Skills!C21=3,120+Inputs!$B$27+Inputs!$B$29,MAX(0,(Inputs!$B$3-100)*3)+Inputs!$B$28+Inputs!$B$29)))</f>
        <v/>
      </c>
      <c r="E2815">
        <f>INDEX(FactorTable!$B$2:$Y$301, MATCH(ROUND(MIN(300,MAX(1,D2815)),0), FactorTable!$A$2:$A$301,0), Skills!M21+1)</f>
        <v/>
      </c>
      <c r="F2815">
        <f>IF(Skills!N21=TRUE,(Skills!L21/10)*(E2815/1000),Skills!L21/10)+Skills!O21</f>
        <v/>
      </c>
      <c r="G2815">
        <f>Skills!G21*IF(Skills!H21&gt;0,Skills!I21/Skills!H21,1)</f>
        <v/>
      </c>
      <c r="H2815">
        <f>1-(1-Skills!J21/100)^Skills!K21</f>
        <v/>
      </c>
      <c r="I2815" t="inlineStr">
        <is>
          <t>1</t>
        </is>
      </c>
      <c r="J2815" t="inlineStr"/>
      <c r="K2815" t="inlineStr"/>
      <c r="L2815" t="inlineStr"/>
      <c r="M2815" t="inlineStr"/>
      <c r="N2815" t="inlineStr"/>
      <c r="O2815">
        <f>(1-Summary!$B$11)*T2815+Summary!$B$11*V2815</f>
        <v/>
      </c>
      <c r="P2815">
        <f>IF(B2834=0,0,O2815/B2834)</f>
        <v/>
      </c>
      <c r="Q2815" t="n">
        <v>0</v>
      </c>
      <c r="R2815" t="n">
        <v>0</v>
      </c>
      <c r="S2815">
        <f>IFERROR(O2815/N2815,0)</f>
        <v/>
      </c>
      <c r="T2815" t="n">
        <v>0</v>
      </c>
      <c r="V2815" t="n">
        <v>0</v>
      </c>
    </row>
    <row r="2816">
      <c r="A2816">
        <f>Skills!A22</f>
        <v/>
      </c>
      <c r="B2816">
        <f>Skills!B22</f>
        <v/>
      </c>
      <c r="C2816">
        <f>Inputs!$B$3&gt;=43</f>
        <v/>
      </c>
      <c r="D2816">
        <f>IF(Skills!C22=1,60+Inputs!$B$25+Inputs!$B$29,IF(Skills!C22=2,90+Inputs!$B$26+Inputs!$B$29,IF(Skills!C22=3,120+Inputs!$B$27+Inputs!$B$29,MAX(0,(Inputs!$B$3-100)*3)+Inputs!$B$28+Inputs!$B$29)))</f>
        <v/>
      </c>
      <c r="E2816">
        <f>INDEX(FactorTable!$B$2:$Y$301, MATCH(ROUND(MIN(300,MAX(1,D2816)),0), FactorTable!$A$2:$A$301,0), Skills!M22+1)</f>
        <v/>
      </c>
      <c r="F2816">
        <f>IF(Skills!N22=TRUE,(Skills!L22/10)*(E2816/1000),Skills!L22/10)+Skills!O22</f>
        <v/>
      </c>
      <c r="G2816">
        <f>Skills!G22*IF(Skills!H22&gt;0,Skills!I22/Skills!H22,1)</f>
        <v/>
      </c>
      <c r="H2816">
        <f>1-(1-Skills!J22/100)^Skills!K22</f>
        <v/>
      </c>
      <c r="I2816" t="inlineStr">
        <is>
          <t>1</t>
        </is>
      </c>
      <c r="J2816" t="inlineStr"/>
      <c r="K2816" t="inlineStr"/>
      <c r="L2816" t="inlineStr"/>
      <c r="M2816" t="inlineStr"/>
      <c r="N2816" t="inlineStr"/>
      <c r="O2816">
        <f>(1-Summary!$B$11)*T2816+Summary!$B$11*V2816</f>
        <v/>
      </c>
      <c r="P2816">
        <f>IF(B2834=0,0,O2816/B2834)</f>
        <v/>
      </c>
      <c r="Q2816" t="n">
        <v>0</v>
      </c>
      <c r="R2816" t="n">
        <v>0</v>
      </c>
      <c r="S2816">
        <f>IFERROR(O2816/N2816,0)</f>
        <v/>
      </c>
      <c r="T2816" t="n">
        <v>0</v>
      </c>
      <c r="V2816" t="n">
        <v>0</v>
      </c>
    </row>
    <row r="2817">
      <c r="A2817">
        <f>Skills!A23</f>
        <v/>
      </c>
      <c r="B2817">
        <f>Skills!B23</f>
        <v/>
      </c>
      <c r="C2817">
        <f>Inputs!$B$3&gt;=38</f>
        <v/>
      </c>
      <c r="D2817">
        <f>IF(Skills!C23=1,60+Inputs!$B$25+Inputs!$B$29,IF(Skills!C23=2,90+Inputs!$B$26+Inputs!$B$29,IF(Skills!C23=3,120+Inputs!$B$27+Inputs!$B$29,MAX(0,(Inputs!$B$3-100)*3)+Inputs!$B$28+Inputs!$B$29)))</f>
        <v/>
      </c>
      <c r="E2817">
        <f>INDEX(FactorTable!$B$2:$Y$301, MATCH(ROUND(MIN(300,MAX(1,D2817)),0), FactorTable!$A$2:$A$301,0), Skills!M23+1)</f>
        <v/>
      </c>
      <c r="F2817">
        <f>IF(Skills!N23=TRUE,(Skills!L23/10)*(E2817/1000),Skills!L23/10)+Skills!O23</f>
        <v/>
      </c>
      <c r="G2817">
        <f>Skills!G23*IF(Skills!H23&gt;0,Skills!I23/Skills!H23,1)</f>
        <v/>
      </c>
      <c r="H2817">
        <f>1-(1-Skills!J23/100)^Skills!K23</f>
        <v/>
      </c>
      <c r="I2817" t="inlineStr">
        <is>
          <t>1</t>
        </is>
      </c>
      <c r="J2817" t="inlineStr"/>
      <c r="K2817" t="inlineStr"/>
      <c r="L2817" t="inlineStr"/>
      <c r="M2817" t="inlineStr"/>
      <c r="N2817" t="inlineStr"/>
      <c r="O2817">
        <f>(1-Summary!$B$11)*T2817+Summary!$B$11*V2817</f>
        <v/>
      </c>
      <c r="P2817">
        <f>IF(B2834=0,0,O2817/B2834)</f>
        <v/>
      </c>
      <c r="Q2817" t="n">
        <v>0</v>
      </c>
      <c r="R2817" t="n">
        <v>0</v>
      </c>
      <c r="S2817">
        <f>IFERROR(O2817/N2817,0)</f>
        <v/>
      </c>
      <c r="T2817" t="n">
        <v>0</v>
      </c>
      <c r="V2817" t="n">
        <v>0</v>
      </c>
    </row>
    <row r="2818">
      <c r="A2818">
        <f>Skills!A24</f>
        <v/>
      </c>
      <c r="B2818">
        <f>Skills!B24</f>
        <v/>
      </c>
      <c r="C2818">
        <f>Inputs!$B$3&gt;=40</f>
        <v/>
      </c>
      <c r="D2818">
        <f>IF(Skills!C24=1,60+Inputs!$B$25+Inputs!$B$29,IF(Skills!C24=2,90+Inputs!$B$26+Inputs!$B$29,IF(Skills!C24=3,120+Inputs!$B$27+Inputs!$B$29,MAX(0,(Inputs!$B$3-100)*3)+Inputs!$B$28+Inputs!$B$29)))</f>
        <v/>
      </c>
      <c r="E2818">
        <f>INDEX(FactorTable!$B$2:$Y$301, MATCH(ROUND(MIN(300,MAX(1,D2818)),0), FactorTable!$A$2:$A$301,0), Skills!M24+1)</f>
        <v/>
      </c>
      <c r="F2818">
        <f>IF(Skills!N24=TRUE,(Skills!L24/10)*(E2818/1000),Skills!L24/10)+Skills!O24</f>
        <v/>
      </c>
      <c r="G2818">
        <f>Skills!G24*IF(Skills!H24&gt;0,Skills!I24/Skills!H24,1)</f>
        <v/>
      </c>
      <c r="H2818">
        <f>1-(1-Skills!J24/100)^Skills!K24</f>
        <v/>
      </c>
      <c r="I2818" t="inlineStr">
        <is>
          <t>1</t>
        </is>
      </c>
      <c r="J2818" t="inlineStr"/>
      <c r="K2818" t="inlineStr"/>
      <c r="L2818" t="inlineStr"/>
      <c r="M2818" t="inlineStr"/>
      <c r="N2818" t="inlineStr"/>
      <c r="O2818">
        <f>(1-Summary!$B$11)*T2818+Summary!$B$11*V2818</f>
        <v/>
      </c>
      <c r="P2818">
        <f>IF(B2834=0,0,O2818/B2834)</f>
        <v/>
      </c>
      <c r="Q2818" t="n">
        <v>0</v>
      </c>
      <c r="R2818" t="n">
        <v>0</v>
      </c>
      <c r="S2818">
        <f>IFERROR(O2818/N2818,0)</f>
        <v/>
      </c>
      <c r="T2818" t="n">
        <v>0</v>
      </c>
      <c r="V2818" t="n">
        <v>0</v>
      </c>
    </row>
    <row r="2819">
      <c r="A2819">
        <f>Skills!A25</f>
        <v/>
      </c>
      <c r="B2819">
        <f>Skills!B25</f>
        <v/>
      </c>
      <c r="C2819">
        <f>Inputs!$B$3&gt;=72</f>
        <v/>
      </c>
      <c r="D2819">
        <f>IF(Skills!C25=1,60+Inputs!$B$25+Inputs!$B$29,IF(Skills!C25=2,90+Inputs!$B$26+Inputs!$B$29,IF(Skills!C25=3,120+Inputs!$B$27+Inputs!$B$29,MAX(0,(Inputs!$B$3-100)*3)+Inputs!$B$28+Inputs!$B$29)))</f>
        <v/>
      </c>
      <c r="E2819">
        <f>INDEX(FactorTable!$B$2:$Y$301, MATCH(ROUND(MIN(300,MAX(1,D2819)),0), FactorTable!$A$2:$A$301,0), Skills!M25+1)</f>
        <v/>
      </c>
      <c r="F2819">
        <f>IF(Skills!N25=TRUE,(Skills!L25/10)*(E2819/1000),Skills!L25/10)+Skills!O25</f>
        <v/>
      </c>
      <c r="G2819">
        <f>Skills!G25*IF(Skills!H25&gt;0,Skills!I25/Skills!H25,1)</f>
        <v/>
      </c>
      <c r="H2819">
        <f>1-(1-Skills!J25/100)^Skills!K25</f>
        <v/>
      </c>
      <c r="I2819" t="inlineStr">
        <is>
          <t>1</t>
        </is>
      </c>
      <c r="J2819" t="inlineStr"/>
      <c r="K2819" t="inlineStr"/>
      <c r="L2819" t="inlineStr"/>
      <c r="M2819" t="inlineStr"/>
      <c r="N2819" t="inlineStr"/>
      <c r="O2819">
        <f>(1-Summary!$B$11)*T2819+Summary!$B$11*V2819</f>
        <v/>
      </c>
      <c r="P2819">
        <f>IF(B2834=0,0,O2819/B2834)</f>
        <v/>
      </c>
      <c r="Q2819" t="n">
        <v>0</v>
      </c>
      <c r="R2819" t="n">
        <v>0</v>
      </c>
      <c r="S2819">
        <f>IFERROR(O2819/N2819,0)</f>
        <v/>
      </c>
      <c r="T2819" t="n">
        <v>0</v>
      </c>
      <c r="V2819" t="n">
        <v>0</v>
      </c>
    </row>
    <row r="2820">
      <c r="A2820">
        <f>Skills!A26</f>
        <v/>
      </c>
      <c r="B2820">
        <f>Skills!B26</f>
        <v/>
      </c>
      <c r="C2820">
        <f>Inputs!$B$3&gt;=75</f>
        <v/>
      </c>
      <c r="D2820">
        <f>IF(Skills!C26=1,60+Inputs!$B$25+Inputs!$B$29,IF(Skills!C26=2,90+Inputs!$B$26+Inputs!$B$29,IF(Skills!C26=3,120+Inputs!$B$27+Inputs!$B$29,MAX(0,(Inputs!$B$3-100)*3)+Inputs!$B$28+Inputs!$B$29)))</f>
        <v/>
      </c>
      <c r="E2820">
        <f>INDEX(FactorTable!$B$2:$Y$301, MATCH(ROUND(MIN(300,MAX(1,D2820)),0), FactorTable!$A$2:$A$301,0), Skills!M26+1)</f>
        <v/>
      </c>
      <c r="F2820">
        <f>IF(Skills!N26=TRUE,(Skills!L26/10)*(E2820/1000),Skills!L26/10)+Skills!O26</f>
        <v/>
      </c>
      <c r="G2820">
        <f>Skills!G26*IF(Skills!H26&gt;0,Skills!I26/Skills!H26,1)</f>
        <v/>
      </c>
      <c r="H2820">
        <f>1-(1-Skills!J26/100)^Skills!K26</f>
        <v/>
      </c>
      <c r="I2820" t="inlineStr">
        <is>
          <t>1</t>
        </is>
      </c>
      <c r="J2820" t="inlineStr"/>
      <c r="K2820" t="inlineStr"/>
      <c r="L2820" t="inlineStr"/>
      <c r="M2820" t="inlineStr"/>
      <c r="N2820" t="inlineStr"/>
      <c r="O2820">
        <f>(1-Summary!$B$11)*T2820+Summary!$B$11*V2820</f>
        <v/>
      </c>
      <c r="P2820">
        <f>IF(B2834=0,0,O2820/B2834)</f>
        <v/>
      </c>
      <c r="Q2820" t="n">
        <v>0</v>
      </c>
      <c r="R2820" t="n">
        <v>0</v>
      </c>
      <c r="S2820">
        <f>IFERROR(O2820/N2820,0)</f>
        <v/>
      </c>
      <c r="T2820" t="n">
        <v>0</v>
      </c>
      <c r="V2820" t="n">
        <v>0</v>
      </c>
    </row>
    <row r="2821">
      <c r="A2821">
        <f>Skills!A27</f>
        <v/>
      </c>
      <c r="B2821">
        <f>Skills!B27</f>
        <v/>
      </c>
      <c r="C2821">
        <f>Inputs!$B$3&gt;=117</f>
        <v/>
      </c>
      <c r="D2821">
        <f>IF(Skills!C27=1,60+Inputs!$B$25+Inputs!$B$29,IF(Skills!C27=2,90+Inputs!$B$26+Inputs!$B$29,IF(Skills!C27=3,120+Inputs!$B$27+Inputs!$B$29,MAX(0,(Inputs!$B$3-100)*3)+Inputs!$B$28+Inputs!$B$29)))</f>
        <v/>
      </c>
      <c r="E2821">
        <f>INDEX(FactorTable!$B$2:$Y$301, MATCH(ROUND(MIN(300,MAX(1,D2821)),0), FactorTable!$A$2:$A$301,0), Skills!M27+1)</f>
        <v/>
      </c>
      <c r="F2821">
        <f>IF(Skills!N27=TRUE,(Skills!L27/10)*(E2821/1000),Skills!L27/10)+Skills!O27</f>
        <v/>
      </c>
      <c r="G2821">
        <f>Skills!G27*IF(Skills!H27&gt;0,Skills!I27/Skills!H27,1)</f>
        <v/>
      </c>
      <c r="H2821">
        <f>1-(1-Skills!J27/100)^Skills!K27</f>
        <v/>
      </c>
      <c r="I2821" t="inlineStr">
        <is>
          <t>1</t>
        </is>
      </c>
      <c r="J2821" t="inlineStr"/>
      <c r="K2821" t="inlineStr"/>
      <c r="L2821" t="inlineStr"/>
      <c r="M2821" t="inlineStr"/>
      <c r="N2821" t="inlineStr"/>
      <c r="O2821">
        <f>(1-Summary!$B$11)*T2821+Summary!$B$11*V2821</f>
        <v/>
      </c>
      <c r="P2821">
        <f>IF(B2834=0,0,O2821/B2834)</f>
        <v/>
      </c>
      <c r="Q2821" t="n">
        <v>0</v>
      </c>
      <c r="R2821" t="n">
        <v>0</v>
      </c>
      <c r="S2821">
        <f>IFERROR(O2821/N2821,0)</f>
        <v/>
      </c>
      <c r="T2821" t="n">
        <v>0</v>
      </c>
      <c r="V2821" t="n">
        <v>0</v>
      </c>
    </row>
    <row r="2823">
      <c r="A2823" t="inlineStr">
        <is>
          <t>Attack% Bucket Multiplier</t>
        </is>
      </c>
      <c r="B2823">
        <f>(1+(((C2811=TRUE)*F2811)+((C2818=TRUE)*(F2818-Calc!F24))+(IF(ArtifactsInput!$M$21,CHOOSE(ArtifactsInput!$N$21+1,25,30,35,40,45,50)*(IF(OR(Inputs!$B$4="Chapter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24">
      <c r="A2824" t="inlineStr">
        <is>
          <t>Global Crit Rate Bonus %</t>
        </is>
      </c>
      <c r="B2824" t="n">
        <v>0</v>
      </c>
    </row>
    <row r="2825">
      <c r="A2825" t="inlineStr">
        <is>
          <t>Attack Speed Buff Bonus % (unused)</t>
        </is>
      </c>
      <c r="B2825" t="n">
        <v>0</v>
      </c>
    </row>
    <row r="2826">
      <c r="A2826" t="inlineStr">
        <is>
          <t>Actions Per Second</t>
        </is>
      </c>
      <c r="B2826">
        <f>1+MIN(150,150*(1-(1-(Inputs!$B$11+((C2814=TRUE)*(F2814-Calc!F20))+((C2815=TRUE)*(F2815-Calc!F21)))/150)*(1-B2825/150)))/100</f>
        <v/>
      </c>
    </row>
    <row r="2827">
      <c r="A2827" t="inlineStr">
        <is>
          <t>Skill + Buff Cast Rate</t>
        </is>
      </c>
      <c r="B2827">
        <f>IF(AND(Inputs!$B$38&lt;&gt;"pvp",Inputs!$B$43&gt;0),SUMPRODUCT((Skills!E2:E27=TRUE)*(C2796:C2821=TRUE)*R2796:R2821*Skills!F2:F27)/Inputs!$B$43,SUMPRODUCT((Skills!E2:E27=TRUE)*(C2796:C2821=TRUE)*Q2796:Q2821*Skills!F2:F27))</f>
        <v/>
      </c>
    </row>
    <row r="2828">
      <c r="A2828" t="inlineStr">
        <is>
          <t>Eight-Legs Easton Casts Per Second</t>
        </is>
      </c>
      <c r="B2828">
        <f>MAX(0,B2826-B2827)</f>
        <v/>
      </c>
    </row>
    <row r="2829">
      <c r="A2829" t="inlineStr">
        <is>
          <t>Global Critical Damage Bonus % (unused)</t>
        </is>
      </c>
      <c r="B2829" t="n">
        <v>0</v>
      </c>
    </row>
    <row r="2830">
      <c r="A2830" t="inlineStr">
        <is>
          <t>Global Final Damage Bonus % (Jolly Roger only)</t>
        </is>
      </c>
      <c r="B2830">
        <f>((C2812=TRUE)*F2812)</f>
        <v/>
      </c>
    </row>
    <row r="2831">
      <c r="A2831" t="inlineStr">
        <is>
          <t>Buff-Casting Startup Delay (s, fixed-duration only)</t>
        </is>
      </c>
      <c r="B2831">
        <f>IF(AND(Inputs!$B$38&lt;&gt;"pvp",Inputs!$B$43&gt;0),SUMPRODUCT((Skills!T2:T27&gt;0)*(Skills!E2:E27=TRUE)*(C2796:C2821=TRUE))/B2826,0)</f>
        <v/>
      </c>
    </row>
    <row r="2832">
      <c r="A2832" t="inlineStr">
        <is>
          <t>Boss-Only Total DPS (this block's swept value)</t>
        </is>
      </c>
      <c r="B2832">
        <f>SUM(T2796:T2821)</f>
        <v/>
      </c>
    </row>
    <row r="2833">
      <c r="A2833" t="inlineStr">
        <is>
          <t>Normal-Only Total DPS (this block's swept value)</t>
        </is>
      </c>
      <c r="B2833">
        <f>SUM(V2796:V2821)</f>
        <v/>
      </c>
    </row>
    <row r="2834">
      <c r="A2834" s="6" t="inlineStr">
        <is>
          <t>TOTAL DPS</t>
        </is>
      </c>
      <c r="B2834" s="6">
        <f>SUM(O2796:O2821)</f>
        <v/>
      </c>
    </row>
    <row r="2837">
      <c r="A2837" s="6" t="inlineStr">
        <is>
          <t>Stat: CDR = 1.5s</t>
        </is>
      </c>
    </row>
    <row r="2838">
      <c r="A2838" s="5" t="inlineStr">
        <is>
          <t>Key</t>
        </is>
      </c>
      <c r="B2838" s="5" t="inlineStr">
        <is>
          <t>Name</t>
        </is>
      </c>
      <c r="C2838" s="5" t="inlineStr">
        <is>
          <t>Unlocked</t>
        </is>
      </c>
      <c r="D2838" s="5" t="inlineStr">
        <is>
          <t>InputLevel</t>
        </is>
      </c>
      <c r="E2838" s="5" t="inlineStr">
        <is>
          <t>Factor</t>
        </is>
      </c>
      <c r="F2838" s="5" t="inlineStr">
        <is>
          <t>CoefficientPercent</t>
        </is>
      </c>
      <c r="G2838" s="5" t="inlineStr">
        <is>
          <t>EffectiveHits</t>
        </is>
      </c>
      <c r="H2838" s="5" t="inlineStr">
        <is>
          <t>ProcProbability</t>
        </is>
      </c>
      <c r="I2838" s="5" t="inlineStr">
        <is>
          <t>MapleHeroMultiplier</t>
        </is>
      </c>
      <c r="J2838" s="5" t="inlineStr">
        <is>
          <t>BaseDamage</t>
        </is>
      </c>
      <c r="K2838" s="5" t="inlineStr">
        <is>
          <t>BaseHitDamage</t>
        </is>
      </c>
      <c r="L2838" s="5" t="inlineStr">
        <is>
          <t>NonCritAvg</t>
        </is>
      </c>
      <c r="M2838" s="5" t="inlineStr">
        <is>
          <t>CritAvg</t>
        </is>
      </c>
      <c r="N2838" s="5" t="inlineStr">
        <is>
          <t>ExpectedDamage(perHit)</t>
        </is>
      </c>
      <c r="O2838" s="5" t="inlineStr">
        <is>
          <t>DPS</t>
        </is>
      </c>
      <c r="P2838" s="5" t="inlineStr">
        <is>
          <t>% of Total</t>
        </is>
      </c>
      <c r="Q2838" s="5" t="inlineStr">
        <is>
          <t>InvCooldown</t>
        </is>
      </c>
      <c r="R2838" s="5" t="inlineStr">
        <is>
          <t>CastsInFight</t>
        </is>
      </c>
      <c r="S2838" s="5" t="inlineStr">
        <is>
          <t>HitRate(perSec)</t>
        </is>
      </c>
      <c r="U2838" t="inlineStr">
        <is>
          <t>helpers</t>
        </is>
      </c>
    </row>
    <row r="2839">
      <c r="A2839">
        <f>Skills!A2</f>
        <v/>
      </c>
      <c r="B2839">
        <f>Skills!B2</f>
        <v/>
      </c>
      <c r="C2839">
        <f>Inputs!$B$3&gt;=100</f>
        <v/>
      </c>
      <c r="D2839" t="inlineStr"/>
      <c r="E2839" t="inlineStr"/>
      <c r="F2839">
        <f>U2841+Skills!O2</f>
        <v/>
      </c>
      <c r="G2839">
        <f>Skills!G2*IF(Skills!H2&gt;0,Skills!I2/Skills!H2,1)</f>
        <v/>
      </c>
      <c r="H2839">
        <f>1-(1-Skills!J2/100)^Skills!K2</f>
        <v/>
      </c>
      <c r="I2839" t="inlineStr">
        <is>
          <t>1</t>
        </is>
      </c>
      <c r="J2839">
        <f>((Inputs!$B$6*(1+Inputs!$B$7/100))+(((Inputs!$B$12*(1+Inputs!$B$13/100))-(Inputs!$B$12*(1+Inputs!$B$13/100)))+0.25*(Inputs!$B$14-Inputs!$B$14))*(1+Inputs!$B$7/100))*(F2839/100)</f>
        <v/>
      </c>
      <c r="K2839">
        <f>J2839*(1+((Inputs!$B$12*(1+Inputs!$B$13/100))*0.01+Inputs!$B$14*0.0025)/100)*(1+Inputs!$B$15/100)*(1+Inputs!$B$16/100)*(5000/(6000+Inputs!$B$42*(1-(100*(1-(1-(Inputs!$B$19+0)/100)*(1-CHOOSE(ArtifactsInput!$N$40+1,5,6,7,8,9,10)/100)^(ArtifactsInput!$M$40-ArtifactsInput!$M$40)))/100)))*(1+(Inputs!$B$24+((C2863=TRUE)*(F2863-Calc!F26))+B2873)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2860=TRUE)*(F2860-Calc!F23))+((C2864=TRUE)*(F2864-Calc!F27))+(((IF(AND(ArtifactsInput!$M$42,((Inputs!$B$9+((C2856=TRUE)*(F2856-Calc!F19))+B2867+(ArtifactsInput!$M$24-ArtifactsInput!$M$24)*CHOOSE(ArtifactsInput!$N$24+1,10,12,14,16,18,20)+IF(ArtifactsInput!$M$10,CHOOSE(ArtifactsInput!$N$10+1,15,18,21,24,27,30)*(IF(Inputs!$B$38="pvp",MIN(15,15)/15,IF(AND(Inputs!$B$38&lt;&gt;"pvp",Inputs!$B$43&gt;0),MIN(15,Inputs!$B$43)/(Inputs!$B$43),0))),0)))&gt;=100),MIN(100,((Inputs!$B$9+((C2856=TRUE)*(F2856-Calc!F19))+B2867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2856=TRUE)*(F2856-Calc!F19))+B2867+(ArtifactsInput!$M$24-ArtifactsInput!$M$24)*CHOOSE(ArtifactsInput!$N$24+1,10,12,14,16,18,20)+IF(ArtifactsInput!$M$10,CHOOSE(ArtifactsInput!$N$10+1,15,18,21,24,27,30)*(IF(Inputs!$B$38="pvp",MIN(15,15)/15,IF(AND(Inputs!$B$38&lt;&gt;"pvp",Inputs!$B$43&gt;0),MIN(15,Inputs!$B$43)/(Inputs!$B$43),0))),0)))&gt;=100),CHOOSE(ArtifactsInput!$N$42+1,40,48,56,64,72,80),0))))/100)*((1+(((C2854=TRUE)*F2854)+((C2861=TRUE)*(F2861-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2839)</f>
        <v/>
      </c>
      <c r="L2839">
        <f>K2839*(MIN(Inputs!$B$22+((C2859=TRUE)*(F2859-Calc!F22)),(Inputs!$B$23+0+(IF(ArtifactsInput!$M$15,CHOOSE(ArtifactsInput!$N$15+1,25,30,35,40,45,50)/100*(Inputs!$B$11-Inputs!$B$11),0))))/100+(Inputs!$B$23+0+(IF(ArtifactsInput!$M$15,CHOOSE(ArtifactsInput!$N$15+1,25,30,35,40,45,50)/100*(Inputs!$B$11-Inputs!$B$11),0)))/100)/2</f>
        <v/>
      </c>
      <c r="M2839">
        <f>L2839*(1+(Inputs!$B$10+((C2862=TRUE)*(F2862-Calc!F25))+B2872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9">
        <f>L2839*(1-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2839*(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9">
        <f>(1-Summary!$B$11)*T2839+Summary!$B$11*V2839</f>
        <v/>
      </c>
      <c r="P2839">
        <f>IF(B2877=0,0,O2839/B2877)</f>
        <v/>
      </c>
      <c r="Q2839" t="n">
        <v>0</v>
      </c>
      <c r="R2839" t="n">
        <v>0</v>
      </c>
      <c r="S2839">
        <f>IFERROR(O2839/N2839,0)</f>
        <v/>
      </c>
      <c r="T2839">
        <f>IF(C2839,(Skills!G2*N2839*B2871)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2839*(1-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2839*(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2839*(1-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2839*(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39">
        <f>MAX(0,(Inputs!$B$3-100)*3)+Inputs!$B$28+Inputs!$B$29</f>
        <v/>
      </c>
      <c r="V2839">
        <f>IF(C2839,(Skills!G2*N2839*B2871)*IF(Inputs!$B$38="pvp",1,(1+(Inputs!$B$21+Skills!Q2+(IF(ArtifactsInput!$M$33,CHOOSE(ArtifactsInput!$N$33+1,30,36,42,48,54,60),0))+(IF(AND(ArtifactsInput!$M$35,Inputs!$B$4&lt;&gt;"Chapter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0">
      <c r="A2840">
        <f>Skills!A3</f>
        <v/>
      </c>
      <c r="B2840">
        <f>Skills!B3</f>
        <v/>
      </c>
      <c r="C2840">
        <f>Inputs!$B$3&gt;=35</f>
        <v/>
      </c>
      <c r="D2840">
        <f>IF(Skills!C3=1,60+Inputs!$B$25+Inputs!$B$29,IF(Skills!C3=2,90+Inputs!$B$26+Inputs!$B$29,IF(Skills!C3=3,120+Inputs!$B$27+Inputs!$B$29,MAX(0,(Inputs!$B$3-100)*3)+Inputs!$B$28+Inputs!$B$29)))</f>
        <v/>
      </c>
      <c r="E2840">
        <f>INDEX(FactorTable!$B$2:$Y$301, MATCH(ROUND(MIN(300,MAX(1,D2840)),0), FactorTable!$A$2:$A$301,0), Skills!M3+1)</f>
        <v/>
      </c>
      <c r="F2840">
        <f>IF(Skills!N3=TRUE,(Skills!L3/10)*(E2840/1000),Skills!L3/10)+Skills!O3</f>
        <v/>
      </c>
      <c r="G2840">
        <f>Skills!G3*IF(Skills!H3&gt;0,Skills!I3/Skills!H3,1)</f>
        <v/>
      </c>
      <c r="H2840">
        <f>1-(1-Skills!J3/100)^Skills!K3</f>
        <v/>
      </c>
      <c r="I2840" t="inlineStr">
        <is>
          <t>1</t>
        </is>
      </c>
      <c r="J2840">
        <f>((Inputs!$B$6*(1+Inputs!$B$7/100))+(((Inputs!$B$12*(1+Inputs!$B$13/100))-(Inputs!$B$12*(1+Inputs!$B$13/100)))+0.25*(Inputs!$B$14-Inputs!$B$14))*(1+Inputs!$B$7/100))*(F2840/100)</f>
        <v/>
      </c>
      <c r="K2840">
        <f>J2840*(1+((Inputs!$B$12*(1+Inputs!$B$13/100))*0.01+Inputs!$B$14*0.0025)/100)*(1+Inputs!$B$15/100)*(1+Inputs!$B$16/100)*(5000/(6000+Inputs!$B$42*(1-(100*(1-(1-(Inputs!$B$19+0)/100)*(1-CHOOSE(ArtifactsInput!$N$40+1,5,6,7,8,9,10)/100)^(ArtifactsInput!$M$40-ArtifactsInput!$M$40)))/100)))*(1+(Inputs!$B$24+((C2863=TRUE)*(F2863-Calc!F26))+B2873)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2852=TRUE,F2852,0)/100)*(1+(IF(Skills!A3="EIGHT_LEGS_EASTON",Inputs!$B$17+((C2860=TRUE)*(F2860-Calc!F23))+((C2864=TRUE)*(F2864-Calc!F27))+(((IF(AND(ArtifactsInput!$M$42,((Inputs!$B$9+((C2856=TRUE)*(F2856-Calc!F19))+B2867+(ArtifactsInput!$M$24-ArtifactsInput!$M$24)*CHOOSE(ArtifactsInput!$N$24+1,10,12,14,16,18,20)+IF(ArtifactsInput!$M$10,CHOOSE(ArtifactsInput!$N$10+1,15,18,21,24,27,30)*(IF(Inputs!$B$38="pvp",MIN(15,15)/15,IF(AND(Inputs!$B$38&lt;&gt;"pvp",Inputs!$B$43&gt;0),MIN(15,Inputs!$B$43)/(Inputs!$B$43),0))),0)))&gt;=100),MIN(100,((Inputs!$B$9+((C2856=TRUE)*(F2856-Calc!F19))+B2867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2856=TRUE)*(F2856-Calc!F19))+B2867+(ArtifactsInput!$M$24-ArtifactsInput!$M$24)*CHOOSE(ArtifactsInput!$N$24+1,10,12,14,16,18,20)+IF(ArtifactsInput!$M$10,CHOOSE(ArtifactsInput!$N$10+1,15,18,21,24,27,30)*(IF(Inputs!$B$38="pvp",MIN(15,15)/15,IF(AND(Inputs!$B$38&lt;&gt;"pvp",Inputs!$B$43&gt;0),MIN(15,Inputs!$B$43)/(Inputs!$B$43),0))),0)))&gt;=100),CHOOSE(ArtifactsInput!$N$42+1,40,48,56,64,72,80),0))))/100)*((1+(((C2854=TRUE)*F2854)+((C2861=TRUE)*(F2861-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2840)</f>
        <v/>
      </c>
      <c r="L2840">
        <f>K2840*(MIN(Inputs!$B$22+((C2859=TRUE)*(F2859-Calc!F22)),(Inputs!$B$23+0+(IF(ArtifactsInput!$M$15,CHOOSE(ArtifactsInput!$N$15+1,25,30,35,40,45,50)/100*(Inputs!$B$11-Inputs!$B$11),0))))/100+(Inputs!$B$23+0+(IF(ArtifactsInput!$M$15,CHOOSE(ArtifactsInput!$N$15+1,25,30,35,40,45,50)/100*(Inputs!$B$11-Inputs!$B$11),0)))/100)/2</f>
        <v/>
      </c>
      <c r="M2840">
        <f>L2840*(1+(Inputs!$B$10+((C2862=TRUE)*(F2862-Calc!F25))+B2872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0">
        <f>L2840*(1-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2840*(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0">
        <f>(1-Summary!$B$11)*T2840+Summary!$B$11*V2840</f>
        <v/>
      </c>
      <c r="P2840">
        <f>IF(B2877=0,0,O2840/B2877)</f>
        <v/>
      </c>
      <c r="Q2840">
        <f>IFERROR(1/(IF(Inputs!$B$38="pvp",15,MAX(0.1,Skills!D3-IF(Skills!E3=TRUE,1.5,0)))*(1-IF(AND(ArtifactsInput!$M$27,Inputs!$B$4="Chapter Hunt"),CHOOSE(ArtifactsInput!$N$27+1,20,24,28,32,36,40),0)/100)),0)</f>
        <v/>
      </c>
      <c r="R2840">
        <f>IF(AND(Inputs!$B$38&lt;&gt;"pvp",Inputs!$B$43&gt;0),IF(MAX(0,Inputs!$B$43-B2874)&lt;=0,0,(INT(MAX(0,Inputs!$B$43-B2874)/(IF(Inputs!$B$38="pvp",15,MAX(0.1,Skills!D3-IF(Skills!E3=TRUE,1.5,0)))*(1-IF(AND(ArtifactsInput!$M$27,Inputs!$B$4="Chapter Hunt"),CHOOSE(ArtifactsInput!$N$27+1,20,24,28,32,36,40),0)/100)))+1)),0)</f>
        <v/>
      </c>
      <c r="S2840">
        <f>IFERROR(O2840/N2840,0)</f>
        <v/>
      </c>
      <c r="T2840">
        <f>IF(C2840,(H2840*N2840*IF(AND(Inputs!$B$38&lt;&gt;"pvp",Inputs!$B$43&gt;0),((Skills!G3*((R2840-1)*IF(Skills!H3&gt;0,Skills!I3/Skills!H3,1)+IF(Skills!H3&gt;0,MIN(Skills!I3,MAX(0,MAX(0,Inputs!$B$43-B2874)-((R2840-1)*(IF(Inputs!$B$38="pvp",15,MAX(0.1,Skills!D3-IF(Skills!E3=TRUE,1.5,0)))*(1-IF(AND(ArtifactsInput!$M$27,Inputs!$B$4="Chapter Hunt"),CHOOSE(ArtifactsInput!$N$27+1,20,24,28,32,36,40),0)/100)))))/Skills!H3,1)))/Inputs!$B$43),G2840*Q2840)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2840*(1-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2840*(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2840*(1-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2840*(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0">
        <f>INDEX(FactorTable!$B$2:$Y$301, MATCH(ROUND(MIN(300,MAX(1,U2839)),0), FactorTable!$A$2:$A$301,0), 22)</f>
        <v/>
      </c>
      <c r="V2840">
        <f>IF(C2840,(H2840*N2840*IF(AND(Inputs!$B$38&lt;&gt;"pvp",Inputs!$B$43&gt;0),((Skills!G3*((R2840-1)*IF(Skills!H3&gt;0,Skills!I3/Skills!H3,1)+IF(Skills!H3&gt;0,MIN(Skills!I3,MAX(0,MAX(0,Inputs!$B$43-B2874)-((R2840-1)*(IF(Inputs!$B$38="pvp",15,MAX(0.1,Skills!D3-IF(Skills!E3=TRUE,1.5,0)))*(1-IF(AND(ArtifactsInput!$M$27,Inputs!$B$4="Chapter Hunt"),CHOOSE(ArtifactsInput!$N$27+1,20,24,28,32,36,40),0)/100)))))/Skills!H3,1)))/Inputs!$B$43),G2840*Q2840))*IF(Inputs!$B$38="pvp",1,(1+(Inputs!$B$21+Skills!Q3+(IF(ArtifactsInput!$M$33,CHOOSE(ArtifactsInput!$N$33+1,30,36,42,48,54,60)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1">
      <c r="A2841">
        <f>Skills!A4</f>
        <v/>
      </c>
      <c r="B2841">
        <f>Skills!B4</f>
        <v/>
      </c>
      <c r="C2841">
        <f>Inputs!$B$3&gt;=40</f>
        <v/>
      </c>
      <c r="D2841">
        <f>IF(Skills!C4=1,60+Inputs!$B$25+Inputs!$B$29,IF(Skills!C4=2,90+Inputs!$B$26+Inputs!$B$29,IF(Skills!C4=3,120+Inputs!$B$27+Inputs!$B$29,MAX(0,(Inputs!$B$3-100)*3)+Inputs!$B$28+Inputs!$B$29)))</f>
        <v/>
      </c>
      <c r="E2841">
        <f>INDEX(FactorTable!$B$2:$Y$301, MATCH(ROUND(MIN(300,MAX(1,D2841)),0), FactorTable!$A$2:$A$301,0), Skills!M4+1)</f>
        <v/>
      </c>
      <c r="F2841">
        <f>IF(Skills!N4=TRUE,(Skills!L4/10)*(E2841/1000),Skills!L4/10)+Skills!O4</f>
        <v/>
      </c>
      <c r="G2841">
        <f>Skills!G4*IF(Skills!H4&gt;0,Skills!I4/Skills!H4,1)</f>
        <v/>
      </c>
      <c r="H2841">
        <f>1-(1-Skills!J4/100)^Skills!K4</f>
        <v/>
      </c>
      <c r="I2841" t="inlineStr">
        <is>
          <t>1</t>
        </is>
      </c>
      <c r="J2841">
        <f>((Inputs!$B$6*(1+Inputs!$B$7/100))+(((Inputs!$B$12*(1+Inputs!$B$13/100))-(Inputs!$B$12*(1+Inputs!$B$13/100)))+0.25*(Inputs!$B$14-Inputs!$B$14))*(1+Inputs!$B$7/100))*(F2841/100)</f>
        <v/>
      </c>
      <c r="K2841">
        <f>J2841*(1+((Inputs!$B$12*(1+Inputs!$B$13/100))*0.01+Inputs!$B$14*0.0025)/100)*(1+Inputs!$B$15/100)*(1+Inputs!$B$16/100)*(5000/(6000+Inputs!$B$42*(1-(100*(1-(1-(Inputs!$B$19+0)/100)*(1-CHOOSE(ArtifactsInput!$N$40+1,5,6,7,8,9,10)/100)^(ArtifactsInput!$M$40-ArtifactsInput!$M$40)))/100)))*(1+(Inputs!$B$24+((C2863=TRUE)*(F2863-Calc!F26))+B2873)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2853=TRUE,F2853,0)/100)*(1+(IF(Skills!A4="EIGHT_LEGS_EASTON",Inputs!$B$17+((C2860=TRUE)*(F2860-Calc!F23))+((C2864=TRUE)*(F2864-Calc!F27))+(((IF(AND(ArtifactsInput!$M$42,((Inputs!$B$9+((C2856=TRUE)*(F2856-Calc!F19))+B2867+(ArtifactsInput!$M$24-ArtifactsInput!$M$24)*CHOOSE(ArtifactsInput!$N$24+1,10,12,14,16,18,20)+IF(ArtifactsInput!$M$10,CHOOSE(ArtifactsInput!$N$10+1,15,18,21,24,27,30)*(IF(Inputs!$B$38="pvp",MIN(15,15)/15,IF(AND(Inputs!$B$38&lt;&gt;"pvp",Inputs!$B$43&gt;0),MIN(15,Inputs!$B$43)/(Inputs!$B$43),0))),0)))&gt;=100),MIN(100,((Inputs!$B$9+((C2856=TRUE)*(F2856-Calc!F19))+B2867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2856=TRUE)*(F2856-Calc!F19))+B2867+(ArtifactsInput!$M$24-ArtifactsInput!$M$24)*CHOOSE(ArtifactsInput!$N$24+1,10,12,14,16,18,20)+IF(ArtifactsInput!$M$10,CHOOSE(ArtifactsInput!$N$10+1,15,18,21,24,27,30)*(IF(Inputs!$B$38="pvp",MIN(15,15)/15,IF(AND(Inputs!$B$38&lt;&gt;"pvp",Inputs!$B$43&gt;0),MIN(15,Inputs!$B$43)/(Inputs!$B$43),0))),0)))&gt;=100),CHOOSE(ArtifactsInput!$N$42+1,40,48,56,64,72,80),0))))/100)*((1+(((C2854=TRUE)*F2854)+((C2861=TRUE)*(F2861-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2841)</f>
        <v/>
      </c>
      <c r="L2841">
        <f>K2841*(MIN(Inputs!$B$22+((C2859=TRUE)*(F2859-Calc!F22)),(Inputs!$B$23+0+(IF(ArtifactsInput!$M$15,CHOOSE(ArtifactsInput!$N$15+1,25,30,35,40,45,50)/100*(Inputs!$B$11-Inputs!$B$11),0))))/100+(Inputs!$B$23+0+(IF(ArtifactsInput!$M$15,CHOOSE(ArtifactsInput!$N$15+1,25,30,35,40,45,50)/100*(Inputs!$B$11-Inputs!$B$11),0)))/100)/2</f>
        <v/>
      </c>
      <c r="M2841">
        <f>L2841*(1+(Inputs!$B$10+((C2862=TRUE)*(F2862-Calc!F25))+B2872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1">
        <f>L2841*(1-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1">
        <f>(1-Summary!$B$11)*T2841+Summary!$B$11*V2841</f>
        <v/>
      </c>
      <c r="P2841">
        <f>IF(B2877=0,0,O2841/B2877)</f>
        <v/>
      </c>
      <c r="Q2841">
        <f>IFERROR(1/(IF(Inputs!$B$38="pvp",15,MAX(0.1,Skills!D4-IF(Skills!E4=TRUE,1.5,0)))*(1-IF(AND(ArtifactsInput!$M$27,Inputs!$B$4="Chapter Hunt"),CHOOSE(ArtifactsInput!$N$27+1,20,24,28,32,36,40),0)/100)),0)</f>
        <v/>
      </c>
      <c r="R2841">
        <f>IF(AND(Inputs!$B$38&lt;&gt;"pvp",Inputs!$B$43&gt;0),IF(MAX(0,Inputs!$B$43-B2874)&lt;=0,0,(INT(MAX(0,Inputs!$B$43-B2874)/(IF(Inputs!$B$38="pvp",15,MAX(0.1,Skills!D4-IF(Skills!E4=TRUE,1.5,0)))*(1-IF(AND(ArtifactsInput!$M$27,Inputs!$B$4="Chapter Hunt"),CHOOSE(ArtifactsInput!$N$27+1,20,24,28,32,36,40),0)/100)))+1)),0)</f>
        <v/>
      </c>
      <c r="S2841">
        <f>IFERROR(O2841/N2841,0)</f>
        <v/>
      </c>
      <c r="T2841">
        <f>IF(C2841,(H2841*N2841*IF(AND(Inputs!$B$38&lt;&gt;"pvp",Inputs!$B$43&gt;0),((Skills!G4*((R2841-1)*IF(Skills!H4&gt;0,Skills!I4/Skills!H4,1)+IF(Skills!H4&gt;0,MIN(Skills!I4,MAX(0,MAX(0,Inputs!$B$43-B2874)-((R2841-1)*(IF(Inputs!$B$38="pvp",15,MAX(0.1,Skills!D4-IF(Skills!E4=TRUE,1.5,0)))*(1-IF(AND(ArtifactsInput!$M$27,Inputs!$B$4="Chapter Hunt"),CHOOSE(ArtifactsInput!$N$27+1,20,24,28,32,36,40),0)/100)))))/Skills!H4,1)))/Inputs!$B$43),G2841*Q2841)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2841*(1-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2841*(1-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1">
        <f>290*U2840/1000</f>
        <v/>
      </c>
      <c r="V2841">
        <f>IF(C2841,(H2841*N2841*IF(AND(Inputs!$B$38&lt;&gt;"pvp",Inputs!$B$43&gt;0),((Skills!G4*((R2841-1)*IF(Skills!H4&gt;0,Skills!I4/Skills!H4,1)+IF(Skills!H4&gt;0,MIN(Skills!I4,MAX(0,MAX(0,Inputs!$B$43-B2874)-((R2841-1)*(IF(Inputs!$B$38="pvp",15,MAX(0.1,Skills!D4-IF(Skills!E4=TRUE,1.5,0)))*(1-IF(AND(ArtifactsInput!$M$27,Inputs!$B$4="Chapter Hunt"),CHOOSE(ArtifactsInput!$N$27+1,20,24,28,32,36,40),0)/100)))))/Skills!H4,1)))/Inputs!$B$43),G2841*Q2841))*IF(Inputs!$B$38="pvp",1,(1+(Inputs!$B$21+Skills!Q4+(IF(ArtifactsInput!$M$33,CHOOSE(ArtifactsInput!$N$33+1,30,36,42,48,54,60)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2">
      <c r="A2842">
        <f>Skills!A5</f>
        <v/>
      </c>
      <c r="B2842">
        <f>Skills!B5</f>
        <v/>
      </c>
      <c r="C2842">
        <f>Inputs!$B$3&gt;=45</f>
        <v/>
      </c>
      <c r="D2842">
        <f>IF(Skills!C5=1,60+Inputs!$B$25+Inputs!$B$29,IF(Skills!C5=2,90+Inputs!$B$26+Inputs!$B$29,IF(Skills!C5=3,120+Inputs!$B$27+Inputs!$B$29,MAX(0,(Inputs!$B$3-100)*3)+Inputs!$B$28+Inputs!$B$29)))</f>
        <v/>
      </c>
      <c r="E2842">
        <f>INDEX(FactorTable!$B$2:$Y$301, MATCH(ROUND(MIN(300,MAX(1,D2842)),0), FactorTable!$A$2:$A$301,0), Skills!M5+1)</f>
        <v/>
      </c>
      <c r="F2842">
        <f>IF(Skills!N5=TRUE,(Skills!L5/10)*(E2842/1000),Skills!L5/10)+Skills!O5</f>
        <v/>
      </c>
      <c r="G2842">
        <f>Skills!G5*IF(Skills!H5&gt;0,Skills!I5/Skills!H5,1)</f>
        <v/>
      </c>
      <c r="H2842">
        <f>1-(1-Skills!J5/100)^Skills!K5</f>
        <v/>
      </c>
      <c r="I2842" t="inlineStr">
        <is>
          <t>1</t>
        </is>
      </c>
      <c r="J2842">
        <f>((Inputs!$B$6*(1+Inputs!$B$7/100))+(((Inputs!$B$12*(1+Inputs!$B$13/100))-(Inputs!$B$12*(1+Inputs!$B$13/100)))+0.25*(Inputs!$B$14-Inputs!$B$14))*(1+Inputs!$B$7/100))*(F2842/100)</f>
        <v/>
      </c>
      <c r="K2842">
        <f>J2842*(1+((Inputs!$B$12*(1+Inputs!$B$13/100))*0.01+Inputs!$B$14*0.0025)/100)*(1+Inputs!$B$15/100)*(1+Inputs!$B$16/100)*(5000/(6000+Inputs!$B$42*(1-(100*(1-(1-(Inputs!$B$19+0)/100)*(1-CHOOSE(ArtifactsInput!$N$40+1,5,6,7,8,9,10)/100)^(ArtifactsInput!$M$40-ArtifactsInput!$M$40)))/100)))*(1+(Inputs!$B$24+((C2863=TRUE)*(F2863-Calc!F26))+B2873)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2853=TRUE,F2853,0)/100)*(1+(IF(Skills!A5="EIGHT_LEGS_EASTON",Inputs!$B$17+((C2860=TRUE)*(F2860-Calc!F23))+((C2864=TRUE)*(F2864-Calc!F27))+(((IF(AND(ArtifactsInput!$M$42,((Inputs!$B$9+((C2856=TRUE)*(F2856-Calc!F19))+B2867+(ArtifactsInput!$M$24-ArtifactsInput!$M$24)*CHOOSE(ArtifactsInput!$N$24+1,10,12,14,16,18,20)+IF(ArtifactsInput!$M$10,CHOOSE(ArtifactsInput!$N$10+1,15,18,21,24,27,30)*(IF(Inputs!$B$38="pvp",MIN(15,15)/15,IF(AND(Inputs!$B$38&lt;&gt;"pvp",Inputs!$B$43&gt;0),MIN(15,Inputs!$B$43)/(Inputs!$B$43),0))),0)))&gt;=100),MIN(100,((Inputs!$B$9+((C2856=TRUE)*(F2856-Calc!F19))+B2867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2856=TRUE)*(F2856-Calc!F19))+B2867+(ArtifactsInput!$M$24-ArtifactsInput!$M$24)*CHOOSE(ArtifactsInput!$N$24+1,10,12,14,16,18,20)+IF(ArtifactsInput!$M$10,CHOOSE(ArtifactsInput!$N$10+1,15,18,21,24,27,30)*(IF(Inputs!$B$38="pvp",MIN(15,15)/15,IF(AND(Inputs!$B$38&lt;&gt;"pvp",Inputs!$B$43&gt;0),MIN(15,Inputs!$B$43)/(Inputs!$B$43),0))),0)))&gt;=100),CHOOSE(ArtifactsInput!$N$42+1,40,48,56,64,72,80),0))))/100)*((1+(((C2854=TRUE)*F2854)+((C2861=TRUE)*(F2861-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2842)</f>
        <v/>
      </c>
      <c r="L2842">
        <f>K2842*(MIN(Inputs!$B$22+((C2859=TRUE)*(F2859-Calc!F22)),(Inputs!$B$23+0+(IF(ArtifactsInput!$M$15,CHOOSE(ArtifactsInput!$N$15+1,25,30,35,40,45,50)/100*(Inputs!$B$11-Inputs!$B$11),0))))/100+(Inputs!$B$23+0+(IF(ArtifactsInput!$M$15,CHOOSE(ArtifactsInput!$N$15+1,25,30,35,40,45,50)/100*(Inputs!$B$11-Inputs!$B$11),0)))/100)/2</f>
        <v/>
      </c>
      <c r="M2842">
        <f>L2842*(1+(Inputs!$B$10+((C2862=TRUE)*(F2862-Calc!F25))+B2872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2">
        <f>L2842*(1-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2842*(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2">
        <f>(1-Summary!$B$11)*T2842+Summary!$B$11*V2842</f>
        <v/>
      </c>
      <c r="P2842">
        <f>IF(B2877=0,0,O2842/B2877)</f>
        <v/>
      </c>
      <c r="Q2842">
        <f>IFERROR(1/(IF(Inputs!$B$38="pvp",15,MAX(0.1,Skills!D5-IF(Skills!E5=TRUE,1.5,0)))*(1-IF(AND(ArtifactsInput!$M$27,Inputs!$B$4="Chapter Hunt"),CHOOSE(ArtifactsInput!$N$27+1,20,24,28,32,36,40),0)/100)),0)</f>
        <v/>
      </c>
      <c r="R2842">
        <f>IF(AND(Inputs!$B$38&lt;&gt;"pvp",Inputs!$B$43&gt;0),IF(MAX(0,Inputs!$B$43-B2874)&lt;=0,0,(INT(MAX(0,Inputs!$B$43-B2874)/(IF(Inputs!$B$38="pvp",15,MAX(0.1,Skills!D5-IF(Skills!E5=TRUE,1.5,0)))*(1-IF(AND(ArtifactsInput!$M$27,Inputs!$B$4="Chapter Hunt"),CHOOSE(ArtifactsInput!$N$27+1,20,24,28,32,36,40),0)/100)))+1)),0)</f>
        <v/>
      </c>
      <c r="S2842">
        <f>IFERROR(O2842/N2842,0)</f>
        <v/>
      </c>
      <c r="T2842">
        <f>IF(C2842,(H2842*N2842*IF(AND(Inputs!$B$38&lt;&gt;"pvp",Inputs!$B$43&gt;0),((Skills!G5*((R2842-1)*IF(Skills!H5&gt;0,Skills!I5/Skills!H5,1)+IF(Skills!H5&gt;0,MIN(Skills!I5,MAX(0,MAX(0,Inputs!$B$43-B2874)-((R2842-1)*(IF(Inputs!$B$38="pvp",15,MAX(0.1,Skills!D5-IF(Skills!E5=TRUE,1.5,0)))*(1-IF(AND(ArtifactsInput!$M$27,Inputs!$B$4="Chapter Hunt"),CHOOSE(ArtifactsInput!$N$27+1,20,24,28,32,36,40),0)/100)))))/Skills!H5,1)))/Inputs!$B$43),G2842*Q2842)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2842*(1-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2842*(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2842*(1-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2842*(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42">
        <f>IF(C2842,(H2842*N2842*IF(AND(Inputs!$B$38&lt;&gt;"pvp",Inputs!$B$43&gt;0),((Skills!G5*((R2842-1)*IF(Skills!H5&gt;0,Skills!I5/Skills!H5,1)+IF(Skills!H5&gt;0,MIN(Skills!I5,MAX(0,MAX(0,Inputs!$B$43-B2874)-((R2842-1)*(IF(Inputs!$B$38="pvp",15,MAX(0.1,Skills!D5-IF(Skills!E5=TRUE,1.5,0)))*(1-IF(AND(ArtifactsInput!$M$27,Inputs!$B$4="Chapter Hunt"),CHOOSE(ArtifactsInput!$N$27+1,20,24,28,32,36,40),0)/100)))))/Skills!H5,1)))/Inputs!$B$43),G2842*Q2842))*IF(Inputs!$B$38="pvp",1,(1+(Inputs!$B$21+Skills!Q5+(IF(ArtifactsInput!$M$33,CHOOSE(ArtifactsInput!$N$33+1,30,36,42,48,54,60)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3">
      <c r="A2843">
        <f>Skills!A6</f>
        <v/>
      </c>
      <c r="B2843">
        <f>Skills!B6</f>
        <v/>
      </c>
      <c r="C2843">
        <f>Inputs!$B$3&gt;=63</f>
        <v/>
      </c>
      <c r="D2843">
        <f>IF(Skills!C6=1,60+Inputs!$B$25+Inputs!$B$29,IF(Skills!C6=2,90+Inputs!$B$26+Inputs!$B$29,IF(Skills!C6=3,120+Inputs!$B$27+Inputs!$B$29,MAX(0,(Inputs!$B$3-100)*3)+Inputs!$B$28+Inputs!$B$29)))</f>
        <v/>
      </c>
      <c r="E2843">
        <f>INDEX(FactorTable!$B$2:$Y$301, MATCH(ROUND(MIN(300,MAX(1,D2843)),0), FactorTable!$A$2:$A$301,0), Skills!M6+1)</f>
        <v/>
      </c>
      <c r="F2843">
        <f>IF(Skills!N6=TRUE,(Skills!L6/10)*(E2843/1000),Skills!L6/10)+Skills!O6</f>
        <v/>
      </c>
      <c r="G2843">
        <f>Skills!G6*IF(Skills!H6&gt;0,Skills!I6/Skills!H6,1)</f>
        <v/>
      </c>
      <c r="H2843">
        <f>1-(1-Skills!J6/100)^Skills!K6</f>
        <v/>
      </c>
      <c r="I2843" t="inlineStr">
        <is>
          <t>1</t>
        </is>
      </c>
      <c r="J2843">
        <f>((Inputs!$B$6*(1+Inputs!$B$7/100))+(((Inputs!$B$12*(1+Inputs!$B$13/100))-(Inputs!$B$12*(1+Inputs!$B$13/100)))+0.25*(Inputs!$B$14-Inputs!$B$14))*(1+Inputs!$B$7/100))*(F2843/100)</f>
        <v/>
      </c>
      <c r="K2843">
        <f>J2843*(1+((Inputs!$B$12*(1+Inputs!$B$13/100))*0.01+Inputs!$B$14*0.0025)/100)*(1+Inputs!$B$15/100)*(1+Inputs!$B$16/100)*(5000/(6000+Inputs!$B$42*(1-(100*(1-(1-(Inputs!$B$19+0)/100)*(1-CHOOSE(ArtifactsInput!$N$40+1,5,6,7,8,9,10)/100)^(ArtifactsInput!$M$40-ArtifactsInput!$M$40)))/100)))*(1+(Inputs!$B$24+((C2863=TRUE)*(F2863-Calc!F26))+B2873)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2852=TRUE,F2852,0)/100)*(1+(IF(Skills!A6="EIGHT_LEGS_EASTON",Inputs!$B$17+((C2860=TRUE)*(F2860-Calc!F23))+((C2864=TRUE)*(F2864-Calc!F27))+(((IF(AND(ArtifactsInput!$M$42,((Inputs!$B$9+((C2856=TRUE)*(F2856-Calc!F19))+B2867+(ArtifactsInput!$M$24-ArtifactsInput!$M$24)*CHOOSE(ArtifactsInput!$N$24+1,10,12,14,16,18,20)+IF(ArtifactsInput!$M$10,CHOOSE(ArtifactsInput!$N$10+1,15,18,21,24,27,30)*(IF(Inputs!$B$38="pvp",MIN(15,15)/15,IF(AND(Inputs!$B$38&lt;&gt;"pvp",Inputs!$B$43&gt;0),MIN(15,Inputs!$B$43)/(Inputs!$B$43),0))),0)))&gt;=100),MIN(100,((Inputs!$B$9+((C2856=TRUE)*(F2856-Calc!F19))+B2867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2856=TRUE)*(F2856-Calc!F19))+B2867+(ArtifactsInput!$M$24-ArtifactsInput!$M$24)*CHOOSE(ArtifactsInput!$N$24+1,10,12,14,16,18,20)+IF(ArtifactsInput!$M$10,CHOOSE(ArtifactsInput!$N$10+1,15,18,21,24,27,30)*(IF(Inputs!$B$38="pvp",MIN(15,15)/15,IF(AND(Inputs!$B$38&lt;&gt;"pvp",Inputs!$B$43&gt;0),MIN(15,Inputs!$B$43)/(Inputs!$B$43),0))),0)))&gt;=100),CHOOSE(ArtifactsInput!$N$42+1,40,48,56,64,72,80),0))))/100)*((1+(((C2854=TRUE)*F2854)+((C2861=TRUE)*(F2861-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2843)</f>
        <v/>
      </c>
      <c r="L2843">
        <f>K2843*(MIN(Inputs!$B$22+((C2859=TRUE)*(F2859-Calc!F22)),(Inputs!$B$23+0+(IF(ArtifactsInput!$M$15,CHOOSE(ArtifactsInput!$N$15+1,25,30,35,40,45,50)/100*(Inputs!$B$11-Inputs!$B$11),0))))/100+(Inputs!$B$23+0+(IF(ArtifactsInput!$M$15,CHOOSE(ArtifactsInput!$N$15+1,25,30,35,40,45,50)/100*(Inputs!$B$11-Inputs!$B$11),0)))/100)/2</f>
        <v/>
      </c>
      <c r="M2843">
        <f>L2843*(1+(Inputs!$B$10+((C2862=TRUE)*(F2862-Calc!F25))+B2872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3">
        <f>L2843*(1-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2843*(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3">
        <f>(1-Summary!$B$11)*T2843+Summary!$B$11*V2843</f>
        <v/>
      </c>
      <c r="P2843">
        <f>IF(B2877=0,0,O2843/B2877)</f>
        <v/>
      </c>
      <c r="Q2843">
        <f>IFERROR(1/(IF(Inputs!$B$38="pvp",15,MAX(0.1,Skills!D6-IF(Skills!E6=TRUE,1.5,0)))*(1-IF(AND(ArtifactsInput!$M$27,Inputs!$B$4="Chapter Hunt"),CHOOSE(ArtifactsInput!$N$27+1,20,24,28,32,36,40),0)/100)),0)</f>
        <v/>
      </c>
      <c r="R2843">
        <f>IF(AND(Inputs!$B$38&lt;&gt;"pvp",Inputs!$B$43&gt;0),IF(MAX(0,Inputs!$B$43-B2874)&lt;=0,0,(INT(MAX(0,Inputs!$B$43-B2874)/(IF(Inputs!$B$38="pvp",15,MAX(0.1,Skills!D6-IF(Skills!E6=TRUE,1.5,0)))*(1-IF(AND(ArtifactsInput!$M$27,Inputs!$B$4="Chapter Hunt"),CHOOSE(ArtifactsInput!$N$27+1,20,24,28,32,36,40),0)/100)))+1)),0)</f>
        <v/>
      </c>
      <c r="S2843">
        <f>IFERROR(O2843/N2843,0)</f>
        <v/>
      </c>
      <c r="T2843">
        <f>IF(C2843,(H2843*N2843*IF(AND(Inputs!$B$38&lt;&gt;"pvp",Inputs!$B$43&gt;0),((Skills!G6*((R2843-1)*IF(Skills!H6&gt;0,Skills!I6/Skills!H6,1)+IF(Skills!H6&gt;0,MIN(Skills!I6,MAX(0,MAX(0,Inputs!$B$43-B2874)-((R2843-1)*(IF(Inputs!$B$38="pvp",15,MAX(0.1,Skills!D6-IF(Skills!E6=TRUE,1.5,0)))*(1-IF(AND(ArtifactsInput!$M$27,Inputs!$B$4="Chapter Hunt"),CHOOSE(ArtifactsInput!$N$27+1,20,24,28,32,36,40),0)/100)))))/Skills!H6,1)))/Inputs!$B$43),G2843*Q2843)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2843*(1-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2843*(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2843*(1-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2843*(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43">
        <f>IF(C2843,(H2843*N2843*IF(AND(Inputs!$B$38&lt;&gt;"pvp",Inputs!$B$43&gt;0),((Skills!G6*((R2843-1)*IF(Skills!H6&gt;0,Skills!I6/Skills!H6,1)+IF(Skills!H6&gt;0,MIN(Skills!I6,MAX(0,MAX(0,Inputs!$B$43-B2874)-((R2843-1)*(IF(Inputs!$B$38="pvp",15,MAX(0.1,Skills!D6-IF(Skills!E6=TRUE,1.5,0)))*(1-IF(AND(ArtifactsInput!$M$27,Inputs!$B$4="Chapter Hunt"),CHOOSE(ArtifactsInput!$N$27+1,20,24,28,32,36,40),0)/100)))))/Skills!H6,1)))/Inputs!$B$43),G2843*Q2843))*IF(Inputs!$B$38="pvp",1,(1+(Inputs!$B$21+Skills!Q6+(IF(ArtifactsInput!$M$33,CHOOSE(ArtifactsInput!$N$33+1,30,36,42,48,54,60)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4">
      <c r="A2844">
        <f>Skills!A7</f>
        <v/>
      </c>
      <c r="B2844">
        <f>Skills!B7</f>
        <v/>
      </c>
      <c r="C2844">
        <f>Inputs!$B$3&gt;=66</f>
        <v/>
      </c>
      <c r="D2844">
        <f>IF(Skills!C7=1,60+Inputs!$B$25+Inputs!$B$29,IF(Skills!C7=2,90+Inputs!$B$26+Inputs!$B$29,IF(Skills!C7=3,120+Inputs!$B$27+Inputs!$B$29,MAX(0,(Inputs!$B$3-100)*3)+Inputs!$B$28+Inputs!$B$29)))</f>
        <v/>
      </c>
      <c r="E2844">
        <f>INDEX(FactorTable!$B$2:$Y$301, MATCH(ROUND(MIN(300,MAX(1,D2844)),0), FactorTable!$A$2:$A$301,0), Skills!M7+1)</f>
        <v/>
      </c>
      <c r="F2844">
        <f>IF(Skills!N7=TRUE,(Skills!L7/10)*(E2844/1000),Skills!L7/10)+Skills!O7</f>
        <v/>
      </c>
      <c r="G2844">
        <f>Skills!G7*IF(Skills!H7&gt;0,Skills!I7/Skills!H7,1)</f>
        <v/>
      </c>
      <c r="H2844">
        <f>1-(1-Skills!J7/100)^Skills!K7</f>
        <v/>
      </c>
      <c r="I2844" t="inlineStr">
        <is>
          <t>1</t>
        </is>
      </c>
      <c r="J2844">
        <f>((Inputs!$B$6*(1+Inputs!$B$7/100))+(((Inputs!$B$12*(1+Inputs!$B$13/100))-(Inputs!$B$12*(1+Inputs!$B$13/100)))+0.25*(Inputs!$B$14-Inputs!$B$14))*(1+Inputs!$B$7/100))*(F2844/100)</f>
        <v/>
      </c>
      <c r="K2844">
        <f>J2844*(1+((Inputs!$B$12*(1+Inputs!$B$13/100))*0.01+Inputs!$B$14*0.0025)/100)*(1+Inputs!$B$15/100)*(1+Inputs!$B$16/100)*(5000/(6000+Inputs!$B$42*(1-(100*(1-(1-(Inputs!$B$19+0)/100)*(1-CHOOSE(ArtifactsInput!$N$40+1,5,6,7,8,9,10)/100)^(ArtifactsInput!$M$40-ArtifactsInput!$M$40)))/100)))*(1+(Inputs!$B$24+((C2863=TRUE)*(F2863-Calc!F26))+B2873)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2852=TRUE,F2852,0)/100)*(1+(IF(Skills!A7="EIGHT_LEGS_EASTON",Inputs!$B$17+((C2860=TRUE)*(F2860-Calc!F23))+((C2864=TRUE)*(F2864-Calc!F27))+(((IF(AND(ArtifactsInput!$M$42,((Inputs!$B$9+((C2856=TRUE)*(F2856-Calc!F19))+B2867+(ArtifactsInput!$M$24-ArtifactsInput!$M$24)*CHOOSE(ArtifactsInput!$N$24+1,10,12,14,16,18,20)+IF(ArtifactsInput!$M$10,CHOOSE(ArtifactsInput!$N$10+1,15,18,21,24,27,30)*(IF(Inputs!$B$38="pvp",MIN(15,15)/15,IF(AND(Inputs!$B$38&lt;&gt;"pvp",Inputs!$B$43&gt;0),MIN(15,Inputs!$B$43)/(Inputs!$B$43),0))),0)))&gt;=100),MIN(100,((Inputs!$B$9+((C2856=TRUE)*(F2856-Calc!F19))+B2867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2856=TRUE)*(F2856-Calc!F19))+B2867+(ArtifactsInput!$M$24-ArtifactsInput!$M$24)*CHOOSE(ArtifactsInput!$N$24+1,10,12,14,16,18,20)+IF(ArtifactsInput!$M$10,CHOOSE(ArtifactsInput!$N$10+1,15,18,21,24,27,30)*(IF(Inputs!$B$38="pvp",MIN(15,15)/15,IF(AND(Inputs!$B$38&lt;&gt;"pvp",Inputs!$B$43&gt;0),MIN(15,Inputs!$B$43)/(Inputs!$B$43),0))),0)))&gt;=100),CHOOSE(ArtifactsInput!$N$42+1,40,48,56,64,72,80),0))))/100)*((1+(((C2854=TRUE)*F2854)+((C2861=TRUE)*(F2861-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2844)</f>
        <v/>
      </c>
      <c r="L2844">
        <f>K2844*(MIN(Inputs!$B$22+((C2859=TRUE)*(F2859-Calc!F22)),(Inputs!$B$23+0+(IF(ArtifactsInput!$M$15,CHOOSE(ArtifactsInput!$N$15+1,25,30,35,40,45,50)/100*(Inputs!$B$11-Inputs!$B$11),0))))/100+(Inputs!$B$23+0+(IF(ArtifactsInput!$M$15,CHOOSE(ArtifactsInput!$N$15+1,25,30,35,40,45,50)/100*(Inputs!$B$11-Inputs!$B$11),0)))/100)/2</f>
        <v/>
      </c>
      <c r="M2844">
        <f>L2844*(1+(Inputs!$B$10+((C2862=TRUE)*(F2862-Calc!F25))+B2872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4">
        <f>L2844*(1-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2844*(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4">
        <f>(1-Summary!$B$11)*T2844+Summary!$B$11*V2844</f>
        <v/>
      </c>
      <c r="P2844">
        <f>IF(B2877=0,0,O2844/B2877)</f>
        <v/>
      </c>
      <c r="Q2844">
        <f>IFERROR(1/(IF(Inputs!$B$38="pvp",15,MAX(0.1,Skills!D7-IF(Skills!E7=TRUE,1.5,0)))*(1-IF(AND(ArtifactsInput!$M$27,Inputs!$B$4="Chapter Hunt"),CHOOSE(ArtifactsInput!$N$27+1,20,24,28,32,36,40),0)/100)),0)</f>
        <v/>
      </c>
      <c r="R2844">
        <f>IF(AND(Inputs!$B$38&lt;&gt;"pvp",Inputs!$B$43&gt;0),IF(MAX(0,Inputs!$B$43-B2874)&lt;=0,0,(INT(MAX(0,Inputs!$B$43-B2874)/(IF(Inputs!$B$38="pvp",15,MAX(0.1,Skills!D7-IF(Skills!E7=TRUE,1.5,0)))*(1-IF(AND(ArtifactsInput!$M$27,Inputs!$B$4="Chapter Hunt"),CHOOSE(ArtifactsInput!$N$27+1,20,24,28,32,36,40),0)/100)))+1)),0)</f>
        <v/>
      </c>
      <c r="S2844">
        <f>IFERROR(O2844/N2844,0)</f>
        <v/>
      </c>
      <c r="T2844">
        <f>IF(C2844,(H2844*N2844*IF(AND(Inputs!$B$38&lt;&gt;"pvp",Inputs!$B$43&gt;0),((Skills!G7*((R2844-1)*IF(Skills!H7&gt;0,Skills!I7/Skills!H7,1)+IF(Skills!H7&gt;0,MIN(Skills!I7,MAX(0,MAX(0,Inputs!$B$43-B2874)-((R2844-1)*(IF(Inputs!$B$38="pvp",15,MAX(0.1,Skills!D7-IF(Skills!E7=TRUE,1.5,0)))*(1-IF(AND(ArtifactsInput!$M$27,Inputs!$B$4="Chapter Hunt"),CHOOSE(ArtifactsInput!$N$27+1,20,24,28,32,36,40),0)/100)))))/Skills!H7,1)))/Inputs!$B$43),G2844*Q2844)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2844*(1-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2844*(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2844*(1-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2844*(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44">
        <f>IF(C2844,(H2844*N2844*IF(AND(Inputs!$B$38&lt;&gt;"pvp",Inputs!$B$43&gt;0),((Skills!G7*((R2844-1)*IF(Skills!H7&gt;0,Skills!I7/Skills!H7,1)+IF(Skills!H7&gt;0,MIN(Skills!I7,MAX(0,MAX(0,Inputs!$B$43-B2874)-((R2844-1)*(IF(Inputs!$B$38="pvp",15,MAX(0.1,Skills!D7-IF(Skills!E7=TRUE,1.5,0)))*(1-IF(AND(ArtifactsInput!$M$27,Inputs!$B$4="Chapter Hunt"),CHOOSE(ArtifactsInput!$N$27+1,20,24,28,32,36,40),0)/100)))))/Skills!H7,1)))/Inputs!$B$43),G2844*Q2844))*IF(Inputs!$B$38="pvp",1,(1+(Inputs!$B$21+Skills!Q7+(IF(ArtifactsInput!$M$33,CHOOSE(ArtifactsInput!$N$33+1,30,36,42,48,54,60)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5">
      <c r="A2845">
        <f>Skills!A8</f>
        <v/>
      </c>
      <c r="B2845">
        <f>Skills!B8</f>
        <v/>
      </c>
      <c r="C2845">
        <f>Inputs!$B$3&gt;=100</f>
        <v/>
      </c>
      <c r="D2845">
        <f>IF(Skills!C8=1,60+Inputs!$B$25+Inputs!$B$29,IF(Skills!C8=2,90+Inputs!$B$26+Inputs!$B$29,IF(Skills!C8=3,120+Inputs!$B$27+Inputs!$B$29,MAX(0,(Inputs!$B$3-100)*3)+Inputs!$B$28+Inputs!$B$29)))</f>
        <v/>
      </c>
      <c r="E2845">
        <f>INDEX(FactorTable!$B$2:$Y$301, MATCH(ROUND(MIN(300,MAX(1,D2845)),0), FactorTable!$A$2:$A$301,0), Skills!M8+1)</f>
        <v/>
      </c>
      <c r="F2845">
        <f>IF(Skills!N8=TRUE,(Skills!L8/10)*(E2845/1000),Skills!L8/10)+Skills!O8</f>
        <v/>
      </c>
      <c r="G2845">
        <f>Skills!G8*IF(Skills!H8&gt;0,Skills!I8/Skills!H8,1)</f>
        <v/>
      </c>
      <c r="H2845">
        <f>1-(1-Skills!J8/100)^Skills!K8</f>
        <v/>
      </c>
      <c r="I2845" t="inlineStr">
        <is>
          <t>1</t>
        </is>
      </c>
      <c r="J2845">
        <f>((Inputs!$B$6*(1+Inputs!$B$7/100))+(((Inputs!$B$12*(1+Inputs!$B$13/100))-(Inputs!$B$12*(1+Inputs!$B$13/100)))+0.25*(Inputs!$B$14-Inputs!$B$14))*(1+Inputs!$B$7/100))*(F2845/100)</f>
        <v/>
      </c>
      <c r="K2845">
        <f>J2845*(1+((Inputs!$B$12*(1+Inputs!$B$13/100))*0.01+Inputs!$B$14*0.0025)/100)*(1+Inputs!$B$15/100)*(1+Inputs!$B$16/100)*(5000/(6000+Inputs!$B$42*(1-(100*(1-(1-(Inputs!$B$19+0)/100)*(1-CHOOSE(ArtifactsInput!$N$40+1,5,6,7,8,9,10)/100)^(ArtifactsInput!$M$40-ArtifactsInput!$M$40)))/100)))*(1+(Inputs!$B$24+((C2863=TRUE)*(F2863-Calc!F26))+B2873)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2860=TRUE)*(F2860-Calc!F23))+((C2864=TRUE)*(F2864-Calc!F27))+(((IF(AND(ArtifactsInput!$M$42,((Inputs!$B$9+((C2856=TRUE)*(F2856-Calc!F19))+B2867+(ArtifactsInput!$M$24-ArtifactsInput!$M$24)*CHOOSE(ArtifactsInput!$N$24+1,10,12,14,16,18,20)+IF(ArtifactsInput!$M$10,CHOOSE(ArtifactsInput!$N$10+1,15,18,21,24,27,30)*(IF(Inputs!$B$38="pvp",MIN(15,15)/15,IF(AND(Inputs!$B$38&lt;&gt;"pvp",Inputs!$B$43&gt;0),MIN(15,Inputs!$B$43)/(Inputs!$B$43),0))),0)))&gt;=100),MIN(100,((Inputs!$B$9+((C2856=TRUE)*(F2856-Calc!F19))+B2867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2856=TRUE)*(F2856-Calc!F19))+B2867+(ArtifactsInput!$M$24-ArtifactsInput!$M$24)*CHOOSE(ArtifactsInput!$N$24+1,10,12,14,16,18,20)+IF(ArtifactsInput!$M$10,CHOOSE(ArtifactsInput!$N$10+1,15,18,21,24,27,30)*(IF(Inputs!$B$38="pvp",MIN(15,15)/15,IF(AND(Inputs!$B$38&lt;&gt;"pvp",Inputs!$B$43&gt;0),MIN(15,Inputs!$B$43)/(Inputs!$B$43),0))),0)))&gt;=100),CHOOSE(ArtifactsInput!$N$42+1,40,48,56,64,72,80),0))))/100)*((1+(((C2854=TRUE)*F2854)+((C2861=TRUE)*(F2861-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2845)</f>
        <v/>
      </c>
      <c r="L2845">
        <f>K2845*(MIN(Inputs!$B$22+((C2859=TRUE)*(F2859-Calc!F22)),(Inputs!$B$23+0+(IF(ArtifactsInput!$M$15,CHOOSE(ArtifactsInput!$N$15+1,25,30,35,40,45,50)/100*(Inputs!$B$11-Inputs!$B$11),0))))/100+(Inputs!$B$23+0+(IF(ArtifactsInput!$M$15,CHOOSE(ArtifactsInput!$N$15+1,25,30,35,40,45,50)/100*(Inputs!$B$11-Inputs!$B$11),0)))/100)/2</f>
        <v/>
      </c>
      <c r="M2845">
        <f>L2845*(1+(Inputs!$B$10+((C2862=TRUE)*(F2862-Calc!F25))+B2872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5">
        <f>L2845*(1-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2845*(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5">
        <f>(1-Summary!$B$11)*T2845+Summary!$B$11*V2845</f>
        <v/>
      </c>
      <c r="P2845">
        <f>IF(B2877=0,0,O2845/B2877)</f>
        <v/>
      </c>
      <c r="Q2845">
        <f>IFERROR(1/(IF(Inputs!$B$38="pvp",15,MAX(0.1,Skills!D8-IF(Skills!E8=TRUE,1.5,0)))*(1-IF(AND(ArtifactsInput!$M$27,Inputs!$B$4="Chapter Hunt"),CHOOSE(ArtifactsInput!$N$27+1,20,24,28,32,36,40),0)/100)),0)</f>
        <v/>
      </c>
      <c r="R2845">
        <f>IF(AND(Inputs!$B$38&lt;&gt;"pvp",Inputs!$B$43&gt;0),IF(MAX(0,Inputs!$B$43-B2874)&lt;=0,0,(INT(MAX(0,Inputs!$B$43-B2874)/(IF(Inputs!$B$38="pvp",15,MAX(0.1,Skills!D8-IF(Skills!E8=TRUE,1.5,0)))*(1-IF(AND(ArtifactsInput!$M$27,Inputs!$B$4="Chapter Hunt"),CHOOSE(ArtifactsInput!$N$27+1,20,24,28,32,36,40),0)/100)))+1)),0)</f>
        <v/>
      </c>
      <c r="S2845">
        <f>IFERROR(O2845/N2845,0)</f>
        <v/>
      </c>
      <c r="T2845">
        <f>IF(C2845,(H2845*N2845*IF(AND(Inputs!$B$38&lt;&gt;"pvp",Inputs!$B$43&gt;0),((Skills!G8*((R2845-1)*IF(Skills!H8&gt;0,Skills!I8/Skills!H8,1)+IF(Skills!H8&gt;0,MIN(Skills!I8,MAX(0,MAX(0,Inputs!$B$43-B2874)-((R2845-1)*(IF(Inputs!$B$38="pvp",15,MAX(0.1,Skills!D8-IF(Skills!E8=TRUE,1.5,0)))*(1-IF(AND(ArtifactsInput!$M$27,Inputs!$B$4="Chapter Hunt"),CHOOSE(ArtifactsInput!$N$27+1,20,24,28,32,36,40),0)/100)))))/Skills!H8,1)))/Inputs!$B$43),G2845*Q2845)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2845*(1-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2845*(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2845*(1-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2845*(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45">
        <f>IF(C2845,(H2845*N2845*IF(AND(Inputs!$B$38&lt;&gt;"pvp",Inputs!$B$43&gt;0),((Skills!G8*((R2845-1)*IF(Skills!H8&gt;0,Skills!I8/Skills!H8,1)+IF(Skills!H8&gt;0,MIN(Skills!I8,MAX(0,MAX(0,Inputs!$B$43-B2874)-((R2845-1)*(IF(Inputs!$B$38="pvp",15,MAX(0.1,Skills!D8-IF(Skills!E8=TRUE,1.5,0)))*(1-IF(AND(ArtifactsInput!$M$27,Inputs!$B$4="Chapter Hunt"),CHOOSE(ArtifactsInput!$N$27+1,20,24,28,32,36,40),0)/100)))))/Skills!H8,1)))/Inputs!$B$43),G2845*Q2845))*IF(Inputs!$B$38="pvp",1,(1+(Inputs!$B$21+Skills!Q8+(IF(ArtifactsInput!$M$33,CHOOSE(ArtifactsInput!$N$33+1,30,36,42,48,54,60)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6">
      <c r="A2846">
        <f>Skills!A9</f>
        <v/>
      </c>
      <c r="B2846">
        <f>Skills!B9</f>
        <v/>
      </c>
      <c r="C2846">
        <f>Inputs!$B$3&gt;=103</f>
        <v/>
      </c>
      <c r="D2846">
        <f>IF(Skills!C9=1,60+Inputs!$B$25+Inputs!$B$29,IF(Skills!C9=2,90+Inputs!$B$26+Inputs!$B$29,IF(Skills!C9=3,120+Inputs!$B$27+Inputs!$B$29,MAX(0,(Inputs!$B$3-100)*3)+Inputs!$B$28+Inputs!$B$29)))</f>
        <v/>
      </c>
      <c r="E2846">
        <f>INDEX(FactorTable!$B$2:$Y$301, MATCH(ROUND(MIN(300,MAX(1,D2846)),0), FactorTable!$A$2:$A$301,0), Skills!M9+1)</f>
        <v/>
      </c>
      <c r="F2846">
        <f>IF(Skills!N9=TRUE,(Skills!L9/10)*(E2846/1000),Skills!L9/10)+Skills!O9</f>
        <v/>
      </c>
      <c r="G2846">
        <f>Skills!G9*IF(Skills!H9&gt;0,Skills!I9/Skills!H9,1)</f>
        <v/>
      </c>
      <c r="H2846">
        <f>1-(1-Skills!J9/100)^Skills!K9</f>
        <v/>
      </c>
      <c r="I2846" t="inlineStr">
        <is>
          <t>1</t>
        </is>
      </c>
      <c r="J2846">
        <f>((Inputs!$B$6*(1+Inputs!$B$7/100))+(((Inputs!$B$12*(1+Inputs!$B$13/100))-(Inputs!$B$12*(1+Inputs!$B$13/100)))+0.25*(Inputs!$B$14-Inputs!$B$14))*(1+Inputs!$B$7/100))*(F2846/100)</f>
        <v/>
      </c>
      <c r="K2846">
        <f>J2846*(1+((Inputs!$B$12*(1+Inputs!$B$13/100))*0.01+Inputs!$B$14*0.0025)/100)*(1+Inputs!$B$15/100)*(1+Inputs!$B$16/100)*(5000/(6000+Inputs!$B$42*(1-(100*(1-(1-(Inputs!$B$19+0)/100)*(1-CHOOSE(ArtifactsInput!$N$40+1,5,6,7,8,9,10)/100)^(ArtifactsInput!$M$40-ArtifactsInput!$M$40)))/100)))*(1+(Inputs!$B$24+((C2863=TRUE)*(F2863-Calc!F26))+B2873)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2860=TRUE)*(F2860-Calc!F23))+((C2864=TRUE)*(F2864-Calc!F27))+(((IF(AND(ArtifactsInput!$M$42,((Inputs!$B$9+((C2856=TRUE)*(F2856-Calc!F19))+B2867+(ArtifactsInput!$M$24-ArtifactsInput!$M$24)*CHOOSE(ArtifactsInput!$N$24+1,10,12,14,16,18,20)+IF(ArtifactsInput!$M$10,CHOOSE(ArtifactsInput!$N$10+1,15,18,21,24,27,30)*(IF(Inputs!$B$38="pvp",MIN(15,15)/15,IF(AND(Inputs!$B$38&lt;&gt;"pvp",Inputs!$B$43&gt;0),MIN(15,Inputs!$B$43)/(Inputs!$B$43),0))),0)))&gt;=100),MIN(100,((Inputs!$B$9+((C2856=TRUE)*(F2856-Calc!F19))+B2867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2856=TRUE)*(F2856-Calc!F19))+B2867+(ArtifactsInput!$M$24-ArtifactsInput!$M$24)*CHOOSE(ArtifactsInput!$N$24+1,10,12,14,16,18,20)+IF(ArtifactsInput!$M$10,CHOOSE(ArtifactsInput!$N$10+1,15,18,21,24,27,30)*(IF(Inputs!$B$38="pvp",MIN(15,15)/15,IF(AND(Inputs!$B$38&lt;&gt;"pvp",Inputs!$B$43&gt;0),MIN(15,Inputs!$B$43)/(Inputs!$B$43),0))),0)))&gt;=100),CHOOSE(ArtifactsInput!$N$42+1,40,48,56,64,72,80),0))))/100)*((1+(((C2854=TRUE)*F2854)+((C2861=TRUE)*(F2861-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2846)</f>
        <v/>
      </c>
      <c r="L2846">
        <f>K2846*(MIN(Inputs!$B$22+((C2859=TRUE)*(F2859-Calc!F22)),(Inputs!$B$23+0+(IF(ArtifactsInput!$M$15,CHOOSE(ArtifactsInput!$N$15+1,25,30,35,40,45,50)/100*(Inputs!$B$11-Inputs!$B$11),0))))/100+(Inputs!$B$23+0+(IF(ArtifactsInput!$M$15,CHOOSE(ArtifactsInput!$N$15+1,25,30,35,40,45,50)/100*(Inputs!$B$11-Inputs!$B$11),0)))/100)/2</f>
        <v/>
      </c>
      <c r="M2846">
        <f>L2846*(1+(Inputs!$B$10+((C2862=TRUE)*(F2862-Calc!F25))+B2872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6">
        <f>L2846*(1-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2846*(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6">
        <f>(1-Summary!$B$11)*T2846+Summary!$B$11*V2846</f>
        <v/>
      </c>
      <c r="P2846">
        <f>IF(B2877=0,0,O2846/B2877)</f>
        <v/>
      </c>
      <c r="Q2846">
        <f>IFERROR(1/(IF(Inputs!$B$38="pvp",15,MAX(0.1,Skills!D9-IF(Skills!E9=TRUE,1.5,0)))*(1-IF(AND(ArtifactsInput!$M$27,Inputs!$B$4="Chapter Hunt"),CHOOSE(ArtifactsInput!$N$27+1,20,24,28,32,36,40),0)/100)),0)</f>
        <v/>
      </c>
      <c r="R2846">
        <f>IF(AND(Inputs!$B$38&lt;&gt;"pvp",Inputs!$B$43&gt;0),IF(MAX(0,Inputs!$B$43-B2874)&lt;=0,0,(INT(MAX(0,Inputs!$B$43-B2874)/(IF(Inputs!$B$38="pvp",15,MAX(0.1,Skills!D9-IF(Skills!E9=TRUE,1.5,0)))*(1-IF(AND(ArtifactsInput!$M$27,Inputs!$B$4="Chapter Hunt"),CHOOSE(ArtifactsInput!$N$27+1,20,24,28,32,36,40),0)/100)))+1)),0)</f>
        <v/>
      </c>
      <c r="S2846">
        <f>IFERROR(O2846/N2846,0)</f>
        <v/>
      </c>
      <c r="T2846">
        <f>IF(C2846,(H2846*N2846*IF(AND(Inputs!$B$38&lt;&gt;"pvp",Inputs!$B$43&gt;0),((Skills!G9*((R2846-1)*IF(Skills!H9&gt;0,Skills!I9/Skills!H9,1)+IF(Skills!H9&gt;0,MIN(Skills!I9,MAX(0,MAX(0,Inputs!$B$43-B2874)-((R2846-1)*(IF(Inputs!$B$38="pvp",15,MAX(0.1,Skills!D9-IF(Skills!E9=TRUE,1.5,0)))*(1-IF(AND(ArtifactsInput!$M$27,Inputs!$B$4="Chapter Hunt"),CHOOSE(ArtifactsInput!$N$27+1,20,24,28,32,36,40),0)/100)))))/Skills!H9,1)))/Inputs!$B$43),G2846*Q2846)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2846*(1-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2846*(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2846*(1-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2846*(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46">
        <f>IF(C2846,(H2846*N2846*IF(AND(Inputs!$B$38&lt;&gt;"pvp",Inputs!$B$43&gt;0),((Skills!G9*((R2846-1)*IF(Skills!H9&gt;0,Skills!I9/Skills!H9,1)+IF(Skills!H9&gt;0,MIN(Skills!I9,MAX(0,MAX(0,Inputs!$B$43-B2874)-((R2846-1)*(IF(Inputs!$B$38="pvp",15,MAX(0.1,Skills!D9-IF(Skills!E9=TRUE,1.5,0)))*(1-IF(AND(ArtifactsInput!$M$27,Inputs!$B$4="Chapter Hunt"),CHOOSE(ArtifactsInput!$N$27+1,20,24,28,32,36,40),0)/100)))))/Skills!H9,1)))/Inputs!$B$43),G2846*Q2846))*IF(Inputs!$B$38="pvp",1,(1+(Inputs!$B$21+Skills!Q9+(IF(ArtifactsInput!$M$33,CHOOSE(ArtifactsInput!$N$33+1,30,36,42,48,54,60)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7">
      <c r="A2847">
        <f>Skills!A10</f>
        <v/>
      </c>
      <c r="B2847">
        <f>Skills!B10</f>
        <v/>
      </c>
      <c r="C2847">
        <f>Inputs!$B$3&gt;=113</f>
        <v/>
      </c>
      <c r="D2847">
        <f>IF(Skills!C10=1,60+Inputs!$B$25+Inputs!$B$29,IF(Skills!C10=2,90+Inputs!$B$26+Inputs!$B$29,IF(Skills!C10=3,120+Inputs!$B$27+Inputs!$B$29,MAX(0,(Inputs!$B$3-100)*3)+Inputs!$B$28+Inputs!$B$29)))</f>
        <v/>
      </c>
      <c r="E2847">
        <f>INDEX(FactorTable!$B$2:$Y$301, MATCH(ROUND(MIN(300,MAX(1,D2847)),0), FactorTable!$A$2:$A$301,0), Skills!M10+1)</f>
        <v/>
      </c>
      <c r="F2847">
        <f>IF(Skills!N10=TRUE,(Skills!L10/10)*(E2847/1000),Skills!L10/10)+Skills!O10</f>
        <v/>
      </c>
      <c r="G2847">
        <f>Skills!G10*IF(Skills!H10&gt;0,Skills!I10/Skills!H10,1)</f>
        <v/>
      </c>
      <c r="H2847">
        <f>1-(1-Skills!J10/100)^Skills!K10</f>
        <v/>
      </c>
      <c r="I2847" t="inlineStr">
        <is>
          <t>1</t>
        </is>
      </c>
      <c r="J2847">
        <f>((Inputs!$B$6*(1+Inputs!$B$7/100))+(((Inputs!$B$12*(1+Inputs!$B$13/100))-(Inputs!$B$12*(1+Inputs!$B$13/100)))+0.25*(Inputs!$B$14-Inputs!$B$14))*(1+Inputs!$B$7/100))*(F2847/100)</f>
        <v/>
      </c>
      <c r="K2847">
        <f>J2847*(1+((Inputs!$B$12*(1+Inputs!$B$13/100))*0.01+Inputs!$B$14*0.0025)/100)*(1+Inputs!$B$15/100)*(1+Inputs!$B$16/100)*(5000/(6000+Inputs!$B$42*(1-(100*(1-(1-(Inputs!$B$19+0)/100)*(1-CHOOSE(ArtifactsInput!$N$40+1,5,6,7,8,9,10)/100)^(ArtifactsInput!$M$40-ArtifactsInput!$M$40)))/100)))*(1+(Inputs!$B$24+((C2863=TRUE)*(F2863-Calc!F26))+B2873)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2860=TRUE)*(F2860-Calc!F23))+((C2864=TRUE)*(F2864-Calc!F27))+(((IF(AND(ArtifactsInput!$M$42,((Inputs!$B$9+((C2856=TRUE)*(F2856-Calc!F19))+B2867+(ArtifactsInput!$M$24-ArtifactsInput!$M$24)*CHOOSE(ArtifactsInput!$N$24+1,10,12,14,16,18,20)+IF(ArtifactsInput!$M$10,CHOOSE(ArtifactsInput!$N$10+1,15,18,21,24,27,30)*(IF(Inputs!$B$38="pvp",MIN(15,15)/15,IF(AND(Inputs!$B$38&lt;&gt;"pvp",Inputs!$B$43&gt;0),MIN(15,Inputs!$B$43)/(Inputs!$B$43),0))),0)))&gt;=100),MIN(100,((Inputs!$B$9+((C2856=TRUE)*(F2856-Calc!F19))+B2867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2856=TRUE)*(F2856-Calc!F19))+B2867+(ArtifactsInput!$M$24-ArtifactsInput!$M$24)*CHOOSE(ArtifactsInput!$N$24+1,10,12,14,16,18,20)+IF(ArtifactsInput!$M$10,CHOOSE(ArtifactsInput!$N$10+1,15,18,21,24,27,30)*(IF(Inputs!$B$38="pvp",MIN(15,15)/15,IF(AND(Inputs!$B$38&lt;&gt;"pvp",Inputs!$B$43&gt;0),MIN(15,Inputs!$B$43)/(Inputs!$B$43),0))),0)))&gt;=100),CHOOSE(ArtifactsInput!$N$42+1,40,48,56,64,72,80),0))))/100)*((1+(((C2854=TRUE)*F2854)+((C2861=TRUE)*(F2861-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2847)</f>
        <v/>
      </c>
      <c r="L2847">
        <f>K2847*(MIN(Inputs!$B$22+((C2859=TRUE)*(F2859-Calc!F22)),(Inputs!$B$23+0+(IF(ArtifactsInput!$M$15,CHOOSE(ArtifactsInput!$N$15+1,25,30,35,40,45,50)/100*(Inputs!$B$11-Inputs!$B$11),0))))/100+(Inputs!$B$23+0+(IF(ArtifactsInput!$M$15,CHOOSE(ArtifactsInput!$N$15+1,25,30,35,40,45,50)/100*(Inputs!$B$11-Inputs!$B$11),0)))/100)/2</f>
        <v/>
      </c>
      <c r="M2847">
        <f>L2847*(1+(Inputs!$B$10+((C2862=TRUE)*(F2862-Calc!F25))+B2872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7">
        <f>L2847*(1-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2847*(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7">
        <f>(1-Summary!$B$11)*T2847+Summary!$B$11*V2847</f>
        <v/>
      </c>
      <c r="P2847">
        <f>IF(B2877=0,0,O2847/B2877)</f>
        <v/>
      </c>
      <c r="Q2847">
        <f>IFERROR(1/(IF(Inputs!$B$38="pvp",15,MAX(0.1,Skills!D10-IF(Skills!E10=TRUE,1.5,0)))*(1-IF(AND(ArtifactsInput!$M$27,Inputs!$B$4="Chapter Hunt"),CHOOSE(ArtifactsInput!$N$27+1,20,24,28,32,36,40),0)/100)),0)</f>
        <v/>
      </c>
      <c r="R2847">
        <f>IF(AND(Inputs!$B$38&lt;&gt;"pvp",Inputs!$B$43&gt;0),IF(MAX(0,Inputs!$B$43-B2874)&lt;=0,0,(INT(MAX(0,Inputs!$B$43-B2874)/(IF(Inputs!$B$38="pvp",15,MAX(0.1,Skills!D10-IF(Skills!E10=TRUE,1.5,0)))*(1-IF(AND(ArtifactsInput!$M$27,Inputs!$B$4="Chapter Hunt"),CHOOSE(ArtifactsInput!$N$27+1,20,24,28,32,36,40),0)/100)))+1)),0)</f>
        <v/>
      </c>
      <c r="S2847">
        <f>IFERROR(O2847/N2847,0)</f>
        <v/>
      </c>
      <c r="T2847">
        <f>IF(C2847,(H2847*N2847*IF(AND(Inputs!$B$38&lt;&gt;"pvp",Inputs!$B$43&gt;0),((Skills!G10*((R2847-1)*IF(Skills!H10&gt;0,Skills!I10/Skills!H10,1)+IF(Skills!H10&gt;0,MIN(Skills!I10,MAX(0,MAX(0,Inputs!$B$43-B2874)-((R2847-1)*(IF(Inputs!$B$38="pvp",15,MAX(0.1,Skills!D10-IF(Skills!E10=TRUE,1.5,0)))*(1-IF(AND(ArtifactsInput!$M$27,Inputs!$B$4="Chapter Hunt"),CHOOSE(ArtifactsInput!$N$27+1,20,24,28,32,36,40),0)/100)))))/Skills!H10,1)))/Inputs!$B$43),G2847*Q2847)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2847*(1-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2847*(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2847*(1-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2847*(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47">
        <f>IF(C2847,(H2847*N2847*IF(AND(Inputs!$B$38&lt;&gt;"pvp",Inputs!$B$43&gt;0),((Skills!G10*((R2847-1)*IF(Skills!H10&gt;0,Skills!I10/Skills!H10,1)+IF(Skills!H10&gt;0,MIN(Skills!I10,MAX(0,MAX(0,Inputs!$B$43-B2874)-((R2847-1)*(IF(Inputs!$B$38="pvp",15,MAX(0.1,Skills!D10-IF(Skills!E10=TRUE,1.5,0)))*(1-IF(AND(ArtifactsInput!$M$27,Inputs!$B$4="Chapter Hunt"),CHOOSE(ArtifactsInput!$N$27+1,20,24,28,32,36,40),0)/100)))))/Skills!H10,1)))/Inputs!$B$43),G2847*Q2847))*IF(Inputs!$B$38="pvp",1,(1+(Inputs!$B$21+Skills!Q10+(IF(ArtifactsInput!$M$33,CHOOSE(ArtifactsInput!$N$33+1,30,36,42,48,54,60)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8">
      <c r="A2848">
        <f>Skills!A11</f>
        <v/>
      </c>
      <c r="B2848">
        <f>Skills!B11</f>
        <v/>
      </c>
      <c r="C2848">
        <f>Inputs!$B$3&gt;=107</f>
        <v/>
      </c>
      <c r="D2848">
        <f>IF(Skills!C11=1,60+Inputs!$B$25+Inputs!$B$29,IF(Skills!C11=2,90+Inputs!$B$26+Inputs!$B$29,IF(Skills!C11=3,120+Inputs!$B$27+Inputs!$B$29,MAX(0,(Inputs!$B$3-100)*3)+Inputs!$B$28+Inputs!$B$29)))</f>
        <v/>
      </c>
      <c r="E2848">
        <f>INDEX(FactorTable!$B$2:$Y$301, MATCH(ROUND(MIN(300,MAX(1,D2848)),0), FactorTable!$A$2:$A$301,0), Skills!M11+1)</f>
        <v/>
      </c>
      <c r="F2848">
        <f>IF(Skills!N11=TRUE,(Skills!L11/10)*(E2848/1000),Skills!L11/10)+Skills!O11</f>
        <v/>
      </c>
      <c r="G2848">
        <f>Skills!G11*IF(Skills!H11&gt;0,Skills!I11/Skills!H11,1)</f>
        <v/>
      </c>
      <c r="H2848">
        <f>1-(1-Skills!J11/100)^Skills!K11</f>
        <v/>
      </c>
      <c r="I2848" t="inlineStr">
        <is>
          <t>1</t>
        </is>
      </c>
      <c r="J2848">
        <f>((Inputs!$B$6*(1+Inputs!$B$7/100))+(((Inputs!$B$12*(1+Inputs!$B$13/100))-(Inputs!$B$12*(1+Inputs!$B$13/100)))+0.25*(Inputs!$B$14-Inputs!$B$14))*(1+Inputs!$B$7/100))*(F2848/100)</f>
        <v/>
      </c>
      <c r="K2848">
        <f>J2848*(1+((Inputs!$B$12*(1+Inputs!$B$13/100))*0.01+Inputs!$B$14*0.0025)/100)*(1+Inputs!$B$15/100)*(1+Inputs!$B$16/100)*(5000/(6000+Inputs!$B$42*(1-(100*(1-(1-(Inputs!$B$19+0)/100)*(1-CHOOSE(ArtifactsInput!$N$40+1,5,6,7,8,9,10)/100)^(ArtifactsInput!$M$40-ArtifactsInput!$M$40)))/100)))*(1+(Inputs!$B$24+((C2863=TRUE)*(F2863-Calc!F26))+B2873)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2860=TRUE)*(F2860-Calc!F23))+((C2864=TRUE)*(F2864-Calc!F27))+(((IF(AND(ArtifactsInput!$M$42,((Inputs!$B$9+((C2856=TRUE)*(F2856-Calc!F19))+B2867+(ArtifactsInput!$M$24-ArtifactsInput!$M$24)*CHOOSE(ArtifactsInput!$N$24+1,10,12,14,16,18,20)+IF(ArtifactsInput!$M$10,CHOOSE(ArtifactsInput!$N$10+1,15,18,21,24,27,30)*(IF(Inputs!$B$38="pvp",MIN(15,15)/15,IF(AND(Inputs!$B$38&lt;&gt;"pvp",Inputs!$B$43&gt;0),MIN(15,Inputs!$B$43)/(Inputs!$B$43),0))),0)))&gt;=100),MIN(100,((Inputs!$B$9+((C2856=TRUE)*(F2856-Calc!F19))+B2867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2856=TRUE)*(F2856-Calc!F19))+B2867+(ArtifactsInput!$M$24-ArtifactsInput!$M$24)*CHOOSE(ArtifactsInput!$N$24+1,10,12,14,16,18,20)+IF(ArtifactsInput!$M$10,CHOOSE(ArtifactsInput!$N$10+1,15,18,21,24,27,30)*(IF(Inputs!$B$38="pvp",MIN(15,15)/15,IF(AND(Inputs!$B$38&lt;&gt;"pvp",Inputs!$B$43&gt;0),MIN(15,Inputs!$B$43)/(Inputs!$B$43),0))),0)))&gt;=100),CHOOSE(ArtifactsInput!$N$42+1,40,48,56,64,72,80),0))))/100)*((1+(((C2854=TRUE)*F2854)+((C2861=TRUE)*(F2861-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2848)</f>
        <v/>
      </c>
      <c r="L2848">
        <f>K2848*(MIN(Inputs!$B$22+((C2859=TRUE)*(F2859-Calc!F22)),(Inputs!$B$23+0+(IF(ArtifactsInput!$M$15,CHOOSE(ArtifactsInput!$N$15+1,25,30,35,40,45,50)/100*(Inputs!$B$11-Inputs!$B$11),0))))/100+(Inputs!$B$23+0+(IF(ArtifactsInput!$M$15,CHOOSE(ArtifactsInput!$N$15+1,25,30,35,40,45,50)/100*(Inputs!$B$11-Inputs!$B$11),0)))/100)/2</f>
        <v/>
      </c>
      <c r="M2848">
        <f>L2848*(1+(Inputs!$B$10+((C2862=TRUE)*(F2862-Calc!F25))+B2872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8">
        <f>L2848*(1-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2848*(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8">
        <f>(1-Summary!$B$11)*T2848+Summary!$B$11*V2848</f>
        <v/>
      </c>
      <c r="P2848">
        <f>IF(B2877=0,0,O2848/B2877)</f>
        <v/>
      </c>
      <c r="Q2848">
        <f>IFERROR(1/(IF(Inputs!$B$38="pvp",15,MAX(0.1,Skills!D11-IF(Skills!E11=TRUE,1.5,0)))*(1-IF(AND(ArtifactsInput!$M$27,Inputs!$B$4="Chapter Hunt"),CHOOSE(ArtifactsInput!$N$27+1,20,24,28,32,36,40),0)/100)),0)</f>
        <v/>
      </c>
      <c r="R2848">
        <f>IF(AND(Inputs!$B$38&lt;&gt;"pvp",Inputs!$B$43&gt;0),IF(MAX(0,Inputs!$B$43-B2874)&lt;=0,0,(INT(MAX(0,Inputs!$B$43-B2874)/(IF(Inputs!$B$38="pvp",15,MAX(0.1,Skills!D11-IF(Skills!E11=TRUE,1.5,0)))*(1-IF(AND(ArtifactsInput!$M$27,Inputs!$B$4="Chapter Hunt"),CHOOSE(ArtifactsInput!$N$27+1,20,24,28,32,36,40),0)/100)))+1)),0)</f>
        <v/>
      </c>
      <c r="S2848">
        <f>IFERROR(O2848/N2848,0)</f>
        <v/>
      </c>
      <c r="T2848">
        <f>IF(C2848,(H2848*N2848*IF(AND(Inputs!$B$38&lt;&gt;"pvp",Inputs!$B$43&gt;0),((Skills!G11*((R2848-1)*IF(Skills!H11&gt;0,Skills!I11/Skills!H11,1)+IF(Skills!H11&gt;0,MIN(Skills!I11,MAX(0,MAX(0,Inputs!$B$43-B2874)-((R2848-1)*(IF(Inputs!$B$38="pvp",15,MAX(0.1,Skills!D11-IF(Skills!E11=TRUE,1.5,0)))*(1-IF(AND(ArtifactsInput!$M$27,Inputs!$B$4="Chapter Hunt"),CHOOSE(ArtifactsInput!$N$27+1,20,24,28,32,36,40),0)/100)))))/Skills!H11,1)))/Inputs!$B$43),G2848*Q2848)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2848*(1-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2848*(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2848*(1-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2848*(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48">
        <f>IF(C2848,(H2848*N2848*IF(AND(Inputs!$B$38&lt;&gt;"pvp",Inputs!$B$43&gt;0),((Skills!G11*((R2848-1)*IF(Skills!H11&gt;0,Skills!I11/Skills!H11,1)+IF(Skills!H11&gt;0,MIN(Skills!I11,MAX(0,MAX(0,Inputs!$B$43-B2874)-((R2848-1)*(IF(Inputs!$B$38="pvp",15,MAX(0.1,Skills!D11-IF(Skills!E11=TRUE,1.5,0)))*(1-IF(AND(ArtifactsInput!$M$27,Inputs!$B$4="Chapter Hunt"),CHOOSE(ArtifactsInput!$N$27+1,20,24,28,32,36,40),0)/100)))))/Skills!H11,1)))/Inputs!$B$43),G2848*Q2848))*IF(Inputs!$B$38="pvp",1,(1+(Inputs!$B$21+Skills!Q11+(IF(ArtifactsInput!$M$33,CHOOSE(ArtifactsInput!$N$33+1,30,36,42,48,54,60)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9">
      <c r="A2849">
        <f>Skills!A12</f>
        <v/>
      </c>
      <c r="B2849">
        <f>Skills!B12</f>
        <v/>
      </c>
      <c r="C2849">
        <f>Inputs!$B$3&gt;=110</f>
        <v/>
      </c>
      <c r="D2849">
        <f>IF(Skills!C12=1,60+Inputs!$B$25+Inputs!$B$29,IF(Skills!C12=2,90+Inputs!$B$26+Inputs!$B$29,IF(Skills!C12=3,120+Inputs!$B$27+Inputs!$B$29,MAX(0,(Inputs!$B$3-100)*3)+Inputs!$B$28+Inputs!$B$29)))</f>
        <v/>
      </c>
      <c r="E2849">
        <f>INDEX(FactorTable!$B$2:$Y$301, MATCH(ROUND(MIN(300,MAX(1,D2849)),0), FactorTable!$A$2:$A$301,0), Skills!M12+1)</f>
        <v/>
      </c>
      <c r="F2849">
        <f>IF(Skills!N12=TRUE,(Skills!L12/10)*(E2849/1000),Skills!L12/10)+Skills!O12</f>
        <v/>
      </c>
      <c r="G2849">
        <f>Skills!G12*IF(Skills!H12&gt;0,Skills!I12/Skills!H12,1)</f>
        <v/>
      </c>
      <c r="H2849">
        <f>1-(1-Skills!J12/100)^Skills!K12</f>
        <v/>
      </c>
      <c r="I2849" t="inlineStr">
        <is>
          <t>1</t>
        </is>
      </c>
      <c r="J2849">
        <f>((Inputs!$B$6*(1+Inputs!$B$7/100))+(((Inputs!$B$12*(1+Inputs!$B$13/100))-(Inputs!$B$12*(1+Inputs!$B$13/100)))+0.25*(Inputs!$B$14-Inputs!$B$14))*(1+Inputs!$B$7/100))*(F2849/100)</f>
        <v/>
      </c>
      <c r="K2849">
        <f>J2849*(1+((Inputs!$B$12*(1+Inputs!$B$13/100))*0.01+Inputs!$B$14*0.0025)/100)*(1+Inputs!$B$15/100)*(1+Inputs!$B$16/100)*(5000/(6000+Inputs!$B$42*(1-(100*(1-(1-(Inputs!$B$19+0)/100)*(1-CHOOSE(ArtifactsInput!$N$40+1,5,6,7,8,9,10)/100)^(ArtifactsInput!$M$40-ArtifactsInput!$M$40)))/100)))*(1+(Inputs!$B$24+((C2863=TRUE)*(F2863-Calc!F26))+B2873)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2860=TRUE)*(F2860-Calc!F23))+((C2864=TRUE)*(F2864-Calc!F27))+(((IF(AND(ArtifactsInput!$M$42,((Inputs!$B$9+((C2856=TRUE)*(F2856-Calc!F19))+B2867+(ArtifactsInput!$M$24-ArtifactsInput!$M$24)*CHOOSE(ArtifactsInput!$N$24+1,10,12,14,16,18,20)+IF(ArtifactsInput!$M$10,CHOOSE(ArtifactsInput!$N$10+1,15,18,21,24,27,30)*(IF(Inputs!$B$38="pvp",MIN(15,15)/15,IF(AND(Inputs!$B$38&lt;&gt;"pvp",Inputs!$B$43&gt;0),MIN(15,Inputs!$B$43)/(Inputs!$B$43),0))),0)))&gt;=100),MIN(100,((Inputs!$B$9+((C2856=TRUE)*(F2856-Calc!F19))+B2867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2856=TRUE)*(F2856-Calc!F19))+B2867+(ArtifactsInput!$M$24-ArtifactsInput!$M$24)*CHOOSE(ArtifactsInput!$N$24+1,10,12,14,16,18,20)+IF(ArtifactsInput!$M$10,CHOOSE(ArtifactsInput!$N$10+1,15,18,21,24,27,30)*(IF(Inputs!$B$38="pvp",MIN(15,15)/15,IF(AND(Inputs!$B$38&lt;&gt;"pvp",Inputs!$B$43&gt;0),MIN(15,Inputs!$B$43)/(Inputs!$B$43),0))),0)))&gt;=100),CHOOSE(ArtifactsInput!$N$42+1,40,48,56,64,72,80),0))))/100)*((1+(((C2854=TRUE)*F2854)+((C2861=TRUE)*(F2861-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2849)</f>
        <v/>
      </c>
      <c r="L2849">
        <f>K2849*(MIN(Inputs!$B$22+((C2859=TRUE)*(F2859-Calc!F22)),(Inputs!$B$23+0+(IF(ArtifactsInput!$M$15,CHOOSE(ArtifactsInput!$N$15+1,25,30,35,40,45,50)/100*(Inputs!$B$11-Inputs!$B$11),0))))/100+(Inputs!$B$23+0+(IF(ArtifactsInput!$M$15,CHOOSE(ArtifactsInput!$N$15+1,25,30,35,40,45,50)/100*(Inputs!$B$11-Inputs!$B$11),0)))/100)/2</f>
        <v/>
      </c>
      <c r="M2849">
        <f>L2849*(1+(Inputs!$B$10+((C2862=TRUE)*(F2862-Calc!F25))+B2872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9">
        <f>L2849*(1-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2849*(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9">
        <f>(1-Summary!$B$11)*T2849+Summary!$B$11*V2849</f>
        <v/>
      </c>
      <c r="P2849">
        <f>IF(B2877=0,0,O2849/B2877)</f>
        <v/>
      </c>
      <c r="Q2849">
        <f>IFERROR(1/(IF(Inputs!$B$38="pvp",15,MAX(0.1,Skills!D12-IF(Skills!E12=TRUE,1.5,0)))*(1-IF(AND(ArtifactsInput!$M$27,Inputs!$B$4="Chapter Hunt"),CHOOSE(ArtifactsInput!$N$27+1,20,24,28,32,36,40),0)/100)),0)</f>
        <v/>
      </c>
      <c r="R2849">
        <f>IF(AND(Inputs!$B$38&lt;&gt;"pvp",Inputs!$B$43&gt;0),IF(MAX(0,Inputs!$B$43-B2874)&lt;=0,0,(INT(MAX(0,Inputs!$B$43-B2874)/(IF(Inputs!$B$38="pvp",15,MAX(0.1,Skills!D12-IF(Skills!E12=TRUE,1.5,0)))*(1-IF(AND(ArtifactsInput!$M$27,Inputs!$B$4="Chapter Hunt"),CHOOSE(ArtifactsInput!$N$27+1,20,24,28,32,36,40),0)/100)))+1)),0)</f>
        <v/>
      </c>
      <c r="S2849">
        <f>IFERROR(O2849/N2849,0)</f>
        <v/>
      </c>
      <c r="T2849">
        <f>IF(C2849,(H2849*N2849*IF(AND(Inputs!$B$38&lt;&gt;"pvp",Inputs!$B$43&gt;0),((Skills!G12*((R2849-1)*IF(Skills!H12&gt;0,Skills!I12/Skills!H12,1)+IF(Skills!H12&gt;0,MIN(Skills!I12,MAX(0,MAX(0,Inputs!$B$43-B2874)-((R2849-1)*(IF(Inputs!$B$38="pvp",15,MAX(0.1,Skills!D12-IF(Skills!E12=TRUE,1.5,0)))*(1-IF(AND(ArtifactsInput!$M$27,Inputs!$B$4="Chapter Hunt"),CHOOSE(ArtifactsInput!$N$27+1,20,24,28,32,36,40),0)/100)))))/Skills!H12,1)))/Inputs!$B$43),G2849*Q2849)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2849*(1-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2849*(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2849*(1-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2849*(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49">
        <f>IF(C2849,(H2849*N2849*IF(AND(Inputs!$B$38&lt;&gt;"pvp",Inputs!$B$43&gt;0),((Skills!G12*((R2849-1)*IF(Skills!H12&gt;0,Skills!I12/Skills!H12,1)+IF(Skills!H12&gt;0,MIN(Skills!I12,MAX(0,MAX(0,Inputs!$B$43-B2874)-((R2849-1)*(IF(Inputs!$B$38="pvp",15,MAX(0.1,Skills!D12-IF(Skills!E12=TRUE,1.5,0)))*(1-IF(AND(ArtifactsInput!$M$27,Inputs!$B$4="Chapter Hunt"),CHOOSE(ArtifactsInput!$N$27+1,20,24,28,32,36,40),0)/100)))))/Skills!H12,1)))/Inputs!$B$43),G2849*Q2849))*IF(Inputs!$B$38="pvp",1,(1+(Inputs!$B$21+Skills!Q12+(IF(ArtifactsInput!$M$33,CHOOSE(ArtifactsInput!$N$33+1,30,36,42,48,54,60)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0">
      <c r="A2850">
        <f>Skills!A13</f>
        <v/>
      </c>
      <c r="B2850">
        <f>Skills!B13</f>
        <v/>
      </c>
      <c r="C2850">
        <f>Inputs!$B$3&gt;=110</f>
        <v/>
      </c>
      <c r="D2850">
        <f>IF(Skills!C13=1,60+Inputs!$B$25+Inputs!$B$29,IF(Skills!C13=2,90+Inputs!$B$26+Inputs!$B$29,IF(Skills!C13=3,120+Inputs!$B$27+Inputs!$B$29,MAX(0,(Inputs!$B$3-100)*3)+Inputs!$B$28+Inputs!$B$29)))</f>
        <v/>
      </c>
      <c r="E2850">
        <f>INDEX(FactorTable!$B$2:$Y$301, MATCH(ROUND(MIN(300,MAX(1,D2850)),0), FactorTable!$A$2:$A$301,0), Skills!M13+1)</f>
        <v/>
      </c>
      <c r="F2850">
        <f>IF(Skills!N13=TRUE,(Skills!L13/10)*(E2850/1000),Skills!L13/10)+Skills!O13</f>
        <v/>
      </c>
      <c r="G2850">
        <f>Skills!G13*IF(Skills!H13&gt;0,Skills!I13/Skills!H13,1)</f>
        <v/>
      </c>
      <c r="H2850">
        <f>1-(1-Skills!J13/100)^Skills!K13</f>
        <v/>
      </c>
      <c r="I2850" t="inlineStr">
        <is>
          <t>1</t>
        </is>
      </c>
      <c r="J2850">
        <f>((Inputs!$B$6*(1+Inputs!$B$7/100))+(((Inputs!$B$12*(1+Inputs!$B$13/100))-(Inputs!$B$12*(1+Inputs!$B$13/100)))+0.25*(Inputs!$B$14-Inputs!$B$14))*(1+Inputs!$B$7/100))*(F2850/100)</f>
        <v/>
      </c>
      <c r="K2850">
        <f>J2850*(1+((Inputs!$B$12*(1+Inputs!$B$13/100))*0.01+Inputs!$B$14*0.0025)/100)*(1+Inputs!$B$15/100)*(1+Inputs!$B$16/100)*(5000/(6000+Inputs!$B$42*(1-(100*(1-(1-(Inputs!$B$19+0)/100)*(1-CHOOSE(ArtifactsInput!$N$40+1,5,6,7,8,9,10)/100)^(ArtifactsInput!$M$40-ArtifactsInput!$M$40)))/100)))*(1+(Inputs!$B$24+((C2863=TRUE)*(F2863-Calc!F26))+B2873)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2860=TRUE)*(F2860-Calc!F23))+((C2864=TRUE)*(F2864-Calc!F27))+(((IF(AND(ArtifactsInput!$M$42,((Inputs!$B$9+((C2856=TRUE)*(F2856-Calc!F19))+B2867+(ArtifactsInput!$M$24-ArtifactsInput!$M$24)*CHOOSE(ArtifactsInput!$N$24+1,10,12,14,16,18,20)+IF(ArtifactsInput!$M$10,CHOOSE(ArtifactsInput!$N$10+1,15,18,21,24,27,30)*(IF(Inputs!$B$38="pvp",MIN(15,15)/15,IF(AND(Inputs!$B$38&lt;&gt;"pvp",Inputs!$B$43&gt;0),MIN(15,Inputs!$B$43)/(Inputs!$B$43),0))),0)))&gt;=100),MIN(100,((Inputs!$B$9+((C2856=TRUE)*(F2856-Calc!F19))+B2867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2856=TRUE)*(F2856-Calc!F19))+B2867+(ArtifactsInput!$M$24-ArtifactsInput!$M$24)*CHOOSE(ArtifactsInput!$N$24+1,10,12,14,16,18,20)+IF(ArtifactsInput!$M$10,CHOOSE(ArtifactsInput!$N$10+1,15,18,21,24,27,30)*(IF(Inputs!$B$38="pvp",MIN(15,15)/15,IF(AND(Inputs!$B$38&lt;&gt;"pvp",Inputs!$B$43&gt;0),MIN(15,Inputs!$B$43)/(Inputs!$B$43),0))),0)))&gt;=100),CHOOSE(ArtifactsInput!$N$42+1,40,48,56,64,72,80),0))))/100)*((1+(((C2854=TRUE)*F2854)+((C2861=TRUE)*(F2861-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2850)</f>
        <v/>
      </c>
      <c r="L2850">
        <f>K2850*(MIN(Inputs!$B$22+((C2859=TRUE)*(F2859-Calc!F22)),(Inputs!$B$23+0+(IF(ArtifactsInput!$M$15,CHOOSE(ArtifactsInput!$N$15+1,25,30,35,40,45,50)/100*(Inputs!$B$11-Inputs!$B$11),0))))/100+(Inputs!$B$23+0+(IF(ArtifactsInput!$M$15,CHOOSE(ArtifactsInput!$N$15+1,25,30,35,40,45,50)/100*(Inputs!$B$11-Inputs!$B$11),0)))/100)/2</f>
        <v/>
      </c>
      <c r="M2850">
        <f>L2850*(1+(Inputs!$B$10+((C2862=TRUE)*(F2862-Calc!F25))+B2872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0">
        <f>L2850*(1-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2850*(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0">
        <f>(1-Summary!$B$11)*T2850+Summary!$B$11*V2850</f>
        <v/>
      </c>
      <c r="P2850">
        <f>IF(B2877=0,0,O2850/B2877)</f>
        <v/>
      </c>
      <c r="Q2850">
        <f>IFERROR(1/(IF(Inputs!$B$38="pvp",15,MAX(0.1,Skills!D13-IF(Skills!E13=TRUE,1.5,0)))*(1-IF(AND(ArtifactsInput!$M$27,Inputs!$B$4="Chapter Hunt"),CHOOSE(ArtifactsInput!$N$27+1,20,24,28,32,36,40),0)/100)),0)</f>
        <v/>
      </c>
      <c r="R2850">
        <f>IF(AND(Inputs!$B$38&lt;&gt;"pvp",Inputs!$B$43&gt;0),IF(MAX(0,Inputs!$B$43-B2874)&lt;=0,0,(INT(MAX(0,Inputs!$B$43-B2874)/(IF(Inputs!$B$38="pvp",15,MAX(0.1,Skills!D13-IF(Skills!E13=TRUE,1.5,0)))*(1-IF(AND(ArtifactsInput!$M$27,Inputs!$B$4="Chapter Hunt"),CHOOSE(ArtifactsInput!$N$27+1,20,24,28,32,36,40),0)/100)))+1)),0)</f>
        <v/>
      </c>
      <c r="S2850">
        <f>IFERROR(O2850/N2850,0)</f>
        <v/>
      </c>
      <c r="T2850">
        <f>IF(C2850,(H2850*N2850*IF(AND(Inputs!$B$38&lt;&gt;"pvp",Inputs!$B$43&gt;0),((Skills!G13*((R2850-1)*IF(Skills!H13&gt;0,Skills!I13/Skills!H13,1)+IF(Skills!H13&gt;0,MIN(Skills!I13,MAX(0,MAX(0,Inputs!$B$43-B2874)-((R2850-1)*(IF(Inputs!$B$38="pvp",15,MAX(0.1,Skills!D13-IF(Skills!E13=TRUE,1.5,0)))*(1-IF(AND(ArtifactsInput!$M$27,Inputs!$B$4="Chapter Hunt"),CHOOSE(ArtifactsInput!$N$27+1,20,24,28,32,36,40),0)/100)))))/Skills!H13,1)))/Inputs!$B$43),G2850*Q2850)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2850*(1-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2850*(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2850*(1-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2850*(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0">
        <f>IF(C2850,(H2850*N2850*IF(AND(Inputs!$B$38&lt;&gt;"pvp",Inputs!$B$43&gt;0),((Skills!G13*((R2850-1)*IF(Skills!H13&gt;0,Skills!I13/Skills!H13,1)+IF(Skills!H13&gt;0,MIN(Skills!I13,MAX(0,MAX(0,Inputs!$B$43-B2874)-((R2850-1)*(IF(Inputs!$B$38="pvp",15,MAX(0.1,Skills!D13-IF(Skills!E13=TRUE,1.5,0)))*(1-IF(AND(ArtifactsInput!$M$27,Inputs!$B$4="Chapter Hunt"),CHOOSE(ArtifactsInput!$N$27+1,20,24,28,32,36,40),0)/100)))))/Skills!H13,1)))/Inputs!$B$43),G2850*Q2850))*IF(Inputs!$B$38="pvp",1,(1+(Inputs!$B$21+Skills!Q13+(IF(ArtifactsInput!$M$33,CHOOSE(ArtifactsInput!$N$33+1,30,36,42,48,54,60)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1">
      <c r="A2851">
        <f>Skills!A14</f>
        <v/>
      </c>
      <c r="B2851">
        <f>Skills!B14</f>
        <v/>
      </c>
      <c r="C2851">
        <f>Inputs!$B$3&gt;=125</f>
        <v/>
      </c>
      <c r="D2851">
        <f>IF(Skills!C14=1,60+Inputs!$B$25+Inputs!$B$29,IF(Skills!C14=2,90+Inputs!$B$26+Inputs!$B$29,IF(Skills!C14=3,120+Inputs!$B$27+Inputs!$B$29,MAX(0,(Inputs!$B$3-100)*3)+Inputs!$B$28+Inputs!$B$29)))</f>
        <v/>
      </c>
      <c r="E2851">
        <f>INDEX(FactorTable!$B$2:$Y$301, MATCH(ROUND(MIN(300,MAX(1,D2851)),0), FactorTable!$A$2:$A$301,0), Skills!M14+1)</f>
        <v/>
      </c>
      <c r="F2851">
        <f>IF(Skills!N14=TRUE,(Skills!L14/10)*(E2851/1000),Skills!L14/10)+Skills!O14</f>
        <v/>
      </c>
      <c r="G2851">
        <f>Skills!G14*IF(Skills!H14&gt;0,Skills!I14/Skills!H14,1)</f>
        <v/>
      </c>
      <c r="H2851">
        <f>1-(1-Skills!J14/100)^Skills!K14</f>
        <v/>
      </c>
      <c r="I2851" t="inlineStr">
        <is>
          <t>1</t>
        </is>
      </c>
      <c r="J2851">
        <f>((Inputs!$B$6*(1+Inputs!$B$7/100))+(((Inputs!$B$12*(1+Inputs!$B$13/100))-(Inputs!$B$12*(1+Inputs!$B$13/100)))+0.25*(Inputs!$B$14-Inputs!$B$14))*(1+Inputs!$B$7/100))*(F2851/100)</f>
        <v/>
      </c>
      <c r="K2851">
        <f>J2851*(1+((Inputs!$B$12*(1+Inputs!$B$13/100))*0.01+Inputs!$B$14*0.0025)/100)*(1+Inputs!$B$15/100)*(1+Inputs!$B$16/100)*(5000/(6000+Inputs!$B$42*(1-(100*(1-(1-(Inputs!$B$19+0)/100)*(1-CHOOSE(ArtifactsInput!$N$40+1,5,6,7,8,9,10)/100)^(ArtifactsInput!$M$40-ArtifactsInput!$M$40)))/100)))*(1+(Inputs!$B$24+((C2863=TRUE)*(F2863-Calc!F26))+B2873)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2860=TRUE)*(F2860-Calc!F23))+((C2864=TRUE)*(F2864-Calc!F27))+(((IF(AND(ArtifactsInput!$M$42,((Inputs!$B$9+((C2856=TRUE)*(F2856-Calc!F19))+B2867+(ArtifactsInput!$M$24-ArtifactsInput!$M$24)*CHOOSE(ArtifactsInput!$N$24+1,10,12,14,16,18,20)+IF(ArtifactsInput!$M$10,CHOOSE(ArtifactsInput!$N$10+1,15,18,21,24,27,30)*(IF(Inputs!$B$38="pvp",MIN(15,15)/15,IF(AND(Inputs!$B$38&lt;&gt;"pvp",Inputs!$B$43&gt;0),MIN(15,Inputs!$B$43)/(Inputs!$B$43),0))),0)))&gt;=100),MIN(100,((Inputs!$B$9+((C2856=TRUE)*(F2856-Calc!F19))+B2867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2856=TRUE)*(F2856-Calc!F19))+B2867+(ArtifactsInput!$M$24-ArtifactsInput!$M$24)*CHOOSE(ArtifactsInput!$N$24+1,10,12,14,16,18,20)+IF(ArtifactsInput!$M$10,CHOOSE(ArtifactsInput!$N$10+1,15,18,21,24,27,30)*(IF(Inputs!$B$38="pvp",MIN(15,15)/15,IF(AND(Inputs!$B$38&lt;&gt;"pvp",Inputs!$B$43&gt;0),MIN(15,Inputs!$B$43)/(Inputs!$B$43),0))),0)))&gt;=100),CHOOSE(ArtifactsInput!$N$42+1,40,48,56,64,72,80),0))))/100)*((1+(((C2854=TRUE)*F2854)+((C2861=TRUE)*(F2861-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2851)</f>
        <v/>
      </c>
      <c r="L2851">
        <f>K2851*(MIN(Inputs!$B$22+((C2859=TRUE)*(F2859-Calc!F22)),(Inputs!$B$23+0+(IF(ArtifactsInput!$M$15,CHOOSE(ArtifactsInput!$N$15+1,25,30,35,40,45,50)/100*(Inputs!$B$11-Inputs!$B$11),0))))/100+(Inputs!$B$23+0+(IF(ArtifactsInput!$M$15,CHOOSE(ArtifactsInput!$N$15+1,25,30,35,40,45,50)/100*(Inputs!$B$11-Inputs!$B$11),0)))/100)/2</f>
        <v/>
      </c>
      <c r="M2851">
        <f>L2851*(1+(Inputs!$B$10+((C2862=TRUE)*(F2862-Calc!F25))+B2872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1">
        <f>L2851*(1-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1">
        <f>(1-Summary!$B$11)*T2851+Summary!$B$11*V2851</f>
        <v/>
      </c>
      <c r="P2851">
        <f>IF(B2877=0,0,O2851/B2877)</f>
        <v/>
      </c>
      <c r="Q2851" t="n">
        <v>0</v>
      </c>
      <c r="R2851" t="n">
        <v>0</v>
      </c>
      <c r="S2851">
        <f>IFERROR(O2851/N2851,0)</f>
        <v/>
      </c>
      <c r="T2851">
        <f>IF(C2851,(H2851*N2851*(B2871+IF(AND(Inputs!$B$38&lt;&gt;"pvp",Inputs!$B$43&gt;0),((Skills!G8*((R2845-1)*IF(Skills!H8&gt;0,Skills!I8/Skills!H8,1)+IF(Skills!H8&gt;0,MIN(Skills!I8,MAX(0,MAX(0,Inputs!$B$43-B2874)-((R2845-1)*(IF(Inputs!$B$38="pvp",15,MAX(0.1,Skills!D8-IF(Skills!E8=TRUE,1.5,0)))*(1-IF(AND(ArtifactsInput!$M$27,Inputs!$B$4="Chapter Hunt"),CHOOSE(ArtifactsInput!$N$27+1,20,24,28,32,36,40),0)/100)))))/Skills!H8,1)))/Inputs!$B$43),G2845*Q2845)+IF(AND(Inputs!$B$38&lt;&gt;"pvp",Inputs!$B$43&gt;0),((Skills!G11*((R2848-1)*IF(Skills!H11&gt;0,Skills!I11/Skills!H11,1)+IF(Skills!H11&gt;0,MIN(Skills!I11,MAX(0,MAX(0,Inputs!$B$43-B2874)-((R2848-1)*(IF(Inputs!$B$38="pvp",15,MAX(0.1,Skills!D11-IF(Skills!E11=TRUE,1.5,0)))*(1-IF(AND(ArtifactsInput!$M$27,Inputs!$B$4="Chapter Hunt"),CHOOSE(ArtifactsInput!$N$27+1,20,24,28,32,36,40),0)/100)))))/Skills!H11,1)))/Inputs!$B$43),G2848*Q2848)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2851*(1-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2851*(1-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1">
        <f>IF(C2851,(H2851*N2851*(B2871+IF(AND(Inputs!$B$38&lt;&gt;"pvp",Inputs!$B$43&gt;0),((Skills!G8*((R2845-1)*IF(Skills!H8&gt;0,Skills!I8/Skills!H8,1)+IF(Skills!H8&gt;0,MIN(Skills!I8,MAX(0,MAX(0,Inputs!$B$43-B2874)-((R2845-1)*(IF(Inputs!$B$38="pvp",15,MAX(0.1,Skills!D8-IF(Skills!E8=TRUE,1.5,0)))*(1-IF(AND(ArtifactsInput!$M$27,Inputs!$B$4="Chapter Hunt"),CHOOSE(ArtifactsInput!$N$27+1,20,24,28,32,36,40),0)/100)))))/Skills!H8,1)))/Inputs!$B$43),G2845*Q2845)+IF(AND(Inputs!$B$38&lt;&gt;"pvp",Inputs!$B$43&gt;0),((Skills!G11*((R2848-1)*IF(Skills!H11&gt;0,Skills!I11/Skills!H11,1)+IF(Skills!H11&gt;0,MIN(Skills!I11,MAX(0,MAX(0,Inputs!$B$43-B2874)-((R2848-1)*(IF(Inputs!$B$38="pvp",15,MAX(0.1,Skills!D11-IF(Skills!E11=TRUE,1.5,0)))*(1-IF(AND(ArtifactsInput!$M$27,Inputs!$B$4="Chapter Hunt"),CHOOSE(ArtifactsInput!$N$27+1,20,24,28,32,36,40),0)/100)))))/Skills!H11,1)))/Inputs!$B$43),G2848*Q2848)))*IF(Inputs!$B$38="pvp",1,(1+(Inputs!$B$21+Skills!Q14+(IF(ArtifactsInput!$M$33,CHOOSE(ArtifactsInput!$N$33+1,30,36,42,48,54,60)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2">
      <c r="A2852">
        <f>Skills!A15</f>
        <v/>
      </c>
      <c r="B2852">
        <f>Skills!B15</f>
        <v/>
      </c>
      <c r="C2852">
        <f>Inputs!$B$3&gt;=100</f>
        <v/>
      </c>
      <c r="D2852">
        <f>IF(Skills!C15=1,60+Inputs!$B$25+Inputs!$B$29,IF(Skills!C15=2,90+Inputs!$B$26+Inputs!$B$29,IF(Skills!C15=3,120+Inputs!$B$27+Inputs!$B$29,MAX(0,(Inputs!$B$3-100)*3)+Inputs!$B$28+Inputs!$B$29)))</f>
        <v/>
      </c>
      <c r="E2852">
        <f>INDEX(FactorTable!$B$2:$Y$301, MATCH(ROUND(MIN(300,MAX(1,D2852)),0), FactorTable!$A$2:$A$301,0), Skills!M15+1)</f>
        <v/>
      </c>
      <c r="F2852">
        <f>IF(Skills!N15=TRUE,(Skills!L15/10)*(E2852/1000),Skills!L15/10)+Skills!O15</f>
        <v/>
      </c>
      <c r="G2852" t="inlineStr"/>
      <c r="H2852" t="inlineStr"/>
      <c r="I2852" t="inlineStr">
        <is>
          <t>1</t>
        </is>
      </c>
      <c r="J2852" t="inlineStr"/>
      <c r="K2852" t="inlineStr"/>
      <c r="L2852" t="inlineStr"/>
      <c r="M2852" t="inlineStr"/>
      <c r="N2852" t="inlineStr"/>
      <c r="O2852" t="inlineStr"/>
      <c r="P2852" t="inlineStr"/>
      <c r="Q2852" t="inlineStr"/>
      <c r="R2852" t="inlineStr"/>
      <c r="S2852" t="inlineStr"/>
    </row>
    <row r="2853">
      <c r="A2853">
        <f>Skills!A16</f>
        <v/>
      </c>
      <c r="B2853">
        <f>Skills!B16</f>
        <v/>
      </c>
      <c r="C2853">
        <f>Inputs!$B$3&gt;=120</f>
        <v/>
      </c>
      <c r="D2853">
        <f>IF(Skills!C16=1,60+Inputs!$B$25+Inputs!$B$29,IF(Skills!C16=2,90+Inputs!$B$26+Inputs!$B$29,IF(Skills!C16=3,120+Inputs!$B$27+Inputs!$B$29,MAX(0,(Inputs!$B$3-100)*3)+Inputs!$B$28+Inputs!$B$29)))</f>
        <v/>
      </c>
      <c r="E2853">
        <f>INDEX(FactorTable!$B$2:$Y$301, MATCH(ROUND(MIN(300,MAX(1,D2853)),0), FactorTable!$A$2:$A$301,0), Skills!M16+1)</f>
        <v/>
      </c>
      <c r="F2853">
        <f>IF(Skills!N16=TRUE,(Skills!L16/10)*(E2853/1000),Skills!L16/10)+Skills!O16</f>
        <v/>
      </c>
      <c r="G2853" t="inlineStr"/>
      <c r="H2853" t="inlineStr"/>
      <c r="I2853" t="inlineStr">
        <is>
          <t>1</t>
        </is>
      </c>
      <c r="J2853" t="inlineStr"/>
      <c r="K2853" t="inlineStr"/>
      <c r="L2853" t="inlineStr"/>
      <c r="M2853" t="inlineStr"/>
      <c r="N2853" t="inlineStr"/>
      <c r="O2853" t="inlineStr"/>
      <c r="P2853" t="inlineStr"/>
      <c r="Q2853" t="inlineStr"/>
      <c r="R2853" t="inlineStr"/>
      <c r="S2853" t="inlineStr"/>
    </row>
    <row r="2854">
      <c r="A2854">
        <f>Skills!A17</f>
        <v/>
      </c>
      <c r="B2854">
        <f>Skills!B17</f>
        <v/>
      </c>
      <c r="C2854">
        <f>Inputs!$B$3&gt;=66</f>
        <v/>
      </c>
      <c r="D2854">
        <f>IF(Skills!C17=1,60+Inputs!$B$25+Inputs!$B$29,IF(Skills!C17=2,90+Inputs!$B$26+Inputs!$B$29,IF(Skills!C17=3,120+Inputs!$B$27+Inputs!$B$29,MAX(0,(Inputs!$B$3-100)*3)+Inputs!$B$28+Inputs!$B$29)))</f>
        <v/>
      </c>
      <c r="E2854">
        <f>INDEX(FactorTable!$B$2:$Y$301, MATCH(ROUND(MIN(300,MAX(1,D2854)),0), FactorTable!$A$2:$A$301,0), Skills!M17+1)</f>
        <v/>
      </c>
      <c r="F2854">
        <f>IF(Skills!N17=TRUE,(Skills!L17/10)*(E2854/1000),Skills!L17/10)+Skills!O17</f>
        <v/>
      </c>
      <c r="G2854">
        <f>Skills!G17*IF(Skills!H17&gt;0,Skills!I17/Skills!H17,1)</f>
        <v/>
      </c>
      <c r="H2854">
        <f>1-(1-Skills!J17/100)^Skills!K17</f>
        <v/>
      </c>
      <c r="I2854" t="inlineStr">
        <is>
          <t>1</t>
        </is>
      </c>
      <c r="J2854" t="inlineStr"/>
      <c r="K2854" t="inlineStr"/>
      <c r="L2854" t="inlineStr"/>
      <c r="M2854" t="inlineStr"/>
      <c r="N2854" t="inlineStr"/>
      <c r="O2854">
        <f>(1-Summary!$B$11)*T2854+Summary!$B$11*V2854</f>
        <v/>
      </c>
      <c r="P2854">
        <f>IF(B2877=0,0,O2854/B2877)</f>
        <v/>
      </c>
      <c r="Q2854" t="n">
        <v>0</v>
      </c>
      <c r="R2854" t="n">
        <v>0</v>
      </c>
      <c r="S2854">
        <f>IFERROR(O2854/N2854,0)</f>
        <v/>
      </c>
      <c r="T2854" t="n">
        <v>0</v>
      </c>
      <c r="V2854" t="n">
        <v>0</v>
      </c>
    </row>
    <row r="2855">
      <c r="A2855">
        <f>Skills!A18</f>
        <v/>
      </c>
      <c r="B2855">
        <f>Skills!B18</f>
        <v/>
      </c>
      <c r="C2855">
        <f>Inputs!$B$3&gt;=115</f>
        <v/>
      </c>
      <c r="D2855">
        <f>IF(Skills!C18=1,60+Inputs!$B$25+Inputs!$B$29,IF(Skills!C18=2,90+Inputs!$B$26+Inputs!$B$29,IF(Skills!C18=3,120+Inputs!$B$27+Inputs!$B$29,MAX(0,(Inputs!$B$3-100)*3)+Inputs!$B$28+Inputs!$B$29)))</f>
        <v/>
      </c>
      <c r="E2855">
        <f>INDEX(FactorTable!$B$2:$Y$301, MATCH(ROUND(MIN(300,MAX(1,D2855)),0), FactorTable!$A$2:$A$301,0), Skills!M18+1)</f>
        <v/>
      </c>
      <c r="F2855">
        <f>IF(Skills!N18=TRUE,(Skills!L18/10)*(E2855/1000),Skills!L18/10)+Skills!O18</f>
        <v/>
      </c>
      <c r="G2855">
        <f>Skills!G18*IF(Skills!H18&gt;0,Skills!I18/Skills!H18,1)</f>
        <v/>
      </c>
      <c r="H2855">
        <f>1-(1-Skills!J18/100)^Skills!K18</f>
        <v/>
      </c>
      <c r="I2855" t="inlineStr">
        <is>
          <t>1</t>
        </is>
      </c>
      <c r="J2855" t="inlineStr"/>
      <c r="K2855" t="inlineStr"/>
      <c r="L2855" t="inlineStr"/>
      <c r="M2855" t="inlineStr"/>
      <c r="N2855" t="inlineStr"/>
      <c r="O2855">
        <f>(1-Summary!$B$11)*T2855+Summary!$B$11*V2855</f>
        <v/>
      </c>
      <c r="P2855">
        <f>IF(B2877=0,0,O2855/B2877)</f>
        <v/>
      </c>
      <c r="Q2855" t="n">
        <v>0</v>
      </c>
      <c r="R2855" t="n">
        <v>0</v>
      </c>
      <c r="S2855">
        <f>IFERROR(O2855/N2855,0)</f>
        <v/>
      </c>
      <c r="T2855" t="n">
        <v>0</v>
      </c>
      <c r="V2855" t="n">
        <v>0</v>
      </c>
    </row>
    <row r="2856">
      <c r="A2856">
        <f>Skills!A19</f>
        <v/>
      </c>
      <c r="B2856">
        <f>Skills!B19</f>
        <v/>
      </c>
      <c r="C2856">
        <f>Inputs!$B$3&gt;=15</f>
        <v/>
      </c>
      <c r="D2856">
        <f>IF(Skills!C19=1,60+Inputs!$B$25+Inputs!$B$29,IF(Skills!C19=2,90+Inputs!$B$26+Inputs!$B$29,IF(Skills!C19=3,120+Inputs!$B$27+Inputs!$B$29,MAX(0,(Inputs!$B$3-100)*3)+Inputs!$B$28+Inputs!$B$29)))</f>
        <v/>
      </c>
      <c r="E2856">
        <f>INDEX(FactorTable!$B$2:$Y$301, MATCH(ROUND(MIN(300,MAX(1,D2856)),0), FactorTable!$A$2:$A$301,0), Skills!M19+1)</f>
        <v/>
      </c>
      <c r="F2856">
        <f>IF(Skills!N19=TRUE,(Skills!L19/10)*(E2856/1000),Skills!L19/10)+Skills!O19</f>
        <v/>
      </c>
      <c r="G2856">
        <f>Skills!G19*IF(Skills!H19&gt;0,Skills!I19/Skills!H19,1)</f>
        <v/>
      </c>
      <c r="H2856">
        <f>1-(1-Skills!J19/100)^Skills!K19</f>
        <v/>
      </c>
      <c r="I2856" t="inlineStr">
        <is>
          <t>1</t>
        </is>
      </c>
      <c r="J2856" t="inlineStr"/>
      <c r="K2856" t="inlineStr"/>
      <c r="L2856" t="inlineStr"/>
      <c r="M2856" t="inlineStr"/>
      <c r="N2856" t="inlineStr"/>
      <c r="O2856">
        <f>(1-Summary!$B$11)*T2856+Summary!$B$11*V2856</f>
        <v/>
      </c>
      <c r="P2856">
        <f>IF(B2877=0,0,O2856/B2877)</f>
        <v/>
      </c>
      <c r="Q2856" t="n">
        <v>0</v>
      </c>
      <c r="R2856" t="n">
        <v>0</v>
      </c>
      <c r="S2856">
        <f>IFERROR(O2856/N2856,0)</f>
        <v/>
      </c>
      <c r="T2856" t="n">
        <v>0</v>
      </c>
      <c r="V2856" t="n">
        <v>0</v>
      </c>
    </row>
    <row r="2857">
      <c r="A2857">
        <f>Skills!A20</f>
        <v/>
      </c>
      <c r="B2857">
        <f>Skills!B20</f>
        <v/>
      </c>
      <c r="C2857">
        <f>Inputs!$B$3&gt;=10</f>
        <v/>
      </c>
      <c r="D2857">
        <f>IF(Skills!C20=1,60+Inputs!$B$25+Inputs!$B$29,IF(Skills!C20=2,90+Inputs!$B$26+Inputs!$B$29,IF(Skills!C20=3,120+Inputs!$B$27+Inputs!$B$29,MAX(0,(Inputs!$B$3-100)*3)+Inputs!$B$28+Inputs!$B$29)))</f>
        <v/>
      </c>
      <c r="E2857">
        <f>INDEX(FactorTable!$B$2:$Y$301, MATCH(ROUND(MIN(300,MAX(1,D2857)),0), FactorTable!$A$2:$A$301,0), Skills!M20+1)</f>
        <v/>
      </c>
      <c r="F2857">
        <f>IF(Skills!N20=TRUE,(Skills!L20/10)*(E2857/1000),Skills!L20/10)+Skills!O20</f>
        <v/>
      </c>
      <c r="G2857">
        <f>Skills!G20*IF(Skills!H20&gt;0,Skills!I20/Skills!H20,1)</f>
        <v/>
      </c>
      <c r="H2857">
        <f>1-(1-Skills!J20/100)^Skills!K20</f>
        <v/>
      </c>
      <c r="I2857" t="inlineStr">
        <is>
          <t>1</t>
        </is>
      </c>
      <c r="J2857" t="inlineStr"/>
      <c r="K2857" t="inlineStr"/>
      <c r="L2857" t="inlineStr"/>
      <c r="M2857" t="inlineStr"/>
      <c r="N2857" t="inlineStr"/>
      <c r="O2857">
        <f>(1-Summary!$B$11)*T2857+Summary!$B$11*V2857</f>
        <v/>
      </c>
      <c r="P2857">
        <f>IF(B2877=0,0,O2857/B2877)</f>
        <v/>
      </c>
      <c r="Q2857" t="n">
        <v>0</v>
      </c>
      <c r="R2857" t="n">
        <v>0</v>
      </c>
      <c r="S2857">
        <f>IFERROR(O2857/N2857,0)</f>
        <v/>
      </c>
      <c r="T2857" t="n">
        <v>0</v>
      </c>
      <c r="V2857" t="n">
        <v>0</v>
      </c>
    </row>
    <row r="2858">
      <c r="A2858">
        <f>Skills!A21</f>
        <v/>
      </c>
      <c r="B2858">
        <f>Skills!B21</f>
        <v/>
      </c>
      <c r="C2858">
        <f>Inputs!$B$3&gt;=33</f>
        <v/>
      </c>
      <c r="D2858">
        <f>IF(Skills!C21=1,60+Inputs!$B$25+Inputs!$B$29,IF(Skills!C21=2,90+Inputs!$B$26+Inputs!$B$29,IF(Skills!C21=3,120+Inputs!$B$27+Inputs!$B$29,MAX(0,(Inputs!$B$3-100)*3)+Inputs!$B$28+Inputs!$B$29)))</f>
        <v/>
      </c>
      <c r="E2858">
        <f>INDEX(FactorTable!$B$2:$Y$301, MATCH(ROUND(MIN(300,MAX(1,D2858)),0), FactorTable!$A$2:$A$301,0), Skills!M21+1)</f>
        <v/>
      </c>
      <c r="F2858">
        <f>IF(Skills!N21=TRUE,(Skills!L21/10)*(E2858/1000),Skills!L21/10)+Skills!O21</f>
        <v/>
      </c>
      <c r="G2858">
        <f>Skills!G21*IF(Skills!H21&gt;0,Skills!I21/Skills!H21,1)</f>
        <v/>
      </c>
      <c r="H2858">
        <f>1-(1-Skills!J21/100)^Skills!K21</f>
        <v/>
      </c>
      <c r="I2858" t="inlineStr">
        <is>
          <t>1</t>
        </is>
      </c>
      <c r="J2858" t="inlineStr"/>
      <c r="K2858" t="inlineStr"/>
      <c r="L2858" t="inlineStr"/>
      <c r="M2858" t="inlineStr"/>
      <c r="N2858" t="inlineStr"/>
      <c r="O2858">
        <f>(1-Summary!$B$11)*T2858+Summary!$B$11*V2858</f>
        <v/>
      </c>
      <c r="P2858">
        <f>IF(B2877=0,0,O2858/B2877)</f>
        <v/>
      </c>
      <c r="Q2858" t="n">
        <v>0</v>
      </c>
      <c r="R2858" t="n">
        <v>0</v>
      </c>
      <c r="S2858">
        <f>IFERROR(O2858/N2858,0)</f>
        <v/>
      </c>
      <c r="T2858" t="n">
        <v>0</v>
      </c>
      <c r="V2858" t="n">
        <v>0</v>
      </c>
    </row>
    <row r="2859">
      <c r="A2859">
        <f>Skills!A22</f>
        <v/>
      </c>
      <c r="B2859">
        <f>Skills!B22</f>
        <v/>
      </c>
      <c r="C2859">
        <f>Inputs!$B$3&gt;=43</f>
        <v/>
      </c>
      <c r="D2859">
        <f>IF(Skills!C22=1,60+Inputs!$B$25+Inputs!$B$29,IF(Skills!C22=2,90+Inputs!$B$26+Inputs!$B$29,IF(Skills!C22=3,120+Inputs!$B$27+Inputs!$B$29,MAX(0,(Inputs!$B$3-100)*3)+Inputs!$B$28+Inputs!$B$29)))</f>
        <v/>
      </c>
      <c r="E2859">
        <f>INDEX(FactorTable!$B$2:$Y$301, MATCH(ROUND(MIN(300,MAX(1,D2859)),0), FactorTable!$A$2:$A$301,0), Skills!M22+1)</f>
        <v/>
      </c>
      <c r="F2859">
        <f>IF(Skills!N22=TRUE,(Skills!L22/10)*(E2859/1000),Skills!L22/10)+Skills!O22</f>
        <v/>
      </c>
      <c r="G2859">
        <f>Skills!G22*IF(Skills!H22&gt;0,Skills!I22/Skills!H22,1)</f>
        <v/>
      </c>
      <c r="H2859">
        <f>1-(1-Skills!J22/100)^Skills!K22</f>
        <v/>
      </c>
      <c r="I2859" t="inlineStr">
        <is>
          <t>1</t>
        </is>
      </c>
      <c r="J2859" t="inlineStr"/>
      <c r="K2859" t="inlineStr"/>
      <c r="L2859" t="inlineStr"/>
      <c r="M2859" t="inlineStr"/>
      <c r="N2859" t="inlineStr"/>
      <c r="O2859">
        <f>(1-Summary!$B$11)*T2859+Summary!$B$11*V2859</f>
        <v/>
      </c>
      <c r="P2859">
        <f>IF(B2877=0,0,O2859/B2877)</f>
        <v/>
      </c>
      <c r="Q2859" t="n">
        <v>0</v>
      </c>
      <c r="R2859" t="n">
        <v>0</v>
      </c>
      <c r="S2859">
        <f>IFERROR(O2859/N2859,0)</f>
        <v/>
      </c>
      <c r="T2859" t="n">
        <v>0</v>
      </c>
      <c r="V2859" t="n">
        <v>0</v>
      </c>
    </row>
    <row r="2860">
      <c r="A2860">
        <f>Skills!A23</f>
        <v/>
      </c>
      <c r="B2860">
        <f>Skills!B23</f>
        <v/>
      </c>
      <c r="C2860">
        <f>Inputs!$B$3&gt;=38</f>
        <v/>
      </c>
      <c r="D2860">
        <f>IF(Skills!C23=1,60+Inputs!$B$25+Inputs!$B$29,IF(Skills!C23=2,90+Inputs!$B$26+Inputs!$B$29,IF(Skills!C23=3,120+Inputs!$B$27+Inputs!$B$29,MAX(0,(Inputs!$B$3-100)*3)+Inputs!$B$28+Inputs!$B$29)))</f>
        <v/>
      </c>
      <c r="E2860">
        <f>INDEX(FactorTable!$B$2:$Y$301, MATCH(ROUND(MIN(300,MAX(1,D2860)),0), FactorTable!$A$2:$A$301,0), Skills!M23+1)</f>
        <v/>
      </c>
      <c r="F2860">
        <f>IF(Skills!N23=TRUE,(Skills!L23/10)*(E2860/1000),Skills!L23/10)+Skills!O23</f>
        <v/>
      </c>
      <c r="G2860">
        <f>Skills!G23*IF(Skills!H23&gt;0,Skills!I23/Skills!H23,1)</f>
        <v/>
      </c>
      <c r="H2860">
        <f>1-(1-Skills!J23/100)^Skills!K23</f>
        <v/>
      </c>
      <c r="I2860" t="inlineStr">
        <is>
          <t>1</t>
        </is>
      </c>
      <c r="J2860" t="inlineStr"/>
      <c r="K2860" t="inlineStr"/>
      <c r="L2860" t="inlineStr"/>
      <c r="M2860" t="inlineStr"/>
      <c r="N2860" t="inlineStr"/>
      <c r="O2860">
        <f>(1-Summary!$B$11)*T2860+Summary!$B$11*V2860</f>
        <v/>
      </c>
      <c r="P2860">
        <f>IF(B2877=0,0,O2860/B2877)</f>
        <v/>
      </c>
      <c r="Q2860" t="n">
        <v>0</v>
      </c>
      <c r="R2860" t="n">
        <v>0</v>
      </c>
      <c r="S2860">
        <f>IFERROR(O2860/N2860,0)</f>
        <v/>
      </c>
      <c r="T2860" t="n">
        <v>0</v>
      </c>
      <c r="V2860" t="n">
        <v>0</v>
      </c>
    </row>
    <row r="2861">
      <c r="A2861">
        <f>Skills!A24</f>
        <v/>
      </c>
      <c r="B2861">
        <f>Skills!B24</f>
        <v/>
      </c>
      <c r="C2861">
        <f>Inputs!$B$3&gt;=40</f>
        <v/>
      </c>
      <c r="D2861">
        <f>IF(Skills!C24=1,60+Inputs!$B$25+Inputs!$B$29,IF(Skills!C24=2,90+Inputs!$B$26+Inputs!$B$29,IF(Skills!C24=3,120+Inputs!$B$27+Inputs!$B$29,MAX(0,(Inputs!$B$3-100)*3)+Inputs!$B$28+Inputs!$B$29)))</f>
        <v/>
      </c>
      <c r="E2861">
        <f>INDEX(FactorTable!$B$2:$Y$301, MATCH(ROUND(MIN(300,MAX(1,D2861)),0), FactorTable!$A$2:$A$301,0), Skills!M24+1)</f>
        <v/>
      </c>
      <c r="F2861">
        <f>IF(Skills!N24=TRUE,(Skills!L24/10)*(E2861/1000),Skills!L24/10)+Skills!O24</f>
        <v/>
      </c>
      <c r="G2861">
        <f>Skills!G24*IF(Skills!H24&gt;0,Skills!I24/Skills!H24,1)</f>
        <v/>
      </c>
      <c r="H2861">
        <f>1-(1-Skills!J24/100)^Skills!K24</f>
        <v/>
      </c>
      <c r="I2861" t="inlineStr">
        <is>
          <t>1</t>
        </is>
      </c>
      <c r="J2861" t="inlineStr"/>
      <c r="K2861" t="inlineStr"/>
      <c r="L2861" t="inlineStr"/>
      <c r="M2861" t="inlineStr"/>
      <c r="N2861" t="inlineStr"/>
      <c r="O2861">
        <f>(1-Summary!$B$11)*T2861+Summary!$B$11*V2861</f>
        <v/>
      </c>
      <c r="P2861">
        <f>IF(B2877=0,0,O2861/B2877)</f>
        <v/>
      </c>
      <c r="Q2861" t="n">
        <v>0</v>
      </c>
      <c r="R2861" t="n">
        <v>0</v>
      </c>
      <c r="S2861">
        <f>IFERROR(O2861/N2861,0)</f>
        <v/>
      </c>
      <c r="T2861" t="n">
        <v>0</v>
      </c>
      <c r="V2861" t="n">
        <v>0</v>
      </c>
    </row>
    <row r="2862">
      <c r="A2862">
        <f>Skills!A25</f>
        <v/>
      </c>
      <c r="B2862">
        <f>Skills!B25</f>
        <v/>
      </c>
      <c r="C2862">
        <f>Inputs!$B$3&gt;=72</f>
        <v/>
      </c>
      <c r="D2862">
        <f>IF(Skills!C25=1,60+Inputs!$B$25+Inputs!$B$29,IF(Skills!C25=2,90+Inputs!$B$26+Inputs!$B$29,IF(Skills!C25=3,120+Inputs!$B$27+Inputs!$B$29,MAX(0,(Inputs!$B$3-100)*3)+Inputs!$B$28+Inputs!$B$29)))</f>
        <v/>
      </c>
      <c r="E2862">
        <f>INDEX(FactorTable!$B$2:$Y$301, MATCH(ROUND(MIN(300,MAX(1,D2862)),0), FactorTable!$A$2:$A$301,0), Skills!M25+1)</f>
        <v/>
      </c>
      <c r="F2862">
        <f>IF(Skills!N25=TRUE,(Skills!L25/10)*(E2862/1000),Skills!L25/10)+Skills!O25</f>
        <v/>
      </c>
      <c r="G2862">
        <f>Skills!G25*IF(Skills!H25&gt;0,Skills!I25/Skills!H25,1)</f>
        <v/>
      </c>
      <c r="H2862">
        <f>1-(1-Skills!J25/100)^Skills!K25</f>
        <v/>
      </c>
      <c r="I2862" t="inlineStr">
        <is>
          <t>1</t>
        </is>
      </c>
      <c r="J2862" t="inlineStr"/>
      <c r="K2862" t="inlineStr"/>
      <c r="L2862" t="inlineStr"/>
      <c r="M2862" t="inlineStr"/>
      <c r="N2862" t="inlineStr"/>
      <c r="O2862">
        <f>(1-Summary!$B$11)*T2862+Summary!$B$11*V2862</f>
        <v/>
      </c>
      <c r="P2862">
        <f>IF(B2877=0,0,O2862/B2877)</f>
        <v/>
      </c>
      <c r="Q2862" t="n">
        <v>0</v>
      </c>
      <c r="R2862" t="n">
        <v>0</v>
      </c>
      <c r="S2862">
        <f>IFERROR(O2862/N2862,0)</f>
        <v/>
      </c>
      <c r="T2862" t="n">
        <v>0</v>
      </c>
      <c r="V2862" t="n">
        <v>0</v>
      </c>
    </row>
    <row r="2863">
      <c r="A2863">
        <f>Skills!A26</f>
        <v/>
      </c>
      <c r="B2863">
        <f>Skills!B26</f>
        <v/>
      </c>
      <c r="C2863">
        <f>Inputs!$B$3&gt;=75</f>
        <v/>
      </c>
      <c r="D2863">
        <f>IF(Skills!C26=1,60+Inputs!$B$25+Inputs!$B$29,IF(Skills!C26=2,90+Inputs!$B$26+Inputs!$B$29,IF(Skills!C26=3,120+Inputs!$B$27+Inputs!$B$29,MAX(0,(Inputs!$B$3-100)*3)+Inputs!$B$28+Inputs!$B$29)))</f>
        <v/>
      </c>
      <c r="E2863">
        <f>INDEX(FactorTable!$B$2:$Y$301, MATCH(ROUND(MIN(300,MAX(1,D2863)),0), FactorTable!$A$2:$A$301,0), Skills!M26+1)</f>
        <v/>
      </c>
      <c r="F2863">
        <f>IF(Skills!N26=TRUE,(Skills!L26/10)*(E2863/1000),Skills!L26/10)+Skills!O26</f>
        <v/>
      </c>
      <c r="G2863">
        <f>Skills!G26*IF(Skills!H26&gt;0,Skills!I26/Skills!H26,1)</f>
        <v/>
      </c>
      <c r="H2863">
        <f>1-(1-Skills!J26/100)^Skills!K26</f>
        <v/>
      </c>
      <c r="I2863" t="inlineStr">
        <is>
          <t>1</t>
        </is>
      </c>
      <c r="J2863" t="inlineStr"/>
      <c r="K2863" t="inlineStr"/>
      <c r="L2863" t="inlineStr"/>
      <c r="M2863" t="inlineStr"/>
      <c r="N2863" t="inlineStr"/>
      <c r="O2863">
        <f>(1-Summary!$B$11)*T2863+Summary!$B$11*V2863</f>
        <v/>
      </c>
      <c r="P2863">
        <f>IF(B2877=0,0,O2863/B2877)</f>
        <v/>
      </c>
      <c r="Q2863" t="n">
        <v>0</v>
      </c>
      <c r="R2863" t="n">
        <v>0</v>
      </c>
      <c r="S2863">
        <f>IFERROR(O2863/N2863,0)</f>
        <v/>
      </c>
      <c r="T2863" t="n">
        <v>0</v>
      </c>
      <c r="V2863" t="n">
        <v>0</v>
      </c>
    </row>
    <row r="2864">
      <c r="A2864">
        <f>Skills!A27</f>
        <v/>
      </c>
      <c r="B2864">
        <f>Skills!B27</f>
        <v/>
      </c>
      <c r="C2864">
        <f>Inputs!$B$3&gt;=117</f>
        <v/>
      </c>
      <c r="D2864">
        <f>IF(Skills!C27=1,60+Inputs!$B$25+Inputs!$B$29,IF(Skills!C27=2,90+Inputs!$B$26+Inputs!$B$29,IF(Skills!C27=3,120+Inputs!$B$27+Inputs!$B$29,MAX(0,(Inputs!$B$3-100)*3)+Inputs!$B$28+Inputs!$B$29)))</f>
        <v/>
      </c>
      <c r="E2864">
        <f>INDEX(FactorTable!$B$2:$Y$301, MATCH(ROUND(MIN(300,MAX(1,D2864)),0), FactorTable!$A$2:$A$301,0), Skills!M27+1)</f>
        <v/>
      </c>
      <c r="F2864">
        <f>IF(Skills!N27=TRUE,(Skills!L27/10)*(E2864/1000),Skills!L27/10)+Skills!O27</f>
        <v/>
      </c>
      <c r="G2864">
        <f>Skills!G27*IF(Skills!H27&gt;0,Skills!I27/Skills!H27,1)</f>
        <v/>
      </c>
      <c r="H2864">
        <f>1-(1-Skills!J27/100)^Skills!K27</f>
        <v/>
      </c>
      <c r="I2864" t="inlineStr">
        <is>
          <t>1</t>
        </is>
      </c>
      <c r="J2864" t="inlineStr"/>
      <c r="K2864" t="inlineStr"/>
      <c r="L2864" t="inlineStr"/>
      <c r="M2864" t="inlineStr"/>
      <c r="N2864" t="inlineStr"/>
      <c r="O2864">
        <f>(1-Summary!$B$11)*T2864+Summary!$B$11*V2864</f>
        <v/>
      </c>
      <c r="P2864">
        <f>IF(B2877=0,0,O2864/B2877)</f>
        <v/>
      </c>
      <c r="Q2864" t="n">
        <v>0</v>
      </c>
      <c r="R2864" t="n">
        <v>0</v>
      </c>
      <c r="S2864">
        <f>IFERROR(O2864/N2864,0)</f>
        <v/>
      </c>
      <c r="T2864" t="n">
        <v>0</v>
      </c>
      <c r="V2864" t="n">
        <v>0</v>
      </c>
    </row>
    <row r="2866">
      <c r="A2866" t="inlineStr">
        <is>
          <t>Attack% Bucket Multiplier</t>
        </is>
      </c>
      <c r="B2866">
        <f>(1+(((C2854=TRUE)*F2854)+((C2861=TRUE)*(F2861-Calc!F24))+(IF(ArtifactsInput!$M$21,CHOOSE(ArtifactsInput!$N$21+1,25,30,35,40,45,50)*(IF(OR(Inputs!$B$4="Chapter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67">
      <c r="A2867" t="inlineStr">
        <is>
          <t>Global Crit Rate Bonus %</t>
        </is>
      </c>
      <c r="B2867" t="n">
        <v>0</v>
      </c>
    </row>
    <row r="2868">
      <c r="A2868" t="inlineStr">
        <is>
          <t>Attack Speed Buff Bonus % (unused)</t>
        </is>
      </c>
      <c r="B2868" t="n">
        <v>0</v>
      </c>
    </row>
    <row r="2869">
      <c r="A2869" t="inlineStr">
        <is>
          <t>Actions Per Second</t>
        </is>
      </c>
      <c r="B2869">
        <f>1+MIN(150,150*(1-(1-(Inputs!$B$11+((C2857=TRUE)*(F2857-Calc!F20))+((C2858=TRUE)*(F2858-Calc!F21)))/150)*(1-B2868/150)))/100</f>
        <v/>
      </c>
    </row>
    <row r="2870">
      <c r="A2870" t="inlineStr">
        <is>
          <t>Skill + Buff Cast Rate</t>
        </is>
      </c>
      <c r="B2870">
        <f>IF(AND(Inputs!$B$38&lt;&gt;"pvp",Inputs!$B$43&gt;0),SUMPRODUCT((Skills!E2:E27=TRUE)*(C2839:C2864=TRUE)*R2839:R2864*Skills!F2:F27)/Inputs!$B$43,SUMPRODUCT((Skills!E2:E27=TRUE)*(C2839:C2864=TRUE)*Q2839:Q2864*Skills!F2:F27))</f>
        <v/>
      </c>
    </row>
    <row r="2871">
      <c r="A2871" t="inlineStr">
        <is>
          <t>Eight-Legs Easton Casts Per Second</t>
        </is>
      </c>
      <c r="B2871">
        <f>MAX(0,B2869-B2870)</f>
        <v/>
      </c>
    </row>
    <row r="2872">
      <c r="A2872" t="inlineStr">
        <is>
          <t>Global Critical Damage Bonus % (unused)</t>
        </is>
      </c>
      <c r="B2872" t="n">
        <v>0</v>
      </c>
    </row>
    <row r="2873">
      <c r="A2873" t="inlineStr">
        <is>
          <t>Global Final Damage Bonus % (Jolly Roger only)</t>
        </is>
      </c>
      <c r="B2873">
        <f>((C2855=TRUE)*F2855)</f>
        <v/>
      </c>
    </row>
    <row r="2874">
      <c r="A2874" t="inlineStr">
        <is>
          <t>Buff-Casting Startup Delay (s, fixed-duration only)</t>
        </is>
      </c>
      <c r="B2874">
        <f>IF(AND(Inputs!$B$38&lt;&gt;"pvp",Inputs!$B$43&gt;0),SUMPRODUCT((Skills!T2:T27&gt;0)*(Skills!E2:E27=TRUE)*(C2839:C2864=TRUE))/B2869,0)</f>
        <v/>
      </c>
    </row>
    <row r="2875">
      <c r="A2875" t="inlineStr">
        <is>
          <t>Boss-Only Total DPS (this block's swept value)</t>
        </is>
      </c>
      <c r="B2875">
        <f>SUM(T2839:T2864)</f>
        <v/>
      </c>
    </row>
    <row r="2876">
      <c r="A2876" t="inlineStr">
        <is>
          <t>Normal-Only Total DPS (this block's swept value)</t>
        </is>
      </c>
      <c r="B2876">
        <f>SUM(V2839:V2864)</f>
        <v/>
      </c>
    </row>
    <row r="2877">
      <c r="A2877" s="6" t="inlineStr">
        <is>
          <t>TOTAL DPS</t>
        </is>
      </c>
      <c r="B2877" s="6">
        <f>SUM(O2839:O2864)</f>
        <v/>
      </c>
    </row>
    <row r="2880">
      <c r="A2880" s="6" t="inlineStr">
        <is>
          <t>Stat: CDR = 2.0s</t>
        </is>
      </c>
    </row>
    <row r="2881">
      <c r="A2881" s="5" t="inlineStr">
        <is>
          <t>Key</t>
        </is>
      </c>
      <c r="B2881" s="5" t="inlineStr">
        <is>
          <t>Name</t>
        </is>
      </c>
      <c r="C2881" s="5" t="inlineStr">
        <is>
          <t>Unlocked</t>
        </is>
      </c>
      <c r="D2881" s="5" t="inlineStr">
        <is>
          <t>InputLevel</t>
        </is>
      </c>
      <c r="E2881" s="5" t="inlineStr">
        <is>
          <t>Factor</t>
        </is>
      </c>
      <c r="F2881" s="5" t="inlineStr">
        <is>
          <t>CoefficientPercent</t>
        </is>
      </c>
      <c r="G2881" s="5" t="inlineStr">
        <is>
          <t>EffectiveHits</t>
        </is>
      </c>
      <c r="H2881" s="5" t="inlineStr">
        <is>
          <t>ProcProbability</t>
        </is>
      </c>
      <c r="I2881" s="5" t="inlineStr">
        <is>
          <t>MapleHeroMultiplier</t>
        </is>
      </c>
      <c r="J2881" s="5" t="inlineStr">
        <is>
          <t>BaseDamage</t>
        </is>
      </c>
      <c r="K2881" s="5" t="inlineStr">
        <is>
          <t>BaseHitDamage</t>
        </is>
      </c>
      <c r="L2881" s="5" t="inlineStr">
        <is>
          <t>NonCritAvg</t>
        </is>
      </c>
      <c r="M2881" s="5" t="inlineStr">
        <is>
          <t>CritAvg</t>
        </is>
      </c>
      <c r="N2881" s="5" t="inlineStr">
        <is>
          <t>ExpectedDamage(perHit)</t>
        </is>
      </c>
      <c r="O2881" s="5" t="inlineStr">
        <is>
          <t>DPS</t>
        </is>
      </c>
      <c r="P2881" s="5" t="inlineStr">
        <is>
          <t>% of Total</t>
        </is>
      </c>
      <c r="Q2881" s="5" t="inlineStr">
        <is>
          <t>InvCooldown</t>
        </is>
      </c>
      <c r="R2881" s="5" t="inlineStr">
        <is>
          <t>CastsInFight</t>
        </is>
      </c>
      <c r="S2881" s="5" t="inlineStr">
        <is>
          <t>HitRate(perSec)</t>
        </is>
      </c>
      <c r="U2881" t="inlineStr">
        <is>
          <t>helpers</t>
        </is>
      </c>
    </row>
    <row r="2882">
      <c r="A2882">
        <f>Skills!A2</f>
        <v/>
      </c>
      <c r="B2882">
        <f>Skills!B2</f>
        <v/>
      </c>
      <c r="C2882">
        <f>Inputs!$B$3&gt;=100</f>
        <v/>
      </c>
      <c r="D2882" t="inlineStr"/>
      <c r="E2882" t="inlineStr"/>
      <c r="F2882">
        <f>U2884+Skills!O2</f>
        <v/>
      </c>
      <c r="G2882">
        <f>Skills!G2*IF(Skills!H2&gt;0,Skills!I2/Skills!H2,1)</f>
        <v/>
      </c>
      <c r="H2882">
        <f>1-(1-Skills!J2/100)^Skills!K2</f>
        <v/>
      </c>
      <c r="I2882" t="inlineStr">
        <is>
          <t>1</t>
        </is>
      </c>
      <c r="J2882">
        <f>((Inputs!$B$6*(1+Inputs!$B$7/100))+(((Inputs!$B$12*(1+Inputs!$B$13/100))-(Inputs!$B$12*(1+Inputs!$B$13/100)))+0.25*(Inputs!$B$14-Inputs!$B$14))*(1+Inputs!$B$7/100))*(F2882/100)</f>
        <v/>
      </c>
      <c r="K2882">
        <f>J2882*(1+((Inputs!$B$12*(1+Inputs!$B$13/100))*0.01+Inputs!$B$14*0.0025)/100)*(1+Inputs!$B$15/100)*(1+Inputs!$B$16/100)*(5000/(6000+Inputs!$B$42*(1-(100*(1-(1-(Inputs!$B$19+0)/100)*(1-CHOOSE(ArtifactsInput!$N$40+1,5,6,7,8,9,10)/100)^(ArtifactsInput!$M$40-ArtifactsInput!$M$40)))/100)))*(1+(Inputs!$B$24+((C2906=TRUE)*(F2906-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2903=TRUE)*(F2903-Calc!F23))+((C2907=TRUE)*(F2907-Calc!F27))+(((IF(AND(ArtifactsInput!$M$42,((Inputs!$B$9+((C2899=TRUE)*(F2899-Calc!F19))+B2910+(ArtifactsInput!$M$24-ArtifactsInput!$M$24)*CHOOSE(ArtifactsInput!$N$24+1,10,12,14,16,18,20)+IF(ArtifactsInput!$M$10,CHOOSE(ArtifactsInput!$N$10+1,15,18,21,24,27,30)*(IF(Inputs!$B$38="pvp",MIN(15,15)/15,IF(AND(Inputs!$B$38&lt;&gt;"pvp",Inputs!$B$43&gt;0),MIN(15,Inputs!$B$43)/(Inputs!$B$43),0))),0)))&gt;=100),MIN(100,((Inputs!$B$9+((C2899=TRUE)*(F2899-Calc!F19))+B2910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2899=TRUE)*(F2899-Calc!F19))+B2910+(ArtifactsInput!$M$24-ArtifactsInput!$M$24)*CHOOSE(ArtifactsInput!$N$24+1,10,12,14,16,18,20)+IF(ArtifactsInput!$M$10,CHOOSE(ArtifactsInput!$N$10+1,15,18,21,24,27,30)*(IF(Inputs!$B$38="pvp",MIN(15,15)/15,IF(AND(Inputs!$B$38&lt;&gt;"pvp",Inputs!$B$43&gt;0),MIN(15,Inputs!$B$43)/(Inputs!$B$43),0))),0)))&gt;=100),CHOOSE(ArtifactsInput!$N$42+1,40,48,56,64,72,80),0))))/100)*((1+(((C2897=TRUE)*F2897)+((C2904=TRUE)*(F2904-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2882)</f>
        <v/>
      </c>
      <c r="L2882">
        <f>K2882*(MIN(Inputs!$B$22+((C2902=TRUE)*(F2902-Calc!F22)),(Inputs!$B$23+0+(IF(ArtifactsInput!$M$15,CHOOSE(ArtifactsInput!$N$15+1,25,30,35,40,45,50)/100*(Inputs!$B$11-Inputs!$B$11),0))))/100+(Inputs!$B$23+0+(IF(ArtifactsInput!$M$15,CHOOSE(ArtifactsInput!$N$15+1,25,30,35,40,45,50)/100*(Inputs!$B$11-Inputs!$B$11),0)))/100)/2</f>
        <v/>
      </c>
      <c r="M2882">
        <f>L2882*(1+(Inputs!$B$10+((C2905=TRUE)*(F2905-Calc!F25))+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2">
        <f>L2882*(1-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2882*(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2">
        <f>(1-Summary!$B$11)*T2882+Summary!$B$11*V2882</f>
        <v/>
      </c>
      <c r="P2882">
        <f>IF(B2920=0,0,O2882/B2920)</f>
        <v/>
      </c>
      <c r="Q2882" t="n">
        <v>0</v>
      </c>
      <c r="R2882" t="n">
        <v>0</v>
      </c>
      <c r="S2882">
        <f>IFERROR(O2882/N2882,0)</f>
        <v/>
      </c>
      <c r="T2882">
        <f>IF(C2882,(Skills!G2*N2882*B2914)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2882*(1-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2882*(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2882*(1-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2882*(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2">
        <f>MAX(0,(Inputs!$B$3-100)*3)+Inputs!$B$28+Inputs!$B$29</f>
        <v/>
      </c>
      <c r="V2882">
        <f>IF(C2882,(Skills!G2*N2882*B2914)*IF(Inputs!$B$38="pvp",1,(1+(Inputs!$B$21+Skills!Q2+(IF(ArtifactsInput!$M$33,CHOOSE(ArtifactsInput!$N$33+1,30,36,42,48,54,60),0))+(IF(AND(ArtifactsInput!$M$35,Inputs!$B$4&lt;&gt;"Chapter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3">
      <c r="A2883">
        <f>Skills!A3</f>
        <v/>
      </c>
      <c r="B2883">
        <f>Skills!B3</f>
        <v/>
      </c>
      <c r="C2883">
        <f>Inputs!$B$3&gt;=35</f>
        <v/>
      </c>
      <c r="D2883">
        <f>IF(Skills!C3=1,60+Inputs!$B$25+Inputs!$B$29,IF(Skills!C3=2,90+Inputs!$B$26+Inputs!$B$29,IF(Skills!C3=3,120+Inputs!$B$27+Inputs!$B$29,MAX(0,(Inputs!$B$3-100)*3)+Inputs!$B$28+Inputs!$B$29)))</f>
        <v/>
      </c>
      <c r="E2883">
        <f>INDEX(FactorTable!$B$2:$Y$301, MATCH(ROUND(MIN(300,MAX(1,D2883)),0), FactorTable!$A$2:$A$301,0), Skills!M3+1)</f>
        <v/>
      </c>
      <c r="F2883">
        <f>IF(Skills!N3=TRUE,(Skills!L3/10)*(E2883/1000),Skills!L3/10)+Skills!O3</f>
        <v/>
      </c>
      <c r="G2883">
        <f>Skills!G3*IF(Skills!H3&gt;0,Skills!I3/Skills!H3,1)</f>
        <v/>
      </c>
      <c r="H2883">
        <f>1-(1-Skills!J3/100)^Skills!K3</f>
        <v/>
      </c>
      <c r="I2883" t="inlineStr">
        <is>
          <t>1</t>
        </is>
      </c>
      <c r="J2883">
        <f>((Inputs!$B$6*(1+Inputs!$B$7/100))+(((Inputs!$B$12*(1+Inputs!$B$13/100))-(Inputs!$B$12*(1+Inputs!$B$13/100)))+0.25*(Inputs!$B$14-Inputs!$B$14))*(1+Inputs!$B$7/100))*(F2883/100)</f>
        <v/>
      </c>
      <c r="K2883">
        <f>J2883*(1+((Inputs!$B$12*(1+Inputs!$B$13/100))*0.01+Inputs!$B$14*0.0025)/100)*(1+Inputs!$B$15/100)*(1+Inputs!$B$16/100)*(5000/(6000+Inputs!$B$42*(1-(100*(1-(1-(Inputs!$B$19+0)/100)*(1-CHOOSE(ArtifactsInput!$N$40+1,5,6,7,8,9,10)/100)^(ArtifactsInput!$M$40-ArtifactsInput!$M$40)))/100)))*(1+(Inputs!$B$24+((C2906=TRUE)*(F2906-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2895=TRUE,F2895,0)/100)*(1+(IF(Skills!A3="EIGHT_LEGS_EASTON",Inputs!$B$17+((C2903=TRUE)*(F2903-Calc!F23))+((C2907=TRUE)*(F2907-Calc!F27))+(((IF(AND(ArtifactsInput!$M$42,((Inputs!$B$9+((C2899=TRUE)*(F2899-Calc!F19))+B2910+(ArtifactsInput!$M$24-ArtifactsInput!$M$24)*CHOOSE(ArtifactsInput!$N$24+1,10,12,14,16,18,20)+IF(ArtifactsInput!$M$10,CHOOSE(ArtifactsInput!$N$10+1,15,18,21,24,27,30)*(IF(Inputs!$B$38="pvp",MIN(15,15)/15,IF(AND(Inputs!$B$38&lt;&gt;"pvp",Inputs!$B$43&gt;0),MIN(15,Inputs!$B$43)/(Inputs!$B$43),0))),0)))&gt;=100),MIN(100,((Inputs!$B$9+((C2899=TRUE)*(F2899-Calc!F19))+B2910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2899=TRUE)*(F2899-Calc!F19))+B2910+(ArtifactsInput!$M$24-ArtifactsInput!$M$24)*CHOOSE(ArtifactsInput!$N$24+1,10,12,14,16,18,20)+IF(ArtifactsInput!$M$10,CHOOSE(ArtifactsInput!$N$10+1,15,18,21,24,27,30)*(IF(Inputs!$B$38="pvp",MIN(15,15)/15,IF(AND(Inputs!$B$38&lt;&gt;"pvp",Inputs!$B$43&gt;0),MIN(15,Inputs!$B$43)/(Inputs!$B$43),0))),0)))&gt;=100),CHOOSE(ArtifactsInput!$N$42+1,40,48,56,64,72,80),0))))/100)*((1+(((C2897=TRUE)*F2897)+((C2904=TRUE)*(F2904-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2883)</f>
        <v/>
      </c>
      <c r="L2883">
        <f>K2883*(MIN(Inputs!$B$22+((C2902=TRUE)*(F2902-Calc!F22)),(Inputs!$B$23+0+(IF(ArtifactsInput!$M$15,CHOOSE(ArtifactsInput!$N$15+1,25,30,35,40,45,50)/100*(Inputs!$B$11-Inputs!$B$11),0))))/100+(Inputs!$B$23+0+(IF(ArtifactsInput!$M$15,CHOOSE(ArtifactsInput!$N$15+1,25,30,35,40,45,50)/100*(Inputs!$B$11-Inputs!$B$11),0)))/100)/2</f>
        <v/>
      </c>
      <c r="M2883">
        <f>L2883*(1+(Inputs!$B$10+((C2905=TRUE)*(F2905-Calc!F25))+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3">
        <f>L2883*(1-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2883*(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3">
        <f>(1-Summary!$B$11)*T2883+Summary!$B$11*V2883</f>
        <v/>
      </c>
      <c r="P2883">
        <f>IF(B2920=0,0,O2883/B2920)</f>
        <v/>
      </c>
      <c r="Q2883">
        <f>IFERROR(1/(IF(Inputs!$B$38="pvp",15,MAX(0.1,Skills!D3-IF(Skills!E3=TRUE,2.0,0)))*(1-IF(AND(ArtifactsInput!$M$27,Inputs!$B$4="Chapter Hunt"),CHOOSE(ArtifactsInput!$N$27+1,20,24,28,32,36,40),0)/100)),0)</f>
        <v/>
      </c>
      <c r="R2883">
        <f>IF(AND(Inputs!$B$38&lt;&gt;"pvp",Inputs!$B$43&gt;0),IF(MAX(0,Inputs!$B$43-B2917)&lt;=0,0,(INT(MAX(0,Inputs!$B$43-B2917)/(IF(Inputs!$B$38="pvp",15,MAX(0.1,Skills!D3-IF(Skills!E3=TRUE,2.0,0)))*(1-IF(AND(ArtifactsInput!$M$27,Inputs!$B$4="Chapter Hunt"),CHOOSE(ArtifactsInput!$N$27+1,20,24,28,32,36,40),0)/100)))+1)),0)</f>
        <v/>
      </c>
      <c r="S2883">
        <f>IFERROR(O2883/N2883,0)</f>
        <v/>
      </c>
      <c r="T2883">
        <f>IF(C2883,(H2883*N2883*IF(AND(Inputs!$B$38&lt;&gt;"pvp",Inputs!$B$43&gt;0),((Skills!G3*((R2883-1)*IF(Skills!H3&gt;0,Skills!I3/Skills!H3,1)+IF(Skills!H3&gt;0,MIN(Skills!I3,MAX(0,MAX(0,Inputs!$B$43-B2917)-((R2883-1)*(IF(Inputs!$B$38="pvp",15,MAX(0.1,Skills!D3-IF(Skills!E3=TRUE,2.0,0)))*(1-IF(AND(ArtifactsInput!$M$27,Inputs!$B$4="Chapter Hunt"),CHOOSE(ArtifactsInput!$N$27+1,20,24,28,32,36,40),0)/100)))))/Skills!H3,1)))/Inputs!$B$43),G2883*Q2883)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2883*(1-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2883*(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2883*(1-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2883*(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3">
        <f>INDEX(FactorTable!$B$2:$Y$301, MATCH(ROUND(MIN(300,MAX(1,U2882)),0), FactorTable!$A$2:$A$301,0), 22)</f>
        <v/>
      </c>
      <c r="V2883">
        <f>IF(C2883,(H2883*N2883*IF(AND(Inputs!$B$38&lt;&gt;"pvp",Inputs!$B$43&gt;0),((Skills!G3*((R2883-1)*IF(Skills!H3&gt;0,Skills!I3/Skills!H3,1)+IF(Skills!H3&gt;0,MIN(Skills!I3,MAX(0,MAX(0,Inputs!$B$43-B2917)-((R2883-1)*(IF(Inputs!$B$38="pvp",15,MAX(0.1,Skills!D3-IF(Skills!E3=TRUE,2.0,0)))*(1-IF(AND(ArtifactsInput!$M$27,Inputs!$B$4="Chapter Hunt"),CHOOSE(ArtifactsInput!$N$27+1,20,24,28,32,36,40),0)/100)))))/Skills!H3,1)))/Inputs!$B$43),G2883*Q2883))*IF(Inputs!$B$38="pvp",1,(1+(Inputs!$B$21+Skills!Q3+(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4">
      <c r="A2884">
        <f>Skills!A4</f>
        <v/>
      </c>
      <c r="B2884">
        <f>Skills!B4</f>
        <v/>
      </c>
      <c r="C2884">
        <f>Inputs!$B$3&gt;=40</f>
        <v/>
      </c>
      <c r="D2884">
        <f>IF(Skills!C4=1,60+Inputs!$B$25+Inputs!$B$29,IF(Skills!C4=2,90+Inputs!$B$26+Inputs!$B$29,IF(Skills!C4=3,120+Inputs!$B$27+Inputs!$B$29,MAX(0,(Inputs!$B$3-100)*3)+Inputs!$B$28+Inputs!$B$29)))</f>
        <v/>
      </c>
      <c r="E2884">
        <f>INDEX(FactorTable!$B$2:$Y$301, MATCH(ROUND(MIN(300,MAX(1,D2884)),0), FactorTable!$A$2:$A$301,0), Skills!M4+1)</f>
        <v/>
      </c>
      <c r="F2884">
        <f>IF(Skills!N4=TRUE,(Skills!L4/10)*(E2884/1000),Skills!L4/10)+Skills!O4</f>
        <v/>
      </c>
      <c r="G2884">
        <f>Skills!G4*IF(Skills!H4&gt;0,Skills!I4/Skills!H4,1)</f>
        <v/>
      </c>
      <c r="H2884">
        <f>1-(1-Skills!J4/100)^Skills!K4</f>
        <v/>
      </c>
      <c r="I2884" t="inlineStr">
        <is>
          <t>1</t>
        </is>
      </c>
      <c r="J2884">
        <f>((Inputs!$B$6*(1+Inputs!$B$7/100))+(((Inputs!$B$12*(1+Inputs!$B$13/100))-(Inputs!$B$12*(1+Inputs!$B$13/100)))+0.25*(Inputs!$B$14-Inputs!$B$14))*(1+Inputs!$B$7/100))*(F2884/100)</f>
        <v/>
      </c>
      <c r="K2884">
        <f>J2884*(1+((Inputs!$B$12*(1+Inputs!$B$13/100))*0.01+Inputs!$B$14*0.0025)/100)*(1+Inputs!$B$15/100)*(1+Inputs!$B$16/100)*(5000/(6000+Inputs!$B$42*(1-(100*(1-(1-(Inputs!$B$19+0)/100)*(1-CHOOSE(ArtifactsInput!$N$40+1,5,6,7,8,9,10)/100)^(ArtifactsInput!$M$40-ArtifactsInput!$M$40)))/100)))*(1+(Inputs!$B$24+((C2906=TRUE)*(F2906-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2896=TRUE,F2896,0)/100)*(1+(IF(Skills!A4="EIGHT_LEGS_EASTON",Inputs!$B$17+((C2903=TRUE)*(F2903-Calc!F23))+((C2907=TRUE)*(F2907-Calc!F27))+(((IF(AND(ArtifactsInput!$M$42,((Inputs!$B$9+((C2899=TRUE)*(F2899-Calc!F19))+B2910+(ArtifactsInput!$M$24-ArtifactsInput!$M$24)*CHOOSE(ArtifactsInput!$N$24+1,10,12,14,16,18,20)+IF(ArtifactsInput!$M$10,CHOOSE(ArtifactsInput!$N$10+1,15,18,21,24,27,30)*(IF(Inputs!$B$38="pvp",MIN(15,15)/15,IF(AND(Inputs!$B$38&lt;&gt;"pvp",Inputs!$B$43&gt;0),MIN(15,Inputs!$B$43)/(Inputs!$B$43),0))),0)))&gt;=100),MIN(100,((Inputs!$B$9+((C2899=TRUE)*(F2899-Calc!F19))+B2910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2899=TRUE)*(F2899-Calc!F19))+B2910+(ArtifactsInput!$M$24-ArtifactsInput!$M$24)*CHOOSE(ArtifactsInput!$N$24+1,10,12,14,16,18,20)+IF(ArtifactsInput!$M$10,CHOOSE(ArtifactsInput!$N$10+1,15,18,21,24,27,30)*(IF(Inputs!$B$38="pvp",MIN(15,15)/15,IF(AND(Inputs!$B$38&lt;&gt;"pvp",Inputs!$B$43&gt;0),MIN(15,Inputs!$B$43)/(Inputs!$B$43),0))),0)))&gt;=100),CHOOSE(ArtifactsInput!$N$42+1,40,48,56,64,72,80),0))))/100)*((1+(((C2897=TRUE)*F2897)+((C2904=TRUE)*(F2904-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2884)</f>
        <v/>
      </c>
      <c r="L2884">
        <f>K2884*(MIN(Inputs!$B$22+((C2902=TRUE)*(F2902-Calc!F22)),(Inputs!$B$23+0+(IF(ArtifactsInput!$M$15,CHOOSE(ArtifactsInput!$N$15+1,25,30,35,40,45,50)/100*(Inputs!$B$11-Inputs!$B$11),0))))/100+(Inputs!$B$23+0+(IF(ArtifactsInput!$M$15,CHOOSE(ArtifactsInput!$N$15+1,25,30,35,40,45,50)/100*(Inputs!$B$11-Inputs!$B$11),0)))/100)/2</f>
        <v/>
      </c>
      <c r="M2884">
        <f>L2884*(1+(Inputs!$B$10+((C2905=TRUE)*(F2905-Calc!F25))+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4">
        <f>L2884*(1-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2884*(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4">
        <f>(1-Summary!$B$11)*T2884+Summary!$B$11*V2884</f>
        <v/>
      </c>
      <c r="P2884">
        <f>IF(B2920=0,0,O2884/B2920)</f>
        <v/>
      </c>
      <c r="Q2884">
        <f>IFERROR(1/(IF(Inputs!$B$38="pvp",15,MAX(0.1,Skills!D4-IF(Skills!E4=TRUE,2.0,0)))*(1-IF(AND(ArtifactsInput!$M$27,Inputs!$B$4="Chapter Hunt"),CHOOSE(ArtifactsInput!$N$27+1,20,24,28,32,36,40),0)/100)),0)</f>
        <v/>
      </c>
      <c r="R2884">
        <f>IF(AND(Inputs!$B$38&lt;&gt;"pvp",Inputs!$B$43&gt;0),IF(MAX(0,Inputs!$B$43-B2917)&lt;=0,0,(INT(MAX(0,Inputs!$B$43-B2917)/(IF(Inputs!$B$38="pvp",15,MAX(0.1,Skills!D4-IF(Skills!E4=TRUE,2.0,0)))*(1-IF(AND(ArtifactsInput!$M$27,Inputs!$B$4="Chapter Hunt"),CHOOSE(ArtifactsInput!$N$27+1,20,24,28,32,36,40),0)/100)))+1)),0)</f>
        <v/>
      </c>
      <c r="S2884">
        <f>IFERROR(O2884/N2884,0)</f>
        <v/>
      </c>
      <c r="T2884">
        <f>IF(C2884,(H2884*N2884*IF(AND(Inputs!$B$38&lt;&gt;"pvp",Inputs!$B$43&gt;0),((Skills!G4*((R2884-1)*IF(Skills!H4&gt;0,Skills!I4/Skills!H4,1)+IF(Skills!H4&gt;0,MIN(Skills!I4,MAX(0,MAX(0,Inputs!$B$43-B2917)-((R2884-1)*(IF(Inputs!$B$38="pvp",15,MAX(0.1,Skills!D4-IF(Skills!E4=TRUE,2.0,0)))*(1-IF(AND(ArtifactsInput!$M$27,Inputs!$B$4="Chapter Hunt"),CHOOSE(ArtifactsInput!$N$27+1,20,24,28,32,36,40),0)/100)))))/Skills!H4,1)))/Inputs!$B$43),G2884*Q2884)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2884*(1-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2884*(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2884*(1-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2884*(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4">
        <f>290*U2883/1000</f>
        <v/>
      </c>
      <c r="V2884">
        <f>IF(C2884,(H2884*N2884*IF(AND(Inputs!$B$38&lt;&gt;"pvp",Inputs!$B$43&gt;0),((Skills!G4*((R2884-1)*IF(Skills!H4&gt;0,Skills!I4/Skills!H4,1)+IF(Skills!H4&gt;0,MIN(Skills!I4,MAX(0,MAX(0,Inputs!$B$43-B2917)-((R2884-1)*(IF(Inputs!$B$38="pvp",15,MAX(0.1,Skills!D4-IF(Skills!E4=TRUE,2.0,0)))*(1-IF(AND(ArtifactsInput!$M$27,Inputs!$B$4="Chapter Hunt"),CHOOSE(ArtifactsInput!$N$27+1,20,24,28,32,36,40),0)/100)))))/Skills!H4,1)))/Inputs!$B$43),G2884*Q2884))*IF(Inputs!$B$38="pvp",1,(1+(Inputs!$B$21+Skills!Q4+(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5">
      <c r="A2885">
        <f>Skills!A5</f>
        <v/>
      </c>
      <c r="B2885">
        <f>Skills!B5</f>
        <v/>
      </c>
      <c r="C2885">
        <f>Inputs!$B$3&gt;=45</f>
        <v/>
      </c>
      <c r="D2885">
        <f>IF(Skills!C5=1,60+Inputs!$B$25+Inputs!$B$29,IF(Skills!C5=2,90+Inputs!$B$26+Inputs!$B$29,IF(Skills!C5=3,120+Inputs!$B$27+Inputs!$B$29,MAX(0,(Inputs!$B$3-100)*3)+Inputs!$B$28+Inputs!$B$29)))</f>
        <v/>
      </c>
      <c r="E2885">
        <f>INDEX(FactorTable!$B$2:$Y$301, MATCH(ROUND(MIN(300,MAX(1,D2885)),0), FactorTable!$A$2:$A$301,0), Skills!M5+1)</f>
        <v/>
      </c>
      <c r="F2885">
        <f>IF(Skills!N5=TRUE,(Skills!L5/10)*(E2885/1000),Skills!L5/10)+Skills!O5</f>
        <v/>
      </c>
      <c r="G2885">
        <f>Skills!G5*IF(Skills!H5&gt;0,Skills!I5/Skills!H5,1)</f>
        <v/>
      </c>
      <c r="H2885">
        <f>1-(1-Skills!J5/100)^Skills!K5</f>
        <v/>
      </c>
      <c r="I2885" t="inlineStr">
        <is>
          <t>1</t>
        </is>
      </c>
      <c r="J2885">
        <f>((Inputs!$B$6*(1+Inputs!$B$7/100))+(((Inputs!$B$12*(1+Inputs!$B$13/100))-(Inputs!$B$12*(1+Inputs!$B$13/100)))+0.25*(Inputs!$B$14-Inputs!$B$14))*(1+Inputs!$B$7/100))*(F2885/100)</f>
        <v/>
      </c>
      <c r="K2885">
        <f>J2885*(1+((Inputs!$B$12*(1+Inputs!$B$13/100))*0.01+Inputs!$B$14*0.0025)/100)*(1+Inputs!$B$15/100)*(1+Inputs!$B$16/100)*(5000/(6000+Inputs!$B$42*(1-(100*(1-(1-(Inputs!$B$19+0)/100)*(1-CHOOSE(ArtifactsInput!$N$40+1,5,6,7,8,9,10)/100)^(ArtifactsInput!$M$40-ArtifactsInput!$M$40)))/100)))*(1+(Inputs!$B$24+((C2906=TRUE)*(F2906-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2896=TRUE,F2896,0)/100)*(1+(IF(Skills!A5="EIGHT_LEGS_EASTON",Inputs!$B$17+((C2903=TRUE)*(F2903-Calc!F23))+((C2907=TRUE)*(F2907-Calc!F27))+(((IF(AND(ArtifactsInput!$M$42,((Inputs!$B$9+((C2899=TRUE)*(F2899-Calc!F19))+B2910+(ArtifactsInput!$M$24-ArtifactsInput!$M$24)*CHOOSE(ArtifactsInput!$N$24+1,10,12,14,16,18,20)+IF(ArtifactsInput!$M$10,CHOOSE(ArtifactsInput!$N$10+1,15,18,21,24,27,30)*(IF(Inputs!$B$38="pvp",MIN(15,15)/15,IF(AND(Inputs!$B$38&lt;&gt;"pvp",Inputs!$B$43&gt;0),MIN(15,Inputs!$B$43)/(Inputs!$B$43),0))),0)))&gt;=100),MIN(100,((Inputs!$B$9+((C2899=TRUE)*(F2899-Calc!F19))+B2910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2899=TRUE)*(F2899-Calc!F19))+B2910+(ArtifactsInput!$M$24-ArtifactsInput!$M$24)*CHOOSE(ArtifactsInput!$N$24+1,10,12,14,16,18,20)+IF(ArtifactsInput!$M$10,CHOOSE(ArtifactsInput!$N$10+1,15,18,21,24,27,30)*(IF(Inputs!$B$38="pvp",MIN(15,15)/15,IF(AND(Inputs!$B$38&lt;&gt;"pvp",Inputs!$B$43&gt;0),MIN(15,Inputs!$B$43)/(Inputs!$B$43),0))),0)))&gt;=100),CHOOSE(ArtifactsInput!$N$42+1,40,48,56,64,72,80),0))))/100)*((1+(((C2897=TRUE)*F2897)+((C2904=TRUE)*(F2904-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2885)</f>
        <v/>
      </c>
      <c r="L2885">
        <f>K2885*(MIN(Inputs!$B$22+((C2902=TRUE)*(F2902-Calc!F22)),(Inputs!$B$23+0+(IF(ArtifactsInput!$M$15,CHOOSE(ArtifactsInput!$N$15+1,25,30,35,40,45,50)/100*(Inputs!$B$11-Inputs!$B$11),0))))/100+(Inputs!$B$23+0+(IF(ArtifactsInput!$M$15,CHOOSE(ArtifactsInput!$N$15+1,25,30,35,40,45,50)/100*(Inputs!$B$11-Inputs!$B$11),0)))/100)/2</f>
        <v/>
      </c>
      <c r="M2885">
        <f>L2885*(1+(Inputs!$B$10+((C2905=TRUE)*(F2905-Calc!F25))+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5">
        <f>L2885*(1-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2885*(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5">
        <f>(1-Summary!$B$11)*T2885+Summary!$B$11*V2885</f>
        <v/>
      </c>
      <c r="P2885">
        <f>IF(B2920=0,0,O2885/B2920)</f>
        <v/>
      </c>
      <c r="Q2885">
        <f>IFERROR(1/(IF(Inputs!$B$38="pvp",15,MAX(0.1,Skills!D5-IF(Skills!E5=TRUE,2.0,0)))*(1-IF(AND(ArtifactsInput!$M$27,Inputs!$B$4="Chapter Hunt"),CHOOSE(ArtifactsInput!$N$27+1,20,24,28,32,36,40),0)/100)),0)</f>
        <v/>
      </c>
      <c r="R2885">
        <f>IF(AND(Inputs!$B$38&lt;&gt;"pvp",Inputs!$B$43&gt;0),IF(MAX(0,Inputs!$B$43-B2917)&lt;=0,0,(INT(MAX(0,Inputs!$B$43-B2917)/(IF(Inputs!$B$38="pvp",15,MAX(0.1,Skills!D5-IF(Skills!E5=TRUE,2.0,0)))*(1-IF(AND(ArtifactsInput!$M$27,Inputs!$B$4="Chapter Hunt"),CHOOSE(ArtifactsInput!$N$27+1,20,24,28,32,36,40),0)/100)))+1)),0)</f>
        <v/>
      </c>
      <c r="S2885">
        <f>IFERROR(O2885/N2885,0)</f>
        <v/>
      </c>
      <c r="T2885">
        <f>IF(C2885,(H2885*N2885*IF(AND(Inputs!$B$38&lt;&gt;"pvp",Inputs!$B$43&gt;0),((Skills!G5*((R2885-1)*IF(Skills!H5&gt;0,Skills!I5/Skills!H5,1)+IF(Skills!H5&gt;0,MIN(Skills!I5,MAX(0,MAX(0,Inputs!$B$43-B2917)-((R2885-1)*(IF(Inputs!$B$38="pvp",15,MAX(0.1,Skills!D5-IF(Skills!E5=TRUE,2.0,0)))*(1-IF(AND(ArtifactsInput!$M$27,Inputs!$B$4="Chapter Hunt"),CHOOSE(ArtifactsInput!$N$27+1,20,24,28,32,36,40),0)/100)))))/Skills!H5,1)))/Inputs!$B$43),G2885*Q2885)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2885*(1-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2885*(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2885*(1-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2885*(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5">
        <f>IF(C2885,(H2885*N2885*IF(AND(Inputs!$B$38&lt;&gt;"pvp",Inputs!$B$43&gt;0),((Skills!G5*((R2885-1)*IF(Skills!H5&gt;0,Skills!I5/Skills!H5,1)+IF(Skills!H5&gt;0,MIN(Skills!I5,MAX(0,MAX(0,Inputs!$B$43-B2917)-((R2885-1)*(IF(Inputs!$B$38="pvp",15,MAX(0.1,Skills!D5-IF(Skills!E5=TRUE,2.0,0)))*(1-IF(AND(ArtifactsInput!$M$27,Inputs!$B$4="Chapter Hunt"),CHOOSE(ArtifactsInput!$N$27+1,20,24,28,32,36,40),0)/100)))))/Skills!H5,1)))/Inputs!$B$43),G2885*Q2885))*IF(Inputs!$B$38="pvp",1,(1+(Inputs!$B$21+Skills!Q5+(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6">
      <c r="A2886">
        <f>Skills!A6</f>
        <v/>
      </c>
      <c r="B2886">
        <f>Skills!B6</f>
        <v/>
      </c>
      <c r="C2886">
        <f>Inputs!$B$3&gt;=63</f>
        <v/>
      </c>
      <c r="D2886">
        <f>IF(Skills!C6=1,60+Inputs!$B$25+Inputs!$B$29,IF(Skills!C6=2,90+Inputs!$B$26+Inputs!$B$29,IF(Skills!C6=3,120+Inputs!$B$27+Inputs!$B$29,MAX(0,(Inputs!$B$3-100)*3)+Inputs!$B$28+Inputs!$B$29)))</f>
        <v/>
      </c>
      <c r="E2886">
        <f>INDEX(FactorTable!$B$2:$Y$301, MATCH(ROUND(MIN(300,MAX(1,D2886)),0), FactorTable!$A$2:$A$301,0), Skills!M6+1)</f>
        <v/>
      </c>
      <c r="F2886">
        <f>IF(Skills!N6=TRUE,(Skills!L6/10)*(E2886/1000),Skills!L6/10)+Skills!O6</f>
        <v/>
      </c>
      <c r="G2886">
        <f>Skills!G6*IF(Skills!H6&gt;0,Skills!I6/Skills!H6,1)</f>
        <v/>
      </c>
      <c r="H2886">
        <f>1-(1-Skills!J6/100)^Skills!K6</f>
        <v/>
      </c>
      <c r="I2886" t="inlineStr">
        <is>
          <t>1</t>
        </is>
      </c>
      <c r="J2886">
        <f>((Inputs!$B$6*(1+Inputs!$B$7/100))+(((Inputs!$B$12*(1+Inputs!$B$13/100))-(Inputs!$B$12*(1+Inputs!$B$13/100)))+0.25*(Inputs!$B$14-Inputs!$B$14))*(1+Inputs!$B$7/100))*(F2886/100)</f>
        <v/>
      </c>
      <c r="K2886">
        <f>J2886*(1+((Inputs!$B$12*(1+Inputs!$B$13/100))*0.01+Inputs!$B$14*0.0025)/100)*(1+Inputs!$B$15/100)*(1+Inputs!$B$16/100)*(5000/(6000+Inputs!$B$42*(1-(100*(1-(1-(Inputs!$B$19+0)/100)*(1-CHOOSE(ArtifactsInput!$N$40+1,5,6,7,8,9,10)/100)^(ArtifactsInput!$M$40-ArtifactsInput!$M$40)))/100)))*(1+(Inputs!$B$24+((C2906=TRUE)*(F2906-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2895=TRUE,F2895,0)/100)*(1+(IF(Skills!A6="EIGHT_LEGS_EASTON",Inputs!$B$17+((C2903=TRUE)*(F2903-Calc!F23))+((C2907=TRUE)*(F2907-Calc!F27))+(((IF(AND(ArtifactsInput!$M$42,((Inputs!$B$9+((C2899=TRUE)*(F2899-Calc!F19))+B2910+(ArtifactsInput!$M$24-ArtifactsInput!$M$24)*CHOOSE(ArtifactsInput!$N$24+1,10,12,14,16,18,20)+IF(ArtifactsInput!$M$10,CHOOSE(ArtifactsInput!$N$10+1,15,18,21,24,27,30)*(IF(Inputs!$B$38="pvp",MIN(15,15)/15,IF(AND(Inputs!$B$38&lt;&gt;"pvp",Inputs!$B$43&gt;0),MIN(15,Inputs!$B$43)/(Inputs!$B$43),0))),0)))&gt;=100),MIN(100,((Inputs!$B$9+((C2899=TRUE)*(F2899-Calc!F19))+B2910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2899=TRUE)*(F2899-Calc!F19))+B2910+(ArtifactsInput!$M$24-ArtifactsInput!$M$24)*CHOOSE(ArtifactsInput!$N$24+1,10,12,14,16,18,20)+IF(ArtifactsInput!$M$10,CHOOSE(ArtifactsInput!$N$10+1,15,18,21,24,27,30)*(IF(Inputs!$B$38="pvp",MIN(15,15)/15,IF(AND(Inputs!$B$38&lt;&gt;"pvp",Inputs!$B$43&gt;0),MIN(15,Inputs!$B$43)/(Inputs!$B$43),0))),0)))&gt;=100),CHOOSE(ArtifactsInput!$N$42+1,40,48,56,64,72,80),0))))/100)*((1+(((C2897=TRUE)*F2897)+((C2904=TRUE)*(F2904-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2886)</f>
        <v/>
      </c>
      <c r="L2886">
        <f>K2886*(MIN(Inputs!$B$22+((C2902=TRUE)*(F2902-Calc!F22)),(Inputs!$B$23+0+(IF(ArtifactsInput!$M$15,CHOOSE(ArtifactsInput!$N$15+1,25,30,35,40,45,50)/100*(Inputs!$B$11-Inputs!$B$11),0))))/100+(Inputs!$B$23+0+(IF(ArtifactsInput!$M$15,CHOOSE(ArtifactsInput!$N$15+1,25,30,35,40,45,50)/100*(Inputs!$B$11-Inputs!$B$11),0)))/100)/2</f>
        <v/>
      </c>
      <c r="M2886">
        <f>L2886*(1+(Inputs!$B$10+((C2905=TRUE)*(F2905-Calc!F25))+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6">
        <f>L2886*(1-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2886*(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6">
        <f>(1-Summary!$B$11)*T2886+Summary!$B$11*V2886</f>
        <v/>
      </c>
      <c r="P2886">
        <f>IF(B2920=0,0,O2886/B2920)</f>
        <v/>
      </c>
      <c r="Q2886">
        <f>IFERROR(1/(IF(Inputs!$B$38="pvp",15,MAX(0.1,Skills!D6-IF(Skills!E6=TRUE,2.0,0)))*(1-IF(AND(ArtifactsInput!$M$27,Inputs!$B$4="Chapter Hunt"),CHOOSE(ArtifactsInput!$N$27+1,20,24,28,32,36,40),0)/100)),0)</f>
        <v/>
      </c>
      <c r="R2886">
        <f>IF(AND(Inputs!$B$38&lt;&gt;"pvp",Inputs!$B$43&gt;0),IF(MAX(0,Inputs!$B$43-B2917)&lt;=0,0,(INT(MAX(0,Inputs!$B$43-B2917)/(IF(Inputs!$B$38="pvp",15,MAX(0.1,Skills!D6-IF(Skills!E6=TRUE,2.0,0)))*(1-IF(AND(ArtifactsInput!$M$27,Inputs!$B$4="Chapter Hunt"),CHOOSE(ArtifactsInput!$N$27+1,20,24,28,32,36,40),0)/100)))+1)),0)</f>
        <v/>
      </c>
      <c r="S2886">
        <f>IFERROR(O2886/N2886,0)</f>
        <v/>
      </c>
      <c r="T2886">
        <f>IF(C2886,(H2886*N2886*IF(AND(Inputs!$B$38&lt;&gt;"pvp",Inputs!$B$43&gt;0),((Skills!G6*((R2886-1)*IF(Skills!H6&gt;0,Skills!I6/Skills!H6,1)+IF(Skills!H6&gt;0,MIN(Skills!I6,MAX(0,MAX(0,Inputs!$B$43-B2917)-((R2886-1)*(IF(Inputs!$B$38="pvp",15,MAX(0.1,Skills!D6-IF(Skills!E6=TRUE,2.0,0)))*(1-IF(AND(ArtifactsInput!$M$27,Inputs!$B$4="Chapter Hunt"),CHOOSE(ArtifactsInput!$N$27+1,20,24,28,32,36,40),0)/100)))))/Skills!H6,1)))/Inputs!$B$43),G2886*Q2886)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2886*(1-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2886*(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2886*(1-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2886*(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6">
        <f>IF(C2886,(H2886*N2886*IF(AND(Inputs!$B$38&lt;&gt;"pvp",Inputs!$B$43&gt;0),((Skills!G6*((R2886-1)*IF(Skills!H6&gt;0,Skills!I6/Skills!H6,1)+IF(Skills!H6&gt;0,MIN(Skills!I6,MAX(0,MAX(0,Inputs!$B$43-B2917)-((R2886-1)*(IF(Inputs!$B$38="pvp",15,MAX(0.1,Skills!D6-IF(Skills!E6=TRUE,2.0,0)))*(1-IF(AND(ArtifactsInput!$M$27,Inputs!$B$4="Chapter Hunt"),CHOOSE(ArtifactsInput!$N$27+1,20,24,28,32,36,40),0)/100)))))/Skills!H6,1)))/Inputs!$B$43),G2886*Q2886))*IF(Inputs!$B$38="pvp",1,(1+(Inputs!$B$21+Skills!Q6+(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7">
      <c r="A2887">
        <f>Skills!A7</f>
        <v/>
      </c>
      <c r="B2887">
        <f>Skills!B7</f>
        <v/>
      </c>
      <c r="C2887">
        <f>Inputs!$B$3&gt;=66</f>
        <v/>
      </c>
      <c r="D2887">
        <f>IF(Skills!C7=1,60+Inputs!$B$25+Inputs!$B$29,IF(Skills!C7=2,90+Inputs!$B$26+Inputs!$B$29,IF(Skills!C7=3,120+Inputs!$B$27+Inputs!$B$29,MAX(0,(Inputs!$B$3-100)*3)+Inputs!$B$28+Inputs!$B$29)))</f>
        <v/>
      </c>
      <c r="E2887">
        <f>INDEX(FactorTable!$B$2:$Y$301, MATCH(ROUND(MIN(300,MAX(1,D2887)),0), FactorTable!$A$2:$A$301,0), Skills!M7+1)</f>
        <v/>
      </c>
      <c r="F2887">
        <f>IF(Skills!N7=TRUE,(Skills!L7/10)*(E2887/1000),Skills!L7/10)+Skills!O7</f>
        <v/>
      </c>
      <c r="G2887">
        <f>Skills!G7*IF(Skills!H7&gt;0,Skills!I7/Skills!H7,1)</f>
        <v/>
      </c>
      <c r="H2887">
        <f>1-(1-Skills!J7/100)^Skills!K7</f>
        <v/>
      </c>
      <c r="I2887" t="inlineStr">
        <is>
          <t>1</t>
        </is>
      </c>
      <c r="J2887">
        <f>((Inputs!$B$6*(1+Inputs!$B$7/100))+(((Inputs!$B$12*(1+Inputs!$B$13/100))-(Inputs!$B$12*(1+Inputs!$B$13/100)))+0.25*(Inputs!$B$14-Inputs!$B$14))*(1+Inputs!$B$7/100))*(F2887/100)</f>
        <v/>
      </c>
      <c r="K2887">
        <f>J2887*(1+((Inputs!$B$12*(1+Inputs!$B$13/100))*0.01+Inputs!$B$14*0.0025)/100)*(1+Inputs!$B$15/100)*(1+Inputs!$B$16/100)*(5000/(6000+Inputs!$B$42*(1-(100*(1-(1-(Inputs!$B$19+0)/100)*(1-CHOOSE(ArtifactsInput!$N$40+1,5,6,7,8,9,10)/100)^(ArtifactsInput!$M$40-ArtifactsInput!$M$40)))/100)))*(1+(Inputs!$B$24+((C2906=TRUE)*(F2906-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2895=TRUE,F2895,0)/100)*(1+(IF(Skills!A7="EIGHT_LEGS_EASTON",Inputs!$B$17+((C2903=TRUE)*(F2903-Calc!F23))+((C2907=TRUE)*(F2907-Calc!F27))+(((IF(AND(ArtifactsInput!$M$42,((Inputs!$B$9+((C2899=TRUE)*(F2899-Calc!F19))+B2910+(ArtifactsInput!$M$24-ArtifactsInput!$M$24)*CHOOSE(ArtifactsInput!$N$24+1,10,12,14,16,18,20)+IF(ArtifactsInput!$M$10,CHOOSE(ArtifactsInput!$N$10+1,15,18,21,24,27,30)*(IF(Inputs!$B$38="pvp",MIN(15,15)/15,IF(AND(Inputs!$B$38&lt;&gt;"pvp",Inputs!$B$43&gt;0),MIN(15,Inputs!$B$43)/(Inputs!$B$43),0))),0)))&gt;=100),MIN(100,((Inputs!$B$9+((C2899=TRUE)*(F2899-Calc!F19))+B2910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2899=TRUE)*(F2899-Calc!F19))+B2910+(ArtifactsInput!$M$24-ArtifactsInput!$M$24)*CHOOSE(ArtifactsInput!$N$24+1,10,12,14,16,18,20)+IF(ArtifactsInput!$M$10,CHOOSE(ArtifactsInput!$N$10+1,15,18,21,24,27,30)*(IF(Inputs!$B$38="pvp",MIN(15,15)/15,IF(AND(Inputs!$B$38&lt;&gt;"pvp",Inputs!$B$43&gt;0),MIN(15,Inputs!$B$43)/(Inputs!$B$43),0))),0)))&gt;=100),CHOOSE(ArtifactsInput!$N$42+1,40,48,56,64,72,80),0))))/100)*((1+(((C2897=TRUE)*F2897)+((C2904=TRUE)*(F2904-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2887)</f>
        <v/>
      </c>
      <c r="L2887">
        <f>K2887*(MIN(Inputs!$B$22+((C2902=TRUE)*(F2902-Calc!F22)),(Inputs!$B$23+0+(IF(ArtifactsInput!$M$15,CHOOSE(ArtifactsInput!$N$15+1,25,30,35,40,45,50)/100*(Inputs!$B$11-Inputs!$B$11),0))))/100+(Inputs!$B$23+0+(IF(ArtifactsInput!$M$15,CHOOSE(ArtifactsInput!$N$15+1,25,30,35,40,45,50)/100*(Inputs!$B$11-Inputs!$B$11),0)))/100)/2</f>
        <v/>
      </c>
      <c r="M2887">
        <f>L2887*(1+(Inputs!$B$10+((C2905=TRUE)*(F2905-Calc!F25))+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7">
        <f>L2887*(1-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2887*(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7">
        <f>(1-Summary!$B$11)*T2887+Summary!$B$11*V2887</f>
        <v/>
      </c>
      <c r="P2887">
        <f>IF(B2920=0,0,O2887/B2920)</f>
        <v/>
      </c>
      <c r="Q2887">
        <f>IFERROR(1/(IF(Inputs!$B$38="pvp",15,MAX(0.1,Skills!D7-IF(Skills!E7=TRUE,2.0,0)))*(1-IF(AND(ArtifactsInput!$M$27,Inputs!$B$4="Chapter Hunt"),CHOOSE(ArtifactsInput!$N$27+1,20,24,28,32,36,40),0)/100)),0)</f>
        <v/>
      </c>
      <c r="R2887">
        <f>IF(AND(Inputs!$B$38&lt;&gt;"pvp",Inputs!$B$43&gt;0),IF(MAX(0,Inputs!$B$43-B2917)&lt;=0,0,(INT(MAX(0,Inputs!$B$43-B2917)/(IF(Inputs!$B$38="pvp",15,MAX(0.1,Skills!D7-IF(Skills!E7=TRUE,2.0,0)))*(1-IF(AND(ArtifactsInput!$M$27,Inputs!$B$4="Chapter Hunt"),CHOOSE(ArtifactsInput!$N$27+1,20,24,28,32,36,40),0)/100)))+1)),0)</f>
        <v/>
      </c>
      <c r="S2887">
        <f>IFERROR(O2887/N2887,0)</f>
        <v/>
      </c>
      <c r="T2887">
        <f>IF(C2887,(H2887*N2887*IF(AND(Inputs!$B$38&lt;&gt;"pvp",Inputs!$B$43&gt;0),((Skills!G7*((R2887-1)*IF(Skills!H7&gt;0,Skills!I7/Skills!H7,1)+IF(Skills!H7&gt;0,MIN(Skills!I7,MAX(0,MAX(0,Inputs!$B$43-B2917)-((R2887-1)*(IF(Inputs!$B$38="pvp",15,MAX(0.1,Skills!D7-IF(Skills!E7=TRUE,2.0,0)))*(1-IF(AND(ArtifactsInput!$M$27,Inputs!$B$4="Chapter Hunt"),CHOOSE(ArtifactsInput!$N$27+1,20,24,28,32,36,40),0)/100)))))/Skills!H7,1)))/Inputs!$B$43),G2887*Q2887)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2887*(1-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2887*(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2887*(1-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2887*(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7">
        <f>IF(C2887,(H2887*N2887*IF(AND(Inputs!$B$38&lt;&gt;"pvp",Inputs!$B$43&gt;0),((Skills!G7*((R2887-1)*IF(Skills!H7&gt;0,Skills!I7/Skills!H7,1)+IF(Skills!H7&gt;0,MIN(Skills!I7,MAX(0,MAX(0,Inputs!$B$43-B2917)-((R2887-1)*(IF(Inputs!$B$38="pvp",15,MAX(0.1,Skills!D7-IF(Skills!E7=TRUE,2.0,0)))*(1-IF(AND(ArtifactsInput!$M$27,Inputs!$B$4="Chapter Hunt"),CHOOSE(ArtifactsInput!$N$27+1,20,24,28,32,36,40),0)/100)))))/Skills!H7,1)))/Inputs!$B$43),G2887*Q2887))*IF(Inputs!$B$38="pvp",1,(1+(Inputs!$B$21+Skills!Q7+(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8">
      <c r="A2888">
        <f>Skills!A8</f>
        <v/>
      </c>
      <c r="B2888">
        <f>Skills!B8</f>
        <v/>
      </c>
      <c r="C2888">
        <f>Inputs!$B$3&gt;=100</f>
        <v/>
      </c>
      <c r="D2888">
        <f>IF(Skills!C8=1,60+Inputs!$B$25+Inputs!$B$29,IF(Skills!C8=2,90+Inputs!$B$26+Inputs!$B$29,IF(Skills!C8=3,120+Inputs!$B$27+Inputs!$B$29,MAX(0,(Inputs!$B$3-100)*3)+Inputs!$B$28+Inputs!$B$29)))</f>
        <v/>
      </c>
      <c r="E2888">
        <f>INDEX(FactorTable!$B$2:$Y$301, MATCH(ROUND(MIN(300,MAX(1,D2888)),0), FactorTable!$A$2:$A$301,0), Skills!M8+1)</f>
        <v/>
      </c>
      <c r="F2888">
        <f>IF(Skills!N8=TRUE,(Skills!L8/10)*(E2888/1000),Skills!L8/10)+Skills!O8</f>
        <v/>
      </c>
      <c r="G2888">
        <f>Skills!G8*IF(Skills!H8&gt;0,Skills!I8/Skills!H8,1)</f>
        <v/>
      </c>
      <c r="H2888">
        <f>1-(1-Skills!J8/100)^Skills!K8</f>
        <v/>
      </c>
      <c r="I2888" t="inlineStr">
        <is>
          <t>1</t>
        </is>
      </c>
      <c r="J2888">
        <f>((Inputs!$B$6*(1+Inputs!$B$7/100))+(((Inputs!$B$12*(1+Inputs!$B$13/100))-(Inputs!$B$12*(1+Inputs!$B$13/100)))+0.25*(Inputs!$B$14-Inputs!$B$14))*(1+Inputs!$B$7/100))*(F2888/100)</f>
        <v/>
      </c>
      <c r="K2888">
        <f>J2888*(1+((Inputs!$B$12*(1+Inputs!$B$13/100))*0.01+Inputs!$B$14*0.0025)/100)*(1+Inputs!$B$15/100)*(1+Inputs!$B$16/100)*(5000/(6000+Inputs!$B$42*(1-(100*(1-(1-(Inputs!$B$19+0)/100)*(1-CHOOSE(ArtifactsInput!$N$40+1,5,6,7,8,9,10)/100)^(ArtifactsInput!$M$40-ArtifactsInput!$M$40)))/100)))*(1+(Inputs!$B$24+((C2906=TRUE)*(F2906-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2903=TRUE)*(F2903-Calc!F23))+((C2907=TRUE)*(F2907-Calc!F27))+(((IF(AND(ArtifactsInput!$M$42,((Inputs!$B$9+((C2899=TRUE)*(F2899-Calc!F19))+B2910+(ArtifactsInput!$M$24-ArtifactsInput!$M$24)*CHOOSE(ArtifactsInput!$N$24+1,10,12,14,16,18,20)+IF(ArtifactsInput!$M$10,CHOOSE(ArtifactsInput!$N$10+1,15,18,21,24,27,30)*(IF(Inputs!$B$38="pvp",MIN(15,15)/15,IF(AND(Inputs!$B$38&lt;&gt;"pvp",Inputs!$B$43&gt;0),MIN(15,Inputs!$B$43)/(Inputs!$B$43),0))),0)))&gt;=100),MIN(100,((Inputs!$B$9+((C2899=TRUE)*(F2899-Calc!F19))+B2910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2899=TRUE)*(F2899-Calc!F19))+B2910+(ArtifactsInput!$M$24-ArtifactsInput!$M$24)*CHOOSE(ArtifactsInput!$N$24+1,10,12,14,16,18,20)+IF(ArtifactsInput!$M$10,CHOOSE(ArtifactsInput!$N$10+1,15,18,21,24,27,30)*(IF(Inputs!$B$38="pvp",MIN(15,15)/15,IF(AND(Inputs!$B$38&lt;&gt;"pvp",Inputs!$B$43&gt;0),MIN(15,Inputs!$B$43)/(Inputs!$B$43),0))),0)))&gt;=100),CHOOSE(ArtifactsInput!$N$42+1,40,48,56,64,72,80),0))))/100)*((1+(((C2897=TRUE)*F2897)+((C2904=TRUE)*(F2904-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2888)</f>
        <v/>
      </c>
      <c r="L2888">
        <f>K2888*(MIN(Inputs!$B$22+((C2902=TRUE)*(F2902-Calc!F22)),(Inputs!$B$23+0+(IF(ArtifactsInput!$M$15,CHOOSE(ArtifactsInput!$N$15+1,25,30,35,40,45,50)/100*(Inputs!$B$11-Inputs!$B$11),0))))/100+(Inputs!$B$23+0+(IF(ArtifactsInput!$M$15,CHOOSE(ArtifactsInput!$N$15+1,25,30,35,40,45,50)/100*(Inputs!$B$11-Inputs!$B$11),0)))/100)/2</f>
        <v/>
      </c>
      <c r="M2888">
        <f>L2888*(1+(Inputs!$B$10+((C2905=TRUE)*(F2905-Calc!F25))+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8">
        <f>L2888*(1-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2888*(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8">
        <f>(1-Summary!$B$11)*T2888+Summary!$B$11*V2888</f>
        <v/>
      </c>
      <c r="P2888">
        <f>IF(B2920=0,0,O2888/B2920)</f>
        <v/>
      </c>
      <c r="Q2888">
        <f>IFERROR(1/(IF(Inputs!$B$38="pvp",15,MAX(0.1,Skills!D8-IF(Skills!E8=TRUE,2.0,0)))*(1-IF(AND(ArtifactsInput!$M$27,Inputs!$B$4="Chapter Hunt"),CHOOSE(ArtifactsInput!$N$27+1,20,24,28,32,36,40),0)/100)),0)</f>
        <v/>
      </c>
      <c r="R2888">
        <f>IF(AND(Inputs!$B$38&lt;&gt;"pvp",Inputs!$B$43&gt;0),IF(MAX(0,Inputs!$B$43-B2917)&lt;=0,0,(INT(MAX(0,Inputs!$B$43-B2917)/(IF(Inputs!$B$38="pvp",15,MAX(0.1,Skills!D8-IF(Skills!E8=TRUE,2.0,0)))*(1-IF(AND(ArtifactsInput!$M$27,Inputs!$B$4="Chapter Hunt"),CHOOSE(ArtifactsInput!$N$27+1,20,24,28,32,36,40),0)/100)))+1)),0)</f>
        <v/>
      </c>
      <c r="S2888">
        <f>IFERROR(O2888/N2888,0)</f>
        <v/>
      </c>
      <c r="T2888">
        <f>IF(C2888,(H2888*N2888*IF(AND(Inputs!$B$38&lt;&gt;"pvp",Inputs!$B$43&gt;0),((Skills!G8*((R2888-1)*IF(Skills!H8&gt;0,Skills!I8/Skills!H8,1)+IF(Skills!H8&gt;0,MIN(Skills!I8,MAX(0,MAX(0,Inputs!$B$43-B2917)-((R2888-1)*(IF(Inputs!$B$38="pvp",15,MAX(0.1,Skills!D8-IF(Skills!E8=TRUE,2.0,0)))*(1-IF(AND(ArtifactsInput!$M$27,Inputs!$B$4="Chapter Hunt"),CHOOSE(ArtifactsInput!$N$27+1,20,24,28,32,36,40),0)/100)))))/Skills!H8,1)))/Inputs!$B$43),G2888*Q2888)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2888*(1-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2888*(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2888*(1-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2888*(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8">
        <f>IF(C2888,(H2888*N2888*IF(AND(Inputs!$B$38&lt;&gt;"pvp",Inputs!$B$43&gt;0),((Skills!G8*((R2888-1)*IF(Skills!H8&gt;0,Skills!I8/Skills!H8,1)+IF(Skills!H8&gt;0,MIN(Skills!I8,MAX(0,MAX(0,Inputs!$B$43-B2917)-((R2888-1)*(IF(Inputs!$B$38="pvp",15,MAX(0.1,Skills!D8-IF(Skills!E8=TRUE,2.0,0)))*(1-IF(AND(ArtifactsInput!$M$27,Inputs!$B$4="Chapter Hunt"),CHOOSE(ArtifactsInput!$N$27+1,20,24,28,32,36,40),0)/100)))))/Skills!H8,1)))/Inputs!$B$43),G2888*Q2888))*IF(Inputs!$B$38="pvp",1,(1+(Inputs!$B$21+Skills!Q8+(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9">
      <c r="A2889">
        <f>Skills!A9</f>
        <v/>
      </c>
      <c r="B2889">
        <f>Skills!B9</f>
        <v/>
      </c>
      <c r="C2889">
        <f>Inputs!$B$3&gt;=103</f>
        <v/>
      </c>
      <c r="D2889">
        <f>IF(Skills!C9=1,60+Inputs!$B$25+Inputs!$B$29,IF(Skills!C9=2,90+Inputs!$B$26+Inputs!$B$29,IF(Skills!C9=3,120+Inputs!$B$27+Inputs!$B$29,MAX(0,(Inputs!$B$3-100)*3)+Inputs!$B$28+Inputs!$B$29)))</f>
        <v/>
      </c>
      <c r="E2889">
        <f>INDEX(FactorTable!$B$2:$Y$301, MATCH(ROUND(MIN(300,MAX(1,D2889)),0), FactorTable!$A$2:$A$301,0), Skills!M9+1)</f>
        <v/>
      </c>
      <c r="F2889">
        <f>IF(Skills!N9=TRUE,(Skills!L9/10)*(E2889/1000),Skills!L9/10)+Skills!O9</f>
        <v/>
      </c>
      <c r="G2889">
        <f>Skills!G9*IF(Skills!H9&gt;0,Skills!I9/Skills!H9,1)</f>
        <v/>
      </c>
      <c r="H2889">
        <f>1-(1-Skills!J9/100)^Skills!K9</f>
        <v/>
      </c>
      <c r="I2889" t="inlineStr">
        <is>
          <t>1</t>
        </is>
      </c>
      <c r="J2889">
        <f>((Inputs!$B$6*(1+Inputs!$B$7/100))+(((Inputs!$B$12*(1+Inputs!$B$13/100))-(Inputs!$B$12*(1+Inputs!$B$13/100)))+0.25*(Inputs!$B$14-Inputs!$B$14))*(1+Inputs!$B$7/100))*(F2889/100)</f>
        <v/>
      </c>
      <c r="K2889">
        <f>J2889*(1+((Inputs!$B$12*(1+Inputs!$B$13/100))*0.01+Inputs!$B$14*0.0025)/100)*(1+Inputs!$B$15/100)*(1+Inputs!$B$16/100)*(5000/(6000+Inputs!$B$42*(1-(100*(1-(1-(Inputs!$B$19+0)/100)*(1-CHOOSE(ArtifactsInput!$N$40+1,5,6,7,8,9,10)/100)^(ArtifactsInput!$M$40-ArtifactsInput!$M$40)))/100)))*(1+(Inputs!$B$24+((C2906=TRUE)*(F2906-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2903=TRUE)*(F2903-Calc!F23))+((C2907=TRUE)*(F2907-Calc!F27))+(((IF(AND(ArtifactsInput!$M$42,((Inputs!$B$9+((C2899=TRUE)*(F2899-Calc!F19))+B2910+(ArtifactsInput!$M$24-ArtifactsInput!$M$24)*CHOOSE(ArtifactsInput!$N$24+1,10,12,14,16,18,20)+IF(ArtifactsInput!$M$10,CHOOSE(ArtifactsInput!$N$10+1,15,18,21,24,27,30)*(IF(Inputs!$B$38="pvp",MIN(15,15)/15,IF(AND(Inputs!$B$38&lt;&gt;"pvp",Inputs!$B$43&gt;0),MIN(15,Inputs!$B$43)/(Inputs!$B$43),0))),0)))&gt;=100),MIN(100,((Inputs!$B$9+((C2899=TRUE)*(F2899-Calc!F19))+B2910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2899=TRUE)*(F2899-Calc!F19))+B2910+(ArtifactsInput!$M$24-ArtifactsInput!$M$24)*CHOOSE(ArtifactsInput!$N$24+1,10,12,14,16,18,20)+IF(ArtifactsInput!$M$10,CHOOSE(ArtifactsInput!$N$10+1,15,18,21,24,27,30)*(IF(Inputs!$B$38="pvp",MIN(15,15)/15,IF(AND(Inputs!$B$38&lt;&gt;"pvp",Inputs!$B$43&gt;0),MIN(15,Inputs!$B$43)/(Inputs!$B$43),0))),0)))&gt;=100),CHOOSE(ArtifactsInput!$N$42+1,40,48,56,64,72,80),0))))/100)*((1+(((C2897=TRUE)*F2897)+((C2904=TRUE)*(F2904-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2889)</f>
        <v/>
      </c>
      <c r="L2889">
        <f>K2889*(MIN(Inputs!$B$22+((C2902=TRUE)*(F2902-Calc!F22)),(Inputs!$B$23+0+(IF(ArtifactsInput!$M$15,CHOOSE(ArtifactsInput!$N$15+1,25,30,35,40,45,50)/100*(Inputs!$B$11-Inputs!$B$11),0))))/100+(Inputs!$B$23+0+(IF(ArtifactsInput!$M$15,CHOOSE(ArtifactsInput!$N$15+1,25,30,35,40,45,50)/100*(Inputs!$B$11-Inputs!$B$11),0)))/100)/2</f>
        <v/>
      </c>
      <c r="M2889">
        <f>L2889*(1+(Inputs!$B$10+((C2905=TRUE)*(F2905-Calc!F25))+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9">
        <f>L2889*(1-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2889*(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9">
        <f>(1-Summary!$B$11)*T2889+Summary!$B$11*V2889</f>
        <v/>
      </c>
      <c r="P2889">
        <f>IF(B2920=0,0,O2889/B2920)</f>
        <v/>
      </c>
      <c r="Q2889">
        <f>IFERROR(1/(IF(Inputs!$B$38="pvp",15,MAX(0.1,Skills!D9-IF(Skills!E9=TRUE,2.0,0)))*(1-IF(AND(ArtifactsInput!$M$27,Inputs!$B$4="Chapter Hunt"),CHOOSE(ArtifactsInput!$N$27+1,20,24,28,32,36,40),0)/100)),0)</f>
        <v/>
      </c>
      <c r="R2889">
        <f>IF(AND(Inputs!$B$38&lt;&gt;"pvp",Inputs!$B$43&gt;0),IF(MAX(0,Inputs!$B$43-B2917)&lt;=0,0,(INT(MAX(0,Inputs!$B$43-B2917)/(IF(Inputs!$B$38="pvp",15,MAX(0.1,Skills!D9-IF(Skills!E9=TRUE,2.0,0)))*(1-IF(AND(ArtifactsInput!$M$27,Inputs!$B$4="Chapter Hunt"),CHOOSE(ArtifactsInput!$N$27+1,20,24,28,32,36,40),0)/100)))+1)),0)</f>
        <v/>
      </c>
      <c r="S2889">
        <f>IFERROR(O2889/N2889,0)</f>
        <v/>
      </c>
      <c r="T2889">
        <f>IF(C2889,(H2889*N2889*IF(AND(Inputs!$B$38&lt;&gt;"pvp",Inputs!$B$43&gt;0),((Skills!G9*((R2889-1)*IF(Skills!H9&gt;0,Skills!I9/Skills!H9,1)+IF(Skills!H9&gt;0,MIN(Skills!I9,MAX(0,MAX(0,Inputs!$B$43-B2917)-((R2889-1)*(IF(Inputs!$B$38="pvp",15,MAX(0.1,Skills!D9-IF(Skills!E9=TRUE,2.0,0)))*(1-IF(AND(ArtifactsInput!$M$27,Inputs!$B$4="Chapter Hunt"),CHOOSE(ArtifactsInput!$N$27+1,20,24,28,32,36,40),0)/100)))))/Skills!H9,1)))/Inputs!$B$43),G2889*Q2889)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2889*(1-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2889*(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2889*(1-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2889*(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9">
        <f>IF(C2889,(H2889*N2889*IF(AND(Inputs!$B$38&lt;&gt;"pvp",Inputs!$B$43&gt;0),((Skills!G9*((R2889-1)*IF(Skills!H9&gt;0,Skills!I9/Skills!H9,1)+IF(Skills!H9&gt;0,MIN(Skills!I9,MAX(0,MAX(0,Inputs!$B$43-B2917)-((R2889-1)*(IF(Inputs!$B$38="pvp",15,MAX(0.1,Skills!D9-IF(Skills!E9=TRUE,2.0,0)))*(1-IF(AND(ArtifactsInput!$M$27,Inputs!$B$4="Chapter Hunt"),CHOOSE(ArtifactsInput!$N$27+1,20,24,28,32,36,40),0)/100)))))/Skills!H9,1)))/Inputs!$B$43),G2889*Q2889))*IF(Inputs!$B$38="pvp",1,(1+(Inputs!$B$21+Skills!Q9+(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0">
      <c r="A2890">
        <f>Skills!A10</f>
        <v/>
      </c>
      <c r="B2890">
        <f>Skills!B10</f>
        <v/>
      </c>
      <c r="C2890">
        <f>Inputs!$B$3&gt;=113</f>
        <v/>
      </c>
      <c r="D2890">
        <f>IF(Skills!C10=1,60+Inputs!$B$25+Inputs!$B$29,IF(Skills!C10=2,90+Inputs!$B$26+Inputs!$B$29,IF(Skills!C10=3,120+Inputs!$B$27+Inputs!$B$29,MAX(0,(Inputs!$B$3-100)*3)+Inputs!$B$28+Inputs!$B$29)))</f>
        <v/>
      </c>
      <c r="E2890">
        <f>INDEX(FactorTable!$B$2:$Y$301, MATCH(ROUND(MIN(300,MAX(1,D2890)),0), FactorTable!$A$2:$A$301,0), Skills!M10+1)</f>
        <v/>
      </c>
      <c r="F2890">
        <f>IF(Skills!N10=TRUE,(Skills!L10/10)*(E2890/1000),Skills!L10/10)+Skills!O10</f>
        <v/>
      </c>
      <c r="G2890">
        <f>Skills!G10*IF(Skills!H10&gt;0,Skills!I10/Skills!H10,1)</f>
        <v/>
      </c>
      <c r="H2890">
        <f>1-(1-Skills!J10/100)^Skills!K10</f>
        <v/>
      </c>
      <c r="I2890" t="inlineStr">
        <is>
          <t>1</t>
        </is>
      </c>
      <c r="J2890">
        <f>((Inputs!$B$6*(1+Inputs!$B$7/100))+(((Inputs!$B$12*(1+Inputs!$B$13/100))-(Inputs!$B$12*(1+Inputs!$B$13/100)))+0.25*(Inputs!$B$14-Inputs!$B$14))*(1+Inputs!$B$7/100))*(F2890/100)</f>
        <v/>
      </c>
      <c r="K2890">
        <f>J2890*(1+((Inputs!$B$12*(1+Inputs!$B$13/100))*0.01+Inputs!$B$14*0.0025)/100)*(1+Inputs!$B$15/100)*(1+Inputs!$B$16/100)*(5000/(6000+Inputs!$B$42*(1-(100*(1-(1-(Inputs!$B$19+0)/100)*(1-CHOOSE(ArtifactsInput!$N$40+1,5,6,7,8,9,10)/100)^(ArtifactsInput!$M$40-ArtifactsInput!$M$40)))/100)))*(1+(Inputs!$B$24+((C2906=TRUE)*(F2906-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2903=TRUE)*(F2903-Calc!F23))+((C2907=TRUE)*(F2907-Calc!F27))+(((IF(AND(ArtifactsInput!$M$42,((Inputs!$B$9+((C2899=TRUE)*(F2899-Calc!F19))+B2910+(ArtifactsInput!$M$24-ArtifactsInput!$M$24)*CHOOSE(ArtifactsInput!$N$24+1,10,12,14,16,18,20)+IF(ArtifactsInput!$M$10,CHOOSE(ArtifactsInput!$N$10+1,15,18,21,24,27,30)*(IF(Inputs!$B$38="pvp",MIN(15,15)/15,IF(AND(Inputs!$B$38&lt;&gt;"pvp",Inputs!$B$43&gt;0),MIN(15,Inputs!$B$43)/(Inputs!$B$43),0))),0)))&gt;=100),MIN(100,((Inputs!$B$9+((C2899=TRUE)*(F2899-Calc!F19))+B2910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2899=TRUE)*(F2899-Calc!F19))+B2910+(ArtifactsInput!$M$24-ArtifactsInput!$M$24)*CHOOSE(ArtifactsInput!$N$24+1,10,12,14,16,18,20)+IF(ArtifactsInput!$M$10,CHOOSE(ArtifactsInput!$N$10+1,15,18,21,24,27,30)*(IF(Inputs!$B$38="pvp",MIN(15,15)/15,IF(AND(Inputs!$B$38&lt;&gt;"pvp",Inputs!$B$43&gt;0),MIN(15,Inputs!$B$43)/(Inputs!$B$43),0))),0)))&gt;=100),CHOOSE(ArtifactsInput!$N$42+1,40,48,56,64,72,80),0))))/100)*((1+(((C2897=TRUE)*F2897)+((C2904=TRUE)*(F2904-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2890)</f>
        <v/>
      </c>
      <c r="L2890">
        <f>K2890*(MIN(Inputs!$B$22+((C2902=TRUE)*(F2902-Calc!F22)),(Inputs!$B$23+0+(IF(ArtifactsInput!$M$15,CHOOSE(ArtifactsInput!$N$15+1,25,30,35,40,45,50)/100*(Inputs!$B$11-Inputs!$B$11),0))))/100+(Inputs!$B$23+0+(IF(ArtifactsInput!$M$15,CHOOSE(ArtifactsInput!$N$15+1,25,30,35,40,45,50)/100*(Inputs!$B$11-Inputs!$B$11),0)))/100)/2</f>
        <v/>
      </c>
      <c r="M2890">
        <f>L2890*(1+(Inputs!$B$10+((C2905=TRUE)*(F2905-Calc!F25))+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0">
        <f>L2890*(1-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2890*(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0">
        <f>(1-Summary!$B$11)*T2890+Summary!$B$11*V2890</f>
        <v/>
      </c>
      <c r="P2890">
        <f>IF(B2920=0,0,O2890/B2920)</f>
        <v/>
      </c>
      <c r="Q2890">
        <f>IFERROR(1/(IF(Inputs!$B$38="pvp",15,MAX(0.1,Skills!D10-IF(Skills!E10=TRUE,2.0,0)))*(1-IF(AND(ArtifactsInput!$M$27,Inputs!$B$4="Chapter Hunt"),CHOOSE(ArtifactsInput!$N$27+1,20,24,28,32,36,40),0)/100)),0)</f>
        <v/>
      </c>
      <c r="R2890">
        <f>IF(AND(Inputs!$B$38&lt;&gt;"pvp",Inputs!$B$43&gt;0),IF(MAX(0,Inputs!$B$43-B2917)&lt;=0,0,(INT(MAX(0,Inputs!$B$43-B2917)/(IF(Inputs!$B$38="pvp",15,MAX(0.1,Skills!D10-IF(Skills!E10=TRUE,2.0,0)))*(1-IF(AND(ArtifactsInput!$M$27,Inputs!$B$4="Chapter Hunt"),CHOOSE(ArtifactsInput!$N$27+1,20,24,28,32,36,40),0)/100)))+1)),0)</f>
        <v/>
      </c>
      <c r="S2890">
        <f>IFERROR(O2890/N2890,0)</f>
        <v/>
      </c>
      <c r="T2890">
        <f>IF(C2890,(H2890*N2890*IF(AND(Inputs!$B$38&lt;&gt;"pvp",Inputs!$B$43&gt;0),((Skills!G10*((R2890-1)*IF(Skills!H10&gt;0,Skills!I10/Skills!H10,1)+IF(Skills!H10&gt;0,MIN(Skills!I10,MAX(0,MAX(0,Inputs!$B$43-B2917)-((R2890-1)*(IF(Inputs!$B$38="pvp",15,MAX(0.1,Skills!D10-IF(Skills!E10=TRUE,2.0,0)))*(1-IF(AND(ArtifactsInput!$M$27,Inputs!$B$4="Chapter Hunt"),CHOOSE(ArtifactsInput!$N$27+1,20,24,28,32,36,40),0)/100)))))/Skills!H10,1)))/Inputs!$B$43),G2890*Q2890)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2890*(1-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2890*(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2890*(1-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2890*(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0">
        <f>IF(C2890,(H2890*N2890*IF(AND(Inputs!$B$38&lt;&gt;"pvp",Inputs!$B$43&gt;0),((Skills!G10*((R2890-1)*IF(Skills!H10&gt;0,Skills!I10/Skills!H10,1)+IF(Skills!H10&gt;0,MIN(Skills!I10,MAX(0,MAX(0,Inputs!$B$43-B2917)-((R2890-1)*(IF(Inputs!$B$38="pvp",15,MAX(0.1,Skills!D10-IF(Skills!E10=TRUE,2.0,0)))*(1-IF(AND(ArtifactsInput!$M$27,Inputs!$B$4="Chapter Hunt"),CHOOSE(ArtifactsInput!$N$27+1,20,24,28,32,36,40),0)/100)))))/Skills!H10,1)))/Inputs!$B$43),G2890*Q2890))*IF(Inputs!$B$38="pvp",1,(1+(Inputs!$B$21+Skills!Q10+(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1">
      <c r="A2891">
        <f>Skills!A11</f>
        <v/>
      </c>
      <c r="B2891">
        <f>Skills!B11</f>
        <v/>
      </c>
      <c r="C2891">
        <f>Inputs!$B$3&gt;=107</f>
        <v/>
      </c>
      <c r="D2891">
        <f>IF(Skills!C11=1,60+Inputs!$B$25+Inputs!$B$29,IF(Skills!C11=2,90+Inputs!$B$26+Inputs!$B$29,IF(Skills!C11=3,120+Inputs!$B$27+Inputs!$B$29,MAX(0,(Inputs!$B$3-100)*3)+Inputs!$B$28+Inputs!$B$29)))</f>
        <v/>
      </c>
      <c r="E2891">
        <f>INDEX(FactorTable!$B$2:$Y$301, MATCH(ROUND(MIN(300,MAX(1,D2891)),0), FactorTable!$A$2:$A$301,0), Skills!M11+1)</f>
        <v/>
      </c>
      <c r="F2891">
        <f>IF(Skills!N11=TRUE,(Skills!L11/10)*(E2891/1000),Skills!L11/10)+Skills!O11</f>
        <v/>
      </c>
      <c r="G2891">
        <f>Skills!G11*IF(Skills!H11&gt;0,Skills!I11/Skills!H11,1)</f>
        <v/>
      </c>
      <c r="H2891">
        <f>1-(1-Skills!J11/100)^Skills!K11</f>
        <v/>
      </c>
      <c r="I2891" t="inlineStr">
        <is>
          <t>1</t>
        </is>
      </c>
      <c r="J2891">
        <f>((Inputs!$B$6*(1+Inputs!$B$7/100))+(((Inputs!$B$12*(1+Inputs!$B$13/100))-(Inputs!$B$12*(1+Inputs!$B$13/100)))+0.25*(Inputs!$B$14-Inputs!$B$14))*(1+Inputs!$B$7/100))*(F2891/100)</f>
        <v/>
      </c>
      <c r="K2891">
        <f>J2891*(1+((Inputs!$B$12*(1+Inputs!$B$13/100))*0.01+Inputs!$B$14*0.0025)/100)*(1+Inputs!$B$15/100)*(1+Inputs!$B$16/100)*(5000/(6000+Inputs!$B$42*(1-(100*(1-(1-(Inputs!$B$19+0)/100)*(1-CHOOSE(ArtifactsInput!$N$40+1,5,6,7,8,9,10)/100)^(ArtifactsInput!$M$40-ArtifactsInput!$M$40)))/100)))*(1+(Inputs!$B$24+((C2906=TRUE)*(F2906-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2903=TRUE)*(F2903-Calc!F23))+((C2907=TRUE)*(F2907-Calc!F27))+(((IF(AND(ArtifactsInput!$M$42,((Inputs!$B$9+((C2899=TRUE)*(F2899-Calc!F19))+B2910+(ArtifactsInput!$M$24-ArtifactsInput!$M$24)*CHOOSE(ArtifactsInput!$N$24+1,10,12,14,16,18,20)+IF(ArtifactsInput!$M$10,CHOOSE(ArtifactsInput!$N$10+1,15,18,21,24,27,30)*(IF(Inputs!$B$38="pvp",MIN(15,15)/15,IF(AND(Inputs!$B$38&lt;&gt;"pvp",Inputs!$B$43&gt;0),MIN(15,Inputs!$B$43)/(Inputs!$B$43),0))),0)))&gt;=100),MIN(100,((Inputs!$B$9+((C2899=TRUE)*(F2899-Calc!F19))+B2910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2899=TRUE)*(F2899-Calc!F19))+B2910+(ArtifactsInput!$M$24-ArtifactsInput!$M$24)*CHOOSE(ArtifactsInput!$N$24+1,10,12,14,16,18,20)+IF(ArtifactsInput!$M$10,CHOOSE(ArtifactsInput!$N$10+1,15,18,21,24,27,30)*(IF(Inputs!$B$38="pvp",MIN(15,15)/15,IF(AND(Inputs!$B$38&lt;&gt;"pvp",Inputs!$B$43&gt;0),MIN(15,Inputs!$B$43)/(Inputs!$B$43),0))),0)))&gt;=100),CHOOSE(ArtifactsInput!$N$42+1,40,48,56,64,72,80),0))))/100)*((1+(((C2897=TRUE)*F2897)+((C2904=TRUE)*(F2904-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2891)</f>
        <v/>
      </c>
      <c r="L2891">
        <f>K2891*(MIN(Inputs!$B$22+((C2902=TRUE)*(F2902-Calc!F22)),(Inputs!$B$23+0+(IF(ArtifactsInput!$M$15,CHOOSE(ArtifactsInput!$N$15+1,25,30,35,40,45,50)/100*(Inputs!$B$11-Inputs!$B$11),0))))/100+(Inputs!$B$23+0+(IF(ArtifactsInput!$M$15,CHOOSE(ArtifactsInput!$N$15+1,25,30,35,40,45,50)/100*(Inputs!$B$11-Inputs!$B$11),0)))/100)/2</f>
        <v/>
      </c>
      <c r="M2891">
        <f>L2891*(1+(Inputs!$B$10+((C2905=TRUE)*(F2905-Calc!F25))+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1">
        <f>L2891*(1-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2891*(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1">
        <f>(1-Summary!$B$11)*T2891+Summary!$B$11*V2891</f>
        <v/>
      </c>
      <c r="P2891">
        <f>IF(B2920=0,0,O2891/B2920)</f>
        <v/>
      </c>
      <c r="Q2891">
        <f>IFERROR(1/(IF(Inputs!$B$38="pvp",15,MAX(0.1,Skills!D11-IF(Skills!E11=TRUE,2.0,0)))*(1-IF(AND(ArtifactsInput!$M$27,Inputs!$B$4="Chapter Hunt"),CHOOSE(ArtifactsInput!$N$27+1,20,24,28,32,36,40),0)/100)),0)</f>
        <v/>
      </c>
      <c r="R2891">
        <f>IF(AND(Inputs!$B$38&lt;&gt;"pvp",Inputs!$B$43&gt;0),IF(MAX(0,Inputs!$B$43-B2917)&lt;=0,0,(INT(MAX(0,Inputs!$B$43-B2917)/(IF(Inputs!$B$38="pvp",15,MAX(0.1,Skills!D11-IF(Skills!E11=TRUE,2.0,0)))*(1-IF(AND(ArtifactsInput!$M$27,Inputs!$B$4="Chapter Hunt"),CHOOSE(ArtifactsInput!$N$27+1,20,24,28,32,36,40),0)/100)))+1)),0)</f>
        <v/>
      </c>
      <c r="S2891">
        <f>IFERROR(O2891/N2891,0)</f>
        <v/>
      </c>
      <c r="T2891">
        <f>IF(C2891,(H2891*N2891*IF(AND(Inputs!$B$38&lt;&gt;"pvp",Inputs!$B$43&gt;0),((Skills!G11*((R2891-1)*IF(Skills!H11&gt;0,Skills!I11/Skills!H11,1)+IF(Skills!H11&gt;0,MIN(Skills!I11,MAX(0,MAX(0,Inputs!$B$43-B2917)-((R2891-1)*(IF(Inputs!$B$38="pvp",15,MAX(0.1,Skills!D11-IF(Skills!E11=TRUE,2.0,0)))*(1-IF(AND(ArtifactsInput!$M$27,Inputs!$B$4="Chapter Hunt"),CHOOSE(ArtifactsInput!$N$27+1,20,24,28,32,36,40),0)/100)))))/Skills!H11,1)))/Inputs!$B$43),G2891*Q2891)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2891*(1-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2891*(1-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1">
        <f>IF(C2891,(H2891*N2891*IF(AND(Inputs!$B$38&lt;&gt;"pvp",Inputs!$B$43&gt;0),((Skills!G11*((R2891-1)*IF(Skills!H11&gt;0,Skills!I11/Skills!H11,1)+IF(Skills!H11&gt;0,MIN(Skills!I11,MAX(0,MAX(0,Inputs!$B$43-B2917)-((R2891-1)*(IF(Inputs!$B$38="pvp",15,MAX(0.1,Skills!D11-IF(Skills!E11=TRUE,2.0,0)))*(1-IF(AND(ArtifactsInput!$M$27,Inputs!$B$4="Chapter Hunt"),CHOOSE(ArtifactsInput!$N$27+1,20,24,28,32,36,40),0)/100)))))/Skills!H11,1)))/Inputs!$B$43),G2891*Q2891))*IF(Inputs!$B$38="pvp",1,(1+(Inputs!$B$21+Skills!Q11+(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2">
      <c r="A2892">
        <f>Skills!A12</f>
        <v/>
      </c>
      <c r="B2892">
        <f>Skills!B12</f>
        <v/>
      </c>
      <c r="C2892">
        <f>Inputs!$B$3&gt;=110</f>
        <v/>
      </c>
      <c r="D2892">
        <f>IF(Skills!C12=1,60+Inputs!$B$25+Inputs!$B$29,IF(Skills!C12=2,90+Inputs!$B$26+Inputs!$B$29,IF(Skills!C12=3,120+Inputs!$B$27+Inputs!$B$29,MAX(0,(Inputs!$B$3-100)*3)+Inputs!$B$28+Inputs!$B$29)))</f>
        <v/>
      </c>
      <c r="E2892">
        <f>INDEX(FactorTable!$B$2:$Y$301, MATCH(ROUND(MIN(300,MAX(1,D2892)),0), FactorTable!$A$2:$A$301,0), Skills!M12+1)</f>
        <v/>
      </c>
      <c r="F2892">
        <f>IF(Skills!N12=TRUE,(Skills!L12/10)*(E2892/1000),Skills!L12/10)+Skills!O12</f>
        <v/>
      </c>
      <c r="G2892">
        <f>Skills!G12*IF(Skills!H12&gt;0,Skills!I12/Skills!H12,1)</f>
        <v/>
      </c>
      <c r="H2892">
        <f>1-(1-Skills!J12/100)^Skills!K12</f>
        <v/>
      </c>
      <c r="I2892" t="inlineStr">
        <is>
          <t>1</t>
        </is>
      </c>
      <c r="J2892">
        <f>((Inputs!$B$6*(1+Inputs!$B$7/100))+(((Inputs!$B$12*(1+Inputs!$B$13/100))-(Inputs!$B$12*(1+Inputs!$B$13/100)))+0.25*(Inputs!$B$14-Inputs!$B$14))*(1+Inputs!$B$7/100))*(F2892/100)</f>
        <v/>
      </c>
      <c r="K2892">
        <f>J2892*(1+((Inputs!$B$12*(1+Inputs!$B$13/100))*0.01+Inputs!$B$14*0.0025)/100)*(1+Inputs!$B$15/100)*(1+Inputs!$B$16/100)*(5000/(6000+Inputs!$B$42*(1-(100*(1-(1-(Inputs!$B$19+0)/100)*(1-CHOOSE(ArtifactsInput!$N$40+1,5,6,7,8,9,10)/100)^(ArtifactsInput!$M$40-ArtifactsInput!$M$40)))/100)))*(1+(Inputs!$B$24+((C2906=TRUE)*(F2906-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2903=TRUE)*(F2903-Calc!F23))+((C2907=TRUE)*(F2907-Calc!F27))+(((IF(AND(ArtifactsInput!$M$42,((Inputs!$B$9+((C2899=TRUE)*(F2899-Calc!F19))+B2910+(ArtifactsInput!$M$24-ArtifactsInput!$M$24)*CHOOSE(ArtifactsInput!$N$24+1,10,12,14,16,18,20)+IF(ArtifactsInput!$M$10,CHOOSE(ArtifactsInput!$N$10+1,15,18,21,24,27,30)*(IF(Inputs!$B$38="pvp",MIN(15,15)/15,IF(AND(Inputs!$B$38&lt;&gt;"pvp",Inputs!$B$43&gt;0),MIN(15,Inputs!$B$43)/(Inputs!$B$43),0))),0)))&gt;=100),MIN(100,((Inputs!$B$9+((C2899=TRUE)*(F2899-Calc!F19))+B2910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2899=TRUE)*(F2899-Calc!F19))+B2910+(ArtifactsInput!$M$24-ArtifactsInput!$M$24)*CHOOSE(ArtifactsInput!$N$24+1,10,12,14,16,18,20)+IF(ArtifactsInput!$M$10,CHOOSE(ArtifactsInput!$N$10+1,15,18,21,24,27,30)*(IF(Inputs!$B$38="pvp",MIN(15,15)/15,IF(AND(Inputs!$B$38&lt;&gt;"pvp",Inputs!$B$43&gt;0),MIN(15,Inputs!$B$43)/(Inputs!$B$43),0))),0)))&gt;=100),CHOOSE(ArtifactsInput!$N$42+1,40,48,56,64,72,80),0))))/100)*((1+(((C2897=TRUE)*F2897)+((C2904=TRUE)*(F2904-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2892)</f>
        <v/>
      </c>
      <c r="L2892">
        <f>K2892*(MIN(Inputs!$B$22+((C2902=TRUE)*(F2902-Calc!F22)),(Inputs!$B$23+0+(IF(ArtifactsInput!$M$15,CHOOSE(ArtifactsInput!$N$15+1,25,30,35,40,45,50)/100*(Inputs!$B$11-Inputs!$B$11),0))))/100+(Inputs!$B$23+0+(IF(ArtifactsInput!$M$15,CHOOSE(ArtifactsInput!$N$15+1,25,30,35,40,45,50)/100*(Inputs!$B$11-Inputs!$B$11),0)))/100)/2</f>
        <v/>
      </c>
      <c r="M2892">
        <f>L2892*(1+(Inputs!$B$10+((C2905=TRUE)*(F2905-Calc!F25))+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2">
        <f>L2892*(1-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2892*(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2">
        <f>(1-Summary!$B$11)*T2892+Summary!$B$11*V2892</f>
        <v/>
      </c>
      <c r="P2892">
        <f>IF(B2920=0,0,O2892/B2920)</f>
        <v/>
      </c>
      <c r="Q2892">
        <f>IFERROR(1/(IF(Inputs!$B$38="pvp",15,MAX(0.1,Skills!D12-IF(Skills!E12=TRUE,2.0,0)))*(1-IF(AND(ArtifactsInput!$M$27,Inputs!$B$4="Chapter Hunt"),CHOOSE(ArtifactsInput!$N$27+1,20,24,28,32,36,40),0)/100)),0)</f>
        <v/>
      </c>
      <c r="R2892">
        <f>IF(AND(Inputs!$B$38&lt;&gt;"pvp",Inputs!$B$43&gt;0),IF(MAX(0,Inputs!$B$43-B2917)&lt;=0,0,(INT(MAX(0,Inputs!$B$43-B2917)/(IF(Inputs!$B$38="pvp",15,MAX(0.1,Skills!D12-IF(Skills!E12=TRUE,2.0,0)))*(1-IF(AND(ArtifactsInput!$M$27,Inputs!$B$4="Chapter Hunt"),CHOOSE(ArtifactsInput!$N$27+1,20,24,28,32,36,40),0)/100)))+1)),0)</f>
        <v/>
      </c>
      <c r="S2892">
        <f>IFERROR(O2892/N2892,0)</f>
        <v/>
      </c>
      <c r="T2892">
        <f>IF(C2892,(H2892*N2892*IF(AND(Inputs!$B$38&lt;&gt;"pvp",Inputs!$B$43&gt;0),((Skills!G12*((R2892-1)*IF(Skills!H12&gt;0,Skills!I12/Skills!H12,1)+IF(Skills!H12&gt;0,MIN(Skills!I12,MAX(0,MAX(0,Inputs!$B$43-B2917)-((R2892-1)*(IF(Inputs!$B$38="pvp",15,MAX(0.1,Skills!D12-IF(Skills!E12=TRUE,2.0,0)))*(1-IF(AND(ArtifactsInput!$M$27,Inputs!$B$4="Chapter Hunt"),CHOOSE(ArtifactsInput!$N$27+1,20,24,28,32,36,40),0)/100)))))/Skills!H12,1)))/Inputs!$B$43),G2892*Q2892)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2892*(1-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2892*(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2892*(1-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2892*(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2">
        <f>IF(C2892,(H2892*N2892*IF(AND(Inputs!$B$38&lt;&gt;"pvp",Inputs!$B$43&gt;0),((Skills!G12*((R2892-1)*IF(Skills!H12&gt;0,Skills!I12/Skills!H12,1)+IF(Skills!H12&gt;0,MIN(Skills!I12,MAX(0,MAX(0,Inputs!$B$43-B2917)-((R2892-1)*(IF(Inputs!$B$38="pvp",15,MAX(0.1,Skills!D12-IF(Skills!E12=TRUE,2.0,0)))*(1-IF(AND(ArtifactsInput!$M$27,Inputs!$B$4="Chapter Hunt"),CHOOSE(ArtifactsInput!$N$27+1,20,24,28,32,36,40),0)/100)))))/Skills!H12,1)))/Inputs!$B$43),G2892*Q2892))*IF(Inputs!$B$38="pvp",1,(1+(Inputs!$B$21+Skills!Q12+(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3">
      <c r="A2893">
        <f>Skills!A13</f>
        <v/>
      </c>
      <c r="B2893">
        <f>Skills!B13</f>
        <v/>
      </c>
      <c r="C2893">
        <f>Inputs!$B$3&gt;=110</f>
        <v/>
      </c>
      <c r="D2893">
        <f>IF(Skills!C13=1,60+Inputs!$B$25+Inputs!$B$29,IF(Skills!C13=2,90+Inputs!$B$26+Inputs!$B$29,IF(Skills!C13=3,120+Inputs!$B$27+Inputs!$B$29,MAX(0,(Inputs!$B$3-100)*3)+Inputs!$B$28+Inputs!$B$29)))</f>
        <v/>
      </c>
      <c r="E2893">
        <f>INDEX(FactorTable!$B$2:$Y$301, MATCH(ROUND(MIN(300,MAX(1,D2893)),0), FactorTable!$A$2:$A$301,0), Skills!M13+1)</f>
        <v/>
      </c>
      <c r="F2893">
        <f>IF(Skills!N13=TRUE,(Skills!L13/10)*(E2893/1000),Skills!L13/10)+Skills!O13</f>
        <v/>
      </c>
      <c r="G2893">
        <f>Skills!G13*IF(Skills!H13&gt;0,Skills!I13/Skills!H13,1)</f>
        <v/>
      </c>
      <c r="H2893">
        <f>1-(1-Skills!J13/100)^Skills!K13</f>
        <v/>
      </c>
      <c r="I2893" t="inlineStr">
        <is>
          <t>1</t>
        </is>
      </c>
      <c r="J2893">
        <f>((Inputs!$B$6*(1+Inputs!$B$7/100))+(((Inputs!$B$12*(1+Inputs!$B$13/100))-(Inputs!$B$12*(1+Inputs!$B$13/100)))+0.25*(Inputs!$B$14-Inputs!$B$14))*(1+Inputs!$B$7/100))*(F2893/100)</f>
        <v/>
      </c>
      <c r="K2893">
        <f>J2893*(1+((Inputs!$B$12*(1+Inputs!$B$13/100))*0.01+Inputs!$B$14*0.0025)/100)*(1+Inputs!$B$15/100)*(1+Inputs!$B$16/100)*(5000/(6000+Inputs!$B$42*(1-(100*(1-(1-(Inputs!$B$19+0)/100)*(1-CHOOSE(ArtifactsInput!$N$40+1,5,6,7,8,9,10)/100)^(ArtifactsInput!$M$40-ArtifactsInput!$M$40)))/100)))*(1+(Inputs!$B$24+((C2906=TRUE)*(F2906-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2903=TRUE)*(F2903-Calc!F23))+((C2907=TRUE)*(F2907-Calc!F27))+(((IF(AND(ArtifactsInput!$M$42,((Inputs!$B$9+((C2899=TRUE)*(F2899-Calc!F19))+B2910+(ArtifactsInput!$M$24-ArtifactsInput!$M$24)*CHOOSE(ArtifactsInput!$N$24+1,10,12,14,16,18,20)+IF(ArtifactsInput!$M$10,CHOOSE(ArtifactsInput!$N$10+1,15,18,21,24,27,30)*(IF(Inputs!$B$38="pvp",MIN(15,15)/15,IF(AND(Inputs!$B$38&lt;&gt;"pvp",Inputs!$B$43&gt;0),MIN(15,Inputs!$B$43)/(Inputs!$B$43),0))),0)))&gt;=100),MIN(100,((Inputs!$B$9+((C2899=TRUE)*(F2899-Calc!F19))+B2910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2899=TRUE)*(F2899-Calc!F19))+B2910+(ArtifactsInput!$M$24-ArtifactsInput!$M$24)*CHOOSE(ArtifactsInput!$N$24+1,10,12,14,16,18,20)+IF(ArtifactsInput!$M$10,CHOOSE(ArtifactsInput!$N$10+1,15,18,21,24,27,30)*(IF(Inputs!$B$38="pvp",MIN(15,15)/15,IF(AND(Inputs!$B$38&lt;&gt;"pvp",Inputs!$B$43&gt;0),MIN(15,Inputs!$B$43)/(Inputs!$B$43),0))),0)))&gt;=100),CHOOSE(ArtifactsInput!$N$42+1,40,48,56,64,72,80),0))))/100)*((1+(((C2897=TRUE)*F2897)+((C2904=TRUE)*(F2904-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2893)</f>
        <v/>
      </c>
      <c r="L2893">
        <f>K2893*(MIN(Inputs!$B$22+((C2902=TRUE)*(F2902-Calc!F22)),(Inputs!$B$23+0+(IF(ArtifactsInput!$M$15,CHOOSE(ArtifactsInput!$N$15+1,25,30,35,40,45,50)/100*(Inputs!$B$11-Inputs!$B$11),0))))/100+(Inputs!$B$23+0+(IF(ArtifactsInput!$M$15,CHOOSE(ArtifactsInput!$N$15+1,25,30,35,40,45,50)/100*(Inputs!$B$11-Inputs!$B$11),0)))/100)/2</f>
        <v/>
      </c>
      <c r="M2893">
        <f>L2893*(1+(Inputs!$B$10+((C2905=TRUE)*(F2905-Calc!F25))+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3">
        <f>L2893*(1-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2893*(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3">
        <f>(1-Summary!$B$11)*T2893+Summary!$B$11*V2893</f>
        <v/>
      </c>
      <c r="P2893">
        <f>IF(B2920=0,0,O2893/B2920)</f>
        <v/>
      </c>
      <c r="Q2893">
        <f>IFERROR(1/(IF(Inputs!$B$38="pvp",15,MAX(0.1,Skills!D13-IF(Skills!E13=TRUE,2.0,0)))*(1-IF(AND(ArtifactsInput!$M$27,Inputs!$B$4="Chapter Hunt"),CHOOSE(ArtifactsInput!$N$27+1,20,24,28,32,36,40),0)/100)),0)</f>
        <v/>
      </c>
      <c r="R2893">
        <f>IF(AND(Inputs!$B$38&lt;&gt;"pvp",Inputs!$B$43&gt;0),IF(MAX(0,Inputs!$B$43-B2917)&lt;=0,0,(INT(MAX(0,Inputs!$B$43-B2917)/(IF(Inputs!$B$38="pvp",15,MAX(0.1,Skills!D13-IF(Skills!E13=TRUE,2.0,0)))*(1-IF(AND(ArtifactsInput!$M$27,Inputs!$B$4="Chapter Hunt"),CHOOSE(ArtifactsInput!$N$27+1,20,24,28,32,36,40),0)/100)))+1)),0)</f>
        <v/>
      </c>
      <c r="S2893">
        <f>IFERROR(O2893/N2893,0)</f>
        <v/>
      </c>
      <c r="T2893">
        <f>IF(C2893,(H2893*N2893*IF(AND(Inputs!$B$38&lt;&gt;"pvp",Inputs!$B$43&gt;0),((Skills!G13*((R2893-1)*IF(Skills!H13&gt;0,Skills!I13/Skills!H13,1)+IF(Skills!H13&gt;0,MIN(Skills!I13,MAX(0,MAX(0,Inputs!$B$43-B2917)-((R2893-1)*(IF(Inputs!$B$38="pvp",15,MAX(0.1,Skills!D13-IF(Skills!E13=TRUE,2.0,0)))*(1-IF(AND(ArtifactsInput!$M$27,Inputs!$B$4="Chapter Hunt"),CHOOSE(ArtifactsInput!$N$27+1,20,24,28,32,36,40),0)/100)))))/Skills!H13,1)))/Inputs!$B$43),G2893*Q2893))*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2893*(1-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2893*(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2893*(1-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2893*(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3">
        <f>IF(C2893,(H2893*N2893*IF(AND(Inputs!$B$38&lt;&gt;"pvp",Inputs!$B$43&gt;0),((Skills!G13*((R2893-1)*IF(Skills!H13&gt;0,Skills!I13/Skills!H13,1)+IF(Skills!H13&gt;0,MIN(Skills!I13,MAX(0,MAX(0,Inputs!$B$43-B2917)-((R2893-1)*(IF(Inputs!$B$38="pvp",15,MAX(0.1,Skills!D13-IF(Skills!E13=TRUE,2.0,0)))*(1-IF(AND(ArtifactsInput!$M$27,Inputs!$B$4="Chapter Hunt"),CHOOSE(ArtifactsInput!$N$27+1,20,24,28,32,36,40),0)/100)))))/Skills!H13,1)))/Inputs!$B$43),G2893*Q2893))*IF(Inputs!$B$38="pvp",1,(1+(Inputs!$B$21+Skills!Q13+(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4">
      <c r="A2894">
        <f>Skills!A14</f>
        <v/>
      </c>
      <c r="B2894">
        <f>Skills!B14</f>
        <v/>
      </c>
      <c r="C2894">
        <f>Inputs!$B$3&gt;=125</f>
        <v/>
      </c>
      <c r="D2894">
        <f>IF(Skills!C14=1,60+Inputs!$B$25+Inputs!$B$29,IF(Skills!C14=2,90+Inputs!$B$26+Inputs!$B$29,IF(Skills!C14=3,120+Inputs!$B$27+Inputs!$B$29,MAX(0,(Inputs!$B$3-100)*3)+Inputs!$B$28+Inputs!$B$29)))</f>
        <v/>
      </c>
      <c r="E2894">
        <f>INDEX(FactorTable!$B$2:$Y$301, MATCH(ROUND(MIN(300,MAX(1,D2894)),0), FactorTable!$A$2:$A$301,0), Skills!M14+1)</f>
        <v/>
      </c>
      <c r="F2894">
        <f>IF(Skills!N14=TRUE,(Skills!L14/10)*(E2894/1000),Skills!L14/10)+Skills!O14</f>
        <v/>
      </c>
      <c r="G2894">
        <f>Skills!G14*IF(Skills!H14&gt;0,Skills!I14/Skills!H14,1)</f>
        <v/>
      </c>
      <c r="H2894">
        <f>1-(1-Skills!J14/100)^Skills!K14</f>
        <v/>
      </c>
      <c r="I2894" t="inlineStr">
        <is>
          <t>1</t>
        </is>
      </c>
      <c r="J2894">
        <f>((Inputs!$B$6*(1+Inputs!$B$7/100))+(((Inputs!$B$12*(1+Inputs!$B$13/100))-(Inputs!$B$12*(1+Inputs!$B$13/100)))+0.25*(Inputs!$B$14-Inputs!$B$14))*(1+Inputs!$B$7/100))*(F2894/100)</f>
        <v/>
      </c>
      <c r="K2894">
        <f>J2894*(1+((Inputs!$B$12*(1+Inputs!$B$13/100))*0.01+Inputs!$B$14*0.0025)/100)*(1+Inputs!$B$15/100)*(1+Inputs!$B$16/100)*(5000/(6000+Inputs!$B$42*(1-(100*(1-(1-(Inputs!$B$19+0)/100)*(1-CHOOSE(ArtifactsInput!$N$40+1,5,6,7,8,9,10)/100)^(ArtifactsInput!$M$40-ArtifactsInput!$M$40)))/100)))*(1+(Inputs!$B$24+((C2906=TRUE)*(F2906-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2903=TRUE)*(F2903-Calc!F23))+((C2907=TRUE)*(F2907-Calc!F27))+(((IF(AND(ArtifactsInput!$M$42,((Inputs!$B$9+((C2899=TRUE)*(F2899-Calc!F19))+B2910+(ArtifactsInput!$M$24-ArtifactsInput!$M$24)*CHOOSE(ArtifactsInput!$N$24+1,10,12,14,16,18,20)+IF(ArtifactsInput!$M$10,CHOOSE(ArtifactsInput!$N$10+1,15,18,21,24,27,30)*(IF(Inputs!$B$38="pvp",MIN(15,15)/15,IF(AND(Inputs!$B$38&lt;&gt;"pvp",Inputs!$B$43&gt;0),MIN(15,Inputs!$B$43)/(Inputs!$B$43),0))),0)))&gt;=100),MIN(100,((Inputs!$B$9+((C2899=TRUE)*(F2899-Calc!F19))+B2910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2899=TRUE)*(F2899-Calc!F19))+B2910+(ArtifactsInput!$M$24-ArtifactsInput!$M$24)*CHOOSE(ArtifactsInput!$N$24+1,10,12,14,16,18,20)+IF(ArtifactsInput!$M$10,CHOOSE(ArtifactsInput!$N$10+1,15,18,21,24,27,30)*(IF(Inputs!$B$38="pvp",MIN(15,15)/15,IF(AND(Inputs!$B$38&lt;&gt;"pvp",Inputs!$B$43&gt;0),MIN(15,Inputs!$B$43)/(Inputs!$B$43),0))),0)))&gt;=100),CHOOSE(ArtifactsInput!$N$42+1,40,48,56,64,72,80),0))))/100)*((1+(((C2897=TRUE)*F2897)+((C2904=TRUE)*(F2904-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2894)</f>
        <v/>
      </c>
      <c r="L2894">
        <f>K2894*(MIN(Inputs!$B$22+((C2902=TRUE)*(F2902-Calc!F22)),(Inputs!$B$23+0+(IF(ArtifactsInput!$M$15,CHOOSE(ArtifactsInput!$N$15+1,25,30,35,40,45,50)/100*(Inputs!$B$11-Inputs!$B$11),0))))/100+(Inputs!$B$23+0+(IF(ArtifactsInput!$M$15,CHOOSE(ArtifactsInput!$N$15+1,25,30,35,40,45,50)/100*(Inputs!$B$11-Inputs!$B$11),0)))/100)/2</f>
        <v/>
      </c>
      <c r="M2894">
        <f>L2894*(1+(Inputs!$B$10+((C2905=TRUE)*(F2905-Calc!F25))+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4">
        <f>L2894*(1-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2894*(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4">
        <f>(1-Summary!$B$11)*T2894+Summary!$B$11*V2894</f>
        <v/>
      </c>
      <c r="P2894">
        <f>IF(B2920=0,0,O2894/B2920)</f>
        <v/>
      </c>
      <c r="Q2894" t="n">
        <v>0</v>
      </c>
      <c r="R2894" t="n">
        <v>0</v>
      </c>
      <c r="S2894">
        <f>IFERROR(O2894/N2894,0)</f>
        <v/>
      </c>
      <c r="T2894">
        <f>IF(C2894,(H2894*N2894*(B2914+IF(AND(Inputs!$B$38&lt;&gt;"pvp",Inputs!$B$43&gt;0),((Skills!G8*((R2888-1)*IF(Skills!H8&gt;0,Skills!I8/Skills!H8,1)+IF(Skills!H8&gt;0,MIN(Skills!I8,MAX(0,MAX(0,Inputs!$B$43-B2917)-((R2888-1)*(IF(Inputs!$B$38="pvp",15,MAX(0.1,Skills!D8-IF(Skills!E8=TRUE,2.0,0)))*(1-IF(AND(ArtifactsInput!$M$27,Inputs!$B$4="Chapter Hunt"),CHOOSE(ArtifactsInput!$N$27+1,20,24,28,32,36,40),0)/100)))))/Skills!H8,1)))/Inputs!$B$43),G2888*Q2888)+IF(AND(Inputs!$B$38&lt;&gt;"pvp",Inputs!$B$43&gt;0),((Skills!G11*((R2891-1)*IF(Skills!H11&gt;0,Skills!I11/Skills!H11,1)+IF(Skills!H11&gt;0,MIN(Skills!I11,MAX(0,MAX(0,Inputs!$B$43-B2917)-((R2891-1)*(IF(Inputs!$B$38="pvp",15,MAX(0.1,Skills!D11-IF(Skills!E11=TRUE,2.0,0)))*(1-IF(AND(ArtifactsInput!$M$27,Inputs!$B$4="Chapter Hunt"),CHOOSE(ArtifactsInput!$N$27+1,20,24,28,32,36,40),0)/100)))))/Skills!H11,1)))/Inputs!$B$43),G2891*Q2891)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2894*(1-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2894*(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2894*(1-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2894*(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4">
        <f>IF(C2894,(H2894*N2894*(B2914+IF(AND(Inputs!$B$38&lt;&gt;"pvp",Inputs!$B$43&gt;0),((Skills!G8*((R2888-1)*IF(Skills!H8&gt;0,Skills!I8/Skills!H8,1)+IF(Skills!H8&gt;0,MIN(Skills!I8,MAX(0,MAX(0,Inputs!$B$43-B2917)-((R2888-1)*(IF(Inputs!$B$38="pvp",15,MAX(0.1,Skills!D8-IF(Skills!E8=TRUE,2.0,0)))*(1-IF(AND(ArtifactsInput!$M$27,Inputs!$B$4="Chapter Hunt"),CHOOSE(ArtifactsInput!$N$27+1,20,24,28,32,36,40),0)/100)))))/Skills!H8,1)))/Inputs!$B$43),G2888*Q2888)+IF(AND(Inputs!$B$38&lt;&gt;"pvp",Inputs!$B$43&gt;0),((Skills!G11*((R2891-1)*IF(Skills!H11&gt;0,Skills!I11/Skills!H11,1)+IF(Skills!H11&gt;0,MIN(Skills!I11,MAX(0,MAX(0,Inputs!$B$43-B2917)-((R2891-1)*(IF(Inputs!$B$38="pvp",15,MAX(0.1,Skills!D11-IF(Skills!E11=TRUE,2.0,0)))*(1-IF(AND(ArtifactsInput!$M$27,Inputs!$B$4="Chapter Hunt"),CHOOSE(ArtifactsInput!$N$27+1,20,24,28,32,36,40),0)/100)))))/Skills!H11,1)))/Inputs!$B$43),G2891*Q2891)))*IF(Inputs!$B$38="pvp",1,(1+(Inputs!$B$21+Skills!Q14+(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5">
      <c r="A2895">
        <f>Skills!A15</f>
        <v/>
      </c>
      <c r="B2895">
        <f>Skills!B15</f>
        <v/>
      </c>
      <c r="C2895">
        <f>Inputs!$B$3&gt;=100</f>
        <v/>
      </c>
      <c r="D2895">
        <f>IF(Skills!C15=1,60+Inputs!$B$25+Inputs!$B$29,IF(Skills!C15=2,90+Inputs!$B$26+Inputs!$B$29,IF(Skills!C15=3,120+Inputs!$B$27+Inputs!$B$29,MAX(0,(Inputs!$B$3-100)*3)+Inputs!$B$28+Inputs!$B$29)))</f>
        <v/>
      </c>
      <c r="E2895">
        <f>INDEX(FactorTable!$B$2:$Y$301, MATCH(ROUND(MIN(300,MAX(1,D2895)),0), FactorTable!$A$2:$A$301,0), Skills!M15+1)</f>
        <v/>
      </c>
      <c r="F2895">
        <f>IF(Skills!N15=TRUE,(Skills!L15/10)*(E2895/1000),Skills!L15/10)+Skills!O15</f>
        <v/>
      </c>
      <c r="G2895" t="inlineStr"/>
      <c r="H2895" t="inlineStr"/>
      <c r="I2895" t="inlineStr">
        <is>
          <t>1</t>
        </is>
      </c>
      <c r="J2895" t="inlineStr"/>
      <c r="K2895" t="inlineStr"/>
      <c r="L2895" t="inlineStr"/>
      <c r="M2895" t="inlineStr"/>
      <c r="N2895" t="inlineStr"/>
      <c r="O2895" t="inlineStr"/>
      <c r="P2895" t="inlineStr"/>
      <c r="Q2895" t="inlineStr"/>
      <c r="R2895" t="inlineStr"/>
      <c r="S2895" t="inlineStr"/>
    </row>
    <row r="2896">
      <c r="A2896">
        <f>Skills!A16</f>
        <v/>
      </c>
      <c r="B2896">
        <f>Skills!B16</f>
        <v/>
      </c>
      <c r="C2896">
        <f>Inputs!$B$3&gt;=120</f>
        <v/>
      </c>
      <c r="D2896">
        <f>IF(Skills!C16=1,60+Inputs!$B$25+Inputs!$B$29,IF(Skills!C16=2,90+Inputs!$B$26+Inputs!$B$29,IF(Skills!C16=3,120+Inputs!$B$27+Inputs!$B$29,MAX(0,(Inputs!$B$3-100)*3)+Inputs!$B$28+Inputs!$B$29)))</f>
        <v/>
      </c>
      <c r="E2896">
        <f>INDEX(FactorTable!$B$2:$Y$301, MATCH(ROUND(MIN(300,MAX(1,D2896)),0), FactorTable!$A$2:$A$301,0), Skills!M16+1)</f>
        <v/>
      </c>
      <c r="F2896">
        <f>IF(Skills!N16=TRUE,(Skills!L16/10)*(E2896/1000),Skills!L16/10)+Skills!O16</f>
        <v/>
      </c>
      <c r="G2896" t="inlineStr"/>
      <c r="H2896" t="inlineStr"/>
      <c r="I2896" t="inlineStr">
        <is>
          <t>1</t>
        </is>
      </c>
      <c r="J2896" t="inlineStr"/>
      <c r="K2896" t="inlineStr"/>
      <c r="L2896" t="inlineStr"/>
      <c r="M2896" t="inlineStr"/>
      <c r="N2896" t="inlineStr"/>
      <c r="O2896" t="inlineStr"/>
      <c r="P2896" t="inlineStr"/>
      <c r="Q2896" t="inlineStr"/>
      <c r="R2896" t="inlineStr"/>
      <c r="S2896" t="inlineStr"/>
    </row>
    <row r="2897">
      <c r="A2897">
        <f>Skills!A17</f>
        <v/>
      </c>
      <c r="B2897">
        <f>Skills!B17</f>
        <v/>
      </c>
      <c r="C2897">
        <f>Inputs!$B$3&gt;=66</f>
        <v/>
      </c>
      <c r="D2897">
        <f>IF(Skills!C17=1,60+Inputs!$B$25+Inputs!$B$29,IF(Skills!C17=2,90+Inputs!$B$26+Inputs!$B$29,IF(Skills!C17=3,120+Inputs!$B$27+Inputs!$B$29,MAX(0,(Inputs!$B$3-100)*3)+Inputs!$B$28+Inputs!$B$29)))</f>
        <v/>
      </c>
      <c r="E2897">
        <f>INDEX(FactorTable!$B$2:$Y$301, MATCH(ROUND(MIN(300,MAX(1,D2897)),0), FactorTable!$A$2:$A$301,0), Skills!M17+1)</f>
        <v/>
      </c>
      <c r="F2897">
        <f>IF(Skills!N17=TRUE,(Skills!L17/10)*(E2897/1000),Skills!L17/10)+Skills!O17</f>
        <v/>
      </c>
      <c r="G2897">
        <f>Skills!G17*IF(Skills!H17&gt;0,Skills!I17/Skills!H17,1)</f>
        <v/>
      </c>
      <c r="H2897">
        <f>1-(1-Skills!J17/100)^Skills!K17</f>
        <v/>
      </c>
      <c r="I2897" t="inlineStr">
        <is>
          <t>1</t>
        </is>
      </c>
      <c r="J2897" t="inlineStr"/>
      <c r="K2897" t="inlineStr"/>
      <c r="L2897" t="inlineStr"/>
      <c r="M2897" t="inlineStr"/>
      <c r="N2897" t="inlineStr"/>
      <c r="O2897">
        <f>(1-Summary!$B$11)*T2897+Summary!$B$11*V2897</f>
        <v/>
      </c>
      <c r="P2897">
        <f>IF(B2920=0,0,O2897/B2920)</f>
        <v/>
      </c>
      <c r="Q2897" t="n">
        <v>0</v>
      </c>
      <c r="R2897" t="n">
        <v>0</v>
      </c>
      <c r="S2897">
        <f>IFERROR(O2897/N2897,0)</f>
        <v/>
      </c>
      <c r="T2897" t="n">
        <v>0</v>
      </c>
      <c r="V2897" t="n">
        <v>0</v>
      </c>
    </row>
    <row r="2898">
      <c r="A2898">
        <f>Skills!A18</f>
        <v/>
      </c>
      <c r="B2898">
        <f>Skills!B18</f>
        <v/>
      </c>
      <c r="C2898">
        <f>Inputs!$B$3&gt;=115</f>
        <v/>
      </c>
      <c r="D2898">
        <f>IF(Skills!C18=1,60+Inputs!$B$25+Inputs!$B$29,IF(Skills!C18=2,90+Inputs!$B$26+Inputs!$B$29,IF(Skills!C18=3,120+Inputs!$B$27+Inputs!$B$29,MAX(0,(Inputs!$B$3-100)*3)+Inputs!$B$28+Inputs!$B$29)))</f>
        <v/>
      </c>
      <c r="E2898">
        <f>INDEX(FactorTable!$B$2:$Y$301, MATCH(ROUND(MIN(300,MAX(1,D2898)),0), FactorTable!$A$2:$A$301,0), Skills!M18+1)</f>
        <v/>
      </c>
      <c r="F2898">
        <f>IF(Skills!N18=TRUE,(Skills!L18/10)*(E2898/1000),Skills!L18/10)+Skills!O18</f>
        <v/>
      </c>
      <c r="G2898">
        <f>Skills!G18*IF(Skills!H18&gt;0,Skills!I18/Skills!H18,1)</f>
        <v/>
      </c>
      <c r="H2898">
        <f>1-(1-Skills!J18/100)^Skills!K18</f>
        <v/>
      </c>
      <c r="I2898" t="inlineStr">
        <is>
          <t>1</t>
        </is>
      </c>
      <c r="J2898" t="inlineStr"/>
      <c r="K2898" t="inlineStr"/>
      <c r="L2898" t="inlineStr"/>
      <c r="M2898" t="inlineStr"/>
      <c r="N2898" t="inlineStr"/>
      <c r="O2898">
        <f>(1-Summary!$B$11)*T2898+Summary!$B$11*V2898</f>
        <v/>
      </c>
      <c r="P2898">
        <f>IF(B2920=0,0,O2898/B2920)</f>
        <v/>
      </c>
      <c r="Q2898" t="n">
        <v>0</v>
      </c>
      <c r="R2898" t="n">
        <v>0</v>
      </c>
      <c r="S2898">
        <f>IFERROR(O2898/N2898,0)</f>
        <v/>
      </c>
      <c r="T2898" t="n">
        <v>0</v>
      </c>
      <c r="V2898" t="n">
        <v>0</v>
      </c>
    </row>
    <row r="2899">
      <c r="A2899">
        <f>Skills!A19</f>
        <v/>
      </c>
      <c r="B2899">
        <f>Skills!B19</f>
        <v/>
      </c>
      <c r="C2899">
        <f>Inputs!$B$3&gt;=15</f>
        <v/>
      </c>
      <c r="D2899">
        <f>IF(Skills!C19=1,60+Inputs!$B$25+Inputs!$B$29,IF(Skills!C19=2,90+Inputs!$B$26+Inputs!$B$29,IF(Skills!C19=3,120+Inputs!$B$27+Inputs!$B$29,MAX(0,(Inputs!$B$3-100)*3)+Inputs!$B$28+Inputs!$B$29)))</f>
        <v/>
      </c>
      <c r="E2899">
        <f>INDEX(FactorTable!$B$2:$Y$301, MATCH(ROUND(MIN(300,MAX(1,D2899)),0), FactorTable!$A$2:$A$301,0), Skills!M19+1)</f>
        <v/>
      </c>
      <c r="F2899">
        <f>IF(Skills!N19=TRUE,(Skills!L19/10)*(E2899/1000),Skills!L19/10)+Skills!O19</f>
        <v/>
      </c>
      <c r="G2899">
        <f>Skills!G19*IF(Skills!H19&gt;0,Skills!I19/Skills!H19,1)</f>
        <v/>
      </c>
      <c r="H2899">
        <f>1-(1-Skills!J19/100)^Skills!K19</f>
        <v/>
      </c>
      <c r="I2899" t="inlineStr">
        <is>
          <t>1</t>
        </is>
      </c>
      <c r="J2899" t="inlineStr"/>
      <c r="K2899" t="inlineStr"/>
      <c r="L2899" t="inlineStr"/>
      <c r="M2899" t="inlineStr"/>
      <c r="N2899" t="inlineStr"/>
      <c r="O2899">
        <f>(1-Summary!$B$11)*T2899+Summary!$B$11*V2899</f>
        <v/>
      </c>
      <c r="P2899">
        <f>IF(B2920=0,0,O2899/B2920)</f>
        <v/>
      </c>
      <c r="Q2899" t="n">
        <v>0</v>
      </c>
      <c r="R2899" t="n">
        <v>0</v>
      </c>
      <c r="S2899">
        <f>IFERROR(O2899/N2899,0)</f>
        <v/>
      </c>
      <c r="T2899" t="n">
        <v>0</v>
      </c>
      <c r="V2899" t="n">
        <v>0</v>
      </c>
    </row>
    <row r="2900">
      <c r="A2900">
        <f>Skills!A20</f>
        <v/>
      </c>
      <c r="B2900">
        <f>Skills!B20</f>
        <v/>
      </c>
      <c r="C2900">
        <f>Inputs!$B$3&gt;=10</f>
        <v/>
      </c>
      <c r="D2900">
        <f>IF(Skills!C20=1,60+Inputs!$B$25+Inputs!$B$29,IF(Skills!C20=2,90+Inputs!$B$26+Inputs!$B$29,IF(Skills!C20=3,120+Inputs!$B$27+Inputs!$B$29,MAX(0,(Inputs!$B$3-100)*3)+Inputs!$B$28+Inputs!$B$29)))</f>
        <v/>
      </c>
      <c r="E2900">
        <f>INDEX(FactorTable!$B$2:$Y$301, MATCH(ROUND(MIN(300,MAX(1,D2900)),0), FactorTable!$A$2:$A$301,0), Skills!M20+1)</f>
        <v/>
      </c>
      <c r="F2900">
        <f>IF(Skills!N20=TRUE,(Skills!L20/10)*(E2900/1000),Skills!L20/10)+Skills!O20</f>
        <v/>
      </c>
      <c r="G2900">
        <f>Skills!G20*IF(Skills!H20&gt;0,Skills!I20/Skills!H20,1)</f>
        <v/>
      </c>
      <c r="H2900">
        <f>1-(1-Skills!J20/100)^Skills!K20</f>
        <v/>
      </c>
      <c r="I2900" t="inlineStr">
        <is>
          <t>1</t>
        </is>
      </c>
      <c r="J2900" t="inlineStr"/>
      <c r="K2900" t="inlineStr"/>
      <c r="L2900" t="inlineStr"/>
      <c r="M2900" t="inlineStr"/>
      <c r="N2900" t="inlineStr"/>
      <c r="O2900">
        <f>(1-Summary!$B$11)*T2900+Summary!$B$11*V2900</f>
        <v/>
      </c>
      <c r="P2900">
        <f>IF(B2920=0,0,O2900/B2920)</f>
        <v/>
      </c>
      <c r="Q2900" t="n">
        <v>0</v>
      </c>
      <c r="R2900" t="n">
        <v>0</v>
      </c>
      <c r="S2900">
        <f>IFERROR(O2900/N2900,0)</f>
        <v/>
      </c>
      <c r="T2900" t="n">
        <v>0</v>
      </c>
      <c r="V2900" t="n">
        <v>0</v>
      </c>
    </row>
    <row r="2901">
      <c r="A2901">
        <f>Skills!A21</f>
        <v/>
      </c>
      <c r="B2901">
        <f>Skills!B21</f>
        <v/>
      </c>
      <c r="C2901">
        <f>Inputs!$B$3&gt;=33</f>
        <v/>
      </c>
      <c r="D2901">
        <f>IF(Skills!C21=1,60+Inputs!$B$25+Inputs!$B$29,IF(Skills!C21=2,90+Inputs!$B$26+Inputs!$B$29,IF(Skills!C21=3,120+Inputs!$B$27+Inputs!$B$29,MAX(0,(Inputs!$B$3-100)*3)+Inputs!$B$28+Inputs!$B$29)))</f>
        <v/>
      </c>
      <c r="E2901">
        <f>INDEX(FactorTable!$B$2:$Y$301, MATCH(ROUND(MIN(300,MAX(1,D2901)),0), FactorTable!$A$2:$A$301,0), Skills!M21+1)</f>
        <v/>
      </c>
      <c r="F2901">
        <f>IF(Skills!N21=TRUE,(Skills!L21/10)*(E2901/1000),Skills!L21/10)+Skills!O21</f>
        <v/>
      </c>
      <c r="G2901">
        <f>Skills!G21*IF(Skills!H21&gt;0,Skills!I21/Skills!H21,1)</f>
        <v/>
      </c>
      <c r="H2901">
        <f>1-(1-Skills!J21/100)^Skills!K21</f>
        <v/>
      </c>
      <c r="I2901" t="inlineStr">
        <is>
          <t>1</t>
        </is>
      </c>
      <c r="J2901" t="inlineStr"/>
      <c r="K2901" t="inlineStr"/>
      <c r="L2901" t="inlineStr"/>
      <c r="M2901" t="inlineStr"/>
      <c r="N2901" t="inlineStr"/>
      <c r="O2901">
        <f>(1-Summary!$B$11)*T2901+Summary!$B$11*V2901</f>
        <v/>
      </c>
      <c r="P2901">
        <f>IF(B2920=0,0,O2901/B2920)</f>
        <v/>
      </c>
      <c r="Q2901" t="n">
        <v>0</v>
      </c>
      <c r="R2901" t="n">
        <v>0</v>
      </c>
      <c r="S2901">
        <f>IFERROR(O2901/N2901,0)</f>
        <v/>
      </c>
      <c r="T2901" t="n">
        <v>0</v>
      </c>
      <c r="V2901" t="n">
        <v>0</v>
      </c>
    </row>
    <row r="2902">
      <c r="A2902">
        <f>Skills!A22</f>
        <v/>
      </c>
      <c r="B2902">
        <f>Skills!B22</f>
        <v/>
      </c>
      <c r="C2902">
        <f>Inputs!$B$3&gt;=43</f>
        <v/>
      </c>
      <c r="D2902">
        <f>IF(Skills!C22=1,60+Inputs!$B$25+Inputs!$B$29,IF(Skills!C22=2,90+Inputs!$B$26+Inputs!$B$29,IF(Skills!C22=3,120+Inputs!$B$27+Inputs!$B$29,MAX(0,(Inputs!$B$3-100)*3)+Inputs!$B$28+Inputs!$B$29)))</f>
        <v/>
      </c>
      <c r="E2902">
        <f>INDEX(FactorTable!$B$2:$Y$301, MATCH(ROUND(MIN(300,MAX(1,D2902)),0), FactorTable!$A$2:$A$301,0), Skills!M22+1)</f>
        <v/>
      </c>
      <c r="F2902">
        <f>IF(Skills!N22=TRUE,(Skills!L22/10)*(E2902/1000),Skills!L22/10)+Skills!O22</f>
        <v/>
      </c>
      <c r="G2902">
        <f>Skills!G22*IF(Skills!H22&gt;0,Skills!I22/Skills!H22,1)</f>
        <v/>
      </c>
      <c r="H2902">
        <f>1-(1-Skills!J22/100)^Skills!K22</f>
        <v/>
      </c>
      <c r="I2902" t="inlineStr">
        <is>
          <t>1</t>
        </is>
      </c>
      <c r="J2902" t="inlineStr"/>
      <c r="K2902" t="inlineStr"/>
      <c r="L2902" t="inlineStr"/>
      <c r="M2902" t="inlineStr"/>
      <c r="N2902" t="inlineStr"/>
      <c r="O2902">
        <f>(1-Summary!$B$11)*T2902+Summary!$B$11*V2902</f>
        <v/>
      </c>
      <c r="P2902">
        <f>IF(B2920=0,0,O2902/B2920)</f>
        <v/>
      </c>
      <c r="Q2902" t="n">
        <v>0</v>
      </c>
      <c r="R2902" t="n">
        <v>0</v>
      </c>
      <c r="S2902">
        <f>IFERROR(O2902/N2902,0)</f>
        <v/>
      </c>
      <c r="T2902" t="n">
        <v>0</v>
      </c>
      <c r="V2902" t="n">
        <v>0</v>
      </c>
    </row>
    <row r="2903">
      <c r="A2903">
        <f>Skills!A23</f>
        <v/>
      </c>
      <c r="B2903">
        <f>Skills!B23</f>
        <v/>
      </c>
      <c r="C2903">
        <f>Inputs!$B$3&gt;=38</f>
        <v/>
      </c>
      <c r="D2903">
        <f>IF(Skills!C23=1,60+Inputs!$B$25+Inputs!$B$29,IF(Skills!C23=2,90+Inputs!$B$26+Inputs!$B$29,IF(Skills!C23=3,120+Inputs!$B$27+Inputs!$B$29,MAX(0,(Inputs!$B$3-100)*3)+Inputs!$B$28+Inputs!$B$29)))</f>
        <v/>
      </c>
      <c r="E2903">
        <f>INDEX(FactorTable!$B$2:$Y$301, MATCH(ROUND(MIN(300,MAX(1,D2903)),0), FactorTable!$A$2:$A$301,0), Skills!M23+1)</f>
        <v/>
      </c>
      <c r="F2903">
        <f>IF(Skills!N23=TRUE,(Skills!L23/10)*(E2903/1000),Skills!L23/10)+Skills!O23</f>
        <v/>
      </c>
      <c r="G2903">
        <f>Skills!G23*IF(Skills!H23&gt;0,Skills!I23/Skills!H23,1)</f>
        <v/>
      </c>
      <c r="H2903">
        <f>1-(1-Skills!J23/100)^Skills!K23</f>
        <v/>
      </c>
      <c r="I2903" t="inlineStr">
        <is>
          <t>1</t>
        </is>
      </c>
      <c r="J2903" t="inlineStr"/>
      <c r="K2903" t="inlineStr"/>
      <c r="L2903" t="inlineStr"/>
      <c r="M2903" t="inlineStr"/>
      <c r="N2903" t="inlineStr"/>
      <c r="O2903">
        <f>(1-Summary!$B$11)*T2903+Summary!$B$11*V2903</f>
        <v/>
      </c>
      <c r="P2903">
        <f>IF(B2920=0,0,O2903/B2920)</f>
        <v/>
      </c>
      <c r="Q2903" t="n">
        <v>0</v>
      </c>
      <c r="R2903" t="n">
        <v>0</v>
      </c>
      <c r="S2903">
        <f>IFERROR(O2903/N2903,0)</f>
        <v/>
      </c>
      <c r="T2903" t="n">
        <v>0</v>
      </c>
      <c r="V2903" t="n">
        <v>0</v>
      </c>
    </row>
    <row r="2904">
      <c r="A2904">
        <f>Skills!A24</f>
        <v/>
      </c>
      <c r="B2904">
        <f>Skills!B24</f>
        <v/>
      </c>
      <c r="C2904">
        <f>Inputs!$B$3&gt;=40</f>
        <v/>
      </c>
      <c r="D2904">
        <f>IF(Skills!C24=1,60+Inputs!$B$25+Inputs!$B$29,IF(Skills!C24=2,90+Inputs!$B$26+Inputs!$B$29,IF(Skills!C24=3,120+Inputs!$B$27+Inputs!$B$29,MAX(0,(Inputs!$B$3-100)*3)+Inputs!$B$28+Inputs!$B$29)))</f>
        <v/>
      </c>
      <c r="E2904">
        <f>INDEX(FactorTable!$B$2:$Y$301, MATCH(ROUND(MIN(300,MAX(1,D2904)),0), FactorTable!$A$2:$A$301,0), Skills!M24+1)</f>
        <v/>
      </c>
      <c r="F2904">
        <f>IF(Skills!N24=TRUE,(Skills!L24/10)*(E2904/1000),Skills!L24/10)+Skills!O24</f>
        <v/>
      </c>
      <c r="G2904">
        <f>Skills!G24*IF(Skills!H24&gt;0,Skills!I24/Skills!H24,1)</f>
        <v/>
      </c>
      <c r="H2904">
        <f>1-(1-Skills!J24/100)^Skills!K24</f>
        <v/>
      </c>
      <c r="I2904" t="inlineStr">
        <is>
          <t>1</t>
        </is>
      </c>
      <c r="J2904" t="inlineStr"/>
      <c r="K2904" t="inlineStr"/>
      <c r="L2904" t="inlineStr"/>
      <c r="M2904" t="inlineStr"/>
      <c r="N2904" t="inlineStr"/>
      <c r="O2904">
        <f>(1-Summary!$B$11)*T2904+Summary!$B$11*V2904</f>
        <v/>
      </c>
      <c r="P2904">
        <f>IF(B2920=0,0,O2904/B2920)</f>
        <v/>
      </c>
      <c r="Q2904" t="n">
        <v>0</v>
      </c>
      <c r="R2904" t="n">
        <v>0</v>
      </c>
      <c r="S2904">
        <f>IFERROR(O2904/N2904,0)</f>
        <v/>
      </c>
      <c r="T2904" t="n">
        <v>0</v>
      </c>
      <c r="V2904" t="n">
        <v>0</v>
      </c>
    </row>
    <row r="2905">
      <c r="A2905">
        <f>Skills!A25</f>
        <v/>
      </c>
      <c r="B2905">
        <f>Skills!B25</f>
        <v/>
      </c>
      <c r="C2905">
        <f>Inputs!$B$3&gt;=72</f>
        <v/>
      </c>
      <c r="D2905">
        <f>IF(Skills!C25=1,60+Inputs!$B$25+Inputs!$B$29,IF(Skills!C25=2,90+Inputs!$B$26+Inputs!$B$29,IF(Skills!C25=3,120+Inputs!$B$27+Inputs!$B$29,MAX(0,(Inputs!$B$3-100)*3)+Inputs!$B$28+Inputs!$B$29)))</f>
        <v/>
      </c>
      <c r="E2905">
        <f>INDEX(FactorTable!$B$2:$Y$301, MATCH(ROUND(MIN(300,MAX(1,D2905)),0), FactorTable!$A$2:$A$301,0), Skills!M25+1)</f>
        <v/>
      </c>
      <c r="F2905">
        <f>IF(Skills!N25=TRUE,(Skills!L25/10)*(E2905/1000),Skills!L25/10)+Skills!O25</f>
        <v/>
      </c>
      <c r="G2905">
        <f>Skills!G25*IF(Skills!H25&gt;0,Skills!I25/Skills!H25,1)</f>
        <v/>
      </c>
      <c r="H2905">
        <f>1-(1-Skills!J25/100)^Skills!K25</f>
        <v/>
      </c>
      <c r="I2905" t="inlineStr">
        <is>
          <t>1</t>
        </is>
      </c>
      <c r="J2905" t="inlineStr"/>
      <c r="K2905" t="inlineStr"/>
      <c r="L2905" t="inlineStr"/>
      <c r="M2905" t="inlineStr"/>
      <c r="N2905" t="inlineStr"/>
      <c r="O2905">
        <f>(1-Summary!$B$11)*T2905+Summary!$B$11*V2905</f>
        <v/>
      </c>
      <c r="P2905">
        <f>IF(B2920=0,0,O2905/B2920)</f>
        <v/>
      </c>
      <c r="Q2905" t="n">
        <v>0</v>
      </c>
      <c r="R2905" t="n">
        <v>0</v>
      </c>
      <c r="S2905">
        <f>IFERROR(O2905/N2905,0)</f>
        <v/>
      </c>
      <c r="T2905" t="n">
        <v>0</v>
      </c>
      <c r="V2905" t="n">
        <v>0</v>
      </c>
    </row>
    <row r="2906">
      <c r="A2906">
        <f>Skills!A26</f>
        <v/>
      </c>
      <c r="B2906">
        <f>Skills!B26</f>
        <v/>
      </c>
      <c r="C2906">
        <f>Inputs!$B$3&gt;=75</f>
        <v/>
      </c>
      <c r="D2906">
        <f>IF(Skills!C26=1,60+Inputs!$B$25+Inputs!$B$29,IF(Skills!C26=2,90+Inputs!$B$26+Inputs!$B$29,IF(Skills!C26=3,120+Inputs!$B$27+Inputs!$B$29,MAX(0,(Inputs!$B$3-100)*3)+Inputs!$B$28+Inputs!$B$29)))</f>
        <v/>
      </c>
      <c r="E2906">
        <f>INDEX(FactorTable!$B$2:$Y$301, MATCH(ROUND(MIN(300,MAX(1,D2906)),0), FactorTable!$A$2:$A$301,0), Skills!M26+1)</f>
        <v/>
      </c>
      <c r="F2906">
        <f>IF(Skills!N26=TRUE,(Skills!L26/10)*(E2906/1000),Skills!L26/10)+Skills!O26</f>
        <v/>
      </c>
      <c r="G2906">
        <f>Skills!G26*IF(Skills!H26&gt;0,Skills!I26/Skills!H26,1)</f>
        <v/>
      </c>
      <c r="H2906">
        <f>1-(1-Skills!J26/100)^Skills!K26</f>
        <v/>
      </c>
      <c r="I2906" t="inlineStr">
        <is>
          <t>1</t>
        </is>
      </c>
      <c r="J2906" t="inlineStr"/>
      <c r="K2906" t="inlineStr"/>
      <c r="L2906" t="inlineStr"/>
      <c r="M2906" t="inlineStr"/>
      <c r="N2906" t="inlineStr"/>
      <c r="O2906">
        <f>(1-Summary!$B$11)*T2906+Summary!$B$11*V2906</f>
        <v/>
      </c>
      <c r="P2906">
        <f>IF(B2920=0,0,O2906/B2920)</f>
        <v/>
      </c>
      <c r="Q2906" t="n">
        <v>0</v>
      </c>
      <c r="R2906" t="n">
        <v>0</v>
      </c>
      <c r="S2906">
        <f>IFERROR(O2906/N2906,0)</f>
        <v/>
      </c>
      <c r="T2906" t="n">
        <v>0</v>
      </c>
      <c r="V2906" t="n">
        <v>0</v>
      </c>
    </row>
    <row r="2907">
      <c r="A2907">
        <f>Skills!A27</f>
        <v/>
      </c>
      <c r="B2907">
        <f>Skills!B27</f>
        <v/>
      </c>
      <c r="C2907">
        <f>Inputs!$B$3&gt;=117</f>
        <v/>
      </c>
      <c r="D2907">
        <f>IF(Skills!C27=1,60+Inputs!$B$25+Inputs!$B$29,IF(Skills!C27=2,90+Inputs!$B$26+Inputs!$B$29,IF(Skills!C27=3,120+Inputs!$B$27+Inputs!$B$29,MAX(0,(Inputs!$B$3-100)*3)+Inputs!$B$28+Inputs!$B$29)))</f>
        <v/>
      </c>
      <c r="E2907">
        <f>INDEX(FactorTable!$B$2:$Y$301, MATCH(ROUND(MIN(300,MAX(1,D2907)),0), FactorTable!$A$2:$A$301,0), Skills!M27+1)</f>
        <v/>
      </c>
      <c r="F2907">
        <f>IF(Skills!N27=TRUE,(Skills!L27/10)*(E2907/1000),Skills!L27/10)+Skills!O27</f>
        <v/>
      </c>
      <c r="G2907">
        <f>Skills!G27*IF(Skills!H27&gt;0,Skills!I27/Skills!H27,1)</f>
        <v/>
      </c>
      <c r="H2907">
        <f>1-(1-Skills!J27/100)^Skills!K27</f>
        <v/>
      </c>
      <c r="I2907" t="inlineStr">
        <is>
          <t>1</t>
        </is>
      </c>
      <c r="J2907" t="inlineStr"/>
      <c r="K2907" t="inlineStr"/>
      <c r="L2907" t="inlineStr"/>
      <c r="M2907" t="inlineStr"/>
      <c r="N2907" t="inlineStr"/>
      <c r="O2907">
        <f>(1-Summary!$B$11)*T2907+Summary!$B$11*V2907</f>
        <v/>
      </c>
      <c r="P2907">
        <f>IF(B2920=0,0,O2907/B2920)</f>
        <v/>
      </c>
      <c r="Q2907" t="n">
        <v>0</v>
      </c>
      <c r="R2907" t="n">
        <v>0</v>
      </c>
      <c r="S2907">
        <f>IFERROR(O2907/N2907,0)</f>
        <v/>
      </c>
      <c r="T2907" t="n">
        <v>0</v>
      </c>
      <c r="V2907" t="n">
        <v>0</v>
      </c>
    </row>
    <row r="2909">
      <c r="A2909" t="inlineStr">
        <is>
          <t>Attack% Bucket Multiplier</t>
        </is>
      </c>
      <c r="B2909">
        <f>(1+(((C2897=TRUE)*F2897)+((C2904=TRUE)*(F2904-Calc!F24))+(IF(ArtifactsInput!$M$21,CHOOSE(ArtifactsInput!$N$21+1,25,30,35,40,45,50)*(IF(OR(Inputs!$B$4="Chapter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10">
      <c r="A2910" t="inlineStr">
        <is>
          <t>Global Crit Rate Bonus %</t>
        </is>
      </c>
      <c r="B2910" t="n">
        <v>0</v>
      </c>
    </row>
    <row r="2911">
      <c r="A2911" t="inlineStr">
        <is>
          <t>Attack Speed Buff Bonus % (unused)</t>
        </is>
      </c>
      <c r="B2911" t="n">
        <v>0</v>
      </c>
    </row>
    <row r="2912">
      <c r="A2912" t="inlineStr">
        <is>
          <t>Actions Per Second</t>
        </is>
      </c>
      <c r="B2912">
        <f>1+MIN(150,150*(1-(1-(Inputs!$B$11+((C2900=TRUE)*(F2900-Calc!F20))+((C2901=TRUE)*(F2901-Calc!F21)))/150)*(1-B2911/150)))/100</f>
        <v/>
      </c>
    </row>
    <row r="2913">
      <c r="A2913" t="inlineStr">
        <is>
          <t>Skill + Buff Cast Rate</t>
        </is>
      </c>
      <c r="B2913">
        <f>IF(AND(Inputs!$B$38&lt;&gt;"pvp",Inputs!$B$43&gt;0),SUMPRODUCT((Skills!E2:E27=TRUE)*(C2882:C2907=TRUE)*R2882:R2907*Skills!F2:F27)/Inputs!$B$43,SUMPRODUCT((Skills!E2:E27=TRUE)*(C2882:C2907=TRUE)*Q2882:Q2907*Skills!F2:F27))</f>
        <v/>
      </c>
    </row>
    <row r="2914">
      <c r="A2914" t="inlineStr">
        <is>
          <t>Eight-Legs Easton Casts Per Second</t>
        </is>
      </c>
      <c r="B2914">
        <f>MAX(0,B2912-B2913)</f>
        <v/>
      </c>
    </row>
    <row r="2915">
      <c r="A2915" t="inlineStr">
        <is>
          <t>Global Critical Damage Bonus % (unused)</t>
        </is>
      </c>
      <c r="B2915" t="n">
        <v>0</v>
      </c>
    </row>
    <row r="2916">
      <c r="A2916" t="inlineStr">
        <is>
          <t>Global Final Damage Bonus % (Jolly Roger only)</t>
        </is>
      </c>
      <c r="B2916">
        <f>((C2898=TRUE)*F2898)</f>
        <v/>
      </c>
    </row>
    <row r="2917">
      <c r="A2917" t="inlineStr">
        <is>
          <t>Buff-Casting Startup Delay (s, fixed-duration only)</t>
        </is>
      </c>
      <c r="B2917">
        <f>IF(AND(Inputs!$B$38&lt;&gt;"pvp",Inputs!$B$43&gt;0),SUMPRODUCT((Skills!T2:T27&gt;0)*(Skills!E2:E27=TRUE)*(C2882:C2907=TRUE))/B2912,0)</f>
        <v/>
      </c>
    </row>
    <row r="2918">
      <c r="A2918" t="inlineStr">
        <is>
          <t>Boss-Only Total DPS (this block's swept value)</t>
        </is>
      </c>
      <c r="B2918">
        <f>SUM(T2882:T2907)</f>
        <v/>
      </c>
    </row>
    <row r="2919">
      <c r="A2919" t="inlineStr">
        <is>
          <t>Normal-Only Total DPS (this block's swept value)</t>
        </is>
      </c>
      <c r="B2919">
        <f>SUM(V2882:V2907)</f>
        <v/>
      </c>
    </row>
    <row r="2920">
      <c r="A2920" s="6" t="inlineStr">
        <is>
          <t>TOTAL DPS</t>
        </is>
      </c>
      <c r="B2920" s="6">
        <f>SUM(O2882:O2907)</f>
        <v/>
      </c>
    </row>
    <row r="2923">
      <c r="A2923" s="6" t="inlineStr">
        <is>
          <t>Stat: CDR = 2.5s</t>
        </is>
      </c>
    </row>
    <row r="2924">
      <c r="A2924" s="5" t="inlineStr">
        <is>
          <t>Key</t>
        </is>
      </c>
      <c r="B2924" s="5" t="inlineStr">
        <is>
          <t>Name</t>
        </is>
      </c>
      <c r="C2924" s="5" t="inlineStr">
        <is>
          <t>Unlocked</t>
        </is>
      </c>
      <c r="D2924" s="5" t="inlineStr">
        <is>
          <t>InputLevel</t>
        </is>
      </c>
      <c r="E2924" s="5" t="inlineStr">
        <is>
          <t>Factor</t>
        </is>
      </c>
      <c r="F2924" s="5" t="inlineStr">
        <is>
          <t>CoefficientPercent</t>
        </is>
      </c>
      <c r="G2924" s="5" t="inlineStr">
        <is>
          <t>EffectiveHits</t>
        </is>
      </c>
      <c r="H2924" s="5" t="inlineStr">
        <is>
          <t>ProcProbability</t>
        </is>
      </c>
      <c r="I2924" s="5" t="inlineStr">
        <is>
          <t>MapleHeroMultiplier</t>
        </is>
      </c>
      <c r="J2924" s="5" t="inlineStr">
        <is>
          <t>BaseDamage</t>
        </is>
      </c>
      <c r="K2924" s="5" t="inlineStr">
        <is>
          <t>BaseHitDamage</t>
        </is>
      </c>
      <c r="L2924" s="5" t="inlineStr">
        <is>
          <t>NonCritAvg</t>
        </is>
      </c>
      <c r="M2924" s="5" t="inlineStr">
        <is>
          <t>CritAvg</t>
        </is>
      </c>
      <c r="N2924" s="5" t="inlineStr">
        <is>
          <t>ExpectedDamage(perHit)</t>
        </is>
      </c>
      <c r="O2924" s="5" t="inlineStr">
        <is>
          <t>DPS</t>
        </is>
      </c>
      <c r="P2924" s="5" t="inlineStr">
        <is>
          <t>% of Total</t>
        </is>
      </c>
      <c r="Q2924" s="5" t="inlineStr">
        <is>
          <t>InvCooldown</t>
        </is>
      </c>
      <c r="R2924" s="5" t="inlineStr">
        <is>
          <t>CastsInFight</t>
        </is>
      </c>
      <c r="S2924" s="5" t="inlineStr">
        <is>
          <t>HitRate(perSec)</t>
        </is>
      </c>
      <c r="U2924" t="inlineStr">
        <is>
          <t>helpers</t>
        </is>
      </c>
    </row>
    <row r="2925">
      <c r="A2925">
        <f>Skills!A2</f>
        <v/>
      </c>
      <c r="B2925">
        <f>Skills!B2</f>
        <v/>
      </c>
      <c r="C2925">
        <f>Inputs!$B$3&gt;=100</f>
        <v/>
      </c>
      <c r="D2925" t="inlineStr"/>
      <c r="E2925" t="inlineStr"/>
      <c r="F2925">
        <f>U2927+Skills!O2</f>
        <v/>
      </c>
      <c r="G2925">
        <f>Skills!G2*IF(Skills!H2&gt;0,Skills!I2/Skills!H2,1)</f>
        <v/>
      </c>
      <c r="H2925">
        <f>1-(1-Skills!J2/100)^Skills!K2</f>
        <v/>
      </c>
      <c r="I2925" t="inlineStr">
        <is>
          <t>1</t>
        </is>
      </c>
      <c r="J2925">
        <f>((Inputs!$B$6*(1+Inputs!$B$7/100))+(((Inputs!$B$12*(1+Inputs!$B$13/100))-(Inputs!$B$12*(1+Inputs!$B$13/100)))+0.25*(Inputs!$B$14-Inputs!$B$14))*(1+Inputs!$B$7/100))*(F2925/100)</f>
        <v/>
      </c>
      <c r="K2925">
        <f>J2925*(1+((Inputs!$B$12*(1+Inputs!$B$13/100))*0.01+Inputs!$B$14*0.0025)/100)*(1+Inputs!$B$15/100)*(1+Inputs!$B$16/100)*(5000/(6000+Inputs!$B$42*(1-(100*(1-(1-(Inputs!$B$19+0)/100)*(1-CHOOSE(ArtifactsInput!$N$40+1,5,6,7,8,9,10)/100)^(ArtifactsInput!$M$40-ArtifactsInput!$M$40)))/100)))*(1+(Inputs!$B$24+((C2949=TRUE)*(F2949-Calc!F26))+B2959)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2946=TRUE)*(F2946-Calc!F23))+((C2950=TRUE)*(F2950-Calc!F27))+(((IF(AND(ArtifactsInput!$M$42,((Inputs!$B$9+((C2942=TRUE)*(F2942-Calc!F19))+B2953+(ArtifactsInput!$M$24-ArtifactsInput!$M$24)*CHOOSE(ArtifactsInput!$N$24+1,10,12,14,16,18,20)+IF(ArtifactsInput!$M$10,CHOOSE(ArtifactsInput!$N$10+1,15,18,21,24,27,30)*(IF(Inputs!$B$38="pvp",MIN(15,15)/15,IF(AND(Inputs!$B$38&lt;&gt;"pvp",Inputs!$B$43&gt;0),MIN(15,Inputs!$B$43)/(Inputs!$B$43),0))),0)))&gt;=100),MIN(100,((Inputs!$B$9+((C2942=TRUE)*(F2942-Calc!F19))+B2953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2942=TRUE)*(F2942-Calc!F19))+B2953+(ArtifactsInput!$M$24-ArtifactsInput!$M$24)*CHOOSE(ArtifactsInput!$N$24+1,10,12,14,16,18,20)+IF(ArtifactsInput!$M$10,CHOOSE(ArtifactsInput!$N$10+1,15,18,21,24,27,30)*(IF(Inputs!$B$38="pvp",MIN(15,15)/15,IF(AND(Inputs!$B$38&lt;&gt;"pvp",Inputs!$B$43&gt;0),MIN(15,Inputs!$B$43)/(Inputs!$B$43),0))),0)))&gt;=100),CHOOSE(ArtifactsInput!$N$42+1,40,48,56,64,72,80),0))))/100)*((1+(((C2940=TRUE)*F2940)+((C2947=TRUE)*(F2947-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2925)</f>
        <v/>
      </c>
      <c r="L2925">
        <f>K2925*(MIN(Inputs!$B$22+((C2945=TRUE)*(F2945-Calc!F22)),(Inputs!$B$23+0+(IF(ArtifactsInput!$M$15,CHOOSE(ArtifactsInput!$N$15+1,25,30,35,40,45,50)/100*(Inputs!$B$11-Inputs!$B$11),0))))/100+(Inputs!$B$23+0+(IF(ArtifactsInput!$M$15,CHOOSE(ArtifactsInput!$N$15+1,25,30,35,40,45,50)/100*(Inputs!$B$11-Inputs!$B$11),0)))/100)/2</f>
        <v/>
      </c>
      <c r="M2925">
        <f>L2925*(1+(Inputs!$B$10+((C2948=TRUE)*(F2948-Calc!F25))+B2958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5">
        <f>L2925*(1-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2925*(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5">
        <f>(1-Summary!$B$11)*T2925+Summary!$B$11*V2925</f>
        <v/>
      </c>
      <c r="P2925">
        <f>IF(B2963=0,0,O2925/B2963)</f>
        <v/>
      </c>
      <c r="Q2925" t="n">
        <v>0</v>
      </c>
      <c r="R2925" t="n">
        <v>0</v>
      </c>
      <c r="S2925">
        <f>IFERROR(O2925/N2925,0)</f>
        <v/>
      </c>
      <c r="T2925">
        <f>IF(C2925,(Skills!G2*N2925*B2957)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2925*(1-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2925*(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2925*(1-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2925*(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5">
        <f>MAX(0,(Inputs!$B$3-100)*3)+Inputs!$B$28+Inputs!$B$29</f>
        <v/>
      </c>
      <c r="V2925">
        <f>IF(C2925,(Skills!G2*N2925*B2957)*IF(Inputs!$B$38="pvp",1,(1+(Inputs!$B$21+Skills!Q2+(IF(ArtifactsInput!$M$33,CHOOSE(ArtifactsInput!$N$33+1,30,36,42,48,54,60),0))+(IF(AND(ArtifactsInput!$M$35,Inputs!$B$4&lt;&gt;"Chapter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6">
      <c r="A2926">
        <f>Skills!A3</f>
        <v/>
      </c>
      <c r="B2926">
        <f>Skills!B3</f>
        <v/>
      </c>
      <c r="C2926">
        <f>Inputs!$B$3&gt;=35</f>
        <v/>
      </c>
      <c r="D2926">
        <f>IF(Skills!C3=1,60+Inputs!$B$25+Inputs!$B$29,IF(Skills!C3=2,90+Inputs!$B$26+Inputs!$B$29,IF(Skills!C3=3,120+Inputs!$B$27+Inputs!$B$29,MAX(0,(Inputs!$B$3-100)*3)+Inputs!$B$28+Inputs!$B$29)))</f>
        <v/>
      </c>
      <c r="E2926">
        <f>INDEX(FactorTable!$B$2:$Y$301, MATCH(ROUND(MIN(300,MAX(1,D2926)),0), FactorTable!$A$2:$A$301,0), Skills!M3+1)</f>
        <v/>
      </c>
      <c r="F2926">
        <f>IF(Skills!N3=TRUE,(Skills!L3/10)*(E2926/1000),Skills!L3/10)+Skills!O3</f>
        <v/>
      </c>
      <c r="G2926">
        <f>Skills!G3*IF(Skills!H3&gt;0,Skills!I3/Skills!H3,1)</f>
        <v/>
      </c>
      <c r="H2926">
        <f>1-(1-Skills!J3/100)^Skills!K3</f>
        <v/>
      </c>
      <c r="I2926" t="inlineStr">
        <is>
          <t>1</t>
        </is>
      </c>
      <c r="J2926">
        <f>((Inputs!$B$6*(1+Inputs!$B$7/100))+(((Inputs!$B$12*(1+Inputs!$B$13/100))-(Inputs!$B$12*(1+Inputs!$B$13/100)))+0.25*(Inputs!$B$14-Inputs!$B$14))*(1+Inputs!$B$7/100))*(F2926/100)</f>
        <v/>
      </c>
      <c r="K2926">
        <f>J2926*(1+((Inputs!$B$12*(1+Inputs!$B$13/100))*0.01+Inputs!$B$14*0.0025)/100)*(1+Inputs!$B$15/100)*(1+Inputs!$B$16/100)*(5000/(6000+Inputs!$B$42*(1-(100*(1-(1-(Inputs!$B$19+0)/100)*(1-CHOOSE(ArtifactsInput!$N$40+1,5,6,7,8,9,10)/100)^(ArtifactsInput!$M$40-ArtifactsInput!$M$40)))/100)))*(1+(Inputs!$B$24+((C2949=TRUE)*(F2949-Calc!F26))+B2959)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2938=TRUE,F2938,0)/100)*(1+(IF(Skills!A3="EIGHT_LEGS_EASTON",Inputs!$B$17+((C2946=TRUE)*(F2946-Calc!F23))+((C2950=TRUE)*(F2950-Calc!F27))+(((IF(AND(ArtifactsInput!$M$42,((Inputs!$B$9+((C2942=TRUE)*(F2942-Calc!F19))+B2953+(ArtifactsInput!$M$24-ArtifactsInput!$M$24)*CHOOSE(ArtifactsInput!$N$24+1,10,12,14,16,18,20)+IF(ArtifactsInput!$M$10,CHOOSE(ArtifactsInput!$N$10+1,15,18,21,24,27,30)*(IF(Inputs!$B$38="pvp",MIN(15,15)/15,IF(AND(Inputs!$B$38&lt;&gt;"pvp",Inputs!$B$43&gt;0),MIN(15,Inputs!$B$43)/(Inputs!$B$43),0))),0)))&gt;=100),MIN(100,((Inputs!$B$9+((C2942=TRUE)*(F2942-Calc!F19))+B2953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2942=TRUE)*(F2942-Calc!F19))+B2953+(ArtifactsInput!$M$24-ArtifactsInput!$M$24)*CHOOSE(ArtifactsInput!$N$24+1,10,12,14,16,18,20)+IF(ArtifactsInput!$M$10,CHOOSE(ArtifactsInput!$N$10+1,15,18,21,24,27,30)*(IF(Inputs!$B$38="pvp",MIN(15,15)/15,IF(AND(Inputs!$B$38&lt;&gt;"pvp",Inputs!$B$43&gt;0),MIN(15,Inputs!$B$43)/(Inputs!$B$43),0))),0)))&gt;=100),CHOOSE(ArtifactsInput!$N$42+1,40,48,56,64,72,80),0))))/100)*((1+(((C2940=TRUE)*F2940)+((C2947=TRUE)*(F2947-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2926)</f>
        <v/>
      </c>
      <c r="L2926">
        <f>K2926*(MIN(Inputs!$B$22+((C2945=TRUE)*(F2945-Calc!F22)),(Inputs!$B$23+0+(IF(ArtifactsInput!$M$15,CHOOSE(ArtifactsInput!$N$15+1,25,30,35,40,45,50)/100*(Inputs!$B$11-Inputs!$B$11),0))))/100+(Inputs!$B$23+0+(IF(ArtifactsInput!$M$15,CHOOSE(ArtifactsInput!$N$15+1,25,30,35,40,45,50)/100*(Inputs!$B$11-Inputs!$B$11),0)))/100)/2</f>
        <v/>
      </c>
      <c r="M2926">
        <f>L2926*(1+(Inputs!$B$10+((C2948=TRUE)*(F2948-Calc!F25))+B2958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6">
        <f>L2926*(1-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2926*(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6">
        <f>(1-Summary!$B$11)*T2926+Summary!$B$11*V2926</f>
        <v/>
      </c>
      <c r="P2926">
        <f>IF(B2963=0,0,O2926/B2963)</f>
        <v/>
      </c>
      <c r="Q2926">
        <f>IFERROR(1/(IF(Inputs!$B$38="pvp",15,MAX(0.1,Skills!D3-IF(Skills!E3=TRUE,2.5,0)))*(1-IF(AND(ArtifactsInput!$M$27,Inputs!$B$4="Chapter Hunt"),CHOOSE(ArtifactsInput!$N$27+1,20,24,28,32,36,40),0)/100)),0)</f>
        <v/>
      </c>
      <c r="R2926">
        <f>IF(AND(Inputs!$B$38&lt;&gt;"pvp",Inputs!$B$43&gt;0),IF(MAX(0,Inputs!$B$43-B2960)&lt;=0,0,(INT(MAX(0,Inputs!$B$43-B2960)/(IF(Inputs!$B$38="pvp",15,MAX(0.1,Skills!D3-IF(Skills!E3=TRUE,2.5,0)))*(1-IF(AND(ArtifactsInput!$M$27,Inputs!$B$4="Chapter Hunt"),CHOOSE(ArtifactsInput!$N$27+1,20,24,28,32,36,40),0)/100)))+1)),0)</f>
        <v/>
      </c>
      <c r="S2926">
        <f>IFERROR(O2926/N2926,0)</f>
        <v/>
      </c>
      <c r="T2926">
        <f>IF(C2926,(H2926*N2926*IF(AND(Inputs!$B$38&lt;&gt;"pvp",Inputs!$B$43&gt;0),((Skills!G3*((R2926-1)*IF(Skills!H3&gt;0,Skills!I3/Skills!H3,1)+IF(Skills!H3&gt;0,MIN(Skills!I3,MAX(0,MAX(0,Inputs!$B$43-B2960)-((R2926-1)*(IF(Inputs!$B$38="pvp",15,MAX(0.1,Skills!D3-IF(Skills!E3=TRUE,2.5,0)))*(1-IF(AND(ArtifactsInput!$M$27,Inputs!$B$4="Chapter Hunt"),CHOOSE(ArtifactsInput!$N$27+1,20,24,28,32,36,40),0)/100)))))/Skills!H3,1)))/Inputs!$B$43),G2926*Q2926)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2926*(1-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2926*(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2926*(1-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2926*(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6">
        <f>INDEX(FactorTable!$B$2:$Y$301, MATCH(ROUND(MIN(300,MAX(1,U2925)),0), FactorTable!$A$2:$A$301,0), 22)</f>
        <v/>
      </c>
      <c r="V2926">
        <f>IF(C2926,(H2926*N2926*IF(AND(Inputs!$B$38&lt;&gt;"pvp",Inputs!$B$43&gt;0),((Skills!G3*((R2926-1)*IF(Skills!H3&gt;0,Skills!I3/Skills!H3,1)+IF(Skills!H3&gt;0,MIN(Skills!I3,MAX(0,MAX(0,Inputs!$B$43-B2960)-((R2926-1)*(IF(Inputs!$B$38="pvp",15,MAX(0.1,Skills!D3-IF(Skills!E3=TRUE,2.5,0)))*(1-IF(AND(ArtifactsInput!$M$27,Inputs!$B$4="Chapter Hunt"),CHOOSE(ArtifactsInput!$N$27+1,20,24,28,32,36,40),0)/100)))))/Skills!H3,1)))/Inputs!$B$43),G2926*Q2926))*IF(Inputs!$B$38="pvp",1,(1+(Inputs!$B$21+Skills!Q3+(IF(ArtifactsInput!$M$33,CHOOSE(ArtifactsInput!$N$33+1,30,36,42,48,54,60)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7">
      <c r="A2927">
        <f>Skills!A4</f>
        <v/>
      </c>
      <c r="B2927">
        <f>Skills!B4</f>
        <v/>
      </c>
      <c r="C2927">
        <f>Inputs!$B$3&gt;=40</f>
        <v/>
      </c>
      <c r="D2927">
        <f>IF(Skills!C4=1,60+Inputs!$B$25+Inputs!$B$29,IF(Skills!C4=2,90+Inputs!$B$26+Inputs!$B$29,IF(Skills!C4=3,120+Inputs!$B$27+Inputs!$B$29,MAX(0,(Inputs!$B$3-100)*3)+Inputs!$B$28+Inputs!$B$29)))</f>
        <v/>
      </c>
      <c r="E2927">
        <f>INDEX(FactorTable!$B$2:$Y$301, MATCH(ROUND(MIN(300,MAX(1,D2927)),0), FactorTable!$A$2:$A$301,0), Skills!M4+1)</f>
        <v/>
      </c>
      <c r="F2927">
        <f>IF(Skills!N4=TRUE,(Skills!L4/10)*(E2927/1000),Skills!L4/10)+Skills!O4</f>
        <v/>
      </c>
      <c r="G2927">
        <f>Skills!G4*IF(Skills!H4&gt;0,Skills!I4/Skills!H4,1)</f>
        <v/>
      </c>
      <c r="H2927">
        <f>1-(1-Skills!J4/100)^Skills!K4</f>
        <v/>
      </c>
      <c r="I2927" t="inlineStr">
        <is>
          <t>1</t>
        </is>
      </c>
      <c r="J2927">
        <f>((Inputs!$B$6*(1+Inputs!$B$7/100))+(((Inputs!$B$12*(1+Inputs!$B$13/100))-(Inputs!$B$12*(1+Inputs!$B$13/100)))+0.25*(Inputs!$B$14-Inputs!$B$14))*(1+Inputs!$B$7/100))*(F2927/100)</f>
        <v/>
      </c>
      <c r="K2927">
        <f>J2927*(1+((Inputs!$B$12*(1+Inputs!$B$13/100))*0.01+Inputs!$B$14*0.0025)/100)*(1+Inputs!$B$15/100)*(1+Inputs!$B$16/100)*(5000/(6000+Inputs!$B$42*(1-(100*(1-(1-(Inputs!$B$19+0)/100)*(1-CHOOSE(ArtifactsInput!$N$40+1,5,6,7,8,9,10)/100)^(ArtifactsInput!$M$40-ArtifactsInput!$M$40)))/100)))*(1+(Inputs!$B$24+((C2949=TRUE)*(F2949-Calc!F26))+B2959)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2939=TRUE,F2939,0)/100)*(1+(IF(Skills!A4="EIGHT_LEGS_EASTON",Inputs!$B$17+((C2946=TRUE)*(F2946-Calc!F23))+((C2950=TRUE)*(F2950-Calc!F27))+(((IF(AND(ArtifactsInput!$M$42,((Inputs!$B$9+((C2942=TRUE)*(F2942-Calc!F19))+B2953+(ArtifactsInput!$M$24-ArtifactsInput!$M$24)*CHOOSE(ArtifactsInput!$N$24+1,10,12,14,16,18,20)+IF(ArtifactsInput!$M$10,CHOOSE(ArtifactsInput!$N$10+1,15,18,21,24,27,30)*(IF(Inputs!$B$38="pvp",MIN(15,15)/15,IF(AND(Inputs!$B$38&lt;&gt;"pvp",Inputs!$B$43&gt;0),MIN(15,Inputs!$B$43)/(Inputs!$B$43),0))),0)))&gt;=100),MIN(100,((Inputs!$B$9+((C2942=TRUE)*(F2942-Calc!F19))+B2953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2942=TRUE)*(F2942-Calc!F19))+B2953+(ArtifactsInput!$M$24-ArtifactsInput!$M$24)*CHOOSE(ArtifactsInput!$N$24+1,10,12,14,16,18,20)+IF(ArtifactsInput!$M$10,CHOOSE(ArtifactsInput!$N$10+1,15,18,21,24,27,30)*(IF(Inputs!$B$38="pvp",MIN(15,15)/15,IF(AND(Inputs!$B$38&lt;&gt;"pvp",Inputs!$B$43&gt;0),MIN(15,Inputs!$B$43)/(Inputs!$B$43),0))),0)))&gt;=100),CHOOSE(ArtifactsInput!$N$42+1,40,48,56,64,72,80),0))))/100)*((1+(((C2940=TRUE)*F2940)+((C2947=TRUE)*(F2947-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2927)</f>
        <v/>
      </c>
      <c r="L2927">
        <f>K2927*(MIN(Inputs!$B$22+((C2945=TRUE)*(F2945-Calc!F22)),(Inputs!$B$23+0+(IF(ArtifactsInput!$M$15,CHOOSE(ArtifactsInput!$N$15+1,25,30,35,40,45,50)/100*(Inputs!$B$11-Inputs!$B$11),0))))/100+(Inputs!$B$23+0+(IF(ArtifactsInput!$M$15,CHOOSE(ArtifactsInput!$N$15+1,25,30,35,40,45,50)/100*(Inputs!$B$11-Inputs!$B$11),0)))/100)/2</f>
        <v/>
      </c>
      <c r="M2927">
        <f>L2927*(1+(Inputs!$B$10+((C2948=TRUE)*(F2948-Calc!F25))+B2958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7">
        <f>L2927*(1-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2927*(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7">
        <f>(1-Summary!$B$11)*T2927+Summary!$B$11*V2927</f>
        <v/>
      </c>
      <c r="P2927">
        <f>IF(B2963=0,0,O2927/B2963)</f>
        <v/>
      </c>
      <c r="Q2927">
        <f>IFERROR(1/(IF(Inputs!$B$38="pvp",15,MAX(0.1,Skills!D4-IF(Skills!E4=TRUE,2.5,0)))*(1-IF(AND(ArtifactsInput!$M$27,Inputs!$B$4="Chapter Hunt"),CHOOSE(ArtifactsInput!$N$27+1,20,24,28,32,36,40),0)/100)),0)</f>
        <v/>
      </c>
      <c r="R2927">
        <f>IF(AND(Inputs!$B$38&lt;&gt;"pvp",Inputs!$B$43&gt;0),IF(MAX(0,Inputs!$B$43-B2960)&lt;=0,0,(INT(MAX(0,Inputs!$B$43-B2960)/(IF(Inputs!$B$38="pvp",15,MAX(0.1,Skills!D4-IF(Skills!E4=TRUE,2.5,0)))*(1-IF(AND(ArtifactsInput!$M$27,Inputs!$B$4="Chapter Hunt"),CHOOSE(ArtifactsInput!$N$27+1,20,24,28,32,36,40),0)/100)))+1)),0)</f>
        <v/>
      </c>
      <c r="S2927">
        <f>IFERROR(O2927/N2927,0)</f>
        <v/>
      </c>
      <c r="T2927">
        <f>IF(C2927,(H2927*N2927*IF(AND(Inputs!$B$38&lt;&gt;"pvp",Inputs!$B$43&gt;0),((Skills!G4*((R2927-1)*IF(Skills!H4&gt;0,Skills!I4/Skills!H4,1)+IF(Skills!H4&gt;0,MIN(Skills!I4,MAX(0,MAX(0,Inputs!$B$43-B2960)-((R2927-1)*(IF(Inputs!$B$38="pvp",15,MAX(0.1,Skills!D4-IF(Skills!E4=TRUE,2.5,0)))*(1-IF(AND(ArtifactsInput!$M$27,Inputs!$B$4="Chapter Hunt"),CHOOSE(ArtifactsInput!$N$27+1,20,24,28,32,36,40),0)/100)))))/Skills!H4,1)))/Inputs!$B$43),G2927*Q2927)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2927*(1-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2927*(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2927*(1-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2927*(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7">
        <f>290*U2926/1000</f>
        <v/>
      </c>
      <c r="V2927">
        <f>IF(C2927,(H2927*N2927*IF(AND(Inputs!$B$38&lt;&gt;"pvp",Inputs!$B$43&gt;0),((Skills!G4*((R2927-1)*IF(Skills!H4&gt;0,Skills!I4/Skills!H4,1)+IF(Skills!H4&gt;0,MIN(Skills!I4,MAX(0,MAX(0,Inputs!$B$43-B2960)-((R2927-1)*(IF(Inputs!$B$38="pvp",15,MAX(0.1,Skills!D4-IF(Skills!E4=TRUE,2.5,0)))*(1-IF(AND(ArtifactsInput!$M$27,Inputs!$B$4="Chapter Hunt"),CHOOSE(ArtifactsInput!$N$27+1,20,24,28,32,36,40),0)/100)))))/Skills!H4,1)))/Inputs!$B$43),G2927*Q2927))*IF(Inputs!$B$38="pvp",1,(1+(Inputs!$B$21+Skills!Q4+(IF(ArtifactsInput!$M$33,CHOOSE(ArtifactsInput!$N$33+1,30,36,42,48,54,60)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8">
      <c r="A2928">
        <f>Skills!A5</f>
        <v/>
      </c>
      <c r="B2928">
        <f>Skills!B5</f>
        <v/>
      </c>
      <c r="C2928">
        <f>Inputs!$B$3&gt;=45</f>
        <v/>
      </c>
      <c r="D2928">
        <f>IF(Skills!C5=1,60+Inputs!$B$25+Inputs!$B$29,IF(Skills!C5=2,90+Inputs!$B$26+Inputs!$B$29,IF(Skills!C5=3,120+Inputs!$B$27+Inputs!$B$29,MAX(0,(Inputs!$B$3-100)*3)+Inputs!$B$28+Inputs!$B$29)))</f>
        <v/>
      </c>
      <c r="E2928">
        <f>INDEX(FactorTable!$B$2:$Y$301, MATCH(ROUND(MIN(300,MAX(1,D2928)),0), FactorTable!$A$2:$A$301,0), Skills!M5+1)</f>
        <v/>
      </c>
      <c r="F2928">
        <f>IF(Skills!N5=TRUE,(Skills!L5/10)*(E2928/1000),Skills!L5/10)+Skills!O5</f>
        <v/>
      </c>
      <c r="G2928">
        <f>Skills!G5*IF(Skills!H5&gt;0,Skills!I5/Skills!H5,1)</f>
        <v/>
      </c>
      <c r="H2928">
        <f>1-(1-Skills!J5/100)^Skills!K5</f>
        <v/>
      </c>
      <c r="I2928" t="inlineStr">
        <is>
          <t>1</t>
        </is>
      </c>
      <c r="J2928">
        <f>((Inputs!$B$6*(1+Inputs!$B$7/100))+(((Inputs!$B$12*(1+Inputs!$B$13/100))-(Inputs!$B$12*(1+Inputs!$B$13/100)))+0.25*(Inputs!$B$14-Inputs!$B$14))*(1+Inputs!$B$7/100))*(F2928/100)</f>
        <v/>
      </c>
      <c r="K2928">
        <f>J2928*(1+((Inputs!$B$12*(1+Inputs!$B$13/100))*0.01+Inputs!$B$14*0.0025)/100)*(1+Inputs!$B$15/100)*(1+Inputs!$B$16/100)*(5000/(6000+Inputs!$B$42*(1-(100*(1-(1-(Inputs!$B$19+0)/100)*(1-CHOOSE(ArtifactsInput!$N$40+1,5,6,7,8,9,10)/100)^(ArtifactsInput!$M$40-ArtifactsInput!$M$40)))/100)))*(1+(Inputs!$B$24+((C2949=TRUE)*(F2949-Calc!F26))+B2959)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2939=TRUE,F2939,0)/100)*(1+(IF(Skills!A5="EIGHT_LEGS_EASTON",Inputs!$B$17+((C2946=TRUE)*(F2946-Calc!F23))+((C2950=TRUE)*(F2950-Calc!F27))+(((IF(AND(ArtifactsInput!$M$42,((Inputs!$B$9+((C2942=TRUE)*(F2942-Calc!F19))+B2953+(ArtifactsInput!$M$24-ArtifactsInput!$M$24)*CHOOSE(ArtifactsInput!$N$24+1,10,12,14,16,18,20)+IF(ArtifactsInput!$M$10,CHOOSE(ArtifactsInput!$N$10+1,15,18,21,24,27,30)*(IF(Inputs!$B$38="pvp",MIN(15,15)/15,IF(AND(Inputs!$B$38&lt;&gt;"pvp",Inputs!$B$43&gt;0),MIN(15,Inputs!$B$43)/(Inputs!$B$43),0))),0)))&gt;=100),MIN(100,((Inputs!$B$9+((C2942=TRUE)*(F2942-Calc!F19))+B2953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2942=TRUE)*(F2942-Calc!F19))+B2953+(ArtifactsInput!$M$24-ArtifactsInput!$M$24)*CHOOSE(ArtifactsInput!$N$24+1,10,12,14,16,18,20)+IF(ArtifactsInput!$M$10,CHOOSE(ArtifactsInput!$N$10+1,15,18,21,24,27,30)*(IF(Inputs!$B$38="pvp",MIN(15,15)/15,IF(AND(Inputs!$B$38&lt;&gt;"pvp",Inputs!$B$43&gt;0),MIN(15,Inputs!$B$43)/(Inputs!$B$43),0))),0)))&gt;=100),CHOOSE(ArtifactsInput!$N$42+1,40,48,56,64,72,80),0))))/100)*((1+(((C2940=TRUE)*F2940)+((C2947=TRUE)*(F2947-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2928)</f>
        <v/>
      </c>
      <c r="L2928">
        <f>K2928*(MIN(Inputs!$B$22+((C2945=TRUE)*(F2945-Calc!F22)),(Inputs!$B$23+0+(IF(ArtifactsInput!$M$15,CHOOSE(ArtifactsInput!$N$15+1,25,30,35,40,45,50)/100*(Inputs!$B$11-Inputs!$B$11),0))))/100+(Inputs!$B$23+0+(IF(ArtifactsInput!$M$15,CHOOSE(ArtifactsInput!$N$15+1,25,30,35,40,45,50)/100*(Inputs!$B$11-Inputs!$B$11),0)))/100)/2</f>
        <v/>
      </c>
      <c r="M2928">
        <f>L2928*(1+(Inputs!$B$10+((C2948=TRUE)*(F2948-Calc!F25))+B2958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8">
        <f>L2928*(1-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2928*(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8">
        <f>(1-Summary!$B$11)*T2928+Summary!$B$11*V2928</f>
        <v/>
      </c>
      <c r="P2928">
        <f>IF(B2963=0,0,O2928/B2963)</f>
        <v/>
      </c>
      <c r="Q2928">
        <f>IFERROR(1/(IF(Inputs!$B$38="pvp",15,MAX(0.1,Skills!D5-IF(Skills!E5=TRUE,2.5,0)))*(1-IF(AND(ArtifactsInput!$M$27,Inputs!$B$4="Chapter Hunt"),CHOOSE(ArtifactsInput!$N$27+1,20,24,28,32,36,40),0)/100)),0)</f>
        <v/>
      </c>
      <c r="R2928">
        <f>IF(AND(Inputs!$B$38&lt;&gt;"pvp",Inputs!$B$43&gt;0),IF(MAX(0,Inputs!$B$43-B2960)&lt;=0,0,(INT(MAX(0,Inputs!$B$43-B2960)/(IF(Inputs!$B$38="pvp",15,MAX(0.1,Skills!D5-IF(Skills!E5=TRUE,2.5,0)))*(1-IF(AND(ArtifactsInput!$M$27,Inputs!$B$4="Chapter Hunt"),CHOOSE(ArtifactsInput!$N$27+1,20,24,28,32,36,40),0)/100)))+1)),0)</f>
        <v/>
      </c>
      <c r="S2928">
        <f>IFERROR(O2928/N2928,0)</f>
        <v/>
      </c>
      <c r="T2928">
        <f>IF(C2928,(H2928*N2928*IF(AND(Inputs!$B$38&lt;&gt;"pvp",Inputs!$B$43&gt;0),((Skills!G5*((R2928-1)*IF(Skills!H5&gt;0,Skills!I5/Skills!H5,1)+IF(Skills!H5&gt;0,MIN(Skills!I5,MAX(0,MAX(0,Inputs!$B$43-B2960)-((R2928-1)*(IF(Inputs!$B$38="pvp",15,MAX(0.1,Skills!D5-IF(Skills!E5=TRUE,2.5,0)))*(1-IF(AND(ArtifactsInput!$M$27,Inputs!$B$4="Chapter Hunt"),CHOOSE(ArtifactsInput!$N$27+1,20,24,28,32,36,40),0)/100)))))/Skills!H5,1)))/Inputs!$B$43),G2928*Q2928)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2928*(1-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2928*(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2928*(1-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2928*(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8">
        <f>IF(C2928,(H2928*N2928*IF(AND(Inputs!$B$38&lt;&gt;"pvp",Inputs!$B$43&gt;0),((Skills!G5*((R2928-1)*IF(Skills!H5&gt;0,Skills!I5/Skills!H5,1)+IF(Skills!H5&gt;0,MIN(Skills!I5,MAX(0,MAX(0,Inputs!$B$43-B2960)-((R2928-1)*(IF(Inputs!$B$38="pvp",15,MAX(0.1,Skills!D5-IF(Skills!E5=TRUE,2.5,0)))*(1-IF(AND(ArtifactsInput!$M$27,Inputs!$B$4="Chapter Hunt"),CHOOSE(ArtifactsInput!$N$27+1,20,24,28,32,36,40),0)/100)))))/Skills!H5,1)))/Inputs!$B$43),G2928*Q2928))*IF(Inputs!$B$38="pvp",1,(1+(Inputs!$B$21+Skills!Q5+(IF(ArtifactsInput!$M$33,CHOOSE(ArtifactsInput!$N$33+1,30,36,42,48,54,60)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9">
      <c r="A2929">
        <f>Skills!A6</f>
        <v/>
      </c>
      <c r="B2929">
        <f>Skills!B6</f>
        <v/>
      </c>
      <c r="C2929">
        <f>Inputs!$B$3&gt;=63</f>
        <v/>
      </c>
      <c r="D2929">
        <f>IF(Skills!C6=1,60+Inputs!$B$25+Inputs!$B$29,IF(Skills!C6=2,90+Inputs!$B$26+Inputs!$B$29,IF(Skills!C6=3,120+Inputs!$B$27+Inputs!$B$29,MAX(0,(Inputs!$B$3-100)*3)+Inputs!$B$28+Inputs!$B$29)))</f>
        <v/>
      </c>
      <c r="E2929">
        <f>INDEX(FactorTable!$B$2:$Y$301, MATCH(ROUND(MIN(300,MAX(1,D2929)),0), FactorTable!$A$2:$A$301,0), Skills!M6+1)</f>
        <v/>
      </c>
      <c r="F2929">
        <f>IF(Skills!N6=TRUE,(Skills!L6/10)*(E2929/1000),Skills!L6/10)+Skills!O6</f>
        <v/>
      </c>
      <c r="G2929">
        <f>Skills!G6*IF(Skills!H6&gt;0,Skills!I6/Skills!H6,1)</f>
        <v/>
      </c>
      <c r="H2929">
        <f>1-(1-Skills!J6/100)^Skills!K6</f>
        <v/>
      </c>
      <c r="I2929" t="inlineStr">
        <is>
          <t>1</t>
        </is>
      </c>
      <c r="J2929">
        <f>((Inputs!$B$6*(1+Inputs!$B$7/100))+(((Inputs!$B$12*(1+Inputs!$B$13/100))-(Inputs!$B$12*(1+Inputs!$B$13/100)))+0.25*(Inputs!$B$14-Inputs!$B$14))*(1+Inputs!$B$7/100))*(F2929/100)</f>
        <v/>
      </c>
      <c r="K2929">
        <f>J2929*(1+((Inputs!$B$12*(1+Inputs!$B$13/100))*0.01+Inputs!$B$14*0.0025)/100)*(1+Inputs!$B$15/100)*(1+Inputs!$B$16/100)*(5000/(6000+Inputs!$B$42*(1-(100*(1-(1-(Inputs!$B$19+0)/100)*(1-CHOOSE(ArtifactsInput!$N$40+1,5,6,7,8,9,10)/100)^(ArtifactsInput!$M$40-ArtifactsInput!$M$40)))/100)))*(1+(Inputs!$B$24+((C2949=TRUE)*(F2949-Calc!F26))+B2959)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2938=TRUE,F2938,0)/100)*(1+(IF(Skills!A6="EIGHT_LEGS_EASTON",Inputs!$B$17+((C2946=TRUE)*(F2946-Calc!F23))+((C2950=TRUE)*(F2950-Calc!F27))+(((IF(AND(ArtifactsInput!$M$42,((Inputs!$B$9+((C2942=TRUE)*(F2942-Calc!F19))+B2953+(ArtifactsInput!$M$24-ArtifactsInput!$M$24)*CHOOSE(ArtifactsInput!$N$24+1,10,12,14,16,18,20)+IF(ArtifactsInput!$M$10,CHOOSE(ArtifactsInput!$N$10+1,15,18,21,24,27,30)*(IF(Inputs!$B$38="pvp",MIN(15,15)/15,IF(AND(Inputs!$B$38&lt;&gt;"pvp",Inputs!$B$43&gt;0),MIN(15,Inputs!$B$43)/(Inputs!$B$43),0))),0)))&gt;=100),MIN(100,((Inputs!$B$9+((C2942=TRUE)*(F2942-Calc!F19))+B2953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2942=TRUE)*(F2942-Calc!F19))+B2953+(ArtifactsInput!$M$24-ArtifactsInput!$M$24)*CHOOSE(ArtifactsInput!$N$24+1,10,12,14,16,18,20)+IF(ArtifactsInput!$M$10,CHOOSE(ArtifactsInput!$N$10+1,15,18,21,24,27,30)*(IF(Inputs!$B$38="pvp",MIN(15,15)/15,IF(AND(Inputs!$B$38&lt;&gt;"pvp",Inputs!$B$43&gt;0),MIN(15,Inputs!$B$43)/(Inputs!$B$43),0))),0)))&gt;=100),CHOOSE(ArtifactsInput!$N$42+1,40,48,56,64,72,80),0))))/100)*((1+(((C2940=TRUE)*F2940)+((C2947=TRUE)*(F2947-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2929)</f>
        <v/>
      </c>
      <c r="L2929">
        <f>K2929*(MIN(Inputs!$B$22+((C2945=TRUE)*(F2945-Calc!F22)),(Inputs!$B$23+0+(IF(ArtifactsInput!$M$15,CHOOSE(ArtifactsInput!$N$15+1,25,30,35,40,45,50)/100*(Inputs!$B$11-Inputs!$B$11),0))))/100+(Inputs!$B$23+0+(IF(ArtifactsInput!$M$15,CHOOSE(ArtifactsInput!$N$15+1,25,30,35,40,45,50)/100*(Inputs!$B$11-Inputs!$B$11),0)))/100)/2</f>
        <v/>
      </c>
      <c r="M2929">
        <f>L2929*(1+(Inputs!$B$10+((C2948=TRUE)*(F2948-Calc!F25))+B2958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9">
        <f>L2929*(1-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2929*(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9">
        <f>(1-Summary!$B$11)*T2929+Summary!$B$11*V2929</f>
        <v/>
      </c>
      <c r="P2929">
        <f>IF(B2963=0,0,O2929/B2963)</f>
        <v/>
      </c>
      <c r="Q2929">
        <f>IFERROR(1/(IF(Inputs!$B$38="pvp",15,MAX(0.1,Skills!D6-IF(Skills!E6=TRUE,2.5,0)))*(1-IF(AND(ArtifactsInput!$M$27,Inputs!$B$4="Chapter Hunt"),CHOOSE(ArtifactsInput!$N$27+1,20,24,28,32,36,40),0)/100)),0)</f>
        <v/>
      </c>
      <c r="R2929">
        <f>IF(AND(Inputs!$B$38&lt;&gt;"pvp",Inputs!$B$43&gt;0),IF(MAX(0,Inputs!$B$43-B2960)&lt;=0,0,(INT(MAX(0,Inputs!$B$43-B2960)/(IF(Inputs!$B$38="pvp",15,MAX(0.1,Skills!D6-IF(Skills!E6=TRUE,2.5,0)))*(1-IF(AND(ArtifactsInput!$M$27,Inputs!$B$4="Chapter Hunt"),CHOOSE(ArtifactsInput!$N$27+1,20,24,28,32,36,40),0)/100)))+1)),0)</f>
        <v/>
      </c>
      <c r="S2929">
        <f>IFERROR(O2929/N2929,0)</f>
        <v/>
      </c>
      <c r="T2929">
        <f>IF(C2929,(H2929*N2929*IF(AND(Inputs!$B$38&lt;&gt;"pvp",Inputs!$B$43&gt;0),((Skills!G6*((R2929-1)*IF(Skills!H6&gt;0,Skills!I6/Skills!H6,1)+IF(Skills!H6&gt;0,MIN(Skills!I6,MAX(0,MAX(0,Inputs!$B$43-B2960)-((R2929-1)*(IF(Inputs!$B$38="pvp",15,MAX(0.1,Skills!D6-IF(Skills!E6=TRUE,2.5,0)))*(1-IF(AND(ArtifactsInput!$M$27,Inputs!$B$4="Chapter Hunt"),CHOOSE(ArtifactsInput!$N$27+1,20,24,28,32,36,40),0)/100)))))/Skills!H6,1)))/Inputs!$B$43),G2929*Q2929)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2929*(1-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2929*(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2929*(1-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2929*(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9">
        <f>IF(C2929,(H2929*N2929*IF(AND(Inputs!$B$38&lt;&gt;"pvp",Inputs!$B$43&gt;0),((Skills!G6*((R2929-1)*IF(Skills!H6&gt;0,Skills!I6/Skills!H6,1)+IF(Skills!H6&gt;0,MIN(Skills!I6,MAX(0,MAX(0,Inputs!$B$43-B2960)-((R2929-1)*(IF(Inputs!$B$38="pvp",15,MAX(0.1,Skills!D6-IF(Skills!E6=TRUE,2.5,0)))*(1-IF(AND(ArtifactsInput!$M$27,Inputs!$B$4="Chapter Hunt"),CHOOSE(ArtifactsInput!$N$27+1,20,24,28,32,36,40),0)/100)))))/Skills!H6,1)))/Inputs!$B$43),G2929*Q2929))*IF(Inputs!$B$38="pvp",1,(1+(Inputs!$B$21+Skills!Q6+(IF(ArtifactsInput!$M$33,CHOOSE(ArtifactsInput!$N$33+1,30,36,42,48,54,60)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0">
      <c r="A2930">
        <f>Skills!A7</f>
        <v/>
      </c>
      <c r="B2930">
        <f>Skills!B7</f>
        <v/>
      </c>
      <c r="C2930">
        <f>Inputs!$B$3&gt;=66</f>
        <v/>
      </c>
      <c r="D2930">
        <f>IF(Skills!C7=1,60+Inputs!$B$25+Inputs!$B$29,IF(Skills!C7=2,90+Inputs!$B$26+Inputs!$B$29,IF(Skills!C7=3,120+Inputs!$B$27+Inputs!$B$29,MAX(0,(Inputs!$B$3-100)*3)+Inputs!$B$28+Inputs!$B$29)))</f>
        <v/>
      </c>
      <c r="E2930">
        <f>INDEX(FactorTable!$B$2:$Y$301, MATCH(ROUND(MIN(300,MAX(1,D2930)),0), FactorTable!$A$2:$A$301,0), Skills!M7+1)</f>
        <v/>
      </c>
      <c r="F2930">
        <f>IF(Skills!N7=TRUE,(Skills!L7/10)*(E2930/1000),Skills!L7/10)+Skills!O7</f>
        <v/>
      </c>
      <c r="G2930">
        <f>Skills!G7*IF(Skills!H7&gt;0,Skills!I7/Skills!H7,1)</f>
        <v/>
      </c>
      <c r="H2930">
        <f>1-(1-Skills!J7/100)^Skills!K7</f>
        <v/>
      </c>
      <c r="I2930" t="inlineStr">
        <is>
          <t>1</t>
        </is>
      </c>
      <c r="J2930">
        <f>((Inputs!$B$6*(1+Inputs!$B$7/100))+(((Inputs!$B$12*(1+Inputs!$B$13/100))-(Inputs!$B$12*(1+Inputs!$B$13/100)))+0.25*(Inputs!$B$14-Inputs!$B$14))*(1+Inputs!$B$7/100))*(F2930/100)</f>
        <v/>
      </c>
      <c r="K2930">
        <f>J2930*(1+((Inputs!$B$12*(1+Inputs!$B$13/100))*0.01+Inputs!$B$14*0.0025)/100)*(1+Inputs!$B$15/100)*(1+Inputs!$B$16/100)*(5000/(6000+Inputs!$B$42*(1-(100*(1-(1-(Inputs!$B$19+0)/100)*(1-CHOOSE(ArtifactsInput!$N$40+1,5,6,7,8,9,10)/100)^(ArtifactsInput!$M$40-ArtifactsInput!$M$40)))/100)))*(1+(Inputs!$B$24+((C2949=TRUE)*(F2949-Calc!F26))+B2959)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2938=TRUE,F2938,0)/100)*(1+(IF(Skills!A7="EIGHT_LEGS_EASTON",Inputs!$B$17+((C2946=TRUE)*(F2946-Calc!F23))+((C2950=TRUE)*(F2950-Calc!F27))+(((IF(AND(ArtifactsInput!$M$42,((Inputs!$B$9+((C2942=TRUE)*(F2942-Calc!F19))+B2953+(ArtifactsInput!$M$24-ArtifactsInput!$M$24)*CHOOSE(ArtifactsInput!$N$24+1,10,12,14,16,18,20)+IF(ArtifactsInput!$M$10,CHOOSE(ArtifactsInput!$N$10+1,15,18,21,24,27,30)*(IF(Inputs!$B$38="pvp",MIN(15,15)/15,IF(AND(Inputs!$B$38&lt;&gt;"pvp",Inputs!$B$43&gt;0),MIN(15,Inputs!$B$43)/(Inputs!$B$43),0))),0)))&gt;=100),MIN(100,((Inputs!$B$9+((C2942=TRUE)*(F2942-Calc!F19))+B2953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2942=TRUE)*(F2942-Calc!F19))+B2953+(ArtifactsInput!$M$24-ArtifactsInput!$M$24)*CHOOSE(ArtifactsInput!$N$24+1,10,12,14,16,18,20)+IF(ArtifactsInput!$M$10,CHOOSE(ArtifactsInput!$N$10+1,15,18,21,24,27,30)*(IF(Inputs!$B$38="pvp",MIN(15,15)/15,IF(AND(Inputs!$B$38&lt;&gt;"pvp",Inputs!$B$43&gt;0),MIN(15,Inputs!$B$43)/(Inputs!$B$43),0))),0)))&gt;=100),CHOOSE(ArtifactsInput!$N$42+1,40,48,56,64,72,80),0))))/100)*((1+(((C2940=TRUE)*F2940)+((C2947=TRUE)*(F2947-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2930)</f>
        <v/>
      </c>
      <c r="L2930">
        <f>K2930*(MIN(Inputs!$B$22+((C2945=TRUE)*(F2945-Calc!F22)),(Inputs!$B$23+0+(IF(ArtifactsInput!$M$15,CHOOSE(ArtifactsInput!$N$15+1,25,30,35,40,45,50)/100*(Inputs!$B$11-Inputs!$B$11),0))))/100+(Inputs!$B$23+0+(IF(ArtifactsInput!$M$15,CHOOSE(ArtifactsInput!$N$15+1,25,30,35,40,45,50)/100*(Inputs!$B$11-Inputs!$B$11),0)))/100)/2</f>
        <v/>
      </c>
      <c r="M2930">
        <f>L2930*(1+(Inputs!$B$10+((C2948=TRUE)*(F2948-Calc!F25))+B2958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0">
        <f>L2930*(1-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2930*(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0">
        <f>(1-Summary!$B$11)*T2930+Summary!$B$11*V2930</f>
        <v/>
      </c>
      <c r="P2930">
        <f>IF(B2963=0,0,O2930/B2963)</f>
        <v/>
      </c>
      <c r="Q2930">
        <f>IFERROR(1/(IF(Inputs!$B$38="pvp",15,MAX(0.1,Skills!D7-IF(Skills!E7=TRUE,2.5,0)))*(1-IF(AND(ArtifactsInput!$M$27,Inputs!$B$4="Chapter Hunt"),CHOOSE(ArtifactsInput!$N$27+1,20,24,28,32,36,40),0)/100)),0)</f>
        <v/>
      </c>
      <c r="R2930">
        <f>IF(AND(Inputs!$B$38&lt;&gt;"pvp",Inputs!$B$43&gt;0),IF(MAX(0,Inputs!$B$43-B2960)&lt;=0,0,(INT(MAX(0,Inputs!$B$43-B2960)/(IF(Inputs!$B$38="pvp",15,MAX(0.1,Skills!D7-IF(Skills!E7=TRUE,2.5,0)))*(1-IF(AND(ArtifactsInput!$M$27,Inputs!$B$4="Chapter Hunt"),CHOOSE(ArtifactsInput!$N$27+1,20,24,28,32,36,40),0)/100)))+1)),0)</f>
        <v/>
      </c>
      <c r="S2930">
        <f>IFERROR(O2930/N2930,0)</f>
        <v/>
      </c>
      <c r="T2930">
        <f>IF(C2930,(H2930*N2930*IF(AND(Inputs!$B$38&lt;&gt;"pvp",Inputs!$B$43&gt;0),((Skills!G7*((R2930-1)*IF(Skills!H7&gt;0,Skills!I7/Skills!H7,1)+IF(Skills!H7&gt;0,MIN(Skills!I7,MAX(0,MAX(0,Inputs!$B$43-B2960)-((R2930-1)*(IF(Inputs!$B$38="pvp",15,MAX(0.1,Skills!D7-IF(Skills!E7=TRUE,2.5,0)))*(1-IF(AND(ArtifactsInput!$M$27,Inputs!$B$4="Chapter Hunt"),CHOOSE(ArtifactsInput!$N$27+1,20,24,28,32,36,40),0)/100)))))/Skills!H7,1)))/Inputs!$B$43),G2930*Q2930)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2930*(1-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2930*(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2930*(1-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2930*(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0">
        <f>IF(C2930,(H2930*N2930*IF(AND(Inputs!$B$38&lt;&gt;"pvp",Inputs!$B$43&gt;0),((Skills!G7*((R2930-1)*IF(Skills!H7&gt;0,Skills!I7/Skills!H7,1)+IF(Skills!H7&gt;0,MIN(Skills!I7,MAX(0,MAX(0,Inputs!$B$43-B2960)-((R2930-1)*(IF(Inputs!$B$38="pvp",15,MAX(0.1,Skills!D7-IF(Skills!E7=TRUE,2.5,0)))*(1-IF(AND(ArtifactsInput!$M$27,Inputs!$B$4="Chapter Hunt"),CHOOSE(ArtifactsInput!$N$27+1,20,24,28,32,36,40),0)/100)))))/Skills!H7,1)))/Inputs!$B$43),G2930*Q2930))*IF(Inputs!$B$38="pvp",1,(1+(Inputs!$B$21+Skills!Q7+(IF(ArtifactsInput!$M$33,CHOOSE(ArtifactsInput!$N$33+1,30,36,42,48,54,60)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1">
      <c r="A2931">
        <f>Skills!A8</f>
        <v/>
      </c>
      <c r="B2931">
        <f>Skills!B8</f>
        <v/>
      </c>
      <c r="C2931">
        <f>Inputs!$B$3&gt;=100</f>
        <v/>
      </c>
      <c r="D2931">
        <f>IF(Skills!C8=1,60+Inputs!$B$25+Inputs!$B$29,IF(Skills!C8=2,90+Inputs!$B$26+Inputs!$B$29,IF(Skills!C8=3,120+Inputs!$B$27+Inputs!$B$29,MAX(0,(Inputs!$B$3-100)*3)+Inputs!$B$28+Inputs!$B$29)))</f>
        <v/>
      </c>
      <c r="E2931">
        <f>INDEX(FactorTable!$B$2:$Y$301, MATCH(ROUND(MIN(300,MAX(1,D2931)),0), FactorTable!$A$2:$A$301,0), Skills!M8+1)</f>
        <v/>
      </c>
      <c r="F2931">
        <f>IF(Skills!N8=TRUE,(Skills!L8/10)*(E2931/1000),Skills!L8/10)+Skills!O8</f>
        <v/>
      </c>
      <c r="G2931">
        <f>Skills!G8*IF(Skills!H8&gt;0,Skills!I8/Skills!H8,1)</f>
        <v/>
      </c>
      <c r="H2931">
        <f>1-(1-Skills!J8/100)^Skills!K8</f>
        <v/>
      </c>
      <c r="I2931" t="inlineStr">
        <is>
          <t>1</t>
        </is>
      </c>
      <c r="J2931">
        <f>((Inputs!$B$6*(1+Inputs!$B$7/100))+(((Inputs!$B$12*(1+Inputs!$B$13/100))-(Inputs!$B$12*(1+Inputs!$B$13/100)))+0.25*(Inputs!$B$14-Inputs!$B$14))*(1+Inputs!$B$7/100))*(F2931/100)</f>
        <v/>
      </c>
      <c r="K2931">
        <f>J2931*(1+((Inputs!$B$12*(1+Inputs!$B$13/100))*0.01+Inputs!$B$14*0.0025)/100)*(1+Inputs!$B$15/100)*(1+Inputs!$B$16/100)*(5000/(6000+Inputs!$B$42*(1-(100*(1-(1-(Inputs!$B$19+0)/100)*(1-CHOOSE(ArtifactsInput!$N$40+1,5,6,7,8,9,10)/100)^(ArtifactsInput!$M$40-ArtifactsInput!$M$40)))/100)))*(1+(Inputs!$B$24+((C2949=TRUE)*(F2949-Calc!F26))+B2959)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2946=TRUE)*(F2946-Calc!F23))+((C2950=TRUE)*(F2950-Calc!F27))+(((IF(AND(ArtifactsInput!$M$42,((Inputs!$B$9+((C2942=TRUE)*(F2942-Calc!F19))+B2953+(ArtifactsInput!$M$24-ArtifactsInput!$M$24)*CHOOSE(ArtifactsInput!$N$24+1,10,12,14,16,18,20)+IF(ArtifactsInput!$M$10,CHOOSE(ArtifactsInput!$N$10+1,15,18,21,24,27,30)*(IF(Inputs!$B$38="pvp",MIN(15,15)/15,IF(AND(Inputs!$B$38&lt;&gt;"pvp",Inputs!$B$43&gt;0),MIN(15,Inputs!$B$43)/(Inputs!$B$43),0))),0)))&gt;=100),MIN(100,((Inputs!$B$9+((C2942=TRUE)*(F2942-Calc!F19))+B2953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2942=TRUE)*(F2942-Calc!F19))+B2953+(ArtifactsInput!$M$24-ArtifactsInput!$M$24)*CHOOSE(ArtifactsInput!$N$24+1,10,12,14,16,18,20)+IF(ArtifactsInput!$M$10,CHOOSE(ArtifactsInput!$N$10+1,15,18,21,24,27,30)*(IF(Inputs!$B$38="pvp",MIN(15,15)/15,IF(AND(Inputs!$B$38&lt;&gt;"pvp",Inputs!$B$43&gt;0),MIN(15,Inputs!$B$43)/(Inputs!$B$43),0))),0)))&gt;=100),CHOOSE(ArtifactsInput!$N$42+1,40,48,56,64,72,80),0))))/100)*((1+(((C2940=TRUE)*F2940)+((C2947=TRUE)*(F2947-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2931)</f>
        <v/>
      </c>
      <c r="L2931">
        <f>K2931*(MIN(Inputs!$B$22+((C2945=TRUE)*(F2945-Calc!F22)),(Inputs!$B$23+0+(IF(ArtifactsInput!$M$15,CHOOSE(ArtifactsInput!$N$15+1,25,30,35,40,45,50)/100*(Inputs!$B$11-Inputs!$B$11),0))))/100+(Inputs!$B$23+0+(IF(ArtifactsInput!$M$15,CHOOSE(ArtifactsInput!$N$15+1,25,30,35,40,45,50)/100*(Inputs!$B$11-Inputs!$B$11),0)))/100)/2</f>
        <v/>
      </c>
      <c r="M2931">
        <f>L2931*(1+(Inputs!$B$10+((C2948=TRUE)*(F2948-Calc!F25))+B2958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1">
        <f>L2931*(1-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2931*(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1">
        <f>(1-Summary!$B$11)*T2931+Summary!$B$11*V2931</f>
        <v/>
      </c>
      <c r="P2931">
        <f>IF(B2963=0,0,O2931/B2963)</f>
        <v/>
      </c>
      <c r="Q2931">
        <f>IFERROR(1/(IF(Inputs!$B$38="pvp",15,MAX(0.1,Skills!D8-IF(Skills!E8=TRUE,2.5,0)))*(1-IF(AND(ArtifactsInput!$M$27,Inputs!$B$4="Chapter Hunt"),CHOOSE(ArtifactsInput!$N$27+1,20,24,28,32,36,40),0)/100)),0)</f>
        <v/>
      </c>
      <c r="R2931">
        <f>IF(AND(Inputs!$B$38&lt;&gt;"pvp",Inputs!$B$43&gt;0),IF(MAX(0,Inputs!$B$43-B2960)&lt;=0,0,(INT(MAX(0,Inputs!$B$43-B2960)/(IF(Inputs!$B$38="pvp",15,MAX(0.1,Skills!D8-IF(Skills!E8=TRUE,2.5,0)))*(1-IF(AND(ArtifactsInput!$M$27,Inputs!$B$4="Chapter Hunt"),CHOOSE(ArtifactsInput!$N$27+1,20,24,28,32,36,40),0)/100)))+1)),0)</f>
        <v/>
      </c>
      <c r="S2931">
        <f>IFERROR(O2931/N2931,0)</f>
        <v/>
      </c>
      <c r="T2931">
        <f>IF(C2931,(H2931*N2931*IF(AND(Inputs!$B$38&lt;&gt;"pvp",Inputs!$B$43&gt;0),((Skills!G8*((R2931-1)*IF(Skills!H8&gt;0,Skills!I8/Skills!H8,1)+IF(Skills!H8&gt;0,MIN(Skills!I8,MAX(0,MAX(0,Inputs!$B$43-B2960)-((R2931-1)*(IF(Inputs!$B$38="pvp",15,MAX(0.1,Skills!D8-IF(Skills!E8=TRUE,2.5,0)))*(1-IF(AND(ArtifactsInput!$M$27,Inputs!$B$4="Chapter Hunt"),CHOOSE(ArtifactsInput!$N$27+1,20,24,28,32,36,40),0)/100)))))/Skills!H8,1)))/Inputs!$B$43),G2931*Q2931)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2931*(1-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2931*(1-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1">
        <f>IF(C2931,(H2931*N2931*IF(AND(Inputs!$B$38&lt;&gt;"pvp",Inputs!$B$43&gt;0),((Skills!G8*((R2931-1)*IF(Skills!H8&gt;0,Skills!I8/Skills!H8,1)+IF(Skills!H8&gt;0,MIN(Skills!I8,MAX(0,MAX(0,Inputs!$B$43-B2960)-((R2931-1)*(IF(Inputs!$B$38="pvp",15,MAX(0.1,Skills!D8-IF(Skills!E8=TRUE,2.5,0)))*(1-IF(AND(ArtifactsInput!$M$27,Inputs!$B$4="Chapter Hunt"),CHOOSE(ArtifactsInput!$N$27+1,20,24,28,32,36,40),0)/100)))))/Skills!H8,1)))/Inputs!$B$43),G2931*Q2931))*IF(Inputs!$B$38="pvp",1,(1+(Inputs!$B$21+Skills!Q8+(IF(ArtifactsInput!$M$33,CHOOSE(ArtifactsInput!$N$33+1,30,36,42,48,54,60)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2">
      <c r="A2932">
        <f>Skills!A9</f>
        <v/>
      </c>
      <c r="B2932">
        <f>Skills!B9</f>
        <v/>
      </c>
      <c r="C2932">
        <f>Inputs!$B$3&gt;=103</f>
        <v/>
      </c>
      <c r="D2932">
        <f>IF(Skills!C9=1,60+Inputs!$B$25+Inputs!$B$29,IF(Skills!C9=2,90+Inputs!$B$26+Inputs!$B$29,IF(Skills!C9=3,120+Inputs!$B$27+Inputs!$B$29,MAX(0,(Inputs!$B$3-100)*3)+Inputs!$B$28+Inputs!$B$29)))</f>
        <v/>
      </c>
      <c r="E2932">
        <f>INDEX(FactorTable!$B$2:$Y$301, MATCH(ROUND(MIN(300,MAX(1,D2932)),0), FactorTable!$A$2:$A$301,0), Skills!M9+1)</f>
        <v/>
      </c>
      <c r="F2932">
        <f>IF(Skills!N9=TRUE,(Skills!L9/10)*(E2932/1000),Skills!L9/10)+Skills!O9</f>
        <v/>
      </c>
      <c r="G2932">
        <f>Skills!G9*IF(Skills!H9&gt;0,Skills!I9/Skills!H9,1)</f>
        <v/>
      </c>
      <c r="H2932">
        <f>1-(1-Skills!J9/100)^Skills!K9</f>
        <v/>
      </c>
      <c r="I2932" t="inlineStr">
        <is>
          <t>1</t>
        </is>
      </c>
      <c r="J2932">
        <f>((Inputs!$B$6*(1+Inputs!$B$7/100))+(((Inputs!$B$12*(1+Inputs!$B$13/100))-(Inputs!$B$12*(1+Inputs!$B$13/100)))+0.25*(Inputs!$B$14-Inputs!$B$14))*(1+Inputs!$B$7/100))*(F2932/100)</f>
        <v/>
      </c>
      <c r="K2932">
        <f>J2932*(1+((Inputs!$B$12*(1+Inputs!$B$13/100))*0.01+Inputs!$B$14*0.0025)/100)*(1+Inputs!$B$15/100)*(1+Inputs!$B$16/100)*(5000/(6000+Inputs!$B$42*(1-(100*(1-(1-(Inputs!$B$19+0)/100)*(1-CHOOSE(ArtifactsInput!$N$40+1,5,6,7,8,9,10)/100)^(ArtifactsInput!$M$40-ArtifactsInput!$M$40)))/100)))*(1+(Inputs!$B$24+((C2949=TRUE)*(F2949-Calc!F26))+B2959)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2946=TRUE)*(F2946-Calc!F23))+((C2950=TRUE)*(F2950-Calc!F27))+(((IF(AND(ArtifactsInput!$M$42,((Inputs!$B$9+((C2942=TRUE)*(F2942-Calc!F19))+B2953+(ArtifactsInput!$M$24-ArtifactsInput!$M$24)*CHOOSE(ArtifactsInput!$N$24+1,10,12,14,16,18,20)+IF(ArtifactsInput!$M$10,CHOOSE(ArtifactsInput!$N$10+1,15,18,21,24,27,30)*(IF(Inputs!$B$38="pvp",MIN(15,15)/15,IF(AND(Inputs!$B$38&lt;&gt;"pvp",Inputs!$B$43&gt;0),MIN(15,Inputs!$B$43)/(Inputs!$B$43),0))),0)))&gt;=100),MIN(100,((Inputs!$B$9+((C2942=TRUE)*(F2942-Calc!F19))+B2953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2942=TRUE)*(F2942-Calc!F19))+B2953+(ArtifactsInput!$M$24-ArtifactsInput!$M$24)*CHOOSE(ArtifactsInput!$N$24+1,10,12,14,16,18,20)+IF(ArtifactsInput!$M$10,CHOOSE(ArtifactsInput!$N$10+1,15,18,21,24,27,30)*(IF(Inputs!$B$38="pvp",MIN(15,15)/15,IF(AND(Inputs!$B$38&lt;&gt;"pvp",Inputs!$B$43&gt;0),MIN(15,Inputs!$B$43)/(Inputs!$B$43),0))),0)))&gt;=100),CHOOSE(ArtifactsInput!$N$42+1,40,48,56,64,72,80),0))))/100)*((1+(((C2940=TRUE)*F2940)+((C2947=TRUE)*(F2947-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2932)</f>
        <v/>
      </c>
      <c r="L2932">
        <f>K2932*(MIN(Inputs!$B$22+((C2945=TRUE)*(F2945-Calc!F22)),(Inputs!$B$23+0+(IF(ArtifactsInput!$M$15,CHOOSE(ArtifactsInput!$N$15+1,25,30,35,40,45,50)/100*(Inputs!$B$11-Inputs!$B$11),0))))/100+(Inputs!$B$23+0+(IF(ArtifactsInput!$M$15,CHOOSE(ArtifactsInput!$N$15+1,25,30,35,40,45,50)/100*(Inputs!$B$11-Inputs!$B$11),0)))/100)/2</f>
        <v/>
      </c>
      <c r="M2932">
        <f>L2932*(1+(Inputs!$B$10+((C2948=TRUE)*(F2948-Calc!F25))+B2958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2">
        <f>L2932*(1-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2932*(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2">
        <f>(1-Summary!$B$11)*T2932+Summary!$B$11*V2932</f>
        <v/>
      </c>
      <c r="P2932">
        <f>IF(B2963=0,0,O2932/B2963)</f>
        <v/>
      </c>
      <c r="Q2932">
        <f>IFERROR(1/(IF(Inputs!$B$38="pvp",15,MAX(0.1,Skills!D9-IF(Skills!E9=TRUE,2.5,0)))*(1-IF(AND(ArtifactsInput!$M$27,Inputs!$B$4="Chapter Hunt"),CHOOSE(ArtifactsInput!$N$27+1,20,24,28,32,36,40),0)/100)),0)</f>
        <v/>
      </c>
      <c r="R2932">
        <f>IF(AND(Inputs!$B$38&lt;&gt;"pvp",Inputs!$B$43&gt;0),IF(MAX(0,Inputs!$B$43-B2960)&lt;=0,0,(INT(MAX(0,Inputs!$B$43-B2960)/(IF(Inputs!$B$38="pvp",15,MAX(0.1,Skills!D9-IF(Skills!E9=TRUE,2.5,0)))*(1-IF(AND(ArtifactsInput!$M$27,Inputs!$B$4="Chapter Hunt"),CHOOSE(ArtifactsInput!$N$27+1,20,24,28,32,36,40),0)/100)))+1)),0)</f>
        <v/>
      </c>
      <c r="S2932">
        <f>IFERROR(O2932/N2932,0)</f>
        <v/>
      </c>
      <c r="T2932">
        <f>IF(C2932,(H2932*N2932*IF(AND(Inputs!$B$38&lt;&gt;"pvp",Inputs!$B$43&gt;0),((Skills!G9*((R2932-1)*IF(Skills!H9&gt;0,Skills!I9/Skills!H9,1)+IF(Skills!H9&gt;0,MIN(Skills!I9,MAX(0,MAX(0,Inputs!$B$43-B2960)-((R2932-1)*(IF(Inputs!$B$38="pvp",15,MAX(0.1,Skills!D9-IF(Skills!E9=TRUE,2.5,0)))*(1-IF(AND(ArtifactsInput!$M$27,Inputs!$B$4="Chapter Hunt"),CHOOSE(ArtifactsInput!$N$27+1,20,24,28,32,36,40),0)/100)))))/Skills!H9,1)))/Inputs!$B$43),G2932*Q2932)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2932*(1-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2932*(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2932*(1-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2932*(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2">
        <f>IF(C2932,(H2932*N2932*IF(AND(Inputs!$B$38&lt;&gt;"pvp",Inputs!$B$43&gt;0),((Skills!G9*((R2932-1)*IF(Skills!H9&gt;0,Skills!I9/Skills!H9,1)+IF(Skills!H9&gt;0,MIN(Skills!I9,MAX(0,MAX(0,Inputs!$B$43-B2960)-((R2932-1)*(IF(Inputs!$B$38="pvp",15,MAX(0.1,Skills!D9-IF(Skills!E9=TRUE,2.5,0)))*(1-IF(AND(ArtifactsInput!$M$27,Inputs!$B$4="Chapter Hunt"),CHOOSE(ArtifactsInput!$N$27+1,20,24,28,32,36,40),0)/100)))))/Skills!H9,1)))/Inputs!$B$43),G2932*Q2932))*IF(Inputs!$B$38="pvp",1,(1+(Inputs!$B$21+Skills!Q9+(IF(ArtifactsInput!$M$33,CHOOSE(ArtifactsInput!$N$33+1,30,36,42,48,54,60)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3">
      <c r="A2933">
        <f>Skills!A10</f>
        <v/>
      </c>
      <c r="B2933">
        <f>Skills!B10</f>
        <v/>
      </c>
      <c r="C2933">
        <f>Inputs!$B$3&gt;=113</f>
        <v/>
      </c>
      <c r="D2933">
        <f>IF(Skills!C10=1,60+Inputs!$B$25+Inputs!$B$29,IF(Skills!C10=2,90+Inputs!$B$26+Inputs!$B$29,IF(Skills!C10=3,120+Inputs!$B$27+Inputs!$B$29,MAX(0,(Inputs!$B$3-100)*3)+Inputs!$B$28+Inputs!$B$29)))</f>
        <v/>
      </c>
      <c r="E2933">
        <f>INDEX(FactorTable!$B$2:$Y$301, MATCH(ROUND(MIN(300,MAX(1,D2933)),0), FactorTable!$A$2:$A$301,0), Skills!M10+1)</f>
        <v/>
      </c>
      <c r="F2933">
        <f>IF(Skills!N10=TRUE,(Skills!L10/10)*(E2933/1000),Skills!L10/10)+Skills!O10</f>
        <v/>
      </c>
      <c r="G2933">
        <f>Skills!G10*IF(Skills!H10&gt;0,Skills!I10/Skills!H10,1)</f>
        <v/>
      </c>
      <c r="H2933">
        <f>1-(1-Skills!J10/100)^Skills!K10</f>
        <v/>
      </c>
      <c r="I2933" t="inlineStr">
        <is>
          <t>1</t>
        </is>
      </c>
      <c r="J2933">
        <f>((Inputs!$B$6*(1+Inputs!$B$7/100))+(((Inputs!$B$12*(1+Inputs!$B$13/100))-(Inputs!$B$12*(1+Inputs!$B$13/100)))+0.25*(Inputs!$B$14-Inputs!$B$14))*(1+Inputs!$B$7/100))*(F2933/100)</f>
        <v/>
      </c>
      <c r="K2933">
        <f>J2933*(1+((Inputs!$B$12*(1+Inputs!$B$13/100))*0.01+Inputs!$B$14*0.0025)/100)*(1+Inputs!$B$15/100)*(1+Inputs!$B$16/100)*(5000/(6000+Inputs!$B$42*(1-(100*(1-(1-(Inputs!$B$19+0)/100)*(1-CHOOSE(ArtifactsInput!$N$40+1,5,6,7,8,9,10)/100)^(ArtifactsInput!$M$40-ArtifactsInput!$M$40)))/100)))*(1+(Inputs!$B$24+((C2949=TRUE)*(F2949-Calc!F26))+B2959)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2946=TRUE)*(F2946-Calc!F23))+((C2950=TRUE)*(F2950-Calc!F27))+(((IF(AND(ArtifactsInput!$M$42,((Inputs!$B$9+((C2942=TRUE)*(F2942-Calc!F19))+B2953+(ArtifactsInput!$M$24-ArtifactsInput!$M$24)*CHOOSE(ArtifactsInput!$N$24+1,10,12,14,16,18,20)+IF(ArtifactsInput!$M$10,CHOOSE(ArtifactsInput!$N$10+1,15,18,21,24,27,30)*(IF(Inputs!$B$38="pvp",MIN(15,15)/15,IF(AND(Inputs!$B$38&lt;&gt;"pvp",Inputs!$B$43&gt;0),MIN(15,Inputs!$B$43)/(Inputs!$B$43),0))),0)))&gt;=100),MIN(100,((Inputs!$B$9+((C2942=TRUE)*(F2942-Calc!F19))+B2953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2942=TRUE)*(F2942-Calc!F19))+B2953+(ArtifactsInput!$M$24-ArtifactsInput!$M$24)*CHOOSE(ArtifactsInput!$N$24+1,10,12,14,16,18,20)+IF(ArtifactsInput!$M$10,CHOOSE(ArtifactsInput!$N$10+1,15,18,21,24,27,30)*(IF(Inputs!$B$38="pvp",MIN(15,15)/15,IF(AND(Inputs!$B$38&lt;&gt;"pvp",Inputs!$B$43&gt;0),MIN(15,Inputs!$B$43)/(Inputs!$B$43),0))),0)))&gt;=100),CHOOSE(ArtifactsInput!$N$42+1,40,48,56,64,72,80),0))))/100)*((1+(((C2940=TRUE)*F2940)+((C2947=TRUE)*(F2947-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2933)</f>
        <v/>
      </c>
      <c r="L2933">
        <f>K2933*(MIN(Inputs!$B$22+((C2945=TRUE)*(F2945-Calc!F22)),(Inputs!$B$23+0+(IF(ArtifactsInput!$M$15,CHOOSE(ArtifactsInput!$N$15+1,25,30,35,40,45,50)/100*(Inputs!$B$11-Inputs!$B$11),0))))/100+(Inputs!$B$23+0+(IF(ArtifactsInput!$M$15,CHOOSE(ArtifactsInput!$N$15+1,25,30,35,40,45,50)/100*(Inputs!$B$11-Inputs!$B$11),0)))/100)/2</f>
        <v/>
      </c>
      <c r="M2933">
        <f>L2933*(1+(Inputs!$B$10+((C2948=TRUE)*(F2948-Calc!F25))+B2958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3">
        <f>L2933*(1-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2933*(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3">
        <f>(1-Summary!$B$11)*T2933+Summary!$B$11*V2933</f>
        <v/>
      </c>
      <c r="P2933">
        <f>IF(B2963=0,0,O2933/B2963)</f>
        <v/>
      </c>
      <c r="Q2933">
        <f>IFERROR(1/(IF(Inputs!$B$38="pvp",15,MAX(0.1,Skills!D10-IF(Skills!E10=TRUE,2.5,0)))*(1-IF(AND(ArtifactsInput!$M$27,Inputs!$B$4="Chapter Hunt"),CHOOSE(ArtifactsInput!$N$27+1,20,24,28,32,36,40),0)/100)),0)</f>
        <v/>
      </c>
      <c r="R2933">
        <f>IF(AND(Inputs!$B$38&lt;&gt;"pvp",Inputs!$B$43&gt;0),IF(MAX(0,Inputs!$B$43-B2960)&lt;=0,0,(INT(MAX(0,Inputs!$B$43-B2960)/(IF(Inputs!$B$38="pvp",15,MAX(0.1,Skills!D10-IF(Skills!E10=TRUE,2.5,0)))*(1-IF(AND(ArtifactsInput!$M$27,Inputs!$B$4="Chapter Hunt"),CHOOSE(ArtifactsInput!$N$27+1,20,24,28,32,36,40),0)/100)))+1)),0)</f>
        <v/>
      </c>
      <c r="S2933">
        <f>IFERROR(O2933/N2933,0)</f>
        <v/>
      </c>
      <c r="T2933">
        <f>IF(C2933,(H2933*N2933*IF(AND(Inputs!$B$38&lt;&gt;"pvp",Inputs!$B$43&gt;0),((Skills!G10*((R2933-1)*IF(Skills!H10&gt;0,Skills!I10/Skills!H10,1)+IF(Skills!H10&gt;0,MIN(Skills!I10,MAX(0,MAX(0,Inputs!$B$43-B2960)-((R2933-1)*(IF(Inputs!$B$38="pvp",15,MAX(0.1,Skills!D10-IF(Skills!E10=TRUE,2.5,0)))*(1-IF(AND(ArtifactsInput!$M$27,Inputs!$B$4="Chapter Hunt"),CHOOSE(ArtifactsInput!$N$27+1,20,24,28,32,36,40),0)/100)))))/Skills!H10,1)))/Inputs!$B$43),G2933*Q2933)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2933*(1-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2933*(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2933*(1-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2933*(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3">
        <f>IF(C2933,(H2933*N2933*IF(AND(Inputs!$B$38&lt;&gt;"pvp",Inputs!$B$43&gt;0),((Skills!G10*((R2933-1)*IF(Skills!H10&gt;0,Skills!I10/Skills!H10,1)+IF(Skills!H10&gt;0,MIN(Skills!I10,MAX(0,MAX(0,Inputs!$B$43-B2960)-((R2933-1)*(IF(Inputs!$B$38="pvp",15,MAX(0.1,Skills!D10-IF(Skills!E10=TRUE,2.5,0)))*(1-IF(AND(ArtifactsInput!$M$27,Inputs!$B$4="Chapter Hunt"),CHOOSE(ArtifactsInput!$N$27+1,20,24,28,32,36,40),0)/100)))))/Skills!H10,1)))/Inputs!$B$43),G2933*Q2933))*IF(Inputs!$B$38="pvp",1,(1+(Inputs!$B$21+Skills!Q10+(IF(ArtifactsInput!$M$33,CHOOSE(ArtifactsInput!$N$33+1,30,36,42,48,54,60)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4">
      <c r="A2934">
        <f>Skills!A11</f>
        <v/>
      </c>
      <c r="B2934">
        <f>Skills!B11</f>
        <v/>
      </c>
      <c r="C2934">
        <f>Inputs!$B$3&gt;=107</f>
        <v/>
      </c>
      <c r="D2934">
        <f>IF(Skills!C11=1,60+Inputs!$B$25+Inputs!$B$29,IF(Skills!C11=2,90+Inputs!$B$26+Inputs!$B$29,IF(Skills!C11=3,120+Inputs!$B$27+Inputs!$B$29,MAX(0,(Inputs!$B$3-100)*3)+Inputs!$B$28+Inputs!$B$29)))</f>
        <v/>
      </c>
      <c r="E2934">
        <f>INDEX(FactorTable!$B$2:$Y$301, MATCH(ROUND(MIN(300,MAX(1,D2934)),0), FactorTable!$A$2:$A$301,0), Skills!M11+1)</f>
        <v/>
      </c>
      <c r="F2934">
        <f>IF(Skills!N11=TRUE,(Skills!L11/10)*(E2934/1000),Skills!L11/10)+Skills!O11</f>
        <v/>
      </c>
      <c r="G2934">
        <f>Skills!G11*IF(Skills!H11&gt;0,Skills!I11/Skills!H11,1)</f>
        <v/>
      </c>
      <c r="H2934">
        <f>1-(1-Skills!J11/100)^Skills!K11</f>
        <v/>
      </c>
      <c r="I2934" t="inlineStr">
        <is>
          <t>1</t>
        </is>
      </c>
      <c r="J2934">
        <f>((Inputs!$B$6*(1+Inputs!$B$7/100))+(((Inputs!$B$12*(1+Inputs!$B$13/100))-(Inputs!$B$12*(1+Inputs!$B$13/100)))+0.25*(Inputs!$B$14-Inputs!$B$14))*(1+Inputs!$B$7/100))*(F2934/100)</f>
        <v/>
      </c>
      <c r="K2934">
        <f>J2934*(1+((Inputs!$B$12*(1+Inputs!$B$13/100))*0.01+Inputs!$B$14*0.0025)/100)*(1+Inputs!$B$15/100)*(1+Inputs!$B$16/100)*(5000/(6000+Inputs!$B$42*(1-(100*(1-(1-(Inputs!$B$19+0)/100)*(1-CHOOSE(ArtifactsInput!$N$40+1,5,6,7,8,9,10)/100)^(ArtifactsInput!$M$40-ArtifactsInput!$M$40)))/100)))*(1+(Inputs!$B$24+((C2949=TRUE)*(F2949-Calc!F26))+B2959)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2946=TRUE)*(F2946-Calc!F23))+((C2950=TRUE)*(F2950-Calc!F27))+(((IF(AND(ArtifactsInput!$M$42,((Inputs!$B$9+((C2942=TRUE)*(F2942-Calc!F19))+B2953+(ArtifactsInput!$M$24-ArtifactsInput!$M$24)*CHOOSE(ArtifactsInput!$N$24+1,10,12,14,16,18,20)+IF(ArtifactsInput!$M$10,CHOOSE(ArtifactsInput!$N$10+1,15,18,21,24,27,30)*(IF(Inputs!$B$38="pvp",MIN(15,15)/15,IF(AND(Inputs!$B$38&lt;&gt;"pvp",Inputs!$B$43&gt;0),MIN(15,Inputs!$B$43)/(Inputs!$B$43),0))),0)))&gt;=100),MIN(100,((Inputs!$B$9+((C2942=TRUE)*(F2942-Calc!F19))+B2953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2942=TRUE)*(F2942-Calc!F19))+B2953+(ArtifactsInput!$M$24-ArtifactsInput!$M$24)*CHOOSE(ArtifactsInput!$N$24+1,10,12,14,16,18,20)+IF(ArtifactsInput!$M$10,CHOOSE(ArtifactsInput!$N$10+1,15,18,21,24,27,30)*(IF(Inputs!$B$38="pvp",MIN(15,15)/15,IF(AND(Inputs!$B$38&lt;&gt;"pvp",Inputs!$B$43&gt;0),MIN(15,Inputs!$B$43)/(Inputs!$B$43),0))),0)))&gt;=100),CHOOSE(ArtifactsInput!$N$42+1,40,48,56,64,72,80),0))))/100)*((1+(((C2940=TRUE)*F2940)+((C2947=TRUE)*(F2947-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2934)</f>
        <v/>
      </c>
      <c r="L2934">
        <f>K2934*(MIN(Inputs!$B$22+((C2945=TRUE)*(F2945-Calc!F22)),(Inputs!$B$23+0+(IF(ArtifactsInput!$M$15,CHOOSE(ArtifactsInput!$N$15+1,25,30,35,40,45,50)/100*(Inputs!$B$11-Inputs!$B$11),0))))/100+(Inputs!$B$23+0+(IF(ArtifactsInput!$M$15,CHOOSE(ArtifactsInput!$N$15+1,25,30,35,40,45,50)/100*(Inputs!$B$11-Inputs!$B$11),0)))/100)/2</f>
        <v/>
      </c>
      <c r="M2934">
        <f>L2934*(1+(Inputs!$B$10+((C2948=TRUE)*(F2948-Calc!F25))+B2958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4">
        <f>L2934*(1-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2934*(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4">
        <f>(1-Summary!$B$11)*T2934+Summary!$B$11*V2934</f>
        <v/>
      </c>
      <c r="P2934">
        <f>IF(B2963=0,0,O2934/B2963)</f>
        <v/>
      </c>
      <c r="Q2934">
        <f>IFERROR(1/(IF(Inputs!$B$38="pvp",15,MAX(0.1,Skills!D11-IF(Skills!E11=TRUE,2.5,0)))*(1-IF(AND(ArtifactsInput!$M$27,Inputs!$B$4="Chapter Hunt"),CHOOSE(ArtifactsInput!$N$27+1,20,24,28,32,36,40),0)/100)),0)</f>
        <v/>
      </c>
      <c r="R2934">
        <f>IF(AND(Inputs!$B$38&lt;&gt;"pvp",Inputs!$B$43&gt;0),IF(MAX(0,Inputs!$B$43-B2960)&lt;=0,0,(INT(MAX(0,Inputs!$B$43-B2960)/(IF(Inputs!$B$38="pvp",15,MAX(0.1,Skills!D11-IF(Skills!E11=TRUE,2.5,0)))*(1-IF(AND(ArtifactsInput!$M$27,Inputs!$B$4="Chapter Hunt"),CHOOSE(ArtifactsInput!$N$27+1,20,24,28,32,36,40),0)/100)))+1)),0)</f>
        <v/>
      </c>
      <c r="S2934">
        <f>IFERROR(O2934/N2934,0)</f>
        <v/>
      </c>
      <c r="T2934">
        <f>IF(C2934,(H2934*N2934*IF(AND(Inputs!$B$38&lt;&gt;"pvp",Inputs!$B$43&gt;0),((Skills!G11*((R2934-1)*IF(Skills!H11&gt;0,Skills!I11/Skills!H11,1)+IF(Skills!H11&gt;0,MIN(Skills!I11,MAX(0,MAX(0,Inputs!$B$43-B2960)-((R2934-1)*(IF(Inputs!$B$38="pvp",15,MAX(0.1,Skills!D11-IF(Skills!E11=TRUE,2.5,0)))*(1-IF(AND(ArtifactsInput!$M$27,Inputs!$B$4="Chapter Hunt"),CHOOSE(ArtifactsInput!$N$27+1,20,24,28,32,36,40),0)/100)))))/Skills!H11,1)))/Inputs!$B$43),G2934*Q2934)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2934*(1-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2934*(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2934*(1-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2934*(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4">
        <f>IF(C2934,(H2934*N2934*IF(AND(Inputs!$B$38&lt;&gt;"pvp",Inputs!$B$43&gt;0),((Skills!G11*((R2934-1)*IF(Skills!H11&gt;0,Skills!I11/Skills!H11,1)+IF(Skills!H11&gt;0,MIN(Skills!I11,MAX(0,MAX(0,Inputs!$B$43-B2960)-((R2934-1)*(IF(Inputs!$B$38="pvp",15,MAX(0.1,Skills!D11-IF(Skills!E11=TRUE,2.5,0)))*(1-IF(AND(ArtifactsInput!$M$27,Inputs!$B$4="Chapter Hunt"),CHOOSE(ArtifactsInput!$N$27+1,20,24,28,32,36,40),0)/100)))))/Skills!H11,1)))/Inputs!$B$43),G2934*Q2934))*IF(Inputs!$B$38="pvp",1,(1+(Inputs!$B$21+Skills!Q11+(IF(ArtifactsInput!$M$33,CHOOSE(ArtifactsInput!$N$33+1,30,36,42,48,54,60)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5">
      <c r="A2935">
        <f>Skills!A12</f>
        <v/>
      </c>
      <c r="B2935">
        <f>Skills!B12</f>
        <v/>
      </c>
      <c r="C2935">
        <f>Inputs!$B$3&gt;=110</f>
        <v/>
      </c>
      <c r="D2935">
        <f>IF(Skills!C12=1,60+Inputs!$B$25+Inputs!$B$29,IF(Skills!C12=2,90+Inputs!$B$26+Inputs!$B$29,IF(Skills!C12=3,120+Inputs!$B$27+Inputs!$B$29,MAX(0,(Inputs!$B$3-100)*3)+Inputs!$B$28+Inputs!$B$29)))</f>
        <v/>
      </c>
      <c r="E2935">
        <f>INDEX(FactorTable!$B$2:$Y$301, MATCH(ROUND(MIN(300,MAX(1,D2935)),0), FactorTable!$A$2:$A$301,0), Skills!M12+1)</f>
        <v/>
      </c>
      <c r="F2935">
        <f>IF(Skills!N12=TRUE,(Skills!L12/10)*(E2935/1000),Skills!L12/10)+Skills!O12</f>
        <v/>
      </c>
      <c r="G2935">
        <f>Skills!G12*IF(Skills!H12&gt;0,Skills!I12/Skills!H12,1)</f>
        <v/>
      </c>
      <c r="H2935">
        <f>1-(1-Skills!J12/100)^Skills!K12</f>
        <v/>
      </c>
      <c r="I2935" t="inlineStr">
        <is>
          <t>1</t>
        </is>
      </c>
      <c r="J2935">
        <f>((Inputs!$B$6*(1+Inputs!$B$7/100))+(((Inputs!$B$12*(1+Inputs!$B$13/100))-(Inputs!$B$12*(1+Inputs!$B$13/100)))+0.25*(Inputs!$B$14-Inputs!$B$14))*(1+Inputs!$B$7/100))*(F2935/100)</f>
        <v/>
      </c>
      <c r="K2935">
        <f>J2935*(1+((Inputs!$B$12*(1+Inputs!$B$13/100))*0.01+Inputs!$B$14*0.0025)/100)*(1+Inputs!$B$15/100)*(1+Inputs!$B$16/100)*(5000/(6000+Inputs!$B$42*(1-(100*(1-(1-(Inputs!$B$19+0)/100)*(1-CHOOSE(ArtifactsInput!$N$40+1,5,6,7,8,9,10)/100)^(ArtifactsInput!$M$40-ArtifactsInput!$M$40)))/100)))*(1+(Inputs!$B$24+((C2949=TRUE)*(F2949-Calc!F26))+B2959)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2946=TRUE)*(F2946-Calc!F23))+((C2950=TRUE)*(F2950-Calc!F27))+(((IF(AND(ArtifactsInput!$M$42,((Inputs!$B$9+((C2942=TRUE)*(F2942-Calc!F19))+B2953+(ArtifactsInput!$M$24-ArtifactsInput!$M$24)*CHOOSE(ArtifactsInput!$N$24+1,10,12,14,16,18,20)+IF(ArtifactsInput!$M$10,CHOOSE(ArtifactsInput!$N$10+1,15,18,21,24,27,30)*(IF(Inputs!$B$38="pvp",MIN(15,15)/15,IF(AND(Inputs!$B$38&lt;&gt;"pvp",Inputs!$B$43&gt;0),MIN(15,Inputs!$B$43)/(Inputs!$B$43),0))),0)))&gt;=100),MIN(100,((Inputs!$B$9+((C2942=TRUE)*(F2942-Calc!F19))+B2953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2942=TRUE)*(F2942-Calc!F19))+B2953+(ArtifactsInput!$M$24-ArtifactsInput!$M$24)*CHOOSE(ArtifactsInput!$N$24+1,10,12,14,16,18,20)+IF(ArtifactsInput!$M$10,CHOOSE(ArtifactsInput!$N$10+1,15,18,21,24,27,30)*(IF(Inputs!$B$38="pvp",MIN(15,15)/15,IF(AND(Inputs!$B$38&lt;&gt;"pvp",Inputs!$B$43&gt;0),MIN(15,Inputs!$B$43)/(Inputs!$B$43),0))),0)))&gt;=100),CHOOSE(ArtifactsInput!$N$42+1,40,48,56,64,72,80),0))))/100)*((1+(((C2940=TRUE)*F2940)+((C2947=TRUE)*(F2947-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2935)</f>
        <v/>
      </c>
      <c r="L2935">
        <f>K2935*(MIN(Inputs!$B$22+((C2945=TRUE)*(F2945-Calc!F22)),(Inputs!$B$23+0+(IF(ArtifactsInput!$M$15,CHOOSE(ArtifactsInput!$N$15+1,25,30,35,40,45,50)/100*(Inputs!$B$11-Inputs!$B$11),0))))/100+(Inputs!$B$23+0+(IF(ArtifactsInput!$M$15,CHOOSE(ArtifactsInput!$N$15+1,25,30,35,40,45,50)/100*(Inputs!$B$11-Inputs!$B$11),0)))/100)/2</f>
        <v/>
      </c>
      <c r="M2935">
        <f>L2935*(1+(Inputs!$B$10+((C2948=TRUE)*(F2948-Calc!F25))+B2958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5">
        <f>L2935*(1-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2935*(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5">
        <f>(1-Summary!$B$11)*T2935+Summary!$B$11*V2935</f>
        <v/>
      </c>
      <c r="P2935">
        <f>IF(B2963=0,0,O2935/B2963)</f>
        <v/>
      </c>
      <c r="Q2935">
        <f>IFERROR(1/(IF(Inputs!$B$38="pvp",15,MAX(0.1,Skills!D12-IF(Skills!E12=TRUE,2.5,0)))*(1-IF(AND(ArtifactsInput!$M$27,Inputs!$B$4="Chapter Hunt"),CHOOSE(ArtifactsInput!$N$27+1,20,24,28,32,36,40),0)/100)),0)</f>
        <v/>
      </c>
      <c r="R2935">
        <f>IF(AND(Inputs!$B$38&lt;&gt;"pvp",Inputs!$B$43&gt;0),IF(MAX(0,Inputs!$B$43-B2960)&lt;=0,0,(INT(MAX(0,Inputs!$B$43-B2960)/(IF(Inputs!$B$38="pvp",15,MAX(0.1,Skills!D12-IF(Skills!E12=TRUE,2.5,0)))*(1-IF(AND(ArtifactsInput!$M$27,Inputs!$B$4="Chapter Hunt"),CHOOSE(ArtifactsInput!$N$27+1,20,24,28,32,36,40),0)/100)))+1)),0)</f>
        <v/>
      </c>
      <c r="S2935">
        <f>IFERROR(O2935/N2935,0)</f>
        <v/>
      </c>
      <c r="T2935">
        <f>IF(C2935,(H2935*N2935*IF(AND(Inputs!$B$38&lt;&gt;"pvp",Inputs!$B$43&gt;0),((Skills!G12*((R2935-1)*IF(Skills!H12&gt;0,Skills!I12/Skills!H12,1)+IF(Skills!H12&gt;0,MIN(Skills!I12,MAX(0,MAX(0,Inputs!$B$43-B2960)-((R2935-1)*(IF(Inputs!$B$38="pvp",15,MAX(0.1,Skills!D12-IF(Skills!E12=TRUE,2.5,0)))*(1-IF(AND(ArtifactsInput!$M$27,Inputs!$B$4="Chapter Hunt"),CHOOSE(ArtifactsInput!$N$27+1,20,24,28,32,36,40),0)/100)))))/Skills!H12,1)))/Inputs!$B$43),G2935*Q2935)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2935*(1-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2935*(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2935*(1-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2935*(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5">
        <f>IF(C2935,(H2935*N2935*IF(AND(Inputs!$B$38&lt;&gt;"pvp",Inputs!$B$43&gt;0),((Skills!G12*((R2935-1)*IF(Skills!H12&gt;0,Skills!I12/Skills!H12,1)+IF(Skills!H12&gt;0,MIN(Skills!I12,MAX(0,MAX(0,Inputs!$B$43-B2960)-((R2935-1)*(IF(Inputs!$B$38="pvp",15,MAX(0.1,Skills!D12-IF(Skills!E12=TRUE,2.5,0)))*(1-IF(AND(ArtifactsInput!$M$27,Inputs!$B$4="Chapter Hunt"),CHOOSE(ArtifactsInput!$N$27+1,20,24,28,32,36,40),0)/100)))))/Skills!H12,1)))/Inputs!$B$43),G2935*Q2935))*IF(Inputs!$B$38="pvp",1,(1+(Inputs!$B$21+Skills!Q12+(IF(ArtifactsInput!$M$33,CHOOSE(ArtifactsInput!$N$33+1,30,36,42,48,54,60)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6">
      <c r="A2936">
        <f>Skills!A13</f>
        <v/>
      </c>
      <c r="B2936">
        <f>Skills!B13</f>
        <v/>
      </c>
      <c r="C2936">
        <f>Inputs!$B$3&gt;=110</f>
        <v/>
      </c>
      <c r="D2936">
        <f>IF(Skills!C13=1,60+Inputs!$B$25+Inputs!$B$29,IF(Skills!C13=2,90+Inputs!$B$26+Inputs!$B$29,IF(Skills!C13=3,120+Inputs!$B$27+Inputs!$B$29,MAX(0,(Inputs!$B$3-100)*3)+Inputs!$B$28+Inputs!$B$29)))</f>
        <v/>
      </c>
      <c r="E2936">
        <f>INDEX(FactorTable!$B$2:$Y$301, MATCH(ROUND(MIN(300,MAX(1,D2936)),0), FactorTable!$A$2:$A$301,0), Skills!M13+1)</f>
        <v/>
      </c>
      <c r="F2936">
        <f>IF(Skills!N13=TRUE,(Skills!L13/10)*(E2936/1000),Skills!L13/10)+Skills!O13</f>
        <v/>
      </c>
      <c r="G2936">
        <f>Skills!G13*IF(Skills!H13&gt;0,Skills!I13/Skills!H13,1)</f>
        <v/>
      </c>
      <c r="H2936">
        <f>1-(1-Skills!J13/100)^Skills!K13</f>
        <v/>
      </c>
      <c r="I2936" t="inlineStr">
        <is>
          <t>1</t>
        </is>
      </c>
      <c r="J2936">
        <f>((Inputs!$B$6*(1+Inputs!$B$7/100))+(((Inputs!$B$12*(1+Inputs!$B$13/100))-(Inputs!$B$12*(1+Inputs!$B$13/100)))+0.25*(Inputs!$B$14-Inputs!$B$14))*(1+Inputs!$B$7/100))*(F2936/100)</f>
        <v/>
      </c>
      <c r="K2936">
        <f>J2936*(1+((Inputs!$B$12*(1+Inputs!$B$13/100))*0.01+Inputs!$B$14*0.0025)/100)*(1+Inputs!$B$15/100)*(1+Inputs!$B$16/100)*(5000/(6000+Inputs!$B$42*(1-(100*(1-(1-(Inputs!$B$19+0)/100)*(1-CHOOSE(ArtifactsInput!$N$40+1,5,6,7,8,9,10)/100)^(ArtifactsInput!$M$40-ArtifactsInput!$M$40)))/100)))*(1+(Inputs!$B$24+((C2949=TRUE)*(F2949-Calc!F26))+B2959)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2946=TRUE)*(F2946-Calc!F23))+((C2950=TRUE)*(F2950-Calc!F27))+(((IF(AND(ArtifactsInput!$M$42,((Inputs!$B$9+((C2942=TRUE)*(F2942-Calc!F19))+B2953+(ArtifactsInput!$M$24-ArtifactsInput!$M$24)*CHOOSE(ArtifactsInput!$N$24+1,10,12,14,16,18,20)+IF(ArtifactsInput!$M$10,CHOOSE(ArtifactsInput!$N$10+1,15,18,21,24,27,30)*(IF(Inputs!$B$38="pvp",MIN(15,15)/15,IF(AND(Inputs!$B$38&lt;&gt;"pvp",Inputs!$B$43&gt;0),MIN(15,Inputs!$B$43)/(Inputs!$B$43),0))),0)))&gt;=100),MIN(100,((Inputs!$B$9+((C2942=TRUE)*(F2942-Calc!F19))+B2953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2942=TRUE)*(F2942-Calc!F19))+B2953+(ArtifactsInput!$M$24-ArtifactsInput!$M$24)*CHOOSE(ArtifactsInput!$N$24+1,10,12,14,16,18,20)+IF(ArtifactsInput!$M$10,CHOOSE(ArtifactsInput!$N$10+1,15,18,21,24,27,30)*(IF(Inputs!$B$38="pvp",MIN(15,15)/15,IF(AND(Inputs!$B$38&lt;&gt;"pvp",Inputs!$B$43&gt;0),MIN(15,Inputs!$B$43)/(Inputs!$B$43),0))),0)))&gt;=100),CHOOSE(ArtifactsInput!$N$42+1,40,48,56,64,72,80),0))))/100)*((1+(((C2940=TRUE)*F2940)+((C2947=TRUE)*(F2947-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2936)</f>
        <v/>
      </c>
      <c r="L2936">
        <f>K2936*(MIN(Inputs!$B$22+((C2945=TRUE)*(F2945-Calc!F22)),(Inputs!$B$23+0+(IF(ArtifactsInput!$M$15,CHOOSE(ArtifactsInput!$N$15+1,25,30,35,40,45,50)/100*(Inputs!$B$11-Inputs!$B$11),0))))/100+(Inputs!$B$23+0+(IF(ArtifactsInput!$M$15,CHOOSE(ArtifactsInput!$N$15+1,25,30,35,40,45,50)/100*(Inputs!$B$11-Inputs!$B$11),0)))/100)/2</f>
        <v/>
      </c>
      <c r="M2936">
        <f>L2936*(1+(Inputs!$B$10+((C2948=TRUE)*(F2948-Calc!F25))+B2958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6">
        <f>L2936*(1-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2936*(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6">
        <f>(1-Summary!$B$11)*T2936+Summary!$B$11*V2936</f>
        <v/>
      </c>
      <c r="P2936">
        <f>IF(B2963=0,0,O2936/B2963)</f>
        <v/>
      </c>
      <c r="Q2936">
        <f>IFERROR(1/(IF(Inputs!$B$38="pvp",15,MAX(0.1,Skills!D13-IF(Skills!E13=TRUE,2.5,0)))*(1-IF(AND(ArtifactsInput!$M$27,Inputs!$B$4="Chapter Hunt"),CHOOSE(ArtifactsInput!$N$27+1,20,24,28,32,36,40),0)/100)),0)</f>
        <v/>
      </c>
      <c r="R2936">
        <f>IF(AND(Inputs!$B$38&lt;&gt;"pvp",Inputs!$B$43&gt;0),IF(MAX(0,Inputs!$B$43-B2960)&lt;=0,0,(INT(MAX(0,Inputs!$B$43-B2960)/(IF(Inputs!$B$38="pvp",15,MAX(0.1,Skills!D13-IF(Skills!E13=TRUE,2.5,0)))*(1-IF(AND(ArtifactsInput!$M$27,Inputs!$B$4="Chapter Hunt"),CHOOSE(ArtifactsInput!$N$27+1,20,24,28,32,36,40),0)/100)))+1)),0)</f>
        <v/>
      </c>
      <c r="S2936">
        <f>IFERROR(O2936/N2936,0)</f>
        <v/>
      </c>
      <c r="T2936">
        <f>IF(C2936,(H2936*N2936*IF(AND(Inputs!$B$38&lt;&gt;"pvp",Inputs!$B$43&gt;0),((Skills!G13*((R2936-1)*IF(Skills!H13&gt;0,Skills!I13/Skills!H13,1)+IF(Skills!H13&gt;0,MIN(Skills!I13,MAX(0,MAX(0,Inputs!$B$43-B2960)-((R2936-1)*(IF(Inputs!$B$38="pvp",15,MAX(0.1,Skills!D13-IF(Skills!E13=TRUE,2.5,0)))*(1-IF(AND(ArtifactsInput!$M$27,Inputs!$B$4="Chapter Hunt"),CHOOSE(ArtifactsInput!$N$27+1,20,24,28,32,36,40),0)/100)))))/Skills!H13,1)))/Inputs!$B$43),G2936*Q2936)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2936*(1-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2936*(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2936*(1-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2936*(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6">
        <f>IF(C2936,(H2936*N2936*IF(AND(Inputs!$B$38&lt;&gt;"pvp",Inputs!$B$43&gt;0),((Skills!G13*((R2936-1)*IF(Skills!H13&gt;0,Skills!I13/Skills!H13,1)+IF(Skills!H13&gt;0,MIN(Skills!I13,MAX(0,MAX(0,Inputs!$B$43-B2960)-((R2936-1)*(IF(Inputs!$B$38="pvp",15,MAX(0.1,Skills!D13-IF(Skills!E13=TRUE,2.5,0)))*(1-IF(AND(ArtifactsInput!$M$27,Inputs!$B$4="Chapter Hunt"),CHOOSE(ArtifactsInput!$N$27+1,20,24,28,32,36,40),0)/100)))))/Skills!H13,1)))/Inputs!$B$43),G2936*Q2936))*IF(Inputs!$B$38="pvp",1,(1+(Inputs!$B$21+Skills!Q13+(IF(ArtifactsInput!$M$33,CHOOSE(ArtifactsInput!$N$33+1,30,36,42,48,54,60)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7">
      <c r="A2937">
        <f>Skills!A14</f>
        <v/>
      </c>
      <c r="B2937">
        <f>Skills!B14</f>
        <v/>
      </c>
      <c r="C2937">
        <f>Inputs!$B$3&gt;=125</f>
        <v/>
      </c>
      <c r="D2937">
        <f>IF(Skills!C14=1,60+Inputs!$B$25+Inputs!$B$29,IF(Skills!C14=2,90+Inputs!$B$26+Inputs!$B$29,IF(Skills!C14=3,120+Inputs!$B$27+Inputs!$B$29,MAX(0,(Inputs!$B$3-100)*3)+Inputs!$B$28+Inputs!$B$29)))</f>
        <v/>
      </c>
      <c r="E2937">
        <f>INDEX(FactorTable!$B$2:$Y$301, MATCH(ROUND(MIN(300,MAX(1,D2937)),0), FactorTable!$A$2:$A$301,0), Skills!M14+1)</f>
        <v/>
      </c>
      <c r="F2937">
        <f>IF(Skills!N14=TRUE,(Skills!L14/10)*(E2937/1000),Skills!L14/10)+Skills!O14</f>
        <v/>
      </c>
      <c r="G2937">
        <f>Skills!G14*IF(Skills!H14&gt;0,Skills!I14/Skills!H14,1)</f>
        <v/>
      </c>
      <c r="H2937">
        <f>1-(1-Skills!J14/100)^Skills!K14</f>
        <v/>
      </c>
      <c r="I2937" t="inlineStr">
        <is>
          <t>1</t>
        </is>
      </c>
      <c r="J2937">
        <f>((Inputs!$B$6*(1+Inputs!$B$7/100))+(((Inputs!$B$12*(1+Inputs!$B$13/100))-(Inputs!$B$12*(1+Inputs!$B$13/100)))+0.25*(Inputs!$B$14-Inputs!$B$14))*(1+Inputs!$B$7/100))*(F2937/100)</f>
        <v/>
      </c>
      <c r="K2937">
        <f>J2937*(1+((Inputs!$B$12*(1+Inputs!$B$13/100))*0.01+Inputs!$B$14*0.0025)/100)*(1+Inputs!$B$15/100)*(1+Inputs!$B$16/100)*(5000/(6000+Inputs!$B$42*(1-(100*(1-(1-(Inputs!$B$19+0)/100)*(1-CHOOSE(ArtifactsInput!$N$40+1,5,6,7,8,9,10)/100)^(ArtifactsInput!$M$40-ArtifactsInput!$M$40)))/100)))*(1+(Inputs!$B$24+((C2949=TRUE)*(F2949-Calc!F26))+B2959)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2946=TRUE)*(F2946-Calc!F23))+((C2950=TRUE)*(F2950-Calc!F27))+(((IF(AND(ArtifactsInput!$M$42,((Inputs!$B$9+((C2942=TRUE)*(F2942-Calc!F19))+B2953+(ArtifactsInput!$M$24-ArtifactsInput!$M$24)*CHOOSE(ArtifactsInput!$N$24+1,10,12,14,16,18,20)+IF(ArtifactsInput!$M$10,CHOOSE(ArtifactsInput!$N$10+1,15,18,21,24,27,30)*(IF(Inputs!$B$38="pvp",MIN(15,15)/15,IF(AND(Inputs!$B$38&lt;&gt;"pvp",Inputs!$B$43&gt;0),MIN(15,Inputs!$B$43)/(Inputs!$B$43),0))),0)))&gt;=100),MIN(100,((Inputs!$B$9+((C2942=TRUE)*(F2942-Calc!F19))+B2953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2942=TRUE)*(F2942-Calc!F19))+B2953+(ArtifactsInput!$M$24-ArtifactsInput!$M$24)*CHOOSE(ArtifactsInput!$N$24+1,10,12,14,16,18,20)+IF(ArtifactsInput!$M$10,CHOOSE(ArtifactsInput!$N$10+1,15,18,21,24,27,30)*(IF(Inputs!$B$38="pvp",MIN(15,15)/15,IF(AND(Inputs!$B$38&lt;&gt;"pvp",Inputs!$B$43&gt;0),MIN(15,Inputs!$B$43)/(Inputs!$B$43),0))),0)))&gt;=100),CHOOSE(ArtifactsInput!$N$42+1,40,48,56,64,72,80),0))))/100)*((1+(((C2940=TRUE)*F2940)+((C2947=TRUE)*(F2947-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2937)</f>
        <v/>
      </c>
      <c r="L2937">
        <f>K2937*(MIN(Inputs!$B$22+((C2945=TRUE)*(F2945-Calc!F22)),(Inputs!$B$23+0+(IF(ArtifactsInput!$M$15,CHOOSE(ArtifactsInput!$N$15+1,25,30,35,40,45,50)/100*(Inputs!$B$11-Inputs!$B$11),0))))/100+(Inputs!$B$23+0+(IF(ArtifactsInput!$M$15,CHOOSE(ArtifactsInput!$N$15+1,25,30,35,40,45,50)/100*(Inputs!$B$11-Inputs!$B$11),0)))/100)/2</f>
        <v/>
      </c>
      <c r="M2937">
        <f>L2937*(1+(Inputs!$B$10+((C2948=TRUE)*(F2948-Calc!F25))+B2958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7">
        <f>L2937*(1-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2937*(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7">
        <f>(1-Summary!$B$11)*T2937+Summary!$B$11*V2937</f>
        <v/>
      </c>
      <c r="P2937">
        <f>IF(B2963=0,0,O2937/B2963)</f>
        <v/>
      </c>
      <c r="Q2937" t="n">
        <v>0</v>
      </c>
      <c r="R2937" t="n">
        <v>0</v>
      </c>
      <c r="S2937">
        <f>IFERROR(O2937/N2937,0)</f>
        <v/>
      </c>
      <c r="T2937">
        <f>IF(C2937,(H2937*N2937*(B2957+IF(AND(Inputs!$B$38&lt;&gt;"pvp",Inputs!$B$43&gt;0),((Skills!G8*((R2931-1)*IF(Skills!H8&gt;0,Skills!I8/Skills!H8,1)+IF(Skills!H8&gt;0,MIN(Skills!I8,MAX(0,MAX(0,Inputs!$B$43-B2960)-((R2931-1)*(IF(Inputs!$B$38="pvp",15,MAX(0.1,Skills!D8-IF(Skills!E8=TRUE,2.5,0)))*(1-IF(AND(ArtifactsInput!$M$27,Inputs!$B$4="Chapter Hunt"),CHOOSE(ArtifactsInput!$N$27+1,20,24,28,32,36,40),0)/100)))))/Skills!H8,1)))/Inputs!$B$43),G2931*Q2931)+IF(AND(Inputs!$B$38&lt;&gt;"pvp",Inputs!$B$43&gt;0),((Skills!G11*((R2934-1)*IF(Skills!H11&gt;0,Skills!I11/Skills!H11,1)+IF(Skills!H11&gt;0,MIN(Skills!I11,MAX(0,MAX(0,Inputs!$B$43-B2960)-((R2934-1)*(IF(Inputs!$B$38="pvp",15,MAX(0.1,Skills!D11-IF(Skills!E11=TRUE,2.5,0)))*(1-IF(AND(ArtifactsInput!$M$27,Inputs!$B$4="Chapter Hunt"),CHOOSE(ArtifactsInput!$N$27+1,20,24,28,32,36,40),0)/100)))))/Skills!H11,1)))/Inputs!$B$43),G2934*Q2934)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2937*(1-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2937*(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2937*(1-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2937*(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7">
        <f>IF(C2937,(H2937*N2937*(B2957+IF(AND(Inputs!$B$38&lt;&gt;"pvp",Inputs!$B$43&gt;0),((Skills!G8*((R2931-1)*IF(Skills!H8&gt;0,Skills!I8/Skills!H8,1)+IF(Skills!H8&gt;0,MIN(Skills!I8,MAX(0,MAX(0,Inputs!$B$43-B2960)-((R2931-1)*(IF(Inputs!$B$38="pvp",15,MAX(0.1,Skills!D8-IF(Skills!E8=TRUE,2.5,0)))*(1-IF(AND(ArtifactsInput!$M$27,Inputs!$B$4="Chapter Hunt"),CHOOSE(ArtifactsInput!$N$27+1,20,24,28,32,36,40),0)/100)))))/Skills!H8,1)))/Inputs!$B$43),G2931*Q2931)+IF(AND(Inputs!$B$38&lt;&gt;"pvp",Inputs!$B$43&gt;0),((Skills!G11*((R2934-1)*IF(Skills!H11&gt;0,Skills!I11/Skills!H11,1)+IF(Skills!H11&gt;0,MIN(Skills!I11,MAX(0,MAX(0,Inputs!$B$43-B2960)-((R2934-1)*(IF(Inputs!$B$38="pvp",15,MAX(0.1,Skills!D11-IF(Skills!E11=TRUE,2.5,0)))*(1-IF(AND(ArtifactsInput!$M$27,Inputs!$B$4="Chapter Hunt"),CHOOSE(ArtifactsInput!$N$27+1,20,24,28,32,36,40),0)/100)))))/Skills!H11,1)))/Inputs!$B$43),G2934*Q2934)))*IF(Inputs!$B$38="pvp",1,(1+(Inputs!$B$21+Skills!Q14+(IF(ArtifactsInput!$M$33,CHOOSE(ArtifactsInput!$N$33+1,30,36,42,48,54,60)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8">
      <c r="A2938">
        <f>Skills!A15</f>
        <v/>
      </c>
      <c r="B2938">
        <f>Skills!B15</f>
        <v/>
      </c>
      <c r="C2938">
        <f>Inputs!$B$3&gt;=100</f>
        <v/>
      </c>
      <c r="D2938">
        <f>IF(Skills!C15=1,60+Inputs!$B$25+Inputs!$B$29,IF(Skills!C15=2,90+Inputs!$B$26+Inputs!$B$29,IF(Skills!C15=3,120+Inputs!$B$27+Inputs!$B$29,MAX(0,(Inputs!$B$3-100)*3)+Inputs!$B$28+Inputs!$B$29)))</f>
        <v/>
      </c>
      <c r="E2938">
        <f>INDEX(FactorTable!$B$2:$Y$301, MATCH(ROUND(MIN(300,MAX(1,D2938)),0), FactorTable!$A$2:$A$301,0), Skills!M15+1)</f>
        <v/>
      </c>
      <c r="F2938">
        <f>IF(Skills!N15=TRUE,(Skills!L15/10)*(E2938/1000),Skills!L15/10)+Skills!O15</f>
        <v/>
      </c>
      <c r="G2938" t="inlineStr"/>
      <c r="H2938" t="inlineStr"/>
      <c r="I2938" t="inlineStr">
        <is>
          <t>1</t>
        </is>
      </c>
      <c r="J2938" t="inlineStr"/>
      <c r="K2938" t="inlineStr"/>
      <c r="L2938" t="inlineStr"/>
      <c r="M2938" t="inlineStr"/>
      <c r="N2938" t="inlineStr"/>
      <c r="O2938" t="inlineStr"/>
      <c r="P2938" t="inlineStr"/>
      <c r="Q2938" t="inlineStr"/>
      <c r="R2938" t="inlineStr"/>
      <c r="S2938" t="inlineStr"/>
    </row>
    <row r="2939">
      <c r="A2939">
        <f>Skills!A16</f>
        <v/>
      </c>
      <c r="B2939">
        <f>Skills!B16</f>
        <v/>
      </c>
      <c r="C2939">
        <f>Inputs!$B$3&gt;=120</f>
        <v/>
      </c>
      <c r="D2939">
        <f>IF(Skills!C16=1,60+Inputs!$B$25+Inputs!$B$29,IF(Skills!C16=2,90+Inputs!$B$26+Inputs!$B$29,IF(Skills!C16=3,120+Inputs!$B$27+Inputs!$B$29,MAX(0,(Inputs!$B$3-100)*3)+Inputs!$B$28+Inputs!$B$29)))</f>
        <v/>
      </c>
      <c r="E2939">
        <f>INDEX(FactorTable!$B$2:$Y$301, MATCH(ROUND(MIN(300,MAX(1,D2939)),0), FactorTable!$A$2:$A$301,0), Skills!M16+1)</f>
        <v/>
      </c>
      <c r="F2939">
        <f>IF(Skills!N16=TRUE,(Skills!L16/10)*(E2939/1000),Skills!L16/10)+Skills!O16</f>
        <v/>
      </c>
      <c r="G2939" t="inlineStr"/>
      <c r="H2939" t="inlineStr"/>
      <c r="I2939" t="inlineStr">
        <is>
          <t>1</t>
        </is>
      </c>
      <c r="J2939" t="inlineStr"/>
      <c r="K2939" t="inlineStr"/>
      <c r="L2939" t="inlineStr"/>
      <c r="M2939" t="inlineStr"/>
      <c r="N2939" t="inlineStr"/>
      <c r="O2939" t="inlineStr"/>
      <c r="P2939" t="inlineStr"/>
      <c r="Q2939" t="inlineStr"/>
      <c r="R2939" t="inlineStr"/>
      <c r="S2939" t="inlineStr"/>
    </row>
    <row r="2940">
      <c r="A2940">
        <f>Skills!A17</f>
        <v/>
      </c>
      <c r="B2940">
        <f>Skills!B17</f>
        <v/>
      </c>
      <c r="C2940">
        <f>Inputs!$B$3&gt;=66</f>
        <v/>
      </c>
      <c r="D2940">
        <f>IF(Skills!C17=1,60+Inputs!$B$25+Inputs!$B$29,IF(Skills!C17=2,90+Inputs!$B$26+Inputs!$B$29,IF(Skills!C17=3,120+Inputs!$B$27+Inputs!$B$29,MAX(0,(Inputs!$B$3-100)*3)+Inputs!$B$28+Inputs!$B$29)))</f>
        <v/>
      </c>
      <c r="E2940">
        <f>INDEX(FactorTable!$B$2:$Y$301, MATCH(ROUND(MIN(300,MAX(1,D2940)),0), FactorTable!$A$2:$A$301,0), Skills!M17+1)</f>
        <v/>
      </c>
      <c r="F2940">
        <f>IF(Skills!N17=TRUE,(Skills!L17/10)*(E2940/1000),Skills!L17/10)+Skills!O17</f>
        <v/>
      </c>
      <c r="G2940">
        <f>Skills!G17*IF(Skills!H17&gt;0,Skills!I17/Skills!H17,1)</f>
        <v/>
      </c>
      <c r="H2940">
        <f>1-(1-Skills!J17/100)^Skills!K17</f>
        <v/>
      </c>
      <c r="I2940" t="inlineStr">
        <is>
          <t>1</t>
        </is>
      </c>
      <c r="J2940" t="inlineStr"/>
      <c r="K2940" t="inlineStr"/>
      <c r="L2940" t="inlineStr"/>
      <c r="M2940" t="inlineStr"/>
      <c r="N2940" t="inlineStr"/>
      <c r="O2940">
        <f>(1-Summary!$B$11)*T2940+Summary!$B$11*V2940</f>
        <v/>
      </c>
      <c r="P2940">
        <f>IF(B2963=0,0,O2940/B2963)</f>
        <v/>
      </c>
      <c r="Q2940" t="n">
        <v>0</v>
      </c>
      <c r="R2940" t="n">
        <v>0</v>
      </c>
      <c r="S2940">
        <f>IFERROR(O2940/N2940,0)</f>
        <v/>
      </c>
      <c r="T2940" t="n">
        <v>0</v>
      </c>
      <c r="V2940" t="n">
        <v>0</v>
      </c>
    </row>
    <row r="2941">
      <c r="A2941">
        <f>Skills!A18</f>
        <v/>
      </c>
      <c r="B2941">
        <f>Skills!B18</f>
        <v/>
      </c>
      <c r="C2941">
        <f>Inputs!$B$3&gt;=115</f>
        <v/>
      </c>
      <c r="D2941">
        <f>IF(Skills!C18=1,60+Inputs!$B$25+Inputs!$B$29,IF(Skills!C18=2,90+Inputs!$B$26+Inputs!$B$29,IF(Skills!C18=3,120+Inputs!$B$27+Inputs!$B$29,MAX(0,(Inputs!$B$3-100)*3)+Inputs!$B$28+Inputs!$B$29)))</f>
        <v/>
      </c>
      <c r="E2941">
        <f>INDEX(FactorTable!$B$2:$Y$301, MATCH(ROUND(MIN(300,MAX(1,D2941)),0), FactorTable!$A$2:$A$301,0), Skills!M18+1)</f>
        <v/>
      </c>
      <c r="F2941">
        <f>IF(Skills!N18=TRUE,(Skills!L18/10)*(E2941/1000),Skills!L18/10)+Skills!O18</f>
        <v/>
      </c>
      <c r="G2941">
        <f>Skills!G18*IF(Skills!H18&gt;0,Skills!I18/Skills!H18,1)</f>
        <v/>
      </c>
      <c r="H2941">
        <f>1-(1-Skills!J18/100)^Skills!K18</f>
        <v/>
      </c>
      <c r="I2941" t="inlineStr">
        <is>
          <t>1</t>
        </is>
      </c>
      <c r="J2941" t="inlineStr"/>
      <c r="K2941" t="inlineStr"/>
      <c r="L2941" t="inlineStr"/>
      <c r="M2941" t="inlineStr"/>
      <c r="N2941" t="inlineStr"/>
      <c r="O2941">
        <f>(1-Summary!$B$11)*T2941+Summary!$B$11*V2941</f>
        <v/>
      </c>
      <c r="P2941">
        <f>IF(B2963=0,0,O2941/B2963)</f>
        <v/>
      </c>
      <c r="Q2941" t="n">
        <v>0</v>
      </c>
      <c r="R2941" t="n">
        <v>0</v>
      </c>
      <c r="S2941">
        <f>IFERROR(O2941/N2941,0)</f>
        <v/>
      </c>
      <c r="T2941" t="n">
        <v>0</v>
      </c>
      <c r="V2941" t="n">
        <v>0</v>
      </c>
    </row>
    <row r="2942">
      <c r="A2942">
        <f>Skills!A19</f>
        <v/>
      </c>
      <c r="B2942">
        <f>Skills!B19</f>
        <v/>
      </c>
      <c r="C2942">
        <f>Inputs!$B$3&gt;=15</f>
        <v/>
      </c>
      <c r="D2942">
        <f>IF(Skills!C19=1,60+Inputs!$B$25+Inputs!$B$29,IF(Skills!C19=2,90+Inputs!$B$26+Inputs!$B$29,IF(Skills!C19=3,120+Inputs!$B$27+Inputs!$B$29,MAX(0,(Inputs!$B$3-100)*3)+Inputs!$B$28+Inputs!$B$29)))</f>
        <v/>
      </c>
      <c r="E2942">
        <f>INDEX(FactorTable!$B$2:$Y$301, MATCH(ROUND(MIN(300,MAX(1,D2942)),0), FactorTable!$A$2:$A$301,0), Skills!M19+1)</f>
        <v/>
      </c>
      <c r="F2942">
        <f>IF(Skills!N19=TRUE,(Skills!L19/10)*(E2942/1000),Skills!L19/10)+Skills!O19</f>
        <v/>
      </c>
      <c r="G2942">
        <f>Skills!G19*IF(Skills!H19&gt;0,Skills!I19/Skills!H19,1)</f>
        <v/>
      </c>
      <c r="H2942">
        <f>1-(1-Skills!J19/100)^Skills!K19</f>
        <v/>
      </c>
      <c r="I2942" t="inlineStr">
        <is>
          <t>1</t>
        </is>
      </c>
      <c r="J2942" t="inlineStr"/>
      <c r="K2942" t="inlineStr"/>
      <c r="L2942" t="inlineStr"/>
      <c r="M2942" t="inlineStr"/>
      <c r="N2942" t="inlineStr"/>
      <c r="O2942">
        <f>(1-Summary!$B$11)*T2942+Summary!$B$11*V2942</f>
        <v/>
      </c>
      <c r="P2942">
        <f>IF(B2963=0,0,O2942/B2963)</f>
        <v/>
      </c>
      <c r="Q2942" t="n">
        <v>0</v>
      </c>
      <c r="R2942" t="n">
        <v>0</v>
      </c>
      <c r="S2942">
        <f>IFERROR(O2942/N2942,0)</f>
        <v/>
      </c>
      <c r="T2942" t="n">
        <v>0</v>
      </c>
      <c r="V2942" t="n">
        <v>0</v>
      </c>
    </row>
    <row r="2943">
      <c r="A2943">
        <f>Skills!A20</f>
        <v/>
      </c>
      <c r="B2943">
        <f>Skills!B20</f>
        <v/>
      </c>
      <c r="C2943">
        <f>Inputs!$B$3&gt;=10</f>
        <v/>
      </c>
      <c r="D2943">
        <f>IF(Skills!C20=1,60+Inputs!$B$25+Inputs!$B$29,IF(Skills!C20=2,90+Inputs!$B$26+Inputs!$B$29,IF(Skills!C20=3,120+Inputs!$B$27+Inputs!$B$29,MAX(0,(Inputs!$B$3-100)*3)+Inputs!$B$28+Inputs!$B$29)))</f>
        <v/>
      </c>
      <c r="E2943">
        <f>INDEX(FactorTable!$B$2:$Y$301, MATCH(ROUND(MIN(300,MAX(1,D2943)),0), FactorTable!$A$2:$A$301,0), Skills!M20+1)</f>
        <v/>
      </c>
      <c r="F2943">
        <f>IF(Skills!N20=TRUE,(Skills!L20/10)*(E2943/1000),Skills!L20/10)+Skills!O20</f>
        <v/>
      </c>
      <c r="G2943">
        <f>Skills!G20*IF(Skills!H20&gt;0,Skills!I20/Skills!H20,1)</f>
        <v/>
      </c>
      <c r="H2943">
        <f>1-(1-Skills!J20/100)^Skills!K20</f>
        <v/>
      </c>
      <c r="I2943" t="inlineStr">
        <is>
          <t>1</t>
        </is>
      </c>
      <c r="J2943" t="inlineStr"/>
      <c r="K2943" t="inlineStr"/>
      <c r="L2943" t="inlineStr"/>
      <c r="M2943" t="inlineStr"/>
      <c r="N2943" t="inlineStr"/>
      <c r="O2943">
        <f>(1-Summary!$B$11)*T2943+Summary!$B$11*V2943</f>
        <v/>
      </c>
      <c r="P2943">
        <f>IF(B2963=0,0,O2943/B2963)</f>
        <v/>
      </c>
      <c r="Q2943" t="n">
        <v>0</v>
      </c>
      <c r="R2943" t="n">
        <v>0</v>
      </c>
      <c r="S2943">
        <f>IFERROR(O2943/N2943,0)</f>
        <v/>
      </c>
      <c r="T2943" t="n">
        <v>0</v>
      </c>
      <c r="V2943" t="n">
        <v>0</v>
      </c>
    </row>
    <row r="2944">
      <c r="A2944">
        <f>Skills!A21</f>
        <v/>
      </c>
      <c r="B2944">
        <f>Skills!B21</f>
        <v/>
      </c>
      <c r="C2944">
        <f>Inputs!$B$3&gt;=33</f>
        <v/>
      </c>
      <c r="D2944">
        <f>IF(Skills!C21=1,60+Inputs!$B$25+Inputs!$B$29,IF(Skills!C21=2,90+Inputs!$B$26+Inputs!$B$29,IF(Skills!C21=3,120+Inputs!$B$27+Inputs!$B$29,MAX(0,(Inputs!$B$3-100)*3)+Inputs!$B$28+Inputs!$B$29)))</f>
        <v/>
      </c>
      <c r="E2944">
        <f>INDEX(FactorTable!$B$2:$Y$301, MATCH(ROUND(MIN(300,MAX(1,D2944)),0), FactorTable!$A$2:$A$301,0), Skills!M21+1)</f>
        <v/>
      </c>
      <c r="F2944">
        <f>IF(Skills!N21=TRUE,(Skills!L21/10)*(E2944/1000),Skills!L21/10)+Skills!O21</f>
        <v/>
      </c>
      <c r="G2944">
        <f>Skills!G21*IF(Skills!H21&gt;0,Skills!I21/Skills!H21,1)</f>
        <v/>
      </c>
      <c r="H2944">
        <f>1-(1-Skills!J21/100)^Skills!K21</f>
        <v/>
      </c>
      <c r="I2944" t="inlineStr">
        <is>
          <t>1</t>
        </is>
      </c>
      <c r="J2944" t="inlineStr"/>
      <c r="K2944" t="inlineStr"/>
      <c r="L2944" t="inlineStr"/>
      <c r="M2944" t="inlineStr"/>
      <c r="N2944" t="inlineStr"/>
      <c r="O2944">
        <f>(1-Summary!$B$11)*T2944+Summary!$B$11*V2944</f>
        <v/>
      </c>
      <c r="P2944">
        <f>IF(B2963=0,0,O2944/B2963)</f>
        <v/>
      </c>
      <c r="Q2944" t="n">
        <v>0</v>
      </c>
      <c r="R2944" t="n">
        <v>0</v>
      </c>
      <c r="S2944">
        <f>IFERROR(O2944/N2944,0)</f>
        <v/>
      </c>
      <c r="T2944" t="n">
        <v>0</v>
      </c>
      <c r="V2944" t="n">
        <v>0</v>
      </c>
    </row>
    <row r="2945">
      <c r="A2945">
        <f>Skills!A22</f>
        <v/>
      </c>
      <c r="B2945">
        <f>Skills!B22</f>
        <v/>
      </c>
      <c r="C2945">
        <f>Inputs!$B$3&gt;=43</f>
        <v/>
      </c>
      <c r="D2945">
        <f>IF(Skills!C22=1,60+Inputs!$B$25+Inputs!$B$29,IF(Skills!C22=2,90+Inputs!$B$26+Inputs!$B$29,IF(Skills!C22=3,120+Inputs!$B$27+Inputs!$B$29,MAX(0,(Inputs!$B$3-100)*3)+Inputs!$B$28+Inputs!$B$29)))</f>
        <v/>
      </c>
      <c r="E2945">
        <f>INDEX(FactorTable!$B$2:$Y$301, MATCH(ROUND(MIN(300,MAX(1,D2945)),0), FactorTable!$A$2:$A$301,0), Skills!M22+1)</f>
        <v/>
      </c>
      <c r="F2945">
        <f>IF(Skills!N22=TRUE,(Skills!L22/10)*(E2945/1000),Skills!L22/10)+Skills!O22</f>
        <v/>
      </c>
      <c r="G2945">
        <f>Skills!G22*IF(Skills!H22&gt;0,Skills!I22/Skills!H22,1)</f>
        <v/>
      </c>
      <c r="H2945">
        <f>1-(1-Skills!J22/100)^Skills!K22</f>
        <v/>
      </c>
      <c r="I2945" t="inlineStr">
        <is>
          <t>1</t>
        </is>
      </c>
      <c r="J2945" t="inlineStr"/>
      <c r="K2945" t="inlineStr"/>
      <c r="L2945" t="inlineStr"/>
      <c r="M2945" t="inlineStr"/>
      <c r="N2945" t="inlineStr"/>
      <c r="O2945">
        <f>(1-Summary!$B$11)*T2945+Summary!$B$11*V2945</f>
        <v/>
      </c>
      <c r="P2945">
        <f>IF(B2963=0,0,O2945/B2963)</f>
        <v/>
      </c>
      <c r="Q2945" t="n">
        <v>0</v>
      </c>
      <c r="R2945" t="n">
        <v>0</v>
      </c>
      <c r="S2945">
        <f>IFERROR(O2945/N2945,0)</f>
        <v/>
      </c>
      <c r="T2945" t="n">
        <v>0</v>
      </c>
      <c r="V2945" t="n">
        <v>0</v>
      </c>
    </row>
    <row r="2946">
      <c r="A2946">
        <f>Skills!A23</f>
        <v/>
      </c>
      <c r="B2946">
        <f>Skills!B23</f>
        <v/>
      </c>
      <c r="C2946">
        <f>Inputs!$B$3&gt;=38</f>
        <v/>
      </c>
      <c r="D2946">
        <f>IF(Skills!C23=1,60+Inputs!$B$25+Inputs!$B$29,IF(Skills!C23=2,90+Inputs!$B$26+Inputs!$B$29,IF(Skills!C23=3,120+Inputs!$B$27+Inputs!$B$29,MAX(0,(Inputs!$B$3-100)*3)+Inputs!$B$28+Inputs!$B$29)))</f>
        <v/>
      </c>
      <c r="E2946">
        <f>INDEX(FactorTable!$B$2:$Y$301, MATCH(ROUND(MIN(300,MAX(1,D2946)),0), FactorTable!$A$2:$A$301,0), Skills!M23+1)</f>
        <v/>
      </c>
      <c r="F2946">
        <f>IF(Skills!N23=TRUE,(Skills!L23/10)*(E2946/1000),Skills!L23/10)+Skills!O23</f>
        <v/>
      </c>
      <c r="G2946">
        <f>Skills!G23*IF(Skills!H23&gt;0,Skills!I23/Skills!H23,1)</f>
        <v/>
      </c>
      <c r="H2946">
        <f>1-(1-Skills!J23/100)^Skills!K23</f>
        <v/>
      </c>
      <c r="I2946" t="inlineStr">
        <is>
          <t>1</t>
        </is>
      </c>
      <c r="J2946" t="inlineStr"/>
      <c r="K2946" t="inlineStr"/>
      <c r="L2946" t="inlineStr"/>
      <c r="M2946" t="inlineStr"/>
      <c r="N2946" t="inlineStr"/>
      <c r="O2946">
        <f>(1-Summary!$B$11)*T2946+Summary!$B$11*V2946</f>
        <v/>
      </c>
      <c r="P2946">
        <f>IF(B2963=0,0,O2946/B2963)</f>
        <v/>
      </c>
      <c r="Q2946" t="n">
        <v>0</v>
      </c>
      <c r="R2946" t="n">
        <v>0</v>
      </c>
      <c r="S2946">
        <f>IFERROR(O2946/N2946,0)</f>
        <v/>
      </c>
      <c r="T2946" t="n">
        <v>0</v>
      </c>
      <c r="V2946" t="n">
        <v>0</v>
      </c>
    </row>
    <row r="2947">
      <c r="A2947">
        <f>Skills!A24</f>
        <v/>
      </c>
      <c r="B2947">
        <f>Skills!B24</f>
        <v/>
      </c>
      <c r="C2947">
        <f>Inputs!$B$3&gt;=40</f>
        <v/>
      </c>
      <c r="D2947">
        <f>IF(Skills!C24=1,60+Inputs!$B$25+Inputs!$B$29,IF(Skills!C24=2,90+Inputs!$B$26+Inputs!$B$29,IF(Skills!C24=3,120+Inputs!$B$27+Inputs!$B$29,MAX(0,(Inputs!$B$3-100)*3)+Inputs!$B$28+Inputs!$B$29)))</f>
        <v/>
      </c>
      <c r="E2947">
        <f>INDEX(FactorTable!$B$2:$Y$301, MATCH(ROUND(MIN(300,MAX(1,D2947)),0), FactorTable!$A$2:$A$301,0), Skills!M24+1)</f>
        <v/>
      </c>
      <c r="F2947">
        <f>IF(Skills!N24=TRUE,(Skills!L24/10)*(E2947/1000),Skills!L24/10)+Skills!O24</f>
        <v/>
      </c>
      <c r="G2947">
        <f>Skills!G24*IF(Skills!H24&gt;0,Skills!I24/Skills!H24,1)</f>
        <v/>
      </c>
      <c r="H2947">
        <f>1-(1-Skills!J24/100)^Skills!K24</f>
        <v/>
      </c>
      <c r="I2947" t="inlineStr">
        <is>
          <t>1</t>
        </is>
      </c>
      <c r="J2947" t="inlineStr"/>
      <c r="K2947" t="inlineStr"/>
      <c r="L2947" t="inlineStr"/>
      <c r="M2947" t="inlineStr"/>
      <c r="N2947" t="inlineStr"/>
      <c r="O2947">
        <f>(1-Summary!$B$11)*T2947+Summary!$B$11*V2947</f>
        <v/>
      </c>
      <c r="P2947">
        <f>IF(B2963=0,0,O2947/B2963)</f>
        <v/>
      </c>
      <c r="Q2947" t="n">
        <v>0</v>
      </c>
      <c r="R2947" t="n">
        <v>0</v>
      </c>
      <c r="S2947">
        <f>IFERROR(O2947/N2947,0)</f>
        <v/>
      </c>
      <c r="T2947" t="n">
        <v>0</v>
      </c>
      <c r="V2947" t="n">
        <v>0</v>
      </c>
    </row>
    <row r="2948">
      <c r="A2948">
        <f>Skills!A25</f>
        <v/>
      </c>
      <c r="B2948">
        <f>Skills!B25</f>
        <v/>
      </c>
      <c r="C2948">
        <f>Inputs!$B$3&gt;=72</f>
        <v/>
      </c>
      <c r="D2948">
        <f>IF(Skills!C25=1,60+Inputs!$B$25+Inputs!$B$29,IF(Skills!C25=2,90+Inputs!$B$26+Inputs!$B$29,IF(Skills!C25=3,120+Inputs!$B$27+Inputs!$B$29,MAX(0,(Inputs!$B$3-100)*3)+Inputs!$B$28+Inputs!$B$29)))</f>
        <v/>
      </c>
      <c r="E2948">
        <f>INDEX(FactorTable!$B$2:$Y$301, MATCH(ROUND(MIN(300,MAX(1,D2948)),0), FactorTable!$A$2:$A$301,0), Skills!M25+1)</f>
        <v/>
      </c>
      <c r="F2948">
        <f>IF(Skills!N25=TRUE,(Skills!L25/10)*(E2948/1000),Skills!L25/10)+Skills!O25</f>
        <v/>
      </c>
      <c r="G2948">
        <f>Skills!G25*IF(Skills!H25&gt;0,Skills!I25/Skills!H25,1)</f>
        <v/>
      </c>
      <c r="H2948">
        <f>1-(1-Skills!J25/100)^Skills!K25</f>
        <v/>
      </c>
      <c r="I2948" t="inlineStr">
        <is>
          <t>1</t>
        </is>
      </c>
      <c r="J2948" t="inlineStr"/>
      <c r="K2948" t="inlineStr"/>
      <c r="L2948" t="inlineStr"/>
      <c r="M2948" t="inlineStr"/>
      <c r="N2948" t="inlineStr"/>
      <c r="O2948">
        <f>(1-Summary!$B$11)*T2948+Summary!$B$11*V2948</f>
        <v/>
      </c>
      <c r="P2948">
        <f>IF(B2963=0,0,O2948/B2963)</f>
        <v/>
      </c>
      <c r="Q2948" t="n">
        <v>0</v>
      </c>
      <c r="R2948" t="n">
        <v>0</v>
      </c>
      <c r="S2948">
        <f>IFERROR(O2948/N2948,0)</f>
        <v/>
      </c>
      <c r="T2948" t="n">
        <v>0</v>
      </c>
      <c r="V2948" t="n">
        <v>0</v>
      </c>
    </row>
    <row r="2949">
      <c r="A2949">
        <f>Skills!A26</f>
        <v/>
      </c>
      <c r="B2949">
        <f>Skills!B26</f>
        <v/>
      </c>
      <c r="C2949">
        <f>Inputs!$B$3&gt;=75</f>
        <v/>
      </c>
      <c r="D2949">
        <f>IF(Skills!C26=1,60+Inputs!$B$25+Inputs!$B$29,IF(Skills!C26=2,90+Inputs!$B$26+Inputs!$B$29,IF(Skills!C26=3,120+Inputs!$B$27+Inputs!$B$29,MAX(0,(Inputs!$B$3-100)*3)+Inputs!$B$28+Inputs!$B$29)))</f>
        <v/>
      </c>
      <c r="E2949">
        <f>INDEX(FactorTable!$B$2:$Y$301, MATCH(ROUND(MIN(300,MAX(1,D2949)),0), FactorTable!$A$2:$A$301,0), Skills!M26+1)</f>
        <v/>
      </c>
      <c r="F2949">
        <f>IF(Skills!N26=TRUE,(Skills!L26/10)*(E2949/1000),Skills!L26/10)+Skills!O26</f>
        <v/>
      </c>
      <c r="G2949">
        <f>Skills!G26*IF(Skills!H26&gt;0,Skills!I26/Skills!H26,1)</f>
        <v/>
      </c>
      <c r="H2949">
        <f>1-(1-Skills!J26/100)^Skills!K26</f>
        <v/>
      </c>
      <c r="I2949" t="inlineStr">
        <is>
          <t>1</t>
        </is>
      </c>
      <c r="J2949" t="inlineStr"/>
      <c r="K2949" t="inlineStr"/>
      <c r="L2949" t="inlineStr"/>
      <c r="M2949" t="inlineStr"/>
      <c r="N2949" t="inlineStr"/>
      <c r="O2949">
        <f>(1-Summary!$B$11)*T2949+Summary!$B$11*V2949</f>
        <v/>
      </c>
      <c r="P2949">
        <f>IF(B2963=0,0,O2949/B2963)</f>
        <v/>
      </c>
      <c r="Q2949" t="n">
        <v>0</v>
      </c>
      <c r="R2949" t="n">
        <v>0</v>
      </c>
      <c r="S2949">
        <f>IFERROR(O2949/N2949,0)</f>
        <v/>
      </c>
      <c r="T2949" t="n">
        <v>0</v>
      </c>
      <c r="V2949" t="n">
        <v>0</v>
      </c>
    </row>
    <row r="2950">
      <c r="A2950">
        <f>Skills!A27</f>
        <v/>
      </c>
      <c r="B2950">
        <f>Skills!B27</f>
        <v/>
      </c>
      <c r="C2950">
        <f>Inputs!$B$3&gt;=117</f>
        <v/>
      </c>
      <c r="D2950">
        <f>IF(Skills!C27=1,60+Inputs!$B$25+Inputs!$B$29,IF(Skills!C27=2,90+Inputs!$B$26+Inputs!$B$29,IF(Skills!C27=3,120+Inputs!$B$27+Inputs!$B$29,MAX(0,(Inputs!$B$3-100)*3)+Inputs!$B$28+Inputs!$B$29)))</f>
        <v/>
      </c>
      <c r="E2950">
        <f>INDEX(FactorTable!$B$2:$Y$301, MATCH(ROUND(MIN(300,MAX(1,D2950)),0), FactorTable!$A$2:$A$301,0), Skills!M27+1)</f>
        <v/>
      </c>
      <c r="F2950">
        <f>IF(Skills!N27=TRUE,(Skills!L27/10)*(E2950/1000),Skills!L27/10)+Skills!O27</f>
        <v/>
      </c>
      <c r="G2950">
        <f>Skills!G27*IF(Skills!H27&gt;0,Skills!I27/Skills!H27,1)</f>
        <v/>
      </c>
      <c r="H2950">
        <f>1-(1-Skills!J27/100)^Skills!K27</f>
        <v/>
      </c>
      <c r="I2950" t="inlineStr">
        <is>
          <t>1</t>
        </is>
      </c>
      <c r="J2950" t="inlineStr"/>
      <c r="K2950" t="inlineStr"/>
      <c r="L2950" t="inlineStr"/>
      <c r="M2950" t="inlineStr"/>
      <c r="N2950" t="inlineStr"/>
      <c r="O2950">
        <f>(1-Summary!$B$11)*T2950+Summary!$B$11*V2950</f>
        <v/>
      </c>
      <c r="P2950">
        <f>IF(B2963=0,0,O2950/B2963)</f>
        <v/>
      </c>
      <c r="Q2950" t="n">
        <v>0</v>
      </c>
      <c r="R2950" t="n">
        <v>0</v>
      </c>
      <c r="S2950">
        <f>IFERROR(O2950/N2950,0)</f>
        <v/>
      </c>
      <c r="T2950" t="n">
        <v>0</v>
      </c>
      <c r="V2950" t="n">
        <v>0</v>
      </c>
    </row>
    <row r="2952">
      <c r="A2952" t="inlineStr">
        <is>
          <t>Attack% Bucket Multiplier</t>
        </is>
      </c>
      <c r="B2952">
        <f>(1+(((C2940=TRUE)*F2940)+((C2947=TRUE)*(F2947-Calc!F24))+(IF(ArtifactsInput!$M$21,CHOOSE(ArtifactsInput!$N$21+1,25,30,35,40,45,50)*(IF(OR(Inputs!$B$4="Chapter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53">
      <c r="A2953" t="inlineStr">
        <is>
          <t>Global Crit Rate Bonus %</t>
        </is>
      </c>
      <c r="B2953" t="n">
        <v>0</v>
      </c>
    </row>
    <row r="2954">
      <c r="A2954" t="inlineStr">
        <is>
          <t>Attack Speed Buff Bonus % (unused)</t>
        </is>
      </c>
      <c r="B2954" t="n">
        <v>0</v>
      </c>
    </row>
    <row r="2955">
      <c r="A2955" t="inlineStr">
        <is>
          <t>Actions Per Second</t>
        </is>
      </c>
      <c r="B2955">
        <f>1+MIN(150,150*(1-(1-(Inputs!$B$11+((C2943=TRUE)*(F2943-Calc!F20))+((C2944=TRUE)*(F2944-Calc!F21)))/150)*(1-B2954/150)))/100</f>
        <v/>
      </c>
    </row>
    <row r="2956">
      <c r="A2956" t="inlineStr">
        <is>
          <t>Skill + Buff Cast Rate</t>
        </is>
      </c>
      <c r="B2956">
        <f>IF(AND(Inputs!$B$38&lt;&gt;"pvp",Inputs!$B$43&gt;0),SUMPRODUCT((Skills!E2:E27=TRUE)*(C2925:C2950=TRUE)*R2925:R2950*Skills!F2:F27)/Inputs!$B$43,SUMPRODUCT((Skills!E2:E27=TRUE)*(C2925:C2950=TRUE)*Q2925:Q2950*Skills!F2:F27))</f>
        <v/>
      </c>
    </row>
    <row r="2957">
      <c r="A2957" t="inlineStr">
        <is>
          <t>Eight-Legs Easton Casts Per Second</t>
        </is>
      </c>
      <c r="B2957">
        <f>MAX(0,B2955-B2956)</f>
        <v/>
      </c>
    </row>
    <row r="2958">
      <c r="A2958" t="inlineStr">
        <is>
          <t>Global Critical Damage Bonus % (unused)</t>
        </is>
      </c>
      <c r="B2958" t="n">
        <v>0</v>
      </c>
    </row>
    <row r="2959">
      <c r="A2959" t="inlineStr">
        <is>
          <t>Global Final Damage Bonus % (Jolly Roger only)</t>
        </is>
      </c>
      <c r="B2959">
        <f>((C2941=TRUE)*F2941)</f>
        <v/>
      </c>
    </row>
    <row r="2960">
      <c r="A2960" t="inlineStr">
        <is>
          <t>Buff-Casting Startup Delay (s, fixed-duration only)</t>
        </is>
      </c>
      <c r="B2960">
        <f>IF(AND(Inputs!$B$38&lt;&gt;"pvp",Inputs!$B$43&gt;0),SUMPRODUCT((Skills!T2:T27&gt;0)*(Skills!E2:E27=TRUE)*(C2925:C2950=TRUE))/B2955,0)</f>
        <v/>
      </c>
    </row>
    <row r="2961">
      <c r="A2961" t="inlineStr">
        <is>
          <t>Boss-Only Total DPS (this block's swept value)</t>
        </is>
      </c>
      <c r="B2961">
        <f>SUM(T2925:T2950)</f>
        <v/>
      </c>
    </row>
    <row r="2962">
      <c r="A2962" t="inlineStr">
        <is>
          <t>Normal-Only Total DPS (this block's swept value)</t>
        </is>
      </c>
      <c r="B2962">
        <f>SUM(V2925:V2950)</f>
        <v/>
      </c>
    </row>
    <row r="2963">
      <c r="A2963" s="6" t="inlineStr">
        <is>
          <t>TOTAL DPS</t>
        </is>
      </c>
      <c r="B2963" s="6">
        <f>SUM(O2925:O2950)</f>
        <v/>
      </c>
    </row>
    <row r="2966">
      <c r="A2966" s="6" t="inlineStr">
        <is>
          <t>Stat: CDR = 3.0s</t>
        </is>
      </c>
    </row>
    <row r="2967">
      <c r="A2967" s="5" t="inlineStr">
        <is>
          <t>Key</t>
        </is>
      </c>
      <c r="B2967" s="5" t="inlineStr">
        <is>
          <t>Name</t>
        </is>
      </c>
      <c r="C2967" s="5" t="inlineStr">
        <is>
          <t>Unlocked</t>
        </is>
      </c>
      <c r="D2967" s="5" t="inlineStr">
        <is>
          <t>InputLevel</t>
        </is>
      </c>
      <c r="E2967" s="5" t="inlineStr">
        <is>
          <t>Factor</t>
        </is>
      </c>
      <c r="F2967" s="5" t="inlineStr">
        <is>
          <t>CoefficientPercent</t>
        </is>
      </c>
      <c r="G2967" s="5" t="inlineStr">
        <is>
          <t>EffectiveHits</t>
        </is>
      </c>
      <c r="H2967" s="5" t="inlineStr">
        <is>
          <t>ProcProbability</t>
        </is>
      </c>
      <c r="I2967" s="5" t="inlineStr">
        <is>
          <t>MapleHeroMultiplier</t>
        </is>
      </c>
      <c r="J2967" s="5" t="inlineStr">
        <is>
          <t>BaseDamage</t>
        </is>
      </c>
      <c r="K2967" s="5" t="inlineStr">
        <is>
          <t>BaseHitDamage</t>
        </is>
      </c>
      <c r="L2967" s="5" t="inlineStr">
        <is>
          <t>NonCritAvg</t>
        </is>
      </c>
      <c r="M2967" s="5" t="inlineStr">
        <is>
          <t>CritAvg</t>
        </is>
      </c>
      <c r="N2967" s="5" t="inlineStr">
        <is>
          <t>ExpectedDamage(perHit)</t>
        </is>
      </c>
      <c r="O2967" s="5" t="inlineStr">
        <is>
          <t>DPS</t>
        </is>
      </c>
      <c r="P2967" s="5" t="inlineStr">
        <is>
          <t>% of Total</t>
        </is>
      </c>
      <c r="Q2967" s="5" t="inlineStr">
        <is>
          <t>InvCooldown</t>
        </is>
      </c>
      <c r="R2967" s="5" t="inlineStr">
        <is>
          <t>CastsInFight</t>
        </is>
      </c>
      <c r="S2967" s="5" t="inlineStr">
        <is>
          <t>HitRate(perSec)</t>
        </is>
      </c>
      <c r="U2967" t="inlineStr">
        <is>
          <t>helpers</t>
        </is>
      </c>
    </row>
    <row r="2968">
      <c r="A2968">
        <f>Skills!A2</f>
        <v/>
      </c>
      <c r="B2968">
        <f>Skills!B2</f>
        <v/>
      </c>
      <c r="C2968">
        <f>Inputs!$B$3&gt;=100</f>
        <v/>
      </c>
      <c r="D2968" t="inlineStr"/>
      <c r="E2968" t="inlineStr"/>
      <c r="F2968">
        <f>U2970+Skills!O2</f>
        <v/>
      </c>
      <c r="G2968">
        <f>Skills!G2*IF(Skills!H2&gt;0,Skills!I2/Skills!H2,1)</f>
        <v/>
      </c>
      <c r="H2968">
        <f>1-(1-Skills!J2/100)^Skills!K2</f>
        <v/>
      </c>
      <c r="I2968" t="inlineStr">
        <is>
          <t>1</t>
        </is>
      </c>
      <c r="J2968">
        <f>((Inputs!$B$6*(1+Inputs!$B$7/100))+(((Inputs!$B$12*(1+Inputs!$B$13/100))-(Inputs!$B$12*(1+Inputs!$B$13/100)))+0.25*(Inputs!$B$14-Inputs!$B$14))*(1+Inputs!$B$7/100))*(F2968/100)</f>
        <v/>
      </c>
      <c r="K2968">
        <f>J2968*(1+((Inputs!$B$12*(1+Inputs!$B$13/100))*0.01+Inputs!$B$14*0.0025)/100)*(1+Inputs!$B$15/100)*(1+Inputs!$B$16/100)*(5000/(6000+Inputs!$B$42*(1-(100*(1-(1-(Inputs!$B$19+0)/100)*(1-CHOOSE(ArtifactsInput!$N$40+1,5,6,7,8,9,10)/100)^(ArtifactsInput!$M$40-ArtifactsInput!$M$40)))/100)))*(1+(Inputs!$B$24+((C2992=TRUE)*(F2992-Calc!F26))+B3002)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2989=TRUE)*(F2989-Calc!F23))+((C2993=TRUE)*(F2993-Calc!F27))+(((IF(AND(ArtifactsInput!$M$42,((Inputs!$B$9+((C2985=TRUE)*(F2985-Calc!F19))+B2996+(ArtifactsInput!$M$24-ArtifactsInput!$M$24)*CHOOSE(ArtifactsInput!$N$24+1,10,12,14,16,18,20)+IF(ArtifactsInput!$M$10,CHOOSE(ArtifactsInput!$N$10+1,15,18,21,24,27,30)*(IF(Inputs!$B$38="pvp",MIN(15,15)/15,IF(AND(Inputs!$B$38&lt;&gt;"pvp",Inputs!$B$43&gt;0),MIN(15,Inputs!$B$43)/(Inputs!$B$43),0))),0)))&gt;=100),MIN(100,((Inputs!$B$9+((C2985=TRUE)*(F2985-Calc!F19))+B2996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2985=TRUE)*(F2985-Calc!F19))+B2996+(ArtifactsInput!$M$24-ArtifactsInput!$M$24)*CHOOSE(ArtifactsInput!$N$24+1,10,12,14,16,18,20)+IF(ArtifactsInput!$M$10,CHOOSE(ArtifactsInput!$N$10+1,15,18,21,24,27,30)*(IF(Inputs!$B$38="pvp",MIN(15,15)/15,IF(AND(Inputs!$B$38&lt;&gt;"pvp",Inputs!$B$43&gt;0),MIN(15,Inputs!$B$43)/(Inputs!$B$43),0))),0)))&gt;=100),CHOOSE(ArtifactsInput!$N$42+1,40,48,56,64,72,80),0))))/100)*((1+(((C2983=TRUE)*F2983)+((C2990=TRUE)*(F2990-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2968)</f>
        <v/>
      </c>
      <c r="L2968">
        <f>K2968*(MIN(Inputs!$B$22+((C2988=TRUE)*(F2988-Calc!F22)),(Inputs!$B$23+0+(IF(ArtifactsInput!$M$15,CHOOSE(ArtifactsInput!$N$15+1,25,30,35,40,45,50)/100*(Inputs!$B$11-Inputs!$B$11),0))))/100+(Inputs!$B$23+0+(IF(ArtifactsInput!$M$15,CHOOSE(ArtifactsInput!$N$15+1,25,30,35,40,45,50)/100*(Inputs!$B$11-Inputs!$B$11),0)))/100)/2</f>
        <v/>
      </c>
      <c r="M2968">
        <f>L2968*(1+(Inputs!$B$10+((C2991=TRUE)*(F2991-Calc!F25))+B3001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8">
        <f>L2968*(1-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2968*(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8">
        <f>(1-Summary!$B$11)*T2968+Summary!$B$11*V2968</f>
        <v/>
      </c>
      <c r="P2968">
        <f>IF(B3006=0,0,O2968/B3006)</f>
        <v/>
      </c>
      <c r="Q2968" t="n">
        <v>0</v>
      </c>
      <c r="R2968" t="n">
        <v>0</v>
      </c>
      <c r="S2968">
        <f>IFERROR(O2968/N2968,0)</f>
        <v/>
      </c>
      <c r="T2968">
        <f>IF(C2968,(Skills!G2*N2968*B3000)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2968*(1-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2968*(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2968*(1-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2968*(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8">
        <f>MAX(0,(Inputs!$B$3-100)*3)+Inputs!$B$28+Inputs!$B$29</f>
        <v/>
      </c>
      <c r="V2968">
        <f>IF(C2968,(Skills!G2*N2968*B3000)*IF(Inputs!$B$38="pvp",1,(1+(Inputs!$B$21+Skills!Q2+(IF(ArtifactsInput!$M$33,CHOOSE(ArtifactsInput!$N$33+1,30,36,42,48,54,60),0))+(IF(AND(ArtifactsInput!$M$35,Inputs!$B$4&lt;&gt;"Chapter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9">
      <c r="A2969">
        <f>Skills!A3</f>
        <v/>
      </c>
      <c r="B2969">
        <f>Skills!B3</f>
        <v/>
      </c>
      <c r="C2969">
        <f>Inputs!$B$3&gt;=35</f>
        <v/>
      </c>
      <c r="D2969">
        <f>IF(Skills!C3=1,60+Inputs!$B$25+Inputs!$B$29,IF(Skills!C3=2,90+Inputs!$B$26+Inputs!$B$29,IF(Skills!C3=3,120+Inputs!$B$27+Inputs!$B$29,MAX(0,(Inputs!$B$3-100)*3)+Inputs!$B$28+Inputs!$B$29)))</f>
        <v/>
      </c>
      <c r="E2969">
        <f>INDEX(FactorTable!$B$2:$Y$301, MATCH(ROUND(MIN(300,MAX(1,D2969)),0), FactorTable!$A$2:$A$301,0), Skills!M3+1)</f>
        <v/>
      </c>
      <c r="F2969">
        <f>IF(Skills!N3=TRUE,(Skills!L3/10)*(E2969/1000),Skills!L3/10)+Skills!O3</f>
        <v/>
      </c>
      <c r="G2969">
        <f>Skills!G3*IF(Skills!H3&gt;0,Skills!I3/Skills!H3,1)</f>
        <v/>
      </c>
      <c r="H2969">
        <f>1-(1-Skills!J3/100)^Skills!K3</f>
        <v/>
      </c>
      <c r="I2969" t="inlineStr">
        <is>
          <t>1</t>
        </is>
      </c>
      <c r="J2969">
        <f>((Inputs!$B$6*(1+Inputs!$B$7/100))+(((Inputs!$B$12*(1+Inputs!$B$13/100))-(Inputs!$B$12*(1+Inputs!$B$13/100)))+0.25*(Inputs!$B$14-Inputs!$B$14))*(1+Inputs!$B$7/100))*(F2969/100)</f>
        <v/>
      </c>
      <c r="K2969">
        <f>J2969*(1+((Inputs!$B$12*(1+Inputs!$B$13/100))*0.01+Inputs!$B$14*0.0025)/100)*(1+Inputs!$B$15/100)*(1+Inputs!$B$16/100)*(5000/(6000+Inputs!$B$42*(1-(100*(1-(1-(Inputs!$B$19+0)/100)*(1-CHOOSE(ArtifactsInput!$N$40+1,5,6,7,8,9,10)/100)^(ArtifactsInput!$M$40-ArtifactsInput!$M$40)))/100)))*(1+(Inputs!$B$24+((C2992=TRUE)*(F2992-Calc!F26))+B3002)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2981=TRUE,F2981,0)/100)*(1+(IF(Skills!A3="EIGHT_LEGS_EASTON",Inputs!$B$17+((C2989=TRUE)*(F2989-Calc!F23))+((C2993=TRUE)*(F2993-Calc!F27))+(((IF(AND(ArtifactsInput!$M$42,((Inputs!$B$9+((C2985=TRUE)*(F2985-Calc!F19))+B2996+(ArtifactsInput!$M$24-ArtifactsInput!$M$24)*CHOOSE(ArtifactsInput!$N$24+1,10,12,14,16,18,20)+IF(ArtifactsInput!$M$10,CHOOSE(ArtifactsInput!$N$10+1,15,18,21,24,27,30)*(IF(Inputs!$B$38="pvp",MIN(15,15)/15,IF(AND(Inputs!$B$38&lt;&gt;"pvp",Inputs!$B$43&gt;0),MIN(15,Inputs!$B$43)/(Inputs!$B$43),0))),0)))&gt;=100),MIN(100,((Inputs!$B$9+((C2985=TRUE)*(F2985-Calc!F19))+B2996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2985=TRUE)*(F2985-Calc!F19))+B2996+(ArtifactsInput!$M$24-ArtifactsInput!$M$24)*CHOOSE(ArtifactsInput!$N$24+1,10,12,14,16,18,20)+IF(ArtifactsInput!$M$10,CHOOSE(ArtifactsInput!$N$10+1,15,18,21,24,27,30)*(IF(Inputs!$B$38="pvp",MIN(15,15)/15,IF(AND(Inputs!$B$38&lt;&gt;"pvp",Inputs!$B$43&gt;0),MIN(15,Inputs!$B$43)/(Inputs!$B$43),0))),0)))&gt;=100),CHOOSE(ArtifactsInput!$N$42+1,40,48,56,64,72,80),0))))/100)*((1+(((C2983=TRUE)*F2983)+((C2990=TRUE)*(F2990-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2969)</f>
        <v/>
      </c>
      <c r="L2969">
        <f>K2969*(MIN(Inputs!$B$22+((C2988=TRUE)*(F2988-Calc!F22)),(Inputs!$B$23+0+(IF(ArtifactsInput!$M$15,CHOOSE(ArtifactsInput!$N$15+1,25,30,35,40,45,50)/100*(Inputs!$B$11-Inputs!$B$11),0))))/100+(Inputs!$B$23+0+(IF(ArtifactsInput!$M$15,CHOOSE(ArtifactsInput!$N$15+1,25,30,35,40,45,50)/100*(Inputs!$B$11-Inputs!$B$11),0)))/100)/2</f>
        <v/>
      </c>
      <c r="M2969">
        <f>L2969*(1+(Inputs!$B$10+((C2991=TRUE)*(F2991-Calc!F25))+B3001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9">
        <f>L2969*(1-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2969*(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9">
        <f>(1-Summary!$B$11)*T2969+Summary!$B$11*V2969</f>
        <v/>
      </c>
      <c r="P2969">
        <f>IF(B3006=0,0,O2969/B3006)</f>
        <v/>
      </c>
      <c r="Q2969">
        <f>IFERROR(1/(IF(Inputs!$B$38="pvp",15,MAX(0.1,Skills!D3-IF(Skills!E3=TRUE,3.0,0)))*(1-IF(AND(ArtifactsInput!$M$27,Inputs!$B$4="Chapter Hunt"),CHOOSE(ArtifactsInput!$N$27+1,20,24,28,32,36,40),0)/100)),0)</f>
        <v/>
      </c>
      <c r="R2969">
        <f>IF(AND(Inputs!$B$38&lt;&gt;"pvp",Inputs!$B$43&gt;0),IF(MAX(0,Inputs!$B$43-B3003)&lt;=0,0,(INT(MAX(0,Inputs!$B$43-B3003)/(IF(Inputs!$B$38="pvp",15,MAX(0.1,Skills!D3-IF(Skills!E3=TRUE,3.0,0)))*(1-IF(AND(ArtifactsInput!$M$27,Inputs!$B$4="Chapter Hunt"),CHOOSE(ArtifactsInput!$N$27+1,20,24,28,32,36,40),0)/100)))+1)),0)</f>
        <v/>
      </c>
      <c r="S2969">
        <f>IFERROR(O2969/N2969,0)</f>
        <v/>
      </c>
      <c r="T2969">
        <f>IF(C2969,(H2969*N2969*IF(AND(Inputs!$B$38&lt;&gt;"pvp",Inputs!$B$43&gt;0),((Skills!G3*((R2969-1)*IF(Skills!H3&gt;0,Skills!I3/Skills!H3,1)+IF(Skills!H3&gt;0,MIN(Skills!I3,MAX(0,MAX(0,Inputs!$B$43-B3003)-((R2969-1)*(IF(Inputs!$B$38="pvp",15,MAX(0.1,Skills!D3-IF(Skills!E3=TRUE,3.0,0)))*(1-IF(AND(ArtifactsInput!$M$27,Inputs!$B$4="Chapter Hunt"),CHOOSE(ArtifactsInput!$N$27+1,20,24,28,32,36,40),0)/100)))))/Skills!H3,1)))/Inputs!$B$43),G2969*Q2969)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2969*(1-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2969*(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2969*(1-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2969*(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9">
        <f>INDEX(FactorTable!$B$2:$Y$301, MATCH(ROUND(MIN(300,MAX(1,U2968)),0), FactorTable!$A$2:$A$301,0), 22)</f>
        <v/>
      </c>
      <c r="V2969">
        <f>IF(C2969,(H2969*N2969*IF(AND(Inputs!$B$38&lt;&gt;"pvp",Inputs!$B$43&gt;0),((Skills!G3*((R2969-1)*IF(Skills!H3&gt;0,Skills!I3/Skills!H3,1)+IF(Skills!H3&gt;0,MIN(Skills!I3,MAX(0,MAX(0,Inputs!$B$43-B3003)-((R2969-1)*(IF(Inputs!$B$38="pvp",15,MAX(0.1,Skills!D3-IF(Skills!E3=TRUE,3.0,0)))*(1-IF(AND(ArtifactsInput!$M$27,Inputs!$B$4="Chapter Hunt"),CHOOSE(ArtifactsInput!$N$27+1,20,24,28,32,36,40),0)/100)))))/Skills!H3,1)))/Inputs!$B$43),G2969*Q2969))*IF(Inputs!$B$38="pvp",1,(1+(Inputs!$B$21+Skills!Q3+(IF(ArtifactsInput!$M$33,CHOOSE(ArtifactsInput!$N$33+1,30,36,42,48,54,60)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0">
      <c r="A2970">
        <f>Skills!A4</f>
        <v/>
      </c>
      <c r="B2970">
        <f>Skills!B4</f>
        <v/>
      </c>
      <c r="C2970">
        <f>Inputs!$B$3&gt;=40</f>
        <v/>
      </c>
      <c r="D2970">
        <f>IF(Skills!C4=1,60+Inputs!$B$25+Inputs!$B$29,IF(Skills!C4=2,90+Inputs!$B$26+Inputs!$B$29,IF(Skills!C4=3,120+Inputs!$B$27+Inputs!$B$29,MAX(0,(Inputs!$B$3-100)*3)+Inputs!$B$28+Inputs!$B$29)))</f>
        <v/>
      </c>
      <c r="E2970">
        <f>INDEX(FactorTable!$B$2:$Y$301, MATCH(ROUND(MIN(300,MAX(1,D2970)),0), FactorTable!$A$2:$A$301,0), Skills!M4+1)</f>
        <v/>
      </c>
      <c r="F2970">
        <f>IF(Skills!N4=TRUE,(Skills!L4/10)*(E2970/1000),Skills!L4/10)+Skills!O4</f>
        <v/>
      </c>
      <c r="G2970">
        <f>Skills!G4*IF(Skills!H4&gt;0,Skills!I4/Skills!H4,1)</f>
        <v/>
      </c>
      <c r="H2970">
        <f>1-(1-Skills!J4/100)^Skills!K4</f>
        <v/>
      </c>
      <c r="I2970" t="inlineStr">
        <is>
          <t>1</t>
        </is>
      </c>
      <c r="J2970">
        <f>((Inputs!$B$6*(1+Inputs!$B$7/100))+(((Inputs!$B$12*(1+Inputs!$B$13/100))-(Inputs!$B$12*(1+Inputs!$B$13/100)))+0.25*(Inputs!$B$14-Inputs!$B$14))*(1+Inputs!$B$7/100))*(F2970/100)</f>
        <v/>
      </c>
      <c r="K2970">
        <f>J2970*(1+((Inputs!$B$12*(1+Inputs!$B$13/100))*0.01+Inputs!$B$14*0.0025)/100)*(1+Inputs!$B$15/100)*(1+Inputs!$B$16/100)*(5000/(6000+Inputs!$B$42*(1-(100*(1-(1-(Inputs!$B$19+0)/100)*(1-CHOOSE(ArtifactsInput!$N$40+1,5,6,7,8,9,10)/100)^(ArtifactsInput!$M$40-ArtifactsInput!$M$40)))/100)))*(1+(Inputs!$B$24+((C2992=TRUE)*(F2992-Calc!F26))+B3002)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2982=TRUE,F2982,0)/100)*(1+(IF(Skills!A4="EIGHT_LEGS_EASTON",Inputs!$B$17+((C2989=TRUE)*(F2989-Calc!F23))+((C2993=TRUE)*(F2993-Calc!F27))+(((IF(AND(ArtifactsInput!$M$42,((Inputs!$B$9+((C2985=TRUE)*(F2985-Calc!F19))+B2996+(ArtifactsInput!$M$24-ArtifactsInput!$M$24)*CHOOSE(ArtifactsInput!$N$24+1,10,12,14,16,18,20)+IF(ArtifactsInput!$M$10,CHOOSE(ArtifactsInput!$N$10+1,15,18,21,24,27,30)*(IF(Inputs!$B$38="pvp",MIN(15,15)/15,IF(AND(Inputs!$B$38&lt;&gt;"pvp",Inputs!$B$43&gt;0),MIN(15,Inputs!$B$43)/(Inputs!$B$43),0))),0)))&gt;=100),MIN(100,((Inputs!$B$9+((C2985=TRUE)*(F2985-Calc!F19))+B2996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2985=TRUE)*(F2985-Calc!F19))+B2996+(ArtifactsInput!$M$24-ArtifactsInput!$M$24)*CHOOSE(ArtifactsInput!$N$24+1,10,12,14,16,18,20)+IF(ArtifactsInput!$M$10,CHOOSE(ArtifactsInput!$N$10+1,15,18,21,24,27,30)*(IF(Inputs!$B$38="pvp",MIN(15,15)/15,IF(AND(Inputs!$B$38&lt;&gt;"pvp",Inputs!$B$43&gt;0),MIN(15,Inputs!$B$43)/(Inputs!$B$43),0))),0)))&gt;=100),CHOOSE(ArtifactsInput!$N$42+1,40,48,56,64,72,80),0))))/100)*((1+(((C2983=TRUE)*F2983)+((C2990=TRUE)*(F2990-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2970)</f>
        <v/>
      </c>
      <c r="L2970">
        <f>K2970*(MIN(Inputs!$B$22+((C2988=TRUE)*(F2988-Calc!F22)),(Inputs!$B$23+0+(IF(ArtifactsInput!$M$15,CHOOSE(ArtifactsInput!$N$15+1,25,30,35,40,45,50)/100*(Inputs!$B$11-Inputs!$B$11),0))))/100+(Inputs!$B$23+0+(IF(ArtifactsInput!$M$15,CHOOSE(ArtifactsInput!$N$15+1,25,30,35,40,45,50)/100*(Inputs!$B$11-Inputs!$B$11),0)))/100)/2</f>
        <v/>
      </c>
      <c r="M2970">
        <f>L2970*(1+(Inputs!$B$10+((C2991=TRUE)*(F2991-Calc!F25))+B3001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0">
        <f>L2970*(1-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2970*(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0">
        <f>(1-Summary!$B$11)*T2970+Summary!$B$11*V2970</f>
        <v/>
      </c>
      <c r="P2970">
        <f>IF(B3006=0,0,O2970/B3006)</f>
        <v/>
      </c>
      <c r="Q2970">
        <f>IFERROR(1/(IF(Inputs!$B$38="pvp",15,MAX(0.1,Skills!D4-IF(Skills!E4=TRUE,3.0,0)))*(1-IF(AND(ArtifactsInput!$M$27,Inputs!$B$4="Chapter Hunt"),CHOOSE(ArtifactsInput!$N$27+1,20,24,28,32,36,40),0)/100)),0)</f>
        <v/>
      </c>
      <c r="R2970">
        <f>IF(AND(Inputs!$B$38&lt;&gt;"pvp",Inputs!$B$43&gt;0),IF(MAX(0,Inputs!$B$43-B3003)&lt;=0,0,(INT(MAX(0,Inputs!$B$43-B3003)/(IF(Inputs!$B$38="pvp",15,MAX(0.1,Skills!D4-IF(Skills!E4=TRUE,3.0,0)))*(1-IF(AND(ArtifactsInput!$M$27,Inputs!$B$4="Chapter Hunt"),CHOOSE(ArtifactsInput!$N$27+1,20,24,28,32,36,40),0)/100)))+1)),0)</f>
        <v/>
      </c>
      <c r="S2970">
        <f>IFERROR(O2970/N2970,0)</f>
        <v/>
      </c>
      <c r="T2970">
        <f>IF(C2970,(H2970*N2970*IF(AND(Inputs!$B$38&lt;&gt;"pvp",Inputs!$B$43&gt;0),((Skills!G4*((R2970-1)*IF(Skills!H4&gt;0,Skills!I4/Skills!H4,1)+IF(Skills!H4&gt;0,MIN(Skills!I4,MAX(0,MAX(0,Inputs!$B$43-B3003)-((R2970-1)*(IF(Inputs!$B$38="pvp",15,MAX(0.1,Skills!D4-IF(Skills!E4=TRUE,3.0,0)))*(1-IF(AND(ArtifactsInput!$M$27,Inputs!$B$4="Chapter Hunt"),CHOOSE(ArtifactsInput!$N$27+1,20,24,28,32,36,40),0)/100)))))/Skills!H4,1)))/Inputs!$B$43),G2970*Q2970)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2970*(1-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2970*(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2970*(1-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2970*(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70">
        <f>290*U2969/1000</f>
        <v/>
      </c>
      <c r="V2970">
        <f>IF(C2970,(H2970*N2970*IF(AND(Inputs!$B$38&lt;&gt;"pvp",Inputs!$B$43&gt;0),((Skills!G4*((R2970-1)*IF(Skills!H4&gt;0,Skills!I4/Skills!H4,1)+IF(Skills!H4&gt;0,MIN(Skills!I4,MAX(0,MAX(0,Inputs!$B$43-B3003)-((R2970-1)*(IF(Inputs!$B$38="pvp",15,MAX(0.1,Skills!D4-IF(Skills!E4=TRUE,3.0,0)))*(1-IF(AND(ArtifactsInput!$M$27,Inputs!$B$4="Chapter Hunt"),CHOOSE(ArtifactsInput!$N$27+1,20,24,28,32,36,40),0)/100)))))/Skills!H4,1)))/Inputs!$B$43),G2970*Q2970))*IF(Inputs!$B$38="pvp",1,(1+(Inputs!$B$21+Skills!Q4+(IF(ArtifactsInput!$M$33,CHOOSE(ArtifactsInput!$N$33+1,30,36,42,48,54,60)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1">
      <c r="A2971">
        <f>Skills!A5</f>
        <v/>
      </c>
      <c r="B2971">
        <f>Skills!B5</f>
        <v/>
      </c>
      <c r="C2971">
        <f>Inputs!$B$3&gt;=45</f>
        <v/>
      </c>
      <c r="D2971">
        <f>IF(Skills!C5=1,60+Inputs!$B$25+Inputs!$B$29,IF(Skills!C5=2,90+Inputs!$B$26+Inputs!$B$29,IF(Skills!C5=3,120+Inputs!$B$27+Inputs!$B$29,MAX(0,(Inputs!$B$3-100)*3)+Inputs!$B$28+Inputs!$B$29)))</f>
        <v/>
      </c>
      <c r="E2971">
        <f>INDEX(FactorTable!$B$2:$Y$301, MATCH(ROUND(MIN(300,MAX(1,D2971)),0), FactorTable!$A$2:$A$301,0), Skills!M5+1)</f>
        <v/>
      </c>
      <c r="F2971">
        <f>IF(Skills!N5=TRUE,(Skills!L5/10)*(E2971/1000),Skills!L5/10)+Skills!O5</f>
        <v/>
      </c>
      <c r="G2971">
        <f>Skills!G5*IF(Skills!H5&gt;0,Skills!I5/Skills!H5,1)</f>
        <v/>
      </c>
      <c r="H2971">
        <f>1-(1-Skills!J5/100)^Skills!K5</f>
        <v/>
      </c>
      <c r="I2971" t="inlineStr">
        <is>
          <t>1</t>
        </is>
      </c>
      <c r="J2971">
        <f>((Inputs!$B$6*(1+Inputs!$B$7/100))+(((Inputs!$B$12*(1+Inputs!$B$13/100))-(Inputs!$B$12*(1+Inputs!$B$13/100)))+0.25*(Inputs!$B$14-Inputs!$B$14))*(1+Inputs!$B$7/100))*(F2971/100)</f>
        <v/>
      </c>
      <c r="K2971">
        <f>J2971*(1+((Inputs!$B$12*(1+Inputs!$B$13/100))*0.01+Inputs!$B$14*0.0025)/100)*(1+Inputs!$B$15/100)*(1+Inputs!$B$16/100)*(5000/(6000+Inputs!$B$42*(1-(100*(1-(1-(Inputs!$B$19+0)/100)*(1-CHOOSE(ArtifactsInput!$N$40+1,5,6,7,8,9,10)/100)^(ArtifactsInput!$M$40-ArtifactsInput!$M$40)))/100)))*(1+(Inputs!$B$24+((C2992=TRUE)*(F2992-Calc!F26))+B3002)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2982=TRUE,F2982,0)/100)*(1+(IF(Skills!A5="EIGHT_LEGS_EASTON",Inputs!$B$17+((C2989=TRUE)*(F2989-Calc!F23))+((C2993=TRUE)*(F2993-Calc!F27))+(((IF(AND(ArtifactsInput!$M$42,((Inputs!$B$9+((C2985=TRUE)*(F2985-Calc!F19))+B2996+(ArtifactsInput!$M$24-ArtifactsInput!$M$24)*CHOOSE(ArtifactsInput!$N$24+1,10,12,14,16,18,20)+IF(ArtifactsInput!$M$10,CHOOSE(ArtifactsInput!$N$10+1,15,18,21,24,27,30)*(IF(Inputs!$B$38="pvp",MIN(15,15)/15,IF(AND(Inputs!$B$38&lt;&gt;"pvp",Inputs!$B$43&gt;0),MIN(15,Inputs!$B$43)/(Inputs!$B$43),0))),0)))&gt;=100),MIN(100,((Inputs!$B$9+((C2985=TRUE)*(F2985-Calc!F19))+B2996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2985=TRUE)*(F2985-Calc!F19))+B2996+(ArtifactsInput!$M$24-ArtifactsInput!$M$24)*CHOOSE(ArtifactsInput!$N$24+1,10,12,14,16,18,20)+IF(ArtifactsInput!$M$10,CHOOSE(ArtifactsInput!$N$10+1,15,18,21,24,27,30)*(IF(Inputs!$B$38="pvp",MIN(15,15)/15,IF(AND(Inputs!$B$38&lt;&gt;"pvp",Inputs!$B$43&gt;0),MIN(15,Inputs!$B$43)/(Inputs!$B$43),0))),0)))&gt;=100),CHOOSE(ArtifactsInput!$N$42+1,40,48,56,64,72,80),0))))/100)*((1+(((C2983=TRUE)*F2983)+((C2990=TRUE)*(F2990-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2971)</f>
        <v/>
      </c>
      <c r="L2971">
        <f>K2971*(MIN(Inputs!$B$22+((C2988=TRUE)*(F2988-Calc!F22)),(Inputs!$B$23+0+(IF(ArtifactsInput!$M$15,CHOOSE(ArtifactsInput!$N$15+1,25,30,35,40,45,50)/100*(Inputs!$B$11-Inputs!$B$11),0))))/100+(Inputs!$B$23+0+(IF(ArtifactsInput!$M$15,CHOOSE(ArtifactsInput!$N$15+1,25,30,35,40,45,50)/100*(Inputs!$B$11-Inputs!$B$11),0)))/100)/2</f>
        <v/>
      </c>
      <c r="M2971">
        <f>L2971*(1+(Inputs!$B$10+((C2991=TRUE)*(F2991-Calc!F25))+B3001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1">
        <f>L2971*(1-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2971*(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1">
        <f>(1-Summary!$B$11)*T2971+Summary!$B$11*V2971</f>
        <v/>
      </c>
      <c r="P2971">
        <f>IF(B3006=0,0,O2971/B3006)</f>
        <v/>
      </c>
      <c r="Q2971">
        <f>IFERROR(1/(IF(Inputs!$B$38="pvp",15,MAX(0.1,Skills!D5-IF(Skills!E5=TRUE,3.0,0)))*(1-IF(AND(ArtifactsInput!$M$27,Inputs!$B$4="Chapter Hunt"),CHOOSE(ArtifactsInput!$N$27+1,20,24,28,32,36,40),0)/100)),0)</f>
        <v/>
      </c>
      <c r="R2971">
        <f>IF(AND(Inputs!$B$38&lt;&gt;"pvp",Inputs!$B$43&gt;0),IF(MAX(0,Inputs!$B$43-B3003)&lt;=0,0,(INT(MAX(0,Inputs!$B$43-B3003)/(IF(Inputs!$B$38="pvp",15,MAX(0.1,Skills!D5-IF(Skills!E5=TRUE,3.0,0)))*(1-IF(AND(ArtifactsInput!$M$27,Inputs!$B$4="Chapter Hunt"),CHOOSE(ArtifactsInput!$N$27+1,20,24,28,32,36,40),0)/100)))+1)),0)</f>
        <v/>
      </c>
      <c r="S2971">
        <f>IFERROR(O2971/N2971,0)</f>
        <v/>
      </c>
      <c r="T2971">
        <f>IF(C2971,(H2971*N2971*IF(AND(Inputs!$B$38&lt;&gt;"pvp",Inputs!$B$43&gt;0),((Skills!G5*((R2971-1)*IF(Skills!H5&gt;0,Skills!I5/Skills!H5,1)+IF(Skills!H5&gt;0,MIN(Skills!I5,MAX(0,MAX(0,Inputs!$B$43-B3003)-((R2971-1)*(IF(Inputs!$B$38="pvp",15,MAX(0.1,Skills!D5-IF(Skills!E5=TRUE,3.0,0)))*(1-IF(AND(ArtifactsInput!$M$27,Inputs!$B$4="Chapter Hunt"),CHOOSE(ArtifactsInput!$N$27+1,20,24,28,32,36,40),0)/100)))))/Skills!H5,1)))/Inputs!$B$43),G2971*Q2971)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2971*(1-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2971*(1-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1">
        <f>IF(C2971,(H2971*N2971*IF(AND(Inputs!$B$38&lt;&gt;"pvp",Inputs!$B$43&gt;0),((Skills!G5*((R2971-1)*IF(Skills!H5&gt;0,Skills!I5/Skills!H5,1)+IF(Skills!H5&gt;0,MIN(Skills!I5,MAX(0,MAX(0,Inputs!$B$43-B3003)-((R2971-1)*(IF(Inputs!$B$38="pvp",15,MAX(0.1,Skills!D5-IF(Skills!E5=TRUE,3.0,0)))*(1-IF(AND(ArtifactsInput!$M$27,Inputs!$B$4="Chapter Hunt"),CHOOSE(ArtifactsInput!$N$27+1,20,24,28,32,36,40),0)/100)))))/Skills!H5,1)))/Inputs!$B$43),G2971*Q2971))*IF(Inputs!$B$38="pvp",1,(1+(Inputs!$B$21+Skills!Q5+(IF(ArtifactsInput!$M$33,CHOOSE(ArtifactsInput!$N$33+1,30,36,42,48,54,60)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2">
      <c r="A2972">
        <f>Skills!A6</f>
        <v/>
      </c>
      <c r="B2972">
        <f>Skills!B6</f>
        <v/>
      </c>
      <c r="C2972">
        <f>Inputs!$B$3&gt;=63</f>
        <v/>
      </c>
      <c r="D2972">
        <f>IF(Skills!C6=1,60+Inputs!$B$25+Inputs!$B$29,IF(Skills!C6=2,90+Inputs!$B$26+Inputs!$B$29,IF(Skills!C6=3,120+Inputs!$B$27+Inputs!$B$29,MAX(0,(Inputs!$B$3-100)*3)+Inputs!$B$28+Inputs!$B$29)))</f>
        <v/>
      </c>
      <c r="E2972">
        <f>INDEX(FactorTable!$B$2:$Y$301, MATCH(ROUND(MIN(300,MAX(1,D2972)),0), FactorTable!$A$2:$A$301,0), Skills!M6+1)</f>
        <v/>
      </c>
      <c r="F2972">
        <f>IF(Skills!N6=TRUE,(Skills!L6/10)*(E2972/1000),Skills!L6/10)+Skills!O6</f>
        <v/>
      </c>
      <c r="G2972">
        <f>Skills!G6*IF(Skills!H6&gt;0,Skills!I6/Skills!H6,1)</f>
        <v/>
      </c>
      <c r="H2972">
        <f>1-(1-Skills!J6/100)^Skills!K6</f>
        <v/>
      </c>
      <c r="I2972" t="inlineStr">
        <is>
          <t>1</t>
        </is>
      </c>
      <c r="J2972">
        <f>((Inputs!$B$6*(1+Inputs!$B$7/100))+(((Inputs!$B$12*(1+Inputs!$B$13/100))-(Inputs!$B$12*(1+Inputs!$B$13/100)))+0.25*(Inputs!$B$14-Inputs!$B$14))*(1+Inputs!$B$7/100))*(F2972/100)</f>
        <v/>
      </c>
      <c r="K2972">
        <f>J2972*(1+((Inputs!$B$12*(1+Inputs!$B$13/100))*0.01+Inputs!$B$14*0.0025)/100)*(1+Inputs!$B$15/100)*(1+Inputs!$B$16/100)*(5000/(6000+Inputs!$B$42*(1-(100*(1-(1-(Inputs!$B$19+0)/100)*(1-CHOOSE(ArtifactsInput!$N$40+1,5,6,7,8,9,10)/100)^(ArtifactsInput!$M$40-ArtifactsInput!$M$40)))/100)))*(1+(Inputs!$B$24+((C2992=TRUE)*(F2992-Calc!F26))+B3002)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2981=TRUE,F2981,0)/100)*(1+(IF(Skills!A6="EIGHT_LEGS_EASTON",Inputs!$B$17+((C2989=TRUE)*(F2989-Calc!F23))+((C2993=TRUE)*(F2993-Calc!F27))+(((IF(AND(ArtifactsInput!$M$42,((Inputs!$B$9+((C2985=TRUE)*(F2985-Calc!F19))+B2996+(ArtifactsInput!$M$24-ArtifactsInput!$M$24)*CHOOSE(ArtifactsInput!$N$24+1,10,12,14,16,18,20)+IF(ArtifactsInput!$M$10,CHOOSE(ArtifactsInput!$N$10+1,15,18,21,24,27,30)*(IF(Inputs!$B$38="pvp",MIN(15,15)/15,IF(AND(Inputs!$B$38&lt;&gt;"pvp",Inputs!$B$43&gt;0),MIN(15,Inputs!$B$43)/(Inputs!$B$43),0))),0)))&gt;=100),MIN(100,((Inputs!$B$9+((C2985=TRUE)*(F2985-Calc!F19))+B2996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2985=TRUE)*(F2985-Calc!F19))+B2996+(ArtifactsInput!$M$24-ArtifactsInput!$M$24)*CHOOSE(ArtifactsInput!$N$24+1,10,12,14,16,18,20)+IF(ArtifactsInput!$M$10,CHOOSE(ArtifactsInput!$N$10+1,15,18,21,24,27,30)*(IF(Inputs!$B$38="pvp",MIN(15,15)/15,IF(AND(Inputs!$B$38&lt;&gt;"pvp",Inputs!$B$43&gt;0),MIN(15,Inputs!$B$43)/(Inputs!$B$43),0))),0)))&gt;=100),CHOOSE(ArtifactsInput!$N$42+1,40,48,56,64,72,80),0))))/100)*((1+(((C2983=TRUE)*F2983)+((C2990=TRUE)*(F2990-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2972)</f>
        <v/>
      </c>
      <c r="L2972">
        <f>K2972*(MIN(Inputs!$B$22+((C2988=TRUE)*(F2988-Calc!F22)),(Inputs!$B$23+0+(IF(ArtifactsInput!$M$15,CHOOSE(ArtifactsInput!$N$15+1,25,30,35,40,45,50)/100*(Inputs!$B$11-Inputs!$B$11),0))))/100+(Inputs!$B$23+0+(IF(ArtifactsInput!$M$15,CHOOSE(ArtifactsInput!$N$15+1,25,30,35,40,45,50)/100*(Inputs!$B$11-Inputs!$B$11),0)))/100)/2</f>
        <v/>
      </c>
      <c r="M2972">
        <f>L2972*(1+(Inputs!$B$10+((C2991=TRUE)*(F2991-Calc!F25))+B3001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2">
        <f>L2972*(1-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2972*(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2">
        <f>(1-Summary!$B$11)*T2972+Summary!$B$11*V2972</f>
        <v/>
      </c>
      <c r="P2972">
        <f>IF(B3006=0,0,O2972/B3006)</f>
        <v/>
      </c>
      <c r="Q2972">
        <f>IFERROR(1/(IF(Inputs!$B$38="pvp",15,MAX(0.1,Skills!D6-IF(Skills!E6=TRUE,3.0,0)))*(1-IF(AND(ArtifactsInput!$M$27,Inputs!$B$4="Chapter Hunt"),CHOOSE(ArtifactsInput!$N$27+1,20,24,28,32,36,40),0)/100)),0)</f>
        <v/>
      </c>
      <c r="R2972">
        <f>IF(AND(Inputs!$B$38&lt;&gt;"pvp",Inputs!$B$43&gt;0),IF(MAX(0,Inputs!$B$43-B3003)&lt;=0,0,(INT(MAX(0,Inputs!$B$43-B3003)/(IF(Inputs!$B$38="pvp",15,MAX(0.1,Skills!D6-IF(Skills!E6=TRUE,3.0,0)))*(1-IF(AND(ArtifactsInput!$M$27,Inputs!$B$4="Chapter Hunt"),CHOOSE(ArtifactsInput!$N$27+1,20,24,28,32,36,40),0)/100)))+1)),0)</f>
        <v/>
      </c>
      <c r="S2972">
        <f>IFERROR(O2972/N2972,0)</f>
        <v/>
      </c>
      <c r="T2972">
        <f>IF(C2972,(H2972*N2972*IF(AND(Inputs!$B$38&lt;&gt;"pvp",Inputs!$B$43&gt;0),((Skills!G6*((R2972-1)*IF(Skills!H6&gt;0,Skills!I6/Skills!H6,1)+IF(Skills!H6&gt;0,MIN(Skills!I6,MAX(0,MAX(0,Inputs!$B$43-B3003)-((R2972-1)*(IF(Inputs!$B$38="pvp",15,MAX(0.1,Skills!D6-IF(Skills!E6=TRUE,3.0,0)))*(1-IF(AND(ArtifactsInput!$M$27,Inputs!$B$4="Chapter Hunt"),CHOOSE(ArtifactsInput!$N$27+1,20,24,28,32,36,40),0)/100)))))/Skills!H6,1)))/Inputs!$B$43),G2972*Q2972)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2972*(1-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2972*(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2972*(1-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2972*(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2">
        <f>IF(C2972,(H2972*N2972*IF(AND(Inputs!$B$38&lt;&gt;"pvp",Inputs!$B$43&gt;0),((Skills!G6*((R2972-1)*IF(Skills!H6&gt;0,Skills!I6/Skills!H6,1)+IF(Skills!H6&gt;0,MIN(Skills!I6,MAX(0,MAX(0,Inputs!$B$43-B3003)-((R2972-1)*(IF(Inputs!$B$38="pvp",15,MAX(0.1,Skills!D6-IF(Skills!E6=TRUE,3.0,0)))*(1-IF(AND(ArtifactsInput!$M$27,Inputs!$B$4="Chapter Hunt"),CHOOSE(ArtifactsInput!$N$27+1,20,24,28,32,36,40),0)/100)))))/Skills!H6,1)))/Inputs!$B$43),G2972*Q2972))*IF(Inputs!$B$38="pvp",1,(1+(Inputs!$B$21+Skills!Q6+(IF(ArtifactsInput!$M$33,CHOOSE(ArtifactsInput!$N$33+1,30,36,42,48,54,60)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3">
      <c r="A2973">
        <f>Skills!A7</f>
        <v/>
      </c>
      <c r="B2973">
        <f>Skills!B7</f>
        <v/>
      </c>
      <c r="C2973">
        <f>Inputs!$B$3&gt;=66</f>
        <v/>
      </c>
      <c r="D2973">
        <f>IF(Skills!C7=1,60+Inputs!$B$25+Inputs!$B$29,IF(Skills!C7=2,90+Inputs!$B$26+Inputs!$B$29,IF(Skills!C7=3,120+Inputs!$B$27+Inputs!$B$29,MAX(0,(Inputs!$B$3-100)*3)+Inputs!$B$28+Inputs!$B$29)))</f>
        <v/>
      </c>
      <c r="E2973">
        <f>INDEX(FactorTable!$B$2:$Y$301, MATCH(ROUND(MIN(300,MAX(1,D2973)),0), FactorTable!$A$2:$A$301,0), Skills!M7+1)</f>
        <v/>
      </c>
      <c r="F2973">
        <f>IF(Skills!N7=TRUE,(Skills!L7/10)*(E2973/1000),Skills!L7/10)+Skills!O7</f>
        <v/>
      </c>
      <c r="G2973">
        <f>Skills!G7*IF(Skills!H7&gt;0,Skills!I7/Skills!H7,1)</f>
        <v/>
      </c>
      <c r="H2973">
        <f>1-(1-Skills!J7/100)^Skills!K7</f>
        <v/>
      </c>
      <c r="I2973" t="inlineStr">
        <is>
          <t>1</t>
        </is>
      </c>
      <c r="J2973">
        <f>((Inputs!$B$6*(1+Inputs!$B$7/100))+(((Inputs!$B$12*(1+Inputs!$B$13/100))-(Inputs!$B$12*(1+Inputs!$B$13/100)))+0.25*(Inputs!$B$14-Inputs!$B$14))*(1+Inputs!$B$7/100))*(F2973/100)</f>
        <v/>
      </c>
      <c r="K2973">
        <f>J2973*(1+((Inputs!$B$12*(1+Inputs!$B$13/100))*0.01+Inputs!$B$14*0.0025)/100)*(1+Inputs!$B$15/100)*(1+Inputs!$B$16/100)*(5000/(6000+Inputs!$B$42*(1-(100*(1-(1-(Inputs!$B$19+0)/100)*(1-CHOOSE(ArtifactsInput!$N$40+1,5,6,7,8,9,10)/100)^(ArtifactsInput!$M$40-ArtifactsInput!$M$40)))/100)))*(1+(Inputs!$B$24+((C2992=TRUE)*(F2992-Calc!F26))+B3002)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2981=TRUE,F2981,0)/100)*(1+(IF(Skills!A7="EIGHT_LEGS_EASTON",Inputs!$B$17+((C2989=TRUE)*(F2989-Calc!F23))+((C2993=TRUE)*(F2993-Calc!F27))+(((IF(AND(ArtifactsInput!$M$42,((Inputs!$B$9+((C2985=TRUE)*(F2985-Calc!F19))+B2996+(ArtifactsInput!$M$24-ArtifactsInput!$M$24)*CHOOSE(ArtifactsInput!$N$24+1,10,12,14,16,18,20)+IF(ArtifactsInput!$M$10,CHOOSE(ArtifactsInput!$N$10+1,15,18,21,24,27,30)*(IF(Inputs!$B$38="pvp",MIN(15,15)/15,IF(AND(Inputs!$B$38&lt;&gt;"pvp",Inputs!$B$43&gt;0),MIN(15,Inputs!$B$43)/(Inputs!$B$43),0))),0)))&gt;=100),MIN(100,((Inputs!$B$9+((C2985=TRUE)*(F2985-Calc!F19))+B2996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2985=TRUE)*(F2985-Calc!F19))+B2996+(ArtifactsInput!$M$24-ArtifactsInput!$M$24)*CHOOSE(ArtifactsInput!$N$24+1,10,12,14,16,18,20)+IF(ArtifactsInput!$M$10,CHOOSE(ArtifactsInput!$N$10+1,15,18,21,24,27,30)*(IF(Inputs!$B$38="pvp",MIN(15,15)/15,IF(AND(Inputs!$B$38&lt;&gt;"pvp",Inputs!$B$43&gt;0),MIN(15,Inputs!$B$43)/(Inputs!$B$43),0))),0)))&gt;=100),CHOOSE(ArtifactsInput!$N$42+1,40,48,56,64,72,80),0))))/100)*((1+(((C2983=TRUE)*F2983)+((C2990=TRUE)*(F2990-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2973)</f>
        <v/>
      </c>
      <c r="L2973">
        <f>K2973*(MIN(Inputs!$B$22+((C2988=TRUE)*(F2988-Calc!F22)),(Inputs!$B$23+0+(IF(ArtifactsInput!$M$15,CHOOSE(ArtifactsInput!$N$15+1,25,30,35,40,45,50)/100*(Inputs!$B$11-Inputs!$B$11),0))))/100+(Inputs!$B$23+0+(IF(ArtifactsInput!$M$15,CHOOSE(ArtifactsInput!$N$15+1,25,30,35,40,45,50)/100*(Inputs!$B$11-Inputs!$B$11),0)))/100)/2</f>
        <v/>
      </c>
      <c r="M2973">
        <f>L2973*(1+(Inputs!$B$10+((C2991=TRUE)*(F2991-Calc!F25))+B3001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3">
        <f>L2973*(1-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2973*(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3">
        <f>(1-Summary!$B$11)*T2973+Summary!$B$11*V2973</f>
        <v/>
      </c>
      <c r="P2973">
        <f>IF(B3006=0,0,O2973/B3006)</f>
        <v/>
      </c>
      <c r="Q2973">
        <f>IFERROR(1/(IF(Inputs!$B$38="pvp",15,MAX(0.1,Skills!D7-IF(Skills!E7=TRUE,3.0,0)))*(1-IF(AND(ArtifactsInput!$M$27,Inputs!$B$4="Chapter Hunt"),CHOOSE(ArtifactsInput!$N$27+1,20,24,28,32,36,40),0)/100)),0)</f>
        <v/>
      </c>
      <c r="R2973">
        <f>IF(AND(Inputs!$B$38&lt;&gt;"pvp",Inputs!$B$43&gt;0),IF(MAX(0,Inputs!$B$43-B3003)&lt;=0,0,(INT(MAX(0,Inputs!$B$43-B3003)/(IF(Inputs!$B$38="pvp",15,MAX(0.1,Skills!D7-IF(Skills!E7=TRUE,3.0,0)))*(1-IF(AND(ArtifactsInput!$M$27,Inputs!$B$4="Chapter Hunt"),CHOOSE(ArtifactsInput!$N$27+1,20,24,28,32,36,40),0)/100)))+1)),0)</f>
        <v/>
      </c>
      <c r="S2973">
        <f>IFERROR(O2973/N2973,0)</f>
        <v/>
      </c>
      <c r="T2973">
        <f>IF(C2973,(H2973*N2973*IF(AND(Inputs!$B$38&lt;&gt;"pvp",Inputs!$B$43&gt;0),((Skills!G7*((R2973-1)*IF(Skills!H7&gt;0,Skills!I7/Skills!H7,1)+IF(Skills!H7&gt;0,MIN(Skills!I7,MAX(0,MAX(0,Inputs!$B$43-B3003)-((R2973-1)*(IF(Inputs!$B$38="pvp",15,MAX(0.1,Skills!D7-IF(Skills!E7=TRUE,3.0,0)))*(1-IF(AND(ArtifactsInput!$M$27,Inputs!$B$4="Chapter Hunt"),CHOOSE(ArtifactsInput!$N$27+1,20,24,28,32,36,40),0)/100)))))/Skills!H7,1)))/Inputs!$B$43),G2973*Q2973)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2973*(1-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2973*(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2973*(1-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2973*(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3">
        <f>IF(C2973,(H2973*N2973*IF(AND(Inputs!$B$38&lt;&gt;"pvp",Inputs!$B$43&gt;0),((Skills!G7*((R2973-1)*IF(Skills!H7&gt;0,Skills!I7/Skills!H7,1)+IF(Skills!H7&gt;0,MIN(Skills!I7,MAX(0,MAX(0,Inputs!$B$43-B3003)-((R2973-1)*(IF(Inputs!$B$38="pvp",15,MAX(0.1,Skills!D7-IF(Skills!E7=TRUE,3.0,0)))*(1-IF(AND(ArtifactsInput!$M$27,Inputs!$B$4="Chapter Hunt"),CHOOSE(ArtifactsInput!$N$27+1,20,24,28,32,36,40),0)/100)))))/Skills!H7,1)))/Inputs!$B$43),G2973*Q2973))*IF(Inputs!$B$38="pvp",1,(1+(Inputs!$B$21+Skills!Q7+(IF(ArtifactsInput!$M$33,CHOOSE(ArtifactsInput!$N$33+1,30,36,42,48,54,60)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4">
      <c r="A2974">
        <f>Skills!A8</f>
        <v/>
      </c>
      <c r="B2974">
        <f>Skills!B8</f>
        <v/>
      </c>
      <c r="C2974">
        <f>Inputs!$B$3&gt;=100</f>
        <v/>
      </c>
      <c r="D2974">
        <f>IF(Skills!C8=1,60+Inputs!$B$25+Inputs!$B$29,IF(Skills!C8=2,90+Inputs!$B$26+Inputs!$B$29,IF(Skills!C8=3,120+Inputs!$B$27+Inputs!$B$29,MAX(0,(Inputs!$B$3-100)*3)+Inputs!$B$28+Inputs!$B$29)))</f>
        <v/>
      </c>
      <c r="E2974">
        <f>INDEX(FactorTable!$B$2:$Y$301, MATCH(ROUND(MIN(300,MAX(1,D2974)),0), FactorTable!$A$2:$A$301,0), Skills!M8+1)</f>
        <v/>
      </c>
      <c r="F2974">
        <f>IF(Skills!N8=TRUE,(Skills!L8/10)*(E2974/1000),Skills!L8/10)+Skills!O8</f>
        <v/>
      </c>
      <c r="G2974">
        <f>Skills!G8*IF(Skills!H8&gt;0,Skills!I8/Skills!H8,1)</f>
        <v/>
      </c>
      <c r="H2974">
        <f>1-(1-Skills!J8/100)^Skills!K8</f>
        <v/>
      </c>
      <c r="I2974" t="inlineStr">
        <is>
          <t>1</t>
        </is>
      </c>
      <c r="J2974">
        <f>((Inputs!$B$6*(1+Inputs!$B$7/100))+(((Inputs!$B$12*(1+Inputs!$B$13/100))-(Inputs!$B$12*(1+Inputs!$B$13/100)))+0.25*(Inputs!$B$14-Inputs!$B$14))*(1+Inputs!$B$7/100))*(F2974/100)</f>
        <v/>
      </c>
      <c r="K2974">
        <f>J2974*(1+((Inputs!$B$12*(1+Inputs!$B$13/100))*0.01+Inputs!$B$14*0.0025)/100)*(1+Inputs!$B$15/100)*(1+Inputs!$B$16/100)*(5000/(6000+Inputs!$B$42*(1-(100*(1-(1-(Inputs!$B$19+0)/100)*(1-CHOOSE(ArtifactsInput!$N$40+1,5,6,7,8,9,10)/100)^(ArtifactsInput!$M$40-ArtifactsInput!$M$40)))/100)))*(1+(Inputs!$B$24+((C2992=TRUE)*(F2992-Calc!F26))+B3002)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2989=TRUE)*(F2989-Calc!F23))+((C2993=TRUE)*(F2993-Calc!F27))+(((IF(AND(ArtifactsInput!$M$42,((Inputs!$B$9+((C2985=TRUE)*(F2985-Calc!F19))+B2996+(ArtifactsInput!$M$24-ArtifactsInput!$M$24)*CHOOSE(ArtifactsInput!$N$24+1,10,12,14,16,18,20)+IF(ArtifactsInput!$M$10,CHOOSE(ArtifactsInput!$N$10+1,15,18,21,24,27,30)*(IF(Inputs!$B$38="pvp",MIN(15,15)/15,IF(AND(Inputs!$B$38&lt;&gt;"pvp",Inputs!$B$43&gt;0),MIN(15,Inputs!$B$43)/(Inputs!$B$43),0))),0)))&gt;=100),MIN(100,((Inputs!$B$9+((C2985=TRUE)*(F2985-Calc!F19))+B2996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2985=TRUE)*(F2985-Calc!F19))+B2996+(ArtifactsInput!$M$24-ArtifactsInput!$M$24)*CHOOSE(ArtifactsInput!$N$24+1,10,12,14,16,18,20)+IF(ArtifactsInput!$M$10,CHOOSE(ArtifactsInput!$N$10+1,15,18,21,24,27,30)*(IF(Inputs!$B$38="pvp",MIN(15,15)/15,IF(AND(Inputs!$B$38&lt;&gt;"pvp",Inputs!$B$43&gt;0),MIN(15,Inputs!$B$43)/(Inputs!$B$43),0))),0)))&gt;=100),CHOOSE(ArtifactsInput!$N$42+1,40,48,56,64,72,80),0))))/100)*((1+(((C2983=TRUE)*F2983)+((C2990=TRUE)*(F2990-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2974)</f>
        <v/>
      </c>
      <c r="L2974">
        <f>K2974*(MIN(Inputs!$B$22+((C2988=TRUE)*(F2988-Calc!F22)),(Inputs!$B$23+0+(IF(ArtifactsInput!$M$15,CHOOSE(ArtifactsInput!$N$15+1,25,30,35,40,45,50)/100*(Inputs!$B$11-Inputs!$B$11),0))))/100+(Inputs!$B$23+0+(IF(ArtifactsInput!$M$15,CHOOSE(ArtifactsInput!$N$15+1,25,30,35,40,45,50)/100*(Inputs!$B$11-Inputs!$B$11),0)))/100)/2</f>
        <v/>
      </c>
      <c r="M2974">
        <f>L2974*(1+(Inputs!$B$10+((C2991=TRUE)*(F2991-Calc!F25))+B3001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4">
        <f>L2974*(1-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2974*(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4">
        <f>(1-Summary!$B$11)*T2974+Summary!$B$11*V2974</f>
        <v/>
      </c>
      <c r="P2974">
        <f>IF(B3006=0,0,O2974/B3006)</f>
        <v/>
      </c>
      <c r="Q2974">
        <f>IFERROR(1/(IF(Inputs!$B$38="pvp",15,MAX(0.1,Skills!D8-IF(Skills!E8=TRUE,3.0,0)))*(1-IF(AND(ArtifactsInput!$M$27,Inputs!$B$4="Chapter Hunt"),CHOOSE(ArtifactsInput!$N$27+1,20,24,28,32,36,40),0)/100)),0)</f>
        <v/>
      </c>
      <c r="R2974">
        <f>IF(AND(Inputs!$B$38&lt;&gt;"pvp",Inputs!$B$43&gt;0),IF(MAX(0,Inputs!$B$43-B3003)&lt;=0,0,(INT(MAX(0,Inputs!$B$43-B3003)/(IF(Inputs!$B$38="pvp",15,MAX(0.1,Skills!D8-IF(Skills!E8=TRUE,3.0,0)))*(1-IF(AND(ArtifactsInput!$M$27,Inputs!$B$4="Chapter Hunt"),CHOOSE(ArtifactsInput!$N$27+1,20,24,28,32,36,40),0)/100)))+1)),0)</f>
        <v/>
      </c>
      <c r="S2974">
        <f>IFERROR(O2974/N2974,0)</f>
        <v/>
      </c>
      <c r="T2974">
        <f>IF(C2974,(H2974*N2974*IF(AND(Inputs!$B$38&lt;&gt;"pvp",Inputs!$B$43&gt;0),((Skills!G8*((R2974-1)*IF(Skills!H8&gt;0,Skills!I8/Skills!H8,1)+IF(Skills!H8&gt;0,MIN(Skills!I8,MAX(0,MAX(0,Inputs!$B$43-B3003)-((R2974-1)*(IF(Inputs!$B$38="pvp",15,MAX(0.1,Skills!D8-IF(Skills!E8=TRUE,3.0,0)))*(1-IF(AND(ArtifactsInput!$M$27,Inputs!$B$4="Chapter Hunt"),CHOOSE(ArtifactsInput!$N$27+1,20,24,28,32,36,40),0)/100)))))/Skills!H8,1)))/Inputs!$B$43),G2974*Q2974)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2974*(1-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2974*(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2974*(1-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2974*(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4">
        <f>IF(C2974,(H2974*N2974*IF(AND(Inputs!$B$38&lt;&gt;"pvp",Inputs!$B$43&gt;0),((Skills!G8*((R2974-1)*IF(Skills!H8&gt;0,Skills!I8/Skills!H8,1)+IF(Skills!H8&gt;0,MIN(Skills!I8,MAX(0,MAX(0,Inputs!$B$43-B3003)-((R2974-1)*(IF(Inputs!$B$38="pvp",15,MAX(0.1,Skills!D8-IF(Skills!E8=TRUE,3.0,0)))*(1-IF(AND(ArtifactsInput!$M$27,Inputs!$B$4="Chapter Hunt"),CHOOSE(ArtifactsInput!$N$27+1,20,24,28,32,36,40),0)/100)))))/Skills!H8,1)))/Inputs!$B$43),G2974*Q2974))*IF(Inputs!$B$38="pvp",1,(1+(Inputs!$B$21+Skills!Q8+(IF(ArtifactsInput!$M$33,CHOOSE(ArtifactsInput!$N$33+1,30,36,42,48,54,60)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5">
      <c r="A2975">
        <f>Skills!A9</f>
        <v/>
      </c>
      <c r="B2975">
        <f>Skills!B9</f>
        <v/>
      </c>
      <c r="C2975">
        <f>Inputs!$B$3&gt;=103</f>
        <v/>
      </c>
      <c r="D2975">
        <f>IF(Skills!C9=1,60+Inputs!$B$25+Inputs!$B$29,IF(Skills!C9=2,90+Inputs!$B$26+Inputs!$B$29,IF(Skills!C9=3,120+Inputs!$B$27+Inputs!$B$29,MAX(0,(Inputs!$B$3-100)*3)+Inputs!$B$28+Inputs!$B$29)))</f>
        <v/>
      </c>
      <c r="E2975">
        <f>INDEX(FactorTable!$B$2:$Y$301, MATCH(ROUND(MIN(300,MAX(1,D2975)),0), FactorTable!$A$2:$A$301,0), Skills!M9+1)</f>
        <v/>
      </c>
      <c r="F2975">
        <f>IF(Skills!N9=TRUE,(Skills!L9/10)*(E2975/1000),Skills!L9/10)+Skills!O9</f>
        <v/>
      </c>
      <c r="G2975">
        <f>Skills!G9*IF(Skills!H9&gt;0,Skills!I9/Skills!H9,1)</f>
        <v/>
      </c>
      <c r="H2975">
        <f>1-(1-Skills!J9/100)^Skills!K9</f>
        <v/>
      </c>
      <c r="I2975" t="inlineStr">
        <is>
          <t>1</t>
        </is>
      </c>
      <c r="J2975">
        <f>((Inputs!$B$6*(1+Inputs!$B$7/100))+(((Inputs!$B$12*(1+Inputs!$B$13/100))-(Inputs!$B$12*(1+Inputs!$B$13/100)))+0.25*(Inputs!$B$14-Inputs!$B$14))*(1+Inputs!$B$7/100))*(F2975/100)</f>
        <v/>
      </c>
      <c r="K2975">
        <f>J2975*(1+((Inputs!$B$12*(1+Inputs!$B$13/100))*0.01+Inputs!$B$14*0.0025)/100)*(1+Inputs!$B$15/100)*(1+Inputs!$B$16/100)*(5000/(6000+Inputs!$B$42*(1-(100*(1-(1-(Inputs!$B$19+0)/100)*(1-CHOOSE(ArtifactsInput!$N$40+1,5,6,7,8,9,10)/100)^(ArtifactsInput!$M$40-ArtifactsInput!$M$40)))/100)))*(1+(Inputs!$B$24+((C2992=TRUE)*(F2992-Calc!F26))+B3002)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2989=TRUE)*(F2989-Calc!F23))+((C2993=TRUE)*(F2993-Calc!F27))+(((IF(AND(ArtifactsInput!$M$42,((Inputs!$B$9+((C2985=TRUE)*(F2985-Calc!F19))+B2996+(ArtifactsInput!$M$24-ArtifactsInput!$M$24)*CHOOSE(ArtifactsInput!$N$24+1,10,12,14,16,18,20)+IF(ArtifactsInput!$M$10,CHOOSE(ArtifactsInput!$N$10+1,15,18,21,24,27,30)*(IF(Inputs!$B$38="pvp",MIN(15,15)/15,IF(AND(Inputs!$B$38&lt;&gt;"pvp",Inputs!$B$43&gt;0),MIN(15,Inputs!$B$43)/(Inputs!$B$43),0))),0)))&gt;=100),MIN(100,((Inputs!$B$9+((C2985=TRUE)*(F2985-Calc!F19))+B2996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2985=TRUE)*(F2985-Calc!F19))+B2996+(ArtifactsInput!$M$24-ArtifactsInput!$M$24)*CHOOSE(ArtifactsInput!$N$24+1,10,12,14,16,18,20)+IF(ArtifactsInput!$M$10,CHOOSE(ArtifactsInput!$N$10+1,15,18,21,24,27,30)*(IF(Inputs!$B$38="pvp",MIN(15,15)/15,IF(AND(Inputs!$B$38&lt;&gt;"pvp",Inputs!$B$43&gt;0),MIN(15,Inputs!$B$43)/(Inputs!$B$43),0))),0)))&gt;=100),CHOOSE(ArtifactsInput!$N$42+1,40,48,56,64,72,80),0))))/100)*((1+(((C2983=TRUE)*F2983)+((C2990=TRUE)*(F2990-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2975)</f>
        <v/>
      </c>
      <c r="L2975">
        <f>K2975*(MIN(Inputs!$B$22+((C2988=TRUE)*(F2988-Calc!F22)),(Inputs!$B$23+0+(IF(ArtifactsInput!$M$15,CHOOSE(ArtifactsInput!$N$15+1,25,30,35,40,45,50)/100*(Inputs!$B$11-Inputs!$B$11),0))))/100+(Inputs!$B$23+0+(IF(ArtifactsInput!$M$15,CHOOSE(ArtifactsInput!$N$15+1,25,30,35,40,45,50)/100*(Inputs!$B$11-Inputs!$B$11),0)))/100)/2</f>
        <v/>
      </c>
      <c r="M2975">
        <f>L2975*(1+(Inputs!$B$10+((C2991=TRUE)*(F2991-Calc!F25))+B3001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5">
        <f>L2975*(1-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2975*(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5">
        <f>(1-Summary!$B$11)*T2975+Summary!$B$11*V2975</f>
        <v/>
      </c>
      <c r="P2975">
        <f>IF(B3006=0,0,O2975/B3006)</f>
        <v/>
      </c>
      <c r="Q2975">
        <f>IFERROR(1/(IF(Inputs!$B$38="pvp",15,MAX(0.1,Skills!D9-IF(Skills!E9=TRUE,3.0,0)))*(1-IF(AND(ArtifactsInput!$M$27,Inputs!$B$4="Chapter Hunt"),CHOOSE(ArtifactsInput!$N$27+1,20,24,28,32,36,40),0)/100)),0)</f>
        <v/>
      </c>
      <c r="R2975">
        <f>IF(AND(Inputs!$B$38&lt;&gt;"pvp",Inputs!$B$43&gt;0),IF(MAX(0,Inputs!$B$43-B3003)&lt;=0,0,(INT(MAX(0,Inputs!$B$43-B3003)/(IF(Inputs!$B$38="pvp",15,MAX(0.1,Skills!D9-IF(Skills!E9=TRUE,3.0,0)))*(1-IF(AND(ArtifactsInput!$M$27,Inputs!$B$4="Chapter Hunt"),CHOOSE(ArtifactsInput!$N$27+1,20,24,28,32,36,40),0)/100)))+1)),0)</f>
        <v/>
      </c>
      <c r="S2975">
        <f>IFERROR(O2975/N2975,0)</f>
        <v/>
      </c>
      <c r="T2975">
        <f>IF(C2975,(H2975*N2975*IF(AND(Inputs!$B$38&lt;&gt;"pvp",Inputs!$B$43&gt;0),((Skills!G9*((R2975-1)*IF(Skills!H9&gt;0,Skills!I9/Skills!H9,1)+IF(Skills!H9&gt;0,MIN(Skills!I9,MAX(0,MAX(0,Inputs!$B$43-B3003)-((R2975-1)*(IF(Inputs!$B$38="pvp",15,MAX(0.1,Skills!D9-IF(Skills!E9=TRUE,3.0,0)))*(1-IF(AND(ArtifactsInput!$M$27,Inputs!$B$4="Chapter Hunt"),CHOOSE(ArtifactsInput!$N$27+1,20,24,28,32,36,40),0)/100)))))/Skills!H9,1)))/Inputs!$B$43),G2975*Q2975)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2975*(1-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2975*(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2975*(1-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2975*(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5">
        <f>IF(C2975,(H2975*N2975*IF(AND(Inputs!$B$38&lt;&gt;"pvp",Inputs!$B$43&gt;0),((Skills!G9*((R2975-1)*IF(Skills!H9&gt;0,Skills!I9/Skills!H9,1)+IF(Skills!H9&gt;0,MIN(Skills!I9,MAX(0,MAX(0,Inputs!$B$43-B3003)-((R2975-1)*(IF(Inputs!$B$38="pvp",15,MAX(0.1,Skills!D9-IF(Skills!E9=TRUE,3.0,0)))*(1-IF(AND(ArtifactsInput!$M$27,Inputs!$B$4="Chapter Hunt"),CHOOSE(ArtifactsInput!$N$27+1,20,24,28,32,36,40),0)/100)))))/Skills!H9,1)))/Inputs!$B$43),G2975*Q2975))*IF(Inputs!$B$38="pvp",1,(1+(Inputs!$B$21+Skills!Q9+(IF(ArtifactsInput!$M$33,CHOOSE(ArtifactsInput!$N$33+1,30,36,42,48,54,60)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6">
      <c r="A2976">
        <f>Skills!A10</f>
        <v/>
      </c>
      <c r="B2976">
        <f>Skills!B10</f>
        <v/>
      </c>
      <c r="C2976">
        <f>Inputs!$B$3&gt;=113</f>
        <v/>
      </c>
      <c r="D2976">
        <f>IF(Skills!C10=1,60+Inputs!$B$25+Inputs!$B$29,IF(Skills!C10=2,90+Inputs!$B$26+Inputs!$B$29,IF(Skills!C10=3,120+Inputs!$B$27+Inputs!$B$29,MAX(0,(Inputs!$B$3-100)*3)+Inputs!$B$28+Inputs!$B$29)))</f>
        <v/>
      </c>
      <c r="E2976">
        <f>INDEX(FactorTable!$B$2:$Y$301, MATCH(ROUND(MIN(300,MAX(1,D2976)),0), FactorTable!$A$2:$A$301,0), Skills!M10+1)</f>
        <v/>
      </c>
      <c r="F2976">
        <f>IF(Skills!N10=TRUE,(Skills!L10/10)*(E2976/1000),Skills!L10/10)+Skills!O10</f>
        <v/>
      </c>
      <c r="G2976">
        <f>Skills!G10*IF(Skills!H10&gt;0,Skills!I10/Skills!H10,1)</f>
        <v/>
      </c>
      <c r="H2976">
        <f>1-(1-Skills!J10/100)^Skills!K10</f>
        <v/>
      </c>
      <c r="I2976" t="inlineStr">
        <is>
          <t>1</t>
        </is>
      </c>
      <c r="J2976">
        <f>((Inputs!$B$6*(1+Inputs!$B$7/100))+(((Inputs!$B$12*(1+Inputs!$B$13/100))-(Inputs!$B$12*(1+Inputs!$B$13/100)))+0.25*(Inputs!$B$14-Inputs!$B$14))*(1+Inputs!$B$7/100))*(F2976/100)</f>
        <v/>
      </c>
      <c r="K2976">
        <f>J2976*(1+((Inputs!$B$12*(1+Inputs!$B$13/100))*0.01+Inputs!$B$14*0.0025)/100)*(1+Inputs!$B$15/100)*(1+Inputs!$B$16/100)*(5000/(6000+Inputs!$B$42*(1-(100*(1-(1-(Inputs!$B$19+0)/100)*(1-CHOOSE(ArtifactsInput!$N$40+1,5,6,7,8,9,10)/100)^(ArtifactsInput!$M$40-ArtifactsInput!$M$40)))/100)))*(1+(Inputs!$B$24+((C2992=TRUE)*(F2992-Calc!F26))+B3002)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2989=TRUE)*(F2989-Calc!F23))+((C2993=TRUE)*(F2993-Calc!F27))+(((IF(AND(ArtifactsInput!$M$42,((Inputs!$B$9+((C2985=TRUE)*(F2985-Calc!F19))+B2996+(ArtifactsInput!$M$24-ArtifactsInput!$M$24)*CHOOSE(ArtifactsInput!$N$24+1,10,12,14,16,18,20)+IF(ArtifactsInput!$M$10,CHOOSE(ArtifactsInput!$N$10+1,15,18,21,24,27,30)*(IF(Inputs!$B$38="pvp",MIN(15,15)/15,IF(AND(Inputs!$B$38&lt;&gt;"pvp",Inputs!$B$43&gt;0),MIN(15,Inputs!$B$43)/(Inputs!$B$43),0))),0)))&gt;=100),MIN(100,((Inputs!$B$9+((C2985=TRUE)*(F2985-Calc!F19))+B2996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2985=TRUE)*(F2985-Calc!F19))+B2996+(ArtifactsInput!$M$24-ArtifactsInput!$M$24)*CHOOSE(ArtifactsInput!$N$24+1,10,12,14,16,18,20)+IF(ArtifactsInput!$M$10,CHOOSE(ArtifactsInput!$N$10+1,15,18,21,24,27,30)*(IF(Inputs!$B$38="pvp",MIN(15,15)/15,IF(AND(Inputs!$B$38&lt;&gt;"pvp",Inputs!$B$43&gt;0),MIN(15,Inputs!$B$43)/(Inputs!$B$43),0))),0)))&gt;=100),CHOOSE(ArtifactsInput!$N$42+1,40,48,56,64,72,80),0))))/100)*((1+(((C2983=TRUE)*F2983)+((C2990=TRUE)*(F2990-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2976)</f>
        <v/>
      </c>
      <c r="L2976">
        <f>K2976*(MIN(Inputs!$B$22+((C2988=TRUE)*(F2988-Calc!F22)),(Inputs!$B$23+0+(IF(ArtifactsInput!$M$15,CHOOSE(ArtifactsInput!$N$15+1,25,30,35,40,45,50)/100*(Inputs!$B$11-Inputs!$B$11),0))))/100+(Inputs!$B$23+0+(IF(ArtifactsInput!$M$15,CHOOSE(ArtifactsInput!$N$15+1,25,30,35,40,45,50)/100*(Inputs!$B$11-Inputs!$B$11),0)))/100)/2</f>
        <v/>
      </c>
      <c r="M2976">
        <f>L2976*(1+(Inputs!$B$10+((C2991=TRUE)*(F2991-Calc!F25))+B3001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6">
        <f>L2976*(1-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2976*(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6">
        <f>(1-Summary!$B$11)*T2976+Summary!$B$11*V2976</f>
        <v/>
      </c>
      <c r="P2976">
        <f>IF(B3006=0,0,O2976/B3006)</f>
        <v/>
      </c>
      <c r="Q2976">
        <f>IFERROR(1/(IF(Inputs!$B$38="pvp",15,MAX(0.1,Skills!D10-IF(Skills!E10=TRUE,3.0,0)))*(1-IF(AND(ArtifactsInput!$M$27,Inputs!$B$4="Chapter Hunt"),CHOOSE(ArtifactsInput!$N$27+1,20,24,28,32,36,40),0)/100)),0)</f>
        <v/>
      </c>
      <c r="R2976">
        <f>IF(AND(Inputs!$B$38&lt;&gt;"pvp",Inputs!$B$43&gt;0),IF(MAX(0,Inputs!$B$43-B3003)&lt;=0,0,(INT(MAX(0,Inputs!$B$43-B3003)/(IF(Inputs!$B$38="pvp",15,MAX(0.1,Skills!D10-IF(Skills!E10=TRUE,3.0,0)))*(1-IF(AND(ArtifactsInput!$M$27,Inputs!$B$4="Chapter Hunt"),CHOOSE(ArtifactsInput!$N$27+1,20,24,28,32,36,40),0)/100)))+1)),0)</f>
        <v/>
      </c>
      <c r="S2976">
        <f>IFERROR(O2976/N2976,0)</f>
        <v/>
      </c>
      <c r="T2976">
        <f>IF(C2976,(H2976*N2976*IF(AND(Inputs!$B$38&lt;&gt;"pvp",Inputs!$B$43&gt;0),((Skills!G10*((R2976-1)*IF(Skills!H10&gt;0,Skills!I10/Skills!H10,1)+IF(Skills!H10&gt;0,MIN(Skills!I10,MAX(0,MAX(0,Inputs!$B$43-B3003)-((R2976-1)*(IF(Inputs!$B$38="pvp",15,MAX(0.1,Skills!D10-IF(Skills!E10=TRUE,3.0,0)))*(1-IF(AND(ArtifactsInput!$M$27,Inputs!$B$4="Chapter Hunt"),CHOOSE(ArtifactsInput!$N$27+1,20,24,28,32,36,40),0)/100)))))/Skills!H10,1)))/Inputs!$B$43),G2976*Q2976)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2976*(1-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2976*(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2976*(1-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2976*(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6">
        <f>IF(C2976,(H2976*N2976*IF(AND(Inputs!$B$38&lt;&gt;"pvp",Inputs!$B$43&gt;0),((Skills!G10*((R2976-1)*IF(Skills!H10&gt;0,Skills!I10/Skills!H10,1)+IF(Skills!H10&gt;0,MIN(Skills!I10,MAX(0,MAX(0,Inputs!$B$43-B3003)-((R2976-1)*(IF(Inputs!$B$38="pvp",15,MAX(0.1,Skills!D10-IF(Skills!E10=TRUE,3.0,0)))*(1-IF(AND(ArtifactsInput!$M$27,Inputs!$B$4="Chapter Hunt"),CHOOSE(ArtifactsInput!$N$27+1,20,24,28,32,36,40),0)/100)))))/Skills!H10,1)))/Inputs!$B$43),G2976*Q2976))*IF(Inputs!$B$38="pvp",1,(1+(Inputs!$B$21+Skills!Q10+(IF(ArtifactsInput!$M$33,CHOOSE(ArtifactsInput!$N$33+1,30,36,42,48,54,60)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7">
      <c r="A2977">
        <f>Skills!A11</f>
        <v/>
      </c>
      <c r="B2977">
        <f>Skills!B11</f>
        <v/>
      </c>
      <c r="C2977">
        <f>Inputs!$B$3&gt;=107</f>
        <v/>
      </c>
      <c r="D2977">
        <f>IF(Skills!C11=1,60+Inputs!$B$25+Inputs!$B$29,IF(Skills!C11=2,90+Inputs!$B$26+Inputs!$B$29,IF(Skills!C11=3,120+Inputs!$B$27+Inputs!$B$29,MAX(0,(Inputs!$B$3-100)*3)+Inputs!$B$28+Inputs!$B$29)))</f>
        <v/>
      </c>
      <c r="E2977">
        <f>INDEX(FactorTable!$B$2:$Y$301, MATCH(ROUND(MIN(300,MAX(1,D2977)),0), FactorTable!$A$2:$A$301,0), Skills!M11+1)</f>
        <v/>
      </c>
      <c r="F2977">
        <f>IF(Skills!N11=TRUE,(Skills!L11/10)*(E2977/1000),Skills!L11/10)+Skills!O11</f>
        <v/>
      </c>
      <c r="G2977">
        <f>Skills!G11*IF(Skills!H11&gt;0,Skills!I11/Skills!H11,1)</f>
        <v/>
      </c>
      <c r="H2977">
        <f>1-(1-Skills!J11/100)^Skills!K11</f>
        <v/>
      </c>
      <c r="I2977" t="inlineStr">
        <is>
          <t>1</t>
        </is>
      </c>
      <c r="J2977">
        <f>((Inputs!$B$6*(1+Inputs!$B$7/100))+(((Inputs!$B$12*(1+Inputs!$B$13/100))-(Inputs!$B$12*(1+Inputs!$B$13/100)))+0.25*(Inputs!$B$14-Inputs!$B$14))*(1+Inputs!$B$7/100))*(F2977/100)</f>
        <v/>
      </c>
      <c r="K2977">
        <f>J2977*(1+((Inputs!$B$12*(1+Inputs!$B$13/100))*0.01+Inputs!$B$14*0.0025)/100)*(1+Inputs!$B$15/100)*(1+Inputs!$B$16/100)*(5000/(6000+Inputs!$B$42*(1-(100*(1-(1-(Inputs!$B$19+0)/100)*(1-CHOOSE(ArtifactsInput!$N$40+1,5,6,7,8,9,10)/100)^(ArtifactsInput!$M$40-ArtifactsInput!$M$40)))/100)))*(1+(Inputs!$B$24+((C2992=TRUE)*(F2992-Calc!F26))+B3002)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2989=TRUE)*(F2989-Calc!F23))+((C2993=TRUE)*(F2993-Calc!F27))+(((IF(AND(ArtifactsInput!$M$42,((Inputs!$B$9+((C2985=TRUE)*(F2985-Calc!F19))+B2996+(ArtifactsInput!$M$24-ArtifactsInput!$M$24)*CHOOSE(ArtifactsInput!$N$24+1,10,12,14,16,18,20)+IF(ArtifactsInput!$M$10,CHOOSE(ArtifactsInput!$N$10+1,15,18,21,24,27,30)*(IF(Inputs!$B$38="pvp",MIN(15,15)/15,IF(AND(Inputs!$B$38&lt;&gt;"pvp",Inputs!$B$43&gt;0),MIN(15,Inputs!$B$43)/(Inputs!$B$43),0))),0)))&gt;=100),MIN(100,((Inputs!$B$9+((C2985=TRUE)*(F2985-Calc!F19))+B2996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2985=TRUE)*(F2985-Calc!F19))+B2996+(ArtifactsInput!$M$24-ArtifactsInput!$M$24)*CHOOSE(ArtifactsInput!$N$24+1,10,12,14,16,18,20)+IF(ArtifactsInput!$M$10,CHOOSE(ArtifactsInput!$N$10+1,15,18,21,24,27,30)*(IF(Inputs!$B$38="pvp",MIN(15,15)/15,IF(AND(Inputs!$B$38&lt;&gt;"pvp",Inputs!$B$43&gt;0),MIN(15,Inputs!$B$43)/(Inputs!$B$43),0))),0)))&gt;=100),CHOOSE(ArtifactsInput!$N$42+1,40,48,56,64,72,80),0))))/100)*((1+(((C2983=TRUE)*F2983)+((C2990=TRUE)*(F2990-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2977)</f>
        <v/>
      </c>
      <c r="L2977">
        <f>K2977*(MIN(Inputs!$B$22+((C2988=TRUE)*(F2988-Calc!F22)),(Inputs!$B$23+0+(IF(ArtifactsInput!$M$15,CHOOSE(ArtifactsInput!$N$15+1,25,30,35,40,45,50)/100*(Inputs!$B$11-Inputs!$B$11),0))))/100+(Inputs!$B$23+0+(IF(ArtifactsInput!$M$15,CHOOSE(ArtifactsInput!$N$15+1,25,30,35,40,45,50)/100*(Inputs!$B$11-Inputs!$B$11),0)))/100)/2</f>
        <v/>
      </c>
      <c r="M2977">
        <f>L2977*(1+(Inputs!$B$10+((C2991=TRUE)*(F2991-Calc!F25))+B3001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7">
        <f>L2977*(1-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2977*(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7">
        <f>(1-Summary!$B$11)*T2977+Summary!$B$11*V2977</f>
        <v/>
      </c>
      <c r="P2977">
        <f>IF(B3006=0,0,O2977/B3006)</f>
        <v/>
      </c>
      <c r="Q2977">
        <f>IFERROR(1/(IF(Inputs!$B$38="pvp",15,MAX(0.1,Skills!D11-IF(Skills!E11=TRUE,3.0,0)))*(1-IF(AND(ArtifactsInput!$M$27,Inputs!$B$4="Chapter Hunt"),CHOOSE(ArtifactsInput!$N$27+1,20,24,28,32,36,40),0)/100)),0)</f>
        <v/>
      </c>
      <c r="R2977">
        <f>IF(AND(Inputs!$B$38&lt;&gt;"pvp",Inputs!$B$43&gt;0),IF(MAX(0,Inputs!$B$43-B3003)&lt;=0,0,(INT(MAX(0,Inputs!$B$43-B3003)/(IF(Inputs!$B$38="pvp",15,MAX(0.1,Skills!D11-IF(Skills!E11=TRUE,3.0,0)))*(1-IF(AND(ArtifactsInput!$M$27,Inputs!$B$4="Chapter Hunt"),CHOOSE(ArtifactsInput!$N$27+1,20,24,28,32,36,40),0)/100)))+1)),0)</f>
        <v/>
      </c>
      <c r="S2977">
        <f>IFERROR(O2977/N2977,0)</f>
        <v/>
      </c>
      <c r="T2977">
        <f>IF(C2977,(H2977*N2977*IF(AND(Inputs!$B$38&lt;&gt;"pvp",Inputs!$B$43&gt;0),((Skills!G11*((R2977-1)*IF(Skills!H11&gt;0,Skills!I11/Skills!H11,1)+IF(Skills!H11&gt;0,MIN(Skills!I11,MAX(0,MAX(0,Inputs!$B$43-B3003)-((R2977-1)*(IF(Inputs!$B$38="pvp",15,MAX(0.1,Skills!D11-IF(Skills!E11=TRUE,3.0,0)))*(1-IF(AND(ArtifactsInput!$M$27,Inputs!$B$4="Chapter Hunt"),CHOOSE(ArtifactsInput!$N$27+1,20,24,28,32,36,40),0)/100)))))/Skills!H11,1)))/Inputs!$B$43),G2977*Q2977)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2977*(1-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2977*(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2977*(1-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2977*(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7">
        <f>IF(C2977,(H2977*N2977*IF(AND(Inputs!$B$38&lt;&gt;"pvp",Inputs!$B$43&gt;0),((Skills!G11*((R2977-1)*IF(Skills!H11&gt;0,Skills!I11/Skills!H11,1)+IF(Skills!H11&gt;0,MIN(Skills!I11,MAX(0,MAX(0,Inputs!$B$43-B3003)-((R2977-1)*(IF(Inputs!$B$38="pvp",15,MAX(0.1,Skills!D11-IF(Skills!E11=TRUE,3.0,0)))*(1-IF(AND(ArtifactsInput!$M$27,Inputs!$B$4="Chapter Hunt"),CHOOSE(ArtifactsInput!$N$27+1,20,24,28,32,36,40),0)/100)))))/Skills!H11,1)))/Inputs!$B$43),G2977*Q2977))*IF(Inputs!$B$38="pvp",1,(1+(Inputs!$B$21+Skills!Q11+(IF(ArtifactsInput!$M$33,CHOOSE(ArtifactsInput!$N$33+1,30,36,42,48,54,60)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8">
      <c r="A2978">
        <f>Skills!A12</f>
        <v/>
      </c>
      <c r="B2978">
        <f>Skills!B12</f>
        <v/>
      </c>
      <c r="C2978">
        <f>Inputs!$B$3&gt;=110</f>
        <v/>
      </c>
      <c r="D2978">
        <f>IF(Skills!C12=1,60+Inputs!$B$25+Inputs!$B$29,IF(Skills!C12=2,90+Inputs!$B$26+Inputs!$B$29,IF(Skills!C12=3,120+Inputs!$B$27+Inputs!$B$29,MAX(0,(Inputs!$B$3-100)*3)+Inputs!$B$28+Inputs!$B$29)))</f>
        <v/>
      </c>
      <c r="E2978">
        <f>INDEX(FactorTable!$B$2:$Y$301, MATCH(ROUND(MIN(300,MAX(1,D2978)),0), FactorTable!$A$2:$A$301,0), Skills!M12+1)</f>
        <v/>
      </c>
      <c r="F2978">
        <f>IF(Skills!N12=TRUE,(Skills!L12/10)*(E2978/1000),Skills!L12/10)+Skills!O12</f>
        <v/>
      </c>
      <c r="G2978">
        <f>Skills!G12*IF(Skills!H12&gt;0,Skills!I12/Skills!H12,1)</f>
        <v/>
      </c>
      <c r="H2978">
        <f>1-(1-Skills!J12/100)^Skills!K12</f>
        <v/>
      </c>
      <c r="I2978" t="inlineStr">
        <is>
          <t>1</t>
        </is>
      </c>
      <c r="J2978">
        <f>((Inputs!$B$6*(1+Inputs!$B$7/100))+(((Inputs!$B$12*(1+Inputs!$B$13/100))-(Inputs!$B$12*(1+Inputs!$B$13/100)))+0.25*(Inputs!$B$14-Inputs!$B$14))*(1+Inputs!$B$7/100))*(F2978/100)</f>
        <v/>
      </c>
      <c r="K2978">
        <f>J2978*(1+((Inputs!$B$12*(1+Inputs!$B$13/100))*0.01+Inputs!$B$14*0.0025)/100)*(1+Inputs!$B$15/100)*(1+Inputs!$B$16/100)*(5000/(6000+Inputs!$B$42*(1-(100*(1-(1-(Inputs!$B$19+0)/100)*(1-CHOOSE(ArtifactsInput!$N$40+1,5,6,7,8,9,10)/100)^(ArtifactsInput!$M$40-ArtifactsInput!$M$40)))/100)))*(1+(Inputs!$B$24+((C2992=TRUE)*(F2992-Calc!F26))+B3002)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2989=TRUE)*(F2989-Calc!F23))+((C2993=TRUE)*(F2993-Calc!F27))+(((IF(AND(ArtifactsInput!$M$42,((Inputs!$B$9+((C2985=TRUE)*(F2985-Calc!F19))+B2996+(ArtifactsInput!$M$24-ArtifactsInput!$M$24)*CHOOSE(ArtifactsInput!$N$24+1,10,12,14,16,18,20)+IF(ArtifactsInput!$M$10,CHOOSE(ArtifactsInput!$N$10+1,15,18,21,24,27,30)*(IF(Inputs!$B$38="pvp",MIN(15,15)/15,IF(AND(Inputs!$B$38&lt;&gt;"pvp",Inputs!$B$43&gt;0),MIN(15,Inputs!$B$43)/(Inputs!$B$43),0))),0)))&gt;=100),MIN(100,((Inputs!$B$9+((C2985=TRUE)*(F2985-Calc!F19))+B2996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2985=TRUE)*(F2985-Calc!F19))+B2996+(ArtifactsInput!$M$24-ArtifactsInput!$M$24)*CHOOSE(ArtifactsInput!$N$24+1,10,12,14,16,18,20)+IF(ArtifactsInput!$M$10,CHOOSE(ArtifactsInput!$N$10+1,15,18,21,24,27,30)*(IF(Inputs!$B$38="pvp",MIN(15,15)/15,IF(AND(Inputs!$B$38&lt;&gt;"pvp",Inputs!$B$43&gt;0),MIN(15,Inputs!$B$43)/(Inputs!$B$43),0))),0)))&gt;=100),CHOOSE(ArtifactsInput!$N$42+1,40,48,56,64,72,80),0))))/100)*((1+(((C2983=TRUE)*F2983)+((C2990=TRUE)*(F2990-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2978)</f>
        <v/>
      </c>
      <c r="L2978">
        <f>K2978*(MIN(Inputs!$B$22+((C2988=TRUE)*(F2988-Calc!F22)),(Inputs!$B$23+0+(IF(ArtifactsInput!$M$15,CHOOSE(ArtifactsInput!$N$15+1,25,30,35,40,45,50)/100*(Inputs!$B$11-Inputs!$B$11),0))))/100+(Inputs!$B$23+0+(IF(ArtifactsInput!$M$15,CHOOSE(ArtifactsInput!$N$15+1,25,30,35,40,45,50)/100*(Inputs!$B$11-Inputs!$B$11),0)))/100)/2</f>
        <v/>
      </c>
      <c r="M2978">
        <f>L2978*(1+(Inputs!$B$10+((C2991=TRUE)*(F2991-Calc!F25))+B3001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8">
        <f>L2978*(1-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2978*(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8">
        <f>(1-Summary!$B$11)*T2978+Summary!$B$11*V2978</f>
        <v/>
      </c>
      <c r="P2978">
        <f>IF(B3006=0,0,O2978/B3006)</f>
        <v/>
      </c>
      <c r="Q2978">
        <f>IFERROR(1/(IF(Inputs!$B$38="pvp",15,MAX(0.1,Skills!D12-IF(Skills!E12=TRUE,3.0,0)))*(1-IF(AND(ArtifactsInput!$M$27,Inputs!$B$4="Chapter Hunt"),CHOOSE(ArtifactsInput!$N$27+1,20,24,28,32,36,40),0)/100)),0)</f>
        <v/>
      </c>
      <c r="R2978">
        <f>IF(AND(Inputs!$B$38&lt;&gt;"pvp",Inputs!$B$43&gt;0),IF(MAX(0,Inputs!$B$43-B3003)&lt;=0,0,(INT(MAX(0,Inputs!$B$43-B3003)/(IF(Inputs!$B$38="pvp",15,MAX(0.1,Skills!D12-IF(Skills!E12=TRUE,3.0,0)))*(1-IF(AND(ArtifactsInput!$M$27,Inputs!$B$4="Chapter Hunt"),CHOOSE(ArtifactsInput!$N$27+1,20,24,28,32,36,40),0)/100)))+1)),0)</f>
        <v/>
      </c>
      <c r="S2978">
        <f>IFERROR(O2978/N2978,0)</f>
        <v/>
      </c>
      <c r="T2978">
        <f>IF(C2978,(H2978*N2978*IF(AND(Inputs!$B$38&lt;&gt;"pvp",Inputs!$B$43&gt;0),((Skills!G12*((R2978-1)*IF(Skills!H12&gt;0,Skills!I12/Skills!H12,1)+IF(Skills!H12&gt;0,MIN(Skills!I12,MAX(0,MAX(0,Inputs!$B$43-B3003)-((R2978-1)*(IF(Inputs!$B$38="pvp",15,MAX(0.1,Skills!D12-IF(Skills!E12=TRUE,3.0,0)))*(1-IF(AND(ArtifactsInput!$M$27,Inputs!$B$4="Chapter Hunt"),CHOOSE(ArtifactsInput!$N$27+1,20,24,28,32,36,40),0)/100)))))/Skills!H12,1)))/Inputs!$B$43),G2978*Q2978))*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2978*(1-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2978*(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2978*(1-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2978*(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8">
        <f>IF(C2978,(H2978*N2978*IF(AND(Inputs!$B$38&lt;&gt;"pvp",Inputs!$B$43&gt;0),((Skills!G12*((R2978-1)*IF(Skills!H12&gt;0,Skills!I12/Skills!H12,1)+IF(Skills!H12&gt;0,MIN(Skills!I12,MAX(0,MAX(0,Inputs!$B$43-B3003)-((R2978-1)*(IF(Inputs!$B$38="pvp",15,MAX(0.1,Skills!D12-IF(Skills!E12=TRUE,3.0,0)))*(1-IF(AND(ArtifactsInput!$M$27,Inputs!$B$4="Chapter Hunt"),CHOOSE(ArtifactsInput!$N$27+1,20,24,28,32,36,40),0)/100)))))/Skills!H12,1)))/Inputs!$B$43),G2978*Q2978))*IF(Inputs!$B$38="pvp",1,(1+(Inputs!$B$21+Skills!Q12+(IF(ArtifactsInput!$M$33,CHOOSE(ArtifactsInput!$N$33+1,30,36,42,48,54,60)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9">
      <c r="A2979">
        <f>Skills!A13</f>
        <v/>
      </c>
      <c r="B2979">
        <f>Skills!B13</f>
        <v/>
      </c>
      <c r="C2979">
        <f>Inputs!$B$3&gt;=110</f>
        <v/>
      </c>
      <c r="D2979">
        <f>IF(Skills!C13=1,60+Inputs!$B$25+Inputs!$B$29,IF(Skills!C13=2,90+Inputs!$B$26+Inputs!$B$29,IF(Skills!C13=3,120+Inputs!$B$27+Inputs!$B$29,MAX(0,(Inputs!$B$3-100)*3)+Inputs!$B$28+Inputs!$B$29)))</f>
        <v/>
      </c>
      <c r="E2979">
        <f>INDEX(FactorTable!$B$2:$Y$301, MATCH(ROUND(MIN(300,MAX(1,D2979)),0), FactorTable!$A$2:$A$301,0), Skills!M13+1)</f>
        <v/>
      </c>
      <c r="F2979">
        <f>IF(Skills!N13=TRUE,(Skills!L13/10)*(E2979/1000),Skills!L13/10)+Skills!O13</f>
        <v/>
      </c>
      <c r="G2979">
        <f>Skills!G13*IF(Skills!H13&gt;0,Skills!I13/Skills!H13,1)</f>
        <v/>
      </c>
      <c r="H2979">
        <f>1-(1-Skills!J13/100)^Skills!K13</f>
        <v/>
      </c>
      <c r="I2979" t="inlineStr">
        <is>
          <t>1</t>
        </is>
      </c>
      <c r="J2979">
        <f>((Inputs!$B$6*(1+Inputs!$B$7/100))+(((Inputs!$B$12*(1+Inputs!$B$13/100))-(Inputs!$B$12*(1+Inputs!$B$13/100)))+0.25*(Inputs!$B$14-Inputs!$B$14))*(1+Inputs!$B$7/100))*(F2979/100)</f>
        <v/>
      </c>
      <c r="K2979">
        <f>J2979*(1+((Inputs!$B$12*(1+Inputs!$B$13/100))*0.01+Inputs!$B$14*0.0025)/100)*(1+Inputs!$B$15/100)*(1+Inputs!$B$16/100)*(5000/(6000+Inputs!$B$42*(1-(100*(1-(1-(Inputs!$B$19+0)/100)*(1-CHOOSE(ArtifactsInput!$N$40+1,5,6,7,8,9,10)/100)^(ArtifactsInput!$M$40-ArtifactsInput!$M$40)))/100)))*(1+(Inputs!$B$24+((C2992=TRUE)*(F2992-Calc!F26))+B3002)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2989=TRUE)*(F2989-Calc!F23))+((C2993=TRUE)*(F2993-Calc!F27))+(((IF(AND(ArtifactsInput!$M$42,((Inputs!$B$9+((C2985=TRUE)*(F2985-Calc!F19))+B2996+(ArtifactsInput!$M$24-ArtifactsInput!$M$24)*CHOOSE(ArtifactsInput!$N$24+1,10,12,14,16,18,20)+IF(ArtifactsInput!$M$10,CHOOSE(ArtifactsInput!$N$10+1,15,18,21,24,27,30)*(IF(Inputs!$B$38="pvp",MIN(15,15)/15,IF(AND(Inputs!$B$38&lt;&gt;"pvp",Inputs!$B$43&gt;0),MIN(15,Inputs!$B$43)/(Inputs!$B$43),0))),0)))&gt;=100),MIN(100,((Inputs!$B$9+((C2985=TRUE)*(F2985-Calc!F19))+B2996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2985=TRUE)*(F2985-Calc!F19))+B2996+(ArtifactsInput!$M$24-ArtifactsInput!$M$24)*CHOOSE(ArtifactsInput!$N$24+1,10,12,14,16,18,20)+IF(ArtifactsInput!$M$10,CHOOSE(ArtifactsInput!$N$10+1,15,18,21,24,27,30)*(IF(Inputs!$B$38="pvp",MIN(15,15)/15,IF(AND(Inputs!$B$38&lt;&gt;"pvp",Inputs!$B$43&gt;0),MIN(15,Inputs!$B$43)/(Inputs!$B$43),0))),0)))&gt;=100),CHOOSE(ArtifactsInput!$N$42+1,40,48,56,64,72,80),0))))/100)*((1+(((C2983=TRUE)*F2983)+((C2990=TRUE)*(F2990-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2979)</f>
        <v/>
      </c>
      <c r="L2979">
        <f>K2979*(MIN(Inputs!$B$22+((C2988=TRUE)*(F2988-Calc!F22)),(Inputs!$B$23+0+(IF(ArtifactsInput!$M$15,CHOOSE(ArtifactsInput!$N$15+1,25,30,35,40,45,50)/100*(Inputs!$B$11-Inputs!$B$11),0))))/100+(Inputs!$B$23+0+(IF(ArtifactsInput!$M$15,CHOOSE(ArtifactsInput!$N$15+1,25,30,35,40,45,50)/100*(Inputs!$B$11-Inputs!$B$11),0)))/100)/2</f>
        <v/>
      </c>
      <c r="M2979">
        <f>L2979*(1+(Inputs!$B$10+((C2991=TRUE)*(F2991-Calc!F25))+B3001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9">
        <f>L2979*(1-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2979*(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9">
        <f>(1-Summary!$B$11)*T2979+Summary!$B$11*V2979</f>
        <v/>
      </c>
      <c r="P2979">
        <f>IF(B3006=0,0,O2979/B3006)</f>
        <v/>
      </c>
      <c r="Q2979">
        <f>IFERROR(1/(IF(Inputs!$B$38="pvp",15,MAX(0.1,Skills!D13-IF(Skills!E13=TRUE,3.0,0)))*(1-IF(AND(ArtifactsInput!$M$27,Inputs!$B$4="Chapter Hunt"),CHOOSE(ArtifactsInput!$N$27+1,20,24,28,32,36,40),0)/100)),0)</f>
        <v/>
      </c>
      <c r="R2979">
        <f>IF(AND(Inputs!$B$38&lt;&gt;"pvp",Inputs!$B$43&gt;0),IF(MAX(0,Inputs!$B$43-B3003)&lt;=0,0,(INT(MAX(0,Inputs!$B$43-B3003)/(IF(Inputs!$B$38="pvp",15,MAX(0.1,Skills!D13-IF(Skills!E13=TRUE,3.0,0)))*(1-IF(AND(ArtifactsInput!$M$27,Inputs!$B$4="Chapter Hunt"),CHOOSE(ArtifactsInput!$N$27+1,20,24,28,32,36,40),0)/100)))+1)),0)</f>
        <v/>
      </c>
      <c r="S2979">
        <f>IFERROR(O2979/N2979,0)</f>
        <v/>
      </c>
      <c r="T2979">
        <f>IF(C2979,(H2979*N2979*IF(AND(Inputs!$B$38&lt;&gt;"pvp",Inputs!$B$43&gt;0),((Skills!G13*((R2979-1)*IF(Skills!H13&gt;0,Skills!I13/Skills!H13,1)+IF(Skills!H13&gt;0,MIN(Skills!I13,MAX(0,MAX(0,Inputs!$B$43-B3003)-((R2979-1)*(IF(Inputs!$B$38="pvp",15,MAX(0.1,Skills!D13-IF(Skills!E13=TRUE,3.0,0)))*(1-IF(AND(ArtifactsInput!$M$27,Inputs!$B$4="Chapter Hunt"),CHOOSE(ArtifactsInput!$N$27+1,20,24,28,32,36,40),0)/100)))))/Skills!H13,1)))/Inputs!$B$43),G2979*Q2979))*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2979*(1-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2979*(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2979*(1-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2979*(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9">
        <f>IF(C2979,(H2979*N2979*IF(AND(Inputs!$B$38&lt;&gt;"pvp",Inputs!$B$43&gt;0),((Skills!G13*((R2979-1)*IF(Skills!H13&gt;0,Skills!I13/Skills!H13,1)+IF(Skills!H13&gt;0,MIN(Skills!I13,MAX(0,MAX(0,Inputs!$B$43-B3003)-((R2979-1)*(IF(Inputs!$B$38="pvp",15,MAX(0.1,Skills!D13-IF(Skills!E13=TRUE,3.0,0)))*(1-IF(AND(ArtifactsInput!$M$27,Inputs!$B$4="Chapter Hunt"),CHOOSE(ArtifactsInput!$N$27+1,20,24,28,32,36,40),0)/100)))))/Skills!H13,1)))/Inputs!$B$43),G2979*Q2979))*IF(Inputs!$B$38="pvp",1,(1+(Inputs!$B$21+Skills!Q13+(IF(ArtifactsInput!$M$33,CHOOSE(ArtifactsInput!$N$33+1,30,36,42,48,54,60)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0">
      <c r="A2980">
        <f>Skills!A14</f>
        <v/>
      </c>
      <c r="B2980">
        <f>Skills!B14</f>
        <v/>
      </c>
      <c r="C2980">
        <f>Inputs!$B$3&gt;=125</f>
        <v/>
      </c>
      <c r="D2980">
        <f>IF(Skills!C14=1,60+Inputs!$B$25+Inputs!$B$29,IF(Skills!C14=2,90+Inputs!$B$26+Inputs!$B$29,IF(Skills!C14=3,120+Inputs!$B$27+Inputs!$B$29,MAX(0,(Inputs!$B$3-100)*3)+Inputs!$B$28+Inputs!$B$29)))</f>
        <v/>
      </c>
      <c r="E2980">
        <f>INDEX(FactorTable!$B$2:$Y$301, MATCH(ROUND(MIN(300,MAX(1,D2980)),0), FactorTable!$A$2:$A$301,0), Skills!M14+1)</f>
        <v/>
      </c>
      <c r="F2980">
        <f>IF(Skills!N14=TRUE,(Skills!L14/10)*(E2980/1000),Skills!L14/10)+Skills!O14</f>
        <v/>
      </c>
      <c r="G2980">
        <f>Skills!G14*IF(Skills!H14&gt;0,Skills!I14/Skills!H14,1)</f>
        <v/>
      </c>
      <c r="H2980">
        <f>1-(1-Skills!J14/100)^Skills!K14</f>
        <v/>
      </c>
      <c r="I2980" t="inlineStr">
        <is>
          <t>1</t>
        </is>
      </c>
      <c r="J2980">
        <f>((Inputs!$B$6*(1+Inputs!$B$7/100))+(((Inputs!$B$12*(1+Inputs!$B$13/100))-(Inputs!$B$12*(1+Inputs!$B$13/100)))+0.25*(Inputs!$B$14-Inputs!$B$14))*(1+Inputs!$B$7/100))*(F2980/100)</f>
        <v/>
      </c>
      <c r="K2980">
        <f>J2980*(1+((Inputs!$B$12*(1+Inputs!$B$13/100))*0.01+Inputs!$B$14*0.0025)/100)*(1+Inputs!$B$15/100)*(1+Inputs!$B$16/100)*(5000/(6000+Inputs!$B$42*(1-(100*(1-(1-(Inputs!$B$19+0)/100)*(1-CHOOSE(ArtifactsInput!$N$40+1,5,6,7,8,9,10)/100)^(ArtifactsInput!$M$40-ArtifactsInput!$M$40)))/100)))*(1+(Inputs!$B$24+((C2992=TRUE)*(F2992-Calc!F26))+B3002)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2989=TRUE)*(F2989-Calc!F23))+((C2993=TRUE)*(F2993-Calc!F27))+(((IF(AND(ArtifactsInput!$M$42,((Inputs!$B$9+((C2985=TRUE)*(F2985-Calc!F19))+B2996+(ArtifactsInput!$M$24-ArtifactsInput!$M$24)*CHOOSE(ArtifactsInput!$N$24+1,10,12,14,16,18,20)+IF(ArtifactsInput!$M$10,CHOOSE(ArtifactsInput!$N$10+1,15,18,21,24,27,30)*(IF(Inputs!$B$38="pvp",MIN(15,15)/15,IF(AND(Inputs!$B$38&lt;&gt;"pvp",Inputs!$B$43&gt;0),MIN(15,Inputs!$B$43)/(Inputs!$B$43),0))),0)))&gt;=100),MIN(100,((Inputs!$B$9+((C2985=TRUE)*(F2985-Calc!F19))+B2996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2985=TRUE)*(F2985-Calc!F19))+B2996+(ArtifactsInput!$M$24-ArtifactsInput!$M$24)*CHOOSE(ArtifactsInput!$N$24+1,10,12,14,16,18,20)+IF(ArtifactsInput!$M$10,CHOOSE(ArtifactsInput!$N$10+1,15,18,21,24,27,30)*(IF(Inputs!$B$38="pvp",MIN(15,15)/15,IF(AND(Inputs!$B$38&lt;&gt;"pvp",Inputs!$B$43&gt;0),MIN(15,Inputs!$B$43)/(Inputs!$B$43),0))),0)))&gt;=100),CHOOSE(ArtifactsInput!$N$42+1,40,48,56,64,72,80),0))))/100)*((1+(((C2983=TRUE)*F2983)+((C2990=TRUE)*(F2990-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2980)</f>
        <v/>
      </c>
      <c r="L2980">
        <f>K2980*(MIN(Inputs!$B$22+((C2988=TRUE)*(F2988-Calc!F22)),(Inputs!$B$23+0+(IF(ArtifactsInput!$M$15,CHOOSE(ArtifactsInput!$N$15+1,25,30,35,40,45,50)/100*(Inputs!$B$11-Inputs!$B$11),0))))/100+(Inputs!$B$23+0+(IF(ArtifactsInput!$M$15,CHOOSE(ArtifactsInput!$N$15+1,25,30,35,40,45,50)/100*(Inputs!$B$11-Inputs!$B$11),0)))/100)/2</f>
        <v/>
      </c>
      <c r="M2980">
        <f>L2980*(1+(Inputs!$B$10+((C2991=TRUE)*(F2991-Calc!F25))+B3001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0">
        <f>L2980*(1-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2980*(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0">
        <f>(1-Summary!$B$11)*T2980+Summary!$B$11*V2980</f>
        <v/>
      </c>
      <c r="P2980">
        <f>IF(B3006=0,0,O2980/B3006)</f>
        <v/>
      </c>
      <c r="Q2980" t="n">
        <v>0</v>
      </c>
      <c r="R2980" t="n">
        <v>0</v>
      </c>
      <c r="S2980">
        <f>IFERROR(O2980/N2980,0)</f>
        <v/>
      </c>
      <c r="T2980">
        <f>IF(C2980,(H2980*N2980*(B3000+IF(AND(Inputs!$B$38&lt;&gt;"pvp",Inputs!$B$43&gt;0),((Skills!G8*((R2974-1)*IF(Skills!H8&gt;0,Skills!I8/Skills!H8,1)+IF(Skills!H8&gt;0,MIN(Skills!I8,MAX(0,MAX(0,Inputs!$B$43-B3003)-((R2974-1)*(IF(Inputs!$B$38="pvp",15,MAX(0.1,Skills!D8-IF(Skills!E8=TRUE,3.0,0)))*(1-IF(AND(ArtifactsInput!$M$27,Inputs!$B$4="Chapter Hunt"),CHOOSE(ArtifactsInput!$N$27+1,20,24,28,32,36,40),0)/100)))))/Skills!H8,1)))/Inputs!$B$43),G2974*Q2974)+IF(AND(Inputs!$B$38&lt;&gt;"pvp",Inputs!$B$43&gt;0),((Skills!G11*((R2977-1)*IF(Skills!H11&gt;0,Skills!I11/Skills!H11,1)+IF(Skills!H11&gt;0,MIN(Skills!I11,MAX(0,MAX(0,Inputs!$B$43-B3003)-((R2977-1)*(IF(Inputs!$B$38="pvp",15,MAX(0.1,Skills!D11-IF(Skills!E11=TRUE,3.0,0)))*(1-IF(AND(ArtifactsInput!$M$27,Inputs!$B$4="Chapter Hunt"),CHOOSE(ArtifactsInput!$N$27+1,20,24,28,32,36,40),0)/100)))))/Skills!H11,1)))/Inputs!$B$43),G2977*Q2977)))*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2980*(1-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2980*(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2980*(1-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2980*(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80">
        <f>IF(C2980,(H2980*N2980*(B3000+IF(AND(Inputs!$B$38&lt;&gt;"pvp",Inputs!$B$43&gt;0),((Skills!G8*((R2974-1)*IF(Skills!H8&gt;0,Skills!I8/Skills!H8,1)+IF(Skills!H8&gt;0,MIN(Skills!I8,MAX(0,MAX(0,Inputs!$B$43-B3003)-((R2974-1)*(IF(Inputs!$B$38="pvp",15,MAX(0.1,Skills!D8-IF(Skills!E8=TRUE,3.0,0)))*(1-IF(AND(ArtifactsInput!$M$27,Inputs!$B$4="Chapter Hunt"),CHOOSE(ArtifactsInput!$N$27+1,20,24,28,32,36,40),0)/100)))))/Skills!H8,1)))/Inputs!$B$43),G2974*Q2974)+IF(AND(Inputs!$B$38&lt;&gt;"pvp",Inputs!$B$43&gt;0),((Skills!G11*((R2977-1)*IF(Skills!H11&gt;0,Skills!I11/Skills!H11,1)+IF(Skills!H11&gt;0,MIN(Skills!I11,MAX(0,MAX(0,Inputs!$B$43-B3003)-((R2977-1)*(IF(Inputs!$B$38="pvp",15,MAX(0.1,Skills!D11-IF(Skills!E11=TRUE,3.0,0)))*(1-IF(AND(ArtifactsInput!$M$27,Inputs!$B$4="Chapter Hunt"),CHOOSE(ArtifactsInput!$N$27+1,20,24,28,32,36,40),0)/100)))))/Skills!H11,1)))/Inputs!$B$43),G2977*Q2977)))*IF(Inputs!$B$38="pvp",1,(1+(Inputs!$B$21+Skills!Q14+(IF(ArtifactsInput!$M$33,CHOOSE(ArtifactsInput!$N$33+1,30,36,42,48,54,60)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1">
      <c r="A2981">
        <f>Skills!A15</f>
        <v/>
      </c>
      <c r="B2981">
        <f>Skills!B15</f>
        <v/>
      </c>
      <c r="C2981">
        <f>Inputs!$B$3&gt;=100</f>
        <v/>
      </c>
      <c r="D2981">
        <f>IF(Skills!C15=1,60+Inputs!$B$25+Inputs!$B$29,IF(Skills!C15=2,90+Inputs!$B$26+Inputs!$B$29,IF(Skills!C15=3,120+Inputs!$B$27+Inputs!$B$29,MAX(0,(Inputs!$B$3-100)*3)+Inputs!$B$28+Inputs!$B$29)))</f>
        <v/>
      </c>
      <c r="E2981">
        <f>INDEX(FactorTable!$B$2:$Y$301, MATCH(ROUND(MIN(300,MAX(1,D2981)),0), FactorTable!$A$2:$A$301,0), Skills!M15+1)</f>
        <v/>
      </c>
      <c r="F2981">
        <f>IF(Skills!N15=TRUE,(Skills!L15/10)*(E2981/1000),Skills!L15/10)+Skills!O15</f>
        <v/>
      </c>
      <c r="G2981" t="inlineStr"/>
      <c r="H2981" t="inlineStr"/>
      <c r="I2981" t="inlineStr">
        <is>
          <t>1</t>
        </is>
      </c>
      <c r="J2981" t="inlineStr"/>
      <c r="K2981" t="inlineStr"/>
      <c r="L2981" t="inlineStr"/>
      <c r="M2981" t="inlineStr"/>
      <c r="N2981" t="inlineStr"/>
      <c r="O2981" t="inlineStr"/>
      <c r="P2981" t="inlineStr"/>
      <c r="Q2981" t="inlineStr"/>
      <c r="R2981" t="inlineStr"/>
      <c r="S2981" t="inlineStr"/>
    </row>
    <row r="2982">
      <c r="A2982">
        <f>Skills!A16</f>
        <v/>
      </c>
      <c r="B2982">
        <f>Skills!B16</f>
        <v/>
      </c>
      <c r="C2982">
        <f>Inputs!$B$3&gt;=120</f>
        <v/>
      </c>
      <c r="D2982">
        <f>IF(Skills!C16=1,60+Inputs!$B$25+Inputs!$B$29,IF(Skills!C16=2,90+Inputs!$B$26+Inputs!$B$29,IF(Skills!C16=3,120+Inputs!$B$27+Inputs!$B$29,MAX(0,(Inputs!$B$3-100)*3)+Inputs!$B$28+Inputs!$B$29)))</f>
        <v/>
      </c>
      <c r="E2982">
        <f>INDEX(FactorTable!$B$2:$Y$301, MATCH(ROUND(MIN(300,MAX(1,D2982)),0), FactorTable!$A$2:$A$301,0), Skills!M16+1)</f>
        <v/>
      </c>
      <c r="F2982">
        <f>IF(Skills!N16=TRUE,(Skills!L16/10)*(E2982/1000),Skills!L16/10)+Skills!O16</f>
        <v/>
      </c>
      <c r="G2982" t="inlineStr"/>
      <c r="H2982" t="inlineStr"/>
      <c r="I2982" t="inlineStr">
        <is>
          <t>1</t>
        </is>
      </c>
      <c r="J2982" t="inlineStr"/>
      <c r="K2982" t="inlineStr"/>
      <c r="L2982" t="inlineStr"/>
      <c r="M2982" t="inlineStr"/>
      <c r="N2982" t="inlineStr"/>
      <c r="O2982" t="inlineStr"/>
      <c r="P2982" t="inlineStr"/>
      <c r="Q2982" t="inlineStr"/>
      <c r="R2982" t="inlineStr"/>
      <c r="S2982" t="inlineStr"/>
    </row>
    <row r="2983">
      <c r="A2983">
        <f>Skills!A17</f>
        <v/>
      </c>
      <c r="B2983">
        <f>Skills!B17</f>
        <v/>
      </c>
      <c r="C2983">
        <f>Inputs!$B$3&gt;=66</f>
        <v/>
      </c>
      <c r="D2983">
        <f>IF(Skills!C17=1,60+Inputs!$B$25+Inputs!$B$29,IF(Skills!C17=2,90+Inputs!$B$26+Inputs!$B$29,IF(Skills!C17=3,120+Inputs!$B$27+Inputs!$B$29,MAX(0,(Inputs!$B$3-100)*3)+Inputs!$B$28+Inputs!$B$29)))</f>
        <v/>
      </c>
      <c r="E2983">
        <f>INDEX(FactorTable!$B$2:$Y$301, MATCH(ROUND(MIN(300,MAX(1,D2983)),0), FactorTable!$A$2:$A$301,0), Skills!M17+1)</f>
        <v/>
      </c>
      <c r="F2983">
        <f>IF(Skills!N17=TRUE,(Skills!L17/10)*(E2983/1000),Skills!L17/10)+Skills!O17</f>
        <v/>
      </c>
      <c r="G2983">
        <f>Skills!G17*IF(Skills!H17&gt;0,Skills!I17/Skills!H17,1)</f>
        <v/>
      </c>
      <c r="H2983">
        <f>1-(1-Skills!J17/100)^Skills!K17</f>
        <v/>
      </c>
      <c r="I2983" t="inlineStr">
        <is>
          <t>1</t>
        </is>
      </c>
      <c r="J2983" t="inlineStr"/>
      <c r="K2983" t="inlineStr"/>
      <c r="L2983" t="inlineStr"/>
      <c r="M2983" t="inlineStr"/>
      <c r="N2983" t="inlineStr"/>
      <c r="O2983">
        <f>(1-Summary!$B$11)*T2983+Summary!$B$11*V2983</f>
        <v/>
      </c>
      <c r="P2983">
        <f>IF(B3006=0,0,O2983/B3006)</f>
        <v/>
      </c>
      <c r="Q2983" t="n">
        <v>0</v>
      </c>
      <c r="R2983" t="n">
        <v>0</v>
      </c>
      <c r="S2983">
        <f>IFERROR(O2983/N2983,0)</f>
        <v/>
      </c>
      <c r="T2983" t="n">
        <v>0</v>
      </c>
      <c r="V2983" t="n">
        <v>0</v>
      </c>
    </row>
    <row r="2984">
      <c r="A2984">
        <f>Skills!A18</f>
        <v/>
      </c>
      <c r="B2984">
        <f>Skills!B18</f>
        <v/>
      </c>
      <c r="C2984">
        <f>Inputs!$B$3&gt;=115</f>
        <v/>
      </c>
      <c r="D2984">
        <f>IF(Skills!C18=1,60+Inputs!$B$25+Inputs!$B$29,IF(Skills!C18=2,90+Inputs!$B$26+Inputs!$B$29,IF(Skills!C18=3,120+Inputs!$B$27+Inputs!$B$29,MAX(0,(Inputs!$B$3-100)*3)+Inputs!$B$28+Inputs!$B$29)))</f>
        <v/>
      </c>
      <c r="E2984">
        <f>INDEX(FactorTable!$B$2:$Y$301, MATCH(ROUND(MIN(300,MAX(1,D2984)),0), FactorTable!$A$2:$A$301,0), Skills!M18+1)</f>
        <v/>
      </c>
      <c r="F2984">
        <f>IF(Skills!N18=TRUE,(Skills!L18/10)*(E2984/1000),Skills!L18/10)+Skills!O18</f>
        <v/>
      </c>
      <c r="G2984">
        <f>Skills!G18*IF(Skills!H18&gt;0,Skills!I18/Skills!H18,1)</f>
        <v/>
      </c>
      <c r="H2984">
        <f>1-(1-Skills!J18/100)^Skills!K18</f>
        <v/>
      </c>
      <c r="I2984" t="inlineStr">
        <is>
          <t>1</t>
        </is>
      </c>
      <c r="J2984" t="inlineStr"/>
      <c r="K2984" t="inlineStr"/>
      <c r="L2984" t="inlineStr"/>
      <c r="M2984" t="inlineStr"/>
      <c r="N2984" t="inlineStr"/>
      <c r="O2984">
        <f>(1-Summary!$B$11)*T2984+Summary!$B$11*V2984</f>
        <v/>
      </c>
      <c r="P2984">
        <f>IF(B3006=0,0,O2984/B3006)</f>
        <v/>
      </c>
      <c r="Q2984" t="n">
        <v>0</v>
      </c>
      <c r="R2984" t="n">
        <v>0</v>
      </c>
      <c r="S2984">
        <f>IFERROR(O2984/N2984,0)</f>
        <v/>
      </c>
      <c r="T2984" t="n">
        <v>0</v>
      </c>
      <c r="V2984" t="n">
        <v>0</v>
      </c>
    </row>
    <row r="2985">
      <c r="A2985">
        <f>Skills!A19</f>
        <v/>
      </c>
      <c r="B2985">
        <f>Skills!B19</f>
        <v/>
      </c>
      <c r="C2985">
        <f>Inputs!$B$3&gt;=15</f>
        <v/>
      </c>
      <c r="D2985">
        <f>IF(Skills!C19=1,60+Inputs!$B$25+Inputs!$B$29,IF(Skills!C19=2,90+Inputs!$B$26+Inputs!$B$29,IF(Skills!C19=3,120+Inputs!$B$27+Inputs!$B$29,MAX(0,(Inputs!$B$3-100)*3)+Inputs!$B$28+Inputs!$B$29)))</f>
        <v/>
      </c>
      <c r="E2985">
        <f>INDEX(FactorTable!$B$2:$Y$301, MATCH(ROUND(MIN(300,MAX(1,D2985)),0), FactorTable!$A$2:$A$301,0), Skills!M19+1)</f>
        <v/>
      </c>
      <c r="F2985">
        <f>IF(Skills!N19=TRUE,(Skills!L19/10)*(E2985/1000),Skills!L19/10)+Skills!O19</f>
        <v/>
      </c>
      <c r="G2985">
        <f>Skills!G19*IF(Skills!H19&gt;0,Skills!I19/Skills!H19,1)</f>
        <v/>
      </c>
      <c r="H2985">
        <f>1-(1-Skills!J19/100)^Skills!K19</f>
        <v/>
      </c>
      <c r="I2985" t="inlineStr">
        <is>
          <t>1</t>
        </is>
      </c>
      <c r="J2985" t="inlineStr"/>
      <c r="K2985" t="inlineStr"/>
      <c r="L2985" t="inlineStr"/>
      <c r="M2985" t="inlineStr"/>
      <c r="N2985" t="inlineStr"/>
      <c r="O2985">
        <f>(1-Summary!$B$11)*T2985+Summary!$B$11*V2985</f>
        <v/>
      </c>
      <c r="P2985">
        <f>IF(B3006=0,0,O2985/B3006)</f>
        <v/>
      </c>
      <c r="Q2985" t="n">
        <v>0</v>
      </c>
      <c r="R2985" t="n">
        <v>0</v>
      </c>
      <c r="S2985">
        <f>IFERROR(O2985/N2985,0)</f>
        <v/>
      </c>
      <c r="T2985" t="n">
        <v>0</v>
      </c>
      <c r="V2985" t="n">
        <v>0</v>
      </c>
    </row>
    <row r="2986">
      <c r="A2986">
        <f>Skills!A20</f>
        <v/>
      </c>
      <c r="B2986">
        <f>Skills!B20</f>
        <v/>
      </c>
      <c r="C2986">
        <f>Inputs!$B$3&gt;=10</f>
        <v/>
      </c>
      <c r="D2986">
        <f>IF(Skills!C20=1,60+Inputs!$B$25+Inputs!$B$29,IF(Skills!C20=2,90+Inputs!$B$26+Inputs!$B$29,IF(Skills!C20=3,120+Inputs!$B$27+Inputs!$B$29,MAX(0,(Inputs!$B$3-100)*3)+Inputs!$B$28+Inputs!$B$29)))</f>
        <v/>
      </c>
      <c r="E2986">
        <f>INDEX(FactorTable!$B$2:$Y$301, MATCH(ROUND(MIN(300,MAX(1,D2986)),0), FactorTable!$A$2:$A$301,0), Skills!M20+1)</f>
        <v/>
      </c>
      <c r="F2986">
        <f>IF(Skills!N20=TRUE,(Skills!L20/10)*(E2986/1000),Skills!L20/10)+Skills!O20</f>
        <v/>
      </c>
      <c r="G2986">
        <f>Skills!G20*IF(Skills!H20&gt;0,Skills!I20/Skills!H20,1)</f>
        <v/>
      </c>
      <c r="H2986">
        <f>1-(1-Skills!J20/100)^Skills!K20</f>
        <v/>
      </c>
      <c r="I2986" t="inlineStr">
        <is>
          <t>1</t>
        </is>
      </c>
      <c r="J2986" t="inlineStr"/>
      <c r="K2986" t="inlineStr"/>
      <c r="L2986" t="inlineStr"/>
      <c r="M2986" t="inlineStr"/>
      <c r="N2986" t="inlineStr"/>
      <c r="O2986">
        <f>(1-Summary!$B$11)*T2986+Summary!$B$11*V2986</f>
        <v/>
      </c>
      <c r="P2986">
        <f>IF(B3006=0,0,O2986/B3006)</f>
        <v/>
      </c>
      <c r="Q2986" t="n">
        <v>0</v>
      </c>
      <c r="R2986" t="n">
        <v>0</v>
      </c>
      <c r="S2986">
        <f>IFERROR(O2986/N2986,0)</f>
        <v/>
      </c>
      <c r="T2986" t="n">
        <v>0</v>
      </c>
      <c r="V2986" t="n">
        <v>0</v>
      </c>
    </row>
    <row r="2987">
      <c r="A2987">
        <f>Skills!A21</f>
        <v/>
      </c>
      <c r="B2987">
        <f>Skills!B21</f>
        <v/>
      </c>
      <c r="C2987">
        <f>Inputs!$B$3&gt;=33</f>
        <v/>
      </c>
      <c r="D2987">
        <f>IF(Skills!C21=1,60+Inputs!$B$25+Inputs!$B$29,IF(Skills!C21=2,90+Inputs!$B$26+Inputs!$B$29,IF(Skills!C21=3,120+Inputs!$B$27+Inputs!$B$29,MAX(0,(Inputs!$B$3-100)*3)+Inputs!$B$28+Inputs!$B$29)))</f>
        <v/>
      </c>
      <c r="E2987">
        <f>INDEX(FactorTable!$B$2:$Y$301, MATCH(ROUND(MIN(300,MAX(1,D2987)),0), FactorTable!$A$2:$A$301,0), Skills!M21+1)</f>
        <v/>
      </c>
      <c r="F2987">
        <f>IF(Skills!N21=TRUE,(Skills!L21/10)*(E2987/1000),Skills!L21/10)+Skills!O21</f>
        <v/>
      </c>
      <c r="G2987">
        <f>Skills!G21*IF(Skills!H21&gt;0,Skills!I21/Skills!H21,1)</f>
        <v/>
      </c>
      <c r="H2987">
        <f>1-(1-Skills!J21/100)^Skills!K21</f>
        <v/>
      </c>
      <c r="I2987" t="inlineStr">
        <is>
          <t>1</t>
        </is>
      </c>
      <c r="J2987" t="inlineStr"/>
      <c r="K2987" t="inlineStr"/>
      <c r="L2987" t="inlineStr"/>
      <c r="M2987" t="inlineStr"/>
      <c r="N2987" t="inlineStr"/>
      <c r="O2987">
        <f>(1-Summary!$B$11)*T2987+Summary!$B$11*V2987</f>
        <v/>
      </c>
      <c r="P2987">
        <f>IF(B3006=0,0,O2987/B3006)</f>
        <v/>
      </c>
      <c r="Q2987" t="n">
        <v>0</v>
      </c>
      <c r="R2987" t="n">
        <v>0</v>
      </c>
      <c r="S2987">
        <f>IFERROR(O2987/N2987,0)</f>
        <v/>
      </c>
      <c r="T2987" t="n">
        <v>0</v>
      </c>
      <c r="V2987" t="n">
        <v>0</v>
      </c>
    </row>
    <row r="2988">
      <c r="A2988">
        <f>Skills!A22</f>
        <v/>
      </c>
      <c r="B2988">
        <f>Skills!B22</f>
        <v/>
      </c>
      <c r="C2988">
        <f>Inputs!$B$3&gt;=43</f>
        <v/>
      </c>
      <c r="D2988">
        <f>IF(Skills!C22=1,60+Inputs!$B$25+Inputs!$B$29,IF(Skills!C22=2,90+Inputs!$B$26+Inputs!$B$29,IF(Skills!C22=3,120+Inputs!$B$27+Inputs!$B$29,MAX(0,(Inputs!$B$3-100)*3)+Inputs!$B$28+Inputs!$B$29)))</f>
        <v/>
      </c>
      <c r="E2988">
        <f>INDEX(FactorTable!$B$2:$Y$301, MATCH(ROUND(MIN(300,MAX(1,D2988)),0), FactorTable!$A$2:$A$301,0), Skills!M22+1)</f>
        <v/>
      </c>
      <c r="F2988">
        <f>IF(Skills!N22=TRUE,(Skills!L22/10)*(E2988/1000),Skills!L22/10)+Skills!O22</f>
        <v/>
      </c>
      <c r="G2988">
        <f>Skills!G22*IF(Skills!H22&gt;0,Skills!I22/Skills!H22,1)</f>
        <v/>
      </c>
      <c r="H2988">
        <f>1-(1-Skills!J22/100)^Skills!K22</f>
        <v/>
      </c>
      <c r="I2988" t="inlineStr">
        <is>
          <t>1</t>
        </is>
      </c>
      <c r="J2988" t="inlineStr"/>
      <c r="K2988" t="inlineStr"/>
      <c r="L2988" t="inlineStr"/>
      <c r="M2988" t="inlineStr"/>
      <c r="N2988" t="inlineStr"/>
      <c r="O2988">
        <f>(1-Summary!$B$11)*T2988+Summary!$B$11*V2988</f>
        <v/>
      </c>
      <c r="P2988">
        <f>IF(B3006=0,0,O2988/B3006)</f>
        <v/>
      </c>
      <c r="Q2988" t="n">
        <v>0</v>
      </c>
      <c r="R2988" t="n">
        <v>0</v>
      </c>
      <c r="S2988">
        <f>IFERROR(O2988/N2988,0)</f>
        <v/>
      </c>
      <c r="T2988" t="n">
        <v>0</v>
      </c>
      <c r="V2988" t="n">
        <v>0</v>
      </c>
    </row>
    <row r="2989">
      <c r="A2989">
        <f>Skills!A23</f>
        <v/>
      </c>
      <c r="B2989">
        <f>Skills!B23</f>
        <v/>
      </c>
      <c r="C2989">
        <f>Inputs!$B$3&gt;=38</f>
        <v/>
      </c>
      <c r="D2989">
        <f>IF(Skills!C23=1,60+Inputs!$B$25+Inputs!$B$29,IF(Skills!C23=2,90+Inputs!$B$26+Inputs!$B$29,IF(Skills!C23=3,120+Inputs!$B$27+Inputs!$B$29,MAX(0,(Inputs!$B$3-100)*3)+Inputs!$B$28+Inputs!$B$29)))</f>
        <v/>
      </c>
      <c r="E2989">
        <f>INDEX(FactorTable!$B$2:$Y$301, MATCH(ROUND(MIN(300,MAX(1,D2989)),0), FactorTable!$A$2:$A$301,0), Skills!M23+1)</f>
        <v/>
      </c>
      <c r="F2989">
        <f>IF(Skills!N23=TRUE,(Skills!L23/10)*(E2989/1000),Skills!L23/10)+Skills!O23</f>
        <v/>
      </c>
      <c r="G2989">
        <f>Skills!G23*IF(Skills!H23&gt;0,Skills!I23/Skills!H23,1)</f>
        <v/>
      </c>
      <c r="H2989">
        <f>1-(1-Skills!J23/100)^Skills!K23</f>
        <v/>
      </c>
      <c r="I2989" t="inlineStr">
        <is>
          <t>1</t>
        </is>
      </c>
      <c r="J2989" t="inlineStr"/>
      <c r="K2989" t="inlineStr"/>
      <c r="L2989" t="inlineStr"/>
      <c r="M2989" t="inlineStr"/>
      <c r="N2989" t="inlineStr"/>
      <c r="O2989">
        <f>(1-Summary!$B$11)*T2989+Summary!$B$11*V2989</f>
        <v/>
      </c>
      <c r="P2989">
        <f>IF(B3006=0,0,O2989/B3006)</f>
        <v/>
      </c>
      <c r="Q2989" t="n">
        <v>0</v>
      </c>
      <c r="R2989" t="n">
        <v>0</v>
      </c>
      <c r="S2989">
        <f>IFERROR(O2989/N2989,0)</f>
        <v/>
      </c>
      <c r="T2989" t="n">
        <v>0</v>
      </c>
      <c r="V2989" t="n">
        <v>0</v>
      </c>
    </row>
    <row r="2990">
      <c r="A2990">
        <f>Skills!A24</f>
        <v/>
      </c>
      <c r="B2990">
        <f>Skills!B24</f>
        <v/>
      </c>
      <c r="C2990">
        <f>Inputs!$B$3&gt;=40</f>
        <v/>
      </c>
      <c r="D2990">
        <f>IF(Skills!C24=1,60+Inputs!$B$25+Inputs!$B$29,IF(Skills!C24=2,90+Inputs!$B$26+Inputs!$B$29,IF(Skills!C24=3,120+Inputs!$B$27+Inputs!$B$29,MAX(0,(Inputs!$B$3-100)*3)+Inputs!$B$28+Inputs!$B$29)))</f>
        <v/>
      </c>
      <c r="E2990">
        <f>INDEX(FactorTable!$B$2:$Y$301, MATCH(ROUND(MIN(300,MAX(1,D2990)),0), FactorTable!$A$2:$A$301,0), Skills!M24+1)</f>
        <v/>
      </c>
      <c r="F2990">
        <f>IF(Skills!N24=TRUE,(Skills!L24/10)*(E2990/1000),Skills!L24/10)+Skills!O24</f>
        <v/>
      </c>
      <c r="G2990">
        <f>Skills!G24*IF(Skills!H24&gt;0,Skills!I24/Skills!H24,1)</f>
        <v/>
      </c>
      <c r="H2990">
        <f>1-(1-Skills!J24/100)^Skills!K24</f>
        <v/>
      </c>
      <c r="I2990" t="inlineStr">
        <is>
          <t>1</t>
        </is>
      </c>
      <c r="J2990" t="inlineStr"/>
      <c r="K2990" t="inlineStr"/>
      <c r="L2990" t="inlineStr"/>
      <c r="M2990" t="inlineStr"/>
      <c r="N2990" t="inlineStr"/>
      <c r="O2990">
        <f>(1-Summary!$B$11)*T2990+Summary!$B$11*V2990</f>
        <v/>
      </c>
      <c r="P2990">
        <f>IF(B3006=0,0,O2990/B3006)</f>
        <v/>
      </c>
      <c r="Q2990" t="n">
        <v>0</v>
      </c>
      <c r="R2990" t="n">
        <v>0</v>
      </c>
      <c r="S2990">
        <f>IFERROR(O2990/N2990,0)</f>
        <v/>
      </c>
      <c r="T2990" t="n">
        <v>0</v>
      </c>
      <c r="V2990" t="n">
        <v>0</v>
      </c>
    </row>
    <row r="2991">
      <c r="A2991">
        <f>Skills!A25</f>
        <v/>
      </c>
      <c r="B2991">
        <f>Skills!B25</f>
        <v/>
      </c>
      <c r="C2991">
        <f>Inputs!$B$3&gt;=72</f>
        <v/>
      </c>
      <c r="D2991">
        <f>IF(Skills!C25=1,60+Inputs!$B$25+Inputs!$B$29,IF(Skills!C25=2,90+Inputs!$B$26+Inputs!$B$29,IF(Skills!C25=3,120+Inputs!$B$27+Inputs!$B$29,MAX(0,(Inputs!$B$3-100)*3)+Inputs!$B$28+Inputs!$B$29)))</f>
        <v/>
      </c>
      <c r="E2991">
        <f>INDEX(FactorTable!$B$2:$Y$301, MATCH(ROUND(MIN(300,MAX(1,D2991)),0), FactorTable!$A$2:$A$301,0), Skills!M25+1)</f>
        <v/>
      </c>
      <c r="F2991">
        <f>IF(Skills!N25=TRUE,(Skills!L25/10)*(E2991/1000),Skills!L25/10)+Skills!O25</f>
        <v/>
      </c>
      <c r="G2991">
        <f>Skills!G25*IF(Skills!H25&gt;0,Skills!I25/Skills!H25,1)</f>
        <v/>
      </c>
      <c r="H2991">
        <f>1-(1-Skills!J25/100)^Skills!K25</f>
        <v/>
      </c>
      <c r="I2991" t="inlineStr">
        <is>
          <t>1</t>
        </is>
      </c>
      <c r="J2991" t="inlineStr"/>
      <c r="K2991" t="inlineStr"/>
      <c r="L2991" t="inlineStr"/>
      <c r="M2991" t="inlineStr"/>
      <c r="N2991" t="inlineStr"/>
      <c r="O2991">
        <f>(1-Summary!$B$11)*T2991+Summary!$B$11*V2991</f>
        <v/>
      </c>
      <c r="P2991">
        <f>IF(B3006=0,0,O2991/B3006)</f>
        <v/>
      </c>
      <c r="Q2991" t="n">
        <v>0</v>
      </c>
      <c r="R2991" t="n">
        <v>0</v>
      </c>
      <c r="S2991">
        <f>IFERROR(O2991/N2991,0)</f>
        <v/>
      </c>
      <c r="T2991" t="n">
        <v>0</v>
      </c>
      <c r="V2991" t="n">
        <v>0</v>
      </c>
    </row>
    <row r="2992">
      <c r="A2992">
        <f>Skills!A26</f>
        <v/>
      </c>
      <c r="B2992">
        <f>Skills!B26</f>
        <v/>
      </c>
      <c r="C2992">
        <f>Inputs!$B$3&gt;=75</f>
        <v/>
      </c>
      <c r="D2992">
        <f>IF(Skills!C26=1,60+Inputs!$B$25+Inputs!$B$29,IF(Skills!C26=2,90+Inputs!$B$26+Inputs!$B$29,IF(Skills!C26=3,120+Inputs!$B$27+Inputs!$B$29,MAX(0,(Inputs!$B$3-100)*3)+Inputs!$B$28+Inputs!$B$29)))</f>
        <v/>
      </c>
      <c r="E2992">
        <f>INDEX(FactorTable!$B$2:$Y$301, MATCH(ROUND(MIN(300,MAX(1,D2992)),0), FactorTable!$A$2:$A$301,0), Skills!M26+1)</f>
        <v/>
      </c>
      <c r="F2992">
        <f>IF(Skills!N26=TRUE,(Skills!L26/10)*(E2992/1000),Skills!L26/10)+Skills!O26</f>
        <v/>
      </c>
      <c r="G2992">
        <f>Skills!G26*IF(Skills!H26&gt;0,Skills!I26/Skills!H26,1)</f>
        <v/>
      </c>
      <c r="H2992">
        <f>1-(1-Skills!J26/100)^Skills!K26</f>
        <v/>
      </c>
      <c r="I2992" t="inlineStr">
        <is>
          <t>1</t>
        </is>
      </c>
      <c r="J2992" t="inlineStr"/>
      <c r="K2992" t="inlineStr"/>
      <c r="L2992" t="inlineStr"/>
      <c r="M2992" t="inlineStr"/>
      <c r="N2992" t="inlineStr"/>
      <c r="O2992">
        <f>(1-Summary!$B$11)*T2992+Summary!$B$11*V2992</f>
        <v/>
      </c>
      <c r="P2992">
        <f>IF(B3006=0,0,O2992/B3006)</f>
        <v/>
      </c>
      <c r="Q2992" t="n">
        <v>0</v>
      </c>
      <c r="R2992" t="n">
        <v>0</v>
      </c>
      <c r="S2992">
        <f>IFERROR(O2992/N2992,0)</f>
        <v/>
      </c>
      <c r="T2992" t="n">
        <v>0</v>
      </c>
      <c r="V2992" t="n">
        <v>0</v>
      </c>
    </row>
    <row r="2993">
      <c r="A2993">
        <f>Skills!A27</f>
        <v/>
      </c>
      <c r="B2993">
        <f>Skills!B27</f>
        <v/>
      </c>
      <c r="C2993">
        <f>Inputs!$B$3&gt;=117</f>
        <v/>
      </c>
      <c r="D2993">
        <f>IF(Skills!C27=1,60+Inputs!$B$25+Inputs!$B$29,IF(Skills!C27=2,90+Inputs!$B$26+Inputs!$B$29,IF(Skills!C27=3,120+Inputs!$B$27+Inputs!$B$29,MAX(0,(Inputs!$B$3-100)*3)+Inputs!$B$28+Inputs!$B$29)))</f>
        <v/>
      </c>
      <c r="E2993">
        <f>INDEX(FactorTable!$B$2:$Y$301, MATCH(ROUND(MIN(300,MAX(1,D2993)),0), FactorTable!$A$2:$A$301,0), Skills!M27+1)</f>
        <v/>
      </c>
      <c r="F2993">
        <f>IF(Skills!N27=TRUE,(Skills!L27/10)*(E2993/1000),Skills!L27/10)+Skills!O27</f>
        <v/>
      </c>
      <c r="G2993">
        <f>Skills!G27*IF(Skills!H27&gt;0,Skills!I27/Skills!H27,1)</f>
        <v/>
      </c>
      <c r="H2993">
        <f>1-(1-Skills!J27/100)^Skills!K27</f>
        <v/>
      </c>
      <c r="I2993" t="inlineStr">
        <is>
          <t>1</t>
        </is>
      </c>
      <c r="J2993" t="inlineStr"/>
      <c r="K2993" t="inlineStr"/>
      <c r="L2993" t="inlineStr"/>
      <c r="M2993" t="inlineStr"/>
      <c r="N2993" t="inlineStr"/>
      <c r="O2993">
        <f>(1-Summary!$B$11)*T2993+Summary!$B$11*V2993</f>
        <v/>
      </c>
      <c r="P2993">
        <f>IF(B3006=0,0,O2993/B3006)</f>
        <v/>
      </c>
      <c r="Q2993" t="n">
        <v>0</v>
      </c>
      <c r="R2993" t="n">
        <v>0</v>
      </c>
      <c r="S2993">
        <f>IFERROR(O2993/N2993,0)</f>
        <v/>
      </c>
      <c r="T2993" t="n">
        <v>0</v>
      </c>
      <c r="V2993" t="n">
        <v>0</v>
      </c>
    </row>
    <row r="2995">
      <c r="A2995" t="inlineStr">
        <is>
          <t>Attack% Bucket Multiplier</t>
        </is>
      </c>
      <c r="B2995">
        <f>(1+(((C2983=TRUE)*F2983)+((C2990=TRUE)*(F2990-Calc!F24))+(IF(ArtifactsInput!$M$21,CHOOSE(ArtifactsInput!$N$21+1,25,30,35,40,45,50)*(IF(OR(Inputs!$B$4="Chapter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96">
      <c r="A2996" t="inlineStr">
        <is>
          <t>Global Crit Rate Bonus %</t>
        </is>
      </c>
      <c r="B2996" t="n">
        <v>0</v>
      </c>
    </row>
    <row r="2997">
      <c r="A2997" t="inlineStr">
        <is>
          <t>Attack Speed Buff Bonus % (unused)</t>
        </is>
      </c>
      <c r="B2997" t="n">
        <v>0</v>
      </c>
    </row>
    <row r="2998">
      <c r="A2998" t="inlineStr">
        <is>
          <t>Actions Per Second</t>
        </is>
      </c>
      <c r="B2998">
        <f>1+MIN(150,150*(1-(1-(Inputs!$B$11+((C2986=TRUE)*(F2986-Calc!F20))+((C2987=TRUE)*(F2987-Calc!F21)))/150)*(1-B2997/150)))/100</f>
        <v/>
      </c>
    </row>
    <row r="2999">
      <c r="A2999" t="inlineStr">
        <is>
          <t>Skill + Buff Cast Rate</t>
        </is>
      </c>
      <c r="B2999">
        <f>IF(AND(Inputs!$B$38&lt;&gt;"pvp",Inputs!$B$43&gt;0),SUMPRODUCT((Skills!E2:E27=TRUE)*(C2968:C2993=TRUE)*R2968:R2993*Skills!F2:F27)/Inputs!$B$43,SUMPRODUCT((Skills!E2:E27=TRUE)*(C2968:C2993=TRUE)*Q2968:Q2993*Skills!F2:F27))</f>
        <v/>
      </c>
    </row>
    <row r="3000">
      <c r="A3000" t="inlineStr">
        <is>
          <t>Eight-Legs Easton Casts Per Second</t>
        </is>
      </c>
      <c r="B3000">
        <f>MAX(0,B2998-B2999)</f>
        <v/>
      </c>
    </row>
    <row r="3001">
      <c r="A3001" t="inlineStr">
        <is>
          <t>Global Critical Damage Bonus % (unused)</t>
        </is>
      </c>
      <c r="B3001" t="n">
        <v>0</v>
      </c>
    </row>
    <row r="3002">
      <c r="A3002" t="inlineStr">
        <is>
          <t>Global Final Damage Bonus % (Jolly Roger only)</t>
        </is>
      </c>
      <c r="B3002">
        <f>((C2984=TRUE)*F2984)</f>
        <v/>
      </c>
    </row>
    <row r="3003">
      <c r="A3003" t="inlineStr">
        <is>
          <t>Buff-Casting Startup Delay (s, fixed-duration only)</t>
        </is>
      </c>
      <c r="B3003">
        <f>IF(AND(Inputs!$B$38&lt;&gt;"pvp",Inputs!$B$43&gt;0),SUMPRODUCT((Skills!T2:T27&gt;0)*(Skills!E2:E27=TRUE)*(C2968:C2993=TRUE))/B2998,0)</f>
        <v/>
      </c>
    </row>
    <row r="3004">
      <c r="A3004" t="inlineStr">
        <is>
          <t>Boss-Only Total DPS (this block's swept value)</t>
        </is>
      </c>
      <c r="B3004">
        <f>SUM(T2968:T2993)</f>
        <v/>
      </c>
    </row>
    <row r="3005">
      <c r="A3005" t="inlineStr">
        <is>
          <t>Normal-Only Total DPS (this block's swept value)</t>
        </is>
      </c>
      <c r="B3005">
        <f>SUM(V2968:V2993)</f>
        <v/>
      </c>
    </row>
    <row r="3006">
      <c r="A3006" s="6" t="inlineStr">
        <is>
          <t>TOTAL DPS</t>
        </is>
      </c>
      <c r="B3006" s="6">
        <f>SUM(O2968:O2993)</f>
        <v/>
      </c>
    </row>
    <row r="3009">
      <c r="A3009" s="6" t="inlineStr">
        <is>
          <t>Stat: CDR = 3.5s</t>
        </is>
      </c>
    </row>
    <row r="3010">
      <c r="A3010" s="5" t="inlineStr">
        <is>
          <t>Key</t>
        </is>
      </c>
      <c r="B3010" s="5" t="inlineStr">
        <is>
          <t>Name</t>
        </is>
      </c>
      <c r="C3010" s="5" t="inlineStr">
        <is>
          <t>Unlocked</t>
        </is>
      </c>
      <c r="D3010" s="5" t="inlineStr">
        <is>
          <t>InputLevel</t>
        </is>
      </c>
      <c r="E3010" s="5" t="inlineStr">
        <is>
          <t>Factor</t>
        </is>
      </c>
      <c r="F3010" s="5" t="inlineStr">
        <is>
          <t>CoefficientPercent</t>
        </is>
      </c>
      <c r="G3010" s="5" t="inlineStr">
        <is>
          <t>EffectiveHits</t>
        </is>
      </c>
      <c r="H3010" s="5" t="inlineStr">
        <is>
          <t>ProcProbability</t>
        </is>
      </c>
      <c r="I3010" s="5" t="inlineStr">
        <is>
          <t>MapleHeroMultiplier</t>
        </is>
      </c>
      <c r="J3010" s="5" t="inlineStr">
        <is>
          <t>BaseDamage</t>
        </is>
      </c>
      <c r="K3010" s="5" t="inlineStr">
        <is>
          <t>BaseHitDamage</t>
        </is>
      </c>
      <c r="L3010" s="5" t="inlineStr">
        <is>
          <t>NonCritAvg</t>
        </is>
      </c>
      <c r="M3010" s="5" t="inlineStr">
        <is>
          <t>CritAvg</t>
        </is>
      </c>
      <c r="N3010" s="5" t="inlineStr">
        <is>
          <t>ExpectedDamage(perHit)</t>
        </is>
      </c>
      <c r="O3010" s="5" t="inlineStr">
        <is>
          <t>DPS</t>
        </is>
      </c>
      <c r="P3010" s="5" t="inlineStr">
        <is>
          <t>% of Total</t>
        </is>
      </c>
      <c r="Q3010" s="5" t="inlineStr">
        <is>
          <t>InvCooldown</t>
        </is>
      </c>
      <c r="R3010" s="5" t="inlineStr">
        <is>
          <t>CastsInFight</t>
        </is>
      </c>
      <c r="S3010" s="5" t="inlineStr">
        <is>
          <t>HitRate(perSec)</t>
        </is>
      </c>
      <c r="U3010" t="inlineStr">
        <is>
          <t>helpers</t>
        </is>
      </c>
    </row>
    <row r="3011">
      <c r="A3011">
        <f>Skills!A2</f>
        <v/>
      </c>
      <c r="B3011">
        <f>Skills!B2</f>
        <v/>
      </c>
      <c r="C3011">
        <f>Inputs!$B$3&gt;=100</f>
        <v/>
      </c>
      <c r="D3011" t="inlineStr"/>
      <c r="E3011" t="inlineStr"/>
      <c r="F3011">
        <f>U3013+Skills!O2</f>
        <v/>
      </c>
      <c r="G3011">
        <f>Skills!G2*IF(Skills!H2&gt;0,Skills!I2/Skills!H2,1)</f>
        <v/>
      </c>
      <c r="H3011">
        <f>1-(1-Skills!J2/100)^Skills!K2</f>
        <v/>
      </c>
      <c r="I3011" t="inlineStr">
        <is>
          <t>1</t>
        </is>
      </c>
      <c r="J3011">
        <f>((Inputs!$B$6*(1+Inputs!$B$7/100))+(((Inputs!$B$12*(1+Inputs!$B$13/100))-(Inputs!$B$12*(1+Inputs!$B$13/100)))+0.25*(Inputs!$B$14-Inputs!$B$14))*(1+Inputs!$B$7/100))*(F3011/100)</f>
        <v/>
      </c>
      <c r="K3011">
        <f>J3011*(1+((Inputs!$B$12*(1+Inputs!$B$13/100))*0.01+Inputs!$B$14*0.0025)/100)*(1+Inputs!$B$15/100)*(1+Inputs!$B$16/100)*(5000/(6000+Inputs!$B$42*(1-(100*(1-(1-(Inputs!$B$19+0)/100)*(1-CHOOSE(ArtifactsInput!$N$40+1,5,6,7,8,9,10)/100)^(ArtifactsInput!$M$40-ArtifactsInput!$M$40)))/100)))*(1+(Inputs!$B$24+((C3035=TRUE)*(F3035-Calc!F26))+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3032=TRUE)*(F3032-Calc!F23))+((C3036=TRUE)*(F3036-Calc!F27))+(((IF(AND(ArtifactsInput!$M$42,((Inputs!$B$9+((C3028=TRUE)*(F3028-Calc!F19))+B3039+(ArtifactsInput!$M$24-ArtifactsInput!$M$24)*CHOOSE(ArtifactsInput!$N$24+1,10,12,14,16,18,20)+IF(ArtifactsInput!$M$10,CHOOSE(ArtifactsInput!$N$10+1,15,18,21,24,27,30)*(IF(Inputs!$B$38="pvp",MIN(15,15)/15,IF(AND(Inputs!$B$38&lt;&gt;"pvp",Inputs!$B$43&gt;0),MIN(15,Inputs!$B$43)/(Inputs!$B$43),0))),0)))&gt;=100),MIN(100,((Inputs!$B$9+((C3028=TRUE)*(F3028-Calc!F19))+B3039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3028=TRUE)*(F3028-Calc!F19))+B3039+(ArtifactsInput!$M$24-ArtifactsInput!$M$24)*CHOOSE(ArtifactsInput!$N$24+1,10,12,14,16,18,20)+IF(ArtifactsInput!$M$10,CHOOSE(ArtifactsInput!$N$10+1,15,18,21,24,27,30)*(IF(Inputs!$B$38="pvp",MIN(15,15)/15,IF(AND(Inputs!$B$38&lt;&gt;"pvp",Inputs!$B$43&gt;0),MIN(15,Inputs!$B$43)/(Inputs!$B$43),0))),0)))&gt;=100),CHOOSE(ArtifactsInput!$N$42+1,40,48,56,64,72,80),0))))/100)*((1+(((C3026=TRUE)*F3026)+((C3033=TRUE)*(F3033-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3011)</f>
        <v/>
      </c>
      <c r="L3011">
        <f>K3011*(MIN(Inputs!$B$22+((C3031=TRUE)*(F3031-Calc!F22)),(Inputs!$B$23+0+(IF(ArtifactsInput!$M$15,CHOOSE(ArtifactsInput!$N$15+1,25,30,35,40,45,50)/100*(Inputs!$B$11-Inputs!$B$11),0))))/100+(Inputs!$B$23+0+(IF(ArtifactsInput!$M$15,CHOOSE(ArtifactsInput!$N$15+1,25,30,35,40,45,50)/100*(Inputs!$B$11-Inputs!$B$11),0)))/100)/2</f>
        <v/>
      </c>
      <c r="M3011">
        <f>L3011*(1+(Inputs!$B$10+((C3034=TRUE)*(F3034-Calc!F25))+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1">
        <f>L3011*(1-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1">
        <f>(1-Summary!$B$11)*T3011+Summary!$B$11*V3011</f>
        <v/>
      </c>
      <c r="P3011">
        <f>IF(B3049=0,0,O3011/B3049)</f>
        <v/>
      </c>
      <c r="Q3011" t="n">
        <v>0</v>
      </c>
      <c r="R3011" t="n">
        <v>0</v>
      </c>
      <c r="S3011">
        <f>IFERROR(O3011/N3011,0)</f>
        <v/>
      </c>
      <c r="T3011">
        <f>IF(C3011,(Skills!G2*N3011*B3043)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3011*(1-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3011*(1-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11">
        <f>MAX(0,(Inputs!$B$3-100)*3)+Inputs!$B$28+Inputs!$B$29</f>
        <v/>
      </c>
      <c r="V3011">
        <f>IF(C3011,(Skills!G2*N3011*B3043)*IF(Inputs!$B$38="pvp",1,(1+(Inputs!$B$21+Skills!Q2+(IF(ArtifactsInput!$M$33,CHOOSE(ArtifactsInput!$N$33+1,30,36,42,48,54,60),0))+(IF(AND(ArtifactsInput!$M$35,Inputs!$B$4&lt;&gt;"Chapter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2">
      <c r="A3012">
        <f>Skills!A3</f>
        <v/>
      </c>
      <c r="B3012">
        <f>Skills!B3</f>
        <v/>
      </c>
      <c r="C3012">
        <f>Inputs!$B$3&gt;=35</f>
        <v/>
      </c>
      <c r="D3012">
        <f>IF(Skills!C3=1,60+Inputs!$B$25+Inputs!$B$29,IF(Skills!C3=2,90+Inputs!$B$26+Inputs!$B$29,IF(Skills!C3=3,120+Inputs!$B$27+Inputs!$B$29,MAX(0,(Inputs!$B$3-100)*3)+Inputs!$B$28+Inputs!$B$29)))</f>
        <v/>
      </c>
      <c r="E3012">
        <f>INDEX(FactorTable!$B$2:$Y$301, MATCH(ROUND(MIN(300,MAX(1,D3012)),0), FactorTable!$A$2:$A$301,0), Skills!M3+1)</f>
        <v/>
      </c>
      <c r="F3012">
        <f>IF(Skills!N3=TRUE,(Skills!L3/10)*(E3012/1000),Skills!L3/10)+Skills!O3</f>
        <v/>
      </c>
      <c r="G3012">
        <f>Skills!G3*IF(Skills!H3&gt;0,Skills!I3/Skills!H3,1)</f>
        <v/>
      </c>
      <c r="H3012">
        <f>1-(1-Skills!J3/100)^Skills!K3</f>
        <v/>
      </c>
      <c r="I3012" t="inlineStr">
        <is>
          <t>1</t>
        </is>
      </c>
      <c r="J3012">
        <f>((Inputs!$B$6*(1+Inputs!$B$7/100))+(((Inputs!$B$12*(1+Inputs!$B$13/100))-(Inputs!$B$12*(1+Inputs!$B$13/100)))+0.25*(Inputs!$B$14-Inputs!$B$14))*(1+Inputs!$B$7/100))*(F3012/100)</f>
        <v/>
      </c>
      <c r="K3012">
        <f>J3012*(1+((Inputs!$B$12*(1+Inputs!$B$13/100))*0.01+Inputs!$B$14*0.0025)/100)*(1+Inputs!$B$15/100)*(1+Inputs!$B$16/100)*(5000/(6000+Inputs!$B$42*(1-(100*(1-(1-(Inputs!$B$19+0)/100)*(1-CHOOSE(ArtifactsInput!$N$40+1,5,6,7,8,9,10)/100)^(ArtifactsInput!$M$40-ArtifactsInput!$M$40)))/100)))*(1+(Inputs!$B$24+((C3035=TRUE)*(F3035-Calc!F26))+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3024=TRUE,F3024,0)/100)*(1+(IF(Skills!A3="EIGHT_LEGS_EASTON",Inputs!$B$17+((C3032=TRUE)*(F3032-Calc!F23))+((C3036=TRUE)*(F3036-Calc!F27))+(((IF(AND(ArtifactsInput!$M$42,((Inputs!$B$9+((C3028=TRUE)*(F3028-Calc!F19))+B3039+(ArtifactsInput!$M$24-ArtifactsInput!$M$24)*CHOOSE(ArtifactsInput!$N$24+1,10,12,14,16,18,20)+IF(ArtifactsInput!$M$10,CHOOSE(ArtifactsInput!$N$10+1,15,18,21,24,27,30)*(IF(Inputs!$B$38="pvp",MIN(15,15)/15,IF(AND(Inputs!$B$38&lt;&gt;"pvp",Inputs!$B$43&gt;0),MIN(15,Inputs!$B$43)/(Inputs!$B$43),0))),0)))&gt;=100),MIN(100,((Inputs!$B$9+((C3028=TRUE)*(F3028-Calc!F19))+B3039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3028=TRUE)*(F3028-Calc!F19))+B3039+(ArtifactsInput!$M$24-ArtifactsInput!$M$24)*CHOOSE(ArtifactsInput!$N$24+1,10,12,14,16,18,20)+IF(ArtifactsInput!$M$10,CHOOSE(ArtifactsInput!$N$10+1,15,18,21,24,27,30)*(IF(Inputs!$B$38="pvp",MIN(15,15)/15,IF(AND(Inputs!$B$38&lt;&gt;"pvp",Inputs!$B$43&gt;0),MIN(15,Inputs!$B$43)/(Inputs!$B$43),0))),0)))&gt;=100),CHOOSE(ArtifactsInput!$N$42+1,40,48,56,64,72,80),0))))/100)*((1+(((C3026=TRUE)*F3026)+((C3033=TRUE)*(F3033-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3012)</f>
        <v/>
      </c>
      <c r="L3012">
        <f>K3012*(MIN(Inputs!$B$22+((C3031=TRUE)*(F3031-Calc!F22)),(Inputs!$B$23+0+(IF(ArtifactsInput!$M$15,CHOOSE(ArtifactsInput!$N$15+1,25,30,35,40,45,50)/100*(Inputs!$B$11-Inputs!$B$11),0))))/100+(Inputs!$B$23+0+(IF(ArtifactsInput!$M$15,CHOOSE(ArtifactsInput!$N$15+1,25,30,35,40,45,50)/100*(Inputs!$B$11-Inputs!$B$11),0)))/100)/2</f>
        <v/>
      </c>
      <c r="M3012">
        <f>L3012*(1+(Inputs!$B$10+((C3034=TRUE)*(F3034-Calc!F25))+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2">
        <f>L3012*(1-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3012*(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2">
        <f>(1-Summary!$B$11)*T3012+Summary!$B$11*V3012</f>
        <v/>
      </c>
      <c r="P3012">
        <f>IF(B3049=0,0,O3012/B3049)</f>
        <v/>
      </c>
      <c r="Q3012">
        <f>IFERROR(1/(IF(Inputs!$B$38="pvp",15,MAX(0.1,Skills!D3-IF(Skills!E3=TRUE,3.5,0)))*(1-IF(AND(ArtifactsInput!$M$27,Inputs!$B$4="Chapter Hunt"),CHOOSE(ArtifactsInput!$N$27+1,20,24,28,32,36,40),0)/100)),0)</f>
        <v/>
      </c>
      <c r="R3012">
        <f>IF(AND(Inputs!$B$38&lt;&gt;"pvp",Inputs!$B$43&gt;0),IF(MAX(0,Inputs!$B$43-B3046)&lt;=0,0,(INT(MAX(0,Inputs!$B$43-B3046)/(IF(Inputs!$B$38="pvp",15,MAX(0.1,Skills!D3-IF(Skills!E3=TRUE,3.5,0)))*(1-IF(AND(ArtifactsInput!$M$27,Inputs!$B$4="Chapter Hunt"),CHOOSE(ArtifactsInput!$N$27+1,20,24,28,32,36,40),0)/100)))+1)),0)</f>
        <v/>
      </c>
      <c r="S3012">
        <f>IFERROR(O3012/N3012,0)</f>
        <v/>
      </c>
      <c r="T3012">
        <f>IF(C3012,(H3012*N3012*IF(AND(Inputs!$B$38&lt;&gt;"pvp",Inputs!$B$43&gt;0),((Skills!G3*((R3012-1)*IF(Skills!H3&gt;0,Skills!I3/Skills!H3,1)+IF(Skills!H3&gt;0,MIN(Skills!I3,MAX(0,MAX(0,Inputs!$B$43-B3046)-((R3012-1)*(IF(Inputs!$B$38="pvp",15,MAX(0.1,Skills!D3-IF(Skills!E3=TRUE,3.5,0)))*(1-IF(AND(ArtifactsInput!$M$27,Inputs!$B$4="Chapter Hunt"),CHOOSE(ArtifactsInput!$N$27+1,20,24,28,32,36,40),0)/100)))))/Skills!H3,1)))/Inputs!$B$43),G3012*Q3012)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3012*(1-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3012*(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3012*(1-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3012*(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12">
        <f>INDEX(FactorTable!$B$2:$Y$301, MATCH(ROUND(MIN(300,MAX(1,U3011)),0), FactorTable!$A$2:$A$301,0), 22)</f>
        <v/>
      </c>
      <c r="V3012">
        <f>IF(C3012,(H3012*N3012*IF(AND(Inputs!$B$38&lt;&gt;"pvp",Inputs!$B$43&gt;0),((Skills!G3*((R3012-1)*IF(Skills!H3&gt;0,Skills!I3/Skills!H3,1)+IF(Skills!H3&gt;0,MIN(Skills!I3,MAX(0,MAX(0,Inputs!$B$43-B3046)-((R3012-1)*(IF(Inputs!$B$38="pvp",15,MAX(0.1,Skills!D3-IF(Skills!E3=TRUE,3.5,0)))*(1-IF(AND(ArtifactsInput!$M$27,Inputs!$B$4="Chapter Hunt"),CHOOSE(ArtifactsInput!$N$27+1,20,24,28,32,36,40),0)/100)))))/Skills!H3,1)))/Inputs!$B$43),G3012*Q3012))*IF(Inputs!$B$38="pvp",1,(1+(Inputs!$B$21+Skills!Q3+(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3">
      <c r="A3013">
        <f>Skills!A4</f>
        <v/>
      </c>
      <c r="B3013">
        <f>Skills!B4</f>
        <v/>
      </c>
      <c r="C3013">
        <f>Inputs!$B$3&gt;=40</f>
        <v/>
      </c>
      <c r="D3013">
        <f>IF(Skills!C4=1,60+Inputs!$B$25+Inputs!$B$29,IF(Skills!C4=2,90+Inputs!$B$26+Inputs!$B$29,IF(Skills!C4=3,120+Inputs!$B$27+Inputs!$B$29,MAX(0,(Inputs!$B$3-100)*3)+Inputs!$B$28+Inputs!$B$29)))</f>
        <v/>
      </c>
      <c r="E3013">
        <f>INDEX(FactorTable!$B$2:$Y$301, MATCH(ROUND(MIN(300,MAX(1,D3013)),0), FactorTable!$A$2:$A$301,0), Skills!M4+1)</f>
        <v/>
      </c>
      <c r="F3013">
        <f>IF(Skills!N4=TRUE,(Skills!L4/10)*(E3013/1000),Skills!L4/10)+Skills!O4</f>
        <v/>
      </c>
      <c r="G3013">
        <f>Skills!G4*IF(Skills!H4&gt;0,Skills!I4/Skills!H4,1)</f>
        <v/>
      </c>
      <c r="H3013">
        <f>1-(1-Skills!J4/100)^Skills!K4</f>
        <v/>
      </c>
      <c r="I3013" t="inlineStr">
        <is>
          <t>1</t>
        </is>
      </c>
      <c r="J3013">
        <f>((Inputs!$B$6*(1+Inputs!$B$7/100))+(((Inputs!$B$12*(1+Inputs!$B$13/100))-(Inputs!$B$12*(1+Inputs!$B$13/100)))+0.25*(Inputs!$B$14-Inputs!$B$14))*(1+Inputs!$B$7/100))*(F3013/100)</f>
        <v/>
      </c>
      <c r="K3013">
        <f>J3013*(1+((Inputs!$B$12*(1+Inputs!$B$13/100))*0.01+Inputs!$B$14*0.0025)/100)*(1+Inputs!$B$15/100)*(1+Inputs!$B$16/100)*(5000/(6000+Inputs!$B$42*(1-(100*(1-(1-(Inputs!$B$19+0)/100)*(1-CHOOSE(ArtifactsInput!$N$40+1,5,6,7,8,9,10)/100)^(ArtifactsInput!$M$40-ArtifactsInput!$M$40)))/100)))*(1+(Inputs!$B$24+((C3035=TRUE)*(F3035-Calc!F26))+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3025=TRUE,F3025,0)/100)*(1+(IF(Skills!A4="EIGHT_LEGS_EASTON",Inputs!$B$17+((C3032=TRUE)*(F3032-Calc!F23))+((C3036=TRUE)*(F3036-Calc!F27))+(((IF(AND(ArtifactsInput!$M$42,((Inputs!$B$9+((C3028=TRUE)*(F3028-Calc!F19))+B3039+(ArtifactsInput!$M$24-ArtifactsInput!$M$24)*CHOOSE(ArtifactsInput!$N$24+1,10,12,14,16,18,20)+IF(ArtifactsInput!$M$10,CHOOSE(ArtifactsInput!$N$10+1,15,18,21,24,27,30)*(IF(Inputs!$B$38="pvp",MIN(15,15)/15,IF(AND(Inputs!$B$38&lt;&gt;"pvp",Inputs!$B$43&gt;0),MIN(15,Inputs!$B$43)/(Inputs!$B$43),0))),0)))&gt;=100),MIN(100,((Inputs!$B$9+((C3028=TRUE)*(F3028-Calc!F19))+B3039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3028=TRUE)*(F3028-Calc!F19))+B3039+(ArtifactsInput!$M$24-ArtifactsInput!$M$24)*CHOOSE(ArtifactsInput!$N$24+1,10,12,14,16,18,20)+IF(ArtifactsInput!$M$10,CHOOSE(ArtifactsInput!$N$10+1,15,18,21,24,27,30)*(IF(Inputs!$B$38="pvp",MIN(15,15)/15,IF(AND(Inputs!$B$38&lt;&gt;"pvp",Inputs!$B$43&gt;0),MIN(15,Inputs!$B$43)/(Inputs!$B$43),0))),0)))&gt;=100),CHOOSE(ArtifactsInput!$N$42+1,40,48,56,64,72,80),0))))/100)*((1+(((C3026=TRUE)*F3026)+((C3033=TRUE)*(F3033-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3013)</f>
        <v/>
      </c>
      <c r="L3013">
        <f>K3013*(MIN(Inputs!$B$22+((C3031=TRUE)*(F3031-Calc!F22)),(Inputs!$B$23+0+(IF(ArtifactsInput!$M$15,CHOOSE(ArtifactsInput!$N$15+1,25,30,35,40,45,50)/100*(Inputs!$B$11-Inputs!$B$11),0))))/100+(Inputs!$B$23+0+(IF(ArtifactsInput!$M$15,CHOOSE(ArtifactsInput!$N$15+1,25,30,35,40,45,50)/100*(Inputs!$B$11-Inputs!$B$11),0)))/100)/2</f>
        <v/>
      </c>
      <c r="M3013">
        <f>L3013*(1+(Inputs!$B$10+((C3034=TRUE)*(F3034-Calc!F25))+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3">
        <f>L3013*(1-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3013*(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3">
        <f>(1-Summary!$B$11)*T3013+Summary!$B$11*V3013</f>
        <v/>
      </c>
      <c r="P3013">
        <f>IF(B3049=0,0,O3013/B3049)</f>
        <v/>
      </c>
      <c r="Q3013">
        <f>IFERROR(1/(IF(Inputs!$B$38="pvp",15,MAX(0.1,Skills!D4-IF(Skills!E4=TRUE,3.5,0)))*(1-IF(AND(ArtifactsInput!$M$27,Inputs!$B$4="Chapter Hunt"),CHOOSE(ArtifactsInput!$N$27+1,20,24,28,32,36,40),0)/100)),0)</f>
        <v/>
      </c>
      <c r="R3013">
        <f>IF(AND(Inputs!$B$38&lt;&gt;"pvp",Inputs!$B$43&gt;0),IF(MAX(0,Inputs!$B$43-B3046)&lt;=0,0,(INT(MAX(0,Inputs!$B$43-B3046)/(IF(Inputs!$B$38="pvp",15,MAX(0.1,Skills!D4-IF(Skills!E4=TRUE,3.5,0)))*(1-IF(AND(ArtifactsInput!$M$27,Inputs!$B$4="Chapter Hunt"),CHOOSE(ArtifactsInput!$N$27+1,20,24,28,32,36,40),0)/100)))+1)),0)</f>
        <v/>
      </c>
      <c r="S3013">
        <f>IFERROR(O3013/N3013,0)</f>
        <v/>
      </c>
      <c r="T3013">
        <f>IF(C3013,(H3013*N3013*IF(AND(Inputs!$B$38&lt;&gt;"pvp",Inputs!$B$43&gt;0),((Skills!G4*((R3013-1)*IF(Skills!H4&gt;0,Skills!I4/Skills!H4,1)+IF(Skills!H4&gt;0,MIN(Skills!I4,MAX(0,MAX(0,Inputs!$B$43-B3046)-((R3013-1)*(IF(Inputs!$B$38="pvp",15,MAX(0.1,Skills!D4-IF(Skills!E4=TRUE,3.5,0)))*(1-IF(AND(ArtifactsInput!$M$27,Inputs!$B$4="Chapter Hunt"),CHOOSE(ArtifactsInput!$N$27+1,20,24,28,32,36,40),0)/100)))))/Skills!H4,1)))/Inputs!$B$43),G3013*Q3013)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3013*(1-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3013*(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3013*(1-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3013*(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13">
        <f>290*U3012/1000</f>
        <v/>
      </c>
      <c r="V3013">
        <f>IF(C3013,(H3013*N3013*IF(AND(Inputs!$B$38&lt;&gt;"pvp",Inputs!$B$43&gt;0),((Skills!G4*((R3013-1)*IF(Skills!H4&gt;0,Skills!I4/Skills!H4,1)+IF(Skills!H4&gt;0,MIN(Skills!I4,MAX(0,MAX(0,Inputs!$B$43-B3046)-((R3013-1)*(IF(Inputs!$B$38="pvp",15,MAX(0.1,Skills!D4-IF(Skills!E4=TRUE,3.5,0)))*(1-IF(AND(ArtifactsInput!$M$27,Inputs!$B$4="Chapter Hunt"),CHOOSE(ArtifactsInput!$N$27+1,20,24,28,32,36,40),0)/100)))))/Skills!H4,1)))/Inputs!$B$43),G3013*Q3013))*IF(Inputs!$B$38="pvp",1,(1+(Inputs!$B$21+Skills!Q4+(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4">
      <c r="A3014">
        <f>Skills!A5</f>
        <v/>
      </c>
      <c r="B3014">
        <f>Skills!B5</f>
        <v/>
      </c>
      <c r="C3014">
        <f>Inputs!$B$3&gt;=45</f>
        <v/>
      </c>
      <c r="D3014">
        <f>IF(Skills!C5=1,60+Inputs!$B$25+Inputs!$B$29,IF(Skills!C5=2,90+Inputs!$B$26+Inputs!$B$29,IF(Skills!C5=3,120+Inputs!$B$27+Inputs!$B$29,MAX(0,(Inputs!$B$3-100)*3)+Inputs!$B$28+Inputs!$B$29)))</f>
        <v/>
      </c>
      <c r="E3014">
        <f>INDEX(FactorTable!$B$2:$Y$301, MATCH(ROUND(MIN(300,MAX(1,D3014)),0), FactorTable!$A$2:$A$301,0), Skills!M5+1)</f>
        <v/>
      </c>
      <c r="F3014">
        <f>IF(Skills!N5=TRUE,(Skills!L5/10)*(E3014/1000),Skills!L5/10)+Skills!O5</f>
        <v/>
      </c>
      <c r="G3014">
        <f>Skills!G5*IF(Skills!H5&gt;0,Skills!I5/Skills!H5,1)</f>
        <v/>
      </c>
      <c r="H3014">
        <f>1-(1-Skills!J5/100)^Skills!K5</f>
        <v/>
      </c>
      <c r="I3014" t="inlineStr">
        <is>
          <t>1</t>
        </is>
      </c>
      <c r="J3014">
        <f>((Inputs!$B$6*(1+Inputs!$B$7/100))+(((Inputs!$B$12*(1+Inputs!$B$13/100))-(Inputs!$B$12*(1+Inputs!$B$13/100)))+0.25*(Inputs!$B$14-Inputs!$B$14))*(1+Inputs!$B$7/100))*(F3014/100)</f>
        <v/>
      </c>
      <c r="K3014">
        <f>J3014*(1+((Inputs!$B$12*(1+Inputs!$B$13/100))*0.01+Inputs!$B$14*0.0025)/100)*(1+Inputs!$B$15/100)*(1+Inputs!$B$16/100)*(5000/(6000+Inputs!$B$42*(1-(100*(1-(1-(Inputs!$B$19+0)/100)*(1-CHOOSE(ArtifactsInput!$N$40+1,5,6,7,8,9,10)/100)^(ArtifactsInput!$M$40-ArtifactsInput!$M$40)))/100)))*(1+(Inputs!$B$24+((C3035=TRUE)*(F3035-Calc!F26))+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3025=TRUE,F3025,0)/100)*(1+(IF(Skills!A5="EIGHT_LEGS_EASTON",Inputs!$B$17+((C3032=TRUE)*(F3032-Calc!F23))+((C3036=TRUE)*(F3036-Calc!F27))+(((IF(AND(ArtifactsInput!$M$42,((Inputs!$B$9+((C3028=TRUE)*(F3028-Calc!F19))+B3039+(ArtifactsInput!$M$24-ArtifactsInput!$M$24)*CHOOSE(ArtifactsInput!$N$24+1,10,12,14,16,18,20)+IF(ArtifactsInput!$M$10,CHOOSE(ArtifactsInput!$N$10+1,15,18,21,24,27,30)*(IF(Inputs!$B$38="pvp",MIN(15,15)/15,IF(AND(Inputs!$B$38&lt;&gt;"pvp",Inputs!$B$43&gt;0),MIN(15,Inputs!$B$43)/(Inputs!$B$43),0))),0)))&gt;=100),MIN(100,((Inputs!$B$9+((C3028=TRUE)*(F3028-Calc!F19))+B3039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3028=TRUE)*(F3028-Calc!F19))+B3039+(ArtifactsInput!$M$24-ArtifactsInput!$M$24)*CHOOSE(ArtifactsInput!$N$24+1,10,12,14,16,18,20)+IF(ArtifactsInput!$M$10,CHOOSE(ArtifactsInput!$N$10+1,15,18,21,24,27,30)*(IF(Inputs!$B$38="pvp",MIN(15,15)/15,IF(AND(Inputs!$B$38&lt;&gt;"pvp",Inputs!$B$43&gt;0),MIN(15,Inputs!$B$43)/(Inputs!$B$43),0))),0)))&gt;=100),CHOOSE(ArtifactsInput!$N$42+1,40,48,56,64,72,80),0))))/100)*((1+(((C3026=TRUE)*F3026)+((C3033=TRUE)*(F3033-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3014)</f>
        <v/>
      </c>
      <c r="L3014">
        <f>K3014*(MIN(Inputs!$B$22+((C3031=TRUE)*(F3031-Calc!F22)),(Inputs!$B$23+0+(IF(ArtifactsInput!$M$15,CHOOSE(ArtifactsInput!$N$15+1,25,30,35,40,45,50)/100*(Inputs!$B$11-Inputs!$B$11),0))))/100+(Inputs!$B$23+0+(IF(ArtifactsInput!$M$15,CHOOSE(ArtifactsInput!$N$15+1,25,30,35,40,45,50)/100*(Inputs!$B$11-Inputs!$B$11),0)))/100)/2</f>
        <v/>
      </c>
      <c r="M3014">
        <f>L3014*(1+(Inputs!$B$10+((C3034=TRUE)*(F3034-Calc!F25))+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4">
        <f>L3014*(1-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3014*(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4">
        <f>(1-Summary!$B$11)*T3014+Summary!$B$11*V3014</f>
        <v/>
      </c>
      <c r="P3014">
        <f>IF(B3049=0,0,O3014/B3049)</f>
        <v/>
      </c>
      <c r="Q3014">
        <f>IFERROR(1/(IF(Inputs!$B$38="pvp",15,MAX(0.1,Skills!D5-IF(Skills!E5=TRUE,3.5,0)))*(1-IF(AND(ArtifactsInput!$M$27,Inputs!$B$4="Chapter Hunt"),CHOOSE(ArtifactsInput!$N$27+1,20,24,28,32,36,40),0)/100)),0)</f>
        <v/>
      </c>
      <c r="R3014">
        <f>IF(AND(Inputs!$B$38&lt;&gt;"pvp",Inputs!$B$43&gt;0),IF(MAX(0,Inputs!$B$43-B3046)&lt;=0,0,(INT(MAX(0,Inputs!$B$43-B3046)/(IF(Inputs!$B$38="pvp",15,MAX(0.1,Skills!D5-IF(Skills!E5=TRUE,3.5,0)))*(1-IF(AND(ArtifactsInput!$M$27,Inputs!$B$4="Chapter Hunt"),CHOOSE(ArtifactsInput!$N$27+1,20,24,28,32,36,40),0)/100)))+1)),0)</f>
        <v/>
      </c>
      <c r="S3014">
        <f>IFERROR(O3014/N3014,0)</f>
        <v/>
      </c>
      <c r="T3014">
        <f>IF(C3014,(H3014*N3014*IF(AND(Inputs!$B$38&lt;&gt;"pvp",Inputs!$B$43&gt;0),((Skills!G5*((R3014-1)*IF(Skills!H5&gt;0,Skills!I5/Skills!H5,1)+IF(Skills!H5&gt;0,MIN(Skills!I5,MAX(0,MAX(0,Inputs!$B$43-B3046)-((R3014-1)*(IF(Inputs!$B$38="pvp",15,MAX(0.1,Skills!D5-IF(Skills!E5=TRUE,3.5,0)))*(1-IF(AND(ArtifactsInput!$M$27,Inputs!$B$4="Chapter Hunt"),CHOOSE(ArtifactsInput!$N$27+1,20,24,28,32,36,40),0)/100)))))/Skills!H5,1)))/Inputs!$B$43),G3014*Q3014)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3014*(1-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3014*(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3014*(1-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3014*(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4">
        <f>IF(C3014,(H3014*N3014*IF(AND(Inputs!$B$38&lt;&gt;"pvp",Inputs!$B$43&gt;0),((Skills!G5*((R3014-1)*IF(Skills!H5&gt;0,Skills!I5/Skills!H5,1)+IF(Skills!H5&gt;0,MIN(Skills!I5,MAX(0,MAX(0,Inputs!$B$43-B3046)-((R3014-1)*(IF(Inputs!$B$38="pvp",15,MAX(0.1,Skills!D5-IF(Skills!E5=TRUE,3.5,0)))*(1-IF(AND(ArtifactsInput!$M$27,Inputs!$B$4="Chapter Hunt"),CHOOSE(ArtifactsInput!$N$27+1,20,24,28,32,36,40),0)/100)))))/Skills!H5,1)))/Inputs!$B$43),G3014*Q3014))*IF(Inputs!$B$38="pvp",1,(1+(Inputs!$B$21+Skills!Q5+(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5">
      <c r="A3015">
        <f>Skills!A6</f>
        <v/>
      </c>
      <c r="B3015">
        <f>Skills!B6</f>
        <v/>
      </c>
      <c r="C3015">
        <f>Inputs!$B$3&gt;=63</f>
        <v/>
      </c>
      <c r="D3015">
        <f>IF(Skills!C6=1,60+Inputs!$B$25+Inputs!$B$29,IF(Skills!C6=2,90+Inputs!$B$26+Inputs!$B$29,IF(Skills!C6=3,120+Inputs!$B$27+Inputs!$B$29,MAX(0,(Inputs!$B$3-100)*3)+Inputs!$B$28+Inputs!$B$29)))</f>
        <v/>
      </c>
      <c r="E3015">
        <f>INDEX(FactorTable!$B$2:$Y$301, MATCH(ROUND(MIN(300,MAX(1,D3015)),0), FactorTable!$A$2:$A$301,0), Skills!M6+1)</f>
        <v/>
      </c>
      <c r="F3015">
        <f>IF(Skills!N6=TRUE,(Skills!L6/10)*(E3015/1000),Skills!L6/10)+Skills!O6</f>
        <v/>
      </c>
      <c r="G3015">
        <f>Skills!G6*IF(Skills!H6&gt;0,Skills!I6/Skills!H6,1)</f>
        <v/>
      </c>
      <c r="H3015">
        <f>1-(1-Skills!J6/100)^Skills!K6</f>
        <v/>
      </c>
      <c r="I3015" t="inlineStr">
        <is>
          <t>1</t>
        </is>
      </c>
      <c r="J3015">
        <f>((Inputs!$B$6*(1+Inputs!$B$7/100))+(((Inputs!$B$12*(1+Inputs!$B$13/100))-(Inputs!$B$12*(1+Inputs!$B$13/100)))+0.25*(Inputs!$B$14-Inputs!$B$14))*(1+Inputs!$B$7/100))*(F3015/100)</f>
        <v/>
      </c>
      <c r="K3015">
        <f>J3015*(1+((Inputs!$B$12*(1+Inputs!$B$13/100))*0.01+Inputs!$B$14*0.0025)/100)*(1+Inputs!$B$15/100)*(1+Inputs!$B$16/100)*(5000/(6000+Inputs!$B$42*(1-(100*(1-(1-(Inputs!$B$19+0)/100)*(1-CHOOSE(ArtifactsInput!$N$40+1,5,6,7,8,9,10)/100)^(ArtifactsInput!$M$40-ArtifactsInput!$M$40)))/100)))*(1+(Inputs!$B$24+((C3035=TRUE)*(F3035-Calc!F26))+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3024=TRUE,F3024,0)/100)*(1+(IF(Skills!A6="EIGHT_LEGS_EASTON",Inputs!$B$17+((C3032=TRUE)*(F3032-Calc!F23))+((C3036=TRUE)*(F3036-Calc!F27))+(((IF(AND(ArtifactsInput!$M$42,((Inputs!$B$9+((C3028=TRUE)*(F3028-Calc!F19))+B3039+(ArtifactsInput!$M$24-ArtifactsInput!$M$24)*CHOOSE(ArtifactsInput!$N$24+1,10,12,14,16,18,20)+IF(ArtifactsInput!$M$10,CHOOSE(ArtifactsInput!$N$10+1,15,18,21,24,27,30)*(IF(Inputs!$B$38="pvp",MIN(15,15)/15,IF(AND(Inputs!$B$38&lt;&gt;"pvp",Inputs!$B$43&gt;0),MIN(15,Inputs!$B$43)/(Inputs!$B$43),0))),0)))&gt;=100),MIN(100,((Inputs!$B$9+((C3028=TRUE)*(F3028-Calc!F19))+B3039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3028=TRUE)*(F3028-Calc!F19))+B3039+(ArtifactsInput!$M$24-ArtifactsInput!$M$24)*CHOOSE(ArtifactsInput!$N$24+1,10,12,14,16,18,20)+IF(ArtifactsInput!$M$10,CHOOSE(ArtifactsInput!$N$10+1,15,18,21,24,27,30)*(IF(Inputs!$B$38="pvp",MIN(15,15)/15,IF(AND(Inputs!$B$38&lt;&gt;"pvp",Inputs!$B$43&gt;0),MIN(15,Inputs!$B$43)/(Inputs!$B$43),0))),0)))&gt;=100),CHOOSE(ArtifactsInput!$N$42+1,40,48,56,64,72,80),0))))/100)*((1+(((C3026=TRUE)*F3026)+((C3033=TRUE)*(F3033-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3015)</f>
        <v/>
      </c>
      <c r="L3015">
        <f>K3015*(MIN(Inputs!$B$22+((C3031=TRUE)*(F3031-Calc!F22)),(Inputs!$B$23+0+(IF(ArtifactsInput!$M$15,CHOOSE(ArtifactsInput!$N$15+1,25,30,35,40,45,50)/100*(Inputs!$B$11-Inputs!$B$11),0))))/100+(Inputs!$B$23+0+(IF(ArtifactsInput!$M$15,CHOOSE(ArtifactsInput!$N$15+1,25,30,35,40,45,50)/100*(Inputs!$B$11-Inputs!$B$11),0)))/100)/2</f>
        <v/>
      </c>
      <c r="M3015">
        <f>L3015*(1+(Inputs!$B$10+((C3034=TRUE)*(F3034-Calc!F25))+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5">
        <f>L3015*(1-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3015*(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5">
        <f>(1-Summary!$B$11)*T3015+Summary!$B$11*V3015</f>
        <v/>
      </c>
      <c r="P3015">
        <f>IF(B3049=0,0,O3015/B3049)</f>
        <v/>
      </c>
      <c r="Q3015">
        <f>IFERROR(1/(IF(Inputs!$B$38="pvp",15,MAX(0.1,Skills!D6-IF(Skills!E6=TRUE,3.5,0)))*(1-IF(AND(ArtifactsInput!$M$27,Inputs!$B$4="Chapter Hunt"),CHOOSE(ArtifactsInput!$N$27+1,20,24,28,32,36,40),0)/100)),0)</f>
        <v/>
      </c>
      <c r="R3015">
        <f>IF(AND(Inputs!$B$38&lt;&gt;"pvp",Inputs!$B$43&gt;0),IF(MAX(0,Inputs!$B$43-B3046)&lt;=0,0,(INT(MAX(0,Inputs!$B$43-B3046)/(IF(Inputs!$B$38="pvp",15,MAX(0.1,Skills!D6-IF(Skills!E6=TRUE,3.5,0)))*(1-IF(AND(ArtifactsInput!$M$27,Inputs!$B$4="Chapter Hunt"),CHOOSE(ArtifactsInput!$N$27+1,20,24,28,32,36,40),0)/100)))+1)),0)</f>
        <v/>
      </c>
      <c r="S3015">
        <f>IFERROR(O3015/N3015,0)</f>
        <v/>
      </c>
      <c r="T3015">
        <f>IF(C3015,(H3015*N3015*IF(AND(Inputs!$B$38&lt;&gt;"pvp",Inputs!$B$43&gt;0),((Skills!G6*((R3015-1)*IF(Skills!H6&gt;0,Skills!I6/Skills!H6,1)+IF(Skills!H6&gt;0,MIN(Skills!I6,MAX(0,MAX(0,Inputs!$B$43-B3046)-((R3015-1)*(IF(Inputs!$B$38="pvp",15,MAX(0.1,Skills!D6-IF(Skills!E6=TRUE,3.5,0)))*(1-IF(AND(ArtifactsInput!$M$27,Inputs!$B$4="Chapter Hunt"),CHOOSE(ArtifactsInput!$N$27+1,20,24,28,32,36,40),0)/100)))))/Skills!H6,1)))/Inputs!$B$43),G3015*Q3015)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3015*(1-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3015*(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3015*(1-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3015*(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5">
        <f>IF(C3015,(H3015*N3015*IF(AND(Inputs!$B$38&lt;&gt;"pvp",Inputs!$B$43&gt;0),((Skills!G6*((R3015-1)*IF(Skills!H6&gt;0,Skills!I6/Skills!H6,1)+IF(Skills!H6&gt;0,MIN(Skills!I6,MAX(0,MAX(0,Inputs!$B$43-B3046)-((R3015-1)*(IF(Inputs!$B$38="pvp",15,MAX(0.1,Skills!D6-IF(Skills!E6=TRUE,3.5,0)))*(1-IF(AND(ArtifactsInput!$M$27,Inputs!$B$4="Chapter Hunt"),CHOOSE(ArtifactsInput!$N$27+1,20,24,28,32,36,40),0)/100)))))/Skills!H6,1)))/Inputs!$B$43),G3015*Q3015))*IF(Inputs!$B$38="pvp",1,(1+(Inputs!$B$21+Skills!Q6+(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6">
      <c r="A3016">
        <f>Skills!A7</f>
        <v/>
      </c>
      <c r="B3016">
        <f>Skills!B7</f>
        <v/>
      </c>
      <c r="C3016">
        <f>Inputs!$B$3&gt;=66</f>
        <v/>
      </c>
      <c r="D3016">
        <f>IF(Skills!C7=1,60+Inputs!$B$25+Inputs!$B$29,IF(Skills!C7=2,90+Inputs!$B$26+Inputs!$B$29,IF(Skills!C7=3,120+Inputs!$B$27+Inputs!$B$29,MAX(0,(Inputs!$B$3-100)*3)+Inputs!$B$28+Inputs!$B$29)))</f>
        <v/>
      </c>
      <c r="E3016">
        <f>INDEX(FactorTable!$B$2:$Y$301, MATCH(ROUND(MIN(300,MAX(1,D3016)),0), FactorTable!$A$2:$A$301,0), Skills!M7+1)</f>
        <v/>
      </c>
      <c r="F3016">
        <f>IF(Skills!N7=TRUE,(Skills!L7/10)*(E3016/1000),Skills!L7/10)+Skills!O7</f>
        <v/>
      </c>
      <c r="G3016">
        <f>Skills!G7*IF(Skills!H7&gt;0,Skills!I7/Skills!H7,1)</f>
        <v/>
      </c>
      <c r="H3016">
        <f>1-(1-Skills!J7/100)^Skills!K7</f>
        <v/>
      </c>
      <c r="I3016" t="inlineStr">
        <is>
          <t>1</t>
        </is>
      </c>
      <c r="J3016">
        <f>((Inputs!$B$6*(1+Inputs!$B$7/100))+(((Inputs!$B$12*(1+Inputs!$B$13/100))-(Inputs!$B$12*(1+Inputs!$B$13/100)))+0.25*(Inputs!$B$14-Inputs!$B$14))*(1+Inputs!$B$7/100))*(F3016/100)</f>
        <v/>
      </c>
      <c r="K3016">
        <f>J3016*(1+((Inputs!$B$12*(1+Inputs!$B$13/100))*0.01+Inputs!$B$14*0.0025)/100)*(1+Inputs!$B$15/100)*(1+Inputs!$B$16/100)*(5000/(6000+Inputs!$B$42*(1-(100*(1-(1-(Inputs!$B$19+0)/100)*(1-CHOOSE(ArtifactsInput!$N$40+1,5,6,7,8,9,10)/100)^(ArtifactsInput!$M$40-ArtifactsInput!$M$40)))/100)))*(1+(Inputs!$B$24+((C3035=TRUE)*(F3035-Calc!F26))+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3024=TRUE,F3024,0)/100)*(1+(IF(Skills!A7="EIGHT_LEGS_EASTON",Inputs!$B$17+((C3032=TRUE)*(F3032-Calc!F23))+((C3036=TRUE)*(F3036-Calc!F27))+(((IF(AND(ArtifactsInput!$M$42,((Inputs!$B$9+((C3028=TRUE)*(F3028-Calc!F19))+B3039+(ArtifactsInput!$M$24-ArtifactsInput!$M$24)*CHOOSE(ArtifactsInput!$N$24+1,10,12,14,16,18,20)+IF(ArtifactsInput!$M$10,CHOOSE(ArtifactsInput!$N$10+1,15,18,21,24,27,30)*(IF(Inputs!$B$38="pvp",MIN(15,15)/15,IF(AND(Inputs!$B$38&lt;&gt;"pvp",Inputs!$B$43&gt;0),MIN(15,Inputs!$B$43)/(Inputs!$B$43),0))),0)))&gt;=100),MIN(100,((Inputs!$B$9+((C3028=TRUE)*(F3028-Calc!F19))+B3039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3028=TRUE)*(F3028-Calc!F19))+B3039+(ArtifactsInput!$M$24-ArtifactsInput!$M$24)*CHOOSE(ArtifactsInput!$N$24+1,10,12,14,16,18,20)+IF(ArtifactsInput!$M$10,CHOOSE(ArtifactsInput!$N$10+1,15,18,21,24,27,30)*(IF(Inputs!$B$38="pvp",MIN(15,15)/15,IF(AND(Inputs!$B$38&lt;&gt;"pvp",Inputs!$B$43&gt;0),MIN(15,Inputs!$B$43)/(Inputs!$B$43),0))),0)))&gt;=100),CHOOSE(ArtifactsInput!$N$42+1,40,48,56,64,72,80),0))))/100)*((1+(((C3026=TRUE)*F3026)+((C3033=TRUE)*(F3033-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3016)</f>
        <v/>
      </c>
      <c r="L3016">
        <f>K3016*(MIN(Inputs!$B$22+((C3031=TRUE)*(F3031-Calc!F22)),(Inputs!$B$23+0+(IF(ArtifactsInput!$M$15,CHOOSE(ArtifactsInput!$N$15+1,25,30,35,40,45,50)/100*(Inputs!$B$11-Inputs!$B$11),0))))/100+(Inputs!$B$23+0+(IF(ArtifactsInput!$M$15,CHOOSE(ArtifactsInput!$N$15+1,25,30,35,40,45,50)/100*(Inputs!$B$11-Inputs!$B$11),0)))/100)/2</f>
        <v/>
      </c>
      <c r="M3016">
        <f>L3016*(1+(Inputs!$B$10+((C3034=TRUE)*(F3034-Calc!F25))+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6">
        <f>L3016*(1-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3016*(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6">
        <f>(1-Summary!$B$11)*T3016+Summary!$B$11*V3016</f>
        <v/>
      </c>
      <c r="P3016">
        <f>IF(B3049=0,0,O3016/B3049)</f>
        <v/>
      </c>
      <c r="Q3016">
        <f>IFERROR(1/(IF(Inputs!$B$38="pvp",15,MAX(0.1,Skills!D7-IF(Skills!E7=TRUE,3.5,0)))*(1-IF(AND(ArtifactsInput!$M$27,Inputs!$B$4="Chapter Hunt"),CHOOSE(ArtifactsInput!$N$27+1,20,24,28,32,36,40),0)/100)),0)</f>
        <v/>
      </c>
      <c r="R3016">
        <f>IF(AND(Inputs!$B$38&lt;&gt;"pvp",Inputs!$B$43&gt;0),IF(MAX(0,Inputs!$B$43-B3046)&lt;=0,0,(INT(MAX(0,Inputs!$B$43-B3046)/(IF(Inputs!$B$38="pvp",15,MAX(0.1,Skills!D7-IF(Skills!E7=TRUE,3.5,0)))*(1-IF(AND(ArtifactsInput!$M$27,Inputs!$B$4="Chapter Hunt"),CHOOSE(ArtifactsInput!$N$27+1,20,24,28,32,36,40),0)/100)))+1)),0)</f>
        <v/>
      </c>
      <c r="S3016">
        <f>IFERROR(O3016/N3016,0)</f>
        <v/>
      </c>
      <c r="T3016">
        <f>IF(C3016,(H3016*N3016*IF(AND(Inputs!$B$38&lt;&gt;"pvp",Inputs!$B$43&gt;0),((Skills!G7*((R3016-1)*IF(Skills!H7&gt;0,Skills!I7/Skills!H7,1)+IF(Skills!H7&gt;0,MIN(Skills!I7,MAX(0,MAX(0,Inputs!$B$43-B3046)-((R3016-1)*(IF(Inputs!$B$38="pvp",15,MAX(0.1,Skills!D7-IF(Skills!E7=TRUE,3.5,0)))*(1-IF(AND(ArtifactsInput!$M$27,Inputs!$B$4="Chapter Hunt"),CHOOSE(ArtifactsInput!$N$27+1,20,24,28,32,36,40),0)/100)))))/Skills!H7,1)))/Inputs!$B$43),G3016*Q3016)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3016*(1-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3016*(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3016*(1-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3016*(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6">
        <f>IF(C3016,(H3016*N3016*IF(AND(Inputs!$B$38&lt;&gt;"pvp",Inputs!$B$43&gt;0),((Skills!G7*((R3016-1)*IF(Skills!H7&gt;0,Skills!I7/Skills!H7,1)+IF(Skills!H7&gt;0,MIN(Skills!I7,MAX(0,MAX(0,Inputs!$B$43-B3046)-((R3016-1)*(IF(Inputs!$B$38="pvp",15,MAX(0.1,Skills!D7-IF(Skills!E7=TRUE,3.5,0)))*(1-IF(AND(ArtifactsInput!$M$27,Inputs!$B$4="Chapter Hunt"),CHOOSE(ArtifactsInput!$N$27+1,20,24,28,32,36,40),0)/100)))))/Skills!H7,1)))/Inputs!$B$43),G3016*Q3016))*IF(Inputs!$B$38="pvp",1,(1+(Inputs!$B$21+Skills!Q7+(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7">
      <c r="A3017">
        <f>Skills!A8</f>
        <v/>
      </c>
      <c r="B3017">
        <f>Skills!B8</f>
        <v/>
      </c>
      <c r="C3017">
        <f>Inputs!$B$3&gt;=100</f>
        <v/>
      </c>
      <c r="D3017">
        <f>IF(Skills!C8=1,60+Inputs!$B$25+Inputs!$B$29,IF(Skills!C8=2,90+Inputs!$B$26+Inputs!$B$29,IF(Skills!C8=3,120+Inputs!$B$27+Inputs!$B$29,MAX(0,(Inputs!$B$3-100)*3)+Inputs!$B$28+Inputs!$B$29)))</f>
        <v/>
      </c>
      <c r="E3017">
        <f>INDEX(FactorTable!$B$2:$Y$301, MATCH(ROUND(MIN(300,MAX(1,D3017)),0), FactorTable!$A$2:$A$301,0), Skills!M8+1)</f>
        <v/>
      </c>
      <c r="F3017">
        <f>IF(Skills!N8=TRUE,(Skills!L8/10)*(E3017/1000),Skills!L8/10)+Skills!O8</f>
        <v/>
      </c>
      <c r="G3017">
        <f>Skills!G8*IF(Skills!H8&gt;0,Skills!I8/Skills!H8,1)</f>
        <v/>
      </c>
      <c r="H3017">
        <f>1-(1-Skills!J8/100)^Skills!K8</f>
        <v/>
      </c>
      <c r="I3017" t="inlineStr">
        <is>
          <t>1</t>
        </is>
      </c>
      <c r="J3017">
        <f>((Inputs!$B$6*(1+Inputs!$B$7/100))+(((Inputs!$B$12*(1+Inputs!$B$13/100))-(Inputs!$B$12*(1+Inputs!$B$13/100)))+0.25*(Inputs!$B$14-Inputs!$B$14))*(1+Inputs!$B$7/100))*(F3017/100)</f>
        <v/>
      </c>
      <c r="K3017">
        <f>J3017*(1+((Inputs!$B$12*(1+Inputs!$B$13/100))*0.01+Inputs!$B$14*0.0025)/100)*(1+Inputs!$B$15/100)*(1+Inputs!$B$16/100)*(5000/(6000+Inputs!$B$42*(1-(100*(1-(1-(Inputs!$B$19+0)/100)*(1-CHOOSE(ArtifactsInput!$N$40+1,5,6,7,8,9,10)/100)^(ArtifactsInput!$M$40-ArtifactsInput!$M$40)))/100)))*(1+(Inputs!$B$24+((C3035=TRUE)*(F3035-Calc!F26))+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3032=TRUE)*(F3032-Calc!F23))+((C3036=TRUE)*(F3036-Calc!F27))+(((IF(AND(ArtifactsInput!$M$42,((Inputs!$B$9+((C3028=TRUE)*(F3028-Calc!F19))+B3039+(ArtifactsInput!$M$24-ArtifactsInput!$M$24)*CHOOSE(ArtifactsInput!$N$24+1,10,12,14,16,18,20)+IF(ArtifactsInput!$M$10,CHOOSE(ArtifactsInput!$N$10+1,15,18,21,24,27,30)*(IF(Inputs!$B$38="pvp",MIN(15,15)/15,IF(AND(Inputs!$B$38&lt;&gt;"pvp",Inputs!$B$43&gt;0),MIN(15,Inputs!$B$43)/(Inputs!$B$43),0))),0)))&gt;=100),MIN(100,((Inputs!$B$9+((C3028=TRUE)*(F3028-Calc!F19))+B3039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3028=TRUE)*(F3028-Calc!F19))+B3039+(ArtifactsInput!$M$24-ArtifactsInput!$M$24)*CHOOSE(ArtifactsInput!$N$24+1,10,12,14,16,18,20)+IF(ArtifactsInput!$M$10,CHOOSE(ArtifactsInput!$N$10+1,15,18,21,24,27,30)*(IF(Inputs!$B$38="pvp",MIN(15,15)/15,IF(AND(Inputs!$B$38&lt;&gt;"pvp",Inputs!$B$43&gt;0),MIN(15,Inputs!$B$43)/(Inputs!$B$43),0))),0)))&gt;=100),CHOOSE(ArtifactsInput!$N$42+1,40,48,56,64,72,80),0))))/100)*((1+(((C3026=TRUE)*F3026)+((C3033=TRUE)*(F3033-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3017)</f>
        <v/>
      </c>
      <c r="L3017">
        <f>K3017*(MIN(Inputs!$B$22+((C3031=TRUE)*(F3031-Calc!F22)),(Inputs!$B$23+0+(IF(ArtifactsInput!$M$15,CHOOSE(ArtifactsInput!$N$15+1,25,30,35,40,45,50)/100*(Inputs!$B$11-Inputs!$B$11),0))))/100+(Inputs!$B$23+0+(IF(ArtifactsInput!$M$15,CHOOSE(ArtifactsInput!$N$15+1,25,30,35,40,45,50)/100*(Inputs!$B$11-Inputs!$B$11),0)))/100)/2</f>
        <v/>
      </c>
      <c r="M3017">
        <f>L3017*(1+(Inputs!$B$10+((C3034=TRUE)*(F3034-Calc!F25))+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7">
        <f>L3017*(1-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3017*(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7">
        <f>(1-Summary!$B$11)*T3017+Summary!$B$11*V3017</f>
        <v/>
      </c>
      <c r="P3017">
        <f>IF(B3049=0,0,O3017/B3049)</f>
        <v/>
      </c>
      <c r="Q3017">
        <f>IFERROR(1/(IF(Inputs!$B$38="pvp",15,MAX(0.1,Skills!D8-IF(Skills!E8=TRUE,3.5,0)))*(1-IF(AND(ArtifactsInput!$M$27,Inputs!$B$4="Chapter Hunt"),CHOOSE(ArtifactsInput!$N$27+1,20,24,28,32,36,40),0)/100)),0)</f>
        <v/>
      </c>
      <c r="R3017">
        <f>IF(AND(Inputs!$B$38&lt;&gt;"pvp",Inputs!$B$43&gt;0),IF(MAX(0,Inputs!$B$43-B3046)&lt;=0,0,(INT(MAX(0,Inputs!$B$43-B3046)/(IF(Inputs!$B$38="pvp",15,MAX(0.1,Skills!D8-IF(Skills!E8=TRUE,3.5,0)))*(1-IF(AND(ArtifactsInput!$M$27,Inputs!$B$4="Chapter Hunt"),CHOOSE(ArtifactsInput!$N$27+1,20,24,28,32,36,40),0)/100)))+1)),0)</f>
        <v/>
      </c>
      <c r="S3017">
        <f>IFERROR(O3017/N3017,0)</f>
        <v/>
      </c>
      <c r="T3017">
        <f>IF(C3017,(H3017*N3017*IF(AND(Inputs!$B$38&lt;&gt;"pvp",Inputs!$B$43&gt;0),((Skills!G8*((R3017-1)*IF(Skills!H8&gt;0,Skills!I8/Skills!H8,1)+IF(Skills!H8&gt;0,MIN(Skills!I8,MAX(0,MAX(0,Inputs!$B$43-B3046)-((R3017-1)*(IF(Inputs!$B$38="pvp",15,MAX(0.1,Skills!D8-IF(Skills!E8=TRUE,3.5,0)))*(1-IF(AND(ArtifactsInput!$M$27,Inputs!$B$4="Chapter Hunt"),CHOOSE(ArtifactsInput!$N$27+1,20,24,28,32,36,40),0)/100)))))/Skills!H8,1)))/Inputs!$B$43),G3017*Q3017)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3017*(1-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3017*(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3017*(1-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3017*(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7">
        <f>IF(C3017,(H3017*N3017*IF(AND(Inputs!$B$38&lt;&gt;"pvp",Inputs!$B$43&gt;0),((Skills!G8*((R3017-1)*IF(Skills!H8&gt;0,Skills!I8/Skills!H8,1)+IF(Skills!H8&gt;0,MIN(Skills!I8,MAX(0,MAX(0,Inputs!$B$43-B3046)-((R3017-1)*(IF(Inputs!$B$38="pvp",15,MAX(0.1,Skills!D8-IF(Skills!E8=TRUE,3.5,0)))*(1-IF(AND(ArtifactsInput!$M$27,Inputs!$B$4="Chapter Hunt"),CHOOSE(ArtifactsInput!$N$27+1,20,24,28,32,36,40),0)/100)))))/Skills!H8,1)))/Inputs!$B$43),G3017*Q3017))*IF(Inputs!$B$38="pvp",1,(1+(Inputs!$B$21+Skills!Q8+(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8">
      <c r="A3018">
        <f>Skills!A9</f>
        <v/>
      </c>
      <c r="B3018">
        <f>Skills!B9</f>
        <v/>
      </c>
      <c r="C3018">
        <f>Inputs!$B$3&gt;=103</f>
        <v/>
      </c>
      <c r="D3018">
        <f>IF(Skills!C9=1,60+Inputs!$B$25+Inputs!$B$29,IF(Skills!C9=2,90+Inputs!$B$26+Inputs!$B$29,IF(Skills!C9=3,120+Inputs!$B$27+Inputs!$B$29,MAX(0,(Inputs!$B$3-100)*3)+Inputs!$B$28+Inputs!$B$29)))</f>
        <v/>
      </c>
      <c r="E3018">
        <f>INDEX(FactorTable!$B$2:$Y$301, MATCH(ROUND(MIN(300,MAX(1,D3018)),0), FactorTable!$A$2:$A$301,0), Skills!M9+1)</f>
        <v/>
      </c>
      <c r="F3018">
        <f>IF(Skills!N9=TRUE,(Skills!L9/10)*(E3018/1000),Skills!L9/10)+Skills!O9</f>
        <v/>
      </c>
      <c r="G3018">
        <f>Skills!G9*IF(Skills!H9&gt;0,Skills!I9/Skills!H9,1)</f>
        <v/>
      </c>
      <c r="H3018">
        <f>1-(1-Skills!J9/100)^Skills!K9</f>
        <v/>
      </c>
      <c r="I3018" t="inlineStr">
        <is>
          <t>1</t>
        </is>
      </c>
      <c r="J3018">
        <f>((Inputs!$B$6*(1+Inputs!$B$7/100))+(((Inputs!$B$12*(1+Inputs!$B$13/100))-(Inputs!$B$12*(1+Inputs!$B$13/100)))+0.25*(Inputs!$B$14-Inputs!$B$14))*(1+Inputs!$B$7/100))*(F3018/100)</f>
        <v/>
      </c>
      <c r="K3018">
        <f>J3018*(1+((Inputs!$B$12*(1+Inputs!$B$13/100))*0.01+Inputs!$B$14*0.0025)/100)*(1+Inputs!$B$15/100)*(1+Inputs!$B$16/100)*(5000/(6000+Inputs!$B$42*(1-(100*(1-(1-(Inputs!$B$19+0)/100)*(1-CHOOSE(ArtifactsInput!$N$40+1,5,6,7,8,9,10)/100)^(ArtifactsInput!$M$40-ArtifactsInput!$M$40)))/100)))*(1+(Inputs!$B$24+((C3035=TRUE)*(F3035-Calc!F26))+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3032=TRUE)*(F3032-Calc!F23))+((C3036=TRUE)*(F3036-Calc!F27))+(((IF(AND(ArtifactsInput!$M$42,((Inputs!$B$9+((C3028=TRUE)*(F3028-Calc!F19))+B3039+(ArtifactsInput!$M$24-ArtifactsInput!$M$24)*CHOOSE(ArtifactsInput!$N$24+1,10,12,14,16,18,20)+IF(ArtifactsInput!$M$10,CHOOSE(ArtifactsInput!$N$10+1,15,18,21,24,27,30)*(IF(Inputs!$B$38="pvp",MIN(15,15)/15,IF(AND(Inputs!$B$38&lt;&gt;"pvp",Inputs!$B$43&gt;0),MIN(15,Inputs!$B$43)/(Inputs!$B$43),0))),0)))&gt;=100),MIN(100,((Inputs!$B$9+((C3028=TRUE)*(F3028-Calc!F19))+B3039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3028=TRUE)*(F3028-Calc!F19))+B3039+(ArtifactsInput!$M$24-ArtifactsInput!$M$24)*CHOOSE(ArtifactsInput!$N$24+1,10,12,14,16,18,20)+IF(ArtifactsInput!$M$10,CHOOSE(ArtifactsInput!$N$10+1,15,18,21,24,27,30)*(IF(Inputs!$B$38="pvp",MIN(15,15)/15,IF(AND(Inputs!$B$38&lt;&gt;"pvp",Inputs!$B$43&gt;0),MIN(15,Inputs!$B$43)/(Inputs!$B$43),0))),0)))&gt;=100),CHOOSE(ArtifactsInput!$N$42+1,40,48,56,64,72,80),0))))/100)*((1+(((C3026=TRUE)*F3026)+((C3033=TRUE)*(F3033-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3018)</f>
        <v/>
      </c>
      <c r="L3018">
        <f>K3018*(MIN(Inputs!$B$22+((C3031=TRUE)*(F3031-Calc!F22)),(Inputs!$B$23+0+(IF(ArtifactsInput!$M$15,CHOOSE(ArtifactsInput!$N$15+1,25,30,35,40,45,50)/100*(Inputs!$B$11-Inputs!$B$11),0))))/100+(Inputs!$B$23+0+(IF(ArtifactsInput!$M$15,CHOOSE(ArtifactsInput!$N$15+1,25,30,35,40,45,50)/100*(Inputs!$B$11-Inputs!$B$11),0)))/100)/2</f>
        <v/>
      </c>
      <c r="M3018">
        <f>L3018*(1+(Inputs!$B$10+((C3034=TRUE)*(F3034-Calc!F25))+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8">
        <f>L3018*(1-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3018*(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8">
        <f>(1-Summary!$B$11)*T3018+Summary!$B$11*V3018</f>
        <v/>
      </c>
      <c r="P3018">
        <f>IF(B3049=0,0,O3018/B3049)</f>
        <v/>
      </c>
      <c r="Q3018">
        <f>IFERROR(1/(IF(Inputs!$B$38="pvp",15,MAX(0.1,Skills!D9-IF(Skills!E9=TRUE,3.5,0)))*(1-IF(AND(ArtifactsInput!$M$27,Inputs!$B$4="Chapter Hunt"),CHOOSE(ArtifactsInput!$N$27+1,20,24,28,32,36,40),0)/100)),0)</f>
        <v/>
      </c>
      <c r="R3018">
        <f>IF(AND(Inputs!$B$38&lt;&gt;"pvp",Inputs!$B$43&gt;0),IF(MAX(0,Inputs!$B$43-B3046)&lt;=0,0,(INT(MAX(0,Inputs!$B$43-B3046)/(IF(Inputs!$B$38="pvp",15,MAX(0.1,Skills!D9-IF(Skills!E9=TRUE,3.5,0)))*(1-IF(AND(ArtifactsInput!$M$27,Inputs!$B$4="Chapter Hunt"),CHOOSE(ArtifactsInput!$N$27+1,20,24,28,32,36,40),0)/100)))+1)),0)</f>
        <v/>
      </c>
      <c r="S3018">
        <f>IFERROR(O3018/N3018,0)</f>
        <v/>
      </c>
      <c r="T3018">
        <f>IF(C3018,(H3018*N3018*IF(AND(Inputs!$B$38&lt;&gt;"pvp",Inputs!$B$43&gt;0),((Skills!G9*((R3018-1)*IF(Skills!H9&gt;0,Skills!I9/Skills!H9,1)+IF(Skills!H9&gt;0,MIN(Skills!I9,MAX(0,MAX(0,Inputs!$B$43-B3046)-((R3018-1)*(IF(Inputs!$B$38="pvp",15,MAX(0.1,Skills!D9-IF(Skills!E9=TRUE,3.5,0)))*(1-IF(AND(ArtifactsInput!$M$27,Inputs!$B$4="Chapter Hunt"),CHOOSE(ArtifactsInput!$N$27+1,20,24,28,32,36,40),0)/100)))))/Skills!H9,1)))/Inputs!$B$43),G3018*Q3018)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3018*(1-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3018*(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3018*(1-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3018*(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8">
        <f>IF(C3018,(H3018*N3018*IF(AND(Inputs!$B$38&lt;&gt;"pvp",Inputs!$B$43&gt;0),((Skills!G9*((R3018-1)*IF(Skills!H9&gt;0,Skills!I9/Skills!H9,1)+IF(Skills!H9&gt;0,MIN(Skills!I9,MAX(0,MAX(0,Inputs!$B$43-B3046)-((R3018-1)*(IF(Inputs!$B$38="pvp",15,MAX(0.1,Skills!D9-IF(Skills!E9=TRUE,3.5,0)))*(1-IF(AND(ArtifactsInput!$M$27,Inputs!$B$4="Chapter Hunt"),CHOOSE(ArtifactsInput!$N$27+1,20,24,28,32,36,40),0)/100)))))/Skills!H9,1)))/Inputs!$B$43),G3018*Q3018))*IF(Inputs!$B$38="pvp",1,(1+(Inputs!$B$21+Skills!Q9+(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9">
      <c r="A3019">
        <f>Skills!A10</f>
        <v/>
      </c>
      <c r="B3019">
        <f>Skills!B10</f>
        <v/>
      </c>
      <c r="C3019">
        <f>Inputs!$B$3&gt;=113</f>
        <v/>
      </c>
      <c r="D3019">
        <f>IF(Skills!C10=1,60+Inputs!$B$25+Inputs!$B$29,IF(Skills!C10=2,90+Inputs!$B$26+Inputs!$B$29,IF(Skills!C10=3,120+Inputs!$B$27+Inputs!$B$29,MAX(0,(Inputs!$B$3-100)*3)+Inputs!$B$28+Inputs!$B$29)))</f>
        <v/>
      </c>
      <c r="E3019">
        <f>INDEX(FactorTable!$B$2:$Y$301, MATCH(ROUND(MIN(300,MAX(1,D3019)),0), FactorTable!$A$2:$A$301,0), Skills!M10+1)</f>
        <v/>
      </c>
      <c r="F3019">
        <f>IF(Skills!N10=TRUE,(Skills!L10/10)*(E3019/1000),Skills!L10/10)+Skills!O10</f>
        <v/>
      </c>
      <c r="G3019">
        <f>Skills!G10*IF(Skills!H10&gt;0,Skills!I10/Skills!H10,1)</f>
        <v/>
      </c>
      <c r="H3019">
        <f>1-(1-Skills!J10/100)^Skills!K10</f>
        <v/>
      </c>
      <c r="I3019" t="inlineStr">
        <is>
          <t>1</t>
        </is>
      </c>
      <c r="J3019">
        <f>((Inputs!$B$6*(1+Inputs!$B$7/100))+(((Inputs!$B$12*(1+Inputs!$B$13/100))-(Inputs!$B$12*(1+Inputs!$B$13/100)))+0.25*(Inputs!$B$14-Inputs!$B$14))*(1+Inputs!$B$7/100))*(F3019/100)</f>
        <v/>
      </c>
      <c r="K3019">
        <f>J3019*(1+((Inputs!$B$12*(1+Inputs!$B$13/100))*0.01+Inputs!$B$14*0.0025)/100)*(1+Inputs!$B$15/100)*(1+Inputs!$B$16/100)*(5000/(6000+Inputs!$B$42*(1-(100*(1-(1-(Inputs!$B$19+0)/100)*(1-CHOOSE(ArtifactsInput!$N$40+1,5,6,7,8,9,10)/100)^(ArtifactsInput!$M$40-ArtifactsInput!$M$40)))/100)))*(1+(Inputs!$B$24+((C3035=TRUE)*(F3035-Calc!F26))+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3032=TRUE)*(F3032-Calc!F23))+((C3036=TRUE)*(F3036-Calc!F27))+(((IF(AND(ArtifactsInput!$M$42,((Inputs!$B$9+((C3028=TRUE)*(F3028-Calc!F19))+B3039+(ArtifactsInput!$M$24-ArtifactsInput!$M$24)*CHOOSE(ArtifactsInput!$N$24+1,10,12,14,16,18,20)+IF(ArtifactsInput!$M$10,CHOOSE(ArtifactsInput!$N$10+1,15,18,21,24,27,30)*(IF(Inputs!$B$38="pvp",MIN(15,15)/15,IF(AND(Inputs!$B$38&lt;&gt;"pvp",Inputs!$B$43&gt;0),MIN(15,Inputs!$B$43)/(Inputs!$B$43),0))),0)))&gt;=100),MIN(100,((Inputs!$B$9+((C3028=TRUE)*(F3028-Calc!F19))+B3039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3028=TRUE)*(F3028-Calc!F19))+B3039+(ArtifactsInput!$M$24-ArtifactsInput!$M$24)*CHOOSE(ArtifactsInput!$N$24+1,10,12,14,16,18,20)+IF(ArtifactsInput!$M$10,CHOOSE(ArtifactsInput!$N$10+1,15,18,21,24,27,30)*(IF(Inputs!$B$38="pvp",MIN(15,15)/15,IF(AND(Inputs!$B$38&lt;&gt;"pvp",Inputs!$B$43&gt;0),MIN(15,Inputs!$B$43)/(Inputs!$B$43),0))),0)))&gt;=100),CHOOSE(ArtifactsInput!$N$42+1,40,48,56,64,72,80),0))))/100)*((1+(((C3026=TRUE)*F3026)+((C3033=TRUE)*(F3033-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3019)</f>
        <v/>
      </c>
      <c r="L3019">
        <f>K3019*(MIN(Inputs!$B$22+((C3031=TRUE)*(F3031-Calc!F22)),(Inputs!$B$23+0+(IF(ArtifactsInput!$M$15,CHOOSE(ArtifactsInput!$N$15+1,25,30,35,40,45,50)/100*(Inputs!$B$11-Inputs!$B$11),0))))/100+(Inputs!$B$23+0+(IF(ArtifactsInput!$M$15,CHOOSE(ArtifactsInput!$N$15+1,25,30,35,40,45,50)/100*(Inputs!$B$11-Inputs!$B$11),0)))/100)/2</f>
        <v/>
      </c>
      <c r="M3019">
        <f>L3019*(1+(Inputs!$B$10+((C3034=TRUE)*(F3034-Calc!F25))+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9">
        <f>L3019*(1-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3019*(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9">
        <f>(1-Summary!$B$11)*T3019+Summary!$B$11*V3019</f>
        <v/>
      </c>
      <c r="P3019">
        <f>IF(B3049=0,0,O3019/B3049)</f>
        <v/>
      </c>
      <c r="Q3019">
        <f>IFERROR(1/(IF(Inputs!$B$38="pvp",15,MAX(0.1,Skills!D10-IF(Skills!E10=TRUE,3.5,0)))*(1-IF(AND(ArtifactsInput!$M$27,Inputs!$B$4="Chapter Hunt"),CHOOSE(ArtifactsInput!$N$27+1,20,24,28,32,36,40),0)/100)),0)</f>
        <v/>
      </c>
      <c r="R3019">
        <f>IF(AND(Inputs!$B$38&lt;&gt;"pvp",Inputs!$B$43&gt;0),IF(MAX(0,Inputs!$B$43-B3046)&lt;=0,0,(INT(MAX(0,Inputs!$B$43-B3046)/(IF(Inputs!$B$38="pvp",15,MAX(0.1,Skills!D10-IF(Skills!E10=TRUE,3.5,0)))*(1-IF(AND(ArtifactsInput!$M$27,Inputs!$B$4="Chapter Hunt"),CHOOSE(ArtifactsInput!$N$27+1,20,24,28,32,36,40),0)/100)))+1)),0)</f>
        <v/>
      </c>
      <c r="S3019">
        <f>IFERROR(O3019/N3019,0)</f>
        <v/>
      </c>
      <c r="T3019">
        <f>IF(C3019,(H3019*N3019*IF(AND(Inputs!$B$38&lt;&gt;"pvp",Inputs!$B$43&gt;0),((Skills!G10*((R3019-1)*IF(Skills!H10&gt;0,Skills!I10/Skills!H10,1)+IF(Skills!H10&gt;0,MIN(Skills!I10,MAX(0,MAX(0,Inputs!$B$43-B3046)-((R3019-1)*(IF(Inputs!$B$38="pvp",15,MAX(0.1,Skills!D10-IF(Skills!E10=TRUE,3.5,0)))*(1-IF(AND(ArtifactsInput!$M$27,Inputs!$B$4="Chapter Hunt"),CHOOSE(ArtifactsInput!$N$27+1,20,24,28,32,36,40),0)/100)))))/Skills!H10,1)))/Inputs!$B$43),G3019*Q3019)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3019*(1-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3019*(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3019*(1-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3019*(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9">
        <f>IF(C3019,(H3019*N3019*IF(AND(Inputs!$B$38&lt;&gt;"pvp",Inputs!$B$43&gt;0),((Skills!G10*((R3019-1)*IF(Skills!H10&gt;0,Skills!I10/Skills!H10,1)+IF(Skills!H10&gt;0,MIN(Skills!I10,MAX(0,MAX(0,Inputs!$B$43-B3046)-((R3019-1)*(IF(Inputs!$B$38="pvp",15,MAX(0.1,Skills!D10-IF(Skills!E10=TRUE,3.5,0)))*(1-IF(AND(ArtifactsInput!$M$27,Inputs!$B$4="Chapter Hunt"),CHOOSE(ArtifactsInput!$N$27+1,20,24,28,32,36,40),0)/100)))))/Skills!H10,1)))/Inputs!$B$43),G3019*Q3019))*IF(Inputs!$B$38="pvp",1,(1+(Inputs!$B$21+Skills!Q10+(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0">
      <c r="A3020">
        <f>Skills!A11</f>
        <v/>
      </c>
      <c r="B3020">
        <f>Skills!B11</f>
        <v/>
      </c>
      <c r="C3020">
        <f>Inputs!$B$3&gt;=107</f>
        <v/>
      </c>
      <c r="D3020">
        <f>IF(Skills!C11=1,60+Inputs!$B$25+Inputs!$B$29,IF(Skills!C11=2,90+Inputs!$B$26+Inputs!$B$29,IF(Skills!C11=3,120+Inputs!$B$27+Inputs!$B$29,MAX(0,(Inputs!$B$3-100)*3)+Inputs!$B$28+Inputs!$B$29)))</f>
        <v/>
      </c>
      <c r="E3020">
        <f>INDEX(FactorTable!$B$2:$Y$301, MATCH(ROUND(MIN(300,MAX(1,D3020)),0), FactorTable!$A$2:$A$301,0), Skills!M11+1)</f>
        <v/>
      </c>
      <c r="F3020">
        <f>IF(Skills!N11=TRUE,(Skills!L11/10)*(E3020/1000),Skills!L11/10)+Skills!O11</f>
        <v/>
      </c>
      <c r="G3020">
        <f>Skills!G11*IF(Skills!H11&gt;0,Skills!I11/Skills!H11,1)</f>
        <v/>
      </c>
      <c r="H3020">
        <f>1-(1-Skills!J11/100)^Skills!K11</f>
        <v/>
      </c>
      <c r="I3020" t="inlineStr">
        <is>
          <t>1</t>
        </is>
      </c>
      <c r="J3020">
        <f>((Inputs!$B$6*(1+Inputs!$B$7/100))+(((Inputs!$B$12*(1+Inputs!$B$13/100))-(Inputs!$B$12*(1+Inputs!$B$13/100)))+0.25*(Inputs!$B$14-Inputs!$B$14))*(1+Inputs!$B$7/100))*(F3020/100)</f>
        <v/>
      </c>
      <c r="K3020">
        <f>J3020*(1+((Inputs!$B$12*(1+Inputs!$B$13/100))*0.01+Inputs!$B$14*0.0025)/100)*(1+Inputs!$B$15/100)*(1+Inputs!$B$16/100)*(5000/(6000+Inputs!$B$42*(1-(100*(1-(1-(Inputs!$B$19+0)/100)*(1-CHOOSE(ArtifactsInput!$N$40+1,5,6,7,8,9,10)/100)^(ArtifactsInput!$M$40-ArtifactsInput!$M$40)))/100)))*(1+(Inputs!$B$24+((C3035=TRUE)*(F3035-Calc!F26))+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3032=TRUE)*(F3032-Calc!F23))+((C3036=TRUE)*(F3036-Calc!F27))+(((IF(AND(ArtifactsInput!$M$42,((Inputs!$B$9+((C3028=TRUE)*(F3028-Calc!F19))+B3039+(ArtifactsInput!$M$24-ArtifactsInput!$M$24)*CHOOSE(ArtifactsInput!$N$24+1,10,12,14,16,18,20)+IF(ArtifactsInput!$M$10,CHOOSE(ArtifactsInput!$N$10+1,15,18,21,24,27,30)*(IF(Inputs!$B$38="pvp",MIN(15,15)/15,IF(AND(Inputs!$B$38&lt;&gt;"pvp",Inputs!$B$43&gt;0),MIN(15,Inputs!$B$43)/(Inputs!$B$43),0))),0)))&gt;=100),MIN(100,((Inputs!$B$9+((C3028=TRUE)*(F3028-Calc!F19))+B3039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3028=TRUE)*(F3028-Calc!F19))+B3039+(ArtifactsInput!$M$24-ArtifactsInput!$M$24)*CHOOSE(ArtifactsInput!$N$24+1,10,12,14,16,18,20)+IF(ArtifactsInput!$M$10,CHOOSE(ArtifactsInput!$N$10+1,15,18,21,24,27,30)*(IF(Inputs!$B$38="pvp",MIN(15,15)/15,IF(AND(Inputs!$B$38&lt;&gt;"pvp",Inputs!$B$43&gt;0),MIN(15,Inputs!$B$43)/(Inputs!$B$43),0))),0)))&gt;=100),CHOOSE(ArtifactsInput!$N$42+1,40,48,56,64,72,80),0))))/100)*((1+(((C3026=TRUE)*F3026)+((C3033=TRUE)*(F3033-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3020)</f>
        <v/>
      </c>
      <c r="L3020">
        <f>K3020*(MIN(Inputs!$B$22+((C3031=TRUE)*(F3031-Calc!F22)),(Inputs!$B$23+0+(IF(ArtifactsInput!$M$15,CHOOSE(ArtifactsInput!$N$15+1,25,30,35,40,45,50)/100*(Inputs!$B$11-Inputs!$B$11),0))))/100+(Inputs!$B$23+0+(IF(ArtifactsInput!$M$15,CHOOSE(ArtifactsInput!$N$15+1,25,30,35,40,45,50)/100*(Inputs!$B$11-Inputs!$B$11),0)))/100)/2</f>
        <v/>
      </c>
      <c r="M3020">
        <f>L3020*(1+(Inputs!$B$10+((C3034=TRUE)*(F3034-Calc!F25))+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0">
        <f>L3020*(1-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3020*(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0">
        <f>(1-Summary!$B$11)*T3020+Summary!$B$11*V3020</f>
        <v/>
      </c>
      <c r="P3020">
        <f>IF(B3049=0,0,O3020/B3049)</f>
        <v/>
      </c>
      <c r="Q3020">
        <f>IFERROR(1/(IF(Inputs!$B$38="pvp",15,MAX(0.1,Skills!D11-IF(Skills!E11=TRUE,3.5,0)))*(1-IF(AND(ArtifactsInput!$M$27,Inputs!$B$4="Chapter Hunt"),CHOOSE(ArtifactsInput!$N$27+1,20,24,28,32,36,40),0)/100)),0)</f>
        <v/>
      </c>
      <c r="R3020">
        <f>IF(AND(Inputs!$B$38&lt;&gt;"pvp",Inputs!$B$43&gt;0),IF(MAX(0,Inputs!$B$43-B3046)&lt;=0,0,(INT(MAX(0,Inputs!$B$43-B3046)/(IF(Inputs!$B$38="pvp",15,MAX(0.1,Skills!D11-IF(Skills!E11=TRUE,3.5,0)))*(1-IF(AND(ArtifactsInput!$M$27,Inputs!$B$4="Chapter Hunt"),CHOOSE(ArtifactsInput!$N$27+1,20,24,28,32,36,40),0)/100)))+1)),0)</f>
        <v/>
      </c>
      <c r="S3020">
        <f>IFERROR(O3020/N3020,0)</f>
        <v/>
      </c>
      <c r="T3020">
        <f>IF(C3020,(H3020*N3020*IF(AND(Inputs!$B$38&lt;&gt;"pvp",Inputs!$B$43&gt;0),((Skills!G11*((R3020-1)*IF(Skills!H11&gt;0,Skills!I11/Skills!H11,1)+IF(Skills!H11&gt;0,MIN(Skills!I11,MAX(0,MAX(0,Inputs!$B$43-B3046)-((R3020-1)*(IF(Inputs!$B$38="pvp",15,MAX(0.1,Skills!D11-IF(Skills!E11=TRUE,3.5,0)))*(1-IF(AND(ArtifactsInput!$M$27,Inputs!$B$4="Chapter Hunt"),CHOOSE(ArtifactsInput!$N$27+1,20,24,28,32,36,40),0)/100)))))/Skills!H11,1)))/Inputs!$B$43),G3020*Q3020)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3020*(1-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3020*(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3020*(1-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3020*(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0">
        <f>IF(C3020,(H3020*N3020*IF(AND(Inputs!$B$38&lt;&gt;"pvp",Inputs!$B$43&gt;0),((Skills!G11*((R3020-1)*IF(Skills!H11&gt;0,Skills!I11/Skills!H11,1)+IF(Skills!H11&gt;0,MIN(Skills!I11,MAX(0,MAX(0,Inputs!$B$43-B3046)-((R3020-1)*(IF(Inputs!$B$38="pvp",15,MAX(0.1,Skills!D11-IF(Skills!E11=TRUE,3.5,0)))*(1-IF(AND(ArtifactsInput!$M$27,Inputs!$B$4="Chapter Hunt"),CHOOSE(ArtifactsInput!$N$27+1,20,24,28,32,36,40),0)/100)))))/Skills!H11,1)))/Inputs!$B$43),G3020*Q3020))*IF(Inputs!$B$38="pvp",1,(1+(Inputs!$B$21+Skills!Q11+(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1">
      <c r="A3021">
        <f>Skills!A12</f>
        <v/>
      </c>
      <c r="B3021">
        <f>Skills!B12</f>
        <v/>
      </c>
      <c r="C3021">
        <f>Inputs!$B$3&gt;=110</f>
        <v/>
      </c>
      <c r="D3021">
        <f>IF(Skills!C12=1,60+Inputs!$B$25+Inputs!$B$29,IF(Skills!C12=2,90+Inputs!$B$26+Inputs!$B$29,IF(Skills!C12=3,120+Inputs!$B$27+Inputs!$B$29,MAX(0,(Inputs!$B$3-100)*3)+Inputs!$B$28+Inputs!$B$29)))</f>
        <v/>
      </c>
      <c r="E3021">
        <f>INDEX(FactorTable!$B$2:$Y$301, MATCH(ROUND(MIN(300,MAX(1,D3021)),0), FactorTable!$A$2:$A$301,0), Skills!M12+1)</f>
        <v/>
      </c>
      <c r="F3021">
        <f>IF(Skills!N12=TRUE,(Skills!L12/10)*(E3021/1000),Skills!L12/10)+Skills!O12</f>
        <v/>
      </c>
      <c r="G3021">
        <f>Skills!G12*IF(Skills!H12&gt;0,Skills!I12/Skills!H12,1)</f>
        <v/>
      </c>
      <c r="H3021">
        <f>1-(1-Skills!J12/100)^Skills!K12</f>
        <v/>
      </c>
      <c r="I3021" t="inlineStr">
        <is>
          <t>1</t>
        </is>
      </c>
      <c r="J3021">
        <f>((Inputs!$B$6*(1+Inputs!$B$7/100))+(((Inputs!$B$12*(1+Inputs!$B$13/100))-(Inputs!$B$12*(1+Inputs!$B$13/100)))+0.25*(Inputs!$B$14-Inputs!$B$14))*(1+Inputs!$B$7/100))*(F3021/100)</f>
        <v/>
      </c>
      <c r="K3021">
        <f>J3021*(1+((Inputs!$B$12*(1+Inputs!$B$13/100))*0.01+Inputs!$B$14*0.0025)/100)*(1+Inputs!$B$15/100)*(1+Inputs!$B$16/100)*(5000/(6000+Inputs!$B$42*(1-(100*(1-(1-(Inputs!$B$19+0)/100)*(1-CHOOSE(ArtifactsInput!$N$40+1,5,6,7,8,9,10)/100)^(ArtifactsInput!$M$40-ArtifactsInput!$M$40)))/100)))*(1+(Inputs!$B$24+((C3035=TRUE)*(F3035-Calc!F26))+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3032=TRUE)*(F3032-Calc!F23))+((C3036=TRUE)*(F3036-Calc!F27))+(((IF(AND(ArtifactsInput!$M$42,((Inputs!$B$9+((C3028=TRUE)*(F3028-Calc!F19))+B3039+(ArtifactsInput!$M$24-ArtifactsInput!$M$24)*CHOOSE(ArtifactsInput!$N$24+1,10,12,14,16,18,20)+IF(ArtifactsInput!$M$10,CHOOSE(ArtifactsInput!$N$10+1,15,18,21,24,27,30)*(IF(Inputs!$B$38="pvp",MIN(15,15)/15,IF(AND(Inputs!$B$38&lt;&gt;"pvp",Inputs!$B$43&gt;0),MIN(15,Inputs!$B$43)/(Inputs!$B$43),0))),0)))&gt;=100),MIN(100,((Inputs!$B$9+((C3028=TRUE)*(F3028-Calc!F19))+B3039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3028=TRUE)*(F3028-Calc!F19))+B3039+(ArtifactsInput!$M$24-ArtifactsInput!$M$24)*CHOOSE(ArtifactsInput!$N$24+1,10,12,14,16,18,20)+IF(ArtifactsInput!$M$10,CHOOSE(ArtifactsInput!$N$10+1,15,18,21,24,27,30)*(IF(Inputs!$B$38="pvp",MIN(15,15)/15,IF(AND(Inputs!$B$38&lt;&gt;"pvp",Inputs!$B$43&gt;0),MIN(15,Inputs!$B$43)/(Inputs!$B$43),0))),0)))&gt;=100),CHOOSE(ArtifactsInput!$N$42+1,40,48,56,64,72,80),0))))/100)*((1+(((C3026=TRUE)*F3026)+((C3033=TRUE)*(F3033-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3021)</f>
        <v/>
      </c>
      <c r="L3021">
        <f>K3021*(MIN(Inputs!$B$22+((C3031=TRUE)*(F3031-Calc!F22)),(Inputs!$B$23+0+(IF(ArtifactsInput!$M$15,CHOOSE(ArtifactsInput!$N$15+1,25,30,35,40,45,50)/100*(Inputs!$B$11-Inputs!$B$11),0))))/100+(Inputs!$B$23+0+(IF(ArtifactsInput!$M$15,CHOOSE(ArtifactsInput!$N$15+1,25,30,35,40,45,50)/100*(Inputs!$B$11-Inputs!$B$11),0)))/100)/2</f>
        <v/>
      </c>
      <c r="M3021">
        <f>L3021*(1+(Inputs!$B$10+((C3034=TRUE)*(F3034-Calc!F25))+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1">
        <f>L3021*(1-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1">
        <f>(1-Summary!$B$11)*T3021+Summary!$B$11*V3021</f>
        <v/>
      </c>
      <c r="P3021">
        <f>IF(B3049=0,0,O3021/B3049)</f>
        <v/>
      </c>
      <c r="Q3021">
        <f>IFERROR(1/(IF(Inputs!$B$38="pvp",15,MAX(0.1,Skills!D12-IF(Skills!E12=TRUE,3.5,0)))*(1-IF(AND(ArtifactsInput!$M$27,Inputs!$B$4="Chapter Hunt"),CHOOSE(ArtifactsInput!$N$27+1,20,24,28,32,36,40),0)/100)),0)</f>
        <v/>
      </c>
      <c r="R3021">
        <f>IF(AND(Inputs!$B$38&lt;&gt;"pvp",Inputs!$B$43&gt;0),IF(MAX(0,Inputs!$B$43-B3046)&lt;=0,0,(INT(MAX(0,Inputs!$B$43-B3046)/(IF(Inputs!$B$38="pvp",15,MAX(0.1,Skills!D12-IF(Skills!E12=TRUE,3.5,0)))*(1-IF(AND(ArtifactsInput!$M$27,Inputs!$B$4="Chapter Hunt"),CHOOSE(ArtifactsInput!$N$27+1,20,24,28,32,36,40),0)/100)))+1)),0)</f>
        <v/>
      </c>
      <c r="S3021">
        <f>IFERROR(O3021/N3021,0)</f>
        <v/>
      </c>
      <c r="T3021">
        <f>IF(C3021,(H3021*N3021*IF(AND(Inputs!$B$38&lt;&gt;"pvp",Inputs!$B$43&gt;0),((Skills!G12*((R3021-1)*IF(Skills!H12&gt;0,Skills!I12/Skills!H12,1)+IF(Skills!H12&gt;0,MIN(Skills!I12,MAX(0,MAX(0,Inputs!$B$43-B3046)-((R3021-1)*(IF(Inputs!$B$38="pvp",15,MAX(0.1,Skills!D12-IF(Skills!E12=TRUE,3.5,0)))*(1-IF(AND(ArtifactsInput!$M$27,Inputs!$B$4="Chapter Hunt"),CHOOSE(ArtifactsInput!$N$27+1,20,24,28,32,36,40),0)/100)))))/Skills!H12,1)))/Inputs!$B$43),G3021*Q3021)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3021*(1-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3021*(1-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1">
        <f>IF(C3021,(H3021*N3021*IF(AND(Inputs!$B$38&lt;&gt;"pvp",Inputs!$B$43&gt;0),((Skills!G12*((R3021-1)*IF(Skills!H12&gt;0,Skills!I12/Skills!H12,1)+IF(Skills!H12&gt;0,MIN(Skills!I12,MAX(0,MAX(0,Inputs!$B$43-B3046)-((R3021-1)*(IF(Inputs!$B$38="pvp",15,MAX(0.1,Skills!D12-IF(Skills!E12=TRUE,3.5,0)))*(1-IF(AND(ArtifactsInput!$M$27,Inputs!$B$4="Chapter Hunt"),CHOOSE(ArtifactsInput!$N$27+1,20,24,28,32,36,40),0)/100)))))/Skills!H12,1)))/Inputs!$B$43),G3021*Q3021))*IF(Inputs!$B$38="pvp",1,(1+(Inputs!$B$21+Skills!Q12+(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2">
      <c r="A3022">
        <f>Skills!A13</f>
        <v/>
      </c>
      <c r="B3022">
        <f>Skills!B13</f>
        <v/>
      </c>
      <c r="C3022">
        <f>Inputs!$B$3&gt;=110</f>
        <v/>
      </c>
      <c r="D3022">
        <f>IF(Skills!C13=1,60+Inputs!$B$25+Inputs!$B$29,IF(Skills!C13=2,90+Inputs!$B$26+Inputs!$B$29,IF(Skills!C13=3,120+Inputs!$B$27+Inputs!$B$29,MAX(0,(Inputs!$B$3-100)*3)+Inputs!$B$28+Inputs!$B$29)))</f>
        <v/>
      </c>
      <c r="E3022">
        <f>INDEX(FactorTable!$B$2:$Y$301, MATCH(ROUND(MIN(300,MAX(1,D3022)),0), FactorTable!$A$2:$A$301,0), Skills!M13+1)</f>
        <v/>
      </c>
      <c r="F3022">
        <f>IF(Skills!N13=TRUE,(Skills!L13/10)*(E3022/1000),Skills!L13/10)+Skills!O13</f>
        <v/>
      </c>
      <c r="G3022">
        <f>Skills!G13*IF(Skills!H13&gt;0,Skills!I13/Skills!H13,1)</f>
        <v/>
      </c>
      <c r="H3022">
        <f>1-(1-Skills!J13/100)^Skills!K13</f>
        <v/>
      </c>
      <c r="I3022" t="inlineStr">
        <is>
          <t>1</t>
        </is>
      </c>
      <c r="J3022">
        <f>((Inputs!$B$6*(1+Inputs!$B$7/100))+(((Inputs!$B$12*(1+Inputs!$B$13/100))-(Inputs!$B$12*(1+Inputs!$B$13/100)))+0.25*(Inputs!$B$14-Inputs!$B$14))*(1+Inputs!$B$7/100))*(F3022/100)</f>
        <v/>
      </c>
      <c r="K3022">
        <f>J3022*(1+((Inputs!$B$12*(1+Inputs!$B$13/100))*0.01+Inputs!$B$14*0.0025)/100)*(1+Inputs!$B$15/100)*(1+Inputs!$B$16/100)*(5000/(6000+Inputs!$B$42*(1-(100*(1-(1-(Inputs!$B$19+0)/100)*(1-CHOOSE(ArtifactsInput!$N$40+1,5,6,7,8,9,10)/100)^(ArtifactsInput!$M$40-ArtifactsInput!$M$40)))/100)))*(1+(Inputs!$B$24+((C3035=TRUE)*(F3035-Calc!F26))+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3032=TRUE)*(F3032-Calc!F23))+((C3036=TRUE)*(F3036-Calc!F27))+(((IF(AND(ArtifactsInput!$M$42,((Inputs!$B$9+((C3028=TRUE)*(F3028-Calc!F19))+B3039+(ArtifactsInput!$M$24-ArtifactsInput!$M$24)*CHOOSE(ArtifactsInput!$N$24+1,10,12,14,16,18,20)+IF(ArtifactsInput!$M$10,CHOOSE(ArtifactsInput!$N$10+1,15,18,21,24,27,30)*(IF(Inputs!$B$38="pvp",MIN(15,15)/15,IF(AND(Inputs!$B$38&lt;&gt;"pvp",Inputs!$B$43&gt;0),MIN(15,Inputs!$B$43)/(Inputs!$B$43),0))),0)))&gt;=100),MIN(100,((Inputs!$B$9+((C3028=TRUE)*(F3028-Calc!F19))+B3039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3028=TRUE)*(F3028-Calc!F19))+B3039+(ArtifactsInput!$M$24-ArtifactsInput!$M$24)*CHOOSE(ArtifactsInput!$N$24+1,10,12,14,16,18,20)+IF(ArtifactsInput!$M$10,CHOOSE(ArtifactsInput!$N$10+1,15,18,21,24,27,30)*(IF(Inputs!$B$38="pvp",MIN(15,15)/15,IF(AND(Inputs!$B$38&lt;&gt;"pvp",Inputs!$B$43&gt;0),MIN(15,Inputs!$B$43)/(Inputs!$B$43),0))),0)))&gt;=100),CHOOSE(ArtifactsInput!$N$42+1,40,48,56,64,72,80),0))))/100)*((1+(((C3026=TRUE)*F3026)+((C3033=TRUE)*(F3033-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3022)</f>
        <v/>
      </c>
      <c r="L3022">
        <f>K3022*(MIN(Inputs!$B$22+((C3031=TRUE)*(F3031-Calc!F22)),(Inputs!$B$23+0+(IF(ArtifactsInput!$M$15,CHOOSE(ArtifactsInput!$N$15+1,25,30,35,40,45,50)/100*(Inputs!$B$11-Inputs!$B$11),0))))/100+(Inputs!$B$23+0+(IF(ArtifactsInput!$M$15,CHOOSE(ArtifactsInput!$N$15+1,25,30,35,40,45,50)/100*(Inputs!$B$11-Inputs!$B$11),0)))/100)/2</f>
        <v/>
      </c>
      <c r="M3022">
        <f>L3022*(1+(Inputs!$B$10+((C3034=TRUE)*(F3034-Calc!F25))+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2">
        <f>L3022*(1-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3022*(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2">
        <f>(1-Summary!$B$11)*T3022+Summary!$B$11*V3022</f>
        <v/>
      </c>
      <c r="P3022">
        <f>IF(B3049=0,0,O3022/B3049)</f>
        <v/>
      </c>
      <c r="Q3022">
        <f>IFERROR(1/(IF(Inputs!$B$38="pvp",15,MAX(0.1,Skills!D13-IF(Skills!E13=TRUE,3.5,0)))*(1-IF(AND(ArtifactsInput!$M$27,Inputs!$B$4="Chapter Hunt"),CHOOSE(ArtifactsInput!$N$27+1,20,24,28,32,36,40),0)/100)),0)</f>
        <v/>
      </c>
      <c r="R3022">
        <f>IF(AND(Inputs!$B$38&lt;&gt;"pvp",Inputs!$B$43&gt;0),IF(MAX(0,Inputs!$B$43-B3046)&lt;=0,0,(INT(MAX(0,Inputs!$B$43-B3046)/(IF(Inputs!$B$38="pvp",15,MAX(0.1,Skills!D13-IF(Skills!E13=TRUE,3.5,0)))*(1-IF(AND(ArtifactsInput!$M$27,Inputs!$B$4="Chapter Hunt"),CHOOSE(ArtifactsInput!$N$27+1,20,24,28,32,36,40),0)/100)))+1)),0)</f>
        <v/>
      </c>
      <c r="S3022">
        <f>IFERROR(O3022/N3022,0)</f>
        <v/>
      </c>
      <c r="T3022">
        <f>IF(C3022,(H3022*N3022*IF(AND(Inputs!$B$38&lt;&gt;"pvp",Inputs!$B$43&gt;0),((Skills!G13*((R3022-1)*IF(Skills!H13&gt;0,Skills!I13/Skills!H13,1)+IF(Skills!H13&gt;0,MIN(Skills!I13,MAX(0,MAX(0,Inputs!$B$43-B3046)-((R3022-1)*(IF(Inputs!$B$38="pvp",15,MAX(0.1,Skills!D13-IF(Skills!E13=TRUE,3.5,0)))*(1-IF(AND(ArtifactsInput!$M$27,Inputs!$B$4="Chapter Hunt"),CHOOSE(ArtifactsInput!$N$27+1,20,24,28,32,36,40),0)/100)))))/Skills!H13,1)))/Inputs!$B$43),G3022*Q3022)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3022*(1-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3022*(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3022*(1-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3022*(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2">
        <f>IF(C3022,(H3022*N3022*IF(AND(Inputs!$B$38&lt;&gt;"pvp",Inputs!$B$43&gt;0),((Skills!G13*((R3022-1)*IF(Skills!H13&gt;0,Skills!I13/Skills!H13,1)+IF(Skills!H13&gt;0,MIN(Skills!I13,MAX(0,MAX(0,Inputs!$B$43-B3046)-((R3022-1)*(IF(Inputs!$B$38="pvp",15,MAX(0.1,Skills!D13-IF(Skills!E13=TRUE,3.5,0)))*(1-IF(AND(ArtifactsInput!$M$27,Inputs!$B$4="Chapter Hunt"),CHOOSE(ArtifactsInput!$N$27+1,20,24,28,32,36,40),0)/100)))))/Skills!H13,1)))/Inputs!$B$43),G3022*Q3022))*IF(Inputs!$B$38="pvp",1,(1+(Inputs!$B$21+Skills!Q13+(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3">
      <c r="A3023">
        <f>Skills!A14</f>
        <v/>
      </c>
      <c r="B3023">
        <f>Skills!B14</f>
        <v/>
      </c>
      <c r="C3023">
        <f>Inputs!$B$3&gt;=125</f>
        <v/>
      </c>
      <c r="D3023">
        <f>IF(Skills!C14=1,60+Inputs!$B$25+Inputs!$B$29,IF(Skills!C14=2,90+Inputs!$B$26+Inputs!$B$29,IF(Skills!C14=3,120+Inputs!$B$27+Inputs!$B$29,MAX(0,(Inputs!$B$3-100)*3)+Inputs!$B$28+Inputs!$B$29)))</f>
        <v/>
      </c>
      <c r="E3023">
        <f>INDEX(FactorTable!$B$2:$Y$301, MATCH(ROUND(MIN(300,MAX(1,D3023)),0), FactorTable!$A$2:$A$301,0), Skills!M14+1)</f>
        <v/>
      </c>
      <c r="F3023">
        <f>IF(Skills!N14=TRUE,(Skills!L14/10)*(E3023/1000),Skills!L14/10)+Skills!O14</f>
        <v/>
      </c>
      <c r="G3023">
        <f>Skills!G14*IF(Skills!H14&gt;0,Skills!I14/Skills!H14,1)</f>
        <v/>
      </c>
      <c r="H3023">
        <f>1-(1-Skills!J14/100)^Skills!K14</f>
        <v/>
      </c>
      <c r="I3023" t="inlineStr">
        <is>
          <t>1</t>
        </is>
      </c>
      <c r="J3023">
        <f>((Inputs!$B$6*(1+Inputs!$B$7/100))+(((Inputs!$B$12*(1+Inputs!$B$13/100))-(Inputs!$B$12*(1+Inputs!$B$13/100)))+0.25*(Inputs!$B$14-Inputs!$B$14))*(1+Inputs!$B$7/100))*(F3023/100)</f>
        <v/>
      </c>
      <c r="K3023">
        <f>J3023*(1+((Inputs!$B$12*(1+Inputs!$B$13/100))*0.01+Inputs!$B$14*0.0025)/100)*(1+Inputs!$B$15/100)*(1+Inputs!$B$16/100)*(5000/(6000+Inputs!$B$42*(1-(100*(1-(1-(Inputs!$B$19+0)/100)*(1-CHOOSE(ArtifactsInput!$N$40+1,5,6,7,8,9,10)/100)^(ArtifactsInput!$M$40-ArtifactsInput!$M$40)))/100)))*(1+(Inputs!$B$24+((C3035=TRUE)*(F3035-Calc!F26))+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3032=TRUE)*(F3032-Calc!F23))+((C3036=TRUE)*(F3036-Calc!F27))+(((IF(AND(ArtifactsInput!$M$42,((Inputs!$B$9+((C3028=TRUE)*(F3028-Calc!F19))+B3039+(ArtifactsInput!$M$24-ArtifactsInput!$M$24)*CHOOSE(ArtifactsInput!$N$24+1,10,12,14,16,18,20)+IF(ArtifactsInput!$M$10,CHOOSE(ArtifactsInput!$N$10+1,15,18,21,24,27,30)*(IF(Inputs!$B$38="pvp",MIN(15,15)/15,IF(AND(Inputs!$B$38&lt;&gt;"pvp",Inputs!$B$43&gt;0),MIN(15,Inputs!$B$43)/(Inputs!$B$43),0))),0)))&gt;=100),MIN(100,((Inputs!$B$9+((C3028=TRUE)*(F3028-Calc!F19))+B3039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3028=TRUE)*(F3028-Calc!F19))+B3039+(ArtifactsInput!$M$24-ArtifactsInput!$M$24)*CHOOSE(ArtifactsInput!$N$24+1,10,12,14,16,18,20)+IF(ArtifactsInput!$M$10,CHOOSE(ArtifactsInput!$N$10+1,15,18,21,24,27,30)*(IF(Inputs!$B$38="pvp",MIN(15,15)/15,IF(AND(Inputs!$B$38&lt;&gt;"pvp",Inputs!$B$43&gt;0),MIN(15,Inputs!$B$43)/(Inputs!$B$43),0))),0)))&gt;=100),CHOOSE(ArtifactsInput!$N$42+1,40,48,56,64,72,80),0))))/100)*((1+(((C3026=TRUE)*F3026)+((C3033=TRUE)*(F3033-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3023)</f>
        <v/>
      </c>
      <c r="L3023">
        <f>K3023*(MIN(Inputs!$B$22+((C3031=TRUE)*(F3031-Calc!F22)),(Inputs!$B$23+0+(IF(ArtifactsInput!$M$15,CHOOSE(ArtifactsInput!$N$15+1,25,30,35,40,45,50)/100*(Inputs!$B$11-Inputs!$B$11),0))))/100+(Inputs!$B$23+0+(IF(ArtifactsInput!$M$15,CHOOSE(ArtifactsInput!$N$15+1,25,30,35,40,45,50)/100*(Inputs!$B$11-Inputs!$B$11),0)))/100)/2</f>
        <v/>
      </c>
      <c r="M3023">
        <f>L3023*(1+(Inputs!$B$10+((C3034=TRUE)*(F3034-Calc!F25))+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3">
        <f>L3023*(1-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3023*(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3">
        <f>(1-Summary!$B$11)*T3023+Summary!$B$11*V3023</f>
        <v/>
      </c>
      <c r="P3023">
        <f>IF(B3049=0,0,O3023/B3049)</f>
        <v/>
      </c>
      <c r="Q3023" t="n">
        <v>0</v>
      </c>
      <c r="R3023" t="n">
        <v>0</v>
      </c>
      <c r="S3023">
        <f>IFERROR(O3023/N3023,0)</f>
        <v/>
      </c>
      <c r="T3023">
        <f>IF(C3023,(H3023*N3023*(B3043+IF(AND(Inputs!$B$38&lt;&gt;"pvp",Inputs!$B$43&gt;0),((Skills!G8*((R3017-1)*IF(Skills!H8&gt;0,Skills!I8/Skills!H8,1)+IF(Skills!H8&gt;0,MIN(Skills!I8,MAX(0,MAX(0,Inputs!$B$43-B3046)-((R3017-1)*(IF(Inputs!$B$38="pvp",15,MAX(0.1,Skills!D8-IF(Skills!E8=TRUE,3.5,0)))*(1-IF(AND(ArtifactsInput!$M$27,Inputs!$B$4="Chapter Hunt"),CHOOSE(ArtifactsInput!$N$27+1,20,24,28,32,36,40),0)/100)))))/Skills!H8,1)))/Inputs!$B$43),G3017*Q3017)+IF(AND(Inputs!$B$38&lt;&gt;"pvp",Inputs!$B$43&gt;0),((Skills!G11*((R3020-1)*IF(Skills!H11&gt;0,Skills!I11/Skills!H11,1)+IF(Skills!H11&gt;0,MIN(Skills!I11,MAX(0,MAX(0,Inputs!$B$43-B3046)-((R3020-1)*(IF(Inputs!$B$38="pvp",15,MAX(0.1,Skills!D11-IF(Skills!E11=TRUE,3.5,0)))*(1-IF(AND(ArtifactsInput!$M$27,Inputs!$B$4="Chapter Hunt"),CHOOSE(ArtifactsInput!$N$27+1,20,24,28,32,36,40),0)/100)))))/Skills!H11,1)))/Inputs!$B$43),G3020*Q3020)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3023*(1-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3023*(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3023*(1-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3023*(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3">
        <f>IF(C3023,(H3023*N3023*(B3043+IF(AND(Inputs!$B$38&lt;&gt;"pvp",Inputs!$B$43&gt;0),((Skills!G8*((R3017-1)*IF(Skills!H8&gt;0,Skills!I8/Skills!H8,1)+IF(Skills!H8&gt;0,MIN(Skills!I8,MAX(0,MAX(0,Inputs!$B$43-B3046)-((R3017-1)*(IF(Inputs!$B$38="pvp",15,MAX(0.1,Skills!D8-IF(Skills!E8=TRUE,3.5,0)))*(1-IF(AND(ArtifactsInput!$M$27,Inputs!$B$4="Chapter Hunt"),CHOOSE(ArtifactsInput!$N$27+1,20,24,28,32,36,40),0)/100)))))/Skills!H8,1)))/Inputs!$B$43),G3017*Q3017)+IF(AND(Inputs!$B$38&lt;&gt;"pvp",Inputs!$B$43&gt;0),((Skills!G11*((R3020-1)*IF(Skills!H11&gt;0,Skills!I11/Skills!H11,1)+IF(Skills!H11&gt;0,MIN(Skills!I11,MAX(0,MAX(0,Inputs!$B$43-B3046)-((R3020-1)*(IF(Inputs!$B$38="pvp",15,MAX(0.1,Skills!D11-IF(Skills!E11=TRUE,3.5,0)))*(1-IF(AND(ArtifactsInput!$M$27,Inputs!$B$4="Chapter Hunt"),CHOOSE(ArtifactsInput!$N$27+1,20,24,28,32,36,40),0)/100)))))/Skills!H11,1)))/Inputs!$B$43),G3020*Q3020)))*IF(Inputs!$B$38="pvp",1,(1+(Inputs!$B$21+Skills!Q14+(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4">
      <c r="A3024">
        <f>Skills!A15</f>
        <v/>
      </c>
      <c r="B3024">
        <f>Skills!B15</f>
        <v/>
      </c>
      <c r="C3024">
        <f>Inputs!$B$3&gt;=100</f>
        <v/>
      </c>
      <c r="D3024">
        <f>IF(Skills!C15=1,60+Inputs!$B$25+Inputs!$B$29,IF(Skills!C15=2,90+Inputs!$B$26+Inputs!$B$29,IF(Skills!C15=3,120+Inputs!$B$27+Inputs!$B$29,MAX(0,(Inputs!$B$3-100)*3)+Inputs!$B$28+Inputs!$B$29)))</f>
        <v/>
      </c>
      <c r="E3024">
        <f>INDEX(FactorTable!$B$2:$Y$301, MATCH(ROUND(MIN(300,MAX(1,D3024)),0), FactorTable!$A$2:$A$301,0), Skills!M15+1)</f>
        <v/>
      </c>
      <c r="F3024">
        <f>IF(Skills!N15=TRUE,(Skills!L15/10)*(E3024/1000),Skills!L15/10)+Skills!O15</f>
        <v/>
      </c>
      <c r="G3024" t="inlineStr"/>
      <c r="H3024" t="inlineStr"/>
      <c r="I3024" t="inlineStr">
        <is>
          <t>1</t>
        </is>
      </c>
      <c r="J3024" t="inlineStr"/>
      <c r="K3024" t="inlineStr"/>
      <c r="L3024" t="inlineStr"/>
      <c r="M3024" t="inlineStr"/>
      <c r="N3024" t="inlineStr"/>
      <c r="O3024" t="inlineStr"/>
      <c r="P3024" t="inlineStr"/>
      <c r="Q3024" t="inlineStr"/>
      <c r="R3024" t="inlineStr"/>
      <c r="S3024" t="inlineStr"/>
    </row>
    <row r="3025">
      <c r="A3025">
        <f>Skills!A16</f>
        <v/>
      </c>
      <c r="B3025">
        <f>Skills!B16</f>
        <v/>
      </c>
      <c r="C3025">
        <f>Inputs!$B$3&gt;=120</f>
        <v/>
      </c>
      <c r="D3025">
        <f>IF(Skills!C16=1,60+Inputs!$B$25+Inputs!$B$29,IF(Skills!C16=2,90+Inputs!$B$26+Inputs!$B$29,IF(Skills!C16=3,120+Inputs!$B$27+Inputs!$B$29,MAX(0,(Inputs!$B$3-100)*3)+Inputs!$B$28+Inputs!$B$29)))</f>
        <v/>
      </c>
      <c r="E3025">
        <f>INDEX(FactorTable!$B$2:$Y$301, MATCH(ROUND(MIN(300,MAX(1,D3025)),0), FactorTable!$A$2:$A$301,0), Skills!M16+1)</f>
        <v/>
      </c>
      <c r="F3025">
        <f>IF(Skills!N16=TRUE,(Skills!L16/10)*(E3025/1000),Skills!L16/10)+Skills!O16</f>
        <v/>
      </c>
      <c r="G3025" t="inlineStr"/>
      <c r="H3025" t="inlineStr"/>
      <c r="I3025" t="inlineStr">
        <is>
          <t>1</t>
        </is>
      </c>
      <c r="J3025" t="inlineStr"/>
      <c r="K3025" t="inlineStr"/>
      <c r="L3025" t="inlineStr"/>
      <c r="M3025" t="inlineStr"/>
      <c r="N3025" t="inlineStr"/>
      <c r="O3025" t="inlineStr"/>
      <c r="P3025" t="inlineStr"/>
      <c r="Q3025" t="inlineStr"/>
      <c r="R3025" t="inlineStr"/>
      <c r="S3025" t="inlineStr"/>
    </row>
    <row r="3026">
      <c r="A3026">
        <f>Skills!A17</f>
        <v/>
      </c>
      <c r="B3026">
        <f>Skills!B17</f>
        <v/>
      </c>
      <c r="C3026">
        <f>Inputs!$B$3&gt;=66</f>
        <v/>
      </c>
      <c r="D3026">
        <f>IF(Skills!C17=1,60+Inputs!$B$25+Inputs!$B$29,IF(Skills!C17=2,90+Inputs!$B$26+Inputs!$B$29,IF(Skills!C17=3,120+Inputs!$B$27+Inputs!$B$29,MAX(0,(Inputs!$B$3-100)*3)+Inputs!$B$28+Inputs!$B$29)))</f>
        <v/>
      </c>
      <c r="E3026">
        <f>INDEX(FactorTable!$B$2:$Y$301, MATCH(ROUND(MIN(300,MAX(1,D3026)),0), FactorTable!$A$2:$A$301,0), Skills!M17+1)</f>
        <v/>
      </c>
      <c r="F3026">
        <f>IF(Skills!N17=TRUE,(Skills!L17/10)*(E3026/1000),Skills!L17/10)+Skills!O17</f>
        <v/>
      </c>
      <c r="G3026">
        <f>Skills!G17*IF(Skills!H17&gt;0,Skills!I17/Skills!H17,1)</f>
        <v/>
      </c>
      <c r="H3026">
        <f>1-(1-Skills!J17/100)^Skills!K17</f>
        <v/>
      </c>
      <c r="I3026" t="inlineStr">
        <is>
          <t>1</t>
        </is>
      </c>
      <c r="J3026" t="inlineStr"/>
      <c r="K3026" t="inlineStr"/>
      <c r="L3026" t="inlineStr"/>
      <c r="M3026" t="inlineStr"/>
      <c r="N3026" t="inlineStr"/>
      <c r="O3026">
        <f>(1-Summary!$B$11)*T3026+Summary!$B$11*V3026</f>
        <v/>
      </c>
      <c r="P3026">
        <f>IF(B3049=0,0,O3026/B3049)</f>
        <v/>
      </c>
      <c r="Q3026" t="n">
        <v>0</v>
      </c>
      <c r="R3026" t="n">
        <v>0</v>
      </c>
      <c r="S3026">
        <f>IFERROR(O3026/N3026,0)</f>
        <v/>
      </c>
      <c r="T3026" t="n">
        <v>0</v>
      </c>
      <c r="V3026" t="n">
        <v>0</v>
      </c>
    </row>
    <row r="3027">
      <c r="A3027">
        <f>Skills!A18</f>
        <v/>
      </c>
      <c r="B3027">
        <f>Skills!B18</f>
        <v/>
      </c>
      <c r="C3027">
        <f>Inputs!$B$3&gt;=115</f>
        <v/>
      </c>
      <c r="D3027">
        <f>IF(Skills!C18=1,60+Inputs!$B$25+Inputs!$B$29,IF(Skills!C18=2,90+Inputs!$B$26+Inputs!$B$29,IF(Skills!C18=3,120+Inputs!$B$27+Inputs!$B$29,MAX(0,(Inputs!$B$3-100)*3)+Inputs!$B$28+Inputs!$B$29)))</f>
        <v/>
      </c>
      <c r="E3027">
        <f>INDEX(FactorTable!$B$2:$Y$301, MATCH(ROUND(MIN(300,MAX(1,D3027)),0), FactorTable!$A$2:$A$301,0), Skills!M18+1)</f>
        <v/>
      </c>
      <c r="F3027">
        <f>IF(Skills!N18=TRUE,(Skills!L18/10)*(E3027/1000),Skills!L18/10)+Skills!O18</f>
        <v/>
      </c>
      <c r="G3027">
        <f>Skills!G18*IF(Skills!H18&gt;0,Skills!I18/Skills!H18,1)</f>
        <v/>
      </c>
      <c r="H3027">
        <f>1-(1-Skills!J18/100)^Skills!K18</f>
        <v/>
      </c>
      <c r="I3027" t="inlineStr">
        <is>
          <t>1</t>
        </is>
      </c>
      <c r="J3027" t="inlineStr"/>
      <c r="K3027" t="inlineStr"/>
      <c r="L3027" t="inlineStr"/>
      <c r="M3027" t="inlineStr"/>
      <c r="N3027" t="inlineStr"/>
      <c r="O3027">
        <f>(1-Summary!$B$11)*T3027+Summary!$B$11*V3027</f>
        <v/>
      </c>
      <c r="P3027">
        <f>IF(B3049=0,0,O3027/B3049)</f>
        <v/>
      </c>
      <c r="Q3027" t="n">
        <v>0</v>
      </c>
      <c r="R3027" t="n">
        <v>0</v>
      </c>
      <c r="S3027">
        <f>IFERROR(O3027/N3027,0)</f>
        <v/>
      </c>
      <c r="T3027" t="n">
        <v>0</v>
      </c>
      <c r="V3027" t="n">
        <v>0</v>
      </c>
    </row>
    <row r="3028">
      <c r="A3028">
        <f>Skills!A19</f>
        <v/>
      </c>
      <c r="B3028">
        <f>Skills!B19</f>
        <v/>
      </c>
      <c r="C3028">
        <f>Inputs!$B$3&gt;=15</f>
        <v/>
      </c>
      <c r="D3028">
        <f>IF(Skills!C19=1,60+Inputs!$B$25+Inputs!$B$29,IF(Skills!C19=2,90+Inputs!$B$26+Inputs!$B$29,IF(Skills!C19=3,120+Inputs!$B$27+Inputs!$B$29,MAX(0,(Inputs!$B$3-100)*3)+Inputs!$B$28+Inputs!$B$29)))</f>
        <v/>
      </c>
      <c r="E3028">
        <f>INDEX(FactorTable!$B$2:$Y$301, MATCH(ROUND(MIN(300,MAX(1,D3028)),0), FactorTable!$A$2:$A$301,0), Skills!M19+1)</f>
        <v/>
      </c>
      <c r="F3028">
        <f>IF(Skills!N19=TRUE,(Skills!L19/10)*(E3028/1000),Skills!L19/10)+Skills!O19</f>
        <v/>
      </c>
      <c r="G3028">
        <f>Skills!G19*IF(Skills!H19&gt;0,Skills!I19/Skills!H19,1)</f>
        <v/>
      </c>
      <c r="H3028">
        <f>1-(1-Skills!J19/100)^Skills!K19</f>
        <v/>
      </c>
      <c r="I3028" t="inlineStr">
        <is>
          <t>1</t>
        </is>
      </c>
      <c r="J3028" t="inlineStr"/>
      <c r="K3028" t="inlineStr"/>
      <c r="L3028" t="inlineStr"/>
      <c r="M3028" t="inlineStr"/>
      <c r="N3028" t="inlineStr"/>
      <c r="O3028">
        <f>(1-Summary!$B$11)*T3028+Summary!$B$11*V3028</f>
        <v/>
      </c>
      <c r="P3028">
        <f>IF(B3049=0,0,O3028/B3049)</f>
        <v/>
      </c>
      <c r="Q3028" t="n">
        <v>0</v>
      </c>
      <c r="R3028" t="n">
        <v>0</v>
      </c>
      <c r="S3028">
        <f>IFERROR(O3028/N3028,0)</f>
        <v/>
      </c>
      <c r="T3028" t="n">
        <v>0</v>
      </c>
      <c r="V3028" t="n">
        <v>0</v>
      </c>
    </row>
    <row r="3029">
      <c r="A3029">
        <f>Skills!A20</f>
        <v/>
      </c>
      <c r="B3029">
        <f>Skills!B20</f>
        <v/>
      </c>
      <c r="C3029">
        <f>Inputs!$B$3&gt;=10</f>
        <v/>
      </c>
      <c r="D3029">
        <f>IF(Skills!C20=1,60+Inputs!$B$25+Inputs!$B$29,IF(Skills!C20=2,90+Inputs!$B$26+Inputs!$B$29,IF(Skills!C20=3,120+Inputs!$B$27+Inputs!$B$29,MAX(0,(Inputs!$B$3-100)*3)+Inputs!$B$28+Inputs!$B$29)))</f>
        <v/>
      </c>
      <c r="E3029">
        <f>INDEX(FactorTable!$B$2:$Y$301, MATCH(ROUND(MIN(300,MAX(1,D3029)),0), FactorTable!$A$2:$A$301,0), Skills!M20+1)</f>
        <v/>
      </c>
      <c r="F3029">
        <f>IF(Skills!N20=TRUE,(Skills!L20/10)*(E3029/1000),Skills!L20/10)+Skills!O20</f>
        <v/>
      </c>
      <c r="G3029">
        <f>Skills!G20*IF(Skills!H20&gt;0,Skills!I20/Skills!H20,1)</f>
        <v/>
      </c>
      <c r="H3029">
        <f>1-(1-Skills!J20/100)^Skills!K20</f>
        <v/>
      </c>
      <c r="I3029" t="inlineStr">
        <is>
          <t>1</t>
        </is>
      </c>
      <c r="J3029" t="inlineStr"/>
      <c r="K3029" t="inlineStr"/>
      <c r="L3029" t="inlineStr"/>
      <c r="M3029" t="inlineStr"/>
      <c r="N3029" t="inlineStr"/>
      <c r="O3029">
        <f>(1-Summary!$B$11)*T3029+Summary!$B$11*V3029</f>
        <v/>
      </c>
      <c r="P3029">
        <f>IF(B3049=0,0,O3029/B3049)</f>
        <v/>
      </c>
      <c r="Q3029" t="n">
        <v>0</v>
      </c>
      <c r="R3029" t="n">
        <v>0</v>
      </c>
      <c r="S3029">
        <f>IFERROR(O3029/N3029,0)</f>
        <v/>
      </c>
      <c r="T3029" t="n">
        <v>0</v>
      </c>
      <c r="V3029" t="n">
        <v>0</v>
      </c>
    </row>
    <row r="3030">
      <c r="A3030">
        <f>Skills!A21</f>
        <v/>
      </c>
      <c r="B3030">
        <f>Skills!B21</f>
        <v/>
      </c>
      <c r="C3030">
        <f>Inputs!$B$3&gt;=33</f>
        <v/>
      </c>
      <c r="D3030">
        <f>IF(Skills!C21=1,60+Inputs!$B$25+Inputs!$B$29,IF(Skills!C21=2,90+Inputs!$B$26+Inputs!$B$29,IF(Skills!C21=3,120+Inputs!$B$27+Inputs!$B$29,MAX(0,(Inputs!$B$3-100)*3)+Inputs!$B$28+Inputs!$B$29)))</f>
        <v/>
      </c>
      <c r="E3030">
        <f>INDEX(FactorTable!$B$2:$Y$301, MATCH(ROUND(MIN(300,MAX(1,D3030)),0), FactorTable!$A$2:$A$301,0), Skills!M21+1)</f>
        <v/>
      </c>
      <c r="F3030">
        <f>IF(Skills!N21=TRUE,(Skills!L21/10)*(E3030/1000),Skills!L21/10)+Skills!O21</f>
        <v/>
      </c>
      <c r="G3030">
        <f>Skills!G21*IF(Skills!H21&gt;0,Skills!I21/Skills!H21,1)</f>
        <v/>
      </c>
      <c r="H3030">
        <f>1-(1-Skills!J21/100)^Skills!K21</f>
        <v/>
      </c>
      <c r="I3030" t="inlineStr">
        <is>
          <t>1</t>
        </is>
      </c>
      <c r="J3030" t="inlineStr"/>
      <c r="K3030" t="inlineStr"/>
      <c r="L3030" t="inlineStr"/>
      <c r="M3030" t="inlineStr"/>
      <c r="N3030" t="inlineStr"/>
      <c r="O3030">
        <f>(1-Summary!$B$11)*T3030+Summary!$B$11*V3030</f>
        <v/>
      </c>
      <c r="P3030">
        <f>IF(B3049=0,0,O3030/B3049)</f>
        <v/>
      </c>
      <c r="Q3030" t="n">
        <v>0</v>
      </c>
      <c r="R3030" t="n">
        <v>0</v>
      </c>
      <c r="S3030">
        <f>IFERROR(O3030/N3030,0)</f>
        <v/>
      </c>
      <c r="T3030" t="n">
        <v>0</v>
      </c>
      <c r="V3030" t="n">
        <v>0</v>
      </c>
    </row>
    <row r="3031">
      <c r="A3031">
        <f>Skills!A22</f>
        <v/>
      </c>
      <c r="B3031">
        <f>Skills!B22</f>
        <v/>
      </c>
      <c r="C3031">
        <f>Inputs!$B$3&gt;=43</f>
        <v/>
      </c>
      <c r="D3031">
        <f>IF(Skills!C22=1,60+Inputs!$B$25+Inputs!$B$29,IF(Skills!C22=2,90+Inputs!$B$26+Inputs!$B$29,IF(Skills!C22=3,120+Inputs!$B$27+Inputs!$B$29,MAX(0,(Inputs!$B$3-100)*3)+Inputs!$B$28+Inputs!$B$29)))</f>
        <v/>
      </c>
      <c r="E3031">
        <f>INDEX(FactorTable!$B$2:$Y$301, MATCH(ROUND(MIN(300,MAX(1,D3031)),0), FactorTable!$A$2:$A$301,0), Skills!M22+1)</f>
        <v/>
      </c>
      <c r="F3031">
        <f>IF(Skills!N22=TRUE,(Skills!L22/10)*(E3031/1000),Skills!L22/10)+Skills!O22</f>
        <v/>
      </c>
      <c r="G3031">
        <f>Skills!G22*IF(Skills!H22&gt;0,Skills!I22/Skills!H22,1)</f>
        <v/>
      </c>
      <c r="H3031">
        <f>1-(1-Skills!J22/100)^Skills!K22</f>
        <v/>
      </c>
      <c r="I3031" t="inlineStr">
        <is>
          <t>1</t>
        </is>
      </c>
      <c r="J3031" t="inlineStr"/>
      <c r="K3031" t="inlineStr"/>
      <c r="L3031" t="inlineStr"/>
      <c r="M3031" t="inlineStr"/>
      <c r="N3031" t="inlineStr"/>
      <c r="O3031">
        <f>(1-Summary!$B$11)*T3031+Summary!$B$11*V3031</f>
        <v/>
      </c>
      <c r="P3031">
        <f>IF(B3049=0,0,O3031/B3049)</f>
        <v/>
      </c>
      <c r="Q3031" t="n">
        <v>0</v>
      </c>
      <c r="R3031" t="n">
        <v>0</v>
      </c>
      <c r="S3031">
        <f>IFERROR(O3031/N3031,0)</f>
        <v/>
      </c>
      <c r="T3031" t="n">
        <v>0</v>
      </c>
      <c r="V3031" t="n">
        <v>0</v>
      </c>
    </row>
    <row r="3032">
      <c r="A3032">
        <f>Skills!A23</f>
        <v/>
      </c>
      <c r="B3032">
        <f>Skills!B23</f>
        <v/>
      </c>
      <c r="C3032">
        <f>Inputs!$B$3&gt;=38</f>
        <v/>
      </c>
      <c r="D3032">
        <f>IF(Skills!C23=1,60+Inputs!$B$25+Inputs!$B$29,IF(Skills!C23=2,90+Inputs!$B$26+Inputs!$B$29,IF(Skills!C23=3,120+Inputs!$B$27+Inputs!$B$29,MAX(0,(Inputs!$B$3-100)*3)+Inputs!$B$28+Inputs!$B$29)))</f>
        <v/>
      </c>
      <c r="E3032">
        <f>INDEX(FactorTable!$B$2:$Y$301, MATCH(ROUND(MIN(300,MAX(1,D3032)),0), FactorTable!$A$2:$A$301,0), Skills!M23+1)</f>
        <v/>
      </c>
      <c r="F3032">
        <f>IF(Skills!N23=TRUE,(Skills!L23/10)*(E3032/1000),Skills!L23/10)+Skills!O23</f>
        <v/>
      </c>
      <c r="G3032">
        <f>Skills!G23*IF(Skills!H23&gt;0,Skills!I23/Skills!H23,1)</f>
        <v/>
      </c>
      <c r="H3032">
        <f>1-(1-Skills!J23/100)^Skills!K23</f>
        <v/>
      </c>
      <c r="I3032" t="inlineStr">
        <is>
          <t>1</t>
        </is>
      </c>
      <c r="J3032" t="inlineStr"/>
      <c r="K3032" t="inlineStr"/>
      <c r="L3032" t="inlineStr"/>
      <c r="M3032" t="inlineStr"/>
      <c r="N3032" t="inlineStr"/>
      <c r="O3032">
        <f>(1-Summary!$B$11)*T3032+Summary!$B$11*V3032</f>
        <v/>
      </c>
      <c r="P3032">
        <f>IF(B3049=0,0,O3032/B3049)</f>
        <v/>
      </c>
      <c r="Q3032" t="n">
        <v>0</v>
      </c>
      <c r="R3032" t="n">
        <v>0</v>
      </c>
      <c r="S3032">
        <f>IFERROR(O3032/N3032,0)</f>
        <v/>
      </c>
      <c r="T3032" t="n">
        <v>0</v>
      </c>
      <c r="V3032" t="n">
        <v>0</v>
      </c>
    </row>
    <row r="3033">
      <c r="A3033">
        <f>Skills!A24</f>
        <v/>
      </c>
      <c r="B3033">
        <f>Skills!B24</f>
        <v/>
      </c>
      <c r="C3033">
        <f>Inputs!$B$3&gt;=40</f>
        <v/>
      </c>
      <c r="D3033">
        <f>IF(Skills!C24=1,60+Inputs!$B$25+Inputs!$B$29,IF(Skills!C24=2,90+Inputs!$B$26+Inputs!$B$29,IF(Skills!C24=3,120+Inputs!$B$27+Inputs!$B$29,MAX(0,(Inputs!$B$3-100)*3)+Inputs!$B$28+Inputs!$B$29)))</f>
        <v/>
      </c>
      <c r="E3033">
        <f>INDEX(FactorTable!$B$2:$Y$301, MATCH(ROUND(MIN(300,MAX(1,D3033)),0), FactorTable!$A$2:$A$301,0), Skills!M24+1)</f>
        <v/>
      </c>
      <c r="F3033">
        <f>IF(Skills!N24=TRUE,(Skills!L24/10)*(E3033/1000),Skills!L24/10)+Skills!O24</f>
        <v/>
      </c>
      <c r="G3033">
        <f>Skills!G24*IF(Skills!H24&gt;0,Skills!I24/Skills!H24,1)</f>
        <v/>
      </c>
      <c r="H3033">
        <f>1-(1-Skills!J24/100)^Skills!K24</f>
        <v/>
      </c>
      <c r="I3033" t="inlineStr">
        <is>
          <t>1</t>
        </is>
      </c>
      <c r="J3033" t="inlineStr"/>
      <c r="K3033" t="inlineStr"/>
      <c r="L3033" t="inlineStr"/>
      <c r="M3033" t="inlineStr"/>
      <c r="N3033" t="inlineStr"/>
      <c r="O3033">
        <f>(1-Summary!$B$11)*T3033+Summary!$B$11*V3033</f>
        <v/>
      </c>
      <c r="P3033">
        <f>IF(B3049=0,0,O3033/B3049)</f>
        <v/>
      </c>
      <c r="Q3033" t="n">
        <v>0</v>
      </c>
      <c r="R3033" t="n">
        <v>0</v>
      </c>
      <c r="S3033">
        <f>IFERROR(O3033/N3033,0)</f>
        <v/>
      </c>
      <c r="T3033" t="n">
        <v>0</v>
      </c>
      <c r="V3033" t="n">
        <v>0</v>
      </c>
    </row>
    <row r="3034">
      <c r="A3034">
        <f>Skills!A25</f>
        <v/>
      </c>
      <c r="B3034">
        <f>Skills!B25</f>
        <v/>
      </c>
      <c r="C3034">
        <f>Inputs!$B$3&gt;=72</f>
        <v/>
      </c>
      <c r="D3034">
        <f>IF(Skills!C25=1,60+Inputs!$B$25+Inputs!$B$29,IF(Skills!C25=2,90+Inputs!$B$26+Inputs!$B$29,IF(Skills!C25=3,120+Inputs!$B$27+Inputs!$B$29,MAX(0,(Inputs!$B$3-100)*3)+Inputs!$B$28+Inputs!$B$29)))</f>
        <v/>
      </c>
      <c r="E3034">
        <f>INDEX(FactorTable!$B$2:$Y$301, MATCH(ROUND(MIN(300,MAX(1,D3034)),0), FactorTable!$A$2:$A$301,0), Skills!M25+1)</f>
        <v/>
      </c>
      <c r="F3034">
        <f>IF(Skills!N25=TRUE,(Skills!L25/10)*(E3034/1000),Skills!L25/10)+Skills!O25</f>
        <v/>
      </c>
      <c r="G3034">
        <f>Skills!G25*IF(Skills!H25&gt;0,Skills!I25/Skills!H25,1)</f>
        <v/>
      </c>
      <c r="H3034">
        <f>1-(1-Skills!J25/100)^Skills!K25</f>
        <v/>
      </c>
      <c r="I3034" t="inlineStr">
        <is>
          <t>1</t>
        </is>
      </c>
      <c r="J3034" t="inlineStr"/>
      <c r="K3034" t="inlineStr"/>
      <c r="L3034" t="inlineStr"/>
      <c r="M3034" t="inlineStr"/>
      <c r="N3034" t="inlineStr"/>
      <c r="O3034">
        <f>(1-Summary!$B$11)*T3034+Summary!$B$11*V3034</f>
        <v/>
      </c>
      <c r="P3034">
        <f>IF(B3049=0,0,O3034/B3049)</f>
        <v/>
      </c>
      <c r="Q3034" t="n">
        <v>0</v>
      </c>
      <c r="R3034" t="n">
        <v>0</v>
      </c>
      <c r="S3034">
        <f>IFERROR(O3034/N3034,0)</f>
        <v/>
      </c>
      <c r="T3034" t="n">
        <v>0</v>
      </c>
      <c r="V3034" t="n">
        <v>0</v>
      </c>
    </row>
    <row r="3035">
      <c r="A3035">
        <f>Skills!A26</f>
        <v/>
      </c>
      <c r="B3035">
        <f>Skills!B26</f>
        <v/>
      </c>
      <c r="C3035">
        <f>Inputs!$B$3&gt;=75</f>
        <v/>
      </c>
      <c r="D3035">
        <f>IF(Skills!C26=1,60+Inputs!$B$25+Inputs!$B$29,IF(Skills!C26=2,90+Inputs!$B$26+Inputs!$B$29,IF(Skills!C26=3,120+Inputs!$B$27+Inputs!$B$29,MAX(0,(Inputs!$B$3-100)*3)+Inputs!$B$28+Inputs!$B$29)))</f>
        <v/>
      </c>
      <c r="E3035">
        <f>INDEX(FactorTable!$B$2:$Y$301, MATCH(ROUND(MIN(300,MAX(1,D3035)),0), FactorTable!$A$2:$A$301,0), Skills!M26+1)</f>
        <v/>
      </c>
      <c r="F3035">
        <f>IF(Skills!N26=TRUE,(Skills!L26/10)*(E3035/1000),Skills!L26/10)+Skills!O26</f>
        <v/>
      </c>
      <c r="G3035">
        <f>Skills!G26*IF(Skills!H26&gt;0,Skills!I26/Skills!H26,1)</f>
        <v/>
      </c>
      <c r="H3035">
        <f>1-(1-Skills!J26/100)^Skills!K26</f>
        <v/>
      </c>
      <c r="I3035" t="inlineStr">
        <is>
          <t>1</t>
        </is>
      </c>
      <c r="J3035" t="inlineStr"/>
      <c r="K3035" t="inlineStr"/>
      <c r="L3035" t="inlineStr"/>
      <c r="M3035" t="inlineStr"/>
      <c r="N3035" t="inlineStr"/>
      <c r="O3035">
        <f>(1-Summary!$B$11)*T3035+Summary!$B$11*V3035</f>
        <v/>
      </c>
      <c r="P3035">
        <f>IF(B3049=0,0,O3035/B3049)</f>
        <v/>
      </c>
      <c r="Q3035" t="n">
        <v>0</v>
      </c>
      <c r="R3035" t="n">
        <v>0</v>
      </c>
      <c r="S3035">
        <f>IFERROR(O3035/N3035,0)</f>
        <v/>
      </c>
      <c r="T3035" t="n">
        <v>0</v>
      </c>
      <c r="V3035" t="n">
        <v>0</v>
      </c>
    </row>
    <row r="3036">
      <c r="A3036">
        <f>Skills!A27</f>
        <v/>
      </c>
      <c r="B3036">
        <f>Skills!B27</f>
        <v/>
      </c>
      <c r="C3036">
        <f>Inputs!$B$3&gt;=117</f>
        <v/>
      </c>
      <c r="D3036">
        <f>IF(Skills!C27=1,60+Inputs!$B$25+Inputs!$B$29,IF(Skills!C27=2,90+Inputs!$B$26+Inputs!$B$29,IF(Skills!C27=3,120+Inputs!$B$27+Inputs!$B$29,MAX(0,(Inputs!$B$3-100)*3)+Inputs!$B$28+Inputs!$B$29)))</f>
        <v/>
      </c>
      <c r="E3036">
        <f>INDEX(FactorTable!$B$2:$Y$301, MATCH(ROUND(MIN(300,MAX(1,D3036)),0), FactorTable!$A$2:$A$301,0), Skills!M27+1)</f>
        <v/>
      </c>
      <c r="F3036">
        <f>IF(Skills!N27=TRUE,(Skills!L27/10)*(E3036/1000),Skills!L27/10)+Skills!O27</f>
        <v/>
      </c>
      <c r="G3036">
        <f>Skills!G27*IF(Skills!H27&gt;0,Skills!I27/Skills!H27,1)</f>
        <v/>
      </c>
      <c r="H3036">
        <f>1-(1-Skills!J27/100)^Skills!K27</f>
        <v/>
      </c>
      <c r="I3036" t="inlineStr">
        <is>
          <t>1</t>
        </is>
      </c>
      <c r="J3036" t="inlineStr"/>
      <c r="K3036" t="inlineStr"/>
      <c r="L3036" t="inlineStr"/>
      <c r="M3036" t="inlineStr"/>
      <c r="N3036" t="inlineStr"/>
      <c r="O3036">
        <f>(1-Summary!$B$11)*T3036+Summary!$B$11*V3036</f>
        <v/>
      </c>
      <c r="P3036">
        <f>IF(B3049=0,0,O3036/B3049)</f>
        <v/>
      </c>
      <c r="Q3036" t="n">
        <v>0</v>
      </c>
      <c r="R3036" t="n">
        <v>0</v>
      </c>
      <c r="S3036">
        <f>IFERROR(O3036/N3036,0)</f>
        <v/>
      </c>
      <c r="T3036" t="n">
        <v>0</v>
      </c>
      <c r="V3036" t="n">
        <v>0</v>
      </c>
    </row>
    <row r="3038">
      <c r="A3038" t="inlineStr">
        <is>
          <t>Attack% Bucket Multiplier</t>
        </is>
      </c>
      <c r="B3038">
        <f>(1+(((C3026=TRUE)*F3026)+((C3033=TRUE)*(F3033-Calc!F24))+(IF(ArtifactsInput!$M$21,CHOOSE(ArtifactsInput!$N$21+1,25,30,35,40,45,50)*(IF(OR(Inputs!$B$4="Chapter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39">
      <c r="A3039" t="inlineStr">
        <is>
          <t>Global Crit Rate Bonus %</t>
        </is>
      </c>
      <c r="B3039" t="n">
        <v>0</v>
      </c>
    </row>
    <row r="3040">
      <c r="A3040" t="inlineStr">
        <is>
          <t>Attack Speed Buff Bonus % (unused)</t>
        </is>
      </c>
      <c r="B3040" t="n">
        <v>0</v>
      </c>
    </row>
    <row r="3041">
      <c r="A3041" t="inlineStr">
        <is>
          <t>Actions Per Second</t>
        </is>
      </c>
      <c r="B3041">
        <f>1+MIN(150,150*(1-(1-(Inputs!$B$11+((C3029=TRUE)*(F3029-Calc!F20))+((C3030=TRUE)*(F3030-Calc!F21)))/150)*(1-B3040/150)))/100</f>
        <v/>
      </c>
    </row>
    <row r="3042">
      <c r="A3042" t="inlineStr">
        <is>
          <t>Skill + Buff Cast Rate</t>
        </is>
      </c>
      <c r="B3042">
        <f>IF(AND(Inputs!$B$38&lt;&gt;"pvp",Inputs!$B$43&gt;0),SUMPRODUCT((Skills!E2:E27=TRUE)*(C3011:C3036=TRUE)*R3011:R3036*Skills!F2:F27)/Inputs!$B$43,SUMPRODUCT((Skills!E2:E27=TRUE)*(C3011:C3036=TRUE)*Q3011:Q3036*Skills!F2:F27))</f>
        <v/>
      </c>
    </row>
    <row r="3043">
      <c r="A3043" t="inlineStr">
        <is>
          <t>Eight-Legs Easton Casts Per Second</t>
        </is>
      </c>
      <c r="B3043">
        <f>MAX(0,B3041-B3042)</f>
        <v/>
      </c>
    </row>
    <row r="3044">
      <c r="A3044" t="inlineStr">
        <is>
          <t>Global Critical Damage Bonus % (unused)</t>
        </is>
      </c>
      <c r="B3044" t="n">
        <v>0</v>
      </c>
    </row>
    <row r="3045">
      <c r="A3045" t="inlineStr">
        <is>
          <t>Global Final Damage Bonus % (Jolly Roger only)</t>
        </is>
      </c>
      <c r="B3045">
        <f>((C3027=TRUE)*F3027)</f>
        <v/>
      </c>
    </row>
    <row r="3046">
      <c r="A3046" t="inlineStr">
        <is>
          <t>Buff-Casting Startup Delay (s, fixed-duration only)</t>
        </is>
      </c>
      <c r="B3046">
        <f>IF(AND(Inputs!$B$38&lt;&gt;"pvp",Inputs!$B$43&gt;0),SUMPRODUCT((Skills!T2:T27&gt;0)*(Skills!E2:E27=TRUE)*(C3011:C3036=TRUE))/B3041,0)</f>
        <v/>
      </c>
    </row>
    <row r="3047">
      <c r="A3047" t="inlineStr">
        <is>
          <t>Boss-Only Total DPS (this block's swept value)</t>
        </is>
      </c>
      <c r="B3047">
        <f>SUM(T3011:T3036)</f>
        <v/>
      </c>
    </row>
    <row r="3048">
      <c r="A3048" t="inlineStr">
        <is>
          <t>Normal-Only Total DPS (this block's swept value)</t>
        </is>
      </c>
      <c r="B3048">
        <f>SUM(V3011:V3036)</f>
        <v/>
      </c>
    </row>
    <row r="3049">
      <c r="A3049" s="6" t="inlineStr">
        <is>
          <t>TOTAL DPS</t>
        </is>
      </c>
      <c r="B3049" s="6">
        <f>SUM(O3011:O3036)</f>
        <v/>
      </c>
    </row>
    <row r="3052">
      <c r="A3052" s="6" t="inlineStr">
        <is>
          <t>Stat: CDR = 4.0s</t>
        </is>
      </c>
    </row>
    <row r="3053">
      <c r="A3053" s="5" t="inlineStr">
        <is>
          <t>Key</t>
        </is>
      </c>
      <c r="B3053" s="5" t="inlineStr">
        <is>
          <t>Name</t>
        </is>
      </c>
      <c r="C3053" s="5" t="inlineStr">
        <is>
          <t>Unlocked</t>
        </is>
      </c>
      <c r="D3053" s="5" t="inlineStr">
        <is>
          <t>InputLevel</t>
        </is>
      </c>
      <c r="E3053" s="5" t="inlineStr">
        <is>
          <t>Factor</t>
        </is>
      </c>
      <c r="F3053" s="5" t="inlineStr">
        <is>
          <t>CoefficientPercent</t>
        </is>
      </c>
      <c r="G3053" s="5" t="inlineStr">
        <is>
          <t>EffectiveHits</t>
        </is>
      </c>
      <c r="H3053" s="5" t="inlineStr">
        <is>
          <t>ProcProbability</t>
        </is>
      </c>
      <c r="I3053" s="5" t="inlineStr">
        <is>
          <t>MapleHeroMultiplier</t>
        </is>
      </c>
      <c r="J3053" s="5" t="inlineStr">
        <is>
          <t>BaseDamage</t>
        </is>
      </c>
      <c r="K3053" s="5" t="inlineStr">
        <is>
          <t>BaseHitDamage</t>
        </is>
      </c>
      <c r="L3053" s="5" t="inlineStr">
        <is>
          <t>NonCritAvg</t>
        </is>
      </c>
      <c r="M3053" s="5" t="inlineStr">
        <is>
          <t>CritAvg</t>
        </is>
      </c>
      <c r="N3053" s="5" t="inlineStr">
        <is>
          <t>ExpectedDamage(perHit)</t>
        </is>
      </c>
      <c r="O3053" s="5" t="inlineStr">
        <is>
          <t>DPS</t>
        </is>
      </c>
      <c r="P3053" s="5" t="inlineStr">
        <is>
          <t>% of Total</t>
        </is>
      </c>
      <c r="Q3053" s="5" t="inlineStr">
        <is>
          <t>InvCooldown</t>
        </is>
      </c>
      <c r="R3053" s="5" t="inlineStr">
        <is>
          <t>CastsInFight</t>
        </is>
      </c>
      <c r="S3053" s="5" t="inlineStr">
        <is>
          <t>HitRate(perSec)</t>
        </is>
      </c>
      <c r="U3053" t="inlineStr">
        <is>
          <t>helpers</t>
        </is>
      </c>
    </row>
    <row r="3054">
      <c r="A3054">
        <f>Skills!A2</f>
        <v/>
      </c>
      <c r="B3054">
        <f>Skills!B2</f>
        <v/>
      </c>
      <c r="C3054">
        <f>Inputs!$B$3&gt;=100</f>
        <v/>
      </c>
      <c r="D3054" t="inlineStr"/>
      <c r="E3054" t="inlineStr"/>
      <c r="F3054">
        <f>U3056+Skills!O2</f>
        <v/>
      </c>
      <c r="G3054">
        <f>Skills!G2*IF(Skills!H2&gt;0,Skills!I2/Skills!H2,1)</f>
        <v/>
      </c>
      <c r="H3054">
        <f>1-(1-Skills!J2/100)^Skills!K2</f>
        <v/>
      </c>
      <c r="I3054" t="inlineStr">
        <is>
          <t>1</t>
        </is>
      </c>
      <c r="J3054">
        <f>((Inputs!$B$6*(1+Inputs!$B$7/100))+(((Inputs!$B$12*(1+Inputs!$B$13/100))-(Inputs!$B$12*(1+Inputs!$B$13/100)))+0.25*(Inputs!$B$14-Inputs!$B$14))*(1+Inputs!$B$7/100))*(F3054/100)</f>
        <v/>
      </c>
      <c r="K3054">
        <f>J3054*(1+((Inputs!$B$12*(1+Inputs!$B$13/100))*0.01+Inputs!$B$14*0.0025)/100)*(1+Inputs!$B$15/100)*(1+Inputs!$B$16/100)*(5000/(6000+Inputs!$B$42*(1-(100*(1-(1-(Inputs!$B$19+0)/100)*(1-CHOOSE(ArtifactsInput!$N$40+1,5,6,7,8,9,10)/100)^(ArtifactsInput!$M$40-ArtifactsInput!$M$40)))/100)))*(1+(Inputs!$B$24+((C3078=TRUE)*(F3078-Calc!F26))+B3088)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3075=TRUE)*(F3075-Calc!F23))+((C3079=TRUE)*(F3079-Calc!F27))+(((IF(AND(ArtifactsInput!$M$42,((Inputs!$B$9+((C3071=TRUE)*(F3071-Calc!F19))+B3082+(ArtifactsInput!$M$24-ArtifactsInput!$M$24)*CHOOSE(ArtifactsInput!$N$24+1,10,12,14,16,18,20)+IF(ArtifactsInput!$M$10,CHOOSE(ArtifactsInput!$N$10+1,15,18,21,24,27,30)*(IF(Inputs!$B$38="pvp",MIN(15,15)/15,IF(AND(Inputs!$B$38&lt;&gt;"pvp",Inputs!$B$43&gt;0),MIN(15,Inputs!$B$43)/(Inputs!$B$43),0))),0)))&gt;=100),MIN(100,((Inputs!$B$9+((C3071=TRUE)*(F3071-Calc!F19))+B3082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3071=TRUE)*(F3071-Calc!F19))+B3082+(ArtifactsInput!$M$24-ArtifactsInput!$M$24)*CHOOSE(ArtifactsInput!$N$24+1,10,12,14,16,18,20)+IF(ArtifactsInput!$M$10,CHOOSE(ArtifactsInput!$N$10+1,15,18,21,24,27,30)*(IF(Inputs!$B$38="pvp",MIN(15,15)/15,IF(AND(Inputs!$B$38&lt;&gt;"pvp",Inputs!$B$43&gt;0),MIN(15,Inputs!$B$43)/(Inputs!$B$43),0))),0)))&gt;=100),CHOOSE(ArtifactsInput!$N$42+1,40,48,56,64,72,80),0))))/100)*((1+(((C3069=TRUE)*F3069)+((C3076=TRUE)*(F3076-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3054)</f>
        <v/>
      </c>
      <c r="L3054">
        <f>K3054*(MIN(Inputs!$B$22+((C3074=TRUE)*(F3074-Calc!F22)),(Inputs!$B$23+0+(IF(ArtifactsInput!$M$15,CHOOSE(ArtifactsInput!$N$15+1,25,30,35,40,45,50)/100*(Inputs!$B$11-Inputs!$B$11),0))))/100+(Inputs!$B$23+0+(IF(ArtifactsInput!$M$15,CHOOSE(ArtifactsInput!$N$15+1,25,30,35,40,45,50)/100*(Inputs!$B$11-Inputs!$B$11),0)))/100)/2</f>
        <v/>
      </c>
      <c r="M3054">
        <f>L3054*(1+(Inputs!$B$10+((C3077=TRUE)*(F3077-Calc!F25))+B3087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4">
        <f>L3054*(1-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3054*(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4">
        <f>(1-Summary!$B$11)*T3054+Summary!$B$11*V3054</f>
        <v/>
      </c>
      <c r="P3054">
        <f>IF(B3092=0,0,O3054/B3092)</f>
        <v/>
      </c>
      <c r="Q3054" t="n">
        <v>0</v>
      </c>
      <c r="R3054" t="n">
        <v>0</v>
      </c>
      <c r="S3054">
        <f>IFERROR(O3054/N3054,0)</f>
        <v/>
      </c>
      <c r="T3054">
        <f>IF(C3054,(Skills!G2*N3054*B3086)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3054*(1-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3054*(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3054*(1-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3054*(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54">
        <f>MAX(0,(Inputs!$B$3-100)*3)+Inputs!$B$28+Inputs!$B$29</f>
        <v/>
      </c>
      <c r="V3054">
        <f>IF(C3054,(Skills!G2*N3054*B3086)*IF(Inputs!$B$38="pvp",1,(1+(Inputs!$B$21+Skills!Q2+(IF(ArtifactsInput!$M$33,CHOOSE(ArtifactsInput!$N$33+1,30,36,42,48,54,60),0))+(IF(AND(ArtifactsInput!$M$35,Inputs!$B$4&lt;&gt;"Chapter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5">
      <c r="A3055">
        <f>Skills!A3</f>
        <v/>
      </c>
      <c r="B3055">
        <f>Skills!B3</f>
        <v/>
      </c>
      <c r="C3055">
        <f>Inputs!$B$3&gt;=35</f>
        <v/>
      </c>
      <c r="D3055">
        <f>IF(Skills!C3=1,60+Inputs!$B$25+Inputs!$B$29,IF(Skills!C3=2,90+Inputs!$B$26+Inputs!$B$29,IF(Skills!C3=3,120+Inputs!$B$27+Inputs!$B$29,MAX(0,(Inputs!$B$3-100)*3)+Inputs!$B$28+Inputs!$B$29)))</f>
        <v/>
      </c>
      <c r="E3055">
        <f>INDEX(FactorTable!$B$2:$Y$301, MATCH(ROUND(MIN(300,MAX(1,D3055)),0), FactorTable!$A$2:$A$301,0), Skills!M3+1)</f>
        <v/>
      </c>
      <c r="F3055">
        <f>IF(Skills!N3=TRUE,(Skills!L3/10)*(E3055/1000),Skills!L3/10)+Skills!O3</f>
        <v/>
      </c>
      <c r="G3055">
        <f>Skills!G3*IF(Skills!H3&gt;0,Skills!I3/Skills!H3,1)</f>
        <v/>
      </c>
      <c r="H3055">
        <f>1-(1-Skills!J3/100)^Skills!K3</f>
        <v/>
      </c>
      <c r="I3055" t="inlineStr">
        <is>
          <t>1</t>
        </is>
      </c>
      <c r="J3055">
        <f>((Inputs!$B$6*(1+Inputs!$B$7/100))+(((Inputs!$B$12*(1+Inputs!$B$13/100))-(Inputs!$B$12*(1+Inputs!$B$13/100)))+0.25*(Inputs!$B$14-Inputs!$B$14))*(1+Inputs!$B$7/100))*(F3055/100)</f>
        <v/>
      </c>
      <c r="K3055">
        <f>J3055*(1+((Inputs!$B$12*(1+Inputs!$B$13/100))*0.01+Inputs!$B$14*0.0025)/100)*(1+Inputs!$B$15/100)*(1+Inputs!$B$16/100)*(5000/(6000+Inputs!$B$42*(1-(100*(1-(1-(Inputs!$B$19+0)/100)*(1-CHOOSE(ArtifactsInput!$N$40+1,5,6,7,8,9,10)/100)^(ArtifactsInput!$M$40-ArtifactsInput!$M$40)))/100)))*(1+(Inputs!$B$24+((C3078=TRUE)*(F3078-Calc!F26))+B3088)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3067=TRUE,F3067,0)/100)*(1+(IF(Skills!A3="EIGHT_LEGS_EASTON",Inputs!$B$17+((C3075=TRUE)*(F3075-Calc!F23))+((C3079=TRUE)*(F3079-Calc!F27))+(((IF(AND(ArtifactsInput!$M$42,((Inputs!$B$9+((C3071=TRUE)*(F3071-Calc!F19))+B3082+(ArtifactsInput!$M$24-ArtifactsInput!$M$24)*CHOOSE(ArtifactsInput!$N$24+1,10,12,14,16,18,20)+IF(ArtifactsInput!$M$10,CHOOSE(ArtifactsInput!$N$10+1,15,18,21,24,27,30)*(IF(Inputs!$B$38="pvp",MIN(15,15)/15,IF(AND(Inputs!$B$38&lt;&gt;"pvp",Inputs!$B$43&gt;0),MIN(15,Inputs!$B$43)/(Inputs!$B$43),0))),0)))&gt;=100),MIN(100,((Inputs!$B$9+((C3071=TRUE)*(F3071-Calc!F19))+B3082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3071=TRUE)*(F3071-Calc!F19))+B3082+(ArtifactsInput!$M$24-ArtifactsInput!$M$24)*CHOOSE(ArtifactsInput!$N$24+1,10,12,14,16,18,20)+IF(ArtifactsInput!$M$10,CHOOSE(ArtifactsInput!$N$10+1,15,18,21,24,27,30)*(IF(Inputs!$B$38="pvp",MIN(15,15)/15,IF(AND(Inputs!$B$38&lt;&gt;"pvp",Inputs!$B$43&gt;0),MIN(15,Inputs!$B$43)/(Inputs!$B$43),0))),0)))&gt;=100),CHOOSE(ArtifactsInput!$N$42+1,40,48,56,64,72,80),0))))/100)*((1+(((C3069=TRUE)*F3069)+((C3076=TRUE)*(F3076-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3055)</f>
        <v/>
      </c>
      <c r="L3055">
        <f>K3055*(MIN(Inputs!$B$22+((C3074=TRUE)*(F3074-Calc!F22)),(Inputs!$B$23+0+(IF(ArtifactsInput!$M$15,CHOOSE(ArtifactsInput!$N$15+1,25,30,35,40,45,50)/100*(Inputs!$B$11-Inputs!$B$11),0))))/100+(Inputs!$B$23+0+(IF(ArtifactsInput!$M$15,CHOOSE(ArtifactsInput!$N$15+1,25,30,35,40,45,50)/100*(Inputs!$B$11-Inputs!$B$11),0)))/100)/2</f>
        <v/>
      </c>
      <c r="M3055">
        <f>L3055*(1+(Inputs!$B$10+((C3077=TRUE)*(F3077-Calc!F25))+B3087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5">
        <f>L3055*(1-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3055*(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5">
        <f>(1-Summary!$B$11)*T3055+Summary!$B$11*V3055</f>
        <v/>
      </c>
      <c r="P3055">
        <f>IF(B3092=0,0,O3055/B3092)</f>
        <v/>
      </c>
      <c r="Q3055">
        <f>IFERROR(1/(IF(Inputs!$B$38="pvp",15,MAX(0.1,Skills!D3-IF(Skills!E3=TRUE,4.0,0)))*(1-IF(AND(ArtifactsInput!$M$27,Inputs!$B$4="Chapter Hunt"),CHOOSE(ArtifactsInput!$N$27+1,20,24,28,32,36,40),0)/100)),0)</f>
        <v/>
      </c>
      <c r="R3055">
        <f>IF(AND(Inputs!$B$38&lt;&gt;"pvp",Inputs!$B$43&gt;0),IF(MAX(0,Inputs!$B$43-B3089)&lt;=0,0,(INT(MAX(0,Inputs!$B$43-B3089)/(IF(Inputs!$B$38="pvp",15,MAX(0.1,Skills!D3-IF(Skills!E3=TRUE,4.0,0)))*(1-IF(AND(ArtifactsInput!$M$27,Inputs!$B$4="Chapter Hunt"),CHOOSE(ArtifactsInput!$N$27+1,20,24,28,32,36,40),0)/100)))+1)),0)</f>
        <v/>
      </c>
      <c r="S3055">
        <f>IFERROR(O3055/N3055,0)</f>
        <v/>
      </c>
      <c r="T3055">
        <f>IF(C3055,(H3055*N3055*IF(AND(Inputs!$B$38&lt;&gt;"pvp",Inputs!$B$43&gt;0),((Skills!G3*((R3055-1)*IF(Skills!H3&gt;0,Skills!I3/Skills!H3,1)+IF(Skills!H3&gt;0,MIN(Skills!I3,MAX(0,MAX(0,Inputs!$B$43-B3089)-((R3055-1)*(IF(Inputs!$B$38="pvp",15,MAX(0.1,Skills!D3-IF(Skills!E3=TRUE,4.0,0)))*(1-IF(AND(ArtifactsInput!$M$27,Inputs!$B$4="Chapter Hunt"),CHOOSE(ArtifactsInput!$N$27+1,20,24,28,32,36,40),0)/100)))))/Skills!H3,1)))/Inputs!$B$43),G3055*Q3055)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3055*(1-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3055*(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3055*(1-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3055*(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55">
        <f>INDEX(FactorTable!$B$2:$Y$301, MATCH(ROUND(MIN(300,MAX(1,U3054)),0), FactorTable!$A$2:$A$301,0), 22)</f>
        <v/>
      </c>
      <c r="V3055">
        <f>IF(C3055,(H3055*N3055*IF(AND(Inputs!$B$38&lt;&gt;"pvp",Inputs!$B$43&gt;0),((Skills!G3*((R3055-1)*IF(Skills!H3&gt;0,Skills!I3/Skills!H3,1)+IF(Skills!H3&gt;0,MIN(Skills!I3,MAX(0,MAX(0,Inputs!$B$43-B3089)-((R3055-1)*(IF(Inputs!$B$38="pvp",15,MAX(0.1,Skills!D3-IF(Skills!E3=TRUE,4.0,0)))*(1-IF(AND(ArtifactsInput!$M$27,Inputs!$B$4="Chapter Hunt"),CHOOSE(ArtifactsInput!$N$27+1,20,24,28,32,36,40),0)/100)))))/Skills!H3,1)))/Inputs!$B$43),G3055*Q3055))*IF(Inputs!$B$38="pvp",1,(1+(Inputs!$B$21+Skills!Q3+(IF(ArtifactsInput!$M$33,CHOOSE(ArtifactsInput!$N$33+1,30,36,42,48,54,60)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6">
      <c r="A3056">
        <f>Skills!A4</f>
        <v/>
      </c>
      <c r="B3056">
        <f>Skills!B4</f>
        <v/>
      </c>
      <c r="C3056">
        <f>Inputs!$B$3&gt;=40</f>
        <v/>
      </c>
      <c r="D3056">
        <f>IF(Skills!C4=1,60+Inputs!$B$25+Inputs!$B$29,IF(Skills!C4=2,90+Inputs!$B$26+Inputs!$B$29,IF(Skills!C4=3,120+Inputs!$B$27+Inputs!$B$29,MAX(0,(Inputs!$B$3-100)*3)+Inputs!$B$28+Inputs!$B$29)))</f>
        <v/>
      </c>
      <c r="E3056">
        <f>INDEX(FactorTable!$B$2:$Y$301, MATCH(ROUND(MIN(300,MAX(1,D3056)),0), FactorTable!$A$2:$A$301,0), Skills!M4+1)</f>
        <v/>
      </c>
      <c r="F3056">
        <f>IF(Skills!N4=TRUE,(Skills!L4/10)*(E3056/1000),Skills!L4/10)+Skills!O4</f>
        <v/>
      </c>
      <c r="G3056">
        <f>Skills!G4*IF(Skills!H4&gt;0,Skills!I4/Skills!H4,1)</f>
        <v/>
      </c>
      <c r="H3056">
        <f>1-(1-Skills!J4/100)^Skills!K4</f>
        <v/>
      </c>
      <c r="I3056" t="inlineStr">
        <is>
          <t>1</t>
        </is>
      </c>
      <c r="J3056">
        <f>((Inputs!$B$6*(1+Inputs!$B$7/100))+(((Inputs!$B$12*(1+Inputs!$B$13/100))-(Inputs!$B$12*(1+Inputs!$B$13/100)))+0.25*(Inputs!$B$14-Inputs!$B$14))*(1+Inputs!$B$7/100))*(F3056/100)</f>
        <v/>
      </c>
      <c r="K3056">
        <f>J3056*(1+((Inputs!$B$12*(1+Inputs!$B$13/100))*0.01+Inputs!$B$14*0.0025)/100)*(1+Inputs!$B$15/100)*(1+Inputs!$B$16/100)*(5000/(6000+Inputs!$B$42*(1-(100*(1-(1-(Inputs!$B$19+0)/100)*(1-CHOOSE(ArtifactsInput!$N$40+1,5,6,7,8,9,10)/100)^(ArtifactsInput!$M$40-ArtifactsInput!$M$40)))/100)))*(1+(Inputs!$B$24+((C3078=TRUE)*(F3078-Calc!F26))+B3088)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3068=TRUE,F3068,0)/100)*(1+(IF(Skills!A4="EIGHT_LEGS_EASTON",Inputs!$B$17+((C3075=TRUE)*(F3075-Calc!F23))+((C3079=TRUE)*(F3079-Calc!F27))+(((IF(AND(ArtifactsInput!$M$42,((Inputs!$B$9+((C3071=TRUE)*(F3071-Calc!F19))+B3082+(ArtifactsInput!$M$24-ArtifactsInput!$M$24)*CHOOSE(ArtifactsInput!$N$24+1,10,12,14,16,18,20)+IF(ArtifactsInput!$M$10,CHOOSE(ArtifactsInput!$N$10+1,15,18,21,24,27,30)*(IF(Inputs!$B$38="pvp",MIN(15,15)/15,IF(AND(Inputs!$B$38&lt;&gt;"pvp",Inputs!$B$43&gt;0),MIN(15,Inputs!$B$43)/(Inputs!$B$43),0))),0)))&gt;=100),MIN(100,((Inputs!$B$9+((C3071=TRUE)*(F3071-Calc!F19))+B3082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3071=TRUE)*(F3071-Calc!F19))+B3082+(ArtifactsInput!$M$24-ArtifactsInput!$M$24)*CHOOSE(ArtifactsInput!$N$24+1,10,12,14,16,18,20)+IF(ArtifactsInput!$M$10,CHOOSE(ArtifactsInput!$N$10+1,15,18,21,24,27,30)*(IF(Inputs!$B$38="pvp",MIN(15,15)/15,IF(AND(Inputs!$B$38&lt;&gt;"pvp",Inputs!$B$43&gt;0),MIN(15,Inputs!$B$43)/(Inputs!$B$43),0))),0)))&gt;=100),CHOOSE(ArtifactsInput!$N$42+1,40,48,56,64,72,80),0))))/100)*((1+(((C3069=TRUE)*F3069)+((C3076=TRUE)*(F3076-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3056)</f>
        <v/>
      </c>
      <c r="L3056">
        <f>K3056*(MIN(Inputs!$B$22+((C3074=TRUE)*(F3074-Calc!F22)),(Inputs!$B$23+0+(IF(ArtifactsInput!$M$15,CHOOSE(ArtifactsInput!$N$15+1,25,30,35,40,45,50)/100*(Inputs!$B$11-Inputs!$B$11),0))))/100+(Inputs!$B$23+0+(IF(ArtifactsInput!$M$15,CHOOSE(ArtifactsInput!$N$15+1,25,30,35,40,45,50)/100*(Inputs!$B$11-Inputs!$B$11),0)))/100)/2</f>
        <v/>
      </c>
      <c r="M3056">
        <f>L3056*(1+(Inputs!$B$10+((C3077=TRUE)*(F3077-Calc!F25))+B3087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6">
        <f>L3056*(1-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3056*(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6">
        <f>(1-Summary!$B$11)*T3056+Summary!$B$11*V3056</f>
        <v/>
      </c>
      <c r="P3056">
        <f>IF(B3092=0,0,O3056/B3092)</f>
        <v/>
      </c>
      <c r="Q3056">
        <f>IFERROR(1/(IF(Inputs!$B$38="pvp",15,MAX(0.1,Skills!D4-IF(Skills!E4=TRUE,4.0,0)))*(1-IF(AND(ArtifactsInput!$M$27,Inputs!$B$4="Chapter Hunt"),CHOOSE(ArtifactsInput!$N$27+1,20,24,28,32,36,40),0)/100)),0)</f>
        <v/>
      </c>
      <c r="R3056">
        <f>IF(AND(Inputs!$B$38&lt;&gt;"pvp",Inputs!$B$43&gt;0),IF(MAX(0,Inputs!$B$43-B3089)&lt;=0,0,(INT(MAX(0,Inputs!$B$43-B3089)/(IF(Inputs!$B$38="pvp",15,MAX(0.1,Skills!D4-IF(Skills!E4=TRUE,4.0,0)))*(1-IF(AND(ArtifactsInput!$M$27,Inputs!$B$4="Chapter Hunt"),CHOOSE(ArtifactsInput!$N$27+1,20,24,28,32,36,40),0)/100)))+1)),0)</f>
        <v/>
      </c>
      <c r="S3056">
        <f>IFERROR(O3056/N3056,0)</f>
        <v/>
      </c>
      <c r="T3056">
        <f>IF(C3056,(H3056*N3056*IF(AND(Inputs!$B$38&lt;&gt;"pvp",Inputs!$B$43&gt;0),((Skills!G4*((R3056-1)*IF(Skills!H4&gt;0,Skills!I4/Skills!H4,1)+IF(Skills!H4&gt;0,MIN(Skills!I4,MAX(0,MAX(0,Inputs!$B$43-B3089)-((R3056-1)*(IF(Inputs!$B$38="pvp",15,MAX(0.1,Skills!D4-IF(Skills!E4=TRUE,4.0,0)))*(1-IF(AND(ArtifactsInput!$M$27,Inputs!$B$4="Chapter Hunt"),CHOOSE(ArtifactsInput!$N$27+1,20,24,28,32,36,40),0)/100)))))/Skills!H4,1)))/Inputs!$B$43),G3056*Q3056)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3056*(1-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3056*(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3056*(1-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3056*(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56">
        <f>290*U3055/1000</f>
        <v/>
      </c>
      <c r="V3056">
        <f>IF(C3056,(H3056*N3056*IF(AND(Inputs!$B$38&lt;&gt;"pvp",Inputs!$B$43&gt;0),((Skills!G4*((R3056-1)*IF(Skills!H4&gt;0,Skills!I4/Skills!H4,1)+IF(Skills!H4&gt;0,MIN(Skills!I4,MAX(0,MAX(0,Inputs!$B$43-B3089)-((R3056-1)*(IF(Inputs!$B$38="pvp",15,MAX(0.1,Skills!D4-IF(Skills!E4=TRUE,4.0,0)))*(1-IF(AND(ArtifactsInput!$M$27,Inputs!$B$4="Chapter Hunt"),CHOOSE(ArtifactsInput!$N$27+1,20,24,28,32,36,40),0)/100)))))/Skills!H4,1)))/Inputs!$B$43),G3056*Q3056))*IF(Inputs!$B$38="pvp",1,(1+(Inputs!$B$21+Skills!Q4+(IF(ArtifactsInput!$M$33,CHOOSE(ArtifactsInput!$N$33+1,30,36,42,48,54,60)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7">
      <c r="A3057">
        <f>Skills!A5</f>
        <v/>
      </c>
      <c r="B3057">
        <f>Skills!B5</f>
        <v/>
      </c>
      <c r="C3057">
        <f>Inputs!$B$3&gt;=45</f>
        <v/>
      </c>
      <c r="D3057">
        <f>IF(Skills!C5=1,60+Inputs!$B$25+Inputs!$B$29,IF(Skills!C5=2,90+Inputs!$B$26+Inputs!$B$29,IF(Skills!C5=3,120+Inputs!$B$27+Inputs!$B$29,MAX(0,(Inputs!$B$3-100)*3)+Inputs!$B$28+Inputs!$B$29)))</f>
        <v/>
      </c>
      <c r="E3057">
        <f>INDEX(FactorTable!$B$2:$Y$301, MATCH(ROUND(MIN(300,MAX(1,D3057)),0), FactorTable!$A$2:$A$301,0), Skills!M5+1)</f>
        <v/>
      </c>
      <c r="F3057">
        <f>IF(Skills!N5=TRUE,(Skills!L5/10)*(E3057/1000),Skills!L5/10)+Skills!O5</f>
        <v/>
      </c>
      <c r="G3057">
        <f>Skills!G5*IF(Skills!H5&gt;0,Skills!I5/Skills!H5,1)</f>
        <v/>
      </c>
      <c r="H3057">
        <f>1-(1-Skills!J5/100)^Skills!K5</f>
        <v/>
      </c>
      <c r="I3057" t="inlineStr">
        <is>
          <t>1</t>
        </is>
      </c>
      <c r="J3057">
        <f>((Inputs!$B$6*(1+Inputs!$B$7/100))+(((Inputs!$B$12*(1+Inputs!$B$13/100))-(Inputs!$B$12*(1+Inputs!$B$13/100)))+0.25*(Inputs!$B$14-Inputs!$B$14))*(1+Inputs!$B$7/100))*(F3057/100)</f>
        <v/>
      </c>
      <c r="K3057">
        <f>J3057*(1+((Inputs!$B$12*(1+Inputs!$B$13/100))*0.01+Inputs!$B$14*0.0025)/100)*(1+Inputs!$B$15/100)*(1+Inputs!$B$16/100)*(5000/(6000+Inputs!$B$42*(1-(100*(1-(1-(Inputs!$B$19+0)/100)*(1-CHOOSE(ArtifactsInput!$N$40+1,5,6,7,8,9,10)/100)^(ArtifactsInput!$M$40-ArtifactsInput!$M$40)))/100)))*(1+(Inputs!$B$24+((C3078=TRUE)*(F3078-Calc!F26))+B3088)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3068=TRUE,F3068,0)/100)*(1+(IF(Skills!A5="EIGHT_LEGS_EASTON",Inputs!$B$17+((C3075=TRUE)*(F3075-Calc!F23))+((C3079=TRUE)*(F3079-Calc!F27))+(((IF(AND(ArtifactsInput!$M$42,((Inputs!$B$9+((C3071=TRUE)*(F3071-Calc!F19))+B3082+(ArtifactsInput!$M$24-ArtifactsInput!$M$24)*CHOOSE(ArtifactsInput!$N$24+1,10,12,14,16,18,20)+IF(ArtifactsInput!$M$10,CHOOSE(ArtifactsInput!$N$10+1,15,18,21,24,27,30)*(IF(Inputs!$B$38="pvp",MIN(15,15)/15,IF(AND(Inputs!$B$38&lt;&gt;"pvp",Inputs!$B$43&gt;0),MIN(15,Inputs!$B$43)/(Inputs!$B$43),0))),0)))&gt;=100),MIN(100,((Inputs!$B$9+((C3071=TRUE)*(F3071-Calc!F19))+B3082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3071=TRUE)*(F3071-Calc!F19))+B3082+(ArtifactsInput!$M$24-ArtifactsInput!$M$24)*CHOOSE(ArtifactsInput!$N$24+1,10,12,14,16,18,20)+IF(ArtifactsInput!$M$10,CHOOSE(ArtifactsInput!$N$10+1,15,18,21,24,27,30)*(IF(Inputs!$B$38="pvp",MIN(15,15)/15,IF(AND(Inputs!$B$38&lt;&gt;"pvp",Inputs!$B$43&gt;0),MIN(15,Inputs!$B$43)/(Inputs!$B$43),0))),0)))&gt;=100),CHOOSE(ArtifactsInput!$N$42+1,40,48,56,64,72,80),0))))/100)*((1+(((C3069=TRUE)*F3069)+((C3076=TRUE)*(F3076-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3057)</f>
        <v/>
      </c>
      <c r="L3057">
        <f>K3057*(MIN(Inputs!$B$22+((C3074=TRUE)*(F3074-Calc!F22)),(Inputs!$B$23+0+(IF(ArtifactsInput!$M$15,CHOOSE(ArtifactsInput!$N$15+1,25,30,35,40,45,50)/100*(Inputs!$B$11-Inputs!$B$11),0))))/100+(Inputs!$B$23+0+(IF(ArtifactsInput!$M$15,CHOOSE(ArtifactsInput!$N$15+1,25,30,35,40,45,50)/100*(Inputs!$B$11-Inputs!$B$11),0)))/100)/2</f>
        <v/>
      </c>
      <c r="M3057">
        <f>L3057*(1+(Inputs!$B$10+((C3077=TRUE)*(F3077-Calc!F25))+B3087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7">
        <f>L3057*(1-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3057*(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7">
        <f>(1-Summary!$B$11)*T3057+Summary!$B$11*V3057</f>
        <v/>
      </c>
      <c r="P3057">
        <f>IF(B3092=0,0,O3057/B3092)</f>
        <v/>
      </c>
      <c r="Q3057">
        <f>IFERROR(1/(IF(Inputs!$B$38="pvp",15,MAX(0.1,Skills!D5-IF(Skills!E5=TRUE,4.0,0)))*(1-IF(AND(ArtifactsInput!$M$27,Inputs!$B$4="Chapter Hunt"),CHOOSE(ArtifactsInput!$N$27+1,20,24,28,32,36,40),0)/100)),0)</f>
        <v/>
      </c>
      <c r="R3057">
        <f>IF(AND(Inputs!$B$38&lt;&gt;"pvp",Inputs!$B$43&gt;0),IF(MAX(0,Inputs!$B$43-B3089)&lt;=0,0,(INT(MAX(0,Inputs!$B$43-B3089)/(IF(Inputs!$B$38="pvp",15,MAX(0.1,Skills!D5-IF(Skills!E5=TRUE,4.0,0)))*(1-IF(AND(ArtifactsInput!$M$27,Inputs!$B$4="Chapter Hunt"),CHOOSE(ArtifactsInput!$N$27+1,20,24,28,32,36,40),0)/100)))+1)),0)</f>
        <v/>
      </c>
      <c r="S3057">
        <f>IFERROR(O3057/N3057,0)</f>
        <v/>
      </c>
      <c r="T3057">
        <f>IF(C3057,(H3057*N3057*IF(AND(Inputs!$B$38&lt;&gt;"pvp",Inputs!$B$43&gt;0),((Skills!G5*((R3057-1)*IF(Skills!H5&gt;0,Skills!I5/Skills!H5,1)+IF(Skills!H5&gt;0,MIN(Skills!I5,MAX(0,MAX(0,Inputs!$B$43-B3089)-((R3057-1)*(IF(Inputs!$B$38="pvp",15,MAX(0.1,Skills!D5-IF(Skills!E5=TRUE,4.0,0)))*(1-IF(AND(ArtifactsInput!$M$27,Inputs!$B$4="Chapter Hunt"),CHOOSE(ArtifactsInput!$N$27+1,20,24,28,32,36,40),0)/100)))))/Skills!H5,1)))/Inputs!$B$43),G3057*Q3057)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3057*(1-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3057*(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3057*(1-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3057*(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7">
        <f>IF(C3057,(H3057*N3057*IF(AND(Inputs!$B$38&lt;&gt;"pvp",Inputs!$B$43&gt;0),((Skills!G5*((R3057-1)*IF(Skills!H5&gt;0,Skills!I5/Skills!H5,1)+IF(Skills!H5&gt;0,MIN(Skills!I5,MAX(0,MAX(0,Inputs!$B$43-B3089)-((R3057-1)*(IF(Inputs!$B$38="pvp",15,MAX(0.1,Skills!D5-IF(Skills!E5=TRUE,4.0,0)))*(1-IF(AND(ArtifactsInput!$M$27,Inputs!$B$4="Chapter Hunt"),CHOOSE(ArtifactsInput!$N$27+1,20,24,28,32,36,40),0)/100)))))/Skills!H5,1)))/Inputs!$B$43),G3057*Q3057))*IF(Inputs!$B$38="pvp",1,(1+(Inputs!$B$21+Skills!Q5+(IF(ArtifactsInput!$M$33,CHOOSE(ArtifactsInput!$N$33+1,30,36,42,48,54,60)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8">
      <c r="A3058">
        <f>Skills!A6</f>
        <v/>
      </c>
      <c r="B3058">
        <f>Skills!B6</f>
        <v/>
      </c>
      <c r="C3058">
        <f>Inputs!$B$3&gt;=63</f>
        <v/>
      </c>
      <c r="D3058">
        <f>IF(Skills!C6=1,60+Inputs!$B$25+Inputs!$B$29,IF(Skills!C6=2,90+Inputs!$B$26+Inputs!$B$29,IF(Skills!C6=3,120+Inputs!$B$27+Inputs!$B$29,MAX(0,(Inputs!$B$3-100)*3)+Inputs!$B$28+Inputs!$B$29)))</f>
        <v/>
      </c>
      <c r="E3058">
        <f>INDEX(FactorTable!$B$2:$Y$301, MATCH(ROUND(MIN(300,MAX(1,D3058)),0), FactorTable!$A$2:$A$301,0), Skills!M6+1)</f>
        <v/>
      </c>
      <c r="F3058">
        <f>IF(Skills!N6=TRUE,(Skills!L6/10)*(E3058/1000),Skills!L6/10)+Skills!O6</f>
        <v/>
      </c>
      <c r="G3058">
        <f>Skills!G6*IF(Skills!H6&gt;0,Skills!I6/Skills!H6,1)</f>
        <v/>
      </c>
      <c r="H3058">
        <f>1-(1-Skills!J6/100)^Skills!K6</f>
        <v/>
      </c>
      <c r="I3058" t="inlineStr">
        <is>
          <t>1</t>
        </is>
      </c>
      <c r="J3058">
        <f>((Inputs!$B$6*(1+Inputs!$B$7/100))+(((Inputs!$B$12*(1+Inputs!$B$13/100))-(Inputs!$B$12*(1+Inputs!$B$13/100)))+0.25*(Inputs!$B$14-Inputs!$B$14))*(1+Inputs!$B$7/100))*(F3058/100)</f>
        <v/>
      </c>
      <c r="K3058">
        <f>J3058*(1+((Inputs!$B$12*(1+Inputs!$B$13/100))*0.01+Inputs!$B$14*0.0025)/100)*(1+Inputs!$B$15/100)*(1+Inputs!$B$16/100)*(5000/(6000+Inputs!$B$42*(1-(100*(1-(1-(Inputs!$B$19+0)/100)*(1-CHOOSE(ArtifactsInput!$N$40+1,5,6,7,8,9,10)/100)^(ArtifactsInput!$M$40-ArtifactsInput!$M$40)))/100)))*(1+(Inputs!$B$24+((C3078=TRUE)*(F3078-Calc!F26))+B3088)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3067=TRUE,F3067,0)/100)*(1+(IF(Skills!A6="EIGHT_LEGS_EASTON",Inputs!$B$17+((C3075=TRUE)*(F3075-Calc!F23))+((C3079=TRUE)*(F3079-Calc!F27))+(((IF(AND(ArtifactsInput!$M$42,((Inputs!$B$9+((C3071=TRUE)*(F3071-Calc!F19))+B3082+(ArtifactsInput!$M$24-ArtifactsInput!$M$24)*CHOOSE(ArtifactsInput!$N$24+1,10,12,14,16,18,20)+IF(ArtifactsInput!$M$10,CHOOSE(ArtifactsInput!$N$10+1,15,18,21,24,27,30)*(IF(Inputs!$B$38="pvp",MIN(15,15)/15,IF(AND(Inputs!$B$38&lt;&gt;"pvp",Inputs!$B$43&gt;0),MIN(15,Inputs!$B$43)/(Inputs!$B$43),0))),0)))&gt;=100),MIN(100,((Inputs!$B$9+((C3071=TRUE)*(F3071-Calc!F19))+B3082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3071=TRUE)*(F3071-Calc!F19))+B3082+(ArtifactsInput!$M$24-ArtifactsInput!$M$24)*CHOOSE(ArtifactsInput!$N$24+1,10,12,14,16,18,20)+IF(ArtifactsInput!$M$10,CHOOSE(ArtifactsInput!$N$10+1,15,18,21,24,27,30)*(IF(Inputs!$B$38="pvp",MIN(15,15)/15,IF(AND(Inputs!$B$38&lt;&gt;"pvp",Inputs!$B$43&gt;0),MIN(15,Inputs!$B$43)/(Inputs!$B$43),0))),0)))&gt;=100),CHOOSE(ArtifactsInput!$N$42+1,40,48,56,64,72,80),0))))/100)*((1+(((C3069=TRUE)*F3069)+((C3076=TRUE)*(F3076-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3058)</f>
        <v/>
      </c>
      <c r="L3058">
        <f>K3058*(MIN(Inputs!$B$22+((C3074=TRUE)*(F3074-Calc!F22)),(Inputs!$B$23+0+(IF(ArtifactsInput!$M$15,CHOOSE(ArtifactsInput!$N$15+1,25,30,35,40,45,50)/100*(Inputs!$B$11-Inputs!$B$11),0))))/100+(Inputs!$B$23+0+(IF(ArtifactsInput!$M$15,CHOOSE(ArtifactsInput!$N$15+1,25,30,35,40,45,50)/100*(Inputs!$B$11-Inputs!$B$11),0)))/100)/2</f>
        <v/>
      </c>
      <c r="M3058">
        <f>L3058*(1+(Inputs!$B$10+((C3077=TRUE)*(F3077-Calc!F25))+B3087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8">
        <f>L3058*(1-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3058*(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8">
        <f>(1-Summary!$B$11)*T3058+Summary!$B$11*V3058</f>
        <v/>
      </c>
      <c r="P3058">
        <f>IF(B3092=0,0,O3058/B3092)</f>
        <v/>
      </c>
      <c r="Q3058">
        <f>IFERROR(1/(IF(Inputs!$B$38="pvp",15,MAX(0.1,Skills!D6-IF(Skills!E6=TRUE,4.0,0)))*(1-IF(AND(ArtifactsInput!$M$27,Inputs!$B$4="Chapter Hunt"),CHOOSE(ArtifactsInput!$N$27+1,20,24,28,32,36,40),0)/100)),0)</f>
        <v/>
      </c>
      <c r="R3058">
        <f>IF(AND(Inputs!$B$38&lt;&gt;"pvp",Inputs!$B$43&gt;0),IF(MAX(0,Inputs!$B$43-B3089)&lt;=0,0,(INT(MAX(0,Inputs!$B$43-B3089)/(IF(Inputs!$B$38="pvp",15,MAX(0.1,Skills!D6-IF(Skills!E6=TRUE,4.0,0)))*(1-IF(AND(ArtifactsInput!$M$27,Inputs!$B$4="Chapter Hunt"),CHOOSE(ArtifactsInput!$N$27+1,20,24,28,32,36,40),0)/100)))+1)),0)</f>
        <v/>
      </c>
      <c r="S3058">
        <f>IFERROR(O3058/N3058,0)</f>
        <v/>
      </c>
      <c r="T3058">
        <f>IF(C3058,(H3058*N3058*IF(AND(Inputs!$B$38&lt;&gt;"pvp",Inputs!$B$43&gt;0),((Skills!G6*((R3058-1)*IF(Skills!H6&gt;0,Skills!I6/Skills!H6,1)+IF(Skills!H6&gt;0,MIN(Skills!I6,MAX(0,MAX(0,Inputs!$B$43-B3089)-((R3058-1)*(IF(Inputs!$B$38="pvp",15,MAX(0.1,Skills!D6-IF(Skills!E6=TRUE,4.0,0)))*(1-IF(AND(ArtifactsInput!$M$27,Inputs!$B$4="Chapter Hunt"),CHOOSE(ArtifactsInput!$N$27+1,20,24,28,32,36,40),0)/100)))))/Skills!H6,1)))/Inputs!$B$43),G3058*Q3058)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3058*(1-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3058*(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3058*(1-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3058*(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8">
        <f>IF(C3058,(H3058*N3058*IF(AND(Inputs!$B$38&lt;&gt;"pvp",Inputs!$B$43&gt;0),((Skills!G6*((R3058-1)*IF(Skills!H6&gt;0,Skills!I6/Skills!H6,1)+IF(Skills!H6&gt;0,MIN(Skills!I6,MAX(0,MAX(0,Inputs!$B$43-B3089)-((R3058-1)*(IF(Inputs!$B$38="pvp",15,MAX(0.1,Skills!D6-IF(Skills!E6=TRUE,4.0,0)))*(1-IF(AND(ArtifactsInput!$M$27,Inputs!$B$4="Chapter Hunt"),CHOOSE(ArtifactsInput!$N$27+1,20,24,28,32,36,40),0)/100)))))/Skills!H6,1)))/Inputs!$B$43),G3058*Q3058))*IF(Inputs!$B$38="pvp",1,(1+(Inputs!$B$21+Skills!Q6+(IF(ArtifactsInput!$M$33,CHOOSE(ArtifactsInput!$N$33+1,30,36,42,48,54,60)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9">
      <c r="A3059">
        <f>Skills!A7</f>
        <v/>
      </c>
      <c r="B3059">
        <f>Skills!B7</f>
        <v/>
      </c>
      <c r="C3059">
        <f>Inputs!$B$3&gt;=66</f>
        <v/>
      </c>
      <c r="D3059">
        <f>IF(Skills!C7=1,60+Inputs!$B$25+Inputs!$B$29,IF(Skills!C7=2,90+Inputs!$B$26+Inputs!$B$29,IF(Skills!C7=3,120+Inputs!$B$27+Inputs!$B$29,MAX(0,(Inputs!$B$3-100)*3)+Inputs!$B$28+Inputs!$B$29)))</f>
        <v/>
      </c>
      <c r="E3059">
        <f>INDEX(FactorTable!$B$2:$Y$301, MATCH(ROUND(MIN(300,MAX(1,D3059)),0), FactorTable!$A$2:$A$301,0), Skills!M7+1)</f>
        <v/>
      </c>
      <c r="F3059">
        <f>IF(Skills!N7=TRUE,(Skills!L7/10)*(E3059/1000),Skills!L7/10)+Skills!O7</f>
        <v/>
      </c>
      <c r="G3059">
        <f>Skills!G7*IF(Skills!H7&gt;0,Skills!I7/Skills!H7,1)</f>
        <v/>
      </c>
      <c r="H3059">
        <f>1-(1-Skills!J7/100)^Skills!K7</f>
        <v/>
      </c>
      <c r="I3059" t="inlineStr">
        <is>
          <t>1</t>
        </is>
      </c>
      <c r="J3059">
        <f>((Inputs!$B$6*(1+Inputs!$B$7/100))+(((Inputs!$B$12*(1+Inputs!$B$13/100))-(Inputs!$B$12*(1+Inputs!$B$13/100)))+0.25*(Inputs!$B$14-Inputs!$B$14))*(1+Inputs!$B$7/100))*(F3059/100)</f>
        <v/>
      </c>
      <c r="K3059">
        <f>J3059*(1+((Inputs!$B$12*(1+Inputs!$B$13/100))*0.01+Inputs!$B$14*0.0025)/100)*(1+Inputs!$B$15/100)*(1+Inputs!$B$16/100)*(5000/(6000+Inputs!$B$42*(1-(100*(1-(1-(Inputs!$B$19+0)/100)*(1-CHOOSE(ArtifactsInput!$N$40+1,5,6,7,8,9,10)/100)^(ArtifactsInput!$M$40-ArtifactsInput!$M$40)))/100)))*(1+(Inputs!$B$24+((C3078=TRUE)*(F3078-Calc!F26))+B3088)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3067=TRUE,F3067,0)/100)*(1+(IF(Skills!A7="EIGHT_LEGS_EASTON",Inputs!$B$17+((C3075=TRUE)*(F3075-Calc!F23))+((C3079=TRUE)*(F3079-Calc!F27))+(((IF(AND(ArtifactsInput!$M$42,((Inputs!$B$9+((C3071=TRUE)*(F3071-Calc!F19))+B3082+(ArtifactsInput!$M$24-ArtifactsInput!$M$24)*CHOOSE(ArtifactsInput!$N$24+1,10,12,14,16,18,20)+IF(ArtifactsInput!$M$10,CHOOSE(ArtifactsInput!$N$10+1,15,18,21,24,27,30)*(IF(Inputs!$B$38="pvp",MIN(15,15)/15,IF(AND(Inputs!$B$38&lt;&gt;"pvp",Inputs!$B$43&gt;0),MIN(15,Inputs!$B$43)/(Inputs!$B$43),0))),0)))&gt;=100),MIN(100,((Inputs!$B$9+((C3071=TRUE)*(F3071-Calc!F19))+B3082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3071=TRUE)*(F3071-Calc!F19))+B3082+(ArtifactsInput!$M$24-ArtifactsInput!$M$24)*CHOOSE(ArtifactsInput!$N$24+1,10,12,14,16,18,20)+IF(ArtifactsInput!$M$10,CHOOSE(ArtifactsInput!$N$10+1,15,18,21,24,27,30)*(IF(Inputs!$B$38="pvp",MIN(15,15)/15,IF(AND(Inputs!$B$38&lt;&gt;"pvp",Inputs!$B$43&gt;0),MIN(15,Inputs!$B$43)/(Inputs!$B$43),0))),0)))&gt;=100),CHOOSE(ArtifactsInput!$N$42+1,40,48,56,64,72,80),0))))/100)*((1+(((C3069=TRUE)*F3069)+((C3076=TRUE)*(F3076-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3059)</f>
        <v/>
      </c>
      <c r="L3059">
        <f>K3059*(MIN(Inputs!$B$22+((C3074=TRUE)*(F3074-Calc!F22)),(Inputs!$B$23+0+(IF(ArtifactsInput!$M$15,CHOOSE(ArtifactsInput!$N$15+1,25,30,35,40,45,50)/100*(Inputs!$B$11-Inputs!$B$11),0))))/100+(Inputs!$B$23+0+(IF(ArtifactsInput!$M$15,CHOOSE(ArtifactsInput!$N$15+1,25,30,35,40,45,50)/100*(Inputs!$B$11-Inputs!$B$11),0)))/100)/2</f>
        <v/>
      </c>
      <c r="M3059">
        <f>L3059*(1+(Inputs!$B$10+((C3077=TRUE)*(F3077-Calc!F25))+B3087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9">
        <f>L3059*(1-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3059*(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9">
        <f>(1-Summary!$B$11)*T3059+Summary!$B$11*V3059</f>
        <v/>
      </c>
      <c r="P3059">
        <f>IF(B3092=0,0,O3059/B3092)</f>
        <v/>
      </c>
      <c r="Q3059">
        <f>IFERROR(1/(IF(Inputs!$B$38="pvp",15,MAX(0.1,Skills!D7-IF(Skills!E7=TRUE,4.0,0)))*(1-IF(AND(ArtifactsInput!$M$27,Inputs!$B$4="Chapter Hunt"),CHOOSE(ArtifactsInput!$N$27+1,20,24,28,32,36,40),0)/100)),0)</f>
        <v/>
      </c>
      <c r="R3059">
        <f>IF(AND(Inputs!$B$38&lt;&gt;"pvp",Inputs!$B$43&gt;0),IF(MAX(0,Inputs!$B$43-B3089)&lt;=0,0,(INT(MAX(0,Inputs!$B$43-B3089)/(IF(Inputs!$B$38="pvp",15,MAX(0.1,Skills!D7-IF(Skills!E7=TRUE,4.0,0)))*(1-IF(AND(ArtifactsInput!$M$27,Inputs!$B$4="Chapter Hunt"),CHOOSE(ArtifactsInput!$N$27+1,20,24,28,32,36,40),0)/100)))+1)),0)</f>
        <v/>
      </c>
      <c r="S3059">
        <f>IFERROR(O3059/N3059,0)</f>
        <v/>
      </c>
      <c r="T3059">
        <f>IF(C3059,(H3059*N3059*IF(AND(Inputs!$B$38&lt;&gt;"pvp",Inputs!$B$43&gt;0),((Skills!G7*((R3059-1)*IF(Skills!H7&gt;0,Skills!I7/Skills!H7,1)+IF(Skills!H7&gt;0,MIN(Skills!I7,MAX(0,MAX(0,Inputs!$B$43-B3089)-((R3059-1)*(IF(Inputs!$B$38="pvp",15,MAX(0.1,Skills!D7-IF(Skills!E7=TRUE,4.0,0)))*(1-IF(AND(ArtifactsInput!$M$27,Inputs!$B$4="Chapter Hunt"),CHOOSE(ArtifactsInput!$N$27+1,20,24,28,32,36,40),0)/100)))))/Skills!H7,1)))/Inputs!$B$43),G3059*Q3059)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3059*(1-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3059*(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3059*(1-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3059*(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9">
        <f>IF(C3059,(H3059*N3059*IF(AND(Inputs!$B$38&lt;&gt;"pvp",Inputs!$B$43&gt;0),((Skills!G7*((R3059-1)*IF(Skills!H7&gt;0,Skills!I7/Skills!H7,1)+IF(Skills!H7&gt;0,MIN(Skills!I7,MAX(0,MAX(0,Inputs!$B$43-B3089)-((R3059-1)*(IF(Inputs!$B$38="pvp",15,MAX(0.1,Skills!D7-IF(Skills!E7=TRUE,4.0,0)))*(1-IF(AND(ArtifactsInput!$M$27,Inputs!$B$4="Chapter Hunt"),CHOOSE(ArtifactsInput!$N$27+1,20,24,28,32,36,40),0)/100)))))/Skills!H7,1)))/Inputs!$B$43),G3059*Q3059))*IF(Inputs!$B$38="pvp",1,(1+(Inputs!$B$21+Skills!Q7+(IF(ArtifactsInput!$M$33,CHOOSE(ArtifactsInput!$N$33+1,30,36,42,48,54,60)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0">
      <c r="A3060">
        <f>Skills!A8</f>
        <v/>
      </c>
      <c r="B3060">
        <f>Skills!B8</f>
        <v/>
      </c>
      <c r="C3060">
        <f>Inputs!$B$3&gt;=100</f>
        <v/>
      </c>
      <c r="D3060">
        <f>IF(Skills!C8=1,60+Inputs!$B$25+Inputs!$B$29,IF(Skills!C8=2,90+Inputs!$B$26+Inputs!$B$29,IF(Skills!C8=3,120+Inputs!$B$27+Inputs!$B$29,MAX(0,(Inputs!$B$3-100)*3)+Inputs!$B$28+Inputs!$B$29)))</f>
        <v/>
      </c>
      <c r="E3060">
        <f>INDEX(FactorTable!$B$2:$Y$301, MATCH(ROUND(MIN(300,MAX(1,D3060)),0), FactorTable!$A$2:$A$301,0), Skills!M8+1)</f>
        <v/>
      </c>
      <c r="F3060">
        <f>IF(Skills!N8=TRUE,(Skills!L8/10)*(E3060/1000),Skills!L8/10)+Skills!O8</f>
        <v/>
      </c>
      <c r="G3060">
        <f>Skills!G8*IF(Skills!H8&gt;0,Skills!I8/Skills!H8,1)</f>
        <v/>
      </c>
      <c r="H3060">
        <f>1-(1-Skills!J8/100)^Skills!K8</f>
        <v/>
      </c>
      <c r="I3060" t="inlineStr">
        <is>
          <t>1</t>
        </is>
      </c>
      <c r="J3060">
        <f>((Inputs!$B$6*(1+Inputs!$B$7/100))+(((Inputs!$B$12*(1+Inputs!$B$13/100))-(Inputs!$B$12*(1+Inputs!$B$13/100)))+0.25*(Inputs!$B$14-Inputs!$B$14))*(1+Inputs!$B$7/100))*(F3060/100)</f>
        <v/>
      </c>
      <c r="K3060">
        <f>J3060*(1+((Inputs!$B$12*(1+Inputs!$B$13/100))*0.01+Inputs!$B$14*0.0025)/100)*(1+Inputs!$B$15/100)*(1+Inputs!$B$16/100)*(5000/(6000+Inputs!$B$42*(1-(100*(1-(1-(Inputs!$B$19+0)/100)*(1-CHOOSE(ArtifactsInput!$N$40+1,5,6,7,8,9,10)/100)^(ArtifactsInput!$M$40-ArtifactsInput!$M$40)))/100)))*(1+(Inputs!$B$24+((C3078=TRUE)*(F3078-Calc!F26))+B3088)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3075=TRUE)*(F3075-Calc!F23))+((C3079=TRUE)*(F3079-Calc!F27))+(((IF(AND(ArtifactsInput!$M$42,((Inputs!$B$9+((C3071=TRUE)*(F3071-Calc!F19))+B3082+(ArtifactsInput!$M$24-ArtifactsInput!$M$24)*CHOOSE(ArtifactsInput!$N$24+1,10,12,14,16,18,20)+IF(ArtifactsInput!$M$10,CHOOSE(ArtifactsInput!$N$10+1,15,18,21,24,27,30)*(IF(Inputs!$B$38="pvp",MIN(15,15)/15,IF(AND(Inputs!$B$38&lt;&gt;"pvp",Inputs!$B$43&gt;0),MIN(15,Inputs!$B$43)/(Inputs!$B$43),0))),0)))&gt;=100),MIN(100,((Inputs!$B$9+((C3071=TRUE)*(F3071-Calc!F19))+B3082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3071=TRUE)*(F3071-Calc!F19))+B3082+(ArtifactsInput!$M$24-ArtifactsInput!$M$24)*CHOOSE(ArtifactsInput!$N$24+1,10,12,14,16,18,20)+IF(ArtifactsInput!$M$10,CHOOSE(ArtifactsInput!$N$10+1,15,18,21,24,27,30)*(IF(Inputs!$B$38="pvp",MIN(15,15)/15,IF(AND(Inputs!$B$38&lt;&gt;"pvp",Inputs!$B$43&gt;0),MIN(15,Inputs!$B$43)/(Inputs!$B$43),0))),0)))&gt;=100),CHOOSE(ArtifactsInput!$N$42+1,40,48,56,64,72,80),0))))/100)*((1+(((C3069=TRUE)*F3069)+((C3076=TRUE)*(F3076-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3060)</f>
        <v/>
      </c>
      <c r="L3060">
        <f>K3060*(MIN(Inputs!$B$22+((C3074=TRUE)*(F3074-Calc!F22)),(Inputs!$B$23+0+(IF(ArtifactsInput!$M$15,CHOOSE(ArtifactsInput!$N$15+1,25,30,35,40,45,50)/100*(Inputs!$B$11-Inputs!$B$11),0))))/100+(Inputs!$B$23+0+(IF(ArtifactsInput!$M$15,CHOOSE(ArtifactsInput!$N$15+1,25,30,35,40,45,50)/100*(Inputs!$B$11-Inputs!$B$11),0)))/100)/2</f>
        <v/>
      </c>
      <c r="M3060">
        <f>L3060*(1+(Inputs!$B$10+((C3077=TRUE)*(F3077-Calc!F25))+B3087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0">
        <f>L3060*(1-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3060*(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0">
        <f>(1-Summary!$B$11)*T3060+Summary!$B$11*V3060</f>
        <v/>
      </c>
      <c r="P3060">
        <f>IF(B3092=0,0,O3060/B3092)</f>
        <v/>
      </c>
      <c r="Q3060">
        <f>IFERROR(1/(IF(Inputs!$B$38="pvp",15,MAX(0.1,Skills!D8-IF(Skills!E8=TRUE,4.0,0)))*(1-IF(AND(ArtifactsInput!$M$27,Inputs!$B$4="Chapter Hunt"),CHOOSE(ArtifactsInput!$N$27+1,20,24,28,32,36,40),0)/100)),0)</f>
        <v/>
      </c>
      <c r="R3060">
        <f>IF(AND(Inputs!$B$38&lt;&gt;"pvp",Inputs!$B$43&gt;0),IF(MAX(0,Inputs!$B$43-B3089)&lt;=0,0,(INT(MAX(0,Inputs!$B$43-B3089)/(IF(Inputs!$B$38="pvp",15,MAX(0.1,Skills!D8-IF(Skills!E8=TRUE,4.0,0)))*(1-IF(AND(ArtifactsInput!$M$27,Inputs!$B$4="Chapter Hunt"),CHOOSE(ArtifactsInput!$N$27+1,20,24,28,32,36,40),0)/100)))+1)),0)</f>
        <v/>
      </c>
      <c r="S3060">
        <f>IFERROR(O3060/N3060,0)</f>
        <v/>
      </c>
      <c r="T3060">
        <f>IF(C3060,(H3060*N3060*IF(AND(Inputs!$B$38&lt;&gt;"pvp",Inputs!$B$43&gt;0),((Skills!G8*((R3060-1)*IF(Skills!H8&gt;0,Skills!I8/Skills!H8,1)+IF(Skills!H8&gt;0,MIN(Skills!I8,MAX(0,MAX(0,Inputs!$B$43-B3089)-((R3060-1)*(IF(Inputs!$B$38="pvp",15,MAX(0.1,Skills!D8-IF(Skills!E8=TRUE,4.0,0)))*(1-IF(AND(ArtifactsInput!$M$27,Inputs!$B$4="Chapter Hunt"),CHOOSE(ArtifactsInput!$N$27+1,20,24,28,32,36,40),0)/100)))))/Skills!H8,1)))/Inputs!$B$43),G3060*Q3060)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3060*(1-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3060*(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3060*(1-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3060*(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0">
        <f>IF(C3060,(H3060*N3060*IF(AND(Inputs!$B$38&lt;&gt;"pvp",Inputs!$B$43&gt;0),((Skills!G8*((R3060-1)*IF(Skills!H8&gt;0,Skills!I8/Skills!H8,1)+IF(Skills!H8&gt;0,MIN(Skills!I8,MAX(0,MAX(0,Inputs!$B$43-B3089)-((R3060-1)*(IF(Inputs!$B$38="pvp",15,MAX(0.1,Skills!D8-IF(Skills!E8=TRUE,4.0,0)))*(1-IF(AND(ArtifactsInput!$M$27,Inputs!$B$4="Chapter Hunt"),CHOOSE(ArtifactsInput!$N$27+1,20,24,28,32,36,40),0)/100)))))/Skills!H8,1)))/Inputs!$B$43),G3060*Q3060))*IF(Inputs!$B$38="pvp",1,(1+(Inputs!$B$21+Skills!Q8+(IF(ArtifactsInput!$M$33,CHOOSE(ArtifactsInput!$N$33+1,30,36,42,48,54,60)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1">
      <c r="A3061">
        <f>Skills!A9</f>
        <v/>
      </c>
      <c r="B3061">
        <f>Skills!B9</f>
        <v/>
      </c>
      <c r="C3061">
        <f>Inputs!$B$3&gt;=103</f>
        <v/>
      </c>
      <c r="D3061">
        <f>IF(Skills!C9=1,60+Inputs!$B$25+Inputs!$B$29,IF(Skills!C9=2,90+Inputs!$B$26+Inputs!$B$29,IF(Skills!C9=3,120+Inputs!$B$27+Inputs!$B$29,MAX(0,(Inputs!$B$3-100)*3)+Inputs!$B$28+Inputs!$B$29)))</f>
        <v/>
      </c>
      <c r="E3061">
        <f>INDEX(FactorTable!$B$2:$Y$301, MATCH(ROUND(MIN(300,MAX(1,D3061)),0), FactorTable!$A$2:$A$301,0), Skills!M9+1)</f>
        <v/>
      </c>
      <c r="F3061">
        <f>IF(Skills!N9=TRUE,(Skills!L9/10)*(E3061/1000),Skills!L9/10)+Skills!O9</f>
        <v/>
      </c>
      <c r="G3061">
        <f>Skills!G9*IF(Skills!H9&gt;0,Skills!I9/Skills!H9,1)</f>
        <v/>
      </c>
      <c r="H3061">
        <f>1-(1-Skills!J9/100)^Skills!K9</f>
        <v/>
      </c>
      <c r="I3061" t="inlineStr">
        <is>
          <t>1</t>
        </is>
      </c>
      <c r="J3061">
        <f>((Inputs!$B$6*(1+Inputs!$B$7/100))+(((Inputs!$B$12*(1+Inputs!$B$13/100))-(Inputs!$B$12*(1+Inputs!$B$13/100)))+0.25*(Inputs!$B$14-Inputs!$B$14))*(1+Inputs!$B$7/100))*(F3061/100)</f>
        <v/>
      </c>
      <c r="K3061">
        <f>J3061*(1+((Inputs!$B$12*(1+Inputs!$B$13/100))*0.01+Inputs!$B$14*0.0025)/100)*(1+Inputs!$B$15/100)*(1+Inputs!$B$16/100)*(5000/(6000+Inputs!$B$42*(1-(100*(1-(1-(Inputs!$B$19+0)/100)*(1-CHOOSE(ArtifactsInput!$N$40+1,5,6,7,8,9,10)/100)^(ArtifactsInput!$M$40-ArtifactsInput!$M$40)))/100)))*(1+(Inputs!$B$24+((C3078=TRUE)*(F3078-Calc!F26))+B3088)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3075=TRUE)*(F3075-Calc!F23))+((C3079=TRUE)*(F3079-Calc!F27))+(((IF(AND(ArtifactsInput!$M$42,((Inputs!$B$9+((C3071=TRUE)*(F3071-Calc!F19))+B3082+(ArtifactsInput!$M$24-ArtifactsInput!$M$24)*CHOOSE(ArtifactsInput!$N$24+1,10,12,14,16,18,20)+IF(ArtifactsInput!$M$10,CHOOSE(ArtifactsInput!$N$10+1,15,18,21,24,27,30)*(IF(Inputs!$B$38="pvp",MIN(15,15)/15,IF(AND(Inputs!$B$38&lt;&gt;"pvp",Inputs!$B$43&gt;0),MIN(15,Inputs!$B$43)/(Inputs!$B$43),0))),0)))&gt;=100),MIN(100,((Inputs!$B$9+((C3071=TRUE)*(F3071-Calc!F19))+B3082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3071=TRUE)*(F3071-Calc!F19))+B3082+(ArtifactsInput!$M$24-ArtifactsInput!$M$24)*CHOOSE(ArtifactsInput!$N$24+1,10,12,14,16,18,20)+IF(ArtifactsInput!$M$10,CHOOSE(ArtifactsInput!$N$10+1,15,18,21,24,27,30)*(IF(Inputs!$B$38="pvp",MIN(15,15)/15,IF(AND(Inputs!$B$38&lt;&gt;"pvp",Inputs!$B$43&gt;0),MIN(15,Inputs!$B$43)/(Inputs!$B$43),0))),0)))&gt;=100),CHOOSE(ArtifactsInput!$N$42+1,40,48,56,64,72,80),0))))/100)*((1+(((C3069=TRUE)*F3069)+((C3076=TRUE)*(F3076-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3061)</f>
        <v/>
      </c>
      <c r="L3061">
        <f>K3061*(MIN(Inputs!$B$22+((C3074=TRUE)*(F3074-Calc!F22)),(Inputs!$B$23+0+(IF(ArtifactsInput!$M$15,CHOOSE(ArtifactsInput!$N$15+1,25,30,35,40,45,50)/100*(Inputs!$B$11-Inputs!$B$11),0))))/100+(Inputs!$B$23+0+(IF(ArtifactsInput!$M$15,CHOOSE(ArtifactsInput!$N$15+1,25,30,35,40,45,50)/100*(Inputs!$B$11-Inputs!$B$11),0)))/100)/2</f>
        <v/>
      </c>
      <c r="M3061">
        <f>L3061*(1+(Inputs!$B$10+((C3077=TRUE)*(F3077-Calc!F25))+B3087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1">
        <f>L3061*(1-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3061*(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1">
        <f>(1-Summary!$B$11)*T3061+Summary!$B$11*V3061</f>
        <v/>
      </c>
      <c r="P3061">
        <f>IF(B3092=0,0,O3061/B3092)</f>
        <v/>
      </c>
      <c r="Q3061">
        <f>IFERROR(1/(IF(Inputs!$B$38="pvp",15,MAX(0.1,Skills!D9-IF(Skills!E9=TRUE,4.0,0)))*(1-IF(AND(ArtifactsInput!$M$27,Inputs!$B$4="Chapter Hunt"),CHOOSE(ArtifactsInput!$N$27+1,20,24,28,32,36,40),0)/100)),0)</f>
        <v/>
      </c>
      <c r="R3061">
        <f>IF(AND(Inputs!$B$38&lt;&gt;"pvp",Inputs!$B$43&gt;0),IF(MAX(0,Inputs!$B$43-B3089)&lt;=0,0,(INT(MAX(0,Inputs!$B$43-B3089)/(IF(Inputs!$B$38="pvp",15,MAX(0.1,Skills!D9-IF(Skills!E9=TRUE,4.0,0)))*(1-IF(AND(ArtifactsInput!$M$27,Inputs!$B$4="Chapter Hunt"),CHOOSE(ArtifactsInput!$N$27+1,20,24,28,32,36,40),0)/100)))+1)),0)</f>
        <v/>
      </c>
      <c r="S3061">
        <f>IFERROR(O3061/N3061,0)</f>
        <v/>
      </c>
      <c r="T3061">
        <f>IF(C3061,(H3061*N3061*IF(AND(Inputs!$B$38&lt;&gt;"pvp",Inputs!$B$43&gt;0),((Skills!G9*((R3061-1)*IF(Skills!H9&gt;0,Skills!I9/Skills!H9,1)+IF(Skills!H9&gt;0,MIN(Skills!I9,MAX(0,MAX(0,Inputs!$B$43-B3089)-((R3061-1)*(IF(Inputs!$B$38="pvp",15,MAX(0.1,Skills!D9-IF(Skills!E9=TRUE,4.0,0)))*(1-IF(AND(ArtifactsInput!$M$27,Inputs!$B$4="Chapter Hunt"),CHOOSE(ArtifactsInput!$N$27+1,20,24,28,32,36,40),0)/100)))))/Skills!H9,1)))/Inputs!$B$43),G3061*Q3061)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3061*(1-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3061*(1-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1">
        <f>IF(C3061,(H3061*N3061*IF(AND(Inputs!$B$38&lt;&gt;"pvp",Inputs!$B$43&gt;0),((Skills!G9*((R3061-1)*IF(Skills!H9&gt;0,Skills!I9/Skills!H9,1)+IF(Skills!H9&gt;0,MIN(Skills!I9,MAX(0,MAX(0,Inputs!$B$43-B3089)-((R3061-1)*(IF(Inputs!$B$38="pvp",15,MAX(0.1,Skills!D9-IF(Skills!E9=TRUE,4.0,0)))*(1-IF(AND(ArtifactsInput!$M$27,Inputs!$B$4="Chapter Hunt"),CHOOSE(ArtifactsInput!$N$27+1,20,24,28,32,36,40),0)/100)))))/Skills!H9,1)))/Inputs!$B$43),G3061*Q3061))*IF(Inputs!$B$38="pvp",1,(1+(Inputs!$B$21+Skills!Q9+(IF(ArtifactsInput!$M$33,CHOOSE(ArtifactsInput!$N$33+1,30,36,42,48,54,60)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2">
      <c r="A3062">
        <f>Skills!A10</f>
        <v/>
      </c>
      <c r="B3062">
        <f>Skills!B10</f>
        <v/>
      </c>
      <c r="C3062">
        <f>Inputs!$B$3&gt;=113</f>
        <v/>
      </c>
      <c r="D3062">
        <f>IF(Skills!C10=1,60+Inputs!$B$25+Inputs!$B$29,IF(Skills!C10=2,90+Inputs!$B$26+Inputs!$B$29,IF(Skills!C10=3,120+Inputs!$B$27+Inputs!$B$29,MAX(0,(Inputs!$B$3-100)*3)+Inputs!$B$28+Inputs!$B$29)))</f>
        <v/>
      </c>
      <c r="E3062">
        <f>INDEX(FactorTable!$B$2:$Y$301, MATCH(ROUND(MIN(300,MAX(1,D3062)),0), FactorTable!$A$2:$A$301,0), Skills!M10+1)</f>
        <v/>
      </c>
      <c r="F3062">
        <f>IF(Skills!N10=TRUE,(Skills!L10/10)*(E3062/1000),Skills!L10/10)+Skills!O10</f>
        <v/>
      </c>
      <c r="G3062">
        <f>Skills!G10*IF(Skills!H10&gt;0,Skills!I10/Skills!H10,1)</f>
        <v/>
      </c>
      <c r="H3062">
        <f>1-(1-Skills!J10/100)^Skills!K10</f>
        <v/>
      </c>
      <c r="I3062" t="inlineStr">
        <is>
          <t>1</t>
        </is>
      </c>
      <c r="J3062">
        <f>((Inputs!$B$6*(1+Inputs!$B$7/100))+(((Inputs!$B$12*(1+Inputs!$B$13/100))-(Inputs!$B$12*(1+Inputs!$B$13/100)))+0.25*(Inputs!$B$14-Inputs!$B$14))*(1+Inputs!$B$7/100))*(F3062/100)</f>
        <v/>
      </c>
      <c r="K3062">
        <f>J3062*(1+((Inputs!$B$12*(1+Inputs!$B$13/100))*0.01+Inputs!$B$14*0.0025)/100)*(1+Inputs!$B$15/100)*(1+Inputs!$B$16/100)*(5000/(6000+Inputs!$B$42*(1-(100*(1-(1-(Inputs!$B$19+0)/100)*(1-CHOOSE(ArtifactsInput!$N$40+1,5,6,7,8,9,10)/100)^(ArtifactsInput!$M$40-ArtifactsInput!$M$40)))/100)))*(1+(Inputs!$B$24+((C3078=TRUE)*(F3078-Calc!F26))+B3088)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3075=TRUE)*(F3075-Calc!F23))+((C3079=TRUE)*(F3079-Calc!F27))+(((IF(AND(ArtifactsInput!$M$42,((Inputs!$B$9+((C3071=TRUE)*(F3071-Calc!F19))+B3082+(ArtifactsInput!$M$24-ArtifactsInput!$M$24)*CHOOSE(ArtifactsInput!$N$24+1,10,12,14,16,18,20)+IF(ArtifactsInput!$M$10,CHOOSE(ArtifactsInput!$N$10+1,15,18,21,24,27,30)*(IF(Inputs!$B$38="pvp",MIN(15,15)/15,IF(AND(Inputs!$B$38&lt;&gt;"pvp",Inputs!$B$43&gt;0),MIN(15,Inputs!$B$43)/(Inputs!$B$43),0))),0)))&gt;=100),MIN(100,((Inputs!$B$9+((C3071=TRUE)*(F3071-Calc!F19))+B3082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3071=TRUE)*(F3071-Calc!F19))+B3082+(ArtifactsInput!$M$24-ArtifactsInput!$M$24)*CHOOSE(ArtifactsInput!$N$24+1,10,12,14,16,18,20)+IF(ArtifactsInput!$M$10,CHOOSE(ArtifactsInput!$N$10+1,15,18,21,24,27,30)*(IF(Inputs!$B$38="pvp",MIN(15,15)/15,IF(AND(Inputs!$B$38&lt;&gt;"pvp",Inputs!$B$43&gt;0),MIN(15,Inputs!$B$43)/(Inputs!$B$43),0))),0)))&gt;=100),CHOOSE(ArtifactsInput!$N$42+1,40,48,56,64,72,80),0))))/100)*((1+(((C3069=TRUE)*F3069)+((C3076=TRUE)*(F3076-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3062)</f>
        <v/>
      </c>
      <c r="L3062">
        <f>K3062*(MIN(Inputs!$B$22+((C3074=TRUE)*(F3074-Calc!F22)),(Inputs!$B$23+0+(IF(ArtifactsInput!$M$15,CHOOSE(ArtifactsInput!$N$15+1,25,30,35,40,45,50)/100*(Inputs!$B$11-Inputs!$B$11),0))))/100+(Inputs!$B$23+0+(IF(ArtifactsInput!$M$15,CHOOSE(ArtifactsInput!$N$15+1,25,30,35,40,45,50)/100*(Inputs!$B$11-Inputs!$B$11),0)))/100)/2</f>
        <v/>
      </c>
      <c r="M3062">
        <f>L3062*(1+(Inputs!$B$10+((C3077=TRUE)*(F3077-Calc!F25))+B3087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2">
        <f>L3062*(1-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3062*(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2">
        <f>(1-Summary!$B$11)*T3062+Summary!$B$11*V3062</f>
        <v/>
      </c>
      <c r="P3062">
        <f>IF(B3092=0,0,O3062/B3092)</f>
        <v/>
      </c>
      <c r="Q3062">
        <f>IFERROR(1/(IF(Inputs!$B$38="pvp",15,MAX(0.1,Skills!D10-IF(Skills!E10=TRUE,4.0,0)))*(1-IF(AND(ArtifactsInput!$M$27,Inputs!$B$4="Chapter Hunt"),CHOOSE(ArtifactsInput!$N$27+1,20,24,28,32,36,40),0)/100)),0)</f>
        <v/>
      </c>
      <c r="R3062">
        <f>IF(AND(Inputs!$B$38&lt;&gt;"pvp",Inputs!$B$43&gt;0),IF(MAX(0,Inputs!$B$43-B3089)&lt;=0,0,(INT(MAX(0,Inputs!$B$43-B3089)/(IF(Inputs!$B$38="pvp",15,MAX(0.1,Skills!D10-IF(Skills!E10=TRUE,4.0,0)))*(1-IF(AND(ArtifactsInput!$M$27,Inputs!$B$4="Chapter Hunt"),CHOOSE(ArtifactsInput!$N$27+1,20,24,28,32,36,40),0)/100)))+1)),0)</f>
        <v/>
      </c>
      <c r="S3062">
        <f>IFERROR(O3062/N3062,0)</f>
        <v/>
      </c>
      <c r="T3062">
        <f>IF(C3062,(H3062*N3062*IF(AND(Inputs!$B$38&lt;&gt;"pvp",Inputs!$B$43&gt;0),((Skills!G10*((R3062-1)*IF(Skills!H10&gt;0,Skills!I10/Skills!H10,1)+IF(Skills!H10&gt;0,MIN(Skills!I10,MAX(0,MAX(0,Inputs!$B$43-B3089)-((R3062-1)*(IF(Inputs!$B$38="pvp",15,MAX(0.1,Skills!D10-IF(Skills!E10=TRUE,4.0,0)))*(1-IF(AND(ArtifactsInput!$M$27,Inputs!$B$4="Chapter Hunt"),CHOOSE(ArtifactsInput!$N$27+1,20,24,28,32,36,40),0)/100)))))/Skills!H10,1)))/Inputs!$B$43),G3062*Q3062)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3062*(1-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3062*(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3062*(1-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3062*(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2">
        <f>IF(C3062,(H3062*N3062*IF(AND(Inputs!$B$38&lt;&gt;"pvp",Inputs!$B$43&gt;0),((Skills!G10*((R3062-1)*IF(Skills!H10&gt;0,Skills!I10/Skills!H10,1)+IF(Skills!H10&gt;0,MIN(Skills!I10,MAX(0,MAX(0,Inputs!$B$43-B3089)-((R3062-1)*(IF(Inputs!$B$38="pvp",15,MAX(0.1,Skills!D10-IF(Skills!E10=TRUE,4.0,0)))*(1-IF(AND(ArtifactsInput!$M$27,Inputs!$B$4="Chapter Hunt"),CHOOSE(ArtifactsInput!$N$27+1,20,24,28,32,36,40),0)/100)))))/Skills!H10,1)))/Inputs!$B$43),G3062*Q3062))*IF(Inputs!$B$38="pvp",1,(1+(Inputs!$B$21+Skills!Q10+(IF(ArtifactsInput!$M$33,CHOOSE(ArtifactsInput!$N$33+1,30,36,42,48,54,60)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3">
      <c r="A3063">
        <f>Skills!A11</f>
        <v/>
      </c>
      <c r="B3063">
        <f>Skills!B11</f>
        <v/>
      </c>
      <c r="C3063">
        <f>Inputs!$B$3&gt;=107</f>
        <v/>
      </c>
      <c r="D3063">
        <f>IF(Skills!C11=1,60+Inputs!$B$25+Inputs!$B$29,IF(Skills!C11=2,90+Inputs!$B$26+Inputs!$B$29,IF(Skills!C11=3,120+Inputs!$B$27+Inputs!$B$29,MAX(0,(Inputs!$B$3-100)*3)+Inputs!$B$28+Inputs!$B$29)))</f>
        <v/>
      </c>
      <c r="E3063">
        <f>INDEX(FactorTable!$B$2:$Y$301, MATCH(ROUND(MIN(300,MAX(1,D3063)),0), FactorTable!$A$2:$A$301,0), Skills!M11+1)</f>
        <v/>
      </c>
      <c r="F3063">
        <f>IF(Skills!N11=TRUE,(Skills!L11/10)*(E3063/1000),Skills!L11/10)+Skills!O11</f>
        <v/>
      </c>
      <c r="G3063">
        <f>Skills!G11*IF(Skills!H11&gt;0,Skills!I11/Skills!H11,1)</f>
        <v/>
      </c>
      <c r="H3063">
        <f>1-(1-Skills!J11/100)^Skills!K11</f>
        <v/>
      </c>
      <c r="I3063" t="inlineStr">
        <is>
          <t>1</t>
        </is>
      </c>
      <c r="J3063">
        <f>((Inputs!$B$6*(1+Inputs!$B$7/100))+(((Inputs!$B$12*(1+Inputs!$B$13/100))-(Inputs!$B$12*(1+Inputs!$B$13/100)))+0.25*(Inputs!$B$14-Inputs!$B$14))*(1+Inputs!$B$7/100))*(F3063/100)</f>
        <v/>
      </c>
      <c r="K3063">
        <f>J3063*(1+((Inputs!$B$12*(1+Inputs!$B$13/100))*0.01+Inputs!$B$14*0.0025)/100)*(1+Inputs!$B$15/100)*(1+Inputs!$B$16/100)*(5000/(6000+Inputs!$B$42*(1-(100*(1-(1-(Inputs!$B$19+0)/100)*(1-CHOOSE(ArtifactsInput!$N$40+1,5,6,7,8,9,10)/100)^(ArtifactsInput!$M$40-ArtifactsInput!$M$40)))/100)))*(1+(Inputs!$B$24+((C3078=TRUE)*(F3078-Calc!F26))+B3088)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3075=TRUE)*(F3075-Calc!F23))+((C3079=TRUE)*(F3079-Calc!F27))+(((IF(AND(ArtifactsInput!$M$42,((Inputs!$B$9+((C3071=TRUE)*(F3071-Calc!F19))+B3082+(ArtifactsInput!$M$24-ArtifactsInput!$M$24)*CHOOSE(ArtifactsInput!$N$24+1,10,12,14,16,18,20)+IF(ArtifactsInput!$M$10,CHOOSE(ArtifactsInput!$N$10+1,15,18,21,24,27,30)*(IF(Inputs!$B$38="pvp",MIN(15,15)/15,IF(AND(Inputs!$B$38&lt;&gt;"pvp",Inputs!$B$43&gt;0),MIN(15,Inputs!$B$43)/(Inputs!$B$43),0))),0)))&gt;=100),MIN(100,((Inputs!$B$9+((C3071=TRUE)*(F3071-Calc!F19))+B3082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3071=TRUE)*(F3071-Calc!F19))+B3082+(ArtifactsInput!$M$24-ArtifactsInput!$M$24)*CHOOSE(ArtifactsInput!$N$24+1,10,12,14,16,18,20)+IF(ArtifactsInput!$M$10,CHOOSE(ArtifactsInput!$N$10+1,15,18,21,24,27,30)*(IF(Inputs!$B$38="pvp",MIN(15,15)/15,IF(AND(Inputs!$B$38&lt;&gt;"pvp",Inputs!$B$43&gt;0),MIN(15,Inputs!$B$43)/(Inputs!$B$43),0))),0)))&gt;=100),CHOOSE(ArtifactsInput!$N$42+1,40,48,56,64,72,80),0))))/100)*((1+(((C3069=TRUE)*F3069)+((C3076=TRUE)*(F3076-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3063)</f>
        <v/>
      </c>
      <c r="L3063">
        <f>K3063*(MIN(Inputs!$B$22+((C3074=TRUE)*(F3074-Calc!F22)),(Inputs!$B$23+0+(IF(ArtifactsInput!$M$15,CHOOSE(ArtifactsInput!$N$15+1,25,30,35,40,45,50)/100*(Inputs!$B$11-Inputs!$B$11),0))))/100+(Inputs!$B$23+0+(IF(ArtifactsInput!$M$15,CHOOSE(ArtifactsInput!$N$15+1,25,30,35,40,45,50)/100*(Inputs!$B$11-Inputs!$B$11),0)))/100)/2</f>
        <v/>
      </c>
      <c r="M3063">
        <f>L3063*(1+(Inputs!$B$10+((C3077=TRUE)*(F3077-Calc!F25))+B3087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3">
        <f>L3063*(1-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3063*(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3">
        <f>(1-Summary!$B$11)*T3063+Summary!$B$11*V3063</f>
        <v/>
      </c>
      <c r="P3063">
        <f>IF(B3092=0,0,O3063/B3092)</f>
        <v/>
      </c>
      <c r="Q3063">
        <f>IFERROR(1/(IF(Inputs!$B$38="pvp",15,MAX(0.1,Skills!D11-IF(Skills!E11=TRUE,4.0,0)))*(1-IF(AND(ArtifactsInput!$M$27,Inputs!$B$4="Chapter Hunt"),CHOOSE(ArtifactsInput!$N$27+1,20,24,28,32,36,40),0)/100)),0)</f>
        <v/>
      </c>
      <c r="R3063">
        <f>IF(AND(Inputs!$B$38&lt;&gt;"pvp",Inputs!$B$43&gt;0),IF(MAX(0,Inputs!$B$43-B3089)&lt;=0,0,(INT(MAX(0,Inputs!$B$43-B3089)/(IF(Inputs!$B$38="pvp",15,MAX(0.1,Skills!D11-IF(Skills!E11=TRUE,4.0,0)))*(1-IF(AND(ArtifactsInput!$M$27,Inputs!$B$4="Chapter Hunt"),CHOOSE(ArtifactsInput!$N$27+1,20,24,28,32,36,40),0)/100)))+1)),0)</f>
        <v/>
      </c>
      <c r="S3063">
        <f>IFERROR(O3063/N3063,0)</f>
        <v/>
      </c>
      <c r="T3063">
        <f>IF(C3063,(H3063*N3063*IF(AND(Inputs!$B$38&lt;&gt;"pvp",Inputs!$B$43&gt;0),((Skills!G11*((R3063-1)*IF(Skills!H11&gt;0,Skills!I11/Skills!H11,1)+IF(Skills!H11&gt;0,MIN(Skills!I11,MAX(0,MAX(0,Inputs!$B$43-B3089)-((R3063-1)*(IF(Inputs!$B$38="pvp",15,MAX(0.1,Skills!D11-IF(Skills!E11=TRUE,4.0,0)))*(1-IF(AND(ArtifactsInput!$M$27,Inputs!$B$4="Chapter Hunt"),CHOOSE(ArtifactsInput!$N$27+1,20,24,28,32,36,40),0)/100)))))/Skills!H11,1)))/Inputs!$B$43),G3063*Q3063)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3063*(1-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3063*(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3063*(1-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3063*(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3">
        <f>IF(C3063,(H3063*N3063*IF(AND(Inputs!$B$38&lt;&gt;"pvp",Inputs!$B$43&gt;0),((Skills!G11*((R3063-1)*IF(Skills!H11&gt;0,Skills!I11/Skills!H11,1)+IF(Skills!H11&gt;0,MIN(Skills!I11,MAX(0,MAX(0,Inputs!$B$43-B3089)-((R3063-1)*(IF(Inputs!$B$38="pvp",15,MAX(0.1,Skills!D11-IF(Skills!E11=TRUE,4.0,0)))*(1-IF(AND(ArtifactsInput!$M$27,Inputs!$B$4="Chapter Hunt"),CHOOSE(ArtifactsInput!$N$27+1,20,24,28,32,36,40),0)/100)))))/Skills!H11,1)))/Inputs!$B$43),G3063*Q3063))*IF(Inputs!$B$38="pvp",1,(1+(Inputs!$B$21+Skills!Q11+(IF(ArtifactsInput!$M$33,CHOOSE(ArtifactsInput!$N$33+1,30,36,42,48,54,60)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4">
      <c r="A3064">
        <f>Skills!A12</f>
        <v/>
      </c>
      <c r="B3064">
        <f>Skills!B12</f>
        <v/>
      </c>
      <c r="C3064">
        <f>Inputs!$B$3&gt;=110</f>
        <v/>
      </c>
      <c r="D3064">
        <f>IF(Skills!C12=1,60+Inputs!$B$25+Inputs!$B$29,IF(Skills!C12=2,90+Inputs!$B$26+Inputs!$B$29,IF(Skills!C12=3,120+Inputs!$B$27+Inputs!$B$29,MAX(0,(Inputs!$B$3-100)*3)+Inputs!$B$28+Inputs!$B$29)))</f>
        <v/>
      </c>
      <c r="E3064">
        <f>INDEX(FactorTable!$B$2:$Y$301, MATCH(ROUND(MIN(300,MAX(1,D3064)),0), FactorTable!$A$2:$A$301,0), Skills!M12+1)</f>
        <v/>
      </c>
      <c r="F3064">
        <f>IF(Skills!N12=TRUE,(Skills!L12/10)*(E3064/1000),Skills!L12/10)+Skills!O12</f>
        <v/>
      </c>
      <c r="G3064">
        <f>Skills!G12*IF(Skills!H12&gt;0,Skills!I12/Skills!H12,1)</f>
        <v/>
      </c>
      <c r="H3064">
        <f>1-(1-Skills!J12/100)^Skills!K12</f>
        <v/>
      </c>
      <c r="I3064" t="inlineStr">
        <is>
          <t>1</t>
        </is>
      </c>
      <c r="J3064">
        <f>((Inputs!$B$6*(1+Inputs!$B$7/100))+(((Inputs!$B$12*(1+Inputs!$B$13/100))-(Inputs!$B$12*(1+Inputs!$B$13/100)))+0.25*(Inputs!$B$14-Inputs!$B$14))*(1+Inputs!$B$7/100))*(F3064/100)</f>
        <v/>
      </c>
      <c r="K3064">
        <f>J3064*(1+((Inputs!$B$12*(1+Inputs!$B$13/100))*0.01+Inputs!$B$14*0.0025)/100)*(1+Inputs!$B$15/100)*(1+Inputs!$B$16/100)*(5000/(6000+Inputs!$B$42*(1-(100*(1-(1-(Inputs!$B$19+0)/100)*(1-CHOOSE(ArtifactsInput!$N$40+1,5,6,7,8,9,10)/100)^(ArtifactsInput!$M$40-ArtifactsInput!$M$40)))/100)))*(1+(Inputs!$B$24+((C3078=TRUE)*(F3078-Calc!F26))+B3088)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3075=TRUE)*(F3075-Calc!F23))+((C3079=TRUE)*(F3079-Calc!F27))+(((IF(AND(ArtifactsInput!$M$42,((Inputs!$B$9+((C3071=TRUE)*(F3071-Calc!F19))+B3082+(ArtifactsInput!$M$24-ArtifactsInput!$M$24)*CHOOSE(ArtifactsInput!$N$24+1,10,12,14,16,18,20)+IF(ArtifactsInput!$M$10,CHOOSE(ArtifactsInput!$N$10+1,15,18,21,24,27,30)*(IF(Inputs!$B$38="pvp",MIN(15,15)/15,IF(AND(Inputs!$B$38&lt;&gt;"pvp",Inputs!$B$43&gt;0),MIN(15,Inputs!$B$43)/(Inputs!$B$43),0))),0)))&gt;=100),MIN(100,((Inputs!$B$9+((C3071=TRUE)*(F3071-Calc!F19))+B3082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3071=TRUE)*(F3071-Calc!F19))+B3082+(ArtifactsInput!$M$24-ArtifactsInput!$M$24)*CHOOSE(ArtifactsInput!$N$24+1,10,12,14,16,18,20)+IF(ArtifactsInput!$M$10,CHOOSE(ArtifactsInput!$N$10+1,15,18,21,24,27,30)*(IF(Inputs!$B$38="pvp",MIN(15,15)/15,IF(AND(Inputs!$B$38&lt;&gt;"pvp",Inputs!$B$43&gt;0),MIN(15,Inputs!$B$43)/(Inputs!$B$43),0))),0)))&gt;=100),CHOOSE(ArtifactsInput!$N$42+1,40,48,56,64,72,80),0))))/100)*((1+(((C3069=TRUE)*F3069)+((C3076=TRUE)*(F3076-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3064)</f>
        <v/>
      </c>
      <c r="L3064">
        <f>K3064*(MIN(Inputs!$B$22+((C3074=TRUE)*(F3074-Calc!F22)),(Inputs!$B$23+0+(IF(ArtifactsInput!$M$15,CHOOSE(ArtifactsInput!$N$15+1,25,30,35,40,45,50)/100*(Inputs!$B$11-Inputs!$B$11),0))))/100+(Inputs!$B$23+0+(IF(ArtifactsInput!$M$15,CHOOSE(ArtifactsInput!$N$15+1,25,30,35,40,45,50)/100*(Inputs!$B$11-Inputs!$B$11),0)))/100)/2</f>
        <v/>
      </c>
      <c r="M3064">
        <f>L3064*(1+(Inputs!$B$10+((C3077=TRUE)*(F3077-Calc!F25))+B3087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4">
        <f>L3064*(1-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3064*(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4">
        <f>(1-Summary!$B$11)*T3064+Summary!$B$11*V3064</f>
        <v/>
      </c>
      <c r="P3064">
        <f>IF(B3092=0,0,O3064/B3092)</f>
        <v/>
      </c>
      <c r="Q3064">
        <f>IFERROR(1/(IF(Inputs!$B$38="pvp",15,MAX(0.1,Skills!D12-IF(Skills!E12=TRUE,4.0,0)))*(1-IF(AND(ArtifactsInput!$M$27,Inputs!$B$4="Chapter Hunt"),CHOOSE(ArtifactsInput!$N$27+1,20,24,28,32,36,40),0)/100)),0)</f>
        <v/>
      </c>
      <c r="R3064">
        <f>IF(AND(Inputs!$B$38&lt;&gt;"pvp",Inputs!$B$43&gt;0),IF(MAX(0,Inputs!$B$43-B3089)&lt;=0,0,(INT(MAX(0,Inputs!$B$43-B3089)/(IF(Inputs!$B$38="pvp",15,MAX(0.1,Skills!D12-IF(Skills!E12=TRUE,4.0,0)))*(1-IF(AND(ArtifactsInput!$M$27,Inputs!$B$4="Chapter Hunt"),CHOOSE(ArtifactsInput!$N$27+1,20,24,28,32,36,40),0)/100)))+1)),0)</f>
        <v/>
      </c>
      <c r="S3064">
        <f>IFERROR(O3064/N3064,0)</f>
        <v/>
      </c>
      <c r="T3064">
        <f>IF(C3064,(H3064*N3064*IF(AND(Inputs!$B$38&lt;&gt;"pvp",Inputs!$B$43&gt;0),((Skills!G12*((R3064-1)*IF(Skills!H12&gt;0,Skills!I12/Skills!H12,1)+IF(Skills!H12&gt;0,MIN(Skills!I12,MAX(0,MAX(0,Inputs!$B$43-B3089)-((R3064-1)*(IF(Inputs!$B$38="pvp",15,MAX(0.1,Skills!D12-IF(Skills!E12=TRUE,4.0,0)))*(1-IF(AND(ArtifactsInput!$M$27,Inputs!$B$4="Chapter Hunt"),CHOOSE(ArtifactsInput!$N$27+1,20,24,28,32,36,40),0)/100)))))/Skills!H12,1)))/Inputs!$B$43),G3064*Q3064)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3064*(1-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3064*(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3064*(1-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3064*(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4">
        <f>IF(C3064,(H3064*N3064*IF(AND(Inputs!$B$38&lt;&gt;"pvp",Inputs!$B$43&gt;0),((Skills!G12*((R3064-1)*IF(Skills!H12&gt;0,Skills!I12/Skills!H12,1)+IF(Skills!H12&gt;0,MIN(Skills!I12,MAX(0,MAX(0,Inputs!$B$43-B3089)-((R3064-1)*(IF(Inputs!$B$38="pvp",15,MAX(0.1,Skills!D12-IF(Skills!E12=TRUE,4.0,0)))*(1-IF(AND(ArtifactsInput!$M$27,Inputs!$B$4="Chapter Hunt"),CHOOSE(ArtifactsInput!$N$27+1,20,24,28,32,36,40),0)/100)))))/Skills!H12,1)))/Inputs!$B$43),G3064*Q3064))*IF(Inputs!$B$38="pvp",1,(1+(Inputs!$B$21+Skills!Q12+(IF(ArtifactsInput!$M$33,CHOOSE(ArtifactsInput!$N$33+1,30,36,42,48,54,60)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5">
      <c r="A3065">
        <f>Skills!A13</f>
        <v/>
      </c>
      <c r="B3065">
        <f>Skills!B13</f>
        <v/>
      </c>
      <c r="C3065">
        <f>Inputs!$B$3&gt;=110</f>
        <v/>
      </c>
      <c r="D3065">
        <f>IF(Skills!C13=1,60+Inputs!$B$25+Inputs!$B$29,IF(Skills!C13=2,90+Inputs!$B$26+Inputs!$B$29,IF(Skills!C13=3,120+Inputs!$B$27+Inputs!$B$29,MAX(0,(Inputs!$B$3-100)*3)+Inputs!$B$28+Inputs!$B$29)))</f>
        <v/>
      </c>
      <c r="E3065">
        <f>INDEX(FactorTable!$B$2:$Y$301, MATCH(ROUND(MIN(300,MAX(1,D3065)),0), FactorTable!$A$2:$A$301,0), Skills!M13+1)</f>
        <v/>
      </c>
      <c r="F3065">
        <f>IF(Skills!N13=TRUE,(Skills!L13/10)*(E3065/1000),Skills!L13/10)+Skills!O13</f>
        <v/>
      </c>
      <c r="G3065">
        <f>Skills!G13*IF(Skills!H13&gt;0,Skills!I13/Skills!H13,1)</f>
        <v/>
      </c>
      <c r="H3065">
        <f>1-(1-Skills!J13/100)^Skills!K13</f>
        <v/>
      </c>
      <c r="I3065" t="inlineStr">
        <is>
          <t>1</t>
        </is>
      </c>
      <c r="J3065">
        <f>((Inputs!$B$6*(1+Inputs!$B$7/100))+(((Inputs!$B$12*(1+Inputs!$B$13/100))-(Inputs!$B$12*(1+Inputs!$B$13/100)))+0.25*(Inputs!$B$14-Inputs!$B$14))*(1+Inputs!$B$7/100))*(F3065/100)</f>
        <v/>
      </c>
      <c r="K3065">
        <f>J3065*(1+((Inputs!$B$12*(1+Inputs!$B$13/100))*0.01+Inputs!$B$14*0.0025)/100)*(1+Inputs!$B$15/100)*(1+Inputs!$B$16/100)*(5000/(6000+Inputs!$B$42*(1-(100*(1-(1-(Inputs!$B$19+0)/100)*(1-CHOOSE(ArtifactsInput!$N$40+1,5,6,7,8,9,10)/100)^(ArtifactsInput!$M$40-ArtifactsInput!$M$40)))/100)))*(1+(Inputs!$B$24+((C3078=TRUE)*(F3078-Calc!F26))+B3088)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3075=TRUE)*(F3075-Calc!F23))+((C3079=TRUE)*(F3079-Calc!F27))+(((IF(AND(ArtifactsInput!$M$42,((Inputs!$B$9+((C3071=TRUE)*(F3071-Calc!F19))+B3082+(ArtifactsInput!$M$24-ArtifactsInput!$M$24)*CHOOSE(ArtifactsInput!$N$24+1,10,12,14,16,18,20)+IF(ArtifactsInput!$M$10,CHOOSE(ArtifactsInput!$N$10+1,15,18,21,24,27,30)*(IF(Inputs!$B$38="pvp",MIN(15,15)/15,IF(AND(Inputs!$B$38&lt;&gt;"pvp",Inputs!$B$43&gt;0),MIN(15,Inputs!$B$43)/(Inputs!$B$43),0))),0)))&gt;=100),MIN(100,((Inputs!$B$9+((C3071=TRUE)*(F3071-Calc!F19))+B3082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3071=TRUE)*(F3071-Calc!F19))+B3082+(ArtifactsInput!$M$24-ArtifactsInput!$M$24)*CHOOSE(ArtifactsInput!$N$24+1,10,12,14,16,18,20)+IF(ArtifactsInput!$M$10,CHOOSE(ArtifactsInput!$N$10+1,15,18,21,24,27,30)*(IF(Inputs!$B$38="pvp",MIN(15,15)/15,IF(AND(Inputs!$B$38&lt;&gt;"pvp",Inputs!$B$43&gt;0),MIN(15,Inputs!$B$43)/(Inputs!$B$43),0))),0)))&gt;=100),CHOOSE(ArtifactsInput!$N$42+1,40,48,56,64,72,80),0))))/100)*((1+(((C3069=TRUE)*F3069)+((C3076=TRUE)*(F3076-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3065)</f>
        <v/>
      </c>
      <c r="L3065">
        <f>K3065*(MIN(Inputs!$B$22+((C3074=TRUE)*(F3074-Calc!F22)),(Inputs!$B$23+0+(IF(ArtifactsInput!$M$15,CHOOSE(ArtifactsInput!$N$15+1,25,30,35,40,45,50)/100*(Inputs!$B$11-Inputs!$B$11),0))))/100+(Inputs!$B$23+0+(IF(ArtifactsInput!$M$15,CHOOSE(ArtifactsInput!$N$15+1,25,30,35,40,45,50)/100*(Inputs!$B$11-Inputs!$B$11),0)))/100)/2</f>
        <v/>
      </c>
      <c r="M3065">
        <f>L3065*(1+(Inputs!$B$10+((C3077=TRUE)*(F3077-Calc!F25))+B3087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5">
        <f>L3065*(1-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3065*(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5">
        <f>(1-Summary!$B$11)*T3065+Summary!$B$11*V3065</f>
        <v/>
      </c>
      <c r="P3065">
        <f>IF(B3092=0,0,O3065/B3092)</f>
        <v/>
      </c>
      <c r="Q3065">
        <f>IFERROR(1/(IF(Inputs!$B$38="pvp",15,MAX(0.1,Skills!D13-IF(Skills!E13=TRUE,4.0,0)))*(1-IF(AND(ArtifactsInput!$M$27,Inputs!$B$4="Chapter Hunt"),CHOOSE(ArtifactsInput!$N$27+1,20,24,28,32,36,40),0)/100)),0)</f>
        <v/>
      </c>
      <c r="R3065">
        <f>IF(AND(Inputs!$B$38&lt;&gt;"pvp",Inputs!$B$43&gt;0),IF(MAX(0,Inputs!$B$43-B3089)&lt;=0,0,(INT(MAX(0,Inputs!$B$43-B3089)/(IF(Inputs!$B$38="pvp",15,MAX(0.1,Skills!D13-IF(Skills!E13=TRUE,4.0,0)))*(1-IF(AND(ArtifactsInput!$M$27,Inputs!$B$4="Chapter Hunt"),CHOOSE(ArtifactsInput!$N$27+1,20,24,28,32,36,40),0)/100)))+1)),0)</f>
        <v/>
      </c>
      <c r="S3065">
        <f>IFERROR(O3065/N3065,0)</f>
        <v/>
      </c>
      <c r="T3065">
        <f>IF(C3065,(H3065*N3065*IF(AND(Inputs!$B$38&lt;&gt;"pvp",Inputs!$B$43&gt;0),((Skills!G13*((R3065-1)*IF(Skills!H13&gt;0,Skills!I13/Skills!H13,1)+IF(Skills!H13&gt;0,MIN(Skills!I13,MAX(0,MAX(0,Inputs!$B$43-B3089)-((R3065-1)*(IF(Inputs!$B$38="pvp",15,MAX(0.1,Skills!D13-IF(Skills!E13=TRUE,4.0,0)))*(1-IF(AND(ArtifactsInput!$M$27,Inputs!$B$4="Chapter Hunt"),CHOOSE(ArtifactsInput!$N$27+1,20,24,28,32,36,40),0)/100)))))/Skills!H13,1)))/Inputs!$B$43),G3065*Q3065))*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3065*(1-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3065*(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3065*(1-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3065*(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5">
        <f>IF(C3065,(H3065*N3065*IF(AND(Inputs!$B$38&lt;&gt;"pvp",Inputs!$B$43&gt;0),((Skills!G13*((R3065-1)*IF(Skills!H13&gt;0,Skills!I13/Skills!H13,1)+IF(Skills!H13&gt;0,MIN(Skills!I13,MAX(0,MAX(0,Inputs!$B$43-B3089)-((R3065-1)*(IF(Inputs!$B$38="pvp",15,MAX(0.1,Skills!D13-IF(Skills!E13=TRUE,4.0,0)))*(1-IF(AND(ArtifactsInput!$M$27,Inputs!$B$4="Chapter Hunt"),CHOOSE(ArtifactsInput!$N$27+1,20,24,28,32,36,40),0)/100)))))/Skills!H13,1)))/Inputs!$B$43),G3065*Q3065))*IF(Inputs!$B$38="pvp",1,(1+(Inputs!$B$21+Skills!Q13+(IF(ArtifactsInput!$M$33,CHOOSE(ArtifactsInput!$N$33+1,30,36,42,48,54,60)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6">
      <c r="A3066">
        <f>Skills!A14</f>
        <v/>
      </c>
      <c r="B3066">
        <f>Skills!B14</f>
        <v/>
      </c>
      <c r="C3066">
        <f>Inputs!$B$3&gt;=125</f>
        <v/>
      </c>
      <c r="D3066">
        <f>IF(Skills!C14=1,60+Inputs!$B$25+Inputs!$B$29,IF(Skills!C14=2,90+Inputs!$B$26+Inputs!$B$29,IF(Skills!C14=3,120+Inputs!$B$27+Inputs!$B$29,MAX(0,(Inputs!$B$3-100)*3)+Inputs!$B$28+Inputs!$B$29)))</f>
        <v/>
      </c>
      <c r="E3066">
        <f>INDEX(FactorTable!$B$2:$Y$301, MATCH(ROUND(MIN(300,MAX(1,D3066)),0), FactorTable!$A$2:$A$301,0), Skills!M14+1)</f>
        <v/>
      </c>
      <c r="F3066">
        <f>IF(Skills!N14=TRUE,(Skills!L14/10)*(E3066/1000),Skills!L14/10)+Skills!O14</f>
        <v/>
      </c>
      <c r="G3066">
        <f>Skills!G14*IF(Skills!H14&gt;0,Skills!I14/Skills!H14,1)</f>
        <v/>
      </c>
      <c r="H3066">
        <f>1-(1-Skills!J14/100)^Skills!K14</f>
        <v/>
      </c>
      <c r="I3066" t="inlineStr">
        <is>
          <t>1</t>
        </is>
      </c>
      <c r="J3066">
        <f>((Inputs!$B$6*(1+Inputs!$B$7/100))+(((Inputs!$B$12*(1+Inputs!$B$13/100))-(Inputs!$B$12*(1+Inputs!$B$13/100)))+0.25*(Inputs!$B$14-Inputs!$B$14))*(1+Inputs!$B$7/100))*(F3066/100)</f>
        <v/>
      </c>
      <c r="K3066">
        <f>J3066*(1+((Inputs!$B$12*(1+Inputs!$B$13/100))*0.01+Inputs!$B$14*0.0025)/100)*(1+Inputs!$B$15/100)*(1+Inputs!$B$16/100)*(5000/(6000+Inputs!$B$42*(1-(100*(1-(1-(Inputs!$B$19+0)/100)*(1-CHOOSE(ArtifactsInput!$N$40+1,5,6,7,8,9,10)/100)^(ArtifactsInput!$M$40-ArtifactsInput!$M$40)))/100)))*(1+(Inputs!$B$24+((C3078=TRUE)*(F3078-Calc!F26))+B3088)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3075=TRUE)*(F3075-Calc!F23))+((C3079=TRUE)*(F3079-Calc!F27))+(((IF(AND(ArtifactsInput!$M$42,((Inputs!$B$9+((C3071=TRUE)*(F3071-Calc!F19))+B3082+(ArtifactsInput!$M$24-ArtifactsInput!$M$24)*CHOOSE(ArtifactsInput!$N$24+1,10,12,14,16,18,20)+IF(ArtifactsInput!$M$10,CHOOSE(ArtifactsInput!$N$10+1,15,18,21,24,27,30)*(IF(Inputs!$B$38="pvp",MIN(15,15)/15,IF(AND(Inputs!$B$38&lt;&gt;"pvp",Inputs!$B$43&gt;0),MIN(15,Inputs!$B$43)/(Inputs!$B$43),0))),0)))&gt;=100),MIN(100,((Inputs!$B$9+((C3071=TRUE)*(F3071-Calc!F19))+B3082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3071=TRUE)*(F3071-Calc!F19))+B3082+(ArtifactsInput!$M$24-ArtifactsInput!$M$24)*CHOOSE(ArtifactsInput!$N$24+1,10,12,14,16,18,20)+IF(ArtifactsInput!$M$10,CHOOSE(ArtifactsInput!$N$10+1,15,18,21,24,27,30)*(IF(Inputs!$B$38="pvp",MIN(15,15)/15,IF(AND(Inputs!$B$38&lt;&gt;"pvp",Inputs!$B$43&gt;0),MIN(15,Inputs!$B$43)/(Inputs!$B$43),0))),0)))&gt;=100),CHOOSE(ArtifactsInput!$N$42+1,40,48,56,64,72,80),0))))/100)*((1+(((C3069=TRUE)*F3069)+((C3076=TRUE)*(F3076-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3066)</f>
        <v/>
      </c>
      <c r="L3066">
        <f>K3066*(MIN(Inputs!$B$22+((C3074=TRUE)*(F3074-Calc!F22)),(Inputs!$B$23+0+(IF(ArtifactsInput!$M$15,CHOOSE(ArtifactsInput!$N$15+1,25,30,35,40,45,50)/100*(Inputs!$B$11-Inputs!$B$11),0))))/100+(Inputs!$B$23+0+(IF(ArtifactsInput!$M$15,CHOOSE(ArtifactsInput!$N$15+1,25,30,35,40,45,50)/100*(Inputs!$B$11-Inputs!$B$11),0)))/100)/2</f>
        <v/>
      </c>
      <c r="M3066">
        <f>L3066*(1+(Inputs!$B$10+((C3077=TRUE)*(F3077-Calc!F25))+B3087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6">
        <f>L3066*(1-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3066*(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6">
        <f>(1-Summary!$B$11)*T3066+Summary!$B$11*V3066</f>
        <v/>
      </c>
      <c r="P3066">
        <f>IF(B3092=0,0,O3066/B3092)</f>
        <v/>
      </c>
      <c r="Q3066" t="n">
        <v>0</v>
      </c>
      <c r="R3066" t="n">
        <v>0</v>
      </c>
      <c r="S3066">
        <f>IFERROR(O3066/N3066,0)</f>
        <v/>
      </c>
      <c r="T3066">
        <f>IF(C3066,(H3066*N3066*(B3086+IF(AND(Inputs!$B$38&lt;&gt;"pvp",Inputs!$B$43&gt;0),((Skills!G8*((R3060-1)*IF(Skills!H8&gt;0,Skills!I8/Skills!H8,1)+IF(Skills!H8&gt;0,MIN(Skills!I8,MAX(0,MAX(0,Inputs!$B$43-B3089)-((R3060-1)*(IF(Inputs!$B$38="pvp",15,MAX(0.1,Skills!D8-IF(Skills!E8=TRUE,4.0,0)))*(1-IF(AND(ArtifactsInput!$M$27,Inputs!$B$4="Chapter Hunt"),CHOOSE(ArtifactsInput!$N$27+1,20,24,28,32,36,40),0)/100)))))/Skills!H8,1)))/Inputs!$B$43),G3060*Q3060)+IF(AND(Inputs!$B$38&lt;&gt;"pvp",Inputs!$B$43&gt;0),((Skills!G11*((R3063-1)*IF(Skills!H11&gt;0,Skills!I11/Skills!H11,1)+IF(Skills!H11&gt;0,MIN(Skills!I11,MAX(0,MAX(0,Inputs!$B$43-B3089)-((R3063-1)*(IF(Inputs!$B$38="pvp",15,MAX(0.1,Skills!D11-IF(Skills!E11=TRUE,4.0,0)))*(1-IF(AND(ArtifactsInput!$M$27,Inputs!$B$4="Chapter Hunt"),CHOOSE(ArtifactsInput!$N$27+1,20,24,28,32,36,40),0)/100)))))/Skills!H11,1)))/Inputs!$B$43),G3063*Q3063)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3066*(1-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3066*(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3066*(1-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3066*(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6">
        <f>IF(C3066,(H3066*N3066*(B3086+IF(AND(Inputs!$B$38&lt;&gt;"pvp",Inputs!$B$43&gt;0),((Skills!G8*((R3060-1)*IF(Skills!H8&gt;0,Skills!I8/Skills!H8,1)+IF(Skills!H8&gt;0,MIN(Skills!I8,MAX(0,MAX(0,Inputs!$B$43-B3089)-((R3060-1)*(IF(Inputs!$B$38="pvp",15,MAX(0.1,Skills!D8-IF(Skills!E8=TRUE,4.0,0)))*(1-IF(AND(ArtifactsInput!$M$27,Inputs!$B$4="Chapter Hunt"),CHOOSE(ArtifactsInput!$N$27+1,20,24,28,32,36,40),0)/100)))))/Skills!H8,1)))/Inputs!$B$43),G3060*Q3060)+IF(AND(Inputs!$B$38&lt;&gt;"pvp",Inputs!$B$43&gt;0),((Skills!G11*((R3063-1)*IF(Skills!H11&gt;0,Skills!I11/Skills!H11,1)+IF(Skills!H11&gt;0,MIN(Skills!I11,MAX(0,MAX(0,Inputs!$B$43-B3089)-((R3063-1)*(IF(Inputs!$B$38="pvp",15,MAX(0.1,Skills!D11-IF(Skills!E11=TRUE,4.0,0)))*(1-IF(AND(ArtifactsInput!$M$27,Inputs!$B$4="Chapter Hunt"),CHOOSE(ArtifactsInput!$N$27+1,20,24,28,32,36,40),0)/100)))))/Skills!H11,1)))/Inputs!$B$43),G3063*Q3063)))*IF(Inputs!$B$38="pvp",1,(1+(Inputs!$B$21+Skills!Q14+(IF(ArtifactsInput!$M$33,CHOOSE(ArtifactsInput!$N$33+1,30,36,42,48,54,60)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7">
      <c r="A3067">
        <f>Skills!A15</f>
        <v/>
      </c>
      <c r="B3067">
        <f>Skills!B15</f>
        <v/>
      </c>
      <c r="C3067">
        <f>Inputs!$B$3&gt;=100</f>
        <v/>
      </c>
      <c r="D3067">
        <f>IF(Skills!C15=1,60+Inputs!$B$25+Inputs!$B$29,IF(Skills!C15=2,90+Inputs!$B$26+Inputs!$B$29,IF(Skills!C15=3,120+Inputs!$B$27+Inputs!$B$29,MAX(0,(Inputs!$B$3-100)*3)+Inputs!$B$28+Inputs!$B$29)))</f>
        <v/>
      </c>
      <c r="E3067">
        <f>INDEX(FactorTable!$B$2:$Y$301, MATCH(ROUND(MIN(300,MAX(1,D3067)),0), FactorTable!$A$2:$A$301,0), Skills!M15+1)</f>
        <v/>
      </c>
      <c r="F3067">
        <f>IF(Skills!N15=TRUE,(Skills!L15/10)*(E3067/1000),Skills!L15/10)+Skills!O15</f>
        <v/>
      </c>
      <c r="G3067" t="inlineStr"/>
      <c r="H3067" t="inlineStr"/>
      <c r="I3067" t="inlineStr">
        <is>
          <t>1</t>
        </is>
      </c>
      <c r="J3067" t="inlineStr"/>
      <c r="K3067" t="inlineStr"/>
      <c r="L3067" t="inlineStr"/>
      <c r="M3067" t="inlineStr"/>
      <c r="N3067" t="inlineStr"/>
      <c r="O3067" t="inlineStr"/>
      <c r="P3067" t="inlineStr"/>
      <c r="Q3067" t="inlineStr"/>
      <c r="R3067" t="inlineStr"/>
      <c r="S3067" t="inlineStr"/>
    </row>
    <row r="3068">
      <c r="A3068">
        <f>Skills!A16</f>
        <v/>
      </c>
      <c r="B3068">
        <f>Skills!B16</f>
        <v/>
      </c>
      <c r="C3068">
        <f>Inputs!$B$3&gt;=120</f>
        <v/>
      </c>
      <c r="D3068">
        <f>IF(Skills!C16=1,60+Inputs!$B$25+Inputs!$B$29,IF(Skills!C16=2,90+Inputs!$B$26+Inputs!$B$29,IF(Skills!C16=3,120+Inputs!$B$27+Inputs!$B$29,MAX(0,(Inputs!$B$3-100)*3)+Inputs!$B$28+Inputs!$B$29)))</f>
        <v/>
      </c>
      <c r="E3068">
        <f>INDEX(FactorTable!$B$2:$Y$301, MATCH(ROUND(MIN(300,MAX(1,D3068)),0), FactorTable!$A$2:$A$301,0), Skills!M16+1)</f>
        <v/>
      </c>
      <c r="F3068">
        <f>IF(Skills!N16=TRUE,(Skills!L16/10)*(E3068/1000),Skills!L16/10)+Skills!O16</f>
        <v/>
      </c>
      <c r="G3068" t="inlineStr"/>
      <c r="H3068" t="inlineStr"/>
      <c r="I3068" t="inlineStr">
        <is>
          <t>1</t>
        </is>
      </c>
      <c r="J3068" t="inlineStr"/>
      <c r="K3068" t="inlineStr"/>
      <c r="L3068" t="inlineStr"/>
      <c r="M3068" t="inlineStr"/>
      <c r="N3068" t="inlineStr"/>
      <c r="O3068" t="inlineStr"/>
      <c r="P3068" t="inlineStr"/>
      <c r="Q3068" t="inlineStr"/>
      <c r="R3068" t="inlineStr"/>
      <c r="S3068" t="inlineStr"/>
    </row>
    <row r="3069">
      <c r="A3069">
        <f>Skills!A17</f>
        <v/>
      </c>
      <c r="B3069">
        <f>Skills!B17</f>
        <v/>
      </c>
      <c r="C3069">
        <f>Inputs!$B$3&gt;=66</f>
        <v/>
      </c>
      <c r="D3069">
        <f>IF(Skills!C17=1,60+Inputs!$B$25+Inputs!$B$29,IF(Skills!C17=2,90+Inputs!$B$26+Inputs!$B$29,IF(Skills!C17=3,120+Inputs!$B$27+Inputs!$B$29,MAX(0,(Inputs!$B$3-100)*3)+Inputs!$B$28+Inputs!$B$29)))</f>
        <v/>
      </c>
      <c r="E3069">
        <f>INDEX(FactorTable!$B$2:$Y$301, MATCH(ROUND(MIN(300,MAX(1,D3069)),0), FactorTable!$A$2:$A$301,0), Skills!M17+1)</f>
        <v/>
      </c>
      <c r="F3069">
        <f>IF(Skills!N17=TRUE,(Skills!L17/10)*(E3069/1000),Skills!L17/10)+Skills!O17</f>
        <v/>
      </c>
      <c r="G3069">
        <f>Skills!G17*IF(Skills!H17&gt;0,Skills!I17/Skills!H17,1)</f>
        <v/>
      </c>
      <c r="H3069">
        <f>1-(1-Skills!J17/100)^Skills!K17</f>
        <v/>
      </c>
      <c r="I3069" t="inlineStr">
        <is>
          <t>1</t>
        </is>
      </c>
      <c r="J3069" t="inlineStr"/>
      <c r="K3069" t="inlineStr"/>
      <c r="L3069" t="inlineStr"/>
      <c r="M3069" t="inlineStr"/>
      <c r="N3069" t="inlineStr"/>
      <c r="O3069">
        <f>(1-Summary!$B$11)*T3069+Summary!$B$11*V3069</f>
        <v/>
      </c>
      <c r="P3069">
        <f>IF(B3092=0,0,O3069/B3092)</f>
        <v/>
      </c>
      <c r="Q3069" t="n">
        <v>0</v>
      </c>
      <c r="R3069" t="n">
        <v>0</v>
      </c>
      <c r="S3069">
        <f>IFERROR(O3069/N3069,0)</f>
        <v/>
      </c>
      <c r="T3069" t="n">
        <v>0</v>
      </c>
      <c r="V3069" t="n">
        <v>0</v>
      </c>
    </row>
    <row r="3070">
      <c r="A3070">
        <f>Skills!A18</f>
        <v/>
      </c>
      <c r="B3070">
        <f>Skills!B18</f>
        <v/>
      </c>
      <c r="C3070">
        <f>Inputs!$B$3&gt;=115</f>
        <v/>
      </c>
      <c r="D3070">
        <f>IF(Skills!C18=1,60+Inputs!$B$25+Inputs!$B$29,IF(Skills!C18=2,90+Inputs!$B$26+Inputs!$B$29,IF(Skills!C18=3,120+Inputs!$B$27+Inputs!$B$29,MAX(0,(Inputs!$B$3-100)*3)+Inputs!$B$28+Inputs!$B$29)))</f>
        <v/>
      </c>
      <c r="E3070">
        <f>INDEX(FactorTable!$B$2:$Y$301, MATCH(ROUND(MIN(300,MAX(1,D3070)),0), FactorTable!$A$2:$A$301,0), Skills!M18+1)</f>
        <v/>
      </c>
      <c r="F3070">
        <f>IF(Skills!N18=TRUE,(Skills!L18/10)*(E3070/1000),Skills!L18/10)+Skills!O18</f>
        <v/>
      </c>
      <c r="G3070">
        <f>Skills!G18*IF(Skills!H18&gt;0,Skills!I18/Skills!H18,1)</f>
        <v/>
      </c>
      <c r="H3070">
        <f>1-(1-Skills!J18/100)^Skills!K18</f>
        <v/>
      </c>
      <c r="I3070" t="inlineStr">
        <is>
          <t>1</t>
        </is>
      </c>
      <c r="J3070" t="inlineStr"/>
      <c r="K3070" t="inlineStr"/>
      <c r="L3070" t="inlineStr"/>
      <c r="M3070" t="inlineStr"/>
      <c r="N3070" t="inlineStr"/>
      <c r="O3070">
        <f>(1-Summary!$B$11)*T3070+Summary!$B$11*V3070</f>
        <v/>
      </c>
      <c r="P3070">
        <f>IF(B3092=0,0,O3070/B3092)</f>
        <v/>
      </c>
      <c r="Q3070" t="n">
        <v>0</v>
      </c>
      <c r="R3070" t="n">
        <v>0</v>
      </c>
      <c r="S3070">
        <f>IFERROR(O3070/N3070,0)</f>
        <v/>
      </c>
      <c r="T3070" t="n">
        <v>0</v>
      </c>
      <c r="V3070" t="n">
        <v>0</v>
      </c>
    </row>
    <row r="3071">
      <c r="A3071">
        <f>Skills!A19</f>
        <v/>
      </c>
      <c r="B3071">
        <f>Skills!B19</f>
        <v/>
      </c>
      <c r="C3071">
        <f>Inputs!$B$3&gt;=15</f>
        <v/>
      </c>
      <c r="D3071">
        <f>IF(Skills!C19=1,60+Inputs!$B$25+Inputs!$B$29,IF(Skills!C19=2,90+Inputs!$B$26+Inputs!$B$29,IF(Skills!C19=3,120+Inputs!$B$27+Inputs!$B$29,MAX(0,(Inputs!$B$3-100)*3)+Inputs!$B$28+Inputs!$B$29)))</f>
        <v/>
      </c>
      <c r="E3071">
        <f>INDEX(FactorTable!$B$2:$Y$301, MATCH(ROUND(MIN(300,MAX(1,D3071)),0), FactorTable!$A$2:$A$301,0), Skills!M19+1)</f>
        <v/>
      </c>
      <c r="F3071">
        <f>IF(Skills!N19=TRUE,(Skills!L19/10)*(E3071/1000),Skills!L19/10)+Skills!O19</f>
        <v/>
      </c>
      <c r="G3071">
        <f>Skills!G19*IF(Skills!H19&gt;0,Skills!I19/Skills!H19,1)</f>
        <v/>
      </c>
      <c r="H3071">
        <f>1-(1-Skills!J19/100)^Skills!K19</f>
        <v/>
      </c>
      <c r="I3071" t="inlineStr">
        <is>
          <t>1</t>
        </is>
      </c>
      <c r="J3071" t="inlineStr"/>
      <c r="K3071" t="inlineStr"/>
      <c r="L3071" t="inlineStr"/>
      <c r="M3071" t="inlineStr"/>
      <c r="N3071" t="inlineStr"/>
      <c r="O3071">
        <f>(1-Summary!$B$11)*T3071+Summary!$B$11*V3071</f>
        <v/>
      </c>
      <c r="P3071">
        <f>IF(B3092=0,0,O3071/B3092)</f>
        <v/>
      </c>
      <c r="Q3071" t="n">
        <v>0</v>
      </c>
      <c r="R3071" t="n">
        <v>0</v>
      </c>
      <c r="S3071">
        <f>IFERROR(O3071/N3071,0)</f>
        <v/>
      </c>
      <c r="T3071" t="n">
        <v>0</v>
      </c>
      <c r="V3071" t="n">
        <v>0</v>
      </c>
    </row>
    <row r="3072">
      <c r="A3072">
        <f>Skills!A20</f>
        <v/>
      </c>
      <c r="B3072">
        <f>Skills!B20</f>
        <v/>
      </c>
      <c r="C3072">
        <f>Inputs!$B$3&gt;=10</f>
        <v/>
      </c>
      <c r="D3072">
        <f>IF(Skills!C20=1,60+Inputs!$B$25+Inputs!$B$29,IF(Skills!C20=2,90+Inputs!$B$26+Inputs!$B$29,IF(Skills!C20=3,120+Inputs!$B$27+Inputs!$B$29,MAX(0,(Inputs!$B$3-100)*3)+Inputs!$B$28+Inputs!$B$29)))</f>
        <v/>
      </c>
      <c r="E3072">
        <f>INDEX(FactorTable!$B$2:$Y$301, MATCH(ROUND(MIN(300,MAX(1,D3072)),0), FactorTable!$A$2:$A$301,0), Skills!M20+1)</f>
        <v/>
      </c>
      <c r="F3072">
        <f>IF(Skills!N20=TRUE,(Skills!L20/10)*(E3072/1000),Skills!L20/10)+Skills!O20</f>
        <v/>
      </c>
      <c r="G3072">
        <f>Skills!G20*IF(Skills!H20&gt;0,Skills!I20/Skills!H20,1)</f>
        <v/>
      </c>
      <c r="H3072">
        <f>1-(1-Skills!J20/100)^Skills!K20</f>
        <v/>
      </c>
      <c r="I3072" t="inlineStr">
        <is>
          <t>1</t>
        </is>
      </c>
      <c r="J3072" t="inlineStr"/>
      <c r="K3072" t="inlineStr"/>
      <c r="L3072" t="inlineStr"/>
      <c r="M3072" t="inlineStr"/>
      <c r="N3072" t="inlineStr"/>
      <c r="O3072">
        <f>(1-Summary!$B$11)*T3072+Summary!$B$11*V3072</f>
        <v/>
      </c>
      <c r="P3072">
        <f>IF(B3092=0,0,O3072/B3092)</f>
        <v/>
      </c>
      <c r="Q3072" t="n">
        <v>0</v>
      </c>
      <c r="R3072" t="n">
        <v>0</v>
      </c>
      <c r="S3072">
        <f>IFERROR(O3072/N3072,0)</f>
        <v/>
      </c>
      <c r="T3072" t="n">
        <v>0</v>
      </c>
      <c r="V3072" t="n">
        <v>0</v>
      </c>
    </row>
    <row r="3073">
      <c r="A3073">
        <f>Skills!A21</f>
        <v/>
      </c>
      <c r="B3073">
        <f>Skills!B21</f>
        <v/>
      </c>
      <c r="C3073">
        <f>Inputs!$B$3&gt;=33</f>
        <v/>
      </c>
      <c r="D3073">
        <f>IF(Skills!C21=1,60+Inputs!$B$25+Inputs!$B$29,IF(Skills!C21=2,90+Inputs!$B$26+Inputs!$B$29,IF(Skills!C21=3,120+Inputs!$B$27+Inputs!$B$29,MAX(0,(Inputs!$B$3-100)*3)+Inputs!$B$28+Inputs!$B$29)))</f>
        <v/>
      </c>
      <c r="E3073">
        <f>INDEX(FactorTable!$B$2:$Y$301, MATCH(ROUND(MIN(300,MAX(1,D3073)),0), FactorTable!$A$2:$A$301,0), Skills!M21+1)</f>
        <v/>
      </c>
      <c r="F3073">
        <f>IF(Skills!N21=TRUE,(Skills!L21/10)*(E3073/1000),Skills!L21/10)+Skills!O21</f>
        <v/>
      </c>
      <c r="G3073">
        <f>Skills!G21*IF(Skills!H21&gt;0,Skills!I21/Skills!H21,1)</f>
        <v/>
      </c>
      <c r="H3073">
        <f>1-(1-Skills!J21/100)^Skills!K21</f>
        <v/>
      </c>
      <c r="I3073" t="inlineStr">
        <is>
          <t>1</t>
        </is>
      </c>
      <c r="J3073" t="inlineStr"/>
      <c r="K3073" t="inlineStr"/>
      <c r="L3073" t="inlineStr"/>
      <c r="M3073" t="inlineStr"/>
      <c r="N3073" t="inlineStr"/>
      <c r="O3073">
        <f>(1-Summary!$B$11)*T3073+Summary!$B$11*V3073</f>
        <v/>
      </c>
      <c r="P3073">
        <f>IF(B3092=0,0,O3073/B3092)</f>
        <v/>
      </c>
      <c r="Q3073" t="n">
        <v>0</v>
      </c>
      <c r="R3073" t="n">
        <v>0</v>
      </c>
      <c r="S3073">
        <f>IFERROR(O3073/N3073,0)</f>
        <v/>
      </c>
      <c r="T3073" t="n">
        <v>0</v>
      </c>
      <c r="V3073" t="n">
        <v>0</v>
      </c>
    </row>
    <row r="3074">
      <c r="A3074">
        <f>Skills!A22</f>
        <v/>
      </c>
      <c r="B3074">
        <f>Skills!B22</f>
        <v/>
      </c>
      <c r="C3074">
        <f>Inputs!$B$3&gt;=43</f>
        <v/>
      </c>
      <c r="D3074">
        <f>IF(Skills!C22=1,60+Inputs!$B$25+Inputs!$B$29,IF(Skills!C22=2,90+Inputs!$B$26+Inputs!$B$29,IF(Skills!C22=3,120+Inputs!$B$27+Inputs!$B$29,MAX(0,(Inputs!$B$3-100)*3)+Inputs!$B$28+Inputs!$B$29)))</f>
        <v/>
      </c>
      <c r="E3074">
        <f>INDEX(FactorTable!$B$2:$Y$301, MATCH(ROUND(MIN(300,MAX(1,D3074)),0), FactorTable!$A$2:$A$301,0), Skills!M22+1)</f>
        <v/>
      </c>
      <c r="F3074">
        <f>IF(Skills!N22=TRUE,(Skills!L22/10)*(E3074/1000),Skills!L22/10)+Skills!O22</f>
        <v/>
      </c>
      <c r="G3074">
        <f>Skills!G22*IF(Skills!H22&gt;0,Skills!I22/Skills!H22,1)</f>
        <v/>
      </c>
      <c r="H3074">
        <f>1-(1-Skills!J22/100)^Skills!K22</f>
        <v/>
      </c>
      <c r="I3074" t="inlineStr">
        <is>
          <t>1</t>
        </is>
      </c>
      <c r="J3074" t="inlineStr"/>
      <c r="K3074" t="inlineStr"/>
      <c r="L3074" t="inlineStr"/>
      <c r="M3074" t="inlineStr"/>
      <c r="N3074" t="inlineStr"/>
      <c r="O3074">
        <f>(1-Summary!$B$11)*T3074+Summary!$B$11*V3074</f>
        <v/>
      </c>
      <c r="P3074">
        <f>IF(B3092=0,0,O3074/B3092)</f>
        <v/>
      </c>
      <c r="Q3074" t="n">
        <v>0</v>
      </c>
      <c r="R3074" t="n">
        <v>0</v>
      </c>
      <c r="S3074">
        <f>IFERROR(O3074/N3074,0)</f>
        <v/>
      </c>
      <c r="T3074" t="n">
        <v>0</v>
      </c>
      <c r="V3074" t="n">
        <v>0</v>
      </c>
    </row>
    <row r="3075">
      <c r="A3075">
        <f>Skills!A23</f>
        <v/>
      </c>
      <c r="B3075">
        <f>Skills!B23</f>
        <v/>
      </c>
      <c r="C3075">
        <f>Inputs!$B$3&gt;=38</f>
        <v/>
      </c>
      <c r="D3075">
        <f>IF(Skills!C23=1,60+Inputs!$B$25+Inputs!$B$29,IF(Skills!C23=2,90+Inputs!$B$26+Inputs!$B$29,IF(Skills!C23=3,120+Inputs!$B$27+Inputs!$B$29,MAX(0,(Inputs!$B$3-100)*3)+Inputs!$B$28+Inputs!$B$29)))</f>
        <v/>
      </c>
      <c r="E3075">
        <f>INDEX(FactorTable!$B$2:$Y$301, MATCH(ROUND(MIN(300,MAX(1,D3075)),0), FactorTable!$A$2:$A$301,0), Skills!M23+1)</f>
        <v/>
      </c>
      <c r="F3075">
        <f>IF(Skills!N23=TRUE,(Skills!L23/10)*(E3075/1000),Skills!L23/10)+Skills!O23</f>
        <v/>
      </c>
      <c r="G3075">
        <f>Skills!G23*IF(Skills!H23&gt;0,Skills!I23/Skills!H23,1)</f>
        <v/>
      </c>
      <c r="H3075">
        <f>1-(1-Skills!J23/100)^Skills!K23</f>
        <v/>
      </c>
      <c r="I3075" t="inlineStr">
        <is>
          <t>1</t>
        </is>
      </c>
      <c r="J3075" t="inlineStr"/>
      <c r="K3075" t="inlineStr"/>
      <c r="L3075" t="inlineStr"/>
      <c r="M3075" t="inlineStr"/>
      <c r="N3075" t="inlineStr"/>
      <c r="O3075">
        <f>(1-Summary!$B$11)*T3075+Summary!$B$11*V3075</f>
        <v/>
      </c>
      <c r="P3075">
        <f>IF(B3092=0,0,O3075/B3092)</f>
        <v/>
      </c>
      <c r="Q3075" t="n">
        <v>0</v>
      </c>
      <c r="R3075" t="n">
        <v>0</v>
      </c>
      <c r="S3075">
        <f>IFERROR(O3075/N3075,0)</f>
        <v/>
      </c>
      <c r="T3075" t="n">
        <v>0</v>
      </c>
      <c r="V3075" t="n">
        <v>0</v>
      </c>
    </row>
    <row r="3076">
      <c r="A3076">
        <f>Skills!A24</f>
        <v/>
      </c>
      <c r="B3076">
        <f>Skills!B24</f>
        <v/>
      </c>
      <c r="C3076">
        <f>Inputs!$B$3&gt;=40</f>
        <v/>
      </c>
      <c r="D3076">
        <f>IF(Skills!C24=1,60+Inputs!$B$25+Inputs!$B$29,IF(Skills!C24=2,90+Inputs!$B$26+Inputs!$B$29,IF(Skills!C24=3,120+Inputs!$B$27+Inputs!$B$29,MAX(0,(Inputs!$B$3-100)*3)+Inputs!$B$28+Inputs!$B$29)))</f>
        <v/>
      </c>
      <c r="E3076">
        <f>INDEX(FactorTable!$B$2:$Y$301, MATCH(ROUND(MIN(300,MAX(1,D3076)),0), FactorTable!$A$2:$A$301,0), Skills!M24+1)</f>
        <v/>
      </c>
      <c r="F3076">
        <f>IF(Skills!N24=TRUE,(Skills!L24/10)*(E3076/1000),Skills!L24/10)+Skills!O24</f>
        <v/>
      </c>
      <c r="G3076">
        <f>Skills!G24*IF(Skills!H24&gt;0,Skills!I24/Skills!H24,1)</f>
        <v/>
      </c>
      <c r="H3076">
        <f>1-(1-Skills!J24/100)^Skills!K24</f>
        <v/>
      </c>
      <c r="I3076" t="inlineStr">
        <is>
          <t>1</t>
        </is>
      </c>
      <c r="J3076" t="inlineStr"/>
      <c r="K3076" t="inlineStr"/>
      <c r="L3076" t="inlineStr"/>
      <c r="M3076" t="inlineStr"/>
      <c r="N3076" t="inlineStr"/>
      <c r="O3076">
        <f>(1-Summary!$B$11)*T3076+Summary!$B$11*V3076</f>
        <v/>
      </c>
      <c r="P3076">
        <f>IF(B3092=0,0,O3076/B3092)</f>
        <v/>
      </c>
      <c r="Q3076" t="n">
        <v>0</v>
      </c>
      <c r="R3076" t="n">
        <v>0</v>
      </c>
      <c r="S3076">
        <f>IFERROR(O3076/N3076,0)</f>
        <v/>
      </c>
      <c r="T3076" t="n">
        <v>0</v>
      </c>
      <c r="V3076" t="n">
        <v>0</v>
      </c>
    </row>
    <row r="3077">
      <c r="A3077">
        <f>Skills!A25</f>
        <v/>
      </c>
      <c r="B3077">
        <f>Skills!B25</f>
        <v/>
      </c>
      <c r="C3077">
        <f>Inputs!$B$3&gt;=72</f>
        <v/>
      </c>
      <c r="D3077">
        <f>IF(Skills!C25=1,60+Inputs!$B$25+Inputs!$B$29,IF(Skills!C25=2,90+Inputs!$B$26+Inputs!$B$29,IF(Skills!C25=3,120+Inputs!$B$27+Inputs!$B$29,MAX(0,(Inputs!$B$3-100)*3)+Inputs!$B$28+Inputs!$B$29)))</f>
        <v/>
      </c>
      <c r="E3077">
        <f>INDEX(FactorTable!$B$2:$Y$301, MATCH(ROUND(MIN(300,MAX(1,D3077)),0), FactorTable!$A$2:$A$301,0), Skills!M25+1)</f>
        <v/>
      </c>
      <c r="F3077">
        <f>IF(Skills!N25=TRUE,(Skills!L25/10)*(E3077/1000),Skills!L25/10)+Skills!O25</f>
        <v/>
      </c>
      <c r="G3077">
        <f>Skills!G25*IF(Skills!H25&gt;0,Skills!I25/Skills!H25,1)</f>
        <v/>
      </c>
      <c r="H3077">
        <f>1-(1-Skills!J25/100)^Skills!K25</f>
        <v/>
      </c>
      <c r="I3077" t="inlineStr">
        <is>
          <t>1</t>
        </is>
      </c>
      <c r="J3077" t="inlineStr"/>
      <c r="K3077" t="inlineStr"/>
      <c r="L3077" t="inlineStr"/>
      <c r="M3077" t="inlineStr"/>
      <c r="N3077" t="inlineStr"/>
      <c r="O3077">
        <f>(1-Summary!$B$11)*T3077+Summary!$B$11*V3077</f>
        <v/>
      </c>
      <c r="P3077">
        <f>IF(B3092=0,0,O3077/B3092)</f>
        <v/>
      </c>
      <c r="Q3077" t="n">
        <v>0</v>
      </c>
      <c r="R3077" t="n">
        <v>0</v>
      </c>
      <c r="S3077">
        <f>IFERROR(O3077/N3077,0)</f>
        <v/>
      </c>
      <c r="T3077" t="n">
        <v>0</v>
      </c>
      <c r="V3077" t="n">
        <v>0</v>
      </c>
    </row>
    <row r="3078">
      <c r="A3078">
        <f>Skills!A26</f>
        <v/>
      </c>
      <c r="B3078">
        <f>Skills!B26</f>
        <v/>
      </c>
      <c r="C3078">
        <f>Inputs!$B$3&gt;=75</f>
        <v/>
      </c>
      <c r="D3078">
        <f>IF(Skills!C26=1,60+Inputs!$B$25+Inputs!$B$29,IF(Skills!C26=2,90+Inputs!$B$26+Inputs!$B$29,IF(Skills!C26=3,120+Inputs!$B$27+Inputs!$B$29,MAX(0,(Inputs!$B$3-100)*3)+Inputs!$B$28+Inputs!$B$29)))</f>
        <v/>
      </c>
      <c r="E3078">
        <f>INDEX(FactorTable!$B$2:$Y$301, MATCH(ROUND(MIN(300,MAX(1,D3078)),0), FactorTable!$A$2:$A$301,0), Skills!M26+1)</f>
        <v/>
      </c>
      <c r="F3078">
        <f>IF(Skills!N26=TRUE,(Skills!L26/10)*(E3078/1000),Skills!L26/10)+Skills!O26</f>
        <v/>
      </c>
      <c r="G3078">
        <f>Skills!G26*IF(Skills!H26&gt;0,Skills!I26/Skills!H26,1)</f>
        <v/>
      </c>
      <c r="H3078">
        <f>1-(1-Skills!J26/100)^Skills!K26</f>
        <v/>
      </c>
      <c r="I3078" t="inlineStr">
        <is>
          <t>1</t>
        </is>
      </c>
      <c r="J3078" t="inlineStr"/>
      <c r="K3078" t="inlineStr"/>
      <c r="L3078" t="inlineStr"/>
      <c r="M3078" t="inlineStr"/>
      <c r="N3078" t="inlineStr"/>
      <c r="O3078">
        <f>(1-Summary!$B$11)*T3078+Summary!$B$11*V3078</f>
        <v/>
      </c>
      <c r="P3078">
        <f>IF(B3092=0,0,O3078/B3092)</f>
        <v/>
      </c>
      <c r="Q3078" t="n">
        <v>0</v>
      </c>
      <c r="R3078" t="n">
        <v>0</v>
      </c>
      <c r="S3078">
        <f>IFERROR(O3078/N3078,0)</f>
        <v/>
      </c>
      <c r="T3078" t="n">
        <v>0</v>
      </c>
      <c r="V3078" t="n">
        <v>0</v>
      </c>
    </row>
    <row r="3079">
      <c r="A3079">
        <f>Skills!A27</f>
        <v/>
      </c>
      <c r="B3079">
        <f>Skills!B27</f>
        <v/>
      </c>
      <c r="C3079">
        <f>Inputs!$B$3&gt;=117</f>
        <v/>
      </c>
      <c r="D3079">
        <f>IF(Skills!C27=1,60+Inputs!$B$25+Inputs!$B$29,IF(Skills!C27=2,90+Inputs!$B$26+Inputs!$B$29,IF(Skills!C27=3,120+Inputs!$B$27+Inputs!$B$29,MAX(0,(Inputs!$B$3-100)*3)+Inputs!$B$28+Inputs!$B$29)))</f>
        <v/>
      </c>
      <c r="E3079">
        <f>INDEX(FactorTable!$B$2:$Y$301, MATCH(ROUND(MIN(300,MAX(1,D3079)),0), FactorTable!$A$2:$A$301,0), Skills!M27+1)</f>
        <v/>
      </c>
      <c r="F3079">
        <f>IF(Skills!N27=TRUE,(Skills!L27/10)*(E3079/1000),Skills!L27/10)+Skills!O27</f>
        <v/>
      </c>
      <c r="G3079">
        <f>Skills!G27*IF(Skills!H27&gt;0,Skills!I27/Skills!H27,1)</f>
        <v/>
      </c>
      <c r="H3079">
        <f>1-(1-Skills!J27/100)^Skills!K27</f>
        <v/>
      </c>
      <c r="I3079" t="inlineStr">
        <is>
          <t>1</t>
        </is>
      </c>
      <c r="J3079" t="inlineStr"/>
      <c r="K3079" t="inlineStr"/>
      <c r="L3079" t="inlineStr"/>
      <c r="M3079" t="inlineStr"/>
      <c r="N3079" t="inlineStr"/>
      <c r="O3079">
        <f>(1-Summary!$B$11)*T3079+Summary!$B$11*V3079</f>
        <v/>
      </c>
      <c r="P3079">
        <f>IF(B3092=0,0,O3079/B3092)</f>
        <v/>
      </c>
      <c r="Q3079" t="n">
        <v>0</v>
      </c>
      <c r="R3079" t="n">
        <v>0</v>
      </c>
      <c r="S3079">
        <f>IFERROR(O3079/N3079,0)</f>
        <v/>
      </c>
      <c r="T3079" t="n">
        <v>0</v>
      </c>
      <c r="V3079" t="n">
        <v>0</v>
      </c>
    </row>
    <row r="3081">
      <c r="A3081" t="inlineStr">
        <is>
          <t>Attack% Bucket Multiplier</t>
        </is>
      </c>
      <c r="B3081">
        <f>(1+(((C3069=TRUE)*F3069)+((C3076=TRUE)*(F3076-Calc!F24))+(IF(ArtifactsInput!$M$21,CHOOSE(ArtifactsInput!$N$21+1,25,30,35,40,45,50)*(IF(OR(Inputs!$B$4="Chapter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82">
      <c r="A3082" t="inlineStr">
        <is>
          <t>Global Crit Rate Bonus %</t>
        </is>
      </c>
      <c r="B3082" t="n">
        <v>0</v>
      </c>
    </row>
    <row r="3083">
      <c r="A3083" t="inlineStr">
        <is>
          <t>Attack Speed Buff Bonus % (unused)</t>
        </is>
      </c>
      <c r="B3083" t="n">
        <v>0</v>
      </c>
    </row>
    <row r="3084">
      <c r="A3084" t="inlineStr">
        <is>
          <t>Actions Per Second</t>
        </is>
      </c>
      <c r="B3084">
        <f>1+MIN(150,150*(1-(1-(Inputs!$B$11+((C3072=TRUE)*(F3072-Calc!F20))+((C3073=TRUE)*(F3073-Calc!F21)))/150)*(1-B3083/150)))/100</f>
        <v/>
      </c>
    </row>
    <row r="3085">
      <c r="A3085" t="inlineStr">
        <is>
          <t>Skill + Buff Cast Rate</t>
        </is>
      </c>
      <c r="B3085">
        <f>IF(AND(Inputs!$B$38&lt;&gt;"pvp",Inputs!$B$43&gt;0),SUMPRODUCT((Skills!E2:E27=TRUE)*(C3054:C3079=TRUE)*R3054:R3079*Skills!F2:F27)/Inputs!$B$43,SUMPRODUCT((Skills!E2:E27=TRUE)*(C3054:C3079=TRUE)*Q3054:Q3079*Skills!F2:F27))</f>
        <v/>
      </c>
    </row>
    <row r="3086">
      <c r="A3086" t="inlineStr">
        <is>
          <t>Eight-Legs Easton Casts Per Second</t>
        </is>
      </c>
      <c r="B3086">
        <f>MAX(0,B3084-B3085)</f>
        <v/>
      </c>
    </row>
    <row r="3087">
      <c r="A3087" t="inlineStr">
        <is>
          <t>Global Critical Damage Bonus % (unused)</t>
        </is>
      </c>
      <c r="B3087" t="n">
        <v>0</v>
      </c>
    </row>
    <row r="3088">
      <c r="A3088" t="inlineStr">
        <is>
          <t>Global Final Damage Bonus % (Jolly Roger only)</t>
        </is>
      </c>
      <c r="B3088">
        <f>((C3070=TRUE)*F3070)</f>
        <v/>
      </c>
    </row>
    <row r="3089">
      <c r="A3089" t="inlineStr">
        <is>
          <t>Buff-Casting Startup Delay (s, fixed-duration only)</t>
        </is>
      </c>
      <c r="B3089">
        <f>IF(AND(Inputs!$B$38&lt;&gt;"pvp",Inputs!$B$43&gt;0),SUMPRODUCT((Skills!T2:T27&gt;0)*(Skills!E2:E27=TRUE)*(C3054:C3079=TRUE))/B3084,0)</f>
        <v/>
      </c>
    </row>
    <row r="3090">
      <c r="A3090" t="inlineStr">
        <is>
          <t>Boss-Only Total DPS (this block's swept value)</t>
        </is>
      </c>
      <c r="B3090">
        <f>SUM(T3054:T3079)</f>
        <v/>
      </c>
    </row>
    <row r="3091">
      <c r="A3091" t="inlineStr">
        <is>
          <t>Normal-Only Total DPS (this block's swept value)</t>
        </is>
      </c>
      <c r="B3091">
        <f>SUM(V3054:V3079)</f>
        <v/>
      </c>
    </row>
    <row r="3092">
      <c r="A3092" s="6" t="inlineStr">
        <is>
          <t>TOTAL DPS</t>
        </is>
      </c>
      <c r="B3092" s="6">
        <f>SUM(O3054:O3079)</f>
        <v/>
      </c>
    </row>
    <row r="3095">
      <c r="A3095" s="6" t="inlineStr">
        <is>
          <t>Stat: CDR = 4.5s</t>
        </is>
      </c>
    </row>
    <row r="3096">
      <c r="A3096" s="5" t="inlineStr">
        <is>
          <t>Key</t>
        </is>
      </c>
      <c r="B3096" s="5" t="inlineStr">
        <is>
          <t>Name</t>
        </is>
      </c>
      <c r="C3096" s="5" t="inlineStr">
        <is>
          <t>Unlocked</t>
        </is>
      </c>
      <c r="D3096" s="5" t="inlineStr">
        <is>
          <t>InputLevel</t>
        </is>
      </c>
      <c r="E3096" s="5" t="inlineStr">
        <is>
          <t>Factor</t>
        </is>
      </c>
      <c r="F3096" s="5" t="inlineStr">
        <is>
          <t>CoefficientPercent</t>
        </is>
      </c>
      <c r="G3096" s="5" t="inlineStr">
        <is>
          <t>EffectiveHits</t>
        </is>
      </c>
      <c r="H3096" s="5" t="inlineStr">
        <is>
          <t>ProcProbability</t>
        </is>
      </c>
      <c r="I3096" s="5" t="inlineStr">
        <is>
          <t>MapleHeroMultiplier</t>
        </is>
      </c>
      <c r="J3096" s="5" t="inlineStr">
        <is>
          <t>BaseDamage</t>
        </is>
      </c>
      <c r="K3096" s="5" t="inlineStr">
        <is>
          <t>BaseHitDamage</t>
        </is>
      </c>
      <c r="L3096" s="5" t="inlineStr">
        <is>
          <t>NonCritAvg</t>
        </is>
      </c>
      <c r="M3096" s="5" t="inlineStr">
        <is>
          <t>CritAvg</t>
        </is>
      </c>
      <c r="N3096" s="5" t="inlineStr">
        <is>
          <t>ExpectedDamage(perHit)</t>
        </is>
      </c>
      <c r="O3096" s="5" t="inlineStr">
        <is>
          <t>DPS</t>
        </is>
      </c>
      <c r="P3096" s="5" t="inlineStr">
        <is>
          <t>% of Total</t>
        </is>
      </c>
      <c r="Q3096" s="5" t="inlineStr">
        <is>
          <t>InvCooldown</t>
        </is>
      </c>
      <c r="R3096" s="5" t="inlineStr">
        <is>
          <t>CastsInFight</t>
        </is>
      </c>
      <c r="S3096" s="5" t="inlineStr">
        <is>
          <t>HitRate(perSec)</t>
        </is>
      </c>
      <c r="U3096" t="inlineStr">
        <is>
          <t>helpers</t>
        </is>
      </c>
    </row>
    <row r="3097">
      <c r="A3097">
        <f>Skills!A2</f>
        <v/>
      </c>
      <c r="B3097">
        <f>Skills!B2</f>
        <v/>
      </c>
      <c r="C3097">
        <f>Inputs!$B$3&gt;=100</f>
        <v/>
      </c>
      <c r="D3097" t="inlineStr"/>
      <c r="E3097" t="inlineStr"/>
      <c r="F3097">
        <f>U3099+Skills!O2</f>
        <v/>
      </c>
      <c r="G3097">
        <f>Skills!G2*IF(Skills!H2&gt;0,Skills!I2/Skills!H2,1)</f>
        <v/>
      </c>
      <c r="H3097">
        <f>1-(1-Skills!J2/100)^Skills!K2</f>
        <v/>
      </c>
      <c r="I3097" t="inlineStr">
        <is>
          <t>1</t>
        </is>
      </c>
      <c r="J3097">
        <f>((Inputs!$B$6*(1+Inputs!$B$7/100))+(((Inputs!$B$12*(1+Inputs!$B$13/100))-(Inputs!$B$12*(1+Inputs!$B$13/100)))+0.25*(Inputs!$B$14-Inputs!$B$14))*(1+Inputs!$B$7/100))*(F3097/100)</f>
        <v/>
      </c>
      <c r="K3097">
        <f>J3097*(1+((Inputs!$B$12*(1+Inputs!$B$13/100))*0.01+Inputs!$B$14*0.0025)/100)*(1+Inputs!$B$15/100)*(1+Inputs!$B$16/100)*(5000/(6000+Inputs!$B$42*(1-(100*(1-(1-(Inputs!$B$19+0)/100)*(1-CHOOSE(ArtifactsInput!$N$40+1,5,6,7,8,9,10)/100)^(ArtifactsInput!$M$40-ArtifactsInput!$M$40)))/100)))*(1+(Inputs!$B$24+((C3121=TRUE)*(F3121-Calc!F26))+B3131)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3118=TRUE)*(F3118-Calc!F23))+((C3122=TRUE)*(F3122-Calc!F27))+(((IF(AND(ArtifactsInput!$M$42,((Inputs!$B$9+((C3114=TRUE)*(F3114-Calc!F19))+B3125+(ArtifactsInput!$M$24-ArtifactsInput!$M$24)*CHOOSE(ArtifactsInput!$N$24+1,10,12,14,16,18,20)+IF(ArtifactsInput!$M$10,CHOOSE(ArtifactsInput!$N$10+1,15,18,21,24,27,30)*(IF(Inputs!$B$38="pvp",MIN(15,15)/15,IF(AND(Inputs!$B$38&lt;&gt;"pvp",Inputs!$B$43&gt;0),MIN(15,Inputs!$B$43)/(Inputs!$B$43),0))),0)))&gt;=100),MIN(100,((Inputs!$B$9+((C3114=TRUE)*(F3114-Calc!F19))+B3125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3114=TRUE)*(F3114-Calc!F19))+B3125+(ArtifactsInput!$M$24-ArtifactsInput!$M$24)*CHOOSE(ArtifactsInput!$N$24+1,10,12,14,16,18,20)+IF(ArtifactsInput!$M$10,CHOOSE(ArtifactsInput!$N$10+1,15,18,21,24,27,30)*(IF(Inputs!$B$38="pvp",MIN(15,15)/15,IF(AND(Inputs!$B$38&lt;&gt;"pvp",Inputs!$B$43&gt;0),MIN(15,Inputs!$B$43)/(Inputs!$B$43),0))),0)))&gt;=100),CHOOSE(ArtifactsInput!$N$42+1,40,48,56,64,72,80),0))))/100)*((1+(((C3112=TRUE)*F3112)+((C3119=TRUE)*(F3119-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3097)</f>
        <v/>
      </c>
      <c r="L3097">
        <f>K3097*(MIN(Inputs!$B$22+((C3117=TRUE)*(F3117-Calc!F22)),(Inputs!$B$23+0+(IF(ArtifactsInput!$M$15,CHOOSE(ArtifactsInput!$N$15+1,25,30,35,40,45,50)/100*(Inputs!$B$11-Inputs!$B$11),0))))/100+(Inputs!$B$23+0+(IF(ArtifactsInput!$M$15,CHOOSE(ArtifactsInput!$N$15+1,25,30,35,40,45,50)/100*(Inputs!$B$11-Inputs!$B$11),0)))/100)/2</f>
        <v/>
      </c>
      <c r="M3097">
        <f>L3097*(1+(Inputs!$B$10+((C3120=TRUE)*(F3120-Calc!F25))+B3130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7">
        <f>L3097*(1-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3097*(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7">
        <f>(1-Summary!$B$11)*T3097+Summary!$B$11*V3097</f>
        <v/>
      </c>
      <c r="P3097">
        <f>IF(B3135=0,0,O3097/B3135)</f>
        <v/>
      </c>
      <c r="Q3097" t="n">
        <v>0</v>
      </c>
      <c r="R3097" t="n">
        <v>0</v>
      </c>
      <c r="S3097">
        <f>IFERROR(O3097/N3097,0)</f>
        <v/>
      </c>
      <c r="T3097">
        <f>IF(C3097,(Skills!G2*N3097*B3129)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3097*(1-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3097*(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3097*(1-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3097*(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7">
        <f>MAX(0,(Inputs!$B$3-100)*3)+Inputs!$B$28+Inputs!$B$29</f>
        <v/>
      </c>
      <c r="V3097">
        <f>IF(C3097,(Skills!G2*N3097*B3129)*IF(Inputs!$B$38="pvp",1,(1+(Inputs!$B$21+Skills!Q2+(IF(ArtifactsInput!$M$33,CHOOSE(ArtifactsInput!$N$33+1,30,36,42,48,54,60),0))+(IF(AND(ArtifactsInput!$M$35,Inputs!$B$4&lt;&gt;"Chapter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8">
      <c r="A3098">
        <f>Skills!A3</f>
        <v/>
      </c>
      <c r="B3098">
        <f>Skills!B3</f>
        <v/>
      </c>
      <c r="C3098">
        <f>Inputs!$B$3&gt;=35</f>
        <v/>
      </c>
      <c r="D3098">
        <f>IF(Skills!C3=1,60+Inputs!$B$25+Inputs!$B$29,IF(Skills!C3=2,90+Inputs!$B$26+Inputs!$B$29,IF(Skills!C3=3,120+Inputs!$B$27+Inputs!$B$29,MAX(0,(Inputs!$B$3-100)*3)+Inputs!$B$28+Inputs!$B$29)))</f>
        <v/>
      </c>
      <c r="E3098">
        <f>INDEX(FactorTable!$B$2:$Y$301, MATCH(ROUND(MIN(300,MAX(1,D3098)),0), FactorTable!$A$2:$A$301,0), Skills!M3+1)</f>
        <v/>
      </c>
      <c r="F3098">
        <f>IF(Skills!N3=TRUE,(Skills!L3/10)*(E3098/1000),Skills!L3/10)+Skills!O3</f>
        <v/>
      </c>
      <c r="G3098">
        <f>Skills!G3*IF(Skills!H3&gt;0,Skills!I3/Skills!H3,1)</f>
        <v/>
      </c>
      <c r="H3098">
        <f>1-(1-Skills!J3/100)^Skills!K3</f>
        <v/>
      </c>
      <c r="I3098" t="inlineStr">
        <is>
          <t>1</t>
        </is>
      </c>
      <c r="J3098">
        <f>((Inputs!$B$6*(1+Inputs!$B$7/100))+(((Inputs!$B$12*(1+Inputs!$B$13/100))-(Inputs!$B$12*(1+Inputs!$B$13/100)))+0.25*(Inputs!$B$14-Inputs!$B$14))*(1+Inputs!$B$7/100))*(F3098/100)</f>
        <v/>
      </c>
      <c r="K3098">
        <f>J3098*(1+((Inputs!$B$12*(1+Inputs!$B$13/100))*0.01+Inputs!$B$14*0.0025)/100)*(1+Inputs!$B$15/100)*(1+Inputs!$B$16/100)*(5000/(6000+Inputs!$B$42*(1-(100*(1-(1-(Inputs!$B$19+0)/100)*(1-CHOOSE(ArtifactsInput!$N$40+1,5,6,7,8,9,10)/100)^(ArtifactsInput!$M$40-ArtifactsInput!$M$40)))/100)))*(1+(Inputs!$B$24+((C3121=TRUE)*(F3121-Calc!F26))+B3131)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3110=TRUE,F3110,0)/100)*(1+(IF(Skills!A3="EIGHT_LEGS_EASTON",Inputs!$B$17+((C3118=TRUE)*(F3118-Calc!F23))+((C3122=TRUE)*(F3122-Calc!F27))+(((IF(AND(ArtifactsInput!$M$42,((Inputs!$B$9+((C3114=TRUE)*(F3114-Calc!F19))+B3125+(ArtifactsInput!$M$24-ArtifactsInput!$M$24)*CHOOSE(ArtifactsInput!$N$24+1,10,12,14,16,18,20)+IF(ArtifactsInput!$M$10,CHOOSE(ArtifactsInput!$N$10+1,15,18,21,24,27,30)*(IF(Inputs!$B$38="pvp",MIN(15,15)/15,IF(AND(Inputs!$B$38&lt;&gt;"pvp",Inputs!$B$43&gt;0),MIN(15,Inputs!$B$43)/(Inputs!$B$43),0))),0)))&gt;=100),MIN(100,((Inputs!$B$9+((C3114=TRUE)*(F3114-Calc!F19))+B3125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3114=TRUE)*(F3114-Calc!F19))+B3125+(ArtifactsInput!$M$24-ArtifactsInput!$M$24)*CHOOSE(ArtifactsInput!$N$24+1,10,12,14,16,18,20)+IF(ArtifactsInput!$M$10,CHOOSE(ArtifactsInput!$N$10+1,15,18,21,24,27,30)*(IF(Inputs!$B$38="pvp",MIN(15,15)/15,IF(AND(Inputs!$B$38&lt;&gt;"pvp",Inputs!$B$43&gt;0),MIN(15,Inputs!$B$43)/(Inputs!$B$43),0))),0)))&gt;=100),CHOOSE(ArtifactsInput!$N$42+1,40,48,56,64,72,80),0))))/100)*((1+(((C3112=TRUE)*F3112)+((C3119=TRUE)*(F3119-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3098)</f>
        <v/>
      </c>
      <c r="L3098">
        <f>K3098*(MIN(Inputs!$B$22+((C3117=TRUE)*(F3117-Calc!F22)),(Inputs!$B$23+0+(IF(ArtifactsInput!$M$15,CHOOSE(ArtifactsInput!$N$15+1,25,30,35,40,45,50)/100*(Inputs!$B$11-Inputs!$B$11),0))))/100+(Inputs!$B$23+0+(IF(ArtifactsInput!$M$15,CHOOSE(ArtifactsInput!$N$15+1,25,30,35,40,45,50)/100*(Inputs!$B$11-Inputs!$B$11),0)))/100)/2</f>
        <v/>
      </c>
      <c r="M3098">
        <f>L3098*(1+(Inputs!$B$10+((C3120=TRUE)*(F3120-Calc!F25))+B3130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8">
        <f>L3098*(1-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3098*(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8">
        <f>(1-Summary!$B$11)*T3098+Summary!$B$11*V3098</f>
        <v/>
      </c>
      <c r="P3098">
        <f>IF(B3135=0,0,O3098/B3135)</f>
        <v/>
      </c>
      <c r="Q3098">
        <f>IFERROR(1/(IF(Inputs!$B$38="pvp",15,MAX(0.1,Skills!D3-IF(Skills!E3=TRUE,4.5,0)))*(1-IF(AND(ArtifactsInput!$M$27,Inputs!$B$4="Chapter Hunt"),CHOOSE(ArtifactsInput!$N$27+1,20,24,28,32,36,40),0)/100)),0)</f>
        <v/>
      </c>
      <c r="R3098">
        <f>IF(AND(Inputs!$B$38&lt;&gt;"pvp",Inputs!$B$43&gt;0),IF(MAX(0,Inputs!$B$43-B3132)&lt;=0,0,(INT(MAX(0,Inputs!$B$43-B3132)/(IF(Inputs!$B$38="pvp",15,MAX(0.1,Skills!D3-IF(Skills!E3=TRUE,4.5,0)))*(1-IF(AND(ArtifactsInput!$M$27,Inputs!$B$4="Chapter Hunt"),CHOOSE(ArtifactsInput!$N$27+1,20,24,28,32,36,40),0)/100)))+1)),0)</f>
        <v/>
      </c>
      <c r="S3098">
        <f>IFERROR(O3098/N3098,0)</f>
        <v/>
      </c>
      <c r="T3098">
        <f>IF(C3098,(H3098*N3098*IF(AND(Inputs!$B$38&lt;&gt;"pvp",Inputs!$B$43&gt;0),((Skills!G3*((R3098-1)*IF(Skills!H3&gt;0,Skills!I3/Skills!H3,1)+IF(Skills!H3&gt;0,MIN(Skills!I3,MAX(0,MAX(0,Inputs!$B$43-B3132)-((R3098-1)*(IF(Inputs!$B$38="pvp",15,MAX(0.1,Skills!D3-IF(Skills!E3=TRUE,4.5,0)))*(1-IF(AND(ArtifactsInput!$M$27,Inputs!$B$4="Chapter Hunt"),CHOOSE(ArtifactsInput!$N$27+1,20,24,28,32,36,40),0)/100)))))/Skills!H3,1)))/Inputs!$B$43),G3098*Q3098)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3098*(1-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3098*(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3098*(1-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3098*(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8">
        <f>INDEX(FactorTable!$B$2:$Y$301, MATCH(ROUND(MIN(300,MAX(1,U3097)),0), FactorTable!$A$2:$A$301,0), 22)</f>
        <v/>
      </c>
      <c r="V3098">
        <f>IF(C3098,(H3098*N3098*IF(AND(Inputs!$B$38&lt;&gt;"pvp",Inputs!$B$43&gt;0),((Skills!G3*((R3098-1)*IF(Skills!H3&gt;0,Skills!I3/Skills!H3,1)+IF(Skills!H3&gt;0,MIN(Skills!I3,MAX(0,MAX(0,Inputs!$B$43-B3132)-((R3098-1)*(IF(Inputs!$B$38="pvp",15,MAX(0.1,Skills!D3-IF(Skills!E3=TRUE,4.5,0)))*(1-IF(AND(ArtifactsInput!$M$27,Inputs!$B$4="Chapter Hunt"),CHOOSE(ArtifactsInput!$N$27+1,20,24,28,32,36,40),0)/100)))))/Skills!H3,1)))/Inputs!$B$43),G3098*Q3098))*IF(Inputs!$B$38="pvp",1,(1+(Inputs!$B$21+Skills!Q3+(IF(ArtifactsInput!$M$33,CHOOSE(ArtifactsInput!$N$33+1,30,36,42,48,54,60)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9">
      <c r="A3099">
        <f>Skills!A4</f>
        <v/>
      </c>
      <c r="B3099">
        <f>Skills!B4</f>
        <v/>
      </c>
      <c r="C3099">
        <f>Inputs!$B$3&gt;=40</f>
        <v/>
      </c>
      <c r="D3099">
        <f>IF(Skills!C4=1,60+Inputs!$B$25+Inputs!$B$29,IF(Skills!C4=2,90+Inputs!$B$26+Inputs!$B$29,IF(Skills!C4=3,120+Inputs!$B$27+Inputs!$B$29,MAX(0,(Inputs!$B$3-100)*3)+Inputs!$B$28+Inputs!$B$29)))</f>
        <v/>
      </c>
      <c r="E3099">
        <f>INDEX(FactorTable!$B$2:$Y$301, MATCH(ROUND(MIN(300,MAX(1,D3099)),0), FactorTable!$A$2:$A$301,0), Skills!M4+1)</f>
        <v/>
      </c>
      <c r="F3099">
        <f>IF(Skills!N4=TRUE,(Skills!L4/10)*(E3099/1000),Skills!L4/10)+Skills!O4</f>
        <v/>
      </c>
      <c r="G3099">
        <f>Skills!G4*IF(Skills!H4&gt;0,Skills!I4/Skills!H4,1)</f>
        <v/>
      </c>
      <c r="H3099">
        <f>1-(1-Skills!J4/100)^Skills!K4</f>
        <v/>
      </c>
      <c r="I3099" t="inlineStr">
        <is>
          <t>1</t>
        </is>
      </c>
      <c r="J3099">
        <f>((Inputs!$B$6*(1+Inputs!$B$7/100))+(((Inputs!$B$12*(1+Inputs!$B$13/100))-(Inputs!$B$12*(1+Inputs!$B$13/100)))+0.25*(Inputs!$B$14-Inputs!$B$14))*(1+Inputs!$B$7/100))*(F3099/100)</f>
        <v/>
      </c>
      <c r="K3099">
        <f>J3099*(1+((Inputs!$B$12*(1+Inputs!$B$13/100))*0.01+Inputs!$B$14*0.0025)/100)*(1+Inputs!$B$15/100)*(1+Inputs!$B$16/100)*(5000/(6000+Inputs!$B$42*(1-(100*(1-(1-(Inputs!$B$19+0)/100)*(1-CHOOSE(ArtifactsInput!$N$40+1,5,6,7,8,9,10)/100)^(ArtifactsInput!$M$40-ArtifactsInput!$M$40)))/100)))*(1+(Inputs!$B$24+((C3121=TRUE)*(F3121-Calc!F26))+B3131)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3111=TRUE,F3111,0)/100)*(1+(IF(Skills!A4="EIGHT_LEGS_EASTON",Inputs!$B$17+((C3118=TRUE)*(F3118-Calc!F23))+((C3122=TRUE)*(F3122-Calc!F27))+(((IF(AND(ArtifactsInput!$M$42,((Inputs!$B$9+((C3114=TRUE)*(F3114-Calc!F19))+B3125+(ArtifactsInput!$M$24-ArtifactsInput!$M$24)*CHOOSE(ArtifactsInput!$N$24+1,10,12,14,16,18,20)+IF(ArtifactsInput!$M$10,CHOOSE(ArtifactsInput!$N$10+1,15,18,21,24,27,30)*(IF(Inputs!$B$38="pvp",MIN(15,15)/15,IF(AND(Inputs!$B$38&lt;&gt;"pvp",Inputs!$B$43&gt;0),MIN(15,Inputs!$B$43)/(Inputs!$B$43),0))),0)))&gt;=100),MIN(100,((Inputs!$B$9+((C3114=TRUE)*(F3114-Calc!F19))+B3125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3114=TRUE)*(F3114-Calc!F19))+B3125+(ArtifactsInput!$M$24-ArtifactsInput!$M$24)*CHOOSE(ArtifactsInput!$N$24+1,10,12,14,16,18,20)+IF(ArtifactsInput!$M$10,CHOOSE(ArtifactsInput!$N$10+1,15,18,21,24,27,30)*(IF(Inputs!$B$38="pvp",MIN(15,15)/15,IF(AND(Inputs!$B$38&lt;&gt;"pvp",Inputs!$B$43&gt;0),MIN(15,Inputs!$B$43)/(Inputs!$B$43),0))),0)))&gt;=100),CHOOSE(ArtifactsInput!$N$42+1,40,48,56,64,72,80),0))))/100)*((1+(((C3112=TRUE)*F3112)+((C3119=TRUE)*(F3119-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3099)</f>
        <v/>
      </c>
      <c r="L3099">
        <f>K3099*(MIN(Inputs!$B$22+((C3117=TRUE)*(F3117-Calc!F22)),(Inputs!$B$23+0+(IF(ArtifactsInput!$M$15,CHOOSE(ArtifactsInput!$N$15+1,25,30,35,40,45,50)/100*(Inputs!$B$11-Inputs!$B$11),0))))/100+(Inputs!$B$23+0+(IF(ArtifactsInput!$M$15,CHOOSE(ArtifactsInput!$N$15+1,25,30,35,40,45,50)/100*(Inputs!$B$11-Inputs!$B$11),0)))/100)/2</f>
        <v/>
      </c>
      <c r="M3099">
        <f>L3099*(1+(Inputs!$B$10+((C3120=TRUE)*(F3120-Calc!F25))+B3130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9">
        <f>L3099*(1-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3099*(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9">
        <f>(1-Summary!$B$11)*T3099+Summary!$B$11*V3099</f>
        <v/>
      </c>
      <c r="P3099">
        <f>IF(B3135=0,0,O3099/B3135)</f>
        <v/>
      </c>
      <c r="Q3099">
        <f>IFERROR(1/(IF(Inputs!$B$38="pvp",15,MAX(0.1,Skills!D4-IF(Skills!E4=TRUE,4.5,0)))*(1-IF(AND(ArtifactsInput!$M$27,Inputs!$B$4="Chapter Hunt"),CHOOSE(ArtifactsInput!$N$27+1,20,24,28,32,36,40),0)/100)),0)</f>
        <v/>
      </c>
      <c r="R3099">
        <f>IF(AND(Inputs!$B$38&lt;&gt;"pvp",Inputs!$B$43&gt;0),IF(MAX(0,Inputs!$B$43-B3132)&lt;=0,0,(INT(MAX(0,Inputs!$B$43-B3132)/(IF(Inputs!$B$38="pvp",15,MAX(0.1,Skills!D4-IF(Skills!E4=TRUE,4.5,0)))*(1-IF(AND(ArtifactsInput!$M$27,Inputs!$B$4="Chapter Hunt"),CHOOSE(ArtifactsInput!$N$27+1,20,24,28,32,36,40),0)/100)))+1)),0)</f>
        <v/>
      </c>
      <c r="S3099">
        <f>IFERROR(O3099/N3099,0)</f>
        <v/>
      </c>
      <c r="T3099">
        <f>IF(C3099,(H3099*N3099*IF(AND(Inputs!$B$38&lt;&gt;"pvp",Inputs!$B$43&gt;0),((Skills!G4*((R3099-1)*IF(Skills!H4&gt;0,Skills!I4/Skills!H4,1)+IF(Skills!H4&gt;0,MIN(Skills!I4,MAX(0,MAX(0,Inputs!$B$43-B3132)-((R3099-1)*(IF(Inputs!$B$38="pvp",15,MAX(0.1,Skills!D4-IF(Skills!E4=TRUE,4.5,0)))*(1-IF(AND(ArtifactsInput!$M$27,Inputs!$B$4="Chapter Hunt"),CHOOSE(ArtifactsInput!$N$27+1,20,24,28,32,36,40),0)/100)))))/Skills!H4,1)))/Inputs!$B$43),G3099*Q3099)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3099*(1-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3099*(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3099*(1-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3099*(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9">
        <f>290*U3098/1000</f>
        <v/>
      </c>
      <c r="V3099">
        <f>IF(C3099,(H3099*N3099*IF(AND(Inputs!$B$38&lt;&gt;"pvp",Inputs!$B$43&gt;0),((Skills!G4*((R3099-1)*IF(Skills!H4&gt;0,Skills!I4/Skills!H4,1)+IF(Skills!H4&gt;0,MIN(Skills!I4,MAX(0,MAX(0,Inputs!$B$43-B3132)-((R3099-1)*(IF(Inputs!$B$38="pvp",15,MAX(0.1,Skills!D4-IF(Skills!E4=TRUE,4.5,0)))*(1-IF(AND(ArtifactsInput!$M$27,Inputs!$B$4="Chapter Hunt"),CHOOSE(ArtifactsInput!$N$27+1,20,24,28,32,36,40),0)/100)))))/Skills!H4,1)))/Inputs!$B$43),G3099*Q3099))*IF(Inputs!$B$38="pvp",1,(1+(Inputs!$B$21+Skills!Q4+(IF(ArtifactsInput!$M$33,CHOOSE(ArtifactsInput!$N$33+1,30,36,42,48,54,60)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0">
      <c r="A3100">
        <f>Skills!A5</f>
        <v/>
      </c>
      <c r="B3100">
        <f>Skills!B5</f>
        <v/>
      </c>
      <c r="C3100">
        <f>Inputs!$B$3&gt;=45</f>
        <v/>
      </c>
      <c r="D3100">
        <f>IF(Skills!C5=1,60+Inputs!$B$25+Inputs!$B$29,IF(Skills!C5=2,90+Inputs!$B$26+Inputs!$B$29,IF(Skills!C5=3,120+Inputs!$B$27+Inputs!$B$29,MAX(0,(Inputs!$B$3-100)*3)+Inputs!$B$28+Inputs!$B$29)))</f>
        <v/>
      </c>
      <c r="E3100">
        <f>INDEX(FactorTable!$B$2:$Y$301, MATCH(ROUND(MIN(300,MAX(1,D3100)),0), FactorTable!$A$2:$A$301,0), Skills!M5+1)</f>
        <v/>
      </c>
      <c r="F3100">
        <f>IF(Skills!N5=TRUE,(Skills!L5/10)*(E3100/1000),Skills!L5/10)+Skills!O5</f>
        <v/>
      </c>
      <c r="G3100">
        <f>Skills!G5*IF(Skills!H5&gt;0,Skills!I5/Skills!H5,1)</f>
        <v/>
      </c>
      <c r="H3100">
        <f>1-(1-Skills!J5/100)^Skills!K5</f>
        <v/>
      </c>
      <c r="I3100" t="inlineStr">
        <is>
          <t>1</t>
        </is>
      </c>
      <c r="J3100">
        <f>((Inputs!$B$6*(1+Inputs!$B$7/100))+(((Inputs!$B$12*(1+Inputs!$B$13/100))-(Inputs!$B$12*(1+Inputs!$B$13/100)))+0.25*(Inputs!$B$14-Inputs!$B$14))*(1+Inputs!$B$7/100))*(F3100/100)</f>
        <v/>
      </c>
      <c r="K3100">
        <f>J3100*(1+((Inputs!$B$12*(1+Inputs!$B$13/100))*0.01+Inputs!$B$14*0.0025)/100)*(1+Inputs!$B$15/100)*(1+Inputs!$B$16/100)*(5000/(6000+Inputs!$B$42*(1-(100*(1-(1-(Inputs!$B$19+0)/100)*(1-CHOOSE(ArtifactsInput!$N$40+1,5,6,7,8,9,10)/100)^(ArtifactsInput!$M$40-ArtifactsInput!$M$40)))/100)))*(1+(Inputs!$B$24+((C3121=TRUE)*(F3121-Calc!F26))+B3131)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3111=TRUE,F3111,0)/100)*(1+(IF(Skills!A5="EIGHT_LEGS_EASTON",Inputs!$B$17+((C3118=TRUE)*(F3118-Calc!F23))+((C3122=TRUE)*(F3122-Calc!F27))+(((IF(AND(ArtifactsInput!$M$42,((Inputs!$B$9+((C3114=TRUE)*(F3114-Calc!F19))+B3125+(ArtifactsInput!$M$24-ArtifactsInput!$M$24)*CHOOSE(ArtifactsInput!$N$24+1,10,12,14,16,18,20)+IF(ArtifactsInput!$M$10,CHOOSE(ArtifactsInput!$N$10+1,15,18,21,24,27,30)*(IF(Inputs!$B$38="pvp",MIN(15,15)/15,IF(AND(Inputs!$B$38&lt;&gt;"pvp",Inputs!$B$43&gt;0),MIN(15,Inputs!$B$43)/(Inputs!$B$43),0))),0)))&gt;=100),MIN(100,((Inputs!$B$9+((C3114=TRUE)*(F3114-Calc!F19))+B3125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3114=TRUE)*(F3114-Calc!F19))+B3125+(ArtifactsInput!$M$24-ArtifactsInput!$M$24)*CHOOSE(ArtifactsInput!$N$24+1,10,12,14,16,18,20)+IF(ArtifactsInput!$M$10,CHOOSE(ArtifactsInput!$N$10+1,15,18,21,24,27,30)*(IF(Inputs!$B$38="pvp",MIN(15,15)/15,IF(AND(Inputs!$B$38&lt;&gt;"pvp",Inputs!$B$43&gt;0),MIN(15,Inputs!$B$43)/(Inputs!$B$43),0))),0)))&gt;=100),CHOOSE(ArtifactsInput!$N$42+1,40,48,56,64,72,80),0))))/100)*((1+(((C3112=TRUE)*F3112)+((C3119=TRUE)*(F3119-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3100)</f>
        <v/>
      </c>
      <c r="L3100">
        <f>K3100*(MIN(Inputs!$B$22+((C3117=TRUE)*(F3117-Calc!F22)),(Inputs!$B$23+0+(IF(ArtifactsInput!$M$15,CHOOSE(ArtifactsInput!$N$15+1,25,30,35,40,45,50)/100*(Inputs!$B$11-Inputs!$B$11),0))))/100+(Inputs!$B$23+0+(IF(ArtifactsInput!$M$15,CHOOSE(ArtifactsInput!$N$15+1,25,30,35,40,45,50)/100*(Inputs!$B$11-Inputs!$B$11),0)))/100)/2</f>
        <v/>
      </c>
      <c r="M3100">
        <f>L3100*(1+(Inputs!$B$10+((C3120=TRUE)*(F3120-Calc!F25))+B3130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0">
        <f>L3100*(1-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3100*(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0">
        <f>(1-Summary!$B$11)*T3100+Summary!$B$11*V3100</f>
        <v/>
      </c>
      <c r="P3100">
        <f>IF(B3135=0,0,O3100/B3135)</f>
        <v/>
      </c>
      <c r="Q3100">
        <f>IFERROR(1/(IF(Inputs!$B$38="pvp",15,MAX(0.1,Skills!D5-IF(Skills!E5=TRUE,4.5,0)))*(1-IF(AND(ArtifactsInput!$M$27,Inputs!$B$4="Chapter Hunt"),CHOOSE(ArtifactsInput!$N$27+1,20,24,28,32,36,40),0)/100)),0)</f>
        <v/>
      </c>
      <c r="R3100">
        <f>IF(AND(Inputs!$B$38&lt;&gt;"pvp",Inputs!$B$43&gt;0),IF(MAX(0,Inputs!$B$43-B3132)&lt;=0,0,(INT(MAX(0,Inputs!$B$43-B3132)/(IF(Inputs!$B$38="pvp",15,MAX(0.1,Skills!D5-IF(Skills!E5=TRUE,4.5,0)))*(1-IF(AND(ArtifactsInput!$M$27,Inputs!$B$4="Chapter Hunt"),CHOOSE(ArtifactsInput!$N$27+1,20,24,28,32,36,40),0)/100)))+1)),0)</f>
        <v/>
      </c>
      <c r="S3100">
        <f>IFERROR(O3100/N3100,0)</f>
        <v/>
      </c>
      <c r="T3100">
        <f>IF(C3100,(H3100*N3100*IF(AND(Inputs!$B$38&lt;&gt;"pvp",Inputs!$B$43&gt;0),((Skills!G5*((R3100-1)*IF(Skills!H5&gt;0,Skills!I5/Skills!H5,1)+IF(Skills!H5&gt;0,MIN(Skills!I5,MAX(0,MAX(0,Inputs!$B$43-B3132)-((R3100-1)*(IF(Inputs!$B$38="pvp",15,MAX(0.1,Skills!D5-IF(Skills!E5=TRUE,4.5,0)))*(1-IF(AND(ArtifactsInput!$M$27,Inputs!$B$4="Chapter Hunt"),CHOOSE(ArtifactsInput!$N$27+1,20,24,28,32,36,40),0)/100)))))/Skills!H5,1)))/Inputs!$B$43),G3100*Q3100)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3100*(1-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3100*(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3100*(1-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3100*(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0">
        <f>IF(C3100,(H3100*N3100*IF(AND(Inputs!$B$38&lt;&gt;"pvp",Inputs!$B$43&gt;0),((Skills!G5*((R3100-1)*IF(Skills!H5&gt;0,Skills!I5/Skills!H5,1)+IF(Skills!H5&gt;0,MIN(Skills!I5,MAX(0,MAX(0,Inputs!$B$43-B3132)-((R3100-1)*(IF(Inputs!$B$38="pvp",15,MAX(0.1,Skills!D5-IF(Skills!E5=TRUE,4.5,0)))*(1-IF(AND(ArtifactsInput!$M$27,Inputs!$B$4="Chapter Hunt"),CHOOSE(ArtifactsInput!$N$27+1,20,24,28,32,36,40),0)/100)))))/Skills!H5,1)))/Inputs!$B$43),G3100*Q3100))*IF(Inputs!$B$38="pvp",1,(1+(Inputs!$B$21+Skills!Q5+(IF(ArtifactsInput!$M$33,CHOOSE(ArtifactsInput!$N$33+1,30,36,42,48,54,60)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1">
      <c r="A3101">
        <f>Skills!A6</f>
        <v/>
      </c>
      <c r="B3101">
        <f>Skills!B6</f>
        <v/>
      </c>
      <c r="C3101">
        <f>Inputs!$B$3&gt;=63</f>
        <v/>
      </c>
      <c r="D3101">
        <f>IF(Skills!C6=1,60+Inputs!$B$25+Inputs!$B$29,IF(Skills!C6=2,90+Inputs!$B$26+Inputs!$B$29,IF(Skills!C6=3,120+Inputs!$B$27+Inputs!$B$29,MAX(0,(Inputs!$B$3-100)*3)+Inputs!$B$28+Inputs!$B$29)))</f>
        <v/>
      </c>
      <c r="E3101">
        <f>INDEX(FactorTable!$B$2:$Y$301, MATCH(ROUND(MIN(300,MAX(1,D3101)),0), FactorTable!$A$2:$A$301,0), Skills!M6+1)</f>
        <v/>
      </c>
      <c r="F3101">
        <f>IF(Skills!N6=TRUE,(Skills!L6/10)*(E3101/1000),Skills!L6/10)+Skills!O6</f>
        <v/>
      </c>
      <c r="G3101">
        <f>Skills!G6*IF(Skills!H6&gt;0,Skills!I6/Skills!H6,1)</f>
        <v/>
      </c>
      <c r="H3101">
        <f>1-(1-Skills!J6/100)^Skills!K6</f>
        <v/>
      </c>
      <c r="I3101" t="inlineStr">
        <is>
          <t>1</t>
        </is>
      </c>
      <c r="J3101">
        <f>((Inputs!$B$6*(1+Inputs!$B$7/100))+(((Inputs!$B$12*(1+Inputs!$B$13/100))-(Inputs!$B$12*(1+Inputs!$B$13/100)))+0.25*(Inputs!$B$14-Inputs!$B$14))*(1+Inputs!$B$7/100))*(F3101/100)</f>
        <v/>
      </c>
      <c r="K3101">
        <f>J3101*(1+((Inputs!$B$12*(1+Inputs!$B$13/100))*0.01+Inputs!$B$14*0.0025)/100)*(1+Inputs!$B$15/100)*(1+Inputs!$B$16/100)*(5000/(6000+Inputs!$B$42*(1-(100*(1-(1-(Inputs!$B$19+0)/100)*(1-CHOOSE(ArtifactsInput!$N$40+1,5,6,7,8,9,10)/100)^(ArtifactsInput!$M$40-ArtifactsInput!$M$40)))/100)))*(1+(Inputs!$B$24+((C3121=TRUE)*(F3121-Calc!F26))+B3131)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3110=TRUE,F3110,0)/100)*(1+(IF(Skills!A6="EIGHT_LEGS_EASTON",Inputs!$B$17+((C3118=TRUE)*(F3118-Calc!F23))+((C3122=TRUE)*(F3122-Calc!F27))+(((IF(AND(ArtifactsInput!$M$42,((Inputs!$B$9+((C3114=TRUE)*(F3114-Calc!F19))+B3125+(ArtifactsInput!$M$24-ArtifactsInput!$M$24)*CHOOSE(ArtifactsInput!$N$24+1,10,12,14,16,18,20)+IF(ArtifactsInput!$M$10,CHOOSE(ArtifactsInput!$N$10+1,15,18,21,24,27,30)*(IF(Inputs!$B$38="pvp",MIN(15,15)/15,IF(AND(Inputs!$B$38&lt;&gt;"pvp",Inputs!$B$43&gt;0),MIN(15,Inputs!$B$43)/(Inputs!$B$43),0))),0)))&gt;=100),MIN(100,((Inputs!$B$9+((C3114=TRUE)*(F3114-Calc!F19))+B3125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3114=TRUE)*(F3114-Calc!F19))+B3125+(ArtifactsInput!$M$24-ArtifactsInput!$M$24)*CHOOSE(ArtifactsInput!$N$24+1,10,12,14,16,18,20)+IF(ArtifactsInput!$M$10,CHOOSE(ArtifactsInput!$N$10+1,15,18,21,24,27,30)*(IF(Inputs!$B$38="pvp",MIN(15,15)/15,IF(AND(Inputs!$B$38&lt;&gt;"pvp",Inputs!$B$43&gt;0),MIN(15,Inputs!$B$43)/(Inputs!$B$43),0))),0)))&gt;=100),CHOOSE(ArtifactsInput!$N$42+1,40,48,56,64,72,80),0))))/100)*((1+(((C3112=TRUE)*F3112)+((C3119=TRUE)*(F3119-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3101)</f>
        <v/>
      </c>
      <c r="L3101">
        <f>K3101*(MIN(Inputs!$B$22+((C3117=TRUE)*(F3117-Calc!F22)),(Inputs!$B$23+0+(IF(ArtifactsInput!$M$15,CHOOSE(ArtifactsInput!$N$15+1,25,30,35,40,45,50)/100*(Inputs!$B$11-Inputs!$B$11),0))))/100+(Inputs!$B$23+0+(IF(ArtifactsInput!$M$15,CHOOSE(ArtifactsInput!$N$15+1,25,30,35,40,45,50)/100*(Inputs!$B$11-Inputs!$B$11),0)))/100)/2</f>
        <v/>
      </c>
      <c r="M3101">
        <f>L3101*(1+(Inputs!$B$10+((C3120=TRUE)*(F3120-Calc!F25))+B3130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1">
        <f>L3101*(1-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3101*(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1">
        <f>(1-Summary!$B$11)*T3101+Summary!$B$11*V3101</f>
        <v/>
      </c>
      <c r="P3101">
        <f>IF(B3135=0,0,O3101/B3135)</f>
        <v/>
      </c>
      <c r="Q3101">
        <f>IFERROR(1/(IF(Inputs!$B$38="pvp",15,MAX(0.1,Skills!D6-IF(Skills!E6=TRUE,4.5,0)))*(1-IF(AND(ArtifactsInput!$M$27,Inputs!$B$4="Chapter Hunt"),CHOOSE(ArtifactsInput!$N$27+1,20,24,28,32,36,40),0)/100)),0)</f>
        <v/>
      </c>
      <c r="R3101">
        <f>IF(AND(Inputs!$B$38&lt;&gt;"pvp",Inputs!$B$43&gt;0),IF(MAX(0,Inputs!$B$43-B3132)&lt;=0,0,(INT(MAX(0,Inputs!$B$43-B3132)/(IF(Inputs!$B$38="pvp",15,MAX(0.1,Skills!D6-IF(Skills!E6=TRUE,4.5,0)))*(1-IF(AND(ArtifactsInput!$M$27,Inputs!$B$4="Chapter Hunt"),CHOOSE(ArtifactsInput!$N$27+1,20,24,28,32,36,40),0)/100)))+1)),0)</f>
        <v/>
      </c>
      <c r="S3101">
        <f>IFERROR(O3101/N3101,0)</f>
        <v/>
      </c>
      <c r="T3101">
        <f>IF(C3101,(H3101*N3101*IF(AND(Inputs!$B$38&lt;&gt;"pvp",Inputs!$B$43&gt;0),((Skills!G6*((R3101-1)*IF(Skills!H6&gt;0,Skills!I6/Skills!H6,1)+IF(Skills!H6&gt;0,MIN(Skills!I6,MAX(0,MAX(0,Inputs!$B$43-B3132)-((R3101-1)*(IF(Inputs!$B$38="pvp",15,MAX(0.1,Skills!D6-IF(Skills!E6=TRUE,4.5,0)))*(1-IF(AND(ArtifactsInput!$M$27,Inputs!$B$4="Chapter Hunt"),CHOOSE(ArtifactsInput!$N$27+1,20,24,28,32,36,40),0)/100)))))/Skills!H6,1)))/Inputs!$B$43),G3101*Q3101)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3101*(1-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3101*(1-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1">
        <f>IF(C3101,(H3101*N3101*IF(AND(Inputs!$B$38&lt;&gt;"pvp",Inputs!$B$43&gt;0),((Skills!G6*((R3101-1)*IF(Skills!H6&gt;0,Skills!I6/Skills!H6,1)+IF(Skills!H6&gt;0,MIN(Skills!I6,MAX(0,MAX(0,Inputs!$B$43-B3132)-((R3101-1)*(IF(Inputs!$B$38="pvp",15,MAX(0.1,Skills!D6-IF(Skills!E6=TRUE,4.5,0)))*(1-IF(AND(ArtifactsInput!$M$27,Inputs!$B$4="Chapter Hunt"),CHOOSE(ArtifactsInput!$N$27+1,20,24,28,32,36,40),0)/100)))))/Skills!H6,1)))/Inputs!$B$43),G3101*Q3101))*IF(Inputs!$B$38="pvp",1,(1+(Inputs!$B$21+Skills!Q6+(IF(ArtifactsInput!$M$33,CHOOSE(ArtifactsInput!$N$33+1,30,36,42,48,54,60)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2">
      <c r="A3102">
        <f>Skills!A7</f>
        <v/>
      </c>
      <c r="B3102">
        <f>Skills!B7</f>
        <v/>
      </c>
      <c r="C3102">
        <f>Inputs!$B$3&gt;=66</f>
        <v/>
      </c>
      <c r="D3102">
        <f>IF(Skills!C7=1,60+Inputs!$B$25+Inputs!$B$29,IF(Skills!C7=2,90+Inputs!$B$26+Inputs!$B$29,IF(Skills!C7=3,120+Inputs!$B$27+Inputs!$B$29,MAX(0,(Inputs!$B$3-100)*3)+Inputs!$B$28+Inputs!$B$29)))</f>
        <v/>
      </c>
      <c r="E3102">
        <f>INDEX(FactorTable!$B$2:$Y$301, MATCH(ROUND(MIN(300,MAX(1,D3102)),0), FactorTable!$A$2:$A$301,0), Skills!M7+1)</f>
        <v/>
      </c>
      <c r="F3102">
        <f>IF(Skills!N7=TRUE,(Skills!L7/10)*(E3102/1000),Skills!L7/10)+Skills!O7</f>
        <v/>
      </c>
      <c r="G3102">
        <f>Skills!G7*IF(Skills!H7&gt;0,Skills!I7/Skills!H7,1)</f>
        <v/>
      </c>
      <c r="H3102">
        <f>1-(1-Skills!J7/100)^Skills!K7</f>
        <v/>
      </c>
      <c r="I3102" t="inlineStr">
        <is>
          <t>1</t>
        </is>
      </c>
      <c r="J3102">
        <f>((Inputs!$B$6*(1+Inputs!$B$7/100))+(((Inputs!$B$12*(1+Inputs!$B$13/100))-(Inputs!$B$12*(1+Inputs!$B$13/100)))+0.25*(Inputs!$B$14-Inputs!$B$14))*(1+Inputs!$B$7/100))*(F3102/100)</f>
        <v/>
      </c>
      <c r="K3102">
        <f>J3102*(1+((Inputs!$B$12*(1+Inputs!$B$13/100))*0.01+Inputs!$B$14*0.0025)/100)*(1+Inputs!$B$15/100)*(1+Inputs!$B$16/100)*(5000/(6000+Inputs!$B$42*(1-(100*(1-(1-(Inputs!$B$19+0)/100)*(1-CHOOSE(ArtifactsInput!$N$40+1,5,6,7,8,9,10)/100)^(ArtifactsInput!$M$40-ArtifactsInput!$M$40)))/100)))*(1+(Inputs!$B$24+((C3121=TRUE)*(F3121-Calc!F26))+B3131)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3110=TRUE,F3110,0)/100)*(1+(IF(Skills!A7="EIGHT_LEGS_EASTON",Inputs!$B$17+((C3118=TRUE)*(F3118-Calc!F23))+((C3122=TRUE)*(F3122-Calc!F27))+(((IF(AND(ArtifactsInput!$M$42,((Inputs!$B$9+((C3114=TRUE)*(F3114-Calc!F19))+B3125+(ArtifactsInput!$M$24-ArtifactsInput!$M$24)*CHOOSE(ArtifactsInput!$N$24+1,10,12,14,16,18,20)+IF(ArtifactsInput!$M$10,CHOOSE(ArtifactsInput!$N$10+1,15,18,21,24,27,30)*(IF(Inputs!$B$38="pvp",MIN(15,15)/15,IF(AND(Inputs!$B$38&lt;&gt;"pvp",Inputs!$B$43&gt;0),MIN(15,Inputs!$B$43)/(Inputs!$B$43),0))),0)))&gt;=100),MIN(100,((Inputs!$B$9+((C3114=TRUE)*(F3114-Calc!F19))+B3125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3114=TRUE)*(F3114-Calc!F19))+B3125+(ArtifactsInput!$M$24-ArtifactsInput!$M$24)*CHOOSE(ArtifactsInput!$N$24+1,10,12,14,16,18,20)+IF(ArtifactsInput!$M$10,CHOOSE(ArtifactsInput!$N$10+1,15,18,21,24,27,30)*(IF(Inputs!$B$38="pvp",MIN(15,15)/15,IF(AND(Inputs!$B$38&lt;&gt;"pvp",Inputs!$B$43&gt;0),MIN(15,Inputs!$B$43)/(Inputs!$B$43),0))),0)))&gt;=100),CHOOSE(ArtifactsInput!$N$42+1,40,48,56,64,72,80),0))))/100)*((1+(((C3112=TRUE)*F3112)+((C3119=TRUE)*(F3119-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3102)</f>
        <v/>
      </c>
      <c r="L3102">
        <f>K3102*(MIN(Inputs!$B$22+((C3117=TRUE)*(F3117-Calc!F22)),(Inputs!$B$23+0+(IF(ArtifactsInput!$M$15,CHOOSE(ArtifactsInput!$N$15+1,25,30,35,40,45,50)/100*(Inputs!$B$11-Inputs!$B$11),0))))/100+(Inputs!$B$23+0+(IF(ArtifactsInput!$M$15,CHOOSE(ArtifactsInput!$N$15+1,25,30,35,40,45,50)/100*(Inputs!$B$11-Inputs!$B$11),0)))/100)/2</f>
        <v/>
      </c>
      <c r="M3102">
        <f>L3102*(1+(Inputs!$B$10+((C3120=TRUE)*(F3120-Calc!F25))+B3130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2">
        <f>L3102*(1-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3102*(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2">
        <f>(1-Summary!$B$11)*T3102+Summary!$B$11*V3102</f>
        <v/>
      </c>
      <c r="P3102">
        <f>IF(B3135=0,0,O3102/B3135)</f>
        <v/>
      </c>
      <c r="Q3102">
        <f>IFERROR(1/(IF(Inputs!$B$38="pvp",15,MAX(0.1,Skills!D7-IF(Skills!E7=TRUE,4.5,0)))*(1-IF(AND(ArtifactsInput!$M$27,Inputs!$B$4="Chapter Hunt"),CHOOSE(ArtifactsInput!$N$27+1,20,24,28,32,36,40),0)/100)),0)</f>
        <v/>
      </c>
      <c r="R3102">
        <f>IF(AND(Inputs!$B$38&lt;&gt;"pvp",Inputs!$B$43&gt;0),IF(MAX(0,Inputs!$B$43-B3132)&lt;=0,0,(INT(MAX(0,Inputs!$B$43-B3132)/(IF(Inputs!$B$38="pvp",15,MAX(0.1,Skills!D7-IF(Skills!E7=TRUE,4.5,0)))*(1-IF(AND(ArtifactsInput!$M$27,Inputs!$B$4="Chapter Hunt"),CHOOSE(ArtifactsInput!$N$27+1,20,24,28,32,36,40),0)/100)))+1)),0)</f>
        <v/>
      </c>
      <c r="S3102">
        <f>IFERROR(O3102/N3102,0)</f>
        <v/>
      </c>
      <c r="T3102">
        <f>IF(C3102,(H3102*N3102*IF(AND(Inputs!$B$38&lt;&gt;"pvp",Inputs!$B$43&gt;0),((Skills!G7*((R3102-1)*IF(Skills!H7&gt;0,Skills!I7/Skills!H7,1)+IF(Skills!H7&gt;0,MIN(Skills!I7,MAX(0,MAX(0,Inputs!$B$43-B3132)-((R3102-1)*(IF(Inputs!$B$38="pvp",15,MAX(0.1,Skills!D7-IF(Skills!E7=TRUE,4.5,0)))*(1-IF(AND(ArtifactsInput!$M$27,Inputs!$B$4="Chapter Hunt"),CHOOSE(ArtifactsInput!$N$27+1,20,24,28,32,36,40),0)/100)))))/Skills!H7,1)))/Inputs!$B$43),G3102*Q3102)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3102*(1-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3102*(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3102*(1-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3102*(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2">
        <f>IF(C3102,(H3102*N3102*IF(AND(Inputs!$B$38&lt;&gt;"pvp",Inputs!$B$43&gt;0),((Skills!G7*((R3102-1)*IF(Skills!H7&gt;0,Skills!I7/Skills!H7,1)+IF(Skills!H7&gt;0,MIN(Skills!I7,MAX(0,MAX(0,Inputs!$B$43-B3132)-((R3102-1)*(IF(Inputs!$B$38="pvp",15,MAX(0.1,Skills!D7-IF(Skills!E7=TRUE,4.5,0)))*(1-IF(AND(ArtifactsInput!$M$27,Inputs!$B$4="Chapter Hunt"),CHOOSE(ArtifactsInput!$N$27+1,20,24,28,32,36,40),0)/100)))))/Skills!H7,1)))/Inputs!$B$43),G3102*Q3102))*IF(Inputs!$B$38="pvp",1,(1+(Inputs!$B$21+Skills!Q7+(IF(ArtifactsInput!$M$33,CHOOSE(ArtifactsInput!$N$33+1,30,36,42,48,54,60)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3">
      <c r="A3103">
        <f>Skills!A8</f>
        <v/>
      </c>
      <c r="B3103">
        <f>Skills!B8</f>
        <v/>
      </c>
      <c r="C3103">
        <f>Inputs!$B$3&gt;=100</f>
        <v/>
      </c>
      <c r="D3103">
        <f>IF(Skills!C8=1,60+Inputs!$B$25+Inputs!$B$29,IF(Skills!C8=2,90+Inputs!$B$26+Inputs!$B$29,IF(Skills!C8=3,120+Inputs!$B$27+Inputs!$B$29,MAX(0,(Inputs!$B$3-100)*3)+Inputs!$B$28+Inputs!$B$29)))</f>
        <v/>
      </c>
      <c r="E3103">
        <f>INDEX(FactorTable!$B$2:$Y$301, MATCH(ROUND(MIN(300,MAX(1,D3103)),0), FactorTable!$A$2:$A$301,0), Skills!M8+1)</f>
        <v/>
      </c>
      <c r="F3103">
        <f>IF(Skills!N8=TRUE,(Skills!L8/10)*(E3103/1000),Skills!L8/10)+Skills!O8</f>
        <v/>
      </c>
      <c r="G3103">
        <f>Skills!G8*IF(Skills!H8&gt;0,Skills!I8/Skills!H8,1)</f>
        <v/>
      </c>
      <c r="H3103">
        <f>1-(1-Skills!J8/100)^Skills!K8</f>
        <v/>
      </c>
      <c r="I3103" t="inlineStr">
        <is>
          <t>1</t>
        </is>
      </c>
      <c r="J3103">
        <f>((Inputs!$B$6*(1+Inputs!$B$7/100))+(((Inputs!$B$12*(1+Inputs!$B$13/100))-(Inputs!$B$12*(1+Inputs!$B$13/100)))+0.25*(Inputs!$B$14-Inputs!$B$14))*(1+Inputs!$B$7/100))*(F3103/100)</f>
        <v/>
      </c>
      <c r="K3103">
        <f>J3103*(1+((Inputs!$B$12*(1+Inputs!$B$13/100))*0.01+Inputs!$B$14*0.0025)/100)*(1+Inputs!$B$15/100)*(1+Inputs!$B$16/100)*(5000/(6000+Inputs!$B$42*(1-(100*(1-(1-(Inputs!$B$19+0)/100)*(1-CHOOSE(ArtifactsInput!$N$40+1,5,6,7,8,9,10)/100)^(ArtifactsInput!$M$40-ArtifactsInput!$M$40)))/100)))*(1+(Inputs!$B$24+((C3121=TRUE)*(F3121-Calc!F26))+B3131)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3118=TRUE)*(F3118-Calc!F23))+((C3122=TRUE)*(F3122-Calc!F27))+(((IF(AND(ArtifactsInput!$M$42,((Inputs!$B$9+((C3114=TRUE)*(F3114-Calc!F19))+B3125+(ArtifactsInput!$M$24-ArtifactsInput!$M$24)*CHOOSE(ArtifactsInput!$N$24+1,10,12,14,16,18,20)+IF(ArtifactsInput!$M$10,CHOOSE(ArtifactsInput!$N$10+1,15,18,21,24,27,30)*(IF(Inputs!$B$38="pvp",MIN(15,15)/15,IF(AND(Inputs!$B$38&lt;&gt;"pvp",Inputs!$B$43&gt;0),MIN(15,Inputs!$B$43)/(Inputs!$B$43),0))),0)))&gt;=100),MIN(100,((Inputs!$B$9+((C3114=TRUE)*(F3114-Calc!F19))+B3125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3114=TRUE)*(F3114-Calc!F19))+B3125+(ArtifactsInput!$M$24-ArtifactsInput!$M$24)*CHOOSE(ArtifactsInput!$N$24+1,10,12,14,16,18,20)+IF(ArtifactsInput!$M$10,CHOOSE(ArtifactsInput!$N$10+1,15,18,21,24,27,30)*(IF(Inputs!$B$38="pvp",MIN(15,15)/15,IF(AND(Inputs!$B$38&lt;&gt;"pvp",Inputs!$B$43&gt;0),MIN(15,Inputs!$B$43)/(Inputs!$B$43),0))),0)))&gt;=100),CHOOSE(ArtifactsInput!$N$42+1,40,48,56,64,72,80),0))))/100)*((1+(((C3112=TRUE)*F3112)+((C3119=TRUE)*(F3119-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3103)</f>
        <v/>
      </c>
      <c r="L3103">
        <f>K3103*(MIN(Inputs!$B$22+((C3117=TRUE)*(F3117-Calc!F22)),(Inputs!$B$23+0+(IF(ArtifactsInput!$M$15,CHOOSE(ArtifactsInput!$N$15+1,25,30,35,40,45,50)/100*(Inputs!$B$11-Inputs!$B$11),0))))/100+(Inputs!$B$23+0+(IF(ArtifactsInput!$M$15,CHOOSE(ArtifactsInput!$N$15+1,25,30,35,40,45,50)/100*(Inputs!$B$11-Inputs!$B$11),0)))/100)/2</f>
        <v/>
      </c>
      <c r="M3103">
        <f>L3103*(1+(Inputs!$B$10+((C3120=TRUE)*(F3120-Calc!F25))+B3130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3">
        <f>L3103*(1-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3103*(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3">
        <f>(1-Summary!$B$11)*T3103+Summary!$B$11*V3103</f>
        <v/>
      </c>
      <c r="P3103">
        <f>IF(B3135=0,0,O3103/B3135)</f>
        <v/>
      </c>
      <c r="Q3103">
        <f>IFERROR(1/(IF(Inputs!$B$38="pvp",15,MAX(0.1,Skills!D8-IF(Skills!E8=TRUE,4.5,0)))*(1-IF(AND(ArtifactsInput!$M$27,Inputs!$B$4="Chapter Hunt"),CHOOSE(ArtifactsInput!$N$27+1,20,24,28,32,36,40),0)/100)),0)</f>
        <v/>
      </c>
      <c r="R3103">
        <f>IF(AND(Inputs!$B$38&lt;&gt;"pvp",Inputs!$B$43&gt;0),IF(MAX(0,Inputs!$B$43-B3132)&lt;=0,0,(INT(MAX(0,Inputs!$B$43-B3132)/(IF(Inputs!$B$38="pvp",15,MAX(0.1,Skills!D8-IF(Skills!E8=TRUE,4.5,0)))*(1-IF(AND(ArtifactsInput!$M$27,Inputs!$B$4="Chapter Hunt"),CHOOSE(ArtifactsInput!$N$27+1,20,24,28,32,36,40),0)/100)))+1)),0)</f>
        <v/>
      </c>
      <c r="S3103">
        <f>IFERROR(O3103/N3103,0)</f>
        <v/>
      </c>
      <c r="T3103">
        <f>IF(C3103,(H3103*N3103*IF(AND(Inputs!$B$38&lt;&gt;"pvp",Inputs!$B$43&gt;0),((Skills!G8*((R3103-1)*IF(Skills!H8&gt;0,Skills!I8/Skills!H8,1)+IF(Skills!H8&gt;0,MIN(Skills!I8,MAX(0,MAX(0,Inputs!$B$43-B3132)-((R3103-1)*(IF(Inputs!$B$38="pvp",15,MAX(0.1,Skills!D8-IF(Skills!E8=TRUE,4.5,0)))*(1-IF(AND(ArtifactsInput!$M$27,Inputs!$B$4="Chapter Hunt"),CHOOSE(ArtifactsInput!$N$27+1,20,24,28,32,36,40),0)/100)))))/Skills!H8,1)))/Inputs!$B$43),G3103*Q3103)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3103*(1-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3103*(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3103*(1-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3103*(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3">
        <f>IF(C3103,(H3103*N3103*IF(AND(Inputs!$B$38&lt;&gt;"pvp",Inputs!$B$43&gt;0),((Skills!G8*((R3103-1)*IF(Skills!H8&gt;0,Skills!I8/Skills!H8,1)+IF(Skills!H8&gt;0,MIN(Skills!I8,MAX(0,MAX(0,Inputs!$B$43-B3132)-((R3103-1)*(IF(Inputs!$B$38="pvp",15,MAX(0.1,Skills!D8-IF(Skills!E8=TRUE,4.5,0)))*(1-IF(AND(ArtifactsInput!$M$27,Inputs!$B$4="Chapter Hunt"),CHOOSE(ArtifactsInput!$N$27+1,20,24,28,32,36,40),0)/100)))))/Skills!H8,1)))/Inputs!$B$43),G3103*Q3103))*IF(Inputs!$B$38="pvp",1,(1+(Inputs!$B$21+Skills!Q8+(IF(ArtifactsInput!$M$33,CHOOSE(ArtifactsInput!$N$33+1,30,36,42,48,54,60)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4">
      <c r="A3104">
        <f>Skills!A9</f>
        <v/>
      </c>
      <c r="B3104">
        <f>Skills!B9</f>
        <v/>
      </c>
      <c r="C3104">
        <f>Inputs!$B$3&gt;=103</f>
        <v/>
      </c>
      <c r="D3104">
        <f>IF(Skills!C9=1,60+Inputs!$B$25+Inputs!$B$29,IF(Skills!C9=2,90+Inputs!$B$26+Inputs!$B$29,IF(Skills!C9=3,120+Inputs!$B$27+Inputs!$B$29,MAX(0,(Inputs!$B$3-100)*3)+Inputs!$B$28+Inputs!$B$29)))</f>
        <v/>
      </c>
      <c r="E3104">
        <f>INDEX(FactorTable!$B$2:$Y$301, MATCH(ROUND(MIN(300,MAX(1,D3104)),0), FactorTable!$A$2:$A$301,0), Skills!M9+1)</f>
        <v/>
      </c>
      <c r="F3104">
        <f>IF(Skills!N9=TRUE,(Skills!L9/10)*(E3104/1000),Skills!L9/10)+Skills!O9</f>
        <v/>
      </c>
      <c r="G3104">
        <f>Skills!G9*IF(Skills!H9&gt;0,Skills!I9/Skills!H9,1)</f>
        <v/>
      </c>
      <c r="H3104">
        <f>1-(1-Skills!J9/100)^Skills!K9</f>
        <v/>
      </c>
      <c r="I3104" t="inlineStr">
        <is>
          <t>1</t>
        </is>
      </c>
      <c r="J3104">
        <f>((Inputs!$B$6*(1+Inputs!$B$7/100))+(((Inputs!$B$12*(1+Inputs!$B$13/100))-(Inputs!$B$12*(1+Inputs!$B$13/100)))+0.25*(Inputs!$B$14-Inputs!$B$14))*(1+Inputs!$B$7/100))*(F3104/100)</f>
        <v/>
      </c>
      <c r="K3104">
        <f>J3104*(1+((Inputs!$B$12*(1+Inputs!$B$13/100))*0.01+Inputs!$B$14*0.0025)/100)*(1+Inputs!$B$15/100)*(1+Inputs!$B$16/100)*(5000/(6000+Inputs!$B$42*(1-(100*(1-(1-(Inputs!$B$19+0)/100)*(1-CHOOSE(ArtifactsInput!$N$40+1,5,6,7,8,9,10)/100)^(ArtifactsInput!$M$40-ArtifactsInput!$M$40)))/100)))*(1+(Inputs!$B$24+((C3121=TRUE)*(F3121-Calc!F26))+B3131)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3118=TRUE)*(F3118-Calc!F23))+((C3122=TRUE)*(F3122-Calc!F27))+(((IF(AND(ArtifactsInput!$M$42,((Inputs!$B$9+((C3114=TRUE)*(F3114-Calc!F19))+B3125+(ArtifactsInput!$M$24-ArtifactsInput!$M$24)*CHOOSE(ArtifactsInput!$N$24+1,10,12,14,16,18,20)+IF(ArtifactsInput!$M$10,CHOOSE(ArtifactsInput!$N$10+1,15,18,21,24,27,30)*(IF(Inputs!$B$38="pvp",MIN(15,15)/15,IF(AND(Inputs!$B$38&lt;&gt;"pvp",Inputs!$B$43&gt;0),MIN(15,Inputs!$B$43)/(Inputs!$B$43),0))),0)))&gt;=100),MIN(100,((Inputs!$B$9+((C3114=TRUE)*(F3114-Calc!F19))+B3125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3114=TRUE)*(F3114-Calc!F19))+B3125+(ArtifactsInput!$M$24-ArtifactsInput!$M$24)*CHOOSE(ArtifactsInput!$N$24+1,10,12,14,16,18,20)+IF(ArtifactsInput!$M$10,CHOOSE(ArtifactsInput!$N$10+1,15,18,21,24,27,30)*(IF(Inputs!$B$38="pvp",MIN(15,15)/15,IF(AND(Inputs!$B$38&lt;&gt;"pvp",Inputs!$B$43&gt;0),MIN(15,Inputs!$B$43)/(Inputs!$B$43),0))),0)))&gt;=100),CHOOSE(ArtifactsInput!$N$42+1,40,48,56,64,72,80),0))))/100)*((1+(((C3112=TRUE)*F3112)+((C3119=TRUE)*(F3119-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3104)</f>
        <v/>
      </c>
      <c r="L3104">
        <f>K3104*(MIN(Inputs!$B$22+((C3117=TRUE)*(F3117-Calc!F22)),(Inputs!$B$23+0+(IF(ArtifactsInput!$M$15,CHOOSE(ArtifactsInput!$N$15+1,25,30,35,40,45,50)/100*(Inputs!$B$11-Inputs!$B$11),0))))/100+(Inputs!$B$23+0+(IF(ArtifactsInput!$M$15,CHOOSE(ArtifactsInput!$N$15+1,25,30,35,40,45,50)/100*(Inputs!$B$11-Inputs!$B$11),0)))/100)/2</f>
        <v/>
      </c>
      <c r="M3104">
        <f>L3104*(1+(Inputs!$B$10+((C3120=TRUE)*(F3120-Calc!F25))+B3130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4">
        <f>L3104*(1-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3104*(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4">
        <f>(1-Summary!$B$11)*T3104+Summary!$B$11*V3104</f>
        <v/>
      </c>
      <c r="P3104">
        <f>IF(B3135=0,0,O3104/B3135)</f>
        <v/>
      </c>
      <c r="Q3104">
        <f>IFERROR(1/(IF(Inputs!$B$38="pvp",15,MAX(0.1,Skills!D9-IF(Skills!E9=TRUE,4.5,0)))*(1-IF(AND(ArtifactsInput!$M$27,Inputs!$B$4="Chapter Hunt"),CHOOSE(ArtifactsInput!$N$27+1,20,24,28,32,36,40),0)/100)),0)</f>
        <v/>
      </c>
      <c r="R3104">
        <f>IF(AND(Inputs!$B$38&lt;&gt;"pvp",Inputs!$B$43&gt;0),IF(MAX(0,Inputs!$B$43-B3132)&lt;=0,0,(INT(MAX(0,Inputs!$B$43-B3132)/(IF(Inputs!$B$38="pvp",15,MAX(0.1,Skills!D9-IF(Skills!E9=TRUE,4.5,0)))*(1-IF(AND(ArtifactsInput!$M$27,Inputs!$B$4="Chapter Hunt"),CHOOSE(ArtifactsInput!$N$27+1,20,24,28,32,36,40),0)/100)))+1)),0)</f>
        <v/>
      </c>
      <c r="S3104">
        <f>IFERROR(O3104/N3104,0)</f>
        <v/>
      </c>
      <c r="T3104">
        <f>IF(C3104,(H3104*N3104*IF(AND(Inputs!$B$38&lt;&gt;"pvp",Inputs!$B$43&gt;0),((Skills!G9*((R3104-1)*IF(Skills!H9&gt;0,Skills!I9/Skills!H9,1)+IF(Skills!H9&gt;0,MIN(Skills!I9,MAX(0,MAX(0,Inputs!$B$43-B3132)-((R3104-1)*(IF(Inputs!$B$38="pvp",15,MAX(0.1,Skills!D9-IF(Skills!E9=TRUE,4.5,0)))*(1-IF(AND(ArtifactsInput!$M$27,Inputs!$B$4="Chapter Hunt"),CHOOSE(ArtifactsInput!$N$27+1,20,24,28,32,36,40),0)/100)))))/Skills!H9,1)))/Inputs!$B$43),G3104*Q3104)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3104*(1-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3104*(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3104*(1-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3104*(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4">
        <f>IF(C3104,(H3104*N3104*IF(AND(Inputs!$B$38&lt;&gt;"pvp",Inputs!$B$43&gt;0),((Skills!G9*((R3104-1)*IF(Skills!H9&gt;0,Skills!I9/Skills!H9,1)+IF(Skills!H9&gt;0,MIN(Skills!I9,MAX(0,MAX(0,Inputs!$B$43-B3132)-((R3104-1)*(IF(Inputs!$B$38="pvp",15,MAX(0.1,Skills!D9-IF(Skills!E9=TRUE,4.5,0)))*(1-IF(AND(ArtifactsInput!$M$27,Inputs!$B$4="Chapter Hunt"),CHOOSE(ArtifactsInput!$N$27+1,20,24,28,32,36,40),0)/100)))))/Skills!H9,1)))/Inputs!$B$43),G3104*Q3104))*IF(Inputs!$B$38="pvp",1,(1+(Inputs!$B$21+Skills!Q9+(IF(ArtifactsInput!$M$33,CHOOSE(ArtifactsInput!$N$33+1,30,36,42,48,54,60)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5">
      <c r="A3105">
        <f>Skills!A10</f>
        <v/>
      </c>
      <c r="B3105">
        <f>Skills!B10</f>
        <v/>
      </c>
      <c r="C3105">
        <f>Inputs!$B$3&gt;=113</f>
        <v/>
      </c>
      <c r="D3105">
        <f>IF(Skills!C10=1,60+Inputs!$B$25+Inputs!$B$29,IF(Skills!C10=2,90+Inputs!$B$26+Inputs!$B$29,IF(Skills!C10=3,120+Inputs!$B$27+Inputs!$B$29,MAX(0,(Inputs!$B$3-100)*3)+Inputs!$B$28+Inputs!$B$29)))</f>
        <v/>
      </c>
      <c r="E3105">
        <f>INDEX(FactorTable!$B$2:$Y$301, MATCH(ROUND(MIN(300,MAX(1,D3105)),0), FactorTable!$A$2:$A$301,0), Skills!M10+1)</f>
        <v/>
      </c>
      <c r="F3105">
        <f>IF(Skills!N10=TRUE,(Skills!L10/10)*(E3105/1000),Skills!L10/10)+Skills!O10</f>
        <v/>
      </c>
      <c r="G3105">
        <f>Skills!G10*IF(Skills!H10&gt;0,Skills!I10/Skills!H10,1)</f>
        <v/>
      </c>
      <c r="H3105">
        <f>1-(1-Skills!J10/100)^Skills!K10</f>
        <v/>
      </c>
      <c r="I3105" t="inlineStr">
        <is>
          <t>1</t>
        </is>
      </c>
      <c r="J3105">
        <f>((Inputs!$B$6*(1+Inputs!$B$7/100))+(((Inputs!$B$12*(1+Inputs!$B$13/100))-(Inputs!$B$12*(1+Inputs!$B$13/100)))+0.25*(Inputs!$B$14-Inputs!$B$14))*(1+Inputs!$B$7/100))*(F3105/100)</f>
        <v/>
      </c>
      <c r="K3105">
        <f>J3105*(1+((Inputs!$B$12*(1+Inputs!$B$13/100))*0.01+Inputs!$B$14*0.0025)/100)*(1+Inputs!$B$15/100)*(1+Inputs!$B$16/100)*(5000/(6000+Inputs!$B$42*(1-(100*(1-(1-(Inputs!$B$19+0)/100)*(1-CHOOSE(ArtifactsInput!$N$40+1,5,6,7,8,9,10)/100)^(ArtifactsInput!$M$40-ArtifactsInput!$M$40)))/100)))*(1+(Inputs!$B$24+((C3121=TRUE)*(F3121-Calc!F26))+B3131)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3118=TRUE)*(F3118-Calc!F23))+((C3122=TRUE)*(F3122-Calc!F27))+(((IF(AND(ArtifactsInput!$M$42,((Inputs!$B$9+((C3114=TRUE)*(F3114-Calc!F19))+B3125+(ArtifactsInput!$M$24-ArtifactsInput!$M$24)*CHOOSE(ArtifactsInput!$N$24+1,10,12,14,16,18,20)+IF(ArtifactsInput!$M$10,CHOOSE(ArtifactsInput!$N$10+1,15,18,21,24,27,30)*(IF(Inputs!$B$38="pvp",MIN(15,15)/15,IF(AND(Inputs!$B$38&lt;&gt;"pvp",Inputs!$B$43&gt;0),MIN(15,Inputs!$B$43)/(Inputs!$B$43),0))),0)))&gt;=100),MIN(100,((Inputs!$B$9+((C3114=TRUE)*(F3114-Calc!F19))+B3125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3114=TRUE)*(F3114-Calc!F19))+B3125+(ArtifactsInput!$M$24-ArtifactsInput!$M$24)*CHOOSE(ArtifactsInput!$N$24+1,10,12,14,16,18,20)+IF(ArtifactsInput!$M$10,CHOOSE(ArtifactsInput!$N$10+1,15,18,21,24,27,30)*(IF(Inputs!$B$38="pvp",MIN(15,15)/15,IF(AND(Inputs!$B$38&lt;&gt;"pvp",Inputs!$B$43&gt;0),MIN(15,Inputs!$B$43)/(Inputs!$B$43),0))),0)))&gt;=100),CHOOSE(ArtifactsInput!$N$42+1,40,48,56,64,72,80),0))))/100)*((1+(((C3112=TRUE)*F3112)+((C3119=TRUE)*(F3119-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3105)</f>
        <v/>
      </c>
      <c r="L3105">
        <f>K3105*(MIN(Inputs!$B$22+((C3117=TRUE)*(F3117-Calc!F22)),(Inputs!$B$23+0+(IF(ArtifactsInput!$M$15,CHOOSE(ArtifactsInput!$N$15+1,25,30,35,40,45,50)/100*(Inputs!$B$11-Inputs!$B$11),0))))/100+(Inputs!$B$23+0+(IF(ArtifactsInput!$M$15,CHOOSE(ArtifactsInput!$N$15+1,25,30,35,40,45,50)/100*(Inputs!$B$11-Inputs!$B$11),0)))/100)/2</f>
        <v/>
      </c>
      <c r="M3105">
        <f>L3105*(1+(Inputs!$B$10+((C3120=TRUE)*(F3120-Calc!F25))+B3130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5">
        <f>L3105*(1-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3105*(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5">
        <f>(1-Summary!$B$11)*T3105+Summary!$B$11*V3105</f>
        <v/>
      </c>
      <c r="P3105">
        <f>IF(B3135=0,0,O3105/B3135)</f>
        <v/>
      </c>
      <c r="Q3105">
        <f>IFERROR(1/(IF(Inputs!$B$38="pvp",15,MAX(0.1,Skills!D10-IF(Skills!E10=TRUE,4.5,0)))*(1-IF(AND(ArtifactsInput!$M$27,Inputs!$B$4="Chapter Hunt"),CHOOSE(ArtifactsInput!$N$27+1,20,24,28,32,36,40),0)/100)),0)</f>
        <v/>
      </c>
      <c r="R3105">
        <f>IF(AND(Inputs!$B$38&lt;&gt;"pvp",Inputs!$B$43&gt;0),IF(MAX(0,Inputs!$B$43-B3132)&lt;=0,0,(INT(MAX(0,Inputs!$B$43-B3132)/(IF(Inputs!$B$38="pvp",15,MAX(0.1,Skills!D10-IF(Skills!E10=TRUE,4.5,0)))*(1-IF(AND(ArtifactsInput!$M$27,Inputs!$B$4="Chapter Hunt"),CHOOSE(ArtifactsInput!$N$27+1,20,24,28,32,36,40),0)/100)))+1)),0)</f>
        <v/>
      </c>
      <c r="S3105">
        <f>IFERROR(O3105/N3105,0)</f>
        <v/>
      </c>
      <c r="T3105">
        <f>IF(C3105,(H3105*N3105*IF(AND(Inputs!$B$38&lt;&gt;"pvp",Inputs!$B$43&gt;0),((Skills!G10*((R3105-1)*IF(Skills!H10&gt;0,Skills!I10/Skills!H10,1)+IF(Skills!H10&gt;0,MIN(Skills!I10,MAX(0,MAX(0,Inputs!$B$43-B3132)-((R3105-1)*(IF(Inputs!$B$38="pvp",15,MAX(0.1,Skills!D10-IF(Skills!E10=TRUE,4.5,0)))*(1-IF(AND(ArtifactsInput!$M$27,Inputs!$B$4="Chapter Hunt"),CHOOSE(ArtifactsInput!$N$27+1,20,24,28,32,36,40),0)/100)))))/Skills!H10,1)))/Inputs!$B$43),G3105*Q3105)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3105*(1-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3105*(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3105*(1-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3105*(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5">
        <f>IF(C3105,(H3105*N3105*IF(AND(Inputs!$B$38&lt;&gt;"pvp",Inputs!$B$43&gt;0),((Skills!G10*((R3105-1)*IF(Skills!H10&gt;0,Skills!I10/Skills!H10,1)+IF(Skills!H10&gt;0,MIN(Skills!I10,MAX(0,MAX(0,Inputs!$B$43-B3132)-((R3105-1)*(IF(Inputs!$B$38="pvp",15,MAX(0.1,Skills!D10-IF(Skills!E10=TRUE,4.5,0)))*(1-IF(AND(ArtifactsInput!$M$27,Inputs!$B$4="Chapter Hunt"),CHOOSE(ArtifactsInput!$N$27+1,20,24,28,32,36,40),0)/100)))))/Skills!H10,1)))/Inputs!$B$43),G3105*Q3105))*IF(Inputs!$B$38="pvp",1,(1+(Inputs!$B$21+Skills!Q10+(IF(ArtifactsInput!$M$33,CHOOSE(ArtifactsInput!$N$33+1,30,36,42,48,54,60)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6">
      <c r="A3106">
        <f>Skills!A11</f>
        <v/>
      </c>
      <c r="B3106">
        <f>Skills!B11</f>
        <v/>
      </c>
      <c r="C3106">
        <f>Inputs!$B$3&gt;=107</f>
        <v/>
      </c>
      <c r="D3106">
        <f>IF(Skills!C11=1,60+Inputs!$B$25+Inputs!$B$29,IF(Skills!C11=2,90+Inputs!$B$26+Inputs!$B$29,IF(Skills!C11=3,120+Inputs!$B$27+Inputs!$B$29,MAX(0,(Inputs!$B$3-100)*3)+Inputs!$B$28+Inputs!$B$29)))</f>
        <v/>
      </c>
      <c r="E3106">
        <f>INDEX(FactorTable!$B$2:$Y$301, MATCH(ROUND(MIN(300,MAX(1,D3106)),0), FactorTable!$A$2:$A$301,0), Skills!M11+1)</f>
        <v/>
      </c>
      <c r="F3106">
        <f>IF(Skills!N11=TRUE,(Skills!L11/10)*(E3106/1000),Skills!L11/10)+Skills!O11</f>
        <v/>
      </c>
      <c r="G3106">
        <f>Skills!G11*IF(Skills!H11&gt;0,Skills!I11/Skills!H11,1)</f>
        <v/>
      </c>
      <c r="H3106">
        <f>1-(1-Skills!J11/100)^Skills!K11</f>
        <v/>
      </c>
      <c r="I3106" t="inlineStr">
        <is>
          <t>1</t>
        </is>
      </c>
      <c r="J3106">
        <f>((Inputs!$B$6*(1+Inputs!$B$7/100))+(((Inputs!$B$12*(1+Inputs!$B$13/100))-(Inputs!$B$12*(1+Inputs!$B$13/100)))+0.25*(Inputs!$B$14-Inputs!$B$14))*(1+Inputs!$B$7/100))*(F3106/100)</f>
        <v/>
      </c>
      <c r="K3106">
        <f>J3106*(1+((Inputs!$B$12*(1+Inputs!$B$13/100))*0.01+Inputs!$B$14*0.0025)/100)*(1+Inputs!$B$15/100)*(1+Inputs!$B$16/100)*(5000/(6000+Inputs!$B$42*(1-(100*(1-(1-(Inputs!$B$19+0)/100)*(1-CHOOSE(ArtifactsInput!$N$40+1,5,6,7,8,9,10)/100)^(ArtifactsInput!$M$40-ArtifactsInput!$M$40)))/100)))*(1+(Inputs!$B$24+((C3121=TRUE)*(F3121-Calc!F26))+B3131)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3118=TRUE)*(F3118-Calc!F23))+((C3122=TRUE)*(F3122-Calc!F27))+(((IF(AND(ArtifactsInput!$M$42,((Inputs!$B$9+((C3114=TRUE)*(F3114-Calc!F19))+B3125+(ArtifactsInput!$M$24-ArtifactsInput!$M$24)*CHOOSE(ArtifactsInput!$N$24+1,10,12,14,16,18,20)+IF(ArtifactsInput!$M$10,CHOOSE(ArtifactsInput!$N$10+1,15,18,21,24,27,30)*(IF(Inputs!$B$38="pvp",MIN(15,15)/15,IF(AND(Inputs!$B$38&lt;&gt;"pvp",Inputs!$B$43&gt;0),MIN(15,Inputs!$B$43)/(Inputs!$B$43),0))),0)))&gt;=100),MIN(100,((Inputs!$B$9+((C3114=TRUE)*(F3114-Calc!F19))+B3125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3114=TRUE)*(F3114-Calc!F19))+B3125+(ArtifactsInput!$M$24-ArtifactsInput!$M$24)*CHOOSE(ArtifactsInput!$N$24+1,10,12,14,16,18,20)+IF(ArtifactsInput!$M$10,CHOOSE(ArtifactsInput!$N$10+1,15,18,21,24,27,30)*(IF(Inputs!$B$38="pvp",MIN(15,15)/15,IF(AND(Inputs!$B$38&lt;&gt;"pvp",Inputs!$B$43&gt;0),MIN(15,Inputs!$B$43)/(Inputs!$B$43),0))),0)))&gt;=100),CHOOSE(ArtifactsInput!$N$42+1,40,48,56,64,72,80),0))))/100)*((1+(((C3112=TRUE)*F3112)+((C3119=TRUE)*(F3119-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3106)</f>
        <v/>
      </c>
      <c r="L3106">
        <f>K3106*(MIN(Inputs!$B$22+((C3117=TRUE)*(F3117-Calc!F22)),(Inputs!$B$23+0+(IF(ArtifactsInput!$M$15,CHOOSE(ArtifactsInput!$N$15+1,25,30,35,40,45,50)/100*(Inputs!$B$11-Inputs!$B$11),0))))/100+(Inputs!$B$23+0+(IF(ArtifactsInput!$M$15,CHOOSE(ArtifactsInput!$N$15+1,25,30,35,40,45,50)/100*(Inputs!$B$11-Inputs!$B$11),0)))/100)/2</f>
        <v/>
      </c>
      <c r="M3106">
        <f>L3106*(1+(Inputs!$B$10+((C3120=TRUE)*(F3120-Calc!F25))+B3130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6">
        <f>L3106*(1-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3106*(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6">
        <f>(1-Summary!$B$11)*T3106+Summary!$B$11*V3106</f>
        <v/>
      </c>
      <c r="P3106">
        <f>IF(B3135=0,0,O3106/B3135)</f>
        <v/>
      </c>
      <c r="Q3106">
        <f>IFERROR(1/(IF(Inputs!$B$38="pvp",15,MAX(0.1,Skills!D11-IF(Skills!E11=TRUE,4.5,0)))*(1-IF(AND(ArtifactsInput!$M$27,Inputs!$B$4="Chapter Hunt"),CHOOSE(ArtifactsInput!$N$27+1,20,24,28,32,36,40),0)/100)),0)</f>
        <v/>
      </c>
      <c r="R3106">
        <f>IF(AND(Inputs!$B$38&lt;&gt;"pvp",Inputs!$B$43&gt;0),IF(MAX(0,Inputs!$B$43-B3132)&lt;=0,0,(INT(MAX(0,Inputs!$B$43-B3132)/(IF(Inputs!$B$38="pvp",15,MAX(0.1,Skills!D11-IF(Skills!E11=TRUE,4.5,0)))*(1-IF(AND(ArtifactsInput!$M$27,Inputs!$B$4="Chapter Hunt"),CHOOSE(ArtifactsInput!$N$27+1,20,24,28,32,36,40),0)/100)))+1)),0)</f>
        <v/>
      </c>
      <c r="S3106">
        <f>IFERROR(O3106/N3106,0)</f>
        <v/>
      </c>
      <c r="T3106">
        <f>IF(C3106,(H3106*N3106*IF(AND(Inputs!$B$38&lt;&gt;"pvp",Inputs!$B$43&gt;0),((Skills!G11*((R3106-1)*IF(Skills!H11&gt;0,Skills!I11/Skills!H11,1)+IF(Skills!H11&gt;0,MIN(Skills!I11,MAX(0,MAX(0,Inputs!$B$43-B3132)-((R3106-1)*(IF(Inputs!$B$38="pvp",15,MAX(0.1,Skills!D11-IF(Skills!E11=TRUE,4.5,0)))*(1-IF(AND(ArtifactsInput!$M$27,Inputs!$B$4="Chapter Hunt"),CHOOSE(ArtifactsInput!$N$27+1,20,24,28,32,36,40),0)/100)))))/Skills!H11,1)))/Inputs!$B$43),G3106*Q3106)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3106*(1-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3106*(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3106*(1-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3106*(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6">
        <f>IF(C3106,(H3106*N3106*IF(AND(Inputs!$B$38&lt;&gt;"pvp",Inputs!$B$43&gt;0),((Skills!G11*((R3106-1)*IF(Skills!H11&gt;0,Skills!I11/Skills!H11,1)+IF(Skills!H11&gt;0,MIN(Skills!I11,MAX(0,MAX(0,Inputs!$B$43-B3132)-((R3106-1)*(IF(Inputs!$B$38="pvp",15,MAX(0.1,Skills!D11-IF(Skills!E11=TRUE,4.5,0)))*(1-IF(AND(ArtifactsInput!$M$27,Inputs!$B$4="Chapter Hunt"),CHOOSE(ArtifactsInput!$N$27+1,20,24,28,32,36,40),0)/100)))))/Skills!H11,1)))/Inputs!$B$43),G3106*Q3106))*IF(Inputs!$B$38="pvp",1,(1+(Inputs!$B$21+Skills!Q11+(IF(ArtifactsInput!$M$33,CHOOSE(ArtifactsInput!$N$33+1,30,36,42,48,54,60)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7">
      <c r="A3107">
        <f>Skills!A12</f>
        <v/>
      </c>
      <c r="B3107">
        <f>Skills!B12</f>
        <v/>
      </c>
      <c r="C3107">
        <f>Inputs!$B$3&gt;=110</f>
        <v/>
      </c>
      <c r="D3107">
        <f>IF(Skills!C12=1,60+Inputs!$B$25+Inputs!$B$29,IF(Skills!C12=2,90+Inputs!$B$26+Inputs!$B$29,IF(Skills!C12=3,120+Inputs!$B$27+Inputs!$B$29,MAX(0,(Inputs!$B$3-100)*3)+Inputs!$B$28+Inputs!$B$29)))</f>
        <v/>
      </c>
      <c r="E3107">
        <f>INDEX(FactorTable!$B$2:$Y$301, MATCH(ROUND(MIN(300,MAX(1,D3107)),0), FactorTable!$A$2:$A$301,0), Skills!M12+1)</f>
        <v/>
      </c>
      <c r="F3107">
        <f>IF(Skills!N12=TRUE,(Skills!L12/10)*(E3107/1000),Skills!L12/10)+Skills!O12</f>
        <v/>
      </c>
      <c r="G3107">
        <f>Skills!G12*IF(Skills!H12&gt;0,Skills!I12/Skills!H12,1)</f>
        <v/>
      </c>
      <c r="H3107">
        <f>1-(1-Skills!J12/100)^Skills!K12</f>
        <v/>
      </c>
      <c r="I3107" t="inlineStr">
        <is>
          <t>1</t>
        </is>
      </c>
      <c r="J3107">
        <f>((Inputs!$B$6*(1+Inputs!$B$7/100))+(((Inputs!$B$12*(1+Inputs!$B$13/100))-(Inputs!$B$12*(1+Inputs!$B$13/100)))+0.25*(Inputs!$B$14-Inputs!$B$14))*(1+Inputs!$B$7/100))*(F3107/100)</f>
        <v/>
      </c>
      <c r="K3107">
        <f>J3107*(1+((Inputs!$B$12*(1+Inputs!$B$13/100))*0.01+Inputs!$B$14*0.0025)/100)*(1+Inputs!$B$15/100)*(1+Inputs!$B$16/100)*(5000/(6000+Inputs!$B$42*(1-(100*(1-(1-(Inputs!$B$19+0)/100)*(1-CHOOSE(ArtifactsInput!$N$40+1,5,6,7,8,9,10)/100)^(ArtifactsInput!$M$40-ArtifactsInput!$M$40)))/100)))*(1+(Inputs!$B$24+((C3121=TRUE)*(F3121-Calc!F26))+B3131)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3118=TRUE)*(F3118-Calc!F23))+((C3122=TRUE)*(F3122-Calc!F27))+(((IF(AND(ArtifactsInput!$M$42,((Inputs!$B$9+((C3114=TRUE)*(F3114-Calc!F19))+B3125+(ArtifactsInput!$M$24-ArtifactsInput!$M$24)*CHOOSE(ArtifactsInput!$N$24+1,10,12,14,16,18,20)+IF(ArtifactsInput!$M$10,CHOOSE(ArtifactsInput!$N$10+1,15,18,21,24,27,30)*(IF(Inputs!$B$38="pvp",MIN(15,15)/15,IF(AND(Inputs!$B$38&lt;&gt;"pvp",Inputs!$B$43&gt;0),MIN(15,Inputs!$B$43)/(Inputs!$B$43),0))),0)))&gt;=100),MIN(100,((Inputs!$B$9+((C3114=TRUE)*(F3114-Calc!F19))+B3125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3114=TRUE)*(F3114-Calc!F19))+B3125+(ArtifactsInput!$M$24-ArtifactsInput!$M$24)*CHOOSE(ArtifactsInput!$N$24+1,10,12,14,16,18,20)+IF(ArtifactsInput!$M$10,CHOOSE(ArtifactsInput!$N$10+1,15,18,21,24,27,30)*(IF(Inputs!$B$38="pvp",MIN(15,15)/15,IF(AND(Inputs!$B$38&lt;&gt;"pvp",Inputs!$B$43&gt;0),MIN(15,Inputs!$B$43)/(Inputs!$B$43),0))),0)))&gt;=100),CHOOSE(ArtifactsInput!$N$42+1,40,48,56,64,72,80),0))))/100)*((1+(((C3112=TRUE)*F3112)+((C3119=TRUE)*(F3119-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3107)</f>
        <v/>
      </c>
      <c r="L3107">
        <f>K3107*(MIN(Inputs!$B$22+((C3117=TRUE)*(F3117-Calc!F22)),(Inputs!$B$23+0+(IF(ArtifactsInput!$M$15,CHOOSE(ArtifactsInput!$N$15+1,25,30,35,40,45,50)/100*(Inputs!$B$11-Inputs!$B$11),0))))/100+(Inputs!$B$23+0+(IF(ArtifactsInput!$M$15,CHOOSE(ArtifactsInput!$N$15+1,25,30,35,40,45,50)/100*(Inputs!$B$11-Inputs!$B$11),0)))/100)/2</f>
        <v/>
      </c>
      <c r="M3107">
        <f>L3107*(1+(Inputs!$B$10+((C3120=TRUE)*(F3120-Calc!F25))+B3130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7">
        <f>L3107*(1-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3107*(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7">
        <f>(1-Summary!$B$11)*T3107+Summary!$B$11*V3107</f>
        <v/>
      </c>
      <c r="P3107">
        <f>IF(B3135=0,0,O3107/B3135)</f>
        <v/>
      </c>
      <c r="Q3107">
        <f>IFERROR(1/(IF(Inputs!$B$38="pvp",15,MAX(0.1,Skills!D12-IF(Skills!E12=TRUE,4.5,0)))*(1-IF(AND(ArtifactsInput!$M$27,Inputs!$B$4="Chapter Hunt"),CHOOSE(ArtifactsInput!$N$27+1,20,24,28,32,36,40),0)/100)),0)</f>
        <v/>
      </c>
      <c r="R3107">
        <f>IF(AND(Inputs!$B$38&lt;&gt;"pvp",Inputs!$B$43&gt;0),IF(MAX(0,Inputs!$B$43-B3132)&lt;=0,0,(INT(MAX(0,Inputs!$B$43-B3132)/(IF(Inputs!$B$38="pvp",15,MAX(0.1,Skills!D12-IF(Skills!E12=TRUE,4.5,0)))*(1-IF(AND(ArtifactsInput!$M$27,Inputs!$B$4="Chapter Hunt"),CHOOSE(ArtifactsInput!$N$27+1,20,24,28,32,36,40),0)/100)))+1)),0)</f>
        <v/>
      </c>
      <c r="S3107">
        <f>IFERROR(O3107/N3107,0)</f>
        <v/>
      </c>
      <c r="T3107">
        <f>IF(C3107,(H3107*N3107*IF(AND(Inputs!$B$38&lt;&gt;"pvp",Inputs!$B$43&gt;0),((Skills!G12*((R3107-1)*IF(Skills!H12&gt;0,Skills!I12/Skills!H12,1)+IF(Skills!H12&gt;0,MIN(Skills!I12,MAX(0,MAX(0,Inputs!$B$43-B3132)-((R3107-1)*(IF(Inputs!$B$38="pvp",15,MAX(0.1,Skills!D12-IF(Skills!E12=TRUE,4.5,0)))*(1-IF(AND(ArtifactsInput!$M$27,Inputs!$B$4="Chapter Hunt"),CHOOSE(ArtifactsInput!$N$27+1,20,24,28,32,36,40),0)/100)))))/Skills!H12,1)))/Inputs!$B$43),G3107*Q3107)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3107*(1-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3107*(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3107*(1-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3107*(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7">
        <f>IF(C3107,(H3107*N3107*IF(AND(Inputs!$B$38&lt;&gt;"pvp",Inputs!$B$43&gt;0),((Skills!G12*((R3107-1)*IF(Skills!H12&gt;0,Skills!I12/Skills!H12,1)+IF(Skills!H12&gt;0,MIN(Skills!I12,MAX(0,MAX(0,Inputs!$B$43-B3132)-((R3107-1)*(IF(Inputs!$B$38="pvp",15,MAX(0.1,Skills!D12-IF(Skills!E12=TRUE,4.5,0)))*(1-IF(AND(ArtifactsInput!$M$27,Inputs!$B$4="Chapter Hunt"),CHOOSE(ArtifactsInput!$N$27+1,20,24,28,32,36,40),0)/100)))))/Skills!H12,1)))/Inputs!$B$43),G3107*Q3107))*IF(Inputs!$B$38="pvp",1,(1+(Inputs!$B$21+Skills!Q12+(IF(ArtifactsInput!$M$33,CHOOSE(ArtifactsInput!$N$33+1,30,36,42,48,54,60)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8">
      <c r="A3108">
        <f>Skills!A13</f>
        <v/>
      </c>
      <c r="B3108">
        <f>Skills!B13</f>
        <v/>
      </c>
      <c r="C3108">
        <f>Inputs!$B$3&gt;=110</f>
        <v/>
      </c>
      <c r="D3108">
        <f>IF(Skills!C13=1,60+Inputs!$B$25+Inputs!$B$29,IF(Skills!C13=2,90+Inputs!$B$26+Inputs!$B$29,IF(Skills!C13=3,120+Inputs!$B$27+Inputs!$B$29,MAX(0,(Inputs!$B$3-100)*3)+Inputs!$B$28+Inputs!$B$29)))</f>
        <v/>
      </c>
      <c r="E3108">
        <f>INDEX(FactorTable!$B$2:$Y$301, MATCH(ROUND(MIN(300,MAX(1,D3108)),0), FactorTable!$A$2:$A$301,0), Skills!M13+1)</f>
        <v/>
      </c>
      <c r="F3108">
        <f>IF(Skills!N13=TRUE,(Skills!L13/10)*(E3108/1000),Skills!L13/10)+Skills!O13</f>
        <v/>
      </c>
      <c r="G3108">
        <f>Skills!G13*IF(Skills!H13&gt;0,Skills!I13/Skills!H13,1)</f>
        <v/>
      </c>
      <c r="H3108">
        <f>1-(1-Skills!J13/100)^Skills!K13</f>
        <v/>
      </c>
      <c r="I3108" t="inlineStr">
        <is>
          <t>1</t>
        </is>
      </c>
      <c r="J3108">
        <f>((Inputs!$B$6*(1+Inputs!$B$7/100))+(((Inputs!$B$12*(1+Inputs!$B$13/100))-(Inputs!$B$12*(1+Inputs!$B$13/100)))+0.25*(Inputs!$B$14-Inputs!$B$14))*(1+Inputs!$B$7/100))*(F3108/100)</f>
        <v/>
      </c>
      <c r="K3108">
        <f>J3108*(1+((Inputs!$B$12*(1+Inputs!$B$13/100))*0.01+Inputs!$B$14*0.0025)/100)*(1+Inputs!$B$15/100)*(1+Inputs!$B$16/100)*(5000/(6000+Inputs!$B$42*(1-(100*(1-(1-(Inputs!$B$19+0)/100)*(1-CHOOSE(ArtifactsInput!$N$40+1,5,6,7,8,9,10)/100)^(ArtifactsInput!$M$40-ArtifactsInput!$M$40)))/100)))*(1+(Inputs!$B$24+((C3121=TRUE)*(F3121-Calc!F26))+B3131)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3118=TRUE)*(F3118-Calc!F23))+((C3122=TRUE)*(F3122-Calc!F27))+(((IF(AND(ArtifactsInput!$M$42,((Inputs!$B$9+((C3114=TRUE)*(F3114-Calc!F19))+B3125+(ArtifactsInput!$M$24-ArtifactsInput!$M$24)*CHOOSE(ArtifactsInput!$N$24+1,10,12,14,16,18,20)+IF(ArtifactsInput!$M$10,CHOOSE(ArtifactsInput!$N$10+1,15,18,21,24,27,30)*(IF(Inputs!$B$38="pvp",MIN(15,15)/15,IF(AND(Inputs!$B$38&lt;&gt;"pvp",Inputs!$B$43&gt;0),MIN(15,Inputs!$B$43)/(Inputs!$B$43),0))),0)))&gt;=100),MIN(100,((Inputs!$B$9+((C3114=TRUE)*(F3114-Calc!F19))+B3125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3114=TRUE)*(F3114-Calc!F19))+B3125+(ArtifactsInput!$M$24-ArtifactsInput!$M$24)*CHOOSE(ArtifactsInput!$N$24+1,10,12,14,16,18,20)+IF(ArtifactsInput!$M$10,CHOOSE(ArtifactsInput!$N$10+1,15,18,21,24,27,30)*(IF(Inputs!$B$38="pvp",MIN(15,15)/15,IF(AND(Inputs!$B$38&lt;&gt;"pvp",Inputs!$B$43&gt;0),MIN(15,Inputs!$B$43)/(Inputs!$B$43),0))),0)))&gt;=100),CHOOSE(ArtifactsInput!$N$42+1,40,48,56,64,72,80),0))))/100)*((1+(((C3112=TRUE)*F3112)+((C3119=TRUE)*(F3119-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3108)</f>
        <v/>
      </c>
      <c r="L3108">
        <f>K3108*(MIN(Inputs!$B$22+((C3117=TRUE)*(F3117-Calc!F22)),(Inputs!$B$23+0+(IF(ArtifactsInput!$M$15,CHOOSE(ArtifactsInput!$N$15+1,25,30,35,40,45,50)/100*(Inputs!$B$11-Inputs!$B$11),0))))/100+(Inputs!$B$23+0+(IF(ArtifactsInput!$M$15,CHOOSE(ArtifactsInput!$N$15+1,25,30,35,40,45,50)/100*(Inputs!$B$11-Inputs!$B$11),0)))/100)/2</f>
        <v/>
      </c>
      <c r="M3108">
        <f>L3108*(1+(Inputs!$B$10+((C3120=TRUE)*(F3120-Calc!F25))+B3130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8">
        <f>L3108*(1-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3108*(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8">
        <f>(1-Summary!$B$11)*T3108+Summary!$B$11*V3108</f>
        <v/>
      </c>
      <c r="P3108">
        <f>IF(B3135=0,0,O3108/B3135)</f>
        <v/>
      </c>
      <c r="Q3108">
        <f>IFERROR(1/(IF(Inputs!$B$38="pvp",15,MAX(0.1,Skills!D13-IF(Skills!E13=TRUE,4.5,0)))*(1-IF(AND(ArtifactsInput!$M$27,Inputs!$B$4="Chapter Hunt"),CHOOSE(ArtifactsInput!$N$27+1,20,24,28,32,36,40),0)/100)),0)</f>
        <v/>
      </c>
      <c r="R3108">
        <f>IF(AND(Inputs!$B$38&lt;&gt;"pvp",Inputs!$B$43&gt;0),IF(MAX(0,Inputs!$B$43-B3132)&lt;=0,0,(INT(MAX(0,Inputs!$B$43-B3132)/(IF(Inputs!$B$38="pvp",15,MAX(0.1,Skills!D13-IF(Skills!E13=TRUE,4.5,0)))*(1-IF(AND(ArtifactsInput!$M$27,Inputs!$B$4="Chapter Hunt"),CHOOSE(ArtifactsInput!$N$27+1,20,24,28,32,36,40),0)/100)))+1)),0)</f>
        <v/>
      </c>
      <c r="S3108">
        <f>IFERROR(O3108/N3108,0)</f>
        <v/>
      </c>
      <c r="T3108">
        <f>IF(C3108,(H3108*N3108*IF(AND(Inputs!$B$38&lt;&gt;"pvp",Inputs!$B$43&gt;0),((Skills!G13*((R3108-1)*IF(Skills!H13&gt;0,Skills!I13/Skills!H13,1)+IF(Skills!H13&gt;0,MIN(Skills!I13,MAX(0,MAX(0,Inputs!$B$43-B3132)-((R3108-1)*(IF(Inputs!$B$38="pvp",15,MAX(0.1,Skills!D13-IF(Skills!E13=TRUE,4.5,0)))*(1-IF(AND(ArtifactsInput!$M$27,Inputs!$B$4="Chapter Hunt"),CHOOSE(ArtifactsInput!$N$27+1,20,24,28,32,36,40),0)/100)))))/Skills!H13,1)))/Inputs!$B$43),G3108*Q3108)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3108*(1-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3108*(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3108*(1-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3108*(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8">
        <f>IF(C3108,(H3108*N3108*IF(AND(Inputs!$B$38&lt;&gt;"pvp",Inputs!$B$43&gt;0),((Skills!G13*((R3108-1)*IF(Skills!H13&gt;0,Skills!I13/Skills!H13,1)+IF(Skills!H13&gt;0,MIN(Skills!I13,MAX(0,MAX(0,Inputs!$B$43-B3132)-((R3108-1)*(IF(Inputs!$B$38="pvp",15,MAX(0.1,Skills!D13-IF(Skills!E13=TRUE,4.5,0)))*(1-IF(AND(ArtifactsInput!$M$27,Inputs!$B$4="Chapter Hunt"),CHOOSE(ArtifactsInput!$N$27+1,20,24,28,32,36,40),0)/100)))))/Skills!H13,1)))/Inputs!$B$43),G3108*Q3108))*IF(Inputs!$B$38="pvp",1,(1+(Inputs!$B$21+Skills!Q13+(IF(ArtifactsInput!$M$33,CHOOSE(ArtifactsInput!$N$33+1,30,36,42,48,54,60)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9">
      <c r="A3109">
        <f>Skills!A14</f>
        <v/>
      </c>
      <c r="B3109">
        <f>Skills!B14</f>
        <v/>
      </c>
      <c r="C3109">
        <f>Inputs!$B$3&gt;=125</f>
        <v/>
      </c>
      <c r="D3109">
        <f>IF(Skills!C14=1,60+Inputs!$B$25+Inputs!$B$29,IF(Skills!C14=2,90+Inputs!$B$26+Inputs!$B$29,IF(Skills!C14=3,120+Inputs!$B$27+Inputs!$B$29,MAX(0,(Inputs!$B$3-100)*3)+Inputs!$B$28+Inputs!$B$29)))</f>
        <v/>
      </c>
      <c r="E3109">
        <f>INDEX(FactorTable!$B$2:$Y$301, MATCH(ROUND(MIN(300,MAX(1,D3109)),0), FactorTable!$A$2:$A$301,0), Skills!M14+1)</f>
        <v/>
      </c>
      <c r="F3109">
        <f>IF(Skills!N14=TRUE,(Skills!L14/10)*(E3109/1000),Skills!L14/10)+Skills!O14</f>
        <v/>
      </c>
      <c r="G3109">
        <f>Skills!G14*IF(Skills!H14&gt;0,Skills!I14/Skills!H14,1)</f>
        <v/>
      </c>
      <c r="H3109">
        <f>1-(1-Skills!J14/100)^Skills!K14</f>
        <v/>
      </c>
      <c r="I3109" t="inlineStr">
        <is>
          <t>1</t>
        </is>
      </c>
      <c r="J3109">
        <f>((Inputs!$B$6*(1+Inputs!$B$7/100))+(((Inputs!$B$12*(1+Inputs!$B$13/100))-(Inputs!$B$12*(1+Inputs!$B$13/100)))+0.25*(Inputs!$B$14-Inputs!$B$14))*(1+Inputs!$B$7/100))*(F3109/100)</f>
        <v/>
      </c>
      <c r="K3109">
        <f>J3109*(1+((Inputs!$B$12*(1+Inputs!$B$13/100))*0.01+Inputs!$B$14*0.0025)/100)*(1+Inputs!$B$15/100)*(1+Inputs!$B$16/100)*(5000/(6000+Inputs!$B$42*(1-(100*(1-(1-(Inputs!$B$19+0)/100)*(1-CHOOSE(ArtifactsInput!$N$40+1,5,6,7,8,9,10)/100)^(ArtifactsInput!$M$40-ArtifactsInput!$M$40)))/100)))*(1+(Inputs!$B$24+((C3121=TRUE)*(F3121-Calc!F26))+B3131)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3118=TRUE)*(F3118-Calc!F23))+((C3122=TRUE)*(F3122-Calc!F27))+(((IF(AND(ArtifactsInput!$M$42,((Inputs!$B$9+((C3114=TRUE)*(F3114-Calc!F19))+B3125+(ArtifactsInput!$M$24-ArtifactsInput!$M$24)*CHOOSE(ArtifactsInput!$N$24+1,10,12,14,16,18,20)+IF(ArtifactsInput!$M$10,CHOOSE(ArtifactsInput!$N$10+1,15,18,21,24,27,30)*(IF(Inputs!$B$38="pvp",MIN(15,15)/15,IF(AND(Inputs!$B$38&lt;&gt;"pvp",Inputs!$B$43&gt;0),MIN(15,Inputs!$B$43)/(Inputs!$B$43),0))),0)))&gt;=100),MIN(100,((Inputs!$B$9+((C3114=TRUE)*(F3114-Calc!F19))+B3125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3114=TRUE)*(F3114-Calc!F19))+B3125+(ArtifactsInput!$M$24-ArtifactsInput!$M$24)*CHOOSE(ArtifactsInput!$N$24+1,10,12,14,16,18,20)+IF(ArtifactsInput!$M$10,CHOOSE(ArtifactsInput!$N$10+1,15,18,21,24,27,30)*(IF(Inputs!$B$38="pvp",MIN(15,15)/15,IF(AND(Inputs!$B$38&lt;&gt;"pvp",Inputs!$B$43&gt;0),MIN(15,Inputs!$B$43)/(Inputs!$B$43),0))),0)))&gt;=100),CHOOSE(ArtifactsInput!$N$42+1,40,48,56,64,72,80),0))))/100)*((1+(((C3112=TRUE)*F3112)+((C3119=TRUE)*(F3119-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3109)</f>
        <v/>
      </c>
      <c r="L3109">
        <f>K3109*(MIN(Inputs!$B$22+((C3117=TRUE)*(F3117-Calc!F22)),(Inputs!$B$23+0+(IF(ArtifactsInput!$M$15,CHOOSE(ArtifactsInput!$N$15+1,25,30,35,40,45,50)/100*(Inputs!$B$11-Inputs!$B$11),0))))/100+(Inputs!$B$23+0+(IF(ArtifactsInput!$M$15,CHOOSE(ArtifactsInput!$N$15+1,25,30,35,40,45,50)/100*(Inputs!$B$11-Inputs!$B$11),0)))/100)/2</f>
        <v/>
      </c>
      <c r="M3109">
        <f>L3109*(1+(Inputs!$B$10+((C3120=TRUE)*(F3120-Calc!F25))+B3130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9">
        <f>L3109*(1-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3109*(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9">
        <f>(1-Summary!$B$11)*T3109+Summary!$B$11*V3109</f>
        <v/>
      </c>
      <c r="P3109">
        <f>IF(B3135=0,0,O3109/B3135)</f>
        <v/>
      </c>
      <c r="Q3109" t="n">
        <v>0</v>
      </c>
      <c r="R3109" t="n">
        <v>0</v>
      </c>
      <c r="S3109">
        <f>IFERROR(O3109/N3109,0)</f>
        <v/>
      </c>
      <c r="T3109">
        <f>IF(C3109,(H3109*N3109*(B3129+IF(AND(Inputs!$B$38&lt;&gt;"pvp",Inputs!$B$43&gt;0),((Skills!G8*((R3103-1)*IF(Skills!H8&gt;0,Skills!I8/Skills!H8,1)+IF(Skills!H8&gt;0,MIN(Skills!I8,MAX(0,MAX(0,Inputs!$B$43-B3132)-((R3103-1)*(IF(Inputs!$B$38="pvp",15,MAX(0.1,Skills!D8-IF(Skills!E8=TRUE,4.5,0)))*(1-IF(AND(ArtifactsInput!$M$27,Inputs!$B$4="Chapter Hunt"),CHOOSE(ArtifactsInput!$N$27+1,20,24,28,32,36,40),0)/100)))))/Skills!H8,1)))/Inputs!$B$43),G3103*Q3103)+IF(AND(Inputs!$B$38&lt;&gt;"pvp",Inputs!$B$43&gt;0),((Skills!G11*((R3106-1)*IF(Skills!H11&gt;0,Skills!I11/Skills!H11,1)+IF(Skills!H11&gt;0,MIN(Skills!I11,MAX(0,MAX(0,Inputs!$B$43-B3132)-((R3106-1)*(IF(Inputs!$B$38="pvp",15,MAX(0.1,Skills!D11-IF(Skills!E11=TRUE,4.5,0)))*(1-IF(AND(ArtifactsInput!$M$27,Inputs!$B$4="Chapter Hunt"),CHOOSE(ArtifactsInput!$N$27+1,20,24,28,32,36,40),0)/100)))))/Skills!H11,1)))/Inputs!$B$43),G3106*Q3106)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3109*(1-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3109*(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3109*(1-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3109*(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9">
        <f>IF(C3109,(H3109*N3109*(B3129+IF(AND(Inputs!$B$38&lt;&gt;"pvp",Inputs!$B$43&gt;0),((Skills!G8*((R3103-1)*IF(Skills!H8&gt;0,Skills!I8/Skills!H8,1)+IF(Skills!H8&gt;0,MIN(Skills!I8,MAX(0,MAX(0,Inputs!$B$43-B3132)-((R3103-1)*(IF(Inputs!$B$38="pvp",15,MAX(0.1,Skills!D8-IF(Skills!E8=TRUE,4.5,0)))*(1-IF(AND(ArtifactsInput!$M$27,Inputs!$B$4="Chapter Hunt"),CHOOSE(ArtifactsInput!$N$27+1,20,24,28,32,36,40),0)/100)))))/Skills!H8,1)))/Inputs!$B$43),G3103*Q3103)+IF(AND(Inputs!$B$38&lt;&gt;"pvp",Inputs!$B$43&gt;0),((Skills!G11*((R3106-1)*IF(Skills!H11&gt;0,Skills!I11/Skills!H11,1)+IF(Skills!H11&gt;0,MIN(Skills!I11,MAX(0,MAX(0,Inputs!$B$43-B3132)-((R3106-1)*(IF(Inputs!$B$38="pvp",15,MAX(0.1,Skills!D11-IF(Skills!E11=TRUE,4.5,0)))*(1-IF(AND(ArtifactsInput!$M$27,Inputs!$B$4="Chapter Hunt"),CHOOSE(ArtifactsInput!$N$27+1,20,24,28,32,36,40),0)/100)))))/Skills!H11,1)))/Inputs!$B$43),G3106*Q3106)))*IF(Inputs!$B$38="pvp",1,(1+(Inputs!$B$21+Skills!Q14+(IF(ArtifactsInput!$M$33,CHOOSE(ArtifactsInput!$N$33+1,30,36,42,48,54,60)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0">
      <c r="A3110">
        <f>Skills!A15</f>
        <v/>
      </c>
      <c r="B3110">
        <f>Skills!B15</f>
        <v/>
      </c>
      <c r="C3110">
        <f>Inputs!$B$3&gt;=100</f>
        <v/>
      </c>
      <c r="D3110">
        <f>IF(Skills!C15=1,60+Inputs!$B$25+Inputs!$B$29,IF(Skills!C15=2,90+Inputs!$B$26+Inputs!$B$29,IF(Skills!C15=3,120+Inputs!$B$27+Inputs!$B$29,MAX(0,(Inputs!$B$3-100)*3)+Inputs!$B$28+Inputs!$B$29)))</f>
        <v/>
      </c>
      <c r="E3110">
        <f>INDEX(FactorTable!$B$2:$Y$301, MATCH(ROUND(MIN(300,MAX(1,D3110)),0), FactorTable!$A$2:$A$301,0), Skills!M15+1)</f>
        <v/>
      </c>
      <c r="F3110">
        <f>IF(Skills!N15=TRUE,(Skills!L15/10)*(E3110/1000),Skills!L15/10)+Skills!O15</f>
        <v/>
      </c>
      <c r="G3110" t="inlineStr"/>
      <c r="H3110" t="inlineStr"/>
      <c r="I3110" t="inlineStr">
        <is>
          <t>1</t>
        </is>
      </c>
      <c r="J3110" t="inlineStr"/>
      <c r="K3110" t="inlineStr"/>
      <c r="L3110" t="inlineStr"/>
      <c r="M3110" t="inlineStr"/>
      <c r="N3110" t="inlineStr"/>
      <c r="O3110" t="inlineStr"/>
      <c r="P3110" t="inlineStr"/>
      <c r="Q3110" t="inlineStr"/>
      <c r="R3110" t="inlineStr"/>
      <c r="S3110" t="inlineStr"/>
    </row>
    <row r="3111">
      <c r="A3111">
        <f>Skills!A16</f>
        <v/>
      </c>
      <c r="B3111">
        <f>Skills!B16</f>
        <v/>
      </c>
      <c r="C3111">
        <f>Inputs!$B$3&gt;=120</f>
        <v/>
      </c>
      <c r="D3111">
        <f>IF(Skills!C16=1,60+Inputs!$B$25+Inputs!$B$29,IF(Skills!C16=2,90+Inputs!$B$26+Inputs!$B$29,IF(Skills!C16=3,120+Inputs!$B$27+Inputs!$B$29,MAX(0,(Inputs!$B$3-100)*3)+Inputs!$B$28+Inputs!$B$29)))</f>
        <v/>
      </c>
      <c r="E3111">
        <f>INDEX(FactorTable!$B$2:$Y$301, MATCH(ROUND(MIN(300,MAX(1,D3111)),0), FactorTable!$A$2:$A$301,0), Skills!M16+1)</f>
        <v/>
      </c>
      <c r="F3111">
        <f>IF(Skills!N16=TRUE,(Skills!L16/10)*(E3111/1000),Skills!L16/10)+Skills!O16</f>
        <v/>
      </c>
      <c r="G3111" t="inlineStr"/>
      <c r="H3111" t="inlineStr"/>
      <c r="I3111" t="inlineStr">
        <is>
          <t>1</t>
        </is>
      </c>
      <c r="J3111" t="inlineStr"/>
      <c r="K3111" t="inlineStr"/>
      <c r="L3111" t="inlineStr"/>
      <c r="M3111" t="inlineStr"/>
      <c r="N3111" t="inlineStr"/>
      <c r="O3111" t="inlineStr"/>
      <c r="P3111" t="inlineStr"/>
      <c r="Q3111" t="inlineStr"/>
      <c r="R3111" t="inlineStr"/>
      <c r="S3111" t="inlineStr"/>
    </row>
    <row r="3112">
      <c r="A3112">
        <f>Skills!A17</f>
        <v/>
      </c>
      <c r="B3112">
        <f>Skills!B17</f>
        <v/>
      </c>
      <c r="C3112">
        <f>Inputs!$B$3&gt;=66</f>
        <v/>
      </c>
      <c r="D3112">
        <f>IF(Skills!C17=1,60+Inputs!$B$25+Inputs!$B$29,IF(Skills!C17=2,90+Inputs!$B$26+Inputs!$B$29,IF(Skills!C17=3,120+Inputs!$B$27+Inputs!$B$29,MAX(0,(Inputs!$B$3-100)*3)+Inputs!$B$28+Inputs!$B$29)))</f>
        <v/>
      </c>
      <c r="E3112">
        <f>INDEX(FactorTable!$B$2:$Y$301, MATCH(ROUND(MIN(300,MAX(1,D3112)),0), FactorTable!$A$2:$A$301,0), Skills!M17+1)</f>
        <v/>
      </c>
      <c r="F3112">
        <f>IF(Skills!N17=TRUE,(Skills!L17/10)*(E3112/1000),Skills!L17/10)+Skills!O17</f>
        <v/>
      </c>
      <c r="G3112">
        <f>Skills!G17*IF(Skills!H17&gt;0,Skills!I17/Skills!H17,1)</f>
        <v/>
      </c>
      <c r="H3112">
        <f>1-(1-Skills!J17/100)^Skills!K17</f>
        <v/>
      </c>
      <c r="I3112" t="inlineStr">
        <is>
          <t>1</t>
        </is>
      </c>
      <c r="J3112" t="inlineStr"/>
      <c r="K3112" t="inlineStr"/>
      <c r="L3112" t="inlineStr"/>
      <c r="M3112" t="inlineStr"/>
      <c r="N3112" t="inlineStr"/>
      <c r="O3112">
        <f>(1-Summary!$B$11)*T3112+Summary!$B$11*V3112</f>
        <v/>
      </c>
      <c r="P3112">
        <f>IF(B3135=0,0,O3112/B3135)</f>
        <v/>
      </c>
      <c r="Q3112" t="n">
        <v>0</v>
      </c>
      <c r="R3112" t="n">
        <v>0</v>
      </c>
      <c r="S3112">
        <f>IFERROR(O3112/N3112,0)</f>
        <v/>
      </c>
      <c r="T3112" t="n">
        <v>0</v>
      </c>
      <c r="V3112" t="n">
        <v>0</v>
      </c>
    </row>
    <row r="3113">
      <c r="A3113">
        <f>Skills!A18</f>
        <v/>
      </c>
      <c r="B3113">
        <f>Skills!B18</f>
        <v/>
      </c>
      <c r="C3113">
        <f>Inputs!$B$3&gt;=115</f>
        <v/>
      </c>
      <c r="D3113">
        <f>IF(Skills!C18=1,60+Inputs!$B$25+Inputs!$B$29,IF(Skills!C18=2,90+Inputs!$B$26+Inputs!$B$29,IF(Skills!C18=3,120+Inputs!$B$27+Inputs!$B$29,MAX(0,(Inputs!$B$3-100)*3)+Inputs!$B$28+Inputs!$B$29)))</f>
        <v/>
      </c>
      <c r="E3113">
        <f>INDEX(FactorTable!$B$2:$Y$301, MATCH(ROUND(MIN(300,MAX(1,D3113)),0), FactorTable!$A$2:$A$301,0), Skills!M18+1)</f>
        <v/>
      </c>
      <c r="F3113">
        <f>IF(Skills!N18=TRUE,(Skills!L18/10)*(E3113/1000),Skills!L18/10)+Skills!O18</f>
        <v/>
      </c>
      <c r="G3113">
        <f>Skills!G18*IF(Skills!H18&gt;0,Skills!I18/Skills!H18,1)</f>
        <v/>
      </c>
      <c r="H3113">
        <f>1-(1-Skills!J18/100)^Skills!K18</f>
        <v/>
      </c>
      <c r="I3113" t="inlineStr">
        <is>
          <t>1</t>
        </is>
      </c>
      <c r="J3113" t="inlineStr"/>
      <c r="K3113" t="inlineStr"/>
      <c r="L3113" t="inlineStr"/>
      <c r="M3113" t="inlineStr"/>
      <c r="N3113" t="inlineStr"/>
      <c r="O3113">
        <f>(1-Summary!$B$11)*T3113+Summary!$B$11*V3113</f>
        <v/>
      </c>
      <c r="P3113">
        <f>IF(B3135=0,0,O3113/B3135)</f>
        <v/>
      </c>
      <c r="Q3113" t="n">
        <v>0</v>
      </c>
      <c r="R3113" t="n">
        <v>0</v>
      </c>
      <c r="S3113">
        <f>IFERROR(O3113/N3113,0)</f>
        <v/>
      </c>
      <c r="T3113" t="n">
        <v>0</v>
      </c>
      <c r="V3113" t="n">
        <v>0</v>
      </c>
    </row>
    <row r="3114">
      <c r="A3114">
        <f>Skills!A19</f>
        <v/>
      </c>
      <c r="B3114">
        <f>Skills!B19</f>
        <v/>
      </c>
      <c r="C3114">
        <f>Inputs!$B$3&gt;=15</f>
        <v/>
      </c>
      <c r="D3114">
        <f>IF(Skills!C19=1,60+Inputs!$B$25+Inputs!$B$29,IF(Skills!C19=2,90+Inputs!$B$26+Inputs!$B$29,IF(Skills!C19=3,120+Inputs!$B$27+Inputs!$B$29,MAX(0,(Inputs!$B$3-100)*3)+Inputs!$B$28+Inputs!$B$29)))</f>
        <v/>
      </c>
      <c r="E3114">
        <f>INDEX(FactorTable!$B$2:$Y$301, MATCH(ROUND(MIN(300,MAX(1,D3114)),0), FactorTable!$A$2:$A$301,0), Skills!M19+1)</f>
        <v/>
      </c>
      <c r="F3114">
        <f>IF(Skills!N19=TRUE,(Skills!L19/10)*(E3114/1000),Skills!L19/10)+Skills!O19</f>
        <v/>
      </c>
      <c r="G3114">
        <f>Skills!G19*IF(Skills!H19&gt;0,Skills!I19/Skills!H19,1)</f>
        <v/>
      </c>
      <c r="H3114">
        <f>1-(1-Skills!J19/100)^Skills!K19</f>
        <v/>
      </c>
      <c r="I3114" t="inlineStr">
        <is>
          <t>1</t>
        </is>
      </c>
      <c r="J3114" t="inlineStr"/>
      <c r="K3114" t="inlineStr"/>
      <c r="L3114" t="inlineStr"/>
      <c r="M3114" t="inlineStr"/>
      <c r="N3114" t="inlineStr"/>
      <c r="O3114">
        <f>(1-Summary!$B$11)*T3114+Summary!$B$11*V3114</f>
        <v/>
      </c>
      <c r="P3114">
        <f>IF(B3135=0,0,O3114/B3135)</f>
        <v/>
      </c>
      <c r="Q3114" t="n">
        <v>0</v>
      </c>
      <c r="R3114" t="n">
        <v>0</v>
      </c>
      <c r="S3114">
        <f>IFERROR(O3114/N3114,0)</f>
        <v/>
      </c>
      <c r="T3114" t="n">
        <v>0</v>
      </c>
      <c r="V3114" t="n">
        <v>0</v>
      </c>
    </row>
    <row r="3115">
      <c r="A3115">
        <f>Skills!A20</f>
        <v/>
      </c>
      <c r="B3115">
        <f>Skills!B20</f>
        <v/>
      </c>
      <c r="C3115">
        <f>Inputs!$B$3&gt;=10</f>
        <v/>
      </c>
      <c r="D3115">
        <f>IF(Skills!C20=1,60+Inputs!$B$25+Inputs!$B$29,IF(Skills!C20=2,90+Inputs!$B$26+Inputs!$B$29,IF(Skills!C20=3,120+Inputs!$B$27+Inputs!$B$29,MAX(0,(Inputs!$B$3-100)*3)+Inputs!$B$28+Inputs!$B$29)))</f>
        <v/>
      </c>
      <c r="E3115">
        <f>INDEX(FactorTable!$B$2:$Y$301, MATCH(ROUND(MIN(300,MAX(1,D3115)),0), FactorTable!$A$2:$A$301,0), Skills!M20+1)</f>
        <v/>
      </c>
      <c r="F3115">
        <f>IF(Skills!N20=TRUE,(Skills!L20/10)*(E3115/1000),Skills!L20/10)+Skills!O20</f>
        <v/>
      </c>
      <c r="G3115">
        <f>Skills!G20*IF(Skills!H20&gt;0,Skills!I20/Skills!H20,1)</f>
        <v/>
      </c>
      <c r="H3115">
        <f>1-(1-Skills!J20/100)^Skills!K20</f>
        <v/>
      </c>
      <c r="I3115" t="inlineStr">
        <is>
          <t>1</t>
        </is>
      </c>
      <c r="J3115" t="inlineStr"/>
      <c r="K3115" t="inlineStr"/>
      <c r="L3115" t="inlineStr"/>
      <c r="M3115" t="inlineStr"/>
      <c r="N3115" t="inlineStr"/>
      <c r="O3115">
        <f>(1-Summary!$B$11)*T3115+Summary!$B$11*V3115</f>
        <v/>
      </c>
      <c r="P3115">
        <f>IF(B3135=0,0,O3115/B3135)</f>
        <v/>
      </c>
      <c r="Q3115" t="n">
        <v>0</v>
      </c>
      <c r="R3115" t="n">
        <v>0</v>
      </c>
      <c r="S3115">
        <f>IFERROR(O3115/N3115,0)</f>
        <v/>
      </c>
      <c r="T3115" t="n">
        <v>0</v>
      </c>
      <c r="V3115" t="n">
        <v>0</v>
      </c>
    </row>
    <row r="3116">
      <c r="A3116">
        <f>Skills!A21</f>
        <v/>
      </c>
      <c r="B3116">
        <f>Skills!B21</f>
        <v/>
      </c>
      <c r="C3116">
        <f>Inputs!$B$3&gt;=33</f>
        <v/>
      </c>
      <c r="D3116">
        <f>IF(Skills!C21=1,60+Inputs!$B$25+Inputs!$B$29,IF(Skills!C21=2,90+Inputs!$B$26+Inputs!$B$29,IF(Skills!C21=3,120+Inputs!$B$27+Inputs!$B$29,MAX(0,(Inputs!$B$3-100)*3)+Inputs!$B$28+Inputs!$B$29)))</f>
        <v/>
      </c>
      <c r="E3116">
        <f>INDEX(FactorTable!$B$2:$Y$301, MATCH(ROUND(MIN(300,MAX(1,D3116)),0), FactorTable!$A$2:$A$301,0), Skills!M21+1)</f>
        <v/>
      </c>
      <c r="F3116">
        <f>IF(Skills!N21=TRUE,(Skills!L21/10)*(E3116/1000),Skills!L21/10)+Skills!O21</f>
        <v/>
      </c>
      <c r="G3116">
        <f>Skills!G21*IF(Skills!H21&gt;0,Skills!I21/Skills!H21,1)</f>
        <v/>
      </c>
      <c r="H3116">
        <f>1-(1-Skills!J21/100)^Skills!K21</f>
        <v/>
      </c>
      <c r="I3116" t="inlineStr">
        <is>
          <t>1</t>
        </is>
      </c>
      <c r="J3116" t="inlineStr"/>
      <c r="K3116" t="inlineStr"/>
      <c r="L3116" t="inlineStr"/>
      <c r="M3116" t="inlineStr"/>
      <c r="N3116" t="inlineStr"/>
      <c r="O3116">
        <f>(1-Summary!$B$11)*T3116+Summary!$B$11*V3116</f>
        <v/>
      </c>
      <c r="P3116">
        <f>IF(B3135=0,0,O3116/B3135)</f>
        <v/>
      </c>
      <c r="Q3116" t="n">
        <v>0</v>
      </c>
      <c r="R3116" t="n">
        <v>0</v>
      </c>
      <c r="S3116">
        <f>IFERROR(O3116/N3116,0)</f>
        <v/>
      </c>
      <c r="T3116" t="n">
        <v>0</v>
      </c>
      <c r="V3116" t="n">
        <v>0</v>
      </c>
    </row>
    <row r="3117">
      <c r="A3117">
        <f>Skills!A22</f>
        <v/>
      </c>
      <c r="B3117">
        <f>Skills!B22</f>
        <v/>
      </c>
      <c r="C3117">
        <f>Inputs!$B$3&gt;=43</f>
        <v/>
      </c>
      <c r="D3117">
        <f>IF(Skills!C22=1,60+Inputs!$B$25+Inputs!$B$29,IF(Skills!C22=2,90+Inputs!$B$26+Inputs!$B$29,IF(Skills!C22=3,120+Inputs!$B$27+Inputs!$B$29,MAX(0,(Inputs!$B$3-100)*3)+Inputs!$B$28+Inputs!$B$29)))</f>
        <v/>
      </c>
      <c r="E3117">
        <f>INDEX(FactorTable!$B$2:$Y$301, MATCH(ROUND(MIN(300,MAX(1,D3117)),0), FactorTable!$A$2:$A$301,0), Skills!M22+1)</f>
        <v/>
      </c>
      <c r="F3117">
        <f>IF(Skills!N22=TRUE,(Skills!L22/10)*(E3117/1000),Skills!L22/10)+Skills!O22</f>
        <v/>
      </c>
      <c r="G3117">
        <f>Skills!G22*IF(Skills!H22&gt;0,Skills!I22/Skills!H22,1)</f>
        <v/>
      </c>
      <c r="H3117">
        <f>1-(1-Skills!J22/100)^Skills!K22</f>
        <v/>
      </c>
      <c r="I3117" t="inlineStr">
        <is>
          <t>1</t>
        </is>
      </c>
      <c r="J3117" t="inlineStr"/>
      <c r="K3117" t="inlineStr"/>
      <c r="L3117" t="inlineStr"/>
      <c r="M3117" t="inlineStr"/>
      <c r="N3117" t="inlineStr"/>
      <c r="O3117">
        <f>(1-Summary!$B$11)*T3117+Summary!$B$11*V3117</f>
        <v/>
      </c>
      <c r="P3117">
        <f>IF(B3135=0,0,O3117/B3135)</f>
        <v/>
      </c>
      <c r="Q3117" t="n">
        <v>0</v>
      </c>
      <c r="R3117" t="n">
        <v>0</v>
      </c>
      <c r="S3117">
        <f>IFERROR(O3117/N3117,0)</f>
        <v/>
      </c>
      <c r="T3117" t="n">
        <v>0</v>
      </c>
      <c r="V3117" t="n">
        <v>0</v>
      </c>
    </row>
    <row r="3118">
      <c r="A3118">
        <f>Skills!A23</f>
        <v/>
      </c>
      <c r="B3118">
        <f>Skills!B23</f>
        <v/>
      </c>
      <c r="C3118">
        <f>Inputs!$B$3&gt;=38</f>
        <v/>
      </c>
      <c r="D3118">
        <f>IF(Skills!C23=1,60+Inputs!$B$25+Inputs!$B$29,IF(Skills!C23=2,90+Inputs!$B$26+Inputs!$B$29,IF(Skills!C23=3,120+Inputs!$B$27+Inputs!$B$29,MAX(0,(Inputs!$B$3-100)*3)+Inputs!$B$28+Inputs!$B$29)))</f>
        <v/>
      </c>
      <c r="E3118">
        <f>INDEX(FactorTable!$B$2:$Y$301, MATCH(ROUND(MIN(300,MAX(1,D3118)),0), FactorTable!$A$2:$A$301,0), Skills!M23+1)</f>
        <v/>
      </c>
      <c r="F3118">
        <f>IF(Skills!N23=TRUE,(Skills!L23/10)*(E3118/1000),Skills!L23/10)+Skills!O23</f>
        <v/>
      </c>
      <c r="G3118">
        <f>Skills!G23*IF(Skills!H23&gt;0,Skills!I23/Skills!H23,1)</f>
        <v/>
      </c>
      <c r="H3118">
        <f>1-(1-Skills!J23/100)^Skills!K23</f>
        <v/>
      </c>
      <c r="I3118" t="inlineStr">
        <is>
          <t>1</t>
        </is>
      </c>
      <c r="J3118" t="inlineStr"/>
      <c r="K3118" t="inlineStr"/>
      <c r="L3118" t="inlineStr"/>
      <c r="M3118" t="inlineStr"/>
      <c r="N3118" t="inlineStr"/>
      <c r="O3118">
        <f>(1-Summary!$B$11)*T3118+Summary!$B$11*V3118</f>
        <v/>
      </c>
      <c r="P3118">
        <f>IF(B3135=0,0,O3118/B3135)</f>
        <v/>
      </c>
      <c r="Q3118" t="n">
        <v>0</v>
      </c>
      <c r="R3118" t="n">
        <v>0</v>
      </c>
      <c r="S3118">
        <f>IFERROR(O3118/N3118,0)</f>
        <v/>
      </c>
      <c r="T3118" t="n">
        <v>0</v>
      </c>
      <c r="V3118" t="n">
        <v>0</v>
      </c>
    </row>
    <row r="3119">
      <c r="A3119">
        <f>Skills!A24</f>
        <v/>
      </c>
      <c r="B3119">
        <f>Skills!B24</f>
        <v/>
      </c>
      <c r="C3119">
        <f>Inputs!$B$3&gt;=40</f>
        <v/>
      </c>
      <c r="D3119">
        <f>IF(Skills!C24=1,60+Inputs!$B$25+Inputs!$B$29,IF(Skills!C24=2,90+Inputs!$B$26+Inputs!$B$29,IF(Skills!C24=3,120+Inputs!$B$27+Inputs!$B$29,MAX(0,(Inputs!$B$3-100)*3)+Inputs!$B$28+Inputs!$B$29)))</f>
        <v/>
      </c>
      <c r="E3119">
        <f>INDEX(FactorTable!$B$2:$Y$301, MATCH(ROUND(MIN(300,MAX(1,D3119)),0), FactorTable!$A$2:$A$301,0), Skills!M24+1)</f>
        <v/>
      </c>
      <c r="F3119">
        <f>IF(Skills!N24=TRUE,(Skills!L24/10)*(E3119/1000),Skills!L24/10)+Skills!O24</f>
        <v/>
      </c>
      <c r="G3119">
        <f>Skills!G24*IF(Skills!H24&gt;0,Skills!I24/Skills!H24,1)</f>
        <v/>
      </c>
      <c r="H3119">
        <f>1-(1-Skills!J24/100)^Skills!K24</f>
        <v/>
      </c>
      <c r="I3119" t="inlineStr">
        <is>
          <t>1</t>
        </is>
      </c>
      <c r="J3119" t="inlineStr"/>
      <c r="K3119" t="inlineStr"/>
      <c r="L3119" t="inlineStr"/>
      <c r="M3119" t="inlineStr"/>
      <c r="N3119" t="inlineStr"/>
      <c r="O3119">
        <f>(1-Summary!$B$11)*T3119+Summary!$B$11*V3119</f>
        <v/>
      </c>
      <c r="P3119">
        <f>IF(B3135=0,0,O3119/B3135)</f>
        <v/>
      </c>
      <c r="Q3119" t="n">
        <v>0</v>
      </c>
      <c r="R3119" t="n">
        <v>0</v>
      </c>
      <c r="S3119">
        <f>IFERROR(O3119/N3119,0)</f>
        <v/>
      </c>
      <c r="T3119" t="n">
        <v>0</v>
      </c>
      <c r="V3119" t="n">
        <v>0</v>
      </c>
    </row>
    <row r="3120">
      <c r="A3120">
        <f>Skills!A25</f>
        <v/>
      </c>
      <c r="B3120">
        <f>Skills!B25</f>
        <v/>
      </c>
      <c r="C3120">
        <f>Inputs!$B$3&gt;=72</f>
        <v/>
      </c>
      <c r="D3120">
        <f>IF(Skills!C25=1,60+Inputs!$B$25+Inputs!$B$29,IF(Skills!C25=2,90+Inputs!$B$26+Inputs!$B$29,IF(Skills!C25=3,120+Inputs!$B$27+Inputs!$B$29,MAX(0,(Inputs!$B$3-100)*3)+Inputs!$B$28+Inputs!$B$29)))</f>
        <v/>
      </c>
      <c r="E3120">
        <f>INDEX(FactorTable!$B$2:$Y$301, MATCH(ROUND(MIN(300,MAX(1,D3120)),0), FactorTable!$A$2:$A$301,0), Skills!M25+1)</f>
        <v/>
      </c>
      <c r="F3120">
        <f>IF(Skills!N25=TRUE,(Skills!L25/10)*(E3120/1000),Skills!L25/10)+Skills!O25</f>
        <v/>
      </c>
      <c r="G3120">
        <f>Skills!G25*IF(Skills!H25&gt;0,Skills!I25/Skills!H25,1)</f>
        <v/>
      </c>
      <c r="H3120">
        <f>1-(1-Skills!J25/100)^Skills!K25</f>
        <v/>
      </c>
      <c r="I3120" t="inlineStr">
        <is>
          <t>1</t>
        </is>
      </c>
      <c r="J3120" t="inlineStr"/>
      <c r="K3120" t="inlineStr"/>
      <c r="L3120" t="inlineStr"/>
      <c r="M3120" t="inlineStr"/>
      <c r="N3120" t="inlineStr"/>
      <c r="O3120">
        <f>(1-Summary!$B$11)*T3120+Summary!$B$11*V3120</f>
        <v/>
      </c>
      <c r="P3120">
        <f>IF(B3135=0,0,O3120/B3135)</f>
        <v/>
      </c>
      <c r="Q3120" t="n">
        <v>0</v>
      </c>
      <c r="R3120" t="n">
        <v>0</v>
      </c>
      <c r="S3120">
        <f>IFERROR(O3120/N3120,0)</f>
        <v/>
      </c>
      <c r="T3120" t="n">
        <v>0</v>
      </c>
      <c r="V3120" t="n">
        <v>0</v>
      </c>
    </row>
    <row r="3121">
      <c r="A3121">
        <f>Skills!A26</f>
        <v/>
      </c>
      <c r="B3121">
        <f>Skills!B26</f>
        <v/>
      </c>
      <c r="C3121">
        <f>Inputs!$B$3&gt;=75</f>
        <v/>
      </c>
      <c r="D3121">
        <f>IF(Skills!C26=1,60+Inputs!$B$25+Inputs!$B$29,IF(Skills!C26=2,90+Inputs!$B$26+Inputs!$B$29,IF(Skills!C26=3,120+Inputs!$B$27+Inputs!$B$29,MAX(0,(Inputs!$B$3-100)*3)+Inputs!$B$28+Inputs!$B$29)))</f>
        <v/>
      </c>
      <c r="E3121">
        <f>INDEX(FactorTable!$B$2:$Y$301, MATCH(ROUND(MIN(300,MAX(1,D3121)),0), FactorTable!$A$2:$A$301,0), Skills!M26+1)</f>
        <v/>
      </c>
      <c r="F3121">
        <f>IF(Skills!N26=TRUE,(Skills!L26/10)*(E3121/1000),Skills!L26/10)+Skills!O26</f>
        <v/>
      </c>
      <c r="G3121">
        <f>Skills!G26*IF(Skills!H26&gt;0,Skills!I26/Skills!H26,1)</f>
        <v/>
      </c>
      <c r="H3121">
        <f>1-(1-Skills!J26/100)^Skills!K26</f>
        <v/>
      </c>
      <c r="I3121" t="inlineStr">
        <is>
          <t>1</t>
        </is>
      </c>
      <c r="J3121" t="inlineStr"/>
      <c r="K3121" t="inlineStr"/>
      <c r="L3121" t="inlineStr"/>
      <c r="M3121" t="inlineStr"/>
      <c r="N3121" t="inlineStr"/>
      <c r="O3121">
        <f>(1-Summary!$B$11)*T3121+Summary!$B$11*V3121</f>
        <v/>
      </c>
      <c r="P3121">
        <f>IF(B3135=0,0,O3121/B3135)</f>
        <v/>
      </c>
      <c r="Q3121" t="n">
        <v>0</v>
      </c>
      <c r="R3121" t="n">
        <v>0</v>
      </c>
      <c r="S3121">
        <f>IFERROR(O3121/N3121,0)</f>
        <v/>
      </c>
      <c r="T3121" t="n">
        <v>0</v>
      </c>
      <c r="V3121" t="n">
        <v>0</v>
      </c>
    </row>
    <row r="3122">
      <c r="A3122">
        <f>Skills!A27</f>
        <v/>
      </c>
      <c r="B3122">
        <f>Skills!B27</f>
        <v/>
      </c>
      <c r="C3122">
        <f>Inputs!$B$3&gt;=117</f>
        <v/>
      </c>
      <c r="D3122">
        <f>IF(Skills!C27=1,60+Inputs!$B$25+Inputs!$B$29,IF(Skills!C27=2,90+Inputs!$B$26+Inputs!$B$29,IF(Skills!C27=3,120+Inputs!$B$27+Inputs!$B$29,MAX(0,(Inputs!$B$3-100)*3)+Inputs!$B$28+Inputs!$B$29)))</f>
        <v/>
      </c>
      <c r="E3122">
        <f>INDEX(FactorTable!$B$2:$Y$301, MATCH(ROUND(MIN(300,MAX(1,D3122)),0), FactorTable!$A$2:$A$301,0), Skills!M27+1)</f>
        <v/>
      </c>
      <c r="F3122">
        <f>IF(Skills!N27=TRUE,(Skills!L27/10)*(E3122/1000),Skills!L27/10)+Skills!O27</f>
        <v/>
      </c>
      <c r="G3122">
        <f>Skills!G27*IF(Skills!H27&gt;0,Skills!I27/Skills!H27,1)</f>
        <v/>
      </c>
      <c r="H3122">
        <f>1-(1-Skills!J27/100)^Skills!K27</f>
        <v/>
      </c>
      <c r="I3122" t="inlineStr">
        <is>
          <t>1</t>
        </is>
      </c>
      <c r="J3122" t="inlineStr"/>
      <c r="K3122" t="inlineStr"/>
      <c r="L3122" t="inlineStr"/>
      <c r="M3122" t="inlineStr"/>
      <c r="N3122" t="inlineStr"/>
      <c r="O3122">
        <f>(1-Summary!$B$11)*T3122+Summary!$B$11*V3122</f>
        <v/>
      </c>
      <c r="P3122">
        <f>IF(B3135=0,0,O3122/B3135)</f>
        <v/>
      </c>
      <c r="Q3122" t="n">
        <v>0</v>
      </c>
      <c r="R3122" t="n">
        <v>0</v>
      </c>
      <c r="S3122">
        <f>IFERROR(O3122/N3122,0)</f>
        <v/>
      </c>
      <c r="T3122" t="n">
        <v>0</v>
      </c>
      <c r="V3122" t="n">
        <v>0</v>
      </c>
    </row>
    <row r="3124">
      <c r="A3124" t="inlineStr">
        <is>
          <t>Attack% Bucket Multiplier</t>
        </is>
      </c>
      <c r="B3124">
        <f>(1+(((C3112=TRUE)*F3112)+((C3119=TRUE)*(F3119-Calc!F24))+(IF(ArtifactsInput!$M$21,CHOOSE(ArtifactsInput!$N$21+1,25,30,35,40,45,50)*(IF(OR(Inputs!$B$4="Chapter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25">
      <c r="A3125" t="inlineStr">
        <is>
          <t>Global Crit Rate Bonus %</t>
        </is>
      </c>
      <c r="B3125" t="n">
        <v>0</v>
      </c>
    </row>
    <row r="3126">
      <c r="A3126" t="inlineStr">
        <is>
          <t>Attack Speed Buff Bonus % (unused)</t>
        </is>
      </c>
      <c r="B3126" t="n">
        <v>0</v>
      </c>
    </row>
    <row r="3127">
      <c r="A3127" t="inlineStr">
        <is>
          <t>Actions Per Second</t>
        </is>
      </c>
      <c r="B3127">
        <f>1+MIN(150,150*(1-(1-(Inputs!$B$11+((C3115=TRUE)*(F3115-Calc!F20))+((C3116=TRUE)*(F3116-Calc!F21)))/150)*(1-B3126/150)))/100</f>
        <v/>
      </c>
    </row>
    <row r="3128">
      <c r="A3128" t="inlineStr">
        <is>
          <t>Skill + Buff Cast Rate</t>
        </is>
      </c>
      <c r="B3128">
        <f>IF(AND(Inputs!$B$38&lt;&gt;"pvp",Inputs!$B$43&gt;0),SUMPRODUCT((Skills!E2:E27=TRUE)*(C3097:C3122=TRUE)*R3097:R3122*Skills!F2:F27)/Inputs!$B$43,SUMPRODUCT((Skills!E2:E27=TRUE)*(C3097:C3122=TRUE)*Q3097:Q3122*Skills!F2:F27))</f>
        <v/>
      </c>
    </row>
    <row r="3129">
      <c r="A3129" t="inlineStr">
        <is>
          <t>Eight-Legs Easton Casts Per Second</t>
        </is>
      </c>
      <c r="B3129">
        <f>MAX(0,B3127-B3128)</f>
        <v/>
      </c>
    </row>
    <row r="3130">
      <c r="A3130" t="inlineStr">
        <is>
          <t>Global Critical Damage Bonus % (unused)</t>
        </is>
      </c>
      <c r="B3130" t="n">
        <v>0</v>
      </c>
    </row>
    <row r="3131">
      <c r="A3131" t="inlineStr">
        <is>
          <t>Global Final Damage Bonus % (Jolly Roger only)</t>
        </is>
      </c>
      <c r="B3131">
        <f>((C3113=TRUE)*F3113)</f>
        <v/>
      </c>
    </row>
    <row r="3132">
      <c r="A3132" t="inlineStr">
        <is>
          <t>Buff-Casting Startup Delay (s, fixed-duration only)</t>
        </is>
      </c>
      <c r="B3132">
        <f>IF(AND(Inputs!$B$38&lt;&gt;"pvp",Inputs!$B$43&gt;0),SUMPRODUCT((Skills!T2:T27&gt;0)*(Skills!E2:E27=TRUE)*(C3097:C3122=TRUE))/B3127,0)</f>
        <v/>
      </c>
    </row>
    <row r="3133">
      <c r="A3133" t="inlineStr">
        <is>
          <t>Boss-Only Total DPS (this block's swept value)</t>
        </is>
      </c>
      <c r="B3133">
        <f>SUM(T3097:T3122)</f>
        <v/>
      </c>
    </row>
    <row r="3134">
      <c r="A3134" t="inlineStr">
        <is>
          <t>Normal-Only Total DPS (this block's swept value)</t>
        </is>
      </c>
      <c r="B3134">
        <f>SUM(V3097:V3122)</f>
        <v/>
      </c>
    </row>
    <row r="3135">
      <c r="A3135" s="6" t="inlineStr">
        <is>
          <t>TOTAL DPS</t>
        </is>
      </c>
      <c r="B3135" s="6">
        <f>SUM(O3097:O3122)</f>
        <v/>
      </c>
    </row>
    <row r="3138">
      <c r="A3138" s="6" t="inlineStr">
        <is>
          <t>Stat: CDR = 5.0s</t>
        </is>
      </c>
    </row>
    <row r="3139">
      <c r="A3139" s="5" t="inlineStr">
        <is>
          <t>Key</t>
        </is>
      </c>
      <c r="B3139" s="5" t="inlineStr">
        <is>
          <t>Name</t>
        </is>
      </c>
      <c r="C3139" s="5" t="inlineStr">
        <is>
          <t>Unlocked</t>
        </is>
      </c>
      <c r="D3139" s="5" t="inlineStr">
        <is>
          <t>InputLevel</t>
        </is>
      </c>
      <c r="E3139" s="5" t="inlineStr">
        <is>
          <t>Factor</t>
        </is>
      </c>
      <c r="F3139" s="5" t="inlineStr">
        <is>
          <t>CoefficientPercent</t>
        </is>
      </c>
      <c r="G3139" s="5" t="inlineStr">
        <is>
          <t>EffectiveHits</t>
        </is>
      </c>
      <c r="H3139" s="5" t="inlineStr">
        <is>
          <t>ProcProbability</t>
        </is>
      </c>
      <c r="I3139" s="5" t="inlineStr">
        <is>
          <t>MapleHeroMultiplier</t>
        </is>
      </c>
      <c r="J3139" s="5" t="inlineStr">
        <is>
          <t>BaseDamage</t>
        </is>
      </c>
      <c r="K3139" s="5" t="inlineStr">
        <is>
          <t>BaseHitDamage</t>
        </is>
      </c>
      <c r="L3139" s="5" t="inlineStr">
        <is>
          <t>NonCritAvg</t>
        </is>
      </c>
      <c r="M3139" s="5" t="inlineStr">
        <is>
          <t>CritAvg</t>
        </is>
      </c>
      <c r="N3139" s="5" t="inlineStr">
        <is>
          <t>ExpectedDamage(perHit)</t>
        </is>
      </c>
      <c r="O3139" s="5" t="inlineStr">
        <is>
          <t>DPS</t>
        </is>
      </c>
      <c r="P3139" s="5" t="inlineStr">
        <is>
          <t>% of Total</t>
        </is>
      </c>
      <c r="Q3139" s="5" t="inlineStr">
        <is>
          <t>InvCooldown</t>
        </is>
      </c>
      <c r="R3139" s="5" t="inlineStr">
        <is>
          <t>CastsInFight</t>
        </is>
      </c>
      <c r="S3139" s="5" t="inlineStr">
        <is>
          <t>HitRate(perSec)</t>
        </is>
      </c>
      <c r="U3139" t="inlineStr">
        <is>
          <t>helpers</t>
        </is>
      </c>
    </row>
    <row r="3140">
      <c r="A3140">
        <f>Skills!A2</f>
        <v/>
      </c>
      <c r="B3140">
        <f>Skills!B2</f>
        <v/>
      </c>
      <c r="C3140">
        <f>Inputs!$B$3&gt;=100</f>
        <v/>
      </c>
      <c r="D3140" t="inlineStr"/>
      <c r="E3140" t="inlineStr"/>
      <c r="F3140">
        <f>U3142+Skills!O2</f>
        <v/>
      </c>
      <c r="G3140">
        <f>Skills!G2*IF(Skills!H2&gt;0,Skills!I2/Skills!H2,1)</f>
        <v/>
      </c>
      <c r="H3140">
        <f>1-(1-Skills!J2/100)^Skills!K2</f>
        <v/>
      </c>
      <c r="I3140" t="inlineStr">
        <is>
          <t>1</t>
        </is>
      </c>
      <c r="J3140">
        <f>((Inputs!$B$6*(1+Inputs!$B$7/100))+(((Inputs!$B$12*(1+Inputs!$B$13/100))-(Inputs!$B$12*(1+Inputs!$B$13/100)))+0.25*(Inputs!$B$14-Inputs!$B$14))*(1+Inputs!$B$7/100))*(F3140/100)</f>
        <v/>
      </c>
      <c r="K3140">
        <f>J3140*(1+((Inputs!$B$12*(1+Inputs!$B$13/100))*0.01+Inputs!$B$14*0.0025)/100)*(1+Inputs!$B$15/100)*(1+Inputs!$B$16/100)*(5000/(6000+Inputs!$B$42*(1-(100*(1-(1-(Inputs!$B$19+0)/100)*(1-CHOOSE(ArtifactsInput!$N$40+1,5,6,7,8,9,10)/100)^(ArtifactsInput!$M$40-ArtifactsInput!$M$40)))/100)))*(1+(Inputs!$B$24+((C3164=TRUE)*(F3164-Calc!F26))+B3174)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3161=TRUE)*(F3161-Calc!F23))+((C3165=TRUE)*(F3165-Calc!F27))+(((IF(AND(ArtifactsInput!$M$42,((Inputs!$B$9+((C3157=TRUE)*(F3157-Calc!F19))+B3168+(ArtifactsInput!$M$24-ArtifactsInput!$M$24)*CHOOSE(ArtifactsInput!$N$24+1,10,12,14,16,18,20)+IF(ArtifactsInput!$M$10,CHOOSE(ArtifactsInput!$N$10+1,15,18,21,24,27,30)*(IF(Inputs!$B$38="pvp",MIN(15,15)/15,IF(AND(Inputs!$B$38&lt;&gt;"pvp",Inputs!$B$43&gt;0),MIN(15,Inputs!$B$43)/(Inputs!$B$43),0))),0)))&gt;=100),MIN(100,((Inputs!$B$9+((C3157=TRUE)*(F3157-Calc!F19))+B3168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3157=TRUE)*(F3157-Calc!F19))+B3168+(ArtifactsInput!$M$24-ArtifactsInput!$M$24)*CHOOSE(ArtifactsInput!$N$24+1,10,12,14,16,18,20)+IF(ArtifactsInput!$M$10,CHOOSE(ArtifactsInput!$N$10+1,15,18,21,24,27,30)*(IF(Inputs!$B$38="pvp",MIN(15,15)/15,IF(AND(Inputs!$B$38&lt;&gt;"pvp",Inputs!$B$43&gt;0),MIN(15,Inputs!$B$43)/(Inputs!$B$43),0))),0)))&gt;=100),CHOOSE(ArtifactsInput!$N$42+1,40,48,56,64,72,80),0))))/100)*((1+(((C3155=TRUE)*F3155)+((C3162=TRUE)*(F3162-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3140)</f>
        <v/>
      </c>
      <c r="L3140">
        <f>K3140*(MIN(Inputs!$B$22+((C3160=TRUE)*(F3160-Calc!F22)),(Inputs!$B$23+0+(IF(ArtifactsInput!$M$15,CHOOSE(ArtifactsInput!$N$15+1,25,30,35,40,45,50)/100*(Inputs!$B$11-Inputs!$B$11),0))))/100+(Inputs!$B$23+0+(IF(ArtifactsInput!$M$15,CHOOSE(ArtifactsInput!$N$15+1,25,30,35,40,45,50)/100*(Inputs!$B$11-Inputs!$B$11),0)))/100)/2</f>
        <v/>
      </c>
      <c r="M3140">
        <f>L3140*(1+(Inputs!$B$10+((C3163=TRUE)*(F3163-Calc!F25))+B3173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0">
        <f>L3140*(1-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3140*(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0">
        <f>(1-Summary!$B$11)*T3140+Summary!$B$11*V3140</f>
        <v/>
      </c>
      <c r="P3140">
        <f>IF(B3178=0,0,O3140/B3178)</f>
        <v/>
      </c>
      <c r="Q3140" t="n">
        <v>0</v>
      </c>
      <c r="R3140" t="n">
        <v>0</v>
      </c>
      <c r="S3140">
        <f>IFERROR(O3140/N3140,0)</f>
        <v/>
      </c>
      <c r="T3140">
        <f>IF(C3140,(Skills!G2*N3140*B3172)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3140*(1-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3140*(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3140*(1-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3140*(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0">
        <f>MAX(0,(Inputs!$B$3-100)*3)+Inputs!$B$28+Inputs!$B$29</f>
        <v/>
      </c>
      <c r="V3140">
        <f>IF(C3140,(Skills!G2*N3140*B3172)*IF(Inputs!$B$38="pvp",1,(1+(Inputs!$B$21+Skills!Q2+(IF(ArtifactsInput!$M$33,CHOOSE(ArtifactsInput!$N$33+1,30,36,42,48,54,60),0))+(IF(AND(ArtifactsInput!$M$35,Inputs!$B$4&lt;&gt;"Chapter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1">
      <c r="A3141">
        <f>Skills!A3</f>
        <v/>
      </c>
      <c r="B3141">
        <f>Skills!B3</f>
        <v/>
      </c>
      <c r="C3141">
        <f>Inputs!$B$3&gt;=35</f>
        <v/>
      </c>
      <c r="D3141">
        <f>IF(Skills!C3=1,60+Inputs!$B$25+Inputs!$B$29,IF(Skills!C3=2,90+Inputs!$B$26+Inputs!$B$29,IF(Skills!C3=3,120+Inputs!$B$27+Inputs!$B$29,MAX(0,(Inputs!$B$3-100)*3)+Inputs!$B$28+Inputs!$B$29)))</f>
        <v/>
      </c>
      <c r="E3141">
        <f>INDEX(FactorTable!$B$2:$Y$301, MATCH(ROUND(MIN(300,MAX(1,D3141)),0), FactorTable!$A$2:$A$301,0), Skills!M3+1)</f>
        <v/>
      </c>
      <c r="F3141">
        <f>IF(Skills!N3=TRUE,(Skills!L3/10)*(E3141/1000),Skills!L3/10)+Skills!O3</f>
        <v/>
      </c>
      <c r="G3141">
        <f>Skills!G3*IF(Skills!H3&gt;0,Skills!I3/Skills!H3,1)</f>
        <v/>
      </c>
      <c r="H3141">
        <f>1-(1-Skills!J3/100)^Skills!K3</f>
        <v/>
      </c>
      <c r="I3141" t="inlineStr">
        <is>
          <t>1</t>
        </is>
      </c>
      <c r="J3141">
        <f>((Inputs!$B$6*(1+Inputs!$B$7/100))+(((Inputs!$B$12*(1+Inputs!$B$13/100))-(Inputs!$B$12*(1+Inputs!$B$13/100)))+0.25*(Inputs!$B$14-Inputs!$B$14))*(1+Inputs!$B$7/100))*(F3141/100)</f>
        <v/>
      </c>
      <c r="K3141">
        <f>J3141*(1+((Inputs!$B$12*(1+Inputs!$B$13/100))*0.01+Inputs!$B$14*0.0025)/100)*(1+Inputs!$B$15/100)*(1+Inputs!$B$16/100)*(5000/(6000+Inputs!$B$42*(1-(100*(1-(1-(Inputs!$B$19+0)/100)*(1-CHOOSE(ArtifactsInput!$N$40+1,5,6,7,8,9,10)/100)^(ArtifactsInput!$M$40-ArtifactsInput!$M$40)))/100)))*(1+(Inputs!$B$24+((C3164=TRUE)*(F3164-Calc!F26))+B3174)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3153=TRUE,F3153,0)/100)*(1+(IF(Skills!A3="EIGHT_LEGS_EASTON",Inputs!$B$17+((C3161=TRUE)*(F3161-Calc!F23))+((C3165=TRUE)*(F3165-Calc!F27))+(((IF(AND(ArtifactsInput!$M$42,((Inputs!$B$9+((C3157=TRUE)*(F3157-Calc!F19))+B3168+(ArtifactsInput!$M$24-ArtifactsInput!$M$24)*CHOOSE(ArtifactsInput!$N$24+1,10,12,14,16,18,20)+IF(ArtifactsInput!$M$10,CHOOSE(ArtifactsInput!$N$10+1,15,18,21,24,27,30)*(IF(Inputs!$B$38="pvp",MIN(15,15)/15,IF(AND(Inputs!$B$38&lt;&gt;"pvp",Inputs!$B$43&gt;0),MIN(15,Inputs!$B$43)/(Inputs!$B$43),0))),0)))&gt;=100),MIN(100,((Inputs!$B$9+((C3157=TRUE)*(F3157-Calc!F19))+B3168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3157=TRUE)*(F3157-Calc!F19))+B3168+(ArtifactsInput!$M$24-ArtifactsInput!$M$24)*CHOOSE(ArtifactsInput!$N$24+1,10,12,14,16,18,20)+IF(ArtifactsInput!$M$10,CHOOSE(ArtifactsInput!$N$10+1,15,18,21,24,27,30)*(IF(Inputs!$B$38="pvp",MIN(15,15)/15,IF(AND(Inputs!$B$38&lt;&gt;"pvp",Inputs!$B$43&gt;0),MIN(15,Inputs!$B$43)/(Inputs!$B$43),0))),0)))&gt;=100),CHOOSE(ArtifactsInput!$N$42+1,40,48,56,64,72,80),0))))/100)*((1+(((C3155=TRUE)*F3155)+((C3162=TRUE)*(F3162-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3141)</f>
        <v/>
      </c>
      <c r="L3141">
        <f>K3141*(MIN(Inputs!$B$22+((C3160=TRUE)*(F3160-Calc!F22)),(Inputs!$B$23+0+(IF(ArtifactsInput!$M$15,CHOOSE(ArtifactsInput!$N$15+1,25,30,35,40,45,50)/100*(Inputs!$B$11-Inputs!$B$11),0))))/100+(Inputs!$B$23+0+(IF(ArtifactsInput!$M$15,CHOOSE(ArtifactsInput!$N$15+1,25,30,35,40,45,50)/100*(Inputs!$B$11-Inputs!$B$11),0)))/100)/2</f>
        <v/>
      </c>
      <c r="M3141">
        <f>L3141*(1+(Inputs!$B$10+((C3163=TRUE)*(F3163-Calc!F25))+B3173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1">
        <f>L3141*(1-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1">
        <f>(1-Summary!$B$11)*T3141+Summary!$B$11*V3141</f>
        <v/>
      </c>
      <c r="P3141">
        <f>IF(B3178=0,0,O3141/B3178)</f>
        <v/>
      </c>
      <c r="Q3141">
        <f>IFERROR(1/(IF(Inputs!$B$38="pvp",15,MAX(0.1,Skills!D3-IF(Skills!E3=TRUE,5.0,0)))*(1-IF(AND(ArtifactsInput!$M$27,Inputs!$B$4="Chapter Hunt"),CHOOSE(ArtifactsInput!$N$27+1,20,24,28,32,36,40),0)/100)),0)</f>
        <v/>
      </c>
      <c r="R3141">
        <f>IF(AND(Inputs!$B$38&lt;&gt;"pvp",Inputs!$B$43&gt;0),IF(MAX(0,Inputs!$B$43-B3175)&lt;=0,0,(INT(MAX(0,Inputs!$B$43-B3175)/(IF(Inputs!$B$38="pvp",15,MAX(0.1,Skills!D3-IF(Skills!E3=TRUE,5.0,0)))*(1-IF(AND(ArtifactsInput!$M$27,Inputs!$B$4="Chapter Hunt"),CHOOSE(ArtifactsInput!$N$27+1,20,24,28,32,36,40),0)/100)))+1)),0)</f>
        <v/>
      </c>
      <c r="S3141">
        <f>IFERROR(O3141/N3141,0)</f>
        <v/>
      </c>
      <c r="T3141">
        <f>IF(C3141,(H3141*N3141*IF(AND(Inputs!$B$38&lt;&gt;"pvp",Inputs!$B$43&gt;0),((Skills!G3*((R3141-1)*IF(Skills!H3&gt;0,Skills!I3/Skills!H3,1)+IF(Skills!H3&gt;0,MIN(Skills!I3,MAX(0,MAX(0,Inputs!$B$43-B3175)-((R3141-1)*(IF(Inputs!$B$38="pvp",15,MAX(0.1,Skills!D3-IF(Skills!E3=TRUE,5.0,0)))*(1-IF(AND(ArtifactsInput!$M$27,Inputs!$B$4="Chapter Hunt"),CHOOSE(ArtifactsInput!$N$27+1,20,24,28,32,36,40),0)/100)))))/Skills!H3,1)))/Inputs!$B$43),G3141*Q3141)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3141*(1-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3141*(1-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1">
        <f>INDEX(FactorTable!$B$2:$Y$301, MATCH(ROUND(MIN(300,MAX(1,U3140)),0), FactorTable!$A$2:$A$301,0), 22)</f>
        <v/>
      </c>
      <c r="V3141">
        <f>IF(C3141,(H3141*N3141*IF(AND(Inputs!$B$38&lt;&gt;"pvp",Inputs!$B$43&gt;0),((Skills!G3*((R3141-1)*IF(Skills!H3&gt;0,Skills!I3/Skills!H3,1)+IF(Skills!H3&gt;0,MIN(Skills!I3,MAX(0,MAX(0,Inputs!$B$43-B3175)-((R3141-1)*(IF(Inputs!$B$38="pvp",15,MAX(0.1,Skills!D3-IF(Skills!E3=TRUE,5.0,0)))*(1-IF(AND(ArtifactsInput!$M$27,Inputs!$B$4="Chapter Hunt"),CHOOSE(ArtifactsInput!$N$27+1,20,24,28,32,36,40),0)/100)))))/Skills!H3,1)))/Inputs!$B$43),G3141*Q3141))*IF(Inputs!$B$38="pvp",1,(1+(Inputs!$B$21+Skills!Q3+(IF(ArtifactsInput!$M$33,CHOOSE(ArtifactsInput!$N$33+1,30,36,42,48,54,60)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2">
      <c r="A3142">
        <f>Skills!A4</f>
        <v/>
      </c>
      <c r="B3142">
        <f>Skills!B4</f>
        <v/>
      </c>
      <c r="C3142">
        <f>Inputs!$B$3&gt;=40</f>
        <v/>
      </c>
      <c r="D3142">
        <f>IF(Skills!C4=1,60+Inputs!$B$25+Inputs!$B$29,IF(Skills!C4=2,90+Inputs!$B$26+Inputs!$B$29,IF(Skills!C4=3,120+Inputs!$B$27+Inputs!$B$29,MAX(0,(Inputs!$B$3-100)*3)+Inputs!$B$28+Inputs!$B$29)))</f>
        <v/>
      </c>
      <c r="E3142">
        <f>INDEX(FactorTable!$B$2:$Y$301, MATCH(ROUND(MIN(300,MAX(1,D3142)),0), FactorTable!$A$2:$A$301,0), Skills!M4+1)</f>
        <v/>
      </c>
      <c r="F3142">
        <f>IF(Skills!N4=TRUE,(Skills!L4/10)*(E3142/1000),Skills!L4/10)+Skills!O4</f>
        <v/>
      </c>
      <c r="G3142">
        <f>Skills!G4*IF(Skills!H4&gt;0,Skills!I4/Skills!H4,1)</f>
        <v/>
      </c>
      <c r="H3142">
        <f>1-(1-Skills!J4/100)^Skills!K4</f>
        <v/>
      </c>
      <c r="I3142" t="inlineStr">
        <is>
          <t>1</t>
        </is>
      </c>
      <c r="J3142">
        <f>((Inputs!$B$6*(1+Inputs!$B$7/100))+(((Inputs!$B$12*(1+Inputs!$B$13/100))-(Inputs!$B$12*(1+Inputs!$B$13/100)))+0.25*(Inputs!$B$14-Inputs!$B$14))*(1+Inputs!$B$7/100))*(F3142/100)</f>
        <v/>
      </c>
      <c r="K3142">
        <f>J3142*(1+((Inputs!$B$12*(1+Inputs!$B$13/100))*0.01+Inputs!$B$14*0.0025)/100)*(1+Inputs!$B$15/100)*(1+Inputs!$B$16/100)*(5000/(6000+Inputs!$B$42*(1-(100*(1-(1-(Inputs!$B$19+0)/100)*(1-CHOOSE(ArtifactsInput!$N$40+1,5,6,7,8,9,10)/100)^(ArtifactsInput!$M$40-ArtifactsInput!$M$40)))/100)))*(1+(Inputs!$B$24+((C3164=TRUE)*(F3164-Calc!F26))+B3174)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3154=TRUE,F3154,0)/100)*(1+(IF(Skills!A4="EIGHT_LEGS_EASTON",Inputs!$B$17+((C3161=TRUE)*(F3161-Calc!F23))+((C3165=TRUE)*(F3165-Calc!F27))+(((IF(AND(ArtifactsInput!$M$42,((Inputs!$B$9+((C3157=TRUE)*(F3157-Calc!F19))+B3168+(ArtifactsInput!$M$24-ArtifactsInput!$M$24)*CHOOSE(ArtifactsInput!$N$24+1,10,12,14,16,18,20)+IF(ArtifactsInput!$M$10,CHOOSE(ArtifactsInput!$N$10+1,15,18,21,24,27,30)*(IF(Inputs!$B$38="pvp",MIN(15,15)/15,IF(AND(Inputs!$B$38&lt;&gt;"pvp",Inputs!$B$43&gt;0),MIN(15,Inputs!$B$43)/(Inputs!$B$43),0))),0)))&gt;=100),MIN(100,((Inputs!$B$9+((C3157=TRUE)*(F3157-Calc!F19))+B3168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3157=TRUE)*(F3157-Calc!F19))+B3168+(ArtifactsInput!$M$24-ArtifactsInput!$M$24)*CHOOSE(ArtifactsInput!$N$24+1,10,12,14,16,18,20)+IF(ArtifactsInput!$M$10,CHOOSE(ArtifactsInput!$N$10+1,15,18,21,24,27,30)*(IF(Inputs!$B$38="pvp",MIN(15,15)/15,IF(AND(Inputs!$B$38&lt;&gt;"pvp",Inputs!$B$43&gt;0),MIN(15,Inputs!$B$43)/(Inputs!$B$43),0))),0)))&gt;=100),CHOOSE(ArtifactsInput!$N$42+1,40,48,56,64,72,80),0))))/100)*((1+(((C3155=TRUE)*F3155)+((C3162=TRUE)*(F3162-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3142)</f>
        <v/>
      </c>
      <c r="L3142">
        <f>K3142*(MIN(Inputs!$B$22+((C3160=TRUE)*(F3160-Calc!F22)),(Inputs!$B$23+0+(IF(ArtifactsInput!$M$15,CHOOSE(ArtifactsInput!$N$15+1,25,30,35,40,45,50)/100*(Inputs!$B$11-Inputs!$B$11),0))))/100+(Inputs!$B$23+0+(IF(ArtifactsInput!$M$15,CHOOSE(ArtifactsInput!$N$15+1,25,30,35,40,45,50)/100*(Inputs!$B$11-Inputs!$B$11),0)))/100)/2</f>
        <v/>
      </c>
      <c r="M3142">
        <f>L3142*(1+(Inputs!$B$10+((C3163=TRUE)*(F3163-Calc!F25))+B3173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2">
        <f>L3142*(1-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3142*(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2">
        <f>(1-Summary!$B$11)*T3142+Summary!$B$11*V3142</f>
        <v/>
      </c>
      <c r="P3142">
        <f>IF(B3178=0,0,O3142/B3178)</f>
        <v/>
      </c>
      <c r="Q3142">
        <f>IFERROR(1/(IF(Inputs!$B$38="pvp",15,MAX(0.1,Skills!D4-IF(Skills!E4=TRUE,5.0,0)))*(1-IF(AND(ArtifactsInput!$M$27,Inputs!$B$4="Chapter Hunt"),CHOOSE(ArtifactsInput!$N$27+1,20,24,28,32,36,40),0)/100)),0)</f>
        <v/>
      </c>
      <c r="R3142">
        <f>IF(AND(Inputs!$B$38&lt;&gt;"pvp",Inputs!$B$43&gt;0),IF(MAX(0,Inputs!$B$43-B3175)&lt;=0,0,(INT(MAX(0,Inputs!$B$43-B3175)/(IF(Inputs!$B$38="pvp",15,MAX(0.1,Skills!D4-IF(Skills!E4=TRUE,5.0,0)))*(1-IF(AND(ArtifactsInput!$M$27,Inputs!$B$4="Chapter Hunt"),CHOOSE(ArtifactsInput!$N$27+1,20,24,28,32,36,40),0)/100)))+1)),0)</f>
        <v/>
      </c>
      <c r="S3142">
        <f>IFERROR(O3142/N3142,0)</f>
        <v/>
      </c>
      <c r="T3142">
        <f>IF(C3142,(H3142*N3142*IF(AND(Inputs!$B$38&lt;&gt;"pvp",Inputs!$B$43&gt;0),((Skills!G4*((R3142-1)*IF(Skills!H4&gt;0,Skills!I4/Skills!H4,1)+IF(Skills!H4&gt;0,MIN(Skills!I4,MAX(0,MAX(0,Inputs!$B$43-B3175)-((R3142-1)*(IF(Inputs!$B$38="pvp",15,MAX(0.1,Skills!D4-IF(Skills!E4=TRUE,5.0,0)))*(1-IF(AND(ArtifactsInput!$M$27,Inputs!$B$4="Chapter Hunt"),CHOOSE(ArtifactsInput!$N$27+1,20,24,28,32,36,40),0)/100)))))/Skills!H4,1)))/Inputs!$B$43),G3142*Q3142)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3142*(1-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3142*(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3142*(1-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3142*(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2">
        <f>290*U3141/1000</f>
        <v/>
      </c>
      <c r="V3142">
        <f>IF(C3142,(H3142*N3142*IF(AND(Inputs!$B$38&lt;&gt;"pvp",Inputs!$B$43&gt;0),((Skills!G4*((R3142-1)*IF(Skills!H4&gt;0,Skills!I4/Skills!H4,1)+IF(Skills!H4&gt;0,MIN(Skills!I4,MAX(0,MAX(0,Inputs!$B$43-B3175)-((R3142-1)*(IF(Inputs!$B$38="pvp",15,MAX(0.1,Skills!D4-IF(Skills!E4=TRUE,5.0,0)))*(1-IF(AND(ArtifactsInput!$M$27,Inputs!$B$4="Chapter Hunt"),CHOOSE(ArtifactsInput!$N$27+1,20,24,28,32,36,40),0)/100)))))/Skills!H4,1)))/Inputs!$B$43),G3142*Q3142))*IF(Inputs!$B$38="pvp",1,(1+(Inputs!$B$21+Skills!Q4+(IF(ArtifactsInput!$M$33,CHOOSE(ArtifactsInput!$N$33+1,30,36,42,48,54,60)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3">
      <c r="A3143">
        <f>Skills!A5</f>
        <v/>
      </c>
      <c r="B3143">
        <f>Skills!B5</f>
        <v/>
      </c>
      <c r="C3143">
        <f>Inputs!$B$3&gt;=45</f>
        <v/>
      </c>
      <c r="D3143">
        <f>IF(Skills!C5=1,60+Inputs!$B$25+Inputs!$B$29,IF(Skills!C5=2,90+Inputs!$B$26+Inputs!$B$29,IF(Skills!C5=3,120+Inputs!$B$27+Inputs!$B$29,MAX(0,(Inputs!$B$3-100)*3)+Inputs!$B$28+Inputs!$B$29)))</f>
        <v/>
      </c>
      <c r="E3143">
        <f>INDEX(FactorTable!$B$2:$Y$301, MATCH(ROUND(MIN(300,MAX(1,D3143)),0), FactorTable!$A$2:$A$301,0), Skills!M5+1)</f>
        <v/>
      </c>
      <c r="F3143">
        <f>IF(Skills!N5=TRUE,(Skills!L5/10)*(E3143/1000),Skills!L5/10)+Skills!O5</f>
        <v/>
      </c>
      <c r="G3143">
        <f>Skills!G5*IF(Skills!H5&gt;0,Skills!I5/Skills!H5,1)</f>
        <v/>
      </c>
      <c r="H3143">
        <f>1-(1-Skills!J5/100)^Skills!K5</f>
        <v/>
      </c>
      <c r="I3143" t="inlineStr">
        <is>
          <t>1</t>
        </is>
      </c>
      <c r="J3143">
        <f>((Inputs!$B$6*(1+Inputs!$B$7/100))+(((Inputs!$B$12*(1+Inputs!$B$13/100))-(Inputs!$B$12*(1+Inputs!$B$13/100)))+0.25*(Inputs!$B$14-Inputs!$B$14))*(1+Inputs!$B$7/100))*(F3143/100)</f>
        <v/>
      </c>
      <c r="K3143">
        <f>J3143*(1+((Inputs!$B$12*(1+Inputs!$B$13/100))*0.01+Inputs!$B$14*0.0025)/100)*(1+Inputs!$B$15/100)*(1+Inputs!$B$16/100)*(5000/(6000+Inputs!$B$42*(1-(100*(1-(1-(Inputs!$B$19+0)/100)*(1-CHOOSE(ArtifactsInput!$N$40+1,5,6,7,8,9,10)/100)^(ArtifactsInput!$M$40-ArtifactsInput!$M$40)))/100)))*(1+(Inputs!$B$24+((C3164=TRUE)*(F3164-Calc!F26))+B3174)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3154=TRUE,F3154,0)/100)*(1+(IF(Skills!A5="EIGHT_LEGS_EASTON",Inputs!$B$17+((C3161=TRUE)*(F3161-Calc!F23))+((C3165=TRUE)*(F3165-Calc!F27))+(((IF(AND(ArtifactsInput!$M$42,((Inputs!$B$9+((C3157=TRUE)*(F3157-Calc!F19))+B3168+(ArtifactsInput!$M$24-ArtifactsInput!$M$24)*CHOOSE(ArtifactsInput!$N$24+1,10,12,14,16,18,20)+IF(ArtifactsInput!$M$10,CHOOSE(ArtifactsInput!$N$10+1,15,18,21,24,27,30)*(IF(Inputs!$B$38="pvp",MIN(15,15)/15,IF(AND(Inputs!$B$38&lt;&gt;"pvp",Inputs!$B$43&gt;0),MIN(15,Inputs!$B$43)/(Inputs!$B$43),0))),0)))&gt;=100),MIN(100,((Inputs!$B$9+((C3157=TRUE)*(F3157-Calc!F19))+B3168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3157=TRUE)*(F3157-Calc!F19))+B3168+(ArtifactsInput!$M$24-ArtifactsInput!$M$24)*CHOOSE(ArtifactsInput!$N$24+1,10,12,14,16,18,20)+IF(ArtifactsInput!$M$10,CHOOSE(ArtifactsInput!$N$10+1,15,18,21,24,27,30)*(IF(Inputs!$B$38="pvp",MIN(15,15)/15,IF(AND(Inputs!$B$38&lt;&gt;"pvp",Inputs!$B$43&gt;0),MIN(15,Inputs!$B$43)/(Inputs!$B$43),0))),0)))&gt;=100),CHOOSE(ArtifactsInput!$N$42+1,40,48,56,64,72,80),0))))/100)*((1+(((C3155=TRUE)*F3155)+((C3162=TRUE)*(F3162-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3143)</f>
        <v/>
      </c>
      <c r="L3143">
        <f>K3143*(MIN(Inputs!$B$22+((C3160=TRUE)*(F3160-Calc!F22)),(Inputs!$B$23+0+(IF(ArtifactsInput!$M$15,CHOOSE(ArtifactsInput!$N$15+1,25,30,35,40,45,50)/100*(Inputs!$B$11-Inputs!$B$11),0))))/100+(Inputs!$B$23+0+(IF(ArtifactsInput!$M$15,CHOOSE(ArtifactsInput!$N$15+1,25,30,35,40,45,50)/100*(Inputs!$B$11-Inputs!$B$11),0)))/100)/2</f>
        <v/>
      </c>
      <c r="M3143">
        <f>L3143*(1+(Inputs!$B$10+((C3163=TRUE)*(F3163-Calc!F25))+B3173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3">
        <f>L3143*(1-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3143*(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3">
        <f>(1-Summary!$B$11)*T3143+Summary!$B$11*V3143</f>
        <v/>
      </c>
      <c r="P3143">
        <f>IF(B3178=0,0,O3143/B3178)</f>
        <v/>
      </c>
      <c r="Q3143">
        <f>IFERROR(1/(IF(Inputs!$B$38="pvp",15,MAX(0.1,Skills!D5-IF(Skills!E5=TRUE,5.0,0)))*(1-IF(AND(ArtifactsInput!$M$27,Inputs!$B$4="Chapter Hunt"),CHOOSE(ArtifactsInput!$N$27+1,20,24,28,32,36,40),0)/100)),0)</f>
        <v/>
      </c>
      <c r="R3143">
        <f>IF(AND(Inputs!$B$38&lt;&gt;"pvp",Inputs!$B$43&gt;0),IF(MAX(0,Inputs!$B$43-B3175)&lt;=0,0,(INT(MAX(0,Inputs!$B$43-B3175)/(IF(Inputs!$B$38="pvp",15,MAX(0.1,Skills!D5-IF(Skills!E5=TRUE,5.0,0)))*(1-IF(AND(ArtifactsInput!$M$27,Inputs!$B$4="Chapter Hunt"),CHOOSE(ArtifactsInput!$N$27+1,20,24,28,32,36,40),0)/100)))+1)),0)</f>
        <v/>
      </c>
      <c r="S3143">
        <f>IFERROR(O3143/N3143,0)</f>
        <v/>
      </c>
      <c r="T3143">
        <f>IF(C3143,(H3143*N3143*IF(AND(Inputs!$B$38&lt;&gt;"pvp",Inputs!$B$43&gt;0),((Skills!G5*((R3143-1)*IF(Skills!H5&gt;0,Skills!I5/Skills!H5,1)+IF(Skills!H5&gt;0,MIN(Skills!I5,MAX(0,MAX(0,Inputs!$B$43-B3175)-((R3143-1)*(IF(Inputs!$B$38="pvp",15,MAX(0.1,Skills!D5-IF(Skills!E5=TRUE,5.0,0)))*(1-IF(AND(ArtifactsInput!$M$27,Inputs!$B$4="Chapter Hunt"),CHOOSE(ArtifactsInput!$N$27+1,20,24,28,32,36,40),0)/100)))))/Skills!H5,1)))/Inputs!$B$43),G3143*Q3143)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3143*(1-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3143*(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3143*(1-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3143*(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3">
        <f>IF(C3143,(H3143*N3143*IF(AND(Inputs!$B$38&lt;&gt;"pvp",Inputs!$B$43&gt;0),((Skills!G5*((R3143-1)*IF(Skills!H5&gt;0,Skills!I5/Skills!H5,1)+IF(Skills!H5&gt;0,MIN(Skills!I5,MAX(0,MAX(0,Inputs!$B$43-B3175)-((R3143-1)*(IF(Inputs!$B$38="pvp",15,MAX(0.1,Skills!D5-IF(Skills!E5=TRUE,5.0,0)))*(1-IF(AND(ArtifactsInput!$M$27,Inputs!$B$4="Chapter Hunt"),CHOOSE(ArtifactsInput!$N$27+1,20,24,28,32,36,40),0)/100)))))/Skills!H5,1)))/Inputs!$B$43),G3143*Q3143))*IF(Inputs!$B$38="pvp",1,(1+(Inputs!$B$21+Skills!Q5+(IF(ArtifactsInput!$M$33,CHOOSE(ArtifactsInput!$N$33+1,30,36,42,48,54,60)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4">
      <c r="A3144">
        <f>Skills!A6</f>
        <v/>
      </c>
      <c r="B3144">
        <f>Skills!B6</f>
        <v/>
      </c>
      <c r="C3144">
        <f>Inputs!$B$3&gt;=63</f>
        <v/>
      </c>
      <c r="D3144">
        <f>IF(Skills!C6=1,60+Inputs!$B$25+Inputs!$B$29,IF(Skills!C6=2,90+Inputs!$B$26+Inputs!$B$29,IF(Skills!C6=3,120+Inputs!$B$27+Inputs!$B$29,MAX(0,(Inputs!$B$3-100)*3)+Inputs!$B$28+Inputs!$B$29)))</f>
        <v/>
      </c>
      <c r="E3144">
        <f>INDEX(FactorTable!$B$2:$Y$301, MATCH(ROUND(MIN(300,MAX(1,D3144)),0), FactorTable!$A$2:$A$301,0), Skills!M6+1)</f>
        <v/>
      </c>
      <c r="F3144">
        <f>IF(Skills!N6=TRUE,(Skills!L6/10)*(E3144/1000),Skills!L6/10)+Skills!O6</f>
        <v/>
      </c>
      <c r="G3144">
        <f>Skills!G6*IF(Skills!H6&gt;0,Skills!I6/Skills!H6,1)</f>
        <v/>
      </c>
      <c r="H3144">
        <f>1-(1-Skills!J6/100)^Skills!K6</f>
        <v/>
      </c>
      <c r="I3144" t="inlineStr">
        <is>
          <t>1</t>
        </is>
      </c>
      <c r="J3144">
        <f>((Inputs!$B$6*(1+Inputs!$B$7/100))+(((Inputs!$B$12*(1+Inputs!$B$13/100))-(Inputs!$B$12*(1+Inputs!$B$13/100)))+0.25*(Inputs!$B$14-Inputs!$B$14))*(1+Inputs!$B$7/100))*(F3144/100)</f>
        <v/>
      </c>
      <c r="K3144">
        <f>J3144*(1+((Inputs!$B$12*(1+Inputs!$B$13/100))*0.01+Inputs!$B$14*0.0025)/100)*(1+Inputs!$B$15/100)*(1+Inputs!$B$16/100)*(5000/(6000+Inputs!$B$42*(1-(100*(1-(1-(Inputs!$B$19+0)/100)*(1-CHOOSE(ArtifactsInput!$N$40+1,5,6,7,8,9,10)/100)^(ArtifactsInput!$M$40-ArtifactsInput!$M$40)))/100)))*(1+(Inputs!$B$24+((C3164=TRUE)*(F3164-Calc!F26))+B3174)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3153=TRUE,F3153,0)/100)*(1+(IF(Skills!A6="EIGHT_LEGS_EASTON",Inputs!$B$17+((C3161=TRUE)*(F3161-Calc!F23))+((C3165=TRUE)*(F3165-Calc!F27))+(((IF(AND(ArtifactsInput!$M$42,((Inputs!$B$9+((C3157=TRUE)*(F3157-Calc!F19))+B3168+(ArtifactsInput!$M$24-ArtifactsInput!$M$24)*CHOOSE(ArtifactsInput!$N$24+1,10,12,14,16,18,20)+IF(ArtifactsInput!$M$10,CHOOSE(ArtifactsInput!$N$10+1,15,18,21,24,27,30)*(IF(Inputs!$B$38="pvp",MIN(15,15)/15,IF(AND(Inputs!$B$38&lt;&gt;"pvp",Inputs!$B$43&gt;0),MIN(15,Inputs!$B$43)/(Inputs!$B$43),0))),0)))&gt;=100),MIN(100,((Inputs!$B$9+((C3157=TRUE)*(F3157-Calc!F19))+B3168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3157=TRUE)*(F3157-Calc!F19))+B3168+(ArtifactsInput!$M$24-ArtifactsInput!$M$24)*CHOOSE(ArtifactsInput!$N$24+1,10,12,14,16,18,20)+IF(ArtifactsInput!$M$10,CHOOSE(ArtifactsInput!$N$10+1,15,18,21,24,27,30)*(IF(Inputs!$B$38="pvp",MIN(15,15)/15,IF(AND(Inputs!$B$38&lt;&gt;"pvp",Inputs!$B$43&gt;0),MIN(15,Inputs!$B$43)/(Inputs!$B$43),0))),0)))&gt;=100),CHOOSE(ArtifactsInput!$N$42+1,40,48,56,64,72,80),0))))/100)*((1+(((C3155=TRUE)*F3155)+((C3162=TRUE)*(F3162-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3144)</f>
        <v/>
      </c>
      <c r="L3144">
        <f>K3144*(MIN(Inputs!$B$22+((C3160=TRUE)*(F3160-Calc!F22)),(Inputs!$B$23+0+(IF(ArtifactsInput!$M$15,CHOOSE(ArtifactsInput!$N$15+1,25,30,35,40,45,50)/100*(Inputs!$B$11-Inputs!$B$11),0))))/100+(Inputs!$B$23+0+(IF(ArtifactsInput!$M$15,CHOOSE(ArtifactsInput!$N$15+1,25,30,35,40,45,50)/100*(Inputs!$B$11-Inputs!$B$11),0)))/100)/2</f>
        <v/>
      </c>
      <c r="M3144">
        <f>L3144*(1+(Inputs!$B$10+((C3163=TRUE)*(F3163-Calc!F25))+B3173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4">
        <f>L3144*(1-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3144*(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4">
        <f>(1-Summary!$B$11)*T3144+Summary!$B$11*V3144</f>
        <v/>
      </c>
      <c r="P3144">
        <f>IF(B3178=0,0,O3144/B3178)</f>
        <v/>
      </c>
      <c r="Q3144">
        <f>IFERROR(1/(IF(Inputs!$B$38="pvp",15,MAX(0.1,Skills!D6-IF(Skills!E6=TRUE,5.0,0)))*(1-IF(AND(ArtifactsInput!$M$27,Inputs!$B$4="Chapter Hunt"),CHOOSE(ArtifactsInput!$N$27+1,20,24,28,32,36,40),0)/100)),0)</f>
        <v/>
      </c>
      <c r="R3144">
        <f>IF(AND(Inputs!$B$38&lt;&gt;"pvp",Inputs!$B$43&gt;0),IF(MAX(0,Inputs!$B$43-B3175)&lt;=0,0,(INT(MAX(0,Inputs!$B$43-B3175)/(IF(Inputs!$B$38="pvp",15,MAX(0.1,Skills!D6-IF(Skills!E6=TRUE,5.0,0)))*(1-IF(AND(ArtifactsInput!$M$27,Inputs!$B$4="Chapter Hunt"),CHOOSE(ArtifactsInput!$N$27+1,20,24,28,32,36,40),0)/100)))+1)),0)</f>
        <v/>
      </c>
      <c r="S3144">
        <f>IFERROR(O3144/N3144,0)</f>
        <v/>
      </c>
      <c r="T3144">
        <f>IF(C3144,(H3144*N3144*IF(AND(Inputs!$B$38&lt;&gt;"pvp",Inputs!$B$43&gt;0),((Skills!G6*((R3144-1)*IF(Skills!H6&gt;0,Skills!I6/Skills!H6,1)+IF(Skills!H6&gt;0,MIN(Skills!I6,MAX(0,MAX(0,Inputs!$B$43-B3175)-((R3144-1)*(IF(Inputs!$B$38="pvp",15,MAX(0.1,Skills!D6-IF(Skills!E6=TRUE,5.0,0)))*(1-IF(AND(ArtifactsInput!$M$27,Inputs!$B$4="Chapter Hunt"),CHOOSE(ArtifactsInput!$N$27+1,20,24,28,32,36,40),0)/100)))))/Skills!H6,1)))/Inputs!$B$43),G3144*Q3144)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3144*(1-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3144*(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3144*(1-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3144*(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4">
        <f>IF(C3144,(H3144*N3144*IF(AND(Inputs!$B$38&lt;&gt;"pvp",Inputs!$B$43&gt;0),((Skills!G6*((R3144-1)*IF(Skills!H6&gt;0,Skills!I6/Skills!H6,1)+IF(Skills!H6&gt;0,MIN(Skills!I6,MAX(0,MAX(0,Inputs!$B$43-B3175)-((R3144-1)*(IF(Inputs!$B$38="pvp",15,MAX(0.1,Skills!D6-IF(Skills!E6=TRUE,5.0,0)))*(1-IF(AND(ArtifactsInput!$M$27,Inputs!$B$4="Chapter Hunt"),CHOOSE(ArtifactsInput!$N$27+1,20,24,28,32,36,40),0)/100)))))/Skills!H6,1)))/Inputs!$B$43),G3144*Q3144))*IF(Inputs!$B$38="pvp",1,(1+(Inputs!$B$21+Skills!Q6+(IF(ArtifactsInput!$M$33,CHOOSE(ArtifactsInput!$N$33+1,30,36,42,48,54,60)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5">
      <c r="A3145">
        <f>Skills!A7</f>
        <v/>
      </c>
      <c r="B3145">
        <f>Skills!B7</f>
        <v/>
      </c>
      <c r="C3145">
        <f>Inputs!$B$3&gt;=66</f>
        <v/>
      </c>
      <c r="D3145">
        <f>IF(Skills!C7=1,60+Inputs!$B$25+Inputs!$B$29,IF(Skills!C7=2,90+Inputs!$B$26+Inputs!$B$29,IF(Skills!C7=3,120+Inputs!$B$27+Inputs!$B$29,MAX(0,(Inputs!$B$3-100)*3)+Inputs!$B$28+Inputs!$B$29)))</f>
        <v/>
      </c>
      <c r="E3145">
        <f>INDEX(FactorTable!$B$2:$Y$301, MATCH(ROUND(MIN(300,MAX(1,D3145)),0), FactorTable!$A$2:$A$301,0), Skills!M7+1)</f>
        <v/>
      </c>
      <c r="F3145">
        <f>IF(Skills!N7=TRUE,(Skills!L7/10)*(E3145/1000),Skills!L7/10)+Skills!O7</f>
        <v/>
      </c>
      <c r="G3145">
        <f>Skills!G7*IF(Skills!H7&gt;0,Skills!I7/Skills!H7,1)</f>
        <v/>
      </c>
      <c r="H3145">
        <f>1-(1-Skills!J7/100)^Skills!K7</f>
        <v/>
      </c>
      <c r="I3145" t="inlineStr">
        <is>
          <t>1</t>
        </is>
      </c>
      <c r="J3145">
        <f>((Inputs!$B$6*(1+Inputs!$B$7/100))+(((Inputs!$B$12*(1+Inputs!$B$13/100))-(Inputs!$B$12*(1+Inputs!$B$13/100)))+0.25*(Inputs!$B$14-Inputs!$B$14))*(1+Inputs!$B$7/100))*(F3145/100)</f>
        <v/>
      </c>
      <c r="K3145">
        <f>J3145*(1+((Inputs!$B$12*(1+Inputs!$B$13/100))*0.01+Inputs!$B$14*0.0025)/100)*(1+Inputs!$B$15/100)*(1+Inputs!$B$16/100)*(5000/(6000+Inputs!$B$42*(1-(100*(1-(1-(Inputs!$B$19+0)/100)*(1-CHOOSE(ArtifactsInput!$N$40+1,5,6,7,8,9,10)/100)^(ArtifactsInput!$M$40-ArtifactsInput!$M$40)))/100)))*(1+(Inputs!$B$24+((C3164=TRUE)*(F3164-Calc!F26))+B3174)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3153=TRUE,F3153,0)/100)*(1+(IF(Skills!A7="EIGHT_LEGS_EASTON",Inputs!$B$17+((C3161=TRUE)*(F3161-Calc!F23))+((C3165=TRUE)*(F3165-Calc!F27))+(((IF(AND(ArtifactsInput!$M$42,((Inputs!$B$9+((C3157=TRUE)*(F3157-Calc!F19))+B3168+(ArtifactsInput!$M$24-ArtifactsInput!$M$24)*CHOOSE(ArtifactsInput!$N$24+1,10,12,14,16,18,20)+IF(ArtifactsInput!$M$10,CHOOSE(ArtifactsInput!$N$10+1,15,18,21,24,27,30)*(IF(Inputs!$B$38="pvp",MIN(15,15)/15,IF(AND(Inputs!$B$38&lt;&gt;"pvp",Inputs!$B$43&gt;0),MIN(15,Inputs!$B$43)/(Inputs!$B$43),0))),0)))&gt;=100),MIN(100,((Inputs!$B$9+((C3157=TRUE)*(F3157-Calc!F19))+B3168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3157=TRUE)*(F3157-Calc!F19))+B3168+(ArtifactsInput!$M$24-ArtifactsInput!$M$24)*CHOOSE(ArtifactsInput!$N$24+1,10,12,14,16,18,20)+IF(ArtifactsInput!$M$10,CHOOSE(ArtifactsInput!$N$10+1,15,18,21,24,27,30)*(IF(Inputs!$B$38="pvp",MIN(15,15)/15,IF(AND(Inputs!$B$38&lt;&gt;"pvp",Inputs!$B$43&gt;0),MIN(15,Inputs!$B$43)/(Inputs!$B$43),0))),0)))&gt;=100),CHOOSE(ArtifactsInput!$N$42+1,40,48,56,64,72,80),0))))/100)*((1+(((C3155=TRUE)*F3155)+((C3162=TRUE)*(F3162-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3145)</f>
        <v/>
      </c>
      <c r="L3145">
        <f>K3145*(MIN(Inputs!$B$22+((C3160=TRUE)*(F3160-Calc!F22)),(Inputs!$B$23+0+(IF(ArtifactsInput!$M$15,CHOOSE(ArtifactsInput!$N$15+1,25,30,35,40,45,50)/100*(Inputs!$B$11-Inputs!$B$11),0))))/100+(Inputs!$B$23+0+(IF(ArtifactsInput!$M$15,CHOOSE(ArtifactsInput!$N$15+1,25,30,35,40,45,50)/100*(Inputs!$B$11-Inputs!$B$11),0)))/100)/2</f>
        <v/>
      </c>
      <c r="M3145">
        <f>L3145*(1+(Inputs!$B$10+((C3163=TRUE)*(F3163-Calc!F25))+B3173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5">
        <f>L3145*(1-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3145*(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5">
        <f>(1-Summary!$B$11)*T3145+Summary!$B$11*V3145</f>
        <v/>
      </c>
      <c r="P3145">
        <f>IF(B3178=0,0,O3145/B3178)</f>
        <v/>
      </c>
      <c r="Q3145">
        <f>IFERROR(1/(IF(Inputs!$B$38="pvp",15,MAX(0.1,Skills!D7-IF(Skills!E7=TRUE,5.0,0)))*(1-IF(AND(ArtifactsInput!$M$27,Inputs!$B$4="Chapter Hunt"),CHOOSE(ArtifactsInput!$N$27+1,20,24,28,32,36,40),0)/100)),0)</f>
        <v/>
      </c>
      <c r="R3145">
        <f>IF(AND(Inputs!$B$38&lt;&gt;"pvp",Inputs!$B$43&gt;0),IF(MAX(0,Inputs!$B$43-B3175)&lt;=0,0,(INT(MAX(0,Inputs!$B$43-B3175)/(IF(Inputs!$B$38="pvp",15,MAX(0.1,Skills!D7-IF(Skills!E7=TRUE,5.0,0)))*(1-IF(AND(ArtifactsInput!$M$27,Inputs!$B$4="Chapter Hunt"),CHOOSE(ArtifactsInput!$N$27+1,20,24,28,32,36,40),0)/100)))+1)),0)</f>
        <v/>
      </c>
      <c r="S3145">
        <f>IFERROR(O3145/N3145,0)</f>
        <v/>
      </c>
      <c r="T3145">
        <f>IF(C3145,(H3145*N3145*IF(AND(Inputs!$B$38&lt;&gt;"pvp",Inputs!$B$43&gt;0),((Skills!G7*((R3145-1)*IF(Skills!H7&gt;0,Skills!I7/Skills!H7,1)+IF(Skills!H7&gt;0,MIN(Skills!I7,MAX(0,MAX(0,Inputs!$B$43-B3175)-((R3145-1)*(IF(Inputs!$B$38="pvp",15,MAX(0.1,Skills!D7-IF(Skills!E7=TRUE,5.0,0)))*(1-IF(AND(ArtifactsInput!$M$27,Inputs!$B$4="Chapter Hunt"),CHOOSE(ArtifactsInput!$N$27+1,20,24,28,32,36,40),0)/100)))))/Skills!H7,1)))/Inputs!$B$43),G3145*Q3145)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3145*(1-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3145*(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3145*(1-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3145*(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5">
        <f>IF(C3145,(H3145*N3145*IF(AND(Inputs!$B$38&lt;&gt;"pvp",Inputs!$B$43&gt;0),((Skills!G7*((R3145-1)*IF(Skills!H7&gt;0,Skills!I7/Skills!H7,1)+IF(Skills!H7&gt;0,MIN(Skills!I7,MAX(0,MAX(0,Inputs!$B$43-B3175)-((R3145-1)*(IF(Inputs!$B$38="pvp",15,MAX(0.1,Skills!D7-IF(Skills!E7=TRUE,5.0,0)))*(1-IF(AND(ArtifactsInput!$M$27,Inputs!$B$4="Chapter Hunt"),CHOOSE(ArtifactsInput!$N$27+1,20,24,28,32,36,40),0)/100)))))/Skills!H7,1)))/Inputs!$B$43),G3145*Q3145))*IF(Inputs!$B$38="pvp",1,(1+(Inputs!$B$21+Skills!Q7+(IF(ArtifactsInput!$M$33,CHOOSE(ArtifactsInput!$N$33+1,30,36,42,48,54,60)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6">
      <c r="A3146">
        <f>Skills!A8</f>
        <v/>
      </c>
      <c r="B3146">
        <f>Skills!B8</f>
        <v/>
      </c>
      <c r="C3146">
        <f>Inputs!$B$3&gt;=100</f>
        <v/>
      </c>
      <c r="D3146">
        <f>IF(Skills!C8=1,60+Inputs!$B$25+Inputs!$B$29,IF(Skills!C8=2,90+Inputs!$B$26+Inputs!$B$29,IF(Skills!C8=3,120+Inputs!$B$27+Inputs!$B$29,MAX(0,(Inputs!$B$3-100)*3)+Inputs!$B$28+Inputs!$B$29)))</f>
        <v/>
      </c>
      <c r="E3146">
        <f>INDEX(FactorTable!$B$2:$Y$301, MATCH(ROUND(MIN(300,MAX(1,D3146)),0), FactorTable!$A$2:$A$301,0), Skills!M8+1)</f>
        <v/>
      </c>
      <c r="F3146">
        <f>IF(Skills!N8=TRUE,(Skills!L8/10)*(E3146/1000),Skills!L8/10)+Skills!O8</f>
        <v/>
      </c>
      <c r="G3146">
        <f>Skills!G8*IF(Skills!H8&gt;0,Skills!I8/Skills!H8,1)</f>
        <v/>
      </c>
      <c r="H3146">
        <f>1-(1-Skills!J8/100)^Skills!K8</f>
        <v/>
      </c>
      <c r="I3146" t="inlineStr">
        <is>
          <t>1</t>
        </is>
      </c>
      <c r="J3146">
        <f>((Inputs!$B$6*(1+Inputs!$B$7/100))+(((Inputs!$B$12*(1+Inputs!$B$13/100))-(Inputs!$B$12*(1+Inputs!$B$13/100)))+0.25*(Inputs!$B$14-Inputs!$B$14))*(1+Inputs!$B$7/100))*(F3146/100)</f>
        <v/>
      </c>
      <c r="K3146">
        <f>J3146*(1+((Inputs!$B$12*(1+Inputs!$B$13/100))*0.01+Inputs!$B$14*0.0025)/100)*(1+Inputs!$B$15/100)*(1+Inputs!$B$16/100)*(5000/(6000+Inputs!$B$42*(1-(100*(1-(1-(Inputs!$B$19+0)/100)*(1-CHOOSE(ArtifactsInput!$N$40+1,5,6,7,8,9,10)/100)^(ArtifactsInput!$M$40-ArtifactsInput!$M$40)))/100)))*(1+(Inputs!$B$24+((C3164=TRUE)*(F3164-Calc!F26))+B3174)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3161=TRUE)*(F3161-Calc!F23))+((C3165=TRUE)*(F3165-Calc!F27))+(((IF(AND(ArtifactsInput!$M$42,((Inputs!$B$9+((C3157=TRUE)*(F3157-Calc!F19))+B3168+(ArtifactsInput!$M$24-ArtifactsInput!$M$24)*CHOOSE(ArtifactsInput!$N$24+1,10,12,14,16,18,20)+IF(ArtifactsInput!$M$10,CHOOSE(ArtifactsInput!$N$10+1,15,18,21,24,27,30)*(IF(Inputs!$B$38="pvp",MIN(15,15)/15,IF(AND(Inputs!$B$38&lt;&gt;"pvp",Inputs!$B$43&gt;0),MIN(15,Inputs!$B$43)/(Inputs!$B$43),0))),0)))&gt;=100),MIN(100,((Inputs!$B$9+((C3157=TRUE)*(F3157-Calc!F19))+B3168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3157=TRUE)*(F3157-Calc!F19))+B3168+(ArtifactsInput!$M$24-ArtifactsInput!$M$24)*CHOOSE(ArtifactsInput!$N$24+1,10,12,14,16,18,20)+IF(ArtifactsInput!$M$10,CHOOSE(ArtifactsInput!$N$10+1,15,18,21,24,27,30)*(IF(Inputs!$B$38="pvp",MIN(15,15)/15,IF(AND(Inputs!$B$38&lt;&gt;"pvp",Inputs!$B$43&gt;0),MIN(15,Inputs!$B$43)/(Inputs!$B$43),0))),0)))&gt;=100),CHOOSE(ArtifactsInput!$N$42+1,40,48,56,64,72,80),0))))/100)*((1+(((C3155=TRUE)*F3155)+((C3162=TRUE)*(F3162-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3146)</f>
        <v/>
      </c>
      <c r="L3146">
        <f>K3146*(MIN(Inputs!$B$22+((C3160=TRUE)*(F3160-Calc!F22)),(Inputs!$B$23+0+(IF(ArtifactsInput!$M$15,CHOOSE(ArtifactsInput!$N$15+1,25,30,35,40,45,50)/100*(Inputs!$B$11-Inputs!$B$11),0))))/100+(Inputs!$B$23+0+(IF(ArtifactsInput!$M$15,CHOOSE(ArtifactsInput!$N$15+1,25,30,35,40,45,50)/100*(Inputs!$B$11-Inputs!$B$11),0)))/100)/2</f>
        <v/>
      </c>
      <c r="M3146">
        <f>L3146*(1+(Inputs!$B$10+((C3163=TRUE)*(F3163-Calc!F25))+B3173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6">
        <f>L3146*(1-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3146*(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6">
        <f>(1-Summary!$B$11)*T3146+Summary!$B$11*V3146</f>
        <v/>
      </c>
      <c r="P3146">
        <f>IF(B3178=0,0,O3146/B3178)</f>
        <v/>
      </c>
      <c r="Q3146">
        <f>IFERROR(1/(IF(Inputs!$B$38="pvp",15,MAX(0.1,Skills!D8-IF(Skills!E8=TRUE,5.0,0)))*(1-IF(AND(ArtifactsInput!$M$27,Inputs!$B$4="Chapter Hunt"),CHOOSE(ArtifactsInput!$N$27+1,20,24,28,32,36,40),0)/100)),0)</f>
        <v/>
      </c>
      <c r="R3146">
        <f>IF(AND(Inputs!$B$38&lt;&gt;"pvp",Inputs!$B$43&gt;0),IF(MAX(0,Inputs!$B$43-B3175)&lt;=0,0,(INT(MAX(0,Inputs!$B$43-B3175)/(IF(Inputs!$B$38="pvp",15,MAX(0.1,Skills!D8-IF(Skills!E8=TRUE,5.0,0)))*(1-IF(AND(ArtifactsInput!$M$27,Inputs!$B$4="Chapter Hunt"),CHOOSE(ArtifactsInput!$N$27+1,20,24,28,32,36,40),0)/100)))+1)),0)</f>
        <v/>
      </c>
      <c r="S3146">
        <f>IFERROR(O3146/N3146,0)</f>
        <v/>
      </c>
      <c r="T3146">
        <f>IF(C3146,(H3146*N3146*IF(AND(Inputs!$B$38&lt;&gt;"pvp",Inputs!$B$43&gt;0),((Skills!G8*((R3146-1)*IF(Skills!H8&gt;0,Skills!I8/Skills!H8,1)+IF(Skills!H8&gt;0,MIN(Skills!I8,MAX(0,MAX(0,Inputs!$B$43-B3175)-((R3146-1)*(IF(Inputs!$B$38="pvp",15,MAX(0.1,Skills!D8-IF(Skills!E8=TRUE,5.0,0)))*(1-IF(AND(ArtifactsInput!$M$27,Inputs!$B$4="Chapter Hunt"),CHOOSE(ArtifactsInput!$N$27+1,20,24,28,32,36,40),0)/100)))))/Skills!H8,1)))/Inputs!$B$43),G3146*Q3146)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3146*(1-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3146*(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3146*(1-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3146*(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6">
        <f>IF(C3146,(H3146*N3146*IF(AND(Inputs!$B$38&lt;&gt;"pvp",Inputs!$B$43&gt;0),((Skills!G8*((R3146-1)*IF(Skills!H8&gt;0,Skills!I8/Skills!H8,1)+IF(Skills!H8&gt;0,MIN(Skills!I8,MAX(0,MAX(0,Inputs!$B$43-B3175)-((R3146-1)*(IF(Inputs!$B$38="pvp",15,MAX(0.1,Skills!D8-IF(Skills!E8=TRUE,5.0,0)))*(1-IF(AND(ArtifactsInput!$M$27,Inputs!$B$4="Chapter Hunt"),CHOOSE(ArtifactsInput!$N$27+1,20,24,28,32,36,40),0)/100)))))/Skills!H8,1)))/Inputs!$B$43),G3146*Q3146))*IF(Inputs!$B$38="pvp",1,(1+(Inputs!$B$21+Skills!Q8+(IF(ArtifactsInput!$M$33,CHOOSE(ArtifactsInput!$N$33+1,30,36,42,48,54,60)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7">
      <c r="A3147">
        <f>Skills!A9</f>
        <v/>
      </c>
      <c r="B3147">
        <f>Skills!B9</f>
        <v/>
      </c>
      <c r="C3147">
        <f>Inputs!$B$3&gt;=103</f>
        <v/>
      </c>
      <c r="D3147">
        <f>IF(Skills!C9=1,60+Inputs!$B$25+Inputs!$B$29,IF(Skills!C9=2,90+Inputs!$B$26+Inputs!$B$29,IF(Skills!C9=3,120+Inputs!$B$27+Inputs!$B$29,MAX(0,(Inputs!$B$3-100)*3)+Inputs!$B$28+Inputs!$B$29)))</f>
        <v/>
      </c>
      <c r="E3147">
        <f>INDEX(FactorTable!$B$2:$Y$301, MATCH(ROUND(MIN(300,MAX(1,D3147)),0), FactorTable!$A$2:$A$301,0), Skills!M9+1)</f>
        <v/>
      </c>
      <c r="F3147">
        <f>IF(Skills!N9=TRUE,(Skills!L9/10)*(E3147/1000),Skills!L9/10)+Skills!O9</f>
        <v/>
      </c>
      <c r="G3147">
        <f>Skills!G9*IF(Skills!H9&gt;0,Skills!I9/Skills!H9,1)</f>
        <v/>
      </c>
      <c r="H3147">
        <f>1-(1-Skills!J9/100)^Skills!K9</f>
        <v/>
      </c>
      <c r="I3147" t="inlineStr">
        <is>
          <t>1</t>
        </is>
      </c>
      <c r="J3147">
        <f>((Inputs!$B$6*(1+Inputs!$B$7/100))+(((Inputs!$B$12*(1+Inputs!$B$13/100))-(Inputs!$B$12*(1+Inputs!$B$13/100)))+0.25*(Inputs!$B$14-Inputs!$B$14))*(1+Inputs!$B$7/100))*(F3147/100)</f>
        <v/>
      </c>
      <c r="K3147">
        <f>J3147*(1+((Inputs!$B$12*(1+Inputs!$B$13/100))*0.01+Inputs!$B$14*0.0025)/100)*(1+Inputs!$B$15/100)*(1+Inputs!$B$16/100)*(5000/(6000+Inputs!$B$42*(1-(100*(1-(1-(Inputs!$B$19+0)/100)*(1-CHOOSE(ArtifactsInput!$N$40+1,5,6,7,8,9,10)/100)^(ArtifactsInput!$M$40-ArtifactsInput!$M$40)))/100)))*(1+(Inputs!$B$24+((C3164=TRUE)*(F3164-Calc!F26))+B3174)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3161=TRUE)*(F3161-Calc!F23))+((C3165=TRUE)*(F3165-Calc!F27))+(((IF(AND(ArtifactsInput!$M$42,((Inputs!$B$9+((C3157=TRUE)*(F3157-Calc!F19))+B3168+(ArtifactsInput!$M$24-ArtifactsInput!$M$24)*CHOOSE(ArtifactsInput!$N$24+1,10,12,14,16,18,20)+IF(ArtifactsInput!$M$10,CHOOSE(ArtifactsInput!$N$10+1,15,18,21,24,27,30)*(IF(Inputs!$B$38="pvp",MIN(15,15)/15,IF(AND(Inputs!$B$38&lt;&gt;"pvp",Inputs!$B$43&gt;0),MIN(15,Inputs!$B$43)/(Inputs!$B$43),0))),0)))&gt;=100),MIN(100,((Inputs!$B$9+((C3157=TRUE)*(F3157-Calc!F19))+B3168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3157=TRUE)*(F3157-Calc!F19))+B3168+(ArtifactsInput!$M$24-ArtifactsInput!$M$24)*CHOOSE(ArtifactsInput!$N$24+1,10,12,14,16,18,20)+IF(ArtifactsInput!$M$10,CHOOSE(ArtifactsInput!$N$10+1,15,18,21,24,27,30)*(IF(Inputs!$B$38="pvp",MIN(15,15)/15,IF(AND(Inputs!$B$38&lt;&gt;"pvp",Inputs!$B$43&gt;0),MIN(15,Inputs!$B$43)/(Inputs!$B$43),0))),0)))&gt;=100),CHOOSE(ArtifactsInput!$N$42+1,40,48,56,64,72,80),0))))/100)*((1+(((C3155=TRUE)*F3155)+((C3162=TRUE)*(F3162-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3147)</f>
        <v/>
      </c>
      <c r="L3147">
        <f>K3147*(MIN(Inputs!$B$22+((C3160=TRUE)*(F3160-Calc!F22)),(Inputs!$B$23+0+(IF(ArtifactsInput!$M$15,CHOOSE(ArtifactsInput!$N$15+1,25,30,35,40,45,50)/100*(Inputs!$B$11-Inputs!$B$11),0))))/100+(Inputs!$B$23+0+(IF(ArtifactsInput!$M$15,CHOOSE(ArtifactsInput!$N$15+1,25,30,35,40,45,50)/100*(Inputs!$B$11-Inputs!$B$11),0)))/100)/2</f>
        <v/>
      </c>
      <c r="M3147">
        <f>L3147*(1+(Inputs!$B$10+((C3163=TRUE)*(F3163-Calc!F25))+B3173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7">
        <f>L3147*(1-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3147*(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7">
        <f>(1-Summary!$B$11)*T3147+Summary!$B$11*V3147</f>
        <v/>
      </c>
      <c r="P3147">
        <f>IF(B3178=0,0,O3147/B3178)</f>
        <v/>
      </c>
      <c r="Q3147">
        <f>IFERROR(1/(IF(Inputs!$B$38="pvp",15,MAX(0.1,Skills!D9-IF(Skills!E9=TRUE,5.0,0)))*(1-IF(AND(ArtifactsInput!$M$27,Inputs!$B$4="Chapter Hunt"),CHOOSE(ArtifactsInput!$N$27+1,20,24,28,32,36,40),0)/100)),0)</f>
        <v/>
      </c>
      <c r="R3147">
        <f>IF(AND(Inputs!$B$38&lt;&gt;"pvp",Inputs!$B$43&gt;0),IF(MAX(0,Inputs!$B$43-B3175)&lt;=0,0,(INT(MAX(0,Inputs!$B$43-B3175)/(IF(Inputs!$B$38="pvp",15,MAX(0.1,Skills!D9-IF(Skills!E9=TRUE,5.0,0)))*(1-IF(AND(ArtifactsInput!$M$27,Inputs!$B$4="Chapter Hunt"),CHOOSE(ArtifactsInput!$N$27+1,20,24,28,32,36,40),0)/100)))+1)),0)</f>
        <v/>
      </c>
      <c r="S3147">
        <f>IFERROR(O3147/N3147,0)</f>
        <v/>
      </c>
      <c r="T3147">
        <f>IF(C3147,(H3147*N3147*IF(AND(Inputs!$B$38&lt;&gt;"pvp",Inputs!$B$43&gt;0),((Skills!G9*((R3147-1)*IF(Skills!H9&gt;0,Skills!I9/Skills!H9,1)+IF(Skills!H9&gt;0,MIN(Skills!I9,MAX(0,MAX(0,Inputs!$B$43-B3175)-((R3147-1)*(IF(Inputs!$B$38="pvp",15,MAX(0.1,Skills!D9-IF(Skills!E9=TRUE,5.0,0)))*(1-IF(AND(ArtifactsInput!$M$27,Inputs!$B$4="Chapter Hunt"),CHOOSE(ArtifactsInput!$N$27+1,20,24,28,32,36,40),0)/100)))))/Skills!H9,1)))/Inputs!$B$43),G3147*Q3147)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3147*(1-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3147*(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3147*(1-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3147*(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7">
        <f>IF(C3147,(H3147*N3147*IF(AND(Inputs!$B$38&lt;&gt;"pvp",Inputs!$B$43&gt;0),((Skills!G9*((R3147-1)*IF(Skills!H9&gt;0,Skills!I9/Skills!H9,1)+IF(Skills!H9&gt;0,MIN(Skills!I9,MAX(0,MAX(0,Inputs!$B$43-B3175)-((R3147-1)*(IF(Inputs!$B$38="pvp",15,MAX(0.1,Skills!D9-IF(Skills!E9=TRUE,5.0,0)))*(1-IF(AND(ArtifactsInput!$M$27,Inputs!$B$4="Chapter Hunt"),CHOOSE(ArtifactsInput!$N$27+1,20,24,28,32,36,40),0)/100)))))/Skills!H9,1)))/Inputs!$B$43),G3147*Q3147))*IF(Inputs!$B$38="pvp",1,(1+(Inputs!$B$21+Skills!Q9+(IF(ArtifactsInput!$M$33,CHOOSE(ArtifactsInput!$N$33+1,30,36,42,48,54,60)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8">
      <c r="A3148">
        <f>Skills!A10</f>
        <v/>
      </c>
      <c r="B3148">
        <f>Skills!B10</f>
        <v/>
      </c>
      <c r="C3148">
        <f>Inputs!$B$3&gt;=113</f>
        <v/>
      </c>
      <c r="D3148">
        <f>IF(Skills!C10=1,60+Inputs!$B$25+Inputs!$B$29,IF(Skills!C10=2,90+Inputs!$B$26+Inputs!$B$29,IF(Skills!C10=3,120+Inputs!$B$27+Inputs!$B$29,MAX(0,(Inputs!$B$3-100)*3)+Inputs!$B$28+Inputs!$B$29)))</f>
        <v/>
      </c>
      <c r="E3148">
        <f>INDEX(FactorTable!$B$2:$Y$301, MATCH(ROUND(MIN(300,MAX(1,D3148)),0), FactorTable!$A$2:$A$301,0), Skills!M10+1)</f>
        <v/>
      </c>
      <c r="F3148">
        <f>IF(Skills!N10=TRUE,(Skills!L10/10)*(E3148/1000),Skills!L10/10)+Skills!O10</f>
        <v/>
      </c>
      <c r="G3148">
        <f>Skills!G10*IF(Skills!H10&gt;0,Skills!I10/Skills!H10,1)</f>
        <v/>
      </c>
      <c r="H3148">
        <f>1-(1-Skills!J10/100)^Skills!K10</f>
        <v/>
      </c>
      <c r="I3148" t="inlineStr">
        <is>
          <t>1</t>
        </is>
      </c>
      <c r="J3148">
        <f>((Inputs!$B$6*(1+Inputs!$B$7/100))+(((Inputs!$B$12*(1+Inputs!$B$13/100))-(Inputs!$B$12*(1+Inputs!$B$13/100)))+0.25*(Inputs!$B$14-Inputs!$B$14))*(1+Inputs!$B$7/100))*(F3148/100)</f>
        <v/>
      </c>
      <c r="K3148">
        <f>J3148*(1+((Inputs!$B$12*(1+Inputs!$B$13/100))*0.01+Inputs!$B$14*0.0025)/100)*(1+Inputs!$B$15/100)*(1+Inputs!$B$16/100)*(5000/(6000+Inputs!$B$42*(1-(100*(1-(1-(Inputs!$B$19+0)/100)*(1-CHOOSE(ArtifactsInput!$N$40+1,5,6,7,8,9,10)/100)^(ArtifactsInput!$M$40-ArtifactsInput!$M$40)))/100)))*(1+(Inputs!$B$24+((C3164=TRUE)*(F3164-Calc!F26))+B3174)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3161=TRUE)*(F3161-Calc!F23))+((C3165=TRUE)*(F3165-Calc!F27))+(((IF(AND(ArtifactsInput!$M$42,((Inputs!$B$9+((C3157=TRUE)*(F3157-Calc!F19))+B3168+(ArtifactsInput!$M$24-ArtifactsInput!$M$24)*CHOOSE(ArtifactsInput!$N$24+1,10,12,14,16,18,20)+IF(ArtifactsInput!$M$10,CHOOSE(ArtifactsInput!$N$10+1,15,18,21,24,27,30)*(IF(Inputs!$B$38="pvp",MIN(15,15)/15,IF(AND(Inputs!$B$38&lt;&gt;"pvp",Inputs!$B$43&gt;0),MIN(15,Inputs!$B$43)/(Inputs!$B$43),0))),0)))&gt;=100),MIN(100,((Inputs!$B$9+((C3157=TRUE)*(F3157-Calc!F19))+B3168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3157=TRUE)*(F3157-Calc!F19))+B3168+(ArtifactsInput!$M$24-ArtifactsInput!$M$24)*CHOOSE(ArtifactsInput!$N$24+1,10,12,14,16,18,20)+IF(ArtifactsInput!$M$10,CHOOSE(ArtifactsInput!$N$10+1,15,18,21,24,27,30)*(IF(Inputs!$B$38="pvp",MIN(15,15)/15,IF(AND(Inputs!$B$38&lt;&gt;"pvp",Inputs!$B$43&gt;0),MIN(15,Inputs!$B$43)/(Inputs!$B$43),0))),0)))&gt;=100),CHOOSE(ArtifactsInput!$N$42+1,40,48,56,64,72,80),0))))/100)*((1+(((C3155=TRUE)*F3155)+((C3162=TRUE)*(F3162-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3148)</f>
        <v/>
      </c>
      <c r="L3148">
        <f>K3148*(MIN(Inputs!$B$22+((C3160=TRUE)*(F3160-Calc!F22)),(Inputs!$B$23+0+(IF(ArtifactsInput!$M$15,CHOOSE(ArtifactsInput!$N$15+1,25,30,35,40,45,50)/100*(Inputs!$B$11-Inputs!$B$11),0))))/100+(Inputs!$B$23+0+(IF(ArtifactsInput!$M$15,CHOOSE(ArtifactsInput!$N$15+1,25,30,35,40,45,50)/100*(Inputs!$B$11-Inputs!$B$11),0)))/100)/2</f>
        <v/>
      </c>
      <c r="M3148">
        <f>L3148*(1+(Inputs!$B$10+((C3163=TRUE)*(F3163-Calc!F25))+B3173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8">
        <f>L3148*(1-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3148*(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8">
        <f>(1-Summary!$B$11)*T3148+Summary!$B$11*V3148</f>
        <v/>
      </c>
      <c r="P3148">
        <f>IF(B3178=0,0,O3148/B3178)</f>
        <v/>
      </c>
      <c r="Q3148">
        <f>IFERROR(1/(IF(Inputs!$B$38="pvp",15,MAX(0.1,Skills!D10-IF(Skills!E10=TRUE,5.0,0)))*(1-IF(AND(ArtifactsInput!$M$27,Inputs!$B$4="Chapter Hunt"),CHOOSE(ArtifactsInput!$N$27+1,20,24,28,32,36,40),0)/100)),0)</f>
        <v/>
      </c>
      <c r="R3148">
        <f>IF(AND(Inputs!$B$38&lt;&gt;"pvp",Inputs!$B$43&gt;0),IF(MAX(0,Inputs!$B$43-B3175)&lt;=0,0,(INT(MAX(0,Inputs!$B$43-B3175)/(IF(Inputs!$B$38="pvp",15,MAX(0.1,Skills!D10-IF(Skills!E10=TRUE,5.0,0)))*(1-IF(AND(ArtifactsInput!$M$27,Inputs!$B$4="Chapter Hunt"),CHOOSE(ArtifactsInput!$N$27+1,20,24,28,32,36,40),0)/100)))+1)),0)</f>
        <v/>
      </c>
      <c r="S3148">
        <f>IFERROR(O3148/N3148,0)</f>
        <v/>
      </c>
      <c r="T3148">
        <f>IF(C3148,(H3148*N3148*IF(AND(Inputs!$B$38&lt;&gt;"pvp",Inputs!$B$43&gt;0),((Skills!G10*((R3148-1)*IF(Skills!H10&gt;0,Skills!I10/Skills!H10,1)+IF(Skills!H10&gt;0,MIN(Skills!I10,MAX(0,MAX(0,Inputs!$B$43-B3175)-((R3148-1)*(IF(Inputs!$B$38="pvp",15,MAX(0.1,Skills!D10-IF(Skills!E10=TRUE,5.0,0)))*(1-IF(AND(ArtifactsInput!$M$27,Inputs!$B$4="Chapter Hunt"),CHOOSE(ArtifactsInput!$N$27+1,20,24,28,32,36,40),0)/100)))))/Skills!H10,1)))/Inputs!$B$43),G3148*Q3148)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3148*(1-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3148*(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3148*(1-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3148*(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8">
        <f>IF(C3148,(H3148*N3148*IF(AND(Inputs!$B$38&lt;&gt;"pvp",Inputs!$B$43&gt;0),((Skills!G10*((R3148-1)*IF(Skills!H10&gt;0,Skills!I10/Skills!H10,1)+IF(Skills!H10&gt;0,MIN(Skills!I10,MAX(0,MAX(0,Inputs!$B$43-B3175)-((R3148-1)*(IF(Inputs!$B$38="pvp",15,MAX(0.1,Skills!D10-IF(Skills!E10=TRUE,5.0,0)))*(1-IF(AND(ArtifactsInput!$M$27,Inputs!$B$4="Chapter Hunt"),CHOOSE(ArtifactsInput!$N$27+1,20,24,28,32,36,40),0)/100)))))/Skills!H10,1)))/Inputs!$B$43),G3148*Q3148))*IF(Inputs!$B$38="pvp",1,(1+(Inputs!$B$21+Skills!Q10+(IF(ArtifactsInput!$M$33,CHOOSE(ArtifactsInput!$N$33+1,30,36,42,48,54,60)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9">
      <c r="A3149">
        <f>Skills!A11</f>
        <v/>
      </c>
      <c r="B3149">
        <f>Skills!B11</f>
        <v/>
      </c>
      <c r="C3149">
        <f>Inputs!$B$3&gt;=107</f>
        <v/>
      </c>
      <c r="D3149">
        <f>IF(Skills!C11=1,60+Inputs!$B$25+Inputs!$B$29,IF(Skills!C11=2,90+Inputs!$B$26+Inputs!$B$29,IF(Skills!C11=3,120+Inputs!$B$27+Inputs!$B$29,MAX(0,(Inputs!$B$3-100)*3)+Inputs!$B$28+Inputs!$B$29)))</f>
        <v/>
      </c>
      <c r="E3149">
        <f>INDEX(FactorTable!$B$2:$Y$301, MATCH(ROUND(MIN(300,MAX(1,D3149)),0), FactorTable!$A$2:$A$301,0), Skills!M11+1)</f>
        <v/>
      </c>
      <c r="F3149">
        <f>IF(Skills!N11=TRUE,(Skills!L11/10)*(E3149/1000),Skills!L11/10)+Skills!O11</f>
        <v/>
      </c>
      <c r="G3149">
        <f>Skills!G11*IF(Skills!H11&gt;0,Skills!I11/Skills!H11,1)</f>
        <v/>
      </c>
      <c r="H3149">
        <f>1-(1-Skills!J11/100)^Skills!K11</f>
        <v/>
      </c>
      <c r="I3149" t="inlineStr">
        <is>
          <t>1</t>
        </is>
      </c>
      <c r="J3149">
        <f>((Inputs!$B$6*(1+Inputs!$B$7/100))+(((Inputs!$B$12*(1+Inputs!$B$13/100))-(Inputs!$B$12*(1+Inputs!$B$13/100)))+0.25*(Inputs!$B$14-Inputs!$B$14))*(1+Inputs!$B$7/100))*(F3149/100)</f>
        <v/>
      </c>
      <c r="K3149">
        <f>J3149*(1+((Inputs!$B$12*(1+Inputs!$B$13/100))*0.01+Inputs!$B$14*0.0025)/100)*(1+Inputs!$B$15/100)*(1+Inputs!$B$16/100)*(5000/(6000+Inputs!$B$42*(1-(100*(1-(1-(Inputs!$B$19+0)/100)*(1-CHOOSE(ArtifactsInput!$N$40+1,5,6,7,8,9,10)/100)^(ArtifactsInput!$M$40-ArtifactsInput!$M$40)))/100)))*(1+(Inputs!$B$24+((C3164=TRUE)*(F3164-Calc!F26))+B3174)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3161=TRUE)*(F3161-Calc!F23))+((C3165=TRUE)*(F3165-Calc!F27))+(((IF(AND(ArtifactsInput!$M$42,((Inputs!$B$9+((C3157=TRUE)*(F3157-Calc!F19))+B3168+(ArtifactsInput!$M$24-ArtifactsInput!$M$24)*CHOOSE(ArtifactsInput!$N$24+1,10,12,14,16,18,20)+IF(ArtifactsInput!$M$10,CHOOSE(ArtifactsInput!$N$10+1,15,18,21,24,27,30)*(IF(Inputs!$B$38="pvp",MIN(15,15)/15,IF(AND(Inputs!$B$38&lt;&gt;"pvp",Inputs!$B$43&gt;0),MIN(15,Inputs!$B$43)/(Inputs!$B$43),0))),0)))&gt;=100),MIN(100,((Inputs!$B$9+((C3157=TRUE)*(F3157-Calc!F19))+B3168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3157=TRUE)*(F3157-Calc!F19))+B3168+(ArtifactsInput!$M$24-ArtifactsInput!$M$24)*CHOOSE(ArtifactsInput!$N$24+1,10,12,14,16,18,20)+IF(ArtifactsInput!$M$10,CHOOSE(ArtifactsInput!$N$10+1,15,18,21,24,27,30)*(IF(Inputs!$B$38="pvp",MIN(15,15)/15,IF(AND(Inputs!$B$38&lt;&gt;"pvp",Inputs!$B$43&gt;0),MIN(15,Inputs!$B$43)/(Inputs!$B$43),0))),0)))&gt;=100),CHOOSE(ArtifactsInput!$N$42+1,40,48,56,64,72,80),0))))/100)*((1+(((C3155=TRUE)*F3155)+((C3162=TRUE)*(F3162-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3149)</f>
        <v/>
      </c>
      <c r="L3149">
        <f>K3149*(MIN(Inputs!$B$22+((C3160=TRUE)*(F3160-Calc!F22)),(Inputs!$B$23+0+(IF(ArtifactsInput!$M$15,CHOOSE(ArtifactsInput!$N$15+1,25,30,35,40,45,50)/100*(Inputs!$B$11-Inputs!$B$11),0))))/100+(Inputs!$B$23+0+(IF(ArtifactsInput!$M$15,CHOOSE(ArtifactsInput!$N$15+1,25,30,35,40,45,50)/100*(Inputs!$B$11-Inputs!$B$11),0)))/100)/2</f>
        <v/>
      </c>
      <c r="M3149">
        <f>L3149*(1+(Inputs!$B$10+((C3163=TRUE)*(F3163-Calc!F25))+B3173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9">
        <f>L3149*(1-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3149*(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9">
        <f>(1-Summary!$B$11)*T3149+Summary!$B$11*V3149</f>
        <v/>
      </c>
      <c r="P3149">
        <f>IF(B3178=0,0,O3149/B3178)</f>
        <v/>
      </c>
      <c r="Q3149">
        <f>IFERROR(1/(IF(Inputs!$B$38="pvp",15,MAX(0.1,Skills!D11-IF(Skills!E11=TRUE,5.0,0)))*(1-IF(AND(ArtifactsInput!$M$27,Inputs!$B$4="Chapter Hunt"),CHOOSE(ArtifactsInput!$N$27+1,20,24,28,32,36,40),0)/100)),0)</f>
        <v/>
      </c>
      <c r="R3149">
        <f>IF(AND(Inputs!$B$38&lt;&gt;"pvp",Inputs!$B$43&gt;0),IF(MAX(0,Inputs!$B$43-B3175)&lt;=0,0,(INT(MAX(0,Inputs!$B$43-B3175)/(IF(Inputs!$B$38="pvp",15,MAX(0.1,Skills!D11-IF(Skills!E11=TRUE,5.0,0)))*(1-IF(AND(ArtifactsInput!$M$27,Inputs!$B$4="Chapter Hunt"),CHOOSE(ArtifactsInput!$N$27+1,20,24,28,32,36,40),0)/100)))+1)),0)</f>
        <v/>
      </c>
      <c r="S3149">
        <f>IFERROR(O3149/N3149,0)</f>
        <v/>
      </c>
      <c r="T3149">
        <f>IF(C3149,(H3149*N3149*IF(AND(Inputs!$B$38&lt;&gt;"pvp",Inputs!$B$43&gt;0),((Skills!G11*((R3149-1)*IF(Skills!H11&gt;0,Skills!I11/Skills!H11,1)+IF(Skills!H11&gt;0,MIN(Skills!I11,MAX(0,MAX(0,Inputs!$B$43-B3175)-((R3149-1)*(IF(Inputs!$B$38="pvp",15,MAX(0.1,Skills!D11-IF(Skills!E11=TRUE,5.0,0)))*(1-IF(AND(ArtifactsInput!$M$27,Inputs!$B$4="Chapter Hunt"),CHOOSE(ArtifactsInput!$N$27+1,20,24,28,32,36,40),0)/100)))))/Skills!H11,1)))/Inputs!$B$43),G3149*Q3149)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3149*(1-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3149*(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3149*(1-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3149*(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9">
        <f>IF(C3149,(H3149*N3149*IF(AND(Inputs!$B$38&lt;&gt;"pvp",Inputs!$B$43&gt;0),((Skills!G11*((R3149-1)*IF(Skills!H11&gt;0,Skills!I11/Skills!H11,1)+IF(Skills!H11&gt;0,MIN(Skills!I11,MAX(0,MAX(0,Inputs!$B$43-B3175)-((R3149-1)*(IF(Inputs!$B$38="pvp",15,MAX(0.1,Skills!D11-IF(Skills!E11=TRUE,5.0,0)))*(1-IF(AND(ArtifactsInput!$M$27,Inputs!$B$4="Chapter Hunt"),CHOOSE(ArtifactsInput!$N$27+1,20,24,28,32,36,40),0)/100)))))/Skills!H11,1)))/Inputs!$B$43),G3149*Q3149))*IF(Inputs!$B$38="pvp",1,(1+(Inputs!$B$21+Skills!Q11+(IF(ArtifactsInput!$M$33,CHOOSE(ArtifactsInput!$N$33+1,30,36,42,48,54,60)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0">
      <c r="A3150">
        <f>Skills!A12</f>
        <v/>
      </c>
      <c r="B3150">
        <f>Skills!B12</f>
        <v/>
      </c>
      <c r="C3150">
        <f>Inputs!$B$3&gt;=110</f>
        <v/>
      </c>
      <c r="D3150">
        <f>IF(Skills!C12=1,60+Inputs!$B$25+Inputs!$B$29,IF(Skills!C12=2,90+Inputs!$B$26+Inputs!$B$29,IF(Skills!C12=3,120+Inputs!$B$27+Inputs!$B$29,MAX(0,(Inputs!$B$3-100)*3)+Inputs!$B$28+Inputs!$B$29)))</f>
        <v/>
      </c>
      <c r="E3150">
        <f>INDEX(FactorTable!$B$2:$Y$301, MATCH(ROUND(MIN(300,MAX(1,D3150)),0), FactorTable!$A$2:$A$301,0), Skills!M12+1)</f>
        <v/>
      </c>
      <c r="F3150">
        <f>IF(Skills!N12=TRUE,(Skills!L12/10)*(E3150/1000),Skills!L12/10)+Skills!O12</f>
        <v/>
      </c>
      <c r="G3150">
        <f>Skills!G12*IF(Skills!H12&gt;0,Skills!I12/Skills!H12,1)</f>
        <v/>
      </c>
      <c r="H3150">
        <f>1-(1-Skills!J12/100)^Skills!K12</f>
        <v/>
      </c>
      <c r="I3150" t="inlineStr">
        <is>
          <t>1</t>
        </is>
      </c>
      <c r="J3150">
        <f>((Inputs!$B$6*(1+Inputs!$B$7/100))+(((Inputs!$B$12*(1+Inputs!$B$13/100))-(Inputs!$B$12*(1+Inputs!$B$13/100)))+0.25*(Inputs!$B$14-Inputs!$B$14))*(1+Inputs!$B$7/100))*(F3150/100)</f>
        <v/>
      </c>
      <c r="K3150">
        <f>J3150*(1+((Inputs!$B$12*(1+Inputs!$B$13/100))*0.01+Inputs!$B$14*0.0025)/100)*(1+Inputs!$B$15/100)*(1+Inputs!$B$16/100)*(5000/(6000+Inputs!$B$42*(1-(100*(1-(1-(Inputs!$B$19+0)/100)*(1-CHOOSE(ArtifactsInput!$N$40+1,5,6,7,8,9,10)/100)^(ArtifactsInput!$M$40-ArtifactsInput!$M$40)))/100)))*(1+(Inputs!$B$24+((C3164=TRUE)*(F3164-Calc!F26))+B3174)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3161=TRUE)*(F3161-Calc!F23))+((C3165=TRUE)*(F3165-Calc!F27))+(((IF(AND(ArtifactsInput!$M$42,((Inputs!$B$9+((C3157=TRUE)*(F3157-Calc!F19))+B3168+(ArtifactsInput!$M$24-ArtifactsInput!$M$24)*CHOOSE(ArtifactsInput!$N$24+1,10,12,14,16,18,20)+IF(ArtifactsInput!$M$10,CHOOSE(ArtifactsInput!$N$10+1,15,18,21,24,27,30)*(IF(Inputs!$B$38="pvp",MIN(15,15)/15,IF(AND(Inputs!$B$38&lt;&gt;"pvp",Inputs!$B$43&gt;0),MIN(15,Inputs!$B$43)/(Inputs!$B$43),0))),0)))&gt;=100),MIN(100,((Inputs!$B$9+((C3157=TRUE)*(F3157-Calc!F19))+B3168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3157=TRUE)*(F3157-Calc!F19))+B3168+(ArtifactsInput!$M$24-ArtifactsInput!$M$24)*CHOOSE(ArtifactsInput!$N$24+1,10,12,14,16,18,20)+IF(ArtifactsInput!$M$10,CHOOSE(ArtifactsInput!$N$10+1,15,18,21,24,27,30)*(IF(Inputs!$B$38="pvp",MIN(15,15)/15,IF(AND(Inputs!$B$38&lt;&gt;"pvp",Inputs!$B$43&gt;0),MIN(15,Inputs!$B$43)/(Inputs!$B$43),0))),0)))&gt;=100),CHOOSE(ArtifactsInput!$N$42+1,40,48,56,64,72,80),0))))/100)*((1+(((C3155=TRUE)*F3155)+((C3162=TRUE)*(F3162-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3150)</f>
        <v/>
      </c>
      <c r="L3150">
        <f>K3150*(MIN(Inputs!$B$22+((C3160=TRUE)*(F3160-Calc!F22)),(Inputs!$B$23+0+(IF(ArtifactsInput!$M$15,CHOOSE(ArtifactsInput!$N$15+1,25,30,35,40,45,50)/100*(Inputs!$B$11-Inputs!$B$11),0))))/100+(Inputs!$B$23+0+(IF(ArtifactsInput!$M$15,CHOOSE(ArtifactsInput!$N$15+1,25,30,35,40,45,50)/100*(Inputs!$B$11-Inputs!$B$11),0)))/100)/2</f>
        <v/>
      </c>
      <c r="M3150">
        <f>L3150*(1+(Inputs!$B$10+((C3163=TRUE)*(F3163-Calc!F25))+B3173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0">
        <f>L3150*(1-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3150*(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0">
        <f>(1-Summary!$B$11)*T3150+Summary!$B$11*V3150</f>
        <v/>
      </c>
      <c r="P3150">
        <f>IF(B3178=0,0,O3150/B3178)</f>
        <v/>
      </c>
      <c r="Q3150">
        <f>IFERROR(1/(IF(Inputs!$B$38="pvp",15,MAX(0.1,Skills!D12-IF(Skills!E12=TRUE,5.0,0)))*(1-IF(AND(ArtifactsInput!$M$27,Inputs!$B$4="Chapter Hunt"),CHOOSE(ArtifactsInput!$N$27+1,20,24,28,32,36,40),0)/100)),0)</f>
        <v/>
      </c>
      <c r="R3150">
        <f>IF(AND(Inputs!$B$38&lt;&gt;"pvp",Inputs!$B$43&gt;0),IF(MAX(0,Inputs!$B$43-B3175)&lt;=0,0,(INT(MAX(0,Inputs!$B$43-B3175)/(IF(Inputs!$B$38="pvp",15,MAX(0.1,Skills!D12-IF(Skills!E12=TRUE,5.0,0)))*(1-IF(AND(ArtifactsInput!$M$27,Inputs!$B$4="Chapter Hunt"),CHOOSE(ArtifactsInput!$N$27+1,20,24,28,32,36,40),0)/100)))+1)),0)</f>
        <v/>
      </c>
      <c r="S3150">
        <f>IFERROR(O3150/N3150,0)</f>
        <v/>
      </c>
      <c r="T3150">
        <f>IF(C3150,(H3150*N3150*IF(AND(Inputs!$B$38&lt;&gt;"pvp",Inputs!$B$43&gt;0),((Skills!G12*((R3150-1)*IF(Skills!H12&gt;0,Skills!I12/Skills!H12,1)+IF(Skills!H12&gt;0,MIN(Skills!I12,MAX(0,MAX(0,Inputs!$B$43-B3175)-((R3150-1)*(IF(Inputs!$B$38="pvp",15,MAX(0.1,Skills!D12-IF(Skills!E12=TRUE,5.0,0)))*(1-IF(AND(ArtifactsInput!$M$27,Inputs!$B$4="Chapter Hunt"),CHOOSE(ArtifactsInput!$N$27+1,20,24,28,32,36,40),0)/100)))))/Skills!H12,1)))/Inputs!$B$43),G3150*Q3150)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3150*(1-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3150*(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3150*(1-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3150*(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0">
        <f>IF(C3150,(H3150*N3150*IF(AND(Inputs!$B$38&lt;&gt;"pvp",Inputs!$B$43&gt;0),((Skills!G12*((R3150-1)*IF(Skills!H12&gt;0,Skills!I12/Skills!H12,1)+IF(Skills!H12&gt;0,MIN(Skills!I12,MAX(0,MAX(0,Inputs!$B$43-B3175)-((R3150-1)*(IF(Inputs!$B$38="pvp",15,MAX(0.1,Skills!D12-IF(Skills!E12=TRUE,5.0,0)))*(1-IF(AND(ArtifactsInput!$M$27,Inputs!$B$4="Chapter Hunt"),CHOOSE(ArtifactsInput!$N$27+1,20,24,28,32,36,40),0)/100)))))/Skills!H12,1)))/Inputs!$B$43),G3150*Q3150))*IF(Inputs!$B$38="pvp",1,(1+(Inputs!$B$21+Skills!Q12+(IF(ArtifactsInput!$M$33,CHOOSE(ArtifactsInput!$N$33+1,30,36,42,48,54,60)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1">
      <c r="A3151">
        <f>Skills!A13</f>
        <v/>
      </c>
      <c r="B3151">
        <f>Skills!B13</f>
        <v/>
      </c>
      <c r="C3151">
        <f>Inputs!$B$3&gt;=110</f>
        <v/>
      </c>
      <c r="D3151">
        <f>IF(Skills!C13=1,60+Inputs!$B$25+Inputs!$B$29,IF(Skills!C13=2,90+Inputs!$B$26+Inputs!$B$29,IF(Skills!C13=3,120+Inputs!$B$27+Inputs!$B$29,MAX(0,(Inputs!$B$3-100)*3)+Inputs!$B$28+Inputs!$B$29)))</f>
        <v/>
      </c>
      <c r="E3151">
        <f>INDEX(FactorTable!$B$2:$Y$301, MATCH(ROUND(MIN(300,MAX(1,D3151)),0), FactorTable!$A$2:$A$301,0), Skills!M13+1)</f>
        <v/>
      </c>
      <c r="F3151">
        <f>IF(Skills!N13=TRUE,(Skills!L13/10)*(E3151/1000),Skills!L13/10)+Skills!O13</f>
        <v/>
      </c>
      <c r="G3151">
        <f>Skills!G13*IF(Skills!H13&gt;0,Skills!I13/Skills!H13,1)</f>
        <v/>
      </c>
      <c r="H3151">
        <f>1-(1-Skills!J13/100)^Skills!K13</f>
        <v/>
      </c>
      <c r="I3151" t="inlineStr">
        <is>
          <t>1</t>
        </is>
      </c>
      <c r="J3151">
        <f>((Inputs!$B$6*(1+Inputs!$B$7/100))+(((Inputs!$B$12*(1+Inputs!$B$13/100))-(Inputs!$B$12*(1+Inputs!$B$13/100)))+0.25*(Inputs!$B$14-Inputs!$B$14))*(1+Inputs!$B$7/100))*(F3151/100)</f>
        <v/>
      </c>
      <c r="K3151">
        <f>J3151*(1+((Inputs!$B$12*(1+Inputs!$B$13/100))*0.01+Inputs!$B$14*0.0025)/100)*(1+Inputs!$B$15/100)*(1+Inputs!$B$16/100)*(5000/(6000+Inputs!$B$42*(1-(100*(1-(1-(Inputs!$B$19+0)/100)*(1-CHOOSE(ArtifactsInput!$N$40+1,5,6,7,8,9,10)/100)^(ArtifactsInput!$M$40-ArtifactsInput!$M$40)))/100)))*(1+(Inputs!$B$24+((C3164=TRUE)*(F3164-Calc!F26))+B3174)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3161=TRUE)*(F3161-Calc!F23))+((C3165=TRUE)*(F3165-Calc!F27))+(((IF(AND(ArtifactsInput!$M$42,((Inputs!$B$9+((C3157=TRUE)*(F3157-Calc!F19))+B3168+(ArtifactsInput!$M$24-ArtifactsInput!$M$24)*CHOOSE(ArtifactsInput!$N$24+1,10,12,14,16,18,20)+IF(ArtifactsInput!$M$10,CHOOSE(ArtifactsInput!$N$10+1,15,18,21,24,27,30)*(IF(Inputs!$B$38="pvp",MIN(15,15)/15,IF(AND(Inputs!$B$38&lt;&gt;"pvp",Inputs!$B$43&gt;0),MIN(15,Inputs!$B$43)/(Inputs!$B$43),0))),0)))&gt;=100),MIN(100,((Inputs!$B$9+((C3157=TRUE)*(F3157-Calc!F19))+B3168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3157=TRUE)*(F3157-Calc!F19))+B3168+(ArtifactsInput!$M$24-ArtifactsInput!$M$24)*CHOOSE(ArtifactsInput!$N$24+1,10,12,14,16,18,20)+IF(ArtifactsInput!$M$10,CHOOSE(ArtifactsInput!$N$10+1,15,18,21,24,27,30)*(IF(Inputs!$B$38="pvp",MIN(15,15)/15,IF(AND(Inputs!$B$38&lt;&gt;"pvp",Inputs!$B$43&gt;0),MIN(15,Inputs!$B$43)/(Inputs!$B$43),0))),0)))&gt;=100),CHOOSE(ArtifactsInput!$N$42+1,40,48,56,64,72,80),0))))/100)*((1+(((C3155=TRUE)*F3155)+((C3162=TRUE)*(F3162-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3151)</f>
        <v/>
      </c>
      <c r="L3151">
        <f>K3151*(MIN(Inputs!$B$22+((C3160=TRUE)*(F3160-Calc!F22)),(Inputs!$B$23+0+(IF(ArtifactsInput!$M$15,CHOOSE(ArtifactsInput!$N$15+1,25,30,35,40,45,50)/100*(Inputs!$B$11-Inputs!$B$11),0))))/100+(Inputs!$B$23+0+(IF(ArtifactsInput!$M$15,CHOOSE(ArtifactsInput!$N$15+1,25,30,35,40,45,50)/100*(Inputs!$B$11-Inputs!$B$11),0)))/100)/2</f>
        <v/>
      </c>
      <c r="M3151">
        <f>L3151*(1+(Inputs!$B$10+((C3163=TRUE)*(F3163-Calc!F25))+B3173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1">
        <f>L3151*(1-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1">
        <f>(1-Summary!$B$11)*T3151+Summary!$B$11*V3151</f>
        <v/>
      </c>
      <c r="P3151">
        <f>IF(B3178=0,0,O3151/B3178)</f>
        <v/>
      </c>
      <c r="Q3151">
        <f>IFERROR(1/(IF(Inputs!$B$38="pvp",15,MAX(0.1,Skills!D13-IF(Skills!E13=TRUE,5.0,0)))*(1-IF(AND(ArtifactsInput!$M$27,Inputs!$B$4="Chapter Hunt"),CHOOSE(ArtifactsInput!$N$27+1,20,24,28,32,36,40),0)/100)),0)</f>
        <v/>
      </c>
      <c r="R3151">
        <f>IF(AND(Inputs!$B$38&lt;&gt;"pvp",Inputs!$B$43&gt;0),IF(MAX(0,Inputs!$B$43-B3175)&lt;=0,0,(INT(MAX(0,Inputs!$B$43-B3175)/(IF(Inputs!$B$38="pvp",15,MAX(0.1,Skills!D13-IF(Skills!E13=TRUE,5.0,0)))*(1-IF(AND(ArtifactsInput!$M$27,Inputs!$B$4="Chapter Hunt"),CHOOSE(ArtifactsInput!$N$27+1,20,24,28,32,36,40),0)/100)))+1)),0)</f>
        <v/>
      </c>
      <c r="S3151">
        <f>IFERROR(O3151/N3151,0)</f>
        <v/>
      </c>
      <c r="T3151">
        <f>IF(C3151,(H3151*N3151*IF(AND(Inputs!$B$38&lt;&gt;"pvp",Inputs!$B$43&gt;0),((Skills!G13*((R3151-1)*IF(Skills!H13&gt;0,Skills!I13/Skills!H13,1)+IF(Skills!H13&gt;0,MIN(Skills!I13,MAX(0,MAX(0,Inputs!$B$43-B3175)-((R3151-1)*(IF(Inputs!$B$38="pvp",15,MAX(0.1,Skills!D13-IF(Skills!E13=TRUE,5.0,0)))*(1-IF(AND(ArtifactsInput!$M$27,Inputs!$B$4="Chapter Hunt"),CHOOSE(ArtifactsInput!$N$27+1,20,24,28,32,36,40),0)/100)))))/Skills!H13,1)))/Inputs!$B$43),G3151*Q3151))*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3151*(1-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3151*(1-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1">
        <f>IF(C3151,(H3151*N3151*IF(AND(Inputs!$B$38&lt;&gt;"pvp",Inputs!$B$43&gt;0),((Skills!G13*((R3151-1)*IF(Skills!H13&gt;0,Skills!I13/Skills!H13,1)+IF(Skills!H13&gt;0,MIN(Skills!I13,MAX(0,MAX(0,Inputs!$B$43-B3175)-((R3151-1)*(IF(Inputs!$B$38="pvp",15,MAX(0.1,Skills!D13-IF(Skills!E13=TRUE,5.0,0)))*(1-IF(AND(ArtifactsInput!$M$27,Inputs!$B$4="Chapter Hunt"),CHOOSE(ArtifactsInput!$N$27+1,20,24,28,32,36,40),0)/100)))))/Skills!H13,1)))/Inputs!$B$43),G3151*Q3151))*IF(Inputs!$B$38="pvp",1,(1+(Inputs!$B$21+Skills!Q13+(IF(ArtifactsInput!$M$33,CHOOSE(ArtifactsInput!$N$33+1,30,36,42,48,54,60)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2">
      <c r="A3152">
        <f>Skills!A14</f>
        <v/>
      </c>
      <c r="B3152">
        <f>Skills!B14</f>
        <v/>
      </c>
      <c r="C3152">
        <f>Inputs!$B$3&gt;=125</f>
        <v/>
      </c>
      <c r="D3152">
        <f>IF(Skills!C14=1,60+Inputs!$B$25+Inputs!$B$29,IF(Skills!C14=2,90+Inputs!$B$26+Inputs!$B$29,IF(Skills!C14=3,120+Inputs!$B$27+Inputs!$B$29,MAX(0,(Inputs!$B$3-100)*3)+Inputs!$B$28+Inputs!$B$29)))</f>
        <v/>
      </c>
      <c r="E3152">
        <f>INDEX(FactorTable!$B$2:$Y$301, MATCH(ROUND(MIN(300,MAX(1,D3152)),0), FactorTable!$A$2:$A$301,0), Skills!M14+1)</f>
        <v/>
      </c>
      <c r="F3152">
        <f>IF(Skills!N14=TRUE,(Skills!L14/10)*(E3152/1000),Skills!L14/10)+Skills!O14</f>
        <v/>
      </c>
      <c r="G3152">
        <f>Skills!G14*IF(Skills!H14&gt;0,Skills!I14/Skills!H14,1)</f>
        <v/>
      </c>
      <c r="H3152">
        <f>1-(1-Skills!J14/100)^Skills!K14</f>
        <v/>
      </c>
      <c r="I3152" t="inlineStr">
        <is>
          <t>1</t>
        </is>
      </c>
      <c r="J3152">
        <f>((Inputs!$B$6*(1+Inputs!$B$7/100))+(((Inputs!$B$12*(1+Inputs!$B$13/100))-(Inputs!$B$12*(1+Inputs!$B$13/100)))+0.25*(Inputs!$B$14-Inputs!$B$14))*(1+Inputs!$B$7/100))*(F3152/100)</f>
        <v/>
      </c>
      <c r="K3152">
        <f>J3152*(1+((Inputs!$B$12*(1+Inputs!$B$13/100))*0.01+Inputs!$B$14*0.0025)/100)*(1+Inputs!$B$15/100)*(1+Inputs!$B$16/100)*(5000/(6000+Inputs!$B$42*(1-(100*(1-(1-(Inputs!$B$19+0)/100)*(1-CHOOSE(ArtifactsInput!$N$40+1,5,6,7,8,9,10)/100)^(ArtifactsInput!$M$40-ArtifactsInput!$M$40)))/100)))*(1+(Inputs!$B$24+((C3164=TRUE)*(F3164-Calc!F26))+B3174)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3161=TRUE)*(F3161-Calc!F23))+((C3165=TRUE)*(F3165-Calc!F27))+(((IF(AND(ArtifactsInput!$M$42,((Inputs!$B$9+((C3157=TRUE)*(F3157-Calc!F19))+B3168+(ArtifactsInput!$M$24-ArtifactsInput!$M$24)*CHOOSE(ArtifactsInput!$N$24+1,10,12,14,16,18,20)+IF(ArtifactsInput!$M$10,CHOOSE(ArtifactsInput!$N$10+1,15,18,21,24,27,30)*(IF(Inputs!$B$38="pvp",MIN(15,15)/15,IF(AND(Inputs!$B$38&lt;&gt;"pvp",Inputs!$B$43&gt;0),MIN(15,Inputs!$B$43)/(Inputs!$B$43),0))),0)))&gt;=100),MIN(100,((Inputs!$B$9+((C3157=TRUE)*(F3157-Calc!F19))+B3168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3157=TRUE)*(F3157-Calc!F19))+B3168+(ArtifactsInput!$M$24-ArtifactsInput!$M$24)*CHOOSE(ArtifactsInput!$N$24+1,10,12,14,16,18,20)+IF(ArtifactsInput!$M$10,CHOOSE(ArtifactsInput!$N$10+1,15,18,21,24,27,30)*(IF(Inputs!$B$38="pvp",MIN(15,15)/15,IF(AND(Inputs!$B$38&lt;&gt;"pvp",Inputs!$B$43&gt;0),MIN(15,Inputs!$B$43)/(Inputs!$B$43),0))),0)))&gt;=100),CHOOSE(ArtifactsInput!$N$42+1,40,48,56,64,72,80),0))))/100)*((1+(((C3155=TRUE)*F3155)+((C3162=TRUE)*(F3162-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3152)</f>
        <v/>
      </c>
      <c r="L3152">
        <f>K3152*(MIN(Inputs!$B$22+((C3160=TRUE)*(F3160-Calc!F22)),(Inputs!$B$23+0+(IF(ArtifactsInput!$M$15,CHOOSE(ArtifactsInput!$N$15+1,25,30,35,40,45,50)/100*(Inputs!$B$11-Inputs!$B$11),0))))/100+(Inputs!$B$23+0+(IF(ArtifactsInput!$M$15,CHOOSE(ArtifactsInput!$N$15+1,25,30,35,40,45,50)/100*(Inputs!$B$11-Inputs!$B$11),0)))/100)/2</f>
        <v/>
      </c>
      <c r="M3152">
        <f>L3152*(1+(Inputs!$B$10+((C3163=TRUE)*(F3163-Calc!F25))+B3173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2">
        <f>L3152*(1-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3152*(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2">
        <f>(1-Summary!$B$11)*T3152+Summary!$B$11*V3152</f>
        <v/>
      </c>
      <c r="P3152">
        <f>IF(B3178=0,0,O3152/B3178)</f>
        <v/>
      </c>
      <c r="Q3152" t="n">
        <v>0</v>
      </c>
      <c r="R3152" t="n">
        <v>0</v>
      </c>
      <c r="S3152">
        <f>IFERROR(O3152/N3152,0)</f>
        <v/>
      </c>
      <c r="T3152">
        <f>IF(C3152,(H3152*N3152*(B3172+IF(AND(Inputs!$B$38&lt;&gt;"pvp",Inputs!$B$43&gt;0),((Skills!G8*((R3146-1)*IF(Skills!H8&gt;0,Skills!I8/Skills!H8,1)+IF(Skills!H8&gt;0,MIN(Skills!I8,MAX(0,MAX(0,Inputs!$B$43-B3175)-((R3146-1)*(IF(Inputs!$B$38="pvp",15,MAX(0.1,Skills!D8-IF(Skills!E8=TRUE,5.0,0)))*(1-IF(AND(ArtifactsInput!$M$27,Inputs!$B$4="Chapter Hunt"),CHOOSE(ArtifactsInput!$N$27+1,20,24,28,32,36,40),0)/100)))))/Skills!H8,1)))/Inputs!$B$43),G3146*Q3146)+IF(AND(Inputs!$B$38&lt;&gt;"pvp",Inputs!$B$43&gt;0),((Skills!G11*((R3149-1)*IF(Skills!H11&gt;0,Skills!I11/Skills!H11,1)+IF(Skills!H11&gt;0,MIN(Skills!I11,MAX(0,MAX(0,Inputs!$B$43-B3175)-((R3149-1)*(IF(Inputs!$B$38="pvp",15,MAX(0.1,Skills!D11-IF(Skills!E11=TRUE,5.0,0)))*(1-IF(AND(ArtifactsInput!$M$27,Inputs!$B$4="Chapter Hunt"),CHOOSE(ArtifactsInput!$N$27+1,20,24,28,32,36,40),0)/100)))))/Skills!H11,1)))/Inputs!$B$43),G3149*Q3149)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3152*(1-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3152*(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3152*(1-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3152*(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2">
        <f>IF(C3152,(H3152*N3152*(B3172+IF(AND(Inputs!$B$38&lt;&gt;"pvp",Inputs!$B$43&gt;0),((Skills!G8*((R3146-1)*IF(Skills!H8&gt;0,Skills!I8/Skills!H8,1)+IF(Skills!H8&gt;0,MIN(Skills!I8,MAX(0,MAX(0,Inputs!$B$43-B3175)-((R3146-1)*(IF(Inputs!$B$38="pvp",15,MAX(0.1,Skills!D8-IF(Skills!E8=TRUE,5.0,0)))*(1-IF(AND(ArtifactsInput!$M$27,Inputs!$B$4="Chapter Hunt"),CHOOSE(ArtifactsInput!$N$27+1,20,24,28,32,36,40),0)/100)))))/Skills!H8,1)))/Inputs!$B$43),G3146*Q3146)+IF(AND(Inputs!$B$38&lt;&gt;"pvp",Inputs!$B$43&gt;0),((Skills!G11*((R3149-1)*IF(Skills!H11&gt;0,Skills!I11/Skills!H11,1)+IF(Skills!H11&gt;0,MIN(Skills!I11,MAX(0,MAX(0,Inputs!$B$43-B3175)-((R3149-1)*(IF(Inputs!$B$38="pvp",15,MAX(0.1,Skills!D11-IF(Skills!E11=TRUE,5.0,0)))*(1-IF(AND(ArtifactsInput!$M$27,Inputs!$B$4="Chapter Hunt"),CHOOSE(ArtifactsInput!$N$27+1,20,24,28,32,36,40),0)/100)))))/Skills!H11,1)))/Inputs!$B$43),G3149*Q3149)))*IF(Inputs!$B$38="pvp",1,(1+(Inputs!$B$21+Skills!Q14+(IF(ArtifactsInput!$M$33,CHOOSE(ArtifactsInput!$N$33+1,30,36,42,48,54,60)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3">
      <c r="A3153">
        <f>Skills!A15</f>
        <v/>
      </c>
      <c r="B3153">
        <f>Skills!B15</f>
        <v/>
      </c>
      <c r="C3153">
        <f>Inputs!$B$3&gt;=100</f>
        <v/>
      </c>
      <c r="D3153">
        <f>IF(Skills!C15=1,60+Inputs!$B$25+Inputs!$B$29,IF(Skills!C15=2,90+Inputs!$B$26+Inputs!$B$29,IF(Skills!C15=3,120+Inputs!$B$27+Inputs!$B$29,MAX(0,(Inputs!$B$3-100)*3)+Inputs!$B$28+Inputs!$B$29)))</f>
        <v/>
      </c>
      <c r="E3153">
        <f>INDEX(FactorTable!$B$2:$Y$301, MATCH(ROUND(MIN(300,MAX(1,D3153)),0), FactorTable!$A$2:$A$301,0), Skills!M15+1)</f>
        <v/>
      </c>
      <c r="F3153">
        <f>IF(Skills!N15=TRUE,(Skills!L15/10)*(E3153/1000),Skills!L15/10)+Skills!O15</f>
        <v/>
      </c>
      <c r="G3153" t="inlineStr"/>
      <c r="H3153" t="inlineStr"/>
      <c r="I3153" t="inlineStr">
        <is>
          <t>1</t>
        </is>
      </c>
      <c r="J3153" t="inlineStr"/>
      <c r="K3153" t="inlineStr"/>
      <c r="L3153" t="inlineStr"/>
      <c r="M3153" t="inlineStr"/>
      <c r="N3153" t="inlineStr"/>
      <c r="O3153" t="inlineStr"/>
      <c r="P3153" t="inlineStr"/>
      <c r="Q3153" t="inlineStr"/>
      <c r="R3153" t="inlineStr"/>
      <c r="S3153" t="inlineStr"/>
    </row>
    <row r="3154">
      <c r="A3154">
        <f>Skills!A16</f>
        <v/>
      </c>
      <c r="B3154">
        <f>Skills!B16</f>
        <v/>
      </c>
      <c r="C3154">
        <f>Inputs!$B$3&gt;=120</f>
        <v/>
      </c>
      <c r="D3154">
        <f>IF(Skills!C16=1,60+Inputs!$B$25+Inputs!$B$29,IF(Skills!C16=2,90+Inputs!$B$26+Inputs!$B$29,IF(Skills!C16=3,120+Inputs!$B$27+Inputs!$B$29,MAX(0,(Inputs!$B$3-100)*3)+Inputs!$B$28+Inputs!$B$29)))</f>
        <v/>
      </c>
      <c r="E3154">
        <f>INDEX(FactorTable!$B$2:$Y$301, MATCH(ROUND(MIN(300,MAX(1,D3154)),0), FactorTable!$A$2:$A$301,0), Skills!M16+1)</f>
        <v/>
      </c>
      <c r="F3154">
        <f>IF(Skills!N16=TRUE,(Skills!L16/10)*(E3154/1000),Skills!L16/10)+Skills!O16</f>
        <v/>
      </c>
      <c r="G3154" t="inlineStr"/>
      <c r="H3154" t="inlineStr"/>
      <c r="I3154" t="inlineStr">
        <is>
          <t>1</t>
        </is>
      </c>
      <c r="J3154" t="inlineStr"/>
      <c r="K3154" t="inlineStr"/>
      <c r="L3154" t="inlineStr"/>
      <c r="M3154" t="inlineStr"/>
      <c r="N3154" t="inlineStr"/>
      <c r="O3154" t="inlineStr"/>
      <c r="P3154" t="inlineStr"/>
      <c r="Q3154" t="inlineStr"/>
      <c r="R3154" t="inlineStr"/>
      <c r="S3154" t="inlineStr"/>
    </row>
    <row r="3155">
      <c r="A3155">
        <f>Skills!A17</f>
        <v/>
      </c>
      <c r="B3155">
        <f>Skills!B17</f>
        <v/>
      </c>
      <c r="C3155">
        <f>Inputs!$B$3&gt;=66</f>
        <v/>
      </c>
      <c r="D3155">
        <f>IF(Skills!C17=1,60+Inputs!$B$25+Inputs!$B$29,IF(Skills!C17=2,90+Inputs!$B$26+Inputs!$B$29,IF(Skills!C17=3,120+Inputs!$B$27+Inputs!$B$29,MAX(0,(Inputs!$B$3-100)*3)+Inputs!$B$28+Inputs!$B$29)))</f>
        <v/>
      </c>
      <c r="E3155">
        <f>INDEX(FactorTable!$B$2:$Y$301, MATCH(ROUND(MIN(300,MAX(1,D3155)),0), FactorTable!$A$2:$A$301,0), Skills!M17+1)</f>
        <v/>
      </c>
      <c r="F3155">
        <f>IF(Skills!N17=TRUE,(Skills!L17/10)*(E3155/1000),Skills!L17/10)+Skills!O17</f>
        <v/>
      </c>
      <c r="G3155">
        <f>Skills!G17*IF(Skills!H17&gt;0,Skills!I17/Skills!H17,1)</f>
        <v/>
      </c>
      <c r="H3155">
        <f>1-(1-Skills!J17/100)^Skills!K17</f>
        <v/>
      </c>
      <c r="I3155" t="inlineStr">
        <is>
          <t>1</t>
        </is>
      </c>
      <c r="J3155" t="inlineStr"/>
      <c r="K3155" t="inlineStr"/>
      <c r="L3155" t="inlineStr"/>
      <c r="M3155" t="inlineStr"/>
      <c r="N3155" t="inlineStr"/>
      <c r="O3155">
        <f>(1-Summary!$B$11)*T3155+Summary!$B$11*V3155</f>
        <v/>
      </c>
      <c r="P3155">
        <f>IF(B3178=0,0,O3155/B3178)</f>
        <v/>
      </c>
      <c r="Q3155" t="n">
        <v>0</v>
      </c>
      <c r="R3155" t="n">
        <v>0</v>
      </c>
      <c r="S3155">
        <f>IFERROR(O3155/N3155,0)</f>
        <v/>
      </c>
      <c r="T3155" t="n">
        <v>0</v>
      </c>
      <c r="V3155" t="n">
        <v>0</v>
      </c>
    </row>
    <row r="3156">
      <c r="A3156">
        <f>Skills!A18</f>
        <v/>
      </c>
      <c r="B3156">
        <f>Skills!B18</f>
        <v/>
      </c>
      <c r="C3156">
        <f>Inputs!$B$3&gt;=115</f>
        <v/>
      </c>
      <c r="D3156">
        <f>IF(Skills!C18=1,60+Inputs!$B$25+Inputs!$B$29,IF(Skills!C18=2,90+Inputs!$B$26+Inputs!$B$29,IF(Skills!C18=3,120+Inputs!$B$27+Inputs!$B$29,MAX(0,(Inputs!$B$3-100)*3)+Inputs!$B$28+Inputs!$B$29)))</f>
        <v/>
      </c>
      <c r="E3156">
        <f>INDEX(FactorTable!$B$2:$Y$301, MATCH(ROUND(MIN(300,MAX(1,D3156)),0), FactorTable!$A$2:$A$301,0), Skills!M18+1)</f>
        <v/>
      </c>
      <c r="F3156">
        <f>IF(Skills!N18=TRUE,(Skills!L18/10)*(E3156/1000),Skills!L18/10)+Skills!O18</f>
        <v/>
      </c>
      <c r="G3156">
        <f>Skills!G18*IF(Skills!H18&gt;0,Skills!I18/Skills!H18,1)</f>
        <v/>
      </c>
      <c r="H3156">
        <f>1-(1-Skills!J18/100)^Skills!K18</f>
        <v/>
      </c>
      <c r="I3156" t="inlineStr">
        <is>
          <t>1</t>
        </is>
      </c>
      <c r="J3156" t="inlineStr"/>
      <c r="K3156" t="inlineStr"/>
      <c r="L3156" t="inlineStr"/>
      <c r="M3156" t="inlineStr"/>
      <c r="N3156" t="inlineStr"/>
      <c r="O3156">
        <f>(1-Summary!$B$11)*T3156+Summary!$B$11*V3156</f>
        <v/>
      </c>
      <c r="P3156">
        <f>IF(B3178=0,0,O3156/B3178)</f>
        <v/>
      </c>
      <c r="Q3156" t="n">
        <v>0</v>
      </c>
      <c r="R3156" t="n">
        <v>0</v>
      </c>
      <c r="S3156">
        <f>IFERROR(O3156/N3156,0)</f>
        <v/>
      </c>
      <c r="T3156" t="n">
        <v>0</v>
      </c>
      <c r="V3156" t="n">
        <v>0</v>
      </c>
    </row>
    <row r="3157">
      <c r="A3157">
        <f>Skills!A19</f>
        <v/>
      </c>
      <c r="B3157">
        <f>Skills!B19</f>
        <v/>
      </c>
      <c r="C3157">
        <f>Inputs!$B$3&gt;=15</f>
        <v/>
      </c>
      <c r="D3157">
        <f>IF(Skills!C19=1,60+Inputs!$B$25+Inputs!$B$29,IF(Skills!C19=2,90+Inputs!$B$26+Inputs!$B$29,IF(Skills!C19=3,120+Inputs!$B$27+Inputs!$B$29,MAX(0,(Inputs!$B$3-100)*3)+Inputs!$B$28+Inputs!$B$29)))</f>
        <v/>
      </c>
      <c r="E3157">
        <f>INDEX(FactorTable!$B$2:$Y$301, MATCH(ROUND(MIN(300,MAX(1,D3157)),0), FactorTable!$A$2:$A$301,0), Skills!M19+1)</f>
        <v/>
      </c>
      <c r="F3157">
        <f>IF(Skills!N19=TRUE,(Skills!L19/10)*(E3157/1000),Skills!L19/10)+Skills!O19</f>
        <v/>
      </c>
      <c r="G3157">
        <f>Skills!G19*IF(Skills!H19&gt;0,Skills!I19/Skills!H19,1)</f>
        <v/>
      </c>
      <c r="H3157">
        <f>1-(1-Skills!J19/100)^Skills!K19</f>
        <v/>
      </c>
      <c r="I3157" t="inlineStr">
        <is>
          <t>1</t>
        </is>
      </c>
      <c r="J3157" t="inlineStr"/>
      <c r="K3157" t="inlineStr"/>
      <c r="L3157" t="inlineStr"/>
      <c r="M3157" t="inlineStr"/>
      <c r="N3157" t="inlineStr"/>
      <c r="O3157">
        <f>(1-Summary!$B$11)*T3157+Summary!$B$11*V3157</f>
        <v/>
      </c>
      <c r="P3157">
        <f>IF(B3178=0,0,O3157/B3178)</f>
        <v/>
      </c>
      <c r="Q3157" t="n">
        <v>0</v>
      </c>
      <c r="R3157" t="n">
        <v>0</v>
      </c>
      <c r="S3157">
        <f>IFERROR(O3157/N3157,0)</f>
        <v/>
      </c>
      <c r="T3157" t="n">
        <v>0</v>
      </c>
      <c r="V3157" t="n">
        <v>0</v>
      </c>
    </row>
    <row r="3158">
      <c r="A3158">
        <f>Skills!A20</f>
        <v/>
      </c>
      <c r="B3158">
        <f>Skills!B20</f>
        <v/>
      </c>
      <c r="C3158">
        <f>Inputs!$B$3&gt;=10</f>
        <v/>
      </c>
      <c r="D3158">
        <f>IF(Skills!C20=1,60+Inputs!$B$25+Inputs!$B$29,IF(Skills!C20=2,90+Inputs!$B$26+Inputs!$B$29,IF(Skills!C20=3,120+Inputs!$B$27+Inputs!$B$29,MAX(0,(Inputs!$B$3-100)*3)+Inputs!$B$28+Inputs!$B$29)))</f>
        <v/>
      </c>
      <c r="E3158">
        <f>INDEX(FactorTable!$B$2:$Y$301, MATCH(ROUND(MIN(300,MAX(1,D3158)),0), FactorTable!$A$2:$A$301,0), Skills!M20+1)</f>
        <v/>
      </c>
      <c r="F3158">
        <f>IF(Skills!N20=TRUE,(Skills!L20/10)*(E3158/1000),Skills!L20/10)+Skills!O20</f>
        <v/>
      </c>
      <c r="G3158">
        <f>Skills!G20*IF(Skills!H20&gt;0,Skills!I20/Skills!H20,1)</f>
        <v/>
      </c>
      <c r="H3158">
        <f>1-(1-Skills!J20/100)^Skills!K20</f>
        <v/>
      </c>
      <c r="I3158" t="inlineStr">
        <is>
          <t>1</t>
        </is>
      </c>
      <c r="J3158" t="inlineStr"/>
      <c r="K3158" t="inlineStr"/>
      <c r="L3158" t="inlineStr"/>
      <c r="M3158" t="inlineStr"/>
      <c r="N3158" t="inlineStr"/>
      <c r="O3158">
        <f>(1-Summary!$B$11)*T3158+Summary!$B$11*V3158</f>
        <v/>
      </c>
      <c r="P3158">
        <f>IF(B3178=0,0,O3158/B3178)</f>
        <v/>
      </c>
      <c r="Q3158" t="n">
        <v>0</v>
      </c>
      <c r="R3158" t="n">
        <v>0</v>
      </c>
      <c r="S3158">
        <f>IFERROR(O3158/N3158,0)</f>
        <v/>
      </c>
      <c r="T3158" t="n">
        <v>0</v>
      </c>
      <c r="V3158" t="n">
        <v>0</v>
      </c>
    </row>
    <row r="3159">
      <c r="A3159">
        <f>Skills!A21</f>
        <v/>
      </c>
      <c r="B3159">
        <f>Skills!B21</f>
        <v/>
      </c>
      <c r="C3159">
        <f>Inputs!$B$3&gt;=33</f>
        <v/>
      </c>
      <c r="D3159">
        <f>IF(Skills!C21=1,60+Inputs!$B$25+Inputs!$B$29,IF(Skills!C21=2,90+Inputs!$B$26+Inputs!$B$29,IF(Skills!C21=3,120+Inputs!$B$27+Inputs!$B$29,MAX(0,(Inputs!$B$3-100)*3)+Inputs!$B$28+Inputs!$B$29)))</f>
        <v/>
      </c>
      <c r="E3159">
        <f>INDEX(FactorTable!$B$2:$Y$301, MATCH(ROUND(MIN(300,MAX(1,D3159)),0), FactorTable!$A$2:$A$301,0), Skills!M21+1)</f>
        <v/>
      </c>
      <c r="F3159">
        <f>IF(Skills!N21=TRUE,(Skills!L21/10)*(E3159/1000),Skills!L21/10)+Skills!O21</f>
        <v/>
      </c>
      <c r="G3159">
        <f>Skills!G21*IF(Skills!H21&gt;0,Skills!I21/Skills!H21,1)</f>
        <v/>
      </c>
      <c r="H3159">
        <f>1-(1-Skills!J21/100)^Skills!K21</f>
        <v/>
      </c>
      <c r="I3159" t="inlineStr">
        <is>
          <t>1</t>
        </is>
      </c>
      <c r="J3159" t="inlineStr"/>
      <c r="K3159" t="inlineStr"/>
      <c r="L3159" t="inlineStr"/>
      <c r="M3159" t="inlineStr"/>
      <c r="N3159" t="inlineStr"/>
      <c r="O3159">
        <f>(1-Summary!$B$11)*T3159+Summary!$B$11*V3159</f>
        <v/>
      </c>
      <c r="P3159">
        <f>IF(B3178=0,0,O3159/B3178)</f>
        <v/>
      </c>
      <c r="Q3159" t="n">
        <v>0</v>
      </c>
      <c r="R3159" t="n">
        <v>0</v>
      </c>
      <c r="S3159">
        <f>IFERROR(O3159/N3159,0)</f>
        <v/>
      </c>
      <c r="T3159" t="n">
        <v>0</v>
      </c>
      <c r="V3159" t="n">
        <v>0</v>
      </c>
    </row>
    <row r="3160">
      <c r="A3160">
        <f>Skills!A22</f>
        <v/>
      </c>
      <c r="B3160">
        <f>Skills!B22</f>
        <v/>
      </c>
      <c r="C3160">
        <f>Inputs!$B$3&gt;=43</f>
        <v/>
      </c>
      <c r="D3160">
        <f>IF(Skills!C22=1,60+Inputs!$B$25+Inputs!$B$29,IF(Skills!C22=2,90+Inputs!$B$26+Inputs!$B$29,IF(Skills!C22=3,120+Inputs!$B$27+Inputs!$B$29,MAX(0,(Inputs!$B$3-100)*3)+Inputs!$B$28+Inputs!$B$29)))</f>
        <v/>
      </c>
      <c r="E3160">
        <f>INDEX(FactorTable!$B$2:$Y$301, MATCH(ROUND(MIN(300,MAX(1,D3160)),0), FactorTable!$A$2:$A$301,0), Skills!M22+1)</f>
        <v/>
      </c>
      <c r="F3160">
        <f>IF(Skills!N22=TRUE,(Skills!L22/10)*(E3160/1000),Skills!L22/10)+Skills!O22</f>
        <v/>
      </c>
      <c r="G3160">
        <f>Skills!G22*IF(Skills!H22&gt;0,Skills!I22/Skills!H22,1)</f>
        <v/>
      </c>
      <c r="H3160">
        <f>1-(1-Skills!J22/100)^Skills!K22</f>
        <v/>
      </c>
      <c r="I3160" t="inlineStr">
        <is>
          <t>1</t>
        </is>
      </c>
      <c r="J3160" t="inlineStr"/>
      <c r="K3160" t="inlineStr"/>
      <c r="L3160" t="inlineStr"/>
      <c r="M3160" t="inlineStr"/>
      <c r="N3160" t="inlineStr"/>
      <c r="O3160">
        <f>(1-Summary!$B$11)*T3160+Summary!$B$11*V3160</f>
        <v/>
      </c>
      <c r="P3160">
        <f>IF(B3178=0,0,O3160/B3178)</f>
        <v/>
      </c>
      <c r="Q3160" t="n">
        <v>0</v>
      </c>
      <c r="R3160" t="n">
        <v>0</v>
      </c>
      <c r="S3160">
        <f>IFERROR(O3160/N3160,0)</f>
        <v/>
      </c>
      <c r="T3160" t="n">
        <v>0</v>
      </c>
      <c r="V3160" t="n">
        <v>0</v>
      </c>
    </row>
    <row r="3161">
      <c r="A3161">
        <f>Skills!A23</f>
        <v/>
      </c>
      <c r="B3161">
        <f>Skills!B23</f>
        <v/>
      </c>
      <c r="C3161">
        <f>Inputs!$B$3&gt;=38</f>
        <v/>
      </c>
      <c r="D3161">
        <f>IF(Skills!C23=1,60+Inputs!$B$25+Inputs!$B$29,IF(Skills!C23=2,90+Inputs!$B$26+Inputs!$B$29,IF(Skills!C23=3,120+Inputs!$B$27+Inputs!$B$29,MAX(0,(Inputs!$B$3-100)*3)+Inputs!$B$28+Inputs!$B$29)))</f>
        <v/>
      </c>
      <c r="E3161">
        <f>INDEX(FactorTable!$B$2:$Y$301, MATCH(ROUND(MIN(300,MAX(1,D3161)),0), FactorTable!$A$2:$A$301,0), Skills!M23+1)</f>
        <v/>
      </c>
      <c r="F3161">
        <f>IF(Skills!N23=TRUE,(Skills!L23/10)*(E3161/1000),Skills!L23/10)+Skills!O23</f>
        <v/>
      </c>
      <c r="G3161">
        <f>Skills!G23*IF(Skills!H23&gt;0,Skills!I23/Skills!H23,1)</f>
        <v/>
      </c>
      <c r="H3161">
        <f>1-(1-Skills!J23/100)^Skills!K23</f>
        <v/>
      </c>
      <c r="I3161" t="inlineStr">
        <is>
          <t>1</t>
        </is>
      </c>
      <c r="J3161" t="inlineStr"/>
      <c r="K3161" t="inlineStr"/>
      <c r="L3161" t="inlineStr"/>
      <c r="M3161" t="inlineStr"/>
      <c r="N3161" t="inlineStr"/>
      <c r="O3161">
        <f>(1-Summary!$B$11)*T3161+Summary!$B$11*V3161</f>
        <v/>
      </c>
      <c r="P3161">
        <f>IF(B3178=0,0,O3161/B3178)</f>
        <v/>
      </c>
      <c r="Q3161" t="n">
        <v>0</v>
      </c>
      <c r="R3161" t="n">
        <v>0</v>
      </c>
      <c r="S3161">
        <f>IFERROR(O3161/N3161,0)</f>
        <v/>
      </c>
      <c r="T3161" t="n">
        <v>0</v>
      </c>
      <c r="V3161" t="n">
        <v>0</v>
      </c>
    </row>
    <row r="3162">
      <c r="A3162">
        <f>Skills!A24</f>
        <v/>
      </c>
      <c r="B3162">
        <f>Skills!B24</f>
        <v/>
      </c>
      <c r="C3162">
        <f>Inputs!$B$3&gt;=40</f>
        <v/>
      </c>
      <c r="D3162">
        <f>IF(Skills!C24=1,60+Inputs!$B$25+Inputs!$B$29,IF(Skills!C24=2,90+Inputs!$B$26+Inputs!$B$29,IF(Skills!C24=3,120+Inputs!$B$27+Inputs!$B$29,MAX(0,(Inputs!$B$3-100)*3)+Inputs!$B$28+Inputs!$B$29)))</f>
        <v/>
      </c>
      <c r="E3162">
        <f>INDEX(FactorTable!$B$2:$Y$301, MATCH(ROUND(MIN(300,MAX(1,D3162)),0), FactorTable!$A$2:$A$301,0), Skills!M24+1)</f>
        <v/>
      </c>
      <c r="F3162">
        <f>IF(Skills!N24=TRUE,(Skills!L24/10)*(E3162/1000),Skills!L24/10)+Skills!O24</f>
        <v/>
      </c>
      <c r="G3162">
        <f>Skills!G24*IF(Skills!H24&gt;0,Skills!I24/Skills!H24,1)</f>
        <v/>
      </c>
      <c r="H3162">
        <f>1-(1-Skills!J24/100)^Skills!K24</f>
        <v/>
      </c>
      <c r="I3162" t="inlineStr">
        <is>
          <t>1</t>
        </is>
      </c>
      <c r="J3162" t="inlineStr"/>
      <c r="K3162" t="inlineStr"/>
      <c r="L3162" t="inlineStr"/>
      <c r="M3162" t="inlineStr"/>
      <c r="N3162" t="inlineStr"/>
      <c r="O3162">
        <f>(1-Summary!$B$11)*T3162+Summary!$B$11*V3162</f>
        <v/>
      </c>
      <c r="P3162">
        <f>IF(B3178=0,0,O3162/B3178)</f>
        <v/>
      </c>
      <c r="Q3162" t="n">
        <v>0</v>
      </c>
      <c r="R3162" t="n">
        <v>0</v>
      </c>
      <c r="S3162">
        <f>IFERROR(O3162/N3162,0)</f>
        <v/>
      </c>
      <c r="T3162" t="n">
        <v>0</v>
      </c>
      <c r="V3162" t="n">
        <v>0</v>
      </c>
    </row>
    <row r="3163">
      <c r="A3163">
        <f>Skills!A25</f>
        <v/>
      </c>
      <c r="B3163">
        <f>Skills!B25</f>
        <v/>
      </c>
      <c r="C3163">
        <f>Inputs!$B$3&gt;=72</f>
        <v/>
      </c>
      <c r="D3163">
        <f>IF(Skills!C25=1,60+Inputs!$B$25+Inputs!$B$29,IF(Skills!C25=2,90+Inputs!$B$26+Inputs!$B$29,IF(Skills!C25=3,120+Inputs!$B$27+Inputs!$B$29,MAX(0,(Inputs!$B$3-100)*3)+Inputs!$B$28+Inputs!$B$29)))</f>
        <v/>
      </c>
      <c r="E3163">
        <f>INDEX(FactorTable!$B$2:$Y$301, MATCH(ROUND(MIN(300,MAX(1,D3163)),0), FactorTable!$A$2:$A$301,0), Skills!M25+1)</f>
        <v/>
      </c>
      <c r="F3163">
        <f>IF(Skills!N25=TRUE,(Skills!L25/10)*(E3163/1000),Skills!L25/10)+Skills!O25</f>
        <v/>
      </c>
      <c r="G3163">
        <f>Skills!G25*IF(Skills!H25&gt;0,Skills!I25/Skills!H25,1)</f>
        <v/>
      </c>
      <c r="H3163">
        <f>1-(1-Skills!J25/100)^Skills!K25</f>
        <v/>
      </c>
      <c r="I3163" t="inlineStr">
        <is>
          <t>1</t>
        </is>
      </c>
      <c r="J3163" t="inlineStr"/>
      <c r="K3163" t="inlineStr"/>
      <c r="L3163" t="inlineStr"/>
      <c r="M3163" t="inlineStr"/>
      <c r="N3163" t="inlineStr"/>
      <c r="O3163">
        <f>(1-Summary!$B$11)*T3163+Summary!$B$11*V3163</f>
        <v/>
      </c>
      <c r="P3163">
        <f>IF(B3178=0,0,O3163/B3178)</f>
        <v/>
      </c>
      <c r="Q3163" t="n">
        <v>0</v>
      </c>
      <c r="R3163" t="n">
        <v>0</v>
      </c>
      <c r="S3163">
        <f>IFERROR(O3163/N3163,0)</f>
        <v/>
      </c>
      <c r="T3163" t="n">
        <v>0</v>
      </c>
      <c r="V3163" t="n">
        <v>0</v>
      </c>
    </row>
    <row r="3164">
      <c r="A3164">
        <f>Skills!A26</f>
        <v/>
      </c>
      <c r="B3164">
        <f>Skills!B26</f>
        <v/>
      </c>
      <c r="C3164">
        <f>Inputs!$B$3&gt;=75</f>
        <v/>
      </c>
      <c r="D3164">
        <f>IF(Skills!C26=1,60+Inputs!$B$25+Inputs!$B$29,IF(Skills!C26=2,90+Inputs!$B$26+Inputs!$B$29,IF(Skills!C26=3,120+Inputs!$B$27+Inputs!$B$29,MAX(0,(Inputs!$B$3-100)*3)+Inputs!$B$28+Inputs!$B$29)))</f>
        <v/>
      </c>
      <c r="E3164">
        <f>INDEX(FactorTable!$B$2:$Y$301, MATCH(ROUND(MIN(300,MAX(1,D3164)),0), FactorTable!$A$2:$A$301,0), Skills!M26+1)</f>
        <v/>
      </c>
      <c r="F3164">
        <f>IF(Skills!N26=TRUE,(Skills!L26/10)*(E3164/1000),Skills!L26/10)+Skills!O26</f>
        <v/>
      </c>
      <c r="G3164">
        <f>Skills!G26*IF(Skills!H26&gt;0,Skills!I26/Skills!H26,1)</f>
        <v/>
      </c>
      <c r="H3164">
        <f>1-(1-Skills!J26/100)^Skills!K26</f>
        <v/>
      </c>
      <c r="I3164" t="inlineStr">
        <is>
          <t>1</t>
        </is>
      </c>
      <c r="J3164" t="inlineStr"/>
      <c r="K3164" t="inlineStr"/>
      <c r="L3164" t="inlineStr"/>
      <c r="M3164" t="inlineStr"/>
      <c r="N3164" t="inlineStr"/>
      <c r="O3164">
        <f>(1-Summary!$B$11)*T3164+Summary!$B$11*V3164</f>
        <v/>
      </c>
      <c r="P3164">
        <f>IF(B3178=0,0,O3164/B3178)</f>
        <v/>
      </c>
      <c r="Q3164" t="n">
        <v>0</v>
      </c>
      <c r="R3164" t="n">
        <v>0</v>
      </c>
      <c r="S3164">
        <f>IFERROR(O3164/N3164,0)</f>
        <v/>
      </c>
      <c r="T3164" t="n">
        <v>0</v>
      </c>
      <c r="V3164" t="n">
        <v>0</v>
      </c>
    </row>
    <row r="3165">
      <c r="A3165">
        <f>Skills!A27</f>
        <v/>
      </c>
      <c r="B3165">
        <f>Skills!B27</f>
        <v/>
      </c>
      <c r="C3165">
        <f>Inputs!$B$3&gt;=117</f>
        <v/>
      </c>
      <c r="D3165">
        <f>IF(Skills!C27=1,60+Inputs!$B$25+Inputs!$B$29,IF(Skills!C27=2,90+Inputs!$B$26+Inputs!$B$29,IF(Skills!C27=3,120+Inputs!$B$27+Inputs!$B$29,MAX(0,(Inputs!$B$3-100)*3)+Inputs!$B$28+Inputs!$B$29)))</f>
        <v/>
      </c>
      <c r="E3165">
        <f>INDEX(FactorTable!$B$2:$Y$301, MATCH(ROUND(MIN(300,MAX(1,D3165)),0), FactorTable!$A$2:$A$301,0), Skills!M27+1)</f>
        <v/>
      </c>
      <c r="F3165">
        <f>IF(Skills!N27=TRUE,(Skills!L27/10)*(E3165/1000),Skills!L27/10)+Skills!O27</f>
        <v/>
      </c>
      <c r="G3165">
        <f>Skills!G27*IF(Skills!H27&gt;0,Skills!I27/Skills!H27,1)</f>
        <v/>
      </c>
      <c r="H3165">
        <f>1-(1-Skills!J27/100)^Skills!K27</f>
        <v/>
      </c>
      <c r="I3165" t="inlineStr">
        <is>
          <t>1</t>
        </is>
      </c>
      <c r="J3165" t="inlineStr"/>
      <c r="K3165" t="inlineStr"/>
      <c r="L3165" t="inlineStr"/>
      <c r="M3165" t="inlineStr"/>
      <c r="N3165" t="inlineStr"/>
      <c r="O3165">
        <f>(1-Summary!$B$11)*T3165+Summary!$B$11*V3165</f>
        <v/>
      </c>
      <c r="P3165">
        <f>IF(B3178=0,0,O3165/B3178)</f>
        <v/>
      </c>
      <c r="Q3165" t="n">
        <v>0</v>
      </c>
      <c r="R3165" t="n">
        <v>0</v>
      </c>
      <c r="S3165">
        <f>IFERROR(O3165/N3165,0)</f>
        <v/>
      </c>
      <c r="T3165" t="n">
        <v>0</v>
      </c>
      <c r="V3165" t="n">
        <v>0</v>
      </c>
    </row>
    <row r="3167">
      <c r="A3167" t="inlineStr">
        <is>
          <t>Attack% Bucket Multiplier</t>
        </is>
      </c>
      <c r="B3167">
        <f>(1+(((C3155=TRUE)*F3155)+((C3162=TRUE)*(F3162-Calc!F24))+(IF(ArtifactsInput!$M$21,CHOOSE(ArtifactsInput!$N$21+1,25,30,35,40,45,50)*(IF(OR(Inputs!$B$4="Chapter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68">
      <c r="A3168" t="inlineStr">
        <is>
          <t>Global Crit Rate Bonus %</t>
        </is>
      </c>
      <c r="B3168" t="n">
        <v>0</v>
      </c>
    </row>
    <row r="3169">
      <c r="A3169" t="inlineStr">
        <is>
          <t>Attack Speed Buff Bonus % (unused)</t>
        </is>
      </c>
      <c r="B3169" t="n">
        <v>0</v>
      </c>
    </row>
    <row r="3170">
      <c r="A3170" t="inlineStr">
        <is>
          <t>Actions Per Second</t>
        </is>
      </c>
      <c r="B3170">
        <f>1+MIN(150,150*(1-(1-(Inputs!$B$11+((C3158=TRUE)*(F3158-Calc!F20))+((C3159=TRUE)*(F3159-Calc!F21)))/150)*(1-B3169/150)))/100</f>
        <v/>
      </c>
    </row>
    <row r="3171">
      <c r="A3171" t="inlineStr">
        <is>
          <t>Skill + Buff Cast Rate</t>
        </is>
      </c>
      <c r="B3171">
        <f>IF(AND(Inputs!$B$38&lt;&gt;"pvp",Inputs!$B$43&gt;0),SUMPRODUCT((Skills!E2:E27=TRUE)*(C3140:C3165=TRUE)*R3140:R3165*Skills!F2:F27)/Inputs!$B$43,SUMPRODUCT((Skills!E2:E27=TRUE)*(C3140:C3165=TRUE)*Q3140:Q3165*Skills!F2:F27))</f>
        <v/>
      </c>
    </row>
    <row r="3172">
      <c r="A3172" t="inlineStr">
        <is>
          <t>Eight-Legs Easton Casts Per Second</t>
        </is>
      </c>
      <c r="B3172">
        <f>MAX(0,B3170-B3171)</f>
        <v/>
      </c>
    </row>
    <row r="3173">
      <c r="A3173" t="inlineStr">
        <is>
          <t>Global Critical Damage Bonus % (unused)</t>
        </is>
      </c>
      <c r="B3173" t="n">
        <v>0</v>
      </c>
    </row>
    <row r="3174">
      <c r="A3174" t="inlineStr">
        <is>
          <t>Global Final Damage Bonus % (Jolly Roger only)</t>
        </is>
      </c>
      <c r="B3174">
        <f>((C3156=TRUE)*F3156)</f>
        <v/>
      </c>
    </row>
    <row r="3175">
      <c r="A3175" t="inlineStr">
        <is>
          <t>Buff-Casting Startup Delay (s, fixed-duration only)</t>
        </is>
      </c>
      <c r="B3175">
        <f>IF(AND(Inputs!$B$38&lt;&gt;"pvp",Inputs!$B$43&gt;0),SUMPRODUCT((Skills!T2:T27&gt;0)*(Skills!E2:E27=TRUE)*(C3140:C3165=TRUE))/B3170,0)</f>
        <v/>
      </c>
    </row>
    <row r="3176">
      <c r="A3176" t="inlineStr">
        <is>
          <t>Boss-Only Total DPS (this block's swept value)</t>
        </is>
      </c>
      <c r="B3176">
        <f>SUM(T3140:T3165)</f>
        <v/>
      </c>
    </row>
    <row r="3177">
      <c r="A3177" t="inlineStr">
        <is>
          <t>Normal-Only Total DPS (this block's swept value)</t>
        </is>
      </c>
      <c r="B3177">
        <f>SUM(V3140:V3165)</f>
        <v/>
      </c>
    </row>
    <row r="3178">
      <c r="A3178" s="6" t="inlineStr">
        <is>
          <t>TOTAL DPS</t>
        </is>
      </c>
      <c r="B3178" s="6">
        <f>SUM(O3140:O3165)</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Corsair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%",IF(Inputs!$B$9&gt;=100,Sensitivity!H16,Sensitivity!H15),IF(B6="Critical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%",IF(Inputs!$B$9&gt;=100,Sensitivity!H16,Sensitivity!H15),IF(I6="Critical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%",IF(Inputs!$B$9&gt;=100,Sensitivity!H16,Sensitivity!H15),IF(B7="Critical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%",IF(Inputs!$B$9&gt;=100,Sensitivity!H16,Sensitivity!H15),IF(I7="Critical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%",IF(Inputs!$B$9&gt;=100,Sensitivity!H16,Sensitivity!H15),IF(B8="Critical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%",IF(Inputs!$B$9&gt;=100,Sensitivity!H16,Sensitivity!H15),IF(I8="Critical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%",IF(Inputs!$B$9&gt;=100,Sensitivity!H16,Sensitivity!H15),IF(B9="Critical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%",IF(Inputs!$B$9&gt;=100,Sensitivity!H16,Sensitivity!H15),IF(I9="Critical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%",IF(Inputs!$B$9&gt;=100,Sensitivity!H16,Sensitivity!H15),IF(B10="Critical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%",IF(Inputs!$B$9&gt;=100,Sensitivity!H16,Sensitivity!H15),IF(I10="Critical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Corsair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2026-09-25T12:12:19Z</dcterms:created>
  <dcterms:modified xsi:type="dcterms:W3CDTF">2026-09-25T12:12:19Z</dcterms:modified>
</cp:coreProperties>
</file>